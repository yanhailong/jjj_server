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---------------
每种货币一个类型ID
99:金币
98：钻石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自动使用并删除此道具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F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F6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不可见的常规道具</t>
        </r>
      </text>
    </comment>
    <comment ref="F6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不可见的常规道具</t>
        </r>
      </text>
    </comment>
  </commentList>
</comments>
</file>

<file path=xl/sharedStrings.xml><?xml version="1.0" encoding="utf-8"?>
<sst xmlns="http://schemas.openxmlformats.org/spreadsheetml/2006/main" count="214" uniqueCount="127">
  <si>
    <t>道具ID</t>
  </si>
  <si>
    <t>名称多语言ID</t>
  </si>
  <si>
    <t>备注</t>
  </si>
  <si>
    <t>类型</t>
  </si>
  <si>
    <t>道具品质</t>
  </si>
  <si>
    <t>图标资源名</t>
  </si>
  <si>
    <t>描述多语言ID</t>
  </si>
  <si>
    <t>获得后是否使用并激活装扮和图鉴</t>
  </si>
  <si>
    <t>激活的装扮</t>
  </si>
  <si>
    <t>自动激活的图鉴ID</t>
  </si>
  <si>
    <t>最大堆叠数量</t>
  </si>
  <si>
    <t>使用道具后获得道具</t>
  </si>
  <si>
    <t>int</t>
  </si>
  <si>
    <t>string</t>
  </si>
  <si>
    <t>map&lt;int{_}long&gt;{;}</t>
  </si>
  <si>
    <t>id</t>
  </si>
  <si>
    <t>name</t>
  </si>
  <si>
    <t>type</t>
  </si>
  <si>
    <t>quality</t>
  </si>
  <si>
    <t>icon</t>
  </si>
  <si>
    <t>text</t>
  </si>
  <si>
    <t>autoActivate</t>
  </si>
  <si>
    <t>avatarID</t>
  </si>
  <si>
    <t>album</t>
  </si>
  <si>
    <t>prop</t>
  </si>
  <si>
    <t>getItem</t>
  </si>
  <si>
    <t>金币礼包</t>
  </si>
  <si>
    <t>可使用道具</t>
  </si>
  <si>
    <t>使用后可额外获得50%流水，持续时间1小时。多次使用可以叠加持续时间</t>
  </si>
  <si>
    <t>1990000_10000</t>
  </si>
  <si>
    <t>钻石礼包</t>
  </si>
  <si>
    <t>使用后可额外获得100%流水，持续时间2小时。多次使用可以叠加持续时间</t>
  </si>
  <si>
    <t>1980000_10000</t>
  </si>
  <si>
    <t>白金卡</t>
  </si>
  <si>
    <t>常规道具</t>
  </si>
  <si>
    <t>创建私人包房时可以抵扣钻石</t>
  </si>
  <si>
    <t>测试道具2</t>
  </si>
  <si>
    <t>活动期间获得，集齐6个可领取奖励</t>
  </si>
  <si>
    <t>测试道具3</t>
  </si>
  <si>
    <t>测试道具4</t>
  </si>
  <si>
    <t>测试道具5</t>
  </si>
  <si>
    <t>测试道具6</t>
  </si>
  <si>
    <t>图鉴1</t>
  </si>
  <si>
    <t>图鉴2</t>
  </si>
  <si>
    <t>图鉴3</t>
  </si>
  <si>
    <t>图鉴4</t>
  </si>
  <si>
    <t>图鉴5</t>
  </si>
  <si>
    <t>图鉴6</t>
  </si>
  <si>
    <t>图鉴7</t>
  </si>
  <si>
    <t>图鉴8</t>
  </si>
  <si>
    <t>头像2</t>
  </si>
  <si>
    <t>头像3</t>
  </si>
  <si>
    <t>头像框2</t>
  </si>
  <si>
    <t>头像框3</t>
  </si>
  <si>
    <t>国旗2</t>
  </si>
  <si>
    <t>国旗3</t>
  </si>
  <si>
    <t>头衔2</t>
  </si>
  <si>
    <t>头衔3</t>
  </si>
  <si>
    <t>筹码2</t>
  </si>
  <si>
    <t>筹码3</t>
  </si>
  <si>
    <t>牌背2</t>
  </si>
  <si>
    <t>牌背3</t>
  </si>
  <si>
    <t>大厅背景2</t>
  </si>
  <si>
    <t>大厅背景3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</si>
  <si>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</si>
  <si>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</si>
  <si>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</si>
  <si>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</si>
  <si>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</si>
  <si>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</si>
  <si>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</si>
  <si>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</si>
  <si>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</si>
  <si>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</si>
  <si>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</si>
  <si>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</si>
  <si>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</si>
  <si>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</si>
  <si>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</si>
  <si>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</si>
  <si>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</si>
  <si>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</si>
  <si>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</si>
  <si>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</si>
  <si>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</si>
  <si>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</si>
  <si>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</si>
  <si>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</si>
  <si>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</si>
  <si>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</si>
  <si>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</si>
  <si>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</si>
  <si>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</si>
  <si>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</si>
  <si>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</si>
  <si>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</si>
  <si>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</si>
  <si>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</si>
  <si>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</si>
  <si>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</si>
  <si>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</si>
  <si>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</si>
  <si>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</si>
  <si>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</si>
  <si>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</si>
  <si>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</si>
  <si>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</si>
  <si>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</si>
  <si>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</si>
  <si>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</si>
  <si>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</si>
  <si>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</si>
  <si>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</si>
  <si>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</si>
  <si>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</si>
  <si>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</si>
  <si>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</si>
  <si>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</si>
  <si>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</si>
  <si>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金币</t>
  </si>
  <si>
    <t>货币</t>
  </si>
  <si>
    <t>下注时需要用的货币</t>
  </si>
  <si>
    <t>钻石</t>
  </si>
  <si>
    <t>在私密房间内下注时需要用的货币，同时是使用部分功能需要消耗的特殊货币</t>
  </si>
  <si>
    <t>图鉴礼包</t>
  </si>
  <si>
    <t>不可见道具</t>
  </si>
  <si>
    <t>图鉴碎片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</si>
</sst>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0" borderId="5" applyNumberFormat="0" applyAlignment="0" applyProtection="0">
      <alignment vertical="center"/>
    </xf>
    <xf numFmtId="0" fontId="11" fillId="11" borderId="6" applyNumberFormat="0" applyAlignment="0" applyProtection="0">
      <alignment vertical="center"/>
    </xf>
    <xf numFmtId="0" fontId="12" fillId="11" borderId="5" applyNumberFormat="0" applyAlignment="0" applyProtection="0">
      <alignment vertical="center"/>
    </xf>
    <xf numFmtId="0" fontId="13" fillId="12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19" fillId="39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3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63"/>
  <sheetViews>
    <sheetView tabSelected="1" zoomScale="85" zoomScaleNormal="85" topLeftCell="A35" workbookViewId="0">
      <selection activeCell="I55" sqref="I55:I59"/>
    </sheetView>
  </sheetViews>
  <sheetFormatPr defaultColWidth="9" defaultRowHeight="13.5"/>
  <cols>
    <col min="2" max="2" width="4.5" customWidth="1"/>
    <col min="3" max="4" width="15.5" customWidth="1"/>
    <col min="5" max="5" width="5.5" customWidth="1"/>
    <col min="6" max="6" width="10.875" customWidth="1"/>
    <col min="7" max="7" width="8.875" customWidth="1"/>
    <col min="8" max="8" width="22.625" customWidth="1"/>
    <col min="9" max="9" width="12.0583333333333" customWidth="1"/>
    <col min="10" max="10" width="28.825" customWidth="1"/>
    <col min="11" max="11" width="27.2083333333333" customWidth="1"/>
    <col min="12" max="12" width="10.875" customWidth="1"/>
    <col min="13" max="13" width="17.25" customWidth="1"/>
    <col min="14" max="14" width="12.2" customWidth="1"/>
    <col min="15" max="15" width="22" customWidth="1"/>
    <col min="16" max="16" width="18.8166666666667" customWidth="1"/>
    <col min="20" max="20" width="9.375"/>
  </cols>
  <sheetData>
    <row r="1" spans="1:15">
      <c r="A1" s="2" t="s">
        <v>0</v>
      </c>
      <c r="B1" s="2"/>
      <c r="C1" s="3" t="s">
        <v>1</v>
      </c>
      <c r="D1" s="3" t="s">
        <v>2</v>
      </c>
      <c r="E1" s="3" t="s">
        <v>3</v>
      </c>
      <c r="F1" s="3"/>
      <c r="G1" s="3" t="s">
        <v>4</v>
      </c>
      <c r="H1" s="3" t="s">
        <v>5</v>
      </c>
      <c r="I1" t="s">
        <v>6</v>
      </c>
      <c r="K1" t="s">
        <v>7</v>
      </c>
      <c r="L1" t="s">
        <v>8</v>
      </c>
      <c r="M1" t="s">
        <v>9</v>
      </c>
      <c r="N1" s="3" t="s">
        <v>10</v>
      </c>
      <c r="O1" t="s">
        <v>11</v>
      </c>
    </row>
    <row r="2" spans="1:15">
      <c r="A2" s="3" t="s">
        <v>12</v>
      </c>
      <c r="B2" s="3"/>
      <c r="C2" s="3" t="s">
        <v>12</v>
      </c>
      <c r="D2" s="3"/>
      <c r="E2" s="3" t="s">
        <v>12</v>
      </c>
      <c r="F2" s="4"/>
      <c r="G2" s="3" t="s">
        <v>12</v>
      </c>
      <c r="H2" s="3" t="s">
        <v>13</v>
      </c>
      <c r="I2" s="3" t="s">
        <v>12</v>
      </c>
      <c r="J2" s="3"/>
      <c r="K2" s="3" t="s">
        <v>12</v>
      </c>
      <c r="L2" s="3" t="s">
        <v>12</v>
      </c>
      <c r="M2" s="3" t="s">
        <v>12</v>
      </c>
      <c r="N2" s="3" t="s">
        <v>12</v>
      </c>
      <c r="O2" t="s">
        <v>14</v>
      </c>
    </row>
    <row r="3" spans="1:15">
      <c r="A3" s="2" t="s">
        <v>15</v>
      </c>
      <c r="B3" s="2"/>
      <c r="C3" s="3" t="s">
        <v>16</v>
      </c>
      <c r="D3" s="3"/>
      <c r="E3" s="3" t="s">
        <v>17</v>
      </c>
      <c r="F3" s="3"/>
      <c r="G3" s="3" t="s">
        <v>18</v>
      </c>
      <c r="H3" s="3" t="s">
        <v>19</v>
      </c>
      <c r="I3" t="s">
        <v>20</v>
      </c>
      <c r="K3" t="s">
        <v>21</v>
      </c>
      <c r="L3" t="s">
        <v>22</v>
      </c>
      <c r="M3" t="s">
        <v>23</v>
      </c>
      <c r="N3" s="3" t="s">
        <v>24</v>
      </c>
      <c r="O3" t="s">
        <v>25</v>
      </c>
    </row>
    <row r="4" spans="1:2">
      <c r="A4" s="5"/>
      <c r="B4" s="5"/>
    </row>
    <row r="5" customFormat="1" ht="21" customHeight="1" spans="1:15">
      <c r="A5">
        <f>1000000+E5*10000+B5</f>
        <v>1010101</v>
      </c>
      <c r="B5" s="6">
        <v>101</v>
      </c>
      <c r="C5">
        <v>1010101</v>
      </c>
      <c r="D5" t="s">
        <v>26</v>
      </c>
      <c r="E5">
        <v>1</v>
      </c>
      <c r="F5" t="s">
        <v>27</v>
      </c>
      <c r="G5">
        <v>4</v>
      </c>
      <c r="H5" t="str">
        <f t="shared" ref="H5:H16" si="0">"itemicon_"&amp;A5&amp;".png"</f>
        <v>itemicon_1010101.png</v>
      </c>
      <c r="I5">
        <f>2000000+E5*10000+B5</f>
        <v>2010101</v>
      </c>
      <c r="J5" t="s">
        <v>28</v>
      </c>
      <c r="K5">
        <v>0</v>
      </c>
      <c r="N5">
        <v>999</v>
      </c>
      <c r="O5" s="12" t="s">
        <v>29</v>
      </c>
    </row>
    <row r="6" customFormat="1" ht="21" customHeight="1" spans="1:15">
      <c r="A6">
        <f t="shared" ref="A6:A17" si="1">1000000+E6*10000+B6</f>
        <v>1010201</v>
      </c>
      <c r="B6" s="6">
        <v>201</v>
      </c>
      <c r="C6">
        <v>1010201</v>
      </c>
      <c r="D6" t="s">
        <v>30</v>
      </c>
      <c r="E6">
        <v>1</v>
      </c>
      <c r="F6" t="s">
        <v>27</v>
      </c>
      <c r="G6">
        <v>4</v>
      </c>
      <c r="H6" t="str">
        <f t="shared" si="0"/>
        <v>itemicon_1010201.png</v>
      </c>
      <c r="I6">
        <f t="shared" ref="I6:I16" si="2">2000000+E6*10000+B6</f>
        <v>2010201</v>
      </c>
      <c r="J6" t="s">
        <v>31</v>
      </c>
      <c r="K6">
        <v>0</v>
      </c>
      <c r="N6">
        <v>999</v>
      </c>
      <c r="O6" s="12" t="s">
        <v>32</v>
      </c>
    </row>
    <row r="7" ht="21" customHeight="1" spans="1:14">
      <c r="A7">
        <f t="shared" si="1"/>
        <v>1020001</v>
      </c>
      <c r="B7" s="6">
        <f>COUNTIF($F$1:F7,F7)</f>
        <v>1</v>
      </c>
      <c r="C7">
        <v>1020001</v>
      </c>
      <c r="D7" t="s">
        <v>33</v>
      </c>
      <c r="E7">
        <v>2</v>
      </c>
      <c r="F7" t="s">
        <v>34</v>
      </c>
      <c r="G7">
        <v>1</v>
      </c>
      <c r="H7" t="str">
        <f t="shared" si="0"/>
        <v>itemicon_1020001.png</v>
      </c>
      <c r="I7">
        <f t="shared" si="2"/>
        <v>2020001</v>
      </c>
      <c r="J7" t="s">
        <v>35</v>
      </c>
      <c r="K7">
        <v>0</v>
      </c>
      <c r="N7">
        <v>999</v>
      </c>
    </row>
    <row r="8" s="1" customFormat="1" ht="21" customHeight="1" spans="1:14">
      <c r="A8" s="1">
        <f t="shared" si="1"/>
        <v>1020002</v>
      </c>
      <c r="B8" s="1">
        <f>COUNTIF($F$1:F8,F8)</f>
        <v>2</v>
      </c>
      <c r="C8" s="1">
        <v>1020002</v>
      </c>
      <c r="D8" s="1" t="s">
        <v>36</v>
      </c>
      <c r="E8" s="1">
        <v>2</v>
      </c>
      <c r="F8" s="1" t="s">
        <v>34</v>
      </c>
      <c r="G8" s="1">
        <v>2</v>
      </c>
      <c r="H8" s="1" t="str">
        <f t="shared" si="0"/>
        <v>itemicon_1020002.png</v>
      </c>
      <c r="I8" s="1">
        <f t="shared" si="2"/>
        <v>2020002</v>
      </c>
      <c r="J8" s="1" t="s">
        <v>37</v>
      </c>
      <c r="K8" s="1">
        <v>0</v>
      </c>
      <c r="N8" s="1">
        <v>999</v>
      </c>
    </row>
    <row r="9" s="1" customFormat="1" ht="21" customHeight="1" spans="1:14">
      <c r="A9" s="1">
        <f t="shared" si="1"/>
        <v>1020003</v>
      </c>
      <c r="B9" s="1">
        <f>COUNTIF($F$1:F9,F9)</f>
        <v>3</v>
      </c>
      <c r="C9" s="1">
        <v>1020003</v>
      </c>
      <c r="D9" s="1" t="s">
        <v>38</v>
      </c>
      <c r="E9" s="1">
        <v>2</v>
      </c>
      <c r="F9" s="1" t="s">
        <v>34</v>
      </c>
      <c r="G9" s="1">
        <v>3</v>
      </c>
      <c r="H9" s="1" t="str">
        <f t="shared" si="0"/>
        <v>itemicon_1020003.png</v>
      </c>
      <c r="I9" s="1">
        <f t="shared" si="2"/>
        <v>2020003</v>
      </c>
      <c r="J9" s="1" t="s">
        <v>37</v>
      </c>
      <c r="K9" s="1">
        <v>0</v>
      </c>
      <c r="N9" s="1">
        <v>999</v>
      </c>
    </row>
    <row r="10" s="1" customFormat="1" ht="21" customHeight="1" spans="1:14">
      <c r="A10" s="1">
        <f t="shared" si="1"/>
        <v>1020004</v>
      </c>
      <c r="B10" s="1">
        <f>COUNTIF($F$1:F10,F10)</f>
        <v>4</v>
      </c>
      <c r="C10" s="1">
        <v>1020004</v>
      </c>
      <c r="D10" s="1" t="s">
        <v>39</v>
      </c>
      <c r="E10" s="1">
        <v>2</v>
      </c>
      <c r="F10" s="1" t="s">
        <v>34</v>
      </c>
      <c r="G10" s="1">
        <v>4</v>
      </c>
      <c r="H10" s="1" t="str">
        <f t="shared" si="0"/>
        <v>itemicon_1020004.png</v>
      </c>
      <c r="I10" s="1">
        <f t="shared" si="2"/>
        <v>2020004</v>
      </c>
      <c r="J10" s="1" t="s">
        <v>37</v>
      </c>
      <c r="K10" s="1">
        <v>0</v>
      </c>
      <c r="N10" s="1">
        <v>999</v>
      </c>
    </row>
    <row r="11" s="1" customFormat="1" ht="21" customHeight="1" spans="1:14">
      <c r="A11" s="1">
        <f t="shared" si="1"/>
        <v>1020005</v>
      </c>
      <c r="B11" s="1">
        <f>COUNTIF($F$1:F11,F11)</f>
        <v>5</v>
      </c>
      <c r="C11" s="1">
        <v>1020005</v>
      </c>
      <c r="D11" s="1" t="s">
        <v>40</v>
      </c>
      <c r="E11" s="1">
        <v>2</v>
      </c>
      <c r="F11" s="1" t="s">
        <v>34</v>
      </c>
      <c r="G11" s="1">
        <v>5</v>
      </c>
      <c r="H11" s="1" t="str">
        <f t="shared" si="0"/>
        <v>itemicon_1020005.png</v>
      </c>
      <c r="I11" s="1">
        <f t="shared" si="2"/>
        <v>2020005</v>
      </c>
      <c r="J11" s="1" t="s">
        <v>37</v>
      </c>
      <c r="K11" s="1">
        <v>0</v>
      </c>
      <c r="N11" s="1">
        <v>999</v>
      </c>
    </row>
    <row r="12" s="1" customFormat="1" ht="21" customHeight="1" spans="1:14">
      <c r="A12" s="1">
        <f t="shared" si="1"/>
        <v>1020006</v>
      </c>
      <c r="B12" s="1">
        <f>COUNTIF($F$1:F12,F12)</f>
        <v>6</v>
      </c>
      <c r="C12" s="1">
        <v>1020006</v>
      </c>
      <c r="D12" s="1" t="s">
        <v>41</v>
      </c>
      <c r="E12" s="1">
        <v>2</v>
      </c>
      <c r="F12" s="1" t="s">
        <v>34</v>
      </c>
      <c r="G12" s="1">
        <v>6</v>
      </c>
      <c r="H12" s="1" t="str">
        <f t="shared" si="0"/>
        <v>itemicon_1020006.png</v>
      </c>
      <c r="I12" s="1">
        <f t="shared" si="2"/>
        <v>2020006</v>
      </c>
      <c r="J12" s="1" t="s">
        <v>37</v>
      </c>
      <c r="K12" s="1">
        <v>0</v>
      </c>
      <c r="N12" s="1">
        <v>999</v>
      </c>
    </row>
    <row r="13" ht="23" customHeight="1" spans="1:14">
      <c r="A13">
        <f t="shared" si="1"/>
        <v>1020007</v>
      </c>
      <c r="B13" s="6">
        <f>COUNTIF($F$1:F13,F13)</f>
        <v>7</v>
      </c>
      <c r="C13">
        <f>1000000+E13*100000+B13</f>
        <v>1200007</v>
      </c>
      <c r="D13" t="s">
        <v>42</v>
      </c>
      <c r="E13">
        <v>2</v>
      </c>
      <c r="F13" t="s">
        <v>34</v>
      </c>
      <c r="G13">
        <v>1</v>
      </c>
      <c r="H13" t="str">
        <f t="shared" ref="H13:H38" si="3">"itemicon_"&amp;A13&amp;".png"</f>
        <v>itemicon_1020007.png</v>
      </c>
      <c r="I13">
        <f t="shared" ref="I13:I38" si="4">2000000+E13*10000+B13</f>
        <v>2020007</v>
      </c>
      <c r="K13">
        <v>0</v>
      </c>
      <c r="M13">
        <v>10001</v>
      </c>
      <c r="N13">
        <v>1</v>
      </c>
    </row>
    <row r="14" ht="23" customHeight="1" spans="1:14">
      <c r="A14">
        <f t="shared" ref="A14:A38" si="5">1000000+E14*10000+B14</f>
        <v>1020008</v>
      </c>
      <c r="B14" s="6">
        <f>COUNTIF($F$1:F14,F14)</f>
        <v>8</v>
      </c>
      <c r="C14">
        <f t="shared" ref="C14:C34" si="6">1000000+E14*100000+B14</f>
        <v>1200008</v>
      </c>
      <c r="D14" t="s">
        <v>43</v>
      </c>
      <c r="E14">
        <v>2</v>
      </c>
      <c r="F14" t="s">
        <v>34</v>
      </c>
      <c r="G14">
        <v>1</v>
      </c>
      <c r="H14" t="str">
        <f t="shared" si="3"/>
        <v>itemicon_1020008.png</v>
      </c>
      <c r="I14">
        <f t="shared" si="4"/>
        <v>2020008</v>
      </c>
      <c r="K14">
        <v>0</v>
      </c>
      <c r="M14">
        <v>10002</v>
      </c>
      <c r="N14">
        <v>1</v>
      </c>
    </row>
    <row r="15" ht="23" customHeight="1" spans="1:14">
      <c r="A15">
        <f t="shared" si="5"/>
        <v>1020009</v>
      </c>
      <c r="B15" s="6">
        <f>COUNTIF($F$1:F15,F15)</f>
        <v>9</v>
      </c>
      <c r="C15">
        <f t="shared" si="6"/>
        <v>1200009</v>
      </c>
      <c r="D15" t="s">
        <v>44</v>
      </c>
      <c r="E15">
        <v>2</v>
      </c>
      <c r="F15" t="s">
        <v>34</v>
      </c>
      <c r="G15">
        <v>1</v>
      </c>
      <c r="H15" t="str">
        <f t="shared" si="3"/>
        <v>itemicon_1020009.png</v>
      </c>
      <c r="I15">
        <f t="shared" si="4"/>
        <v>2020009</v>
      </c>
      <c r="K15">
        <v>0</v>
      </c>
      <c r="M15">
        <v>10003</v>
      </c>
      <c r="N15">
        <v>1</v>
      </c>
    </row>
    <row r="16" ht="23" customHeight="1" spans="1:14">
      <c r="A16">
        <f t="shared" si="5"/>
        <v>1020010</v>
      </c>
      <c r="B16" s="6">
        <f>COUNTIF($F$1:F16,F16)</f>
        <v>10</v>
      </c>
      <c r="C16">
        <f t="shared" si="6"/>
        <v>1200010</v>
      </c>
      <c r="D16" t="s">
        <v>45</v>
      </c>
      <c r="E16">
        <v>2</v>
      </c>
      <c r="F16" t="s">
        <v>34</v>
      </c>
      <c r="G16">
        <v>1</v>
      </c>
      <c r="H16" t="str">
        <f t="shared" si="3"/>
        <v>itemicon_1020010.png</v>
      </c>
      <c r="I16">
        <f t="shared" si="4"/>
        <v>2020010</v>
      </c>
      <c r="K16">
        <v>0</v>
      </c>
      <c r="M16">
        <v>10004</v>
      </c>
      <c r="N16">
        <v>1</v>
      </c>
    </row>
    <row r="17" ht="23" customHeight="1" spans="1:14">
      <c r="A17">
        <f t="shared" si="5"/>
        <v>1020011</v>
      </c>
      <c r="B17" s="6">
        <f>COUNTIF($F$1:F17,F17)</f>
        <v>11</v>
      </c>
      <c r="C17">
        <f t="shared" si="6"/>
        <v>1200011</v>
      </c>
      <c r="D17" t="s">
        <v>46</v>
      </c>
      <c r="E17">
        <v>2</v>
      </c>
      <c r="F17" t="s">
        <v>34</v>
      </c>
      <c r="G17">
        <v>1</v>
      </c>
      <c r="H17" t="str">
        <f t="shared" si="3"/>
        <v>itemicon_1020011.png</v>
      </c>
      <c r="I17">
        <f t="shared" si="4"/>
        <v>2020011</v>
      </c>
      <c r="K17">
        <v>0</v>
      </c>
      <c r="M17">
        <v>10005</v>
      </c>
      <c r="N17">
        <v>1</v>
      </c>
    </row>
    <row r="18" ht="23" customHeight="1" spans="1:14">
      <c r="A18">
        <f t="shared" si="5"/>
        <v>1020012</v>
      </c>
      <c r="B18" s="6">
        <f>COUNTIF($F$1:F18,F18)</f>
        <v>12</v>
      </c>
      <c r="C18">
        <f t="shared" si="6"/>
        <v>1200012</v>
      </c>
      <c r="D18" t="s">
        <v>47</v>
      </c>
      <c r="E18">
        <v>2</v>
      </c>
      <c r="F18" t="s">
        <v>34</v>
      </c>
      <c r="G18">
        <v>1</v>
      </c>
      <c r="H18" t="str">
        <f t="shared" si="3"/>
        <v>itemicon_1020012.png</v>
      </c>
      <c r="I18">
        <f t="shared" si="4"/>
        <v>2020012</v>
      </c>
      <c r="K18">
        <v>0</v>
      </c>
      <c r="M18">
        <v>10006</v>
      </c>
      <c r="N18">
        <v>1</v>
      </c>
    </row>
    <row r="19" ht="23" customHeight="1" spans="1:14">
      <c r="A19">
        <f t="shared" si="5"/>
        <v>1020013</v>
      </c>
      <c r="B19" s="6">
        <f>COUNTIF($F$1:F19,F19)</f>
        <v>13</v>
      </c>
      <c r="C19">
        <f t="shared" si="6"/>
        <v>1200013</v>
      </c>
      <c r="D19" t="s">
        <v>48</v>
      </c>
      <c r="E19">
        <v>2</v>
      </c>
      <c r="F19" t="s">
        <v>34</v>
      </c>
      <c r="G19">
        <v>1</v>
      </c>
      <c r="H19" t="str">
        <f t="shared" si="3"/>
        <v>itemicon_1020013.png</v>
      </c>
      <c r="I19">
        <f t="shared" si="4"/>
        <v>2020013</v>
      </c>
      <c r="K19">
        <v>0</v>
      </c>
      <c r="M19">
        <v>10007</v>
      </c>
      <c r="N19">
        <v>1</v>
      </c>
    </row>
    <row r="20" ht="23" customHeight="1" spans="1:14">
      <c r="A20">
        <f t="shared" si="5"/>
        <v>1020014</v>
      </c>
      <c r="B20" s="6">
        <f>COUNTIF($F$1:F20,F20)</f>
        <v>14</v>
      </c>
      <c r="C20">
        <f t="shared" si="6"/>
        <v>1200014</v>
      </c>
      <c r="D20" t="s">
        <v>49</v>
      </c>
      <c r="E20">
        <v>2</v>
      </c>
      <c r="F20" t="s">
        <v>34</v>
      </c>
      <c r="G20">
        <v>1</v>
      </c>
      <c r="H20" t="str">
        <f t="shared" si="3"/>
        <v>itemicon_1020014.png</v>
      </c>
      <c r="I20">
        <f t="shared" si="4"/>
        <v>2020014</v>
      </c>
      <c r="K20">
        <v>0</v>
      </c>
      <c r="M20">
        <v>10008</v>
      </c>
      <c r="N20">
        <v>1</v>
      </c>
    </row>
    <row r="21" customFormat="1" ht="23" customHeight="1" spans="1:14">
      <c r="A21">
        <f t="shared" si="5"/>
        <v>1021001</v>
      </c>
      <c r="B21" s="6">
        <v>1001</v>
      </c>
      <c r="C21">
        <f t="shared" si="6"/>
        <v>1201001</v>
      </c>
      <c r="D21" s="6" t="s">
        <v>50</v>
      </c>
      <c r="E21">
        <v>2</v>
      </c>
      <c r="F21" t="s">
        <v>34</v>
      </c>
      <c r="G21">
        <v>1</v>
      </c>
      <c r="H21" t="str">
        <f t="shared" si="3"/>
        <v>itemicon_1021001.png</v>
      </c>
      <c r="I21">
        <f t="shared" si="4"/>
        <v>2021001</v>
      </c>
      <c r="K21" s="6">
        <v>1</v>
      </c>
      <c r="L21">
        <v>2</v>
      </c>
      <c r="M21"/>
      <c r="N21">
        <v>1</v>
      </c>
    </row>
    <row r="22" customFormat="1" ht="23" customHeight="1" spans="1:14">
      <c r="A22">
        <f t="shared" si="5"/>
        <v>1021002</v>
      </c>
      <c r="B22" s="6">
        <v>1002</v>
      </c>
      <c r="C22">
        <f t="shared" si="6"/>
        <v>1201002</v>
      </c>
      <c r="D22" s="6" t="s">
        <v>51</v>
      </c>
      <c r="E22">
        <v>2</v>
      </c>
      <c r="F22" t="s">
        <v>34</v>
      </c>
      <c r="G22">
        <v>1</v>
      </c>
      <c r="H22" t="str">
        <f t="shared" si="3"/>
        <v>itemicon_1021002.png</v>
      </c>
      <c r="I22">
        <f t="shared" si="4"/>
        <v>2021002</v>
      </c>
      <c r="K22" s="6">
        <v>1</v>
      </c>
      <c r="L22">
        <v>3</v>
      </c>
      <c r="M22"/>
      <c r="N22">
        <v>1</v>
      </c>
    </row>
    <row r="23" customFormat="1" ht="23" customHeight="1" spans="1:14">
      <c r="A23">
        <f t="shared" si="5"/>
        <v>1021201</v>
      </c>
      <c r="B23" s="6">
        <v>1201</v>
      </c>
      <c r="C23">
        <f t="shared" si="6"/>
        <v>1201201</v>
      </c>
      <c r="D23" t="s">
        <v>52</v>
      </c>
      <c r="E23">
        <v>2</v>
      </c>
      <c r="F23" t="s">
        <v>34</v>
      </c>
      <c r="G23">
        <v>1</v>
      </c>
      <c r="H23" t="str">
        <f t="shared" si="3"/>
        <v>itemicon_1021201.png</v>
      </c>
      <c r="I23">
        <f t="shared" si="4"/>
        <v>2021201</v>
      </c>
      <c r="K23" s="6">
        <v>1</v>
      </c>
      <c r="L23">
        <v>1002</v>
      </c>
      <c r="M23"/>
      <c r="N23">
        <v>1</v>
      </c>
    </row>
    <row r="24" customFormat="1" ht="23" customHeight="1" spans="1:14">
      <c r="A24">
        <f t="shared" si="5"/>
        <v>1021202</v>
      </c>
      <c r="B24" s="6">
        <v>1202</v>
      </c>
      <c r="C24">
        <f t="shared" si="6"/>
        <v>1201202</v>
      </c>
      <c r="D24" t="s">
        <v>53</v>
      </c>
      <c r="E24">
        <v>2</v>
      </c>
      <c r="F24" t="s">
        <v>34</v>
      </c>
      <c r="G24">
        <v>1</v>
      </c>
      <c r="H24" t="str">
        <f t="shared" si="3"/>
        <v>itemicon_1021202.png</v>
      </c>
      <c r="I24">
        <f t="shared" si="4"/>
        <v>2021202</v>
      </c>
      <c r="K24" s="6">
        <v>1</v>
      </c>
      <c r="L24">
        <v>1003</v>
      </c>
      <c r="M24"/>
      <c r="N24">
        <v>1</v>
      </c>
    </row>
    <row r="25" customFormat="1" ht="23" customHeight="1" spans="1:14">
      <c r="A25">
        <f t="shared" si="5"/>
        <v>1021401</v>
      </c>
      <c r="B25" s="6">
        <v>1401</v>
      </c>
      <c r="C25">
        <f t="shared" si="6"/>
        <v>1201401</v>
      </c>
      <c r="D25" s="7" t="s">
        <v>54</v>
      </c>
      <c r="E25">
        <v>2</v>
      </c>
      <c r="F25" t="s">
        <v>34</v>
      </c>
      <c r="G25">
        <v>1</v>
      </c>
      <c r="H25" t="str">
        <f t="shared" si="3"/>
        <v>itemicon_1021401.png</v>
      </c>
      <c r="I25">
        <f t="shared" si="4"/>
        <v>2021401</v>
      </c>
      <c r="K25" s="6">
        <v>1</v>
      </c>
      <c r="L25">
        <v>2002</v>
      </c>
      <c r="M25"/>
      <c r="N25">
        <v>1</v>
      </c>
    </row>
    <row r="26" customFormat="1" ht="23" customHeight="1" spans="1:14">
      <c r="A26">
        <f t="shared" si="5"/>
        <v>1021402</v>
      </c>
      <c r="B26" s="6">
        <v>1402</v>
      </c>
      <c r="C26">
        <f t="shared" si="6"/>
        <v>1201402</v>
      </c>
      <c r="D26" s="7" t="s">
        <v>55</v>
      </c>
      <c r="E26">
        <v>2</v>
      </c>
      <c r="F26" t="s">
        <v>34</v>
      </c>
      <c r="G26">
        <v>1</v>
      </c>
      <c r="H26" t="str">
        <f t="shared" si="3"/>
        <v>itemicon_1021402.png</v>
      </c>
      <c r="I26">
        <f t="shared" si="4"/>
        <v>2021402</v>
      </c>
      <c r="K26" s="6">
        <v>1</v>
      </c>
      <c r="L26">
        <v>2003</v>
      </c>
      <c r="M26"/>
      <c r="N26">
        <v>1</v>
      </c>
    </row>
    <row r="27" customFormat="1" ht="23" customHeight="1" spans="1:14">
      <c r="A27">
        <f t="shared" si="5"/>
        <v>1021601</v>
      </c>
      <c r="B27" s="6">
        <v>1601</v>
      </c>
      <c r="C27">
        <f t="shared" si="6"/>
        <v>1201601</v>
      </c>
      <c r="D27" s="8" t="s">
        <v>56</v>
      </c>
      <c r="E27">
        <v>2</v>
      </c>
      <c r="F27" t="s">
        <v>34</v>
      </c>
      <c r="G27">
        <v>1</v>
      </c>
      <c r="H27" t="str">
        <f t="shared" si="3"/>
        <v>itemicon_1021601.png</v>
      </c>
      <c r="I27">
        <f t="shared" si="4"/>
        <v>2021601</v>
      </c>
      <c r="K27" s="6">
        <v>1</v>
      </c>
      <c r="L27">
        <v>3002</v>
      </c>
      <c r="M27"/>
      <c r="N27">
        <v>1</v>
      </c>
    </row>
    <row r="28" customFormat="1" ht="23" customHeight="1" spans="1:14">
      <c r="A28">
        <f t="shared" si="5"/>
        <v>1021602</v>
      </c>
      <c r="B28" s="6">
        <v>1602</v>
      </c>
      <c r="C28">
        <f t="shared" si="6"/>
        <v>1201602</v>
      </c>
      <c r="D28" s="8" t="s">
        <v>57</v>
      </c>
      <c r="E28">
        <v>2</v>
      </c>
      <c r="F28" t="s">
        <v>34</v>
      </c>
      <c r="G28">
        <v>1</v>
      </c>
      <c r="H28" t="str">
        <f t="shared" si="3"/>
        <v>itemicon_1021602.png</v>
      </c>
      <c r="I28">
        <f t="shared" si="4"/>
        <v>2021602</v>
      </c>
      <c r="K28" s="6">
        <v>1</v>
      </c>
      <c r="L28">
        <v>3003</v>
      </c>
      <c r="M28"/>
      <c r="N28">
        <v>1</v>
      </c>
    </row>
    <row r="29" customFormat="1" ht="23" customHeight="1" spans="1:14">
      <c r="A29">
        <f t="shared" si="5"/>
        <v>1021801</v>
      </c>
      <c r="B29" s="6">
        <v>1801</v>
      </c>
      <c r="C29">
        <f t="shared" si="6"/>
        <v>1201801</v>
      </c>
      <c r="D29" s="9" t="s">
        <v>58</v>
      </c>
      <c r="E29">
        <v>2</v>
      </c>
      <c r="F29" t="s">
        <v>34</v>
      </c>
      <c r="G29">
        <v>1</v>
      </c>
      <c r="H29" t="str">
        <f t="shared" si="3"/>
        <v>itemicon_1021801.png</v>
      </c>
      <c r="I29">
        <f t="shared" si="4"/>
        <v>2021801</v>
      </c>
      <c r="K29" s="6">
        <v>1</v>
      </c>
      <c r="L29">
        <v>4002</v>
      </c>
      <c r="M29"/>
      <c r="N29">
        <v>1</v>
      </c>
    </row>
    <row r="30" customFormat="1" ht="23" customHeight="1" spans="1:14">
      <c r="A30">
        <f t="shared" si="5"/>
        <v>1021802</v>
      </c>
      <c r="B30" s="6">
        <v>1802</v>
      </c>
      <c r="C30">
        <f t="shared" si="6"/>
        <v>1201802</v>
      </c>
      <c r="D30" s="9" t="s">
        <v>59</v>
      </c>
      <c r="E30">
        <v>2</v>
      </c>
      <c r="F30" t="s">
        <v>34</v>
      </c>
      <c r="G30">
        <v>1</v>
      </c>
      <c r="H30" t="str">
        <f t="shared" si="3"/>
        <v>itemicon_1021802.png</v>
      </c>
      <c r="I30">
        <f t="shared" si="4"/>
        <v>2021802</v>
      </c>
      <c r="K30" s="6">
        <v>1</v>
      </c>
      <c r="L30">
        <v>4003</v>
      </c>
      <c r="M30"/>
      <c r="N30">
        <v>1</v>
      </c>
    </row>
    <row r="31" customFormat="1" ht="23" customHeight="1" spans="1:14">
      <c r="A31">
        <f t="shared" si="5"/>
        <v>1022001</v>
      </c>
      <c r="B31" s="6">
        <v>2001</v>
      </c>
      <c r="C31">
        <f t="shared" si="6"/>
        <v>1202001</v>
      </c>
      <c r="D31" s="10" t="s">
        <v>60</v>
      </c>
      <c r="E31">
        <v>2</v>
      </c>
      <c r="F31" t="s">
        <v>34</v>
      </c>
      <c r="G31">
        <v>1</v>
      </c>
      <c r="H31" t="str">
        <f t="shared" si="3"/>
        <v>itemicon_1022001.png</v>
      </c>
      <c r="I31">
        <f t="shared" si="4"/>
        <v>2022001</v>
      </c>
      <c r="K31" s="6">
        <v>1</v>
      </c>
      <c r="L31">
        <v>5002</v>
      </c>
      <c r="M31"/>
      <c r="N31">
        <v>1</v>
      </c>
    </row>
    <row r="32" customFormat="1" ht="23" customHeight="1" spans="1:14">
      <c r="A32">
        <f t="shared" si="5"/>
        <v>1022002</v>
      </c>
      <c r="B32" s="6">
        <v>2002</v>
      </c>
      <c r="C32">
        <f t="shared" si="6"/>
        <v>1202002</v>
      </c>
      <c r="D32" s="10" t="s">
        <v>61</v>
      </c>
      <c r="E32">
        <v>2</v>
      </c>
      <c r="F32" t="s">
        <v>34</v>
      </c>
      <c r="G32">
        <v>1</v>
      </c>
      <c r="H32" t="str">
        <f t="shared" si="3"/>
        <v>itemicon_1022002.png</v>
      </c>
      <c r="I32">
        <f t="shared" si="4"/>
        <v>2022002</v>
      </c>
      <c r="K32" s="6">
        <v>1</v>
      </c>
      <c r="L32">
        <v>5003</v>
      </c>
      <c r="M32"/>
      <c r="N32">
        <v>1</v>
      </c>
    </row>
    <row r="33" customFormat="1" ht="23" customHeight="1" spans="1:14">
      <c r="A33">
        <f t="shared" si="5"/>
        <v>1022201</v>
      </c>
      <c r="B33" s="6">
        <v>2201</v>
      </c>
      <c r="C33">
        <f t="shared" si="6"/>
        <v>1202201</v>
      </c>
      <c r="D33" s="11" t="s">
        <v>62</v>
      </c>
      <c r="E33">
        <v>2</v>
      </c>
      <c r="F33" t="s">
        <v>34</v>
      </c>
      <c r="G33">
        <v>1</v>
      </c>
      <c r="H33" t="str">
        <f t="shared" si="3"/>
        <v>itemicon_1022201.png</v>
      </c>
      <c r="I33">
        <f t="shared" si="4"/>
        <v>2022201</v>
      </c>
      <c r="K33" s="6">
        <v>1</v>
      </c>
      <c r="L33">
        <v>6002</v>
      </c>
      <c r="M33"/>
      <c r="N33">
        <v>1</v>
      </c>
    </row>
    <row r="34" customFormat="1" ht="23" customHeight="1" spans="1:14">
      <c r="A34">
        <f t="shared" si="5"/>
        <v>1022202</v>
      </c>
      <c r="B34" s="6">
        <v>2202</v>
      </c>
      <c r="C34">
        <f t="shared" si="6"/>
        <v>1202202</v>
      </c>
      <c r="D34" s="11" t="s">
        <v>63</v>
      </c>
      <c r="E34">
        <v>2</v>
      </c>
      <c r="F34" t="s">
        <v>34</v>
      </c>
      <c r="G34">
        <v>1</v>
      </c>
      <c r="H34" t="str">
        <f t="shared" si="3"/>
        <v>itemicon_1022202.png</v>
      </c>
      <c r="I34">
        <f t="shared" si="4"/>
        <v>2022202</v>
      </c>
      <c r="K34" s="6">
        <v>1</v>
      </c>
      <c r="L34">
        <v>6003</v>
      </c>
      <c r="M34"/>
      <c r="N34">
        <v>1</v>
      </c>
    </row>
    <row r="35" customFormat="1" ht="21" customHeight="1" spans="1:14">
      <c r="A35">
        <v>1023001</v>
      </c>
      <c r="B35" s="6"/>
      <c r="C35">
        <v>1023001</v>
      </c>
      <c r="D35" t="s">
        <v>64</v>
      </c>
      <c r="E35">
        <v>2</v>
      </c>
      <c r="F35" t="s">
        <v>34</v>
      </c>
      <c r="G35">
        <v>2</v>
      </c>
      <c r="H35" t="s">
        <v>65</v>
      </c>
      <c r="I35">
        <v>2023001</v>
      </c>
      <c r="J35" t="s">
        <v>66</v>
      </c>
      <c r="K35">
        <v>0</v>
      </c>
      <c r="N35">
        <v>999</v>
      </c>
    </row>
    <row r="36" customFormat="1" ht="21" customHeight="1" spans="1:14">
      <c r="A36">
        <v>1023002</v>
      </c>
      <c r="B36" s="6"/>
      <c r="C36">
        <v>1023002</v>
      </c>
      <c r="D36" t="s">
        <v>67</v>
      </c>
      <c r="E36">
        <v>2</v>
      </c>
      <c r="F36" t="s">
        <v>34</v>
      </c>
      <c r="G36">
        <v>3</v>
      </c>
      <c r="H36" t="s">
        <v>68</v>
      </c>
      <c r="I36">
        <v>2023002</v>
      </c>
      <c r="J36" t="s">
        <v>66</v>
      </c>
      <c r="K36">
        <v>0</v>
      </c>
      <c r="N36">
        <v>999</v>
      </c>
    </row>
    <row r="37" customFormat="1" ht="21" customHeight="1" spans="1:14">
      <c r="A37">
        <v>1023003</v>
      </c>
      <c r="B37" s="6"/>
      <c r="C37">
        <v>1023003</v>
      </c>
      <c r="D37" t="s">
        <v>69</v>
      </c>
      <c r="E37">
        <v>2</v>
      </c>
      <c r="F37" t="s">
        <v>34</v>
      </c>
      <c r="G37">
        <v>4</v>
      </c>
      <c r="H37" t="s">
        <v>70</v>
      </c>
      <c r="I37">
        <v>2023003</v>
      </c>
      <c r="J37" t="s">
        <v>66</v>
      </c>
      <c r="K37">
        <v>0</v>
      </c>
      <c r="N37">
        <v>999</v>
      </c>
    </row>
    <row r="38" customFormat="1" ht="21" customHeight="1" spans="1:14">
      <c r="A38">
        <v>1023004</v>
      </c>
      <c r="B38" s="6"/>
      <c r="C38">
        <v>1023004</v>
      </c>
      <c r="D38" t="s">
        <v>71</v>
      </c>
      <c r="E38">
        <v>2</v>
      </c>
      <c r="F38" t="s">
        <v>34</v>
      </c>
      <c r="G38">
        <v>5</v>
      </c>
      <c r="H38" t="s">
        <v>72</v>
      </c>
      <c r="I38">
        <v>2023004</v>
      </c>
      <c r="J38" t="s">
        <v>66</v>
      </c>
      <c r="K38">
        <v>0</v>
      </c>
      <c r="N38">
        <v>999</v>
      </c>
    </row>
    <row r="39" customFormat="1" ht="21" customHeight="1" spans="1:14">
      <c r="A39">
        <v>1023005</v>
      </c>
      <c r="B39" s="6"/>
      <c r="C39">
        <v>1023005</v>
      </c>
      <c r="D39" t="s">
        <v>73</v>
      </c>
      <c r="E39">
        <v>2</v>
      </c>
      <c r="F39" t="s">
        <v>34</v>
      </c>
      <c r="G39">
        <v>6</v>
      </c>
      <c r="H39" t="s">
        <v>74</v>
      </c>
      <c r="I39">
        <v>2023005</v>
      </c>
      <c r="J39" t="s">
        <v>66</v>
      </c>
      <c r="K39">
        <v>0</v>
      </c>
      <c r="N39">
        <v>999</v>
      </c>
    </row>
    <row r="40" customFormat="1" ht="21" customHeight="1" spans="1:14">
      <c r="A40">
        <v>1023101</v>
      </c>
      <c r="B40" s="6"/>
      <c r="C40">
        <v>1023101</v>
      </c>
      <c r="D40" t="s">
        <v>75</v>
      </c>
      <c r="E40">
        <v>2</v>
      </c>
      <c r="F40" t="s">
        <v>34</v>
      </c>
      <c r="G40">
        <v>2</v>
      </c>
      <c r="H40" t="s">
        <v>76</v>
      </c>
      <c r="I40">
        <v>2023101</v>
      </c>
      <c r="J40" t="s">
        <v>77</v>
      </c>
      <c r="K40">
        <v>0</v>
      </c>
      <c r="N40">
        <v>999</v>
      </c>
    </row>
    <row r="41" customFormat="1" ht="21" customHeight="1" spans="1:14">
      <c r="A41">
        <v>1023102</v>
      </c>
      <c r="B41" s="6"/>
      <c r="C41">
        <v>1023102</v>
      </c>
      <c r="D41" t="s">
        <v>78</v>
      </c>
      <c r="E41">
        <v>2</v>
      </c>
      <c r="F41" t="s">
        <v>34</v>
      </c>
      <c r="G41">
        <v>3</v>
      </c>
      <c r="H41" t="s">
        <v>79</v>
      </c>
      <c r="I41">
        <v>2023102</v>
      </c>
      <c r="J41" t="s">
        <v>77</v>
      </c>
      <c r="K41">
        <v>0</v>
      </c>
      <c r="N41">
        <v>999</v>
      </c>
    </row>
    <row r="42" customFormat="1" ht="21" customHeight="1" spans="1:14">
      <c r="A42">
        <v>1023103</v>
      </c>
      <c r="B42" s="6"/>
      <c r="C42">
        <v>1023103</v>
      </c>
      <c r="D42" t="s">
        <v>80</v>
      </c>
      <c r="E42">
        <v>2</v>
      </c>
      <c r="F42" t="s">
        <v>34</v>
      </c>
      <c r="G42">
        <v>4</v>
      </c>
      <c r="H42" t="s">
        <v>81</v>
      </c>
      <c r="I42">
        <v>2023103</v>
      </c>
      <c r="J42" t="s">
        <v>77</v>
      </c>
      <c r="K42">
        <v>0</v>
      </c>
      <c r="N42">
        <v>999</v>
      </c>
    </row>
    <row r="43" customFormat="1" ht="21" customHeight="1" spans="1:14">
      <c r="A43">
        <v>1023104</v>
      </c>
      <c r="B43" s="6"/>
      <c r="C43">
        <v>1023104</v>
      </c>
      <c r="D43" t="s">
        <v>82</v>
      </c>
      <c r="E43">
        <v>2</v>
      </c>
      <c r="F43" t="s">
        <v>34</v>
      </c>
      <c r="G43">
        <v>5</v>
      </c>
      <c r="H43" t="s">
        <v>83</v>
      </c>
      <c r="I43">
        <v>2023104</v>
      </c>
      <c r="J43" t="s">
        <v>77</v>
      </c>
      <c r="K43">
        <v>0</v>
      </c>
      <c r="N43">
        <v>999</v>
      </c>
    </row>
    <row r="44" customFormat="1" ht="21" customHeight="1" spans="1:14">
      <c r="A44">
        <v>1023105</v>
      </c>
      <c r="B44" s="6"/>
      <c r="C44">
        <v>1023105</v>
      </c>
      <c r="D44" t="s">
        <v>84</v>
      </c>
      <c r="E44">
        <v>2</v>
      </c>
      <c r="F44" t="s">
        <v>34</v>
      </c>
      <c r="G44">
        <v>6</v>
      </c>
      <c r="H44" t="s">
        <v>85</v>
      </c>
      <c r="I44">
        <v>2023105</v>
      </c>
      <c r="J44" t="s">
        <v>77</v>
      </c>
      <c r="K44">
        <v>0</v>
      </c>
      <c r="N44">
        <v>999</v>
      </c>
    </row>
    <row r="45" customFormat="1" ht="21" customHeight="1" spans="1:14">
      <c r="A45">
        <v>1023201</v>
      </c>
      <c r="B45" s="6"/>
      <c r="C45">
        <v>1023201</v>
      </c>
      <c r="D45" t="s">
        <v>86</v>
      </c>
      <c r="E45">
        <v>2</v>
      </c>
      <c r="F45" t="s">
        <v>34</v>
      </c>
      <c r="G45">
        <v>2</v>
      </c>
      <c r="H45" t="s">
        <v>87</v>
      </c>
      <c r="I45">
        <v>2023201</v>
      </c>
      <c r="J45" t="s">
        <v>88</v>
      </c>
      <c r="K45">
        <v>0</v>
      </c>
      <c r="N45">
        <v>999</v>
      </c>
    </row>
    <row r="46" customFormat="1" ht="21" customHeight="1" spans="1:14">
      <c r="A46">
        <v>1023202</v>
      </c>
      <c r="B46" s="6"/>
      <c r="C46">
        <v>1023202</v>
      </c>
      <c r="D46" t="s">
        <v>89</v>
      </c>
      <c r="E46">
        <v>2</v>
      </c>
      <c r="F46" t="s">
        <v>34</v>
      </c>
      <c r="G46">
        <v>3</v>
      </c>
      <c r="H46" t="s">
        <v>90</v>
      </c>
      <c r="I46">
        <v>2023202</v>
      </c>
      <c r="J46" t="s">
        <v>88</v>
      </c>
      <c r="K46">
        <v>0</v>
      </c>
      <c r="N46">
        <v>999</v>
      </c>
    </row>
    <row r="47" customFormat="1" ht="21" customHeight="1" spans="1:14">
      <c r="A47">
        <v>1023203</v>
      </c>
      <c r="B47" s="6"/>
      <c r="C47">
        <v>1023203</v>
      </c>
      <c r="D47" t="s">
        <v>91</v>
      </c>
      <c r="E47">
        <v>2</v>
      </c>
      <c r="F47" t="s">
        <v>34</v>
      </c>
      <c r="G47">
        <v>4</v>
      </c>
      <c r="H47" t="s">
        <v>92</v>
      </c>
      <c r="I47">
        <v>2023203</v>
      </c>
      <c r="J47" t="s">
        <v>88</v>
      </c>
      <c r="K47">
        <v>0</v>
      </c>
      <c r="N47">
        <v>999</v>
      </c>
    </row>
    <row r="48" customFormat="1" ht="21" customHeight="1" spans="1:14">
      <c r="A48">
        <v>1023204</v>
      </c>
      <c r="B48" s="6"/>
      <c r="C48">
        <v>1023204</v>
      </c>
      <c r="D48" t="s">
        <v>93</v>
      </c>
      <c r="E48">
        <v>2</v>
      </c>
      <c r="F48" t="s">
        <v>34</v>
      </c>
      <c r="G48">
        <v>5</v>
      </c>
      <c r="H48" t="s">
        <v>94</v>
      </c>
      <c r="I48">
        <v>2023204</v>
      </c>
      <c r="J48" t="s">
        <v>88</v>
      </c>
      <c r="K48">
        <v>0</v>
      </c>
      <c r="N48">
        <v>999</v>
      </c>
    </row>
    <row r="49" customFormat="1" ht="21" customHeight="1" spans="1:14">
      <c r="A49">
        <v>1023205</v>
      </c>
      <c r="B49" s="6"/>
      <c r="C49">
        <v>1023205</v>
      </c>
      <c r="D49" t="s">
        <v>95</v>
      </c>
      <c r="E49">
        <v>2</v>
      </c>
      <c r="F49" t="s">
        <v>34</v>
      </c>
      <c r="G49">
        <v>6</v>
      </c>
      <c r="H49" t="s">
        <v>96</v>
      </c>
      <c r="I49">
        <v>2023205</v>
      </c>
      <c r="J49" t="s">
        <v>88</v>
      </c>
      <c r="K49">
        <v>0</v>
      </c>
      <c r="N49">
        <v>999</v>
      </c>
    </row>
    <row r="50" customFormat="1" ht="21" customHeight="1" spans="1:14">
      <c r="A50">
        <v>1023301</v>
      </c>
      <c r="B50" s="6"/>
      <c r="C50">
        <v>1023301</v>
      </c>
      <c r="D50" t="s">
        <v>97</v>
      </c>
      <c r="E50">
        <v>2</v>
      </c>
      <c r="F50" t="s">
        <v>34</v>
      </c>
      <c r="G50">
        <v>2</v>
      </c>
      <c r="H50" t="s">
        <v>98</v>
      </c>
      <c r="I50">
        <v>2023301</v>
      </c>
      <c r="J50" t="s">
        <v>99</v>
      </c>
      <c r="K50">
        <v>0</v>
      </c>
      <c r="N50">
        <v>999</v>
      </c>
    </row>
    <row r="51" customFormat="1" ht="21" customHeight="1" spans="1:14">
      <c r="A51">
        <v>1023302</v>
      </c>
      <c r="B51" s="6"/>
      <c r="C51">
        <v>1023302</v>
      </c>
      <c r="D51" t="s">
        <v>100</v>
      </c>
      <c r="E51">
        <v>2</v>
      </c>
      <c r="F51" t="s">
        <v>34</v>
      </c>
      <c r="G51">
        <v>3</v>
      </c>
      <c r="H51" t="s">
        <v>101</v>
      </c>
      <c r="I51">
        <v>2023302</v>
      </c>
      <c r="J51" t="s">
        <v>99</v>
      </c>
      <c r="K51">
        <v>0</v>
      </c>
      <c r="N51">
        <v>999</v>
      </c>
    </row>
    <row r="52" customFormat="1" ht="21" customHeight="1" spans="1:14">
      <c r="A52">
        <v>1023303</v>
      </c>
      <c r="B52" s="6"/>
      <c r="C52">
        <v>1023303</v>
      </c>
      <c r="D52" t="s">
        <v>102</v>
      </c>
      <c r="E52">
        <v>2</v>
      </c>
      <c r="F52" t="s">
        <v>34</v>
      </c>
      <c r="G52">
        <v>4</v>
      </c>
      <c r="H52" t="s">
        <v>103</v>
      </c>
      <c r="I52">
        <v>2023303</v>
      </c>
      <c r="J52" t="s">
        <v>99</v>
      </c>
      <c r="K52">
        <v>0</v>
      </c>
      <c r="N52">
        <v>999</v>
      </c>
    </row>
    <row r="53" customFormat="1" ht="21" customHeight="1" spans="1:14">
      <c r="A53">
        <v>1023304</v>
      </c>
      <c r="B53" s="6"/>
      <c r="C53">
        <v>1023304</v>
      </c>
      <c r="D53" t="s">
        <v>104</v>
      </c>
      <c r="E53">
        <v>2</v>
      </c>
      <c r="F53" t="s">
        <v>34</v>
      </c>
      <c r="G53">
        <v>5</v>
      </c>
      <c r="H53" t="s">
        <v>105</v>
      </c>
      <c r="I53">
        <v>2023304</v>
      </c>
      <c r="J53" t="s">
        <v>99</v>
      </c>
      <c r="K53">
        <v>0</v>
      </c>
      <c r="N53">
        <v>999</v>
      </c>
    </row>
    <row r="54" customFormat="1" ht="21" customHeight="1" spans="1:14">
      <c r="A54">
        <v>1023305</v>
      </c>
      <c r="B54" s="6"/>
      <c r="C54">
        <v>1023305</v>
      </c>
      <c r="D54" t="s">
        <v>106</v>
      </c>
      <c r="E54">
        <v>2</v>
      </c>
      <c r="F54" t="s">
        <v>34</v>
      </c>
      <c r="G54">
        <v>6</v>
      </c>
      <c r="H54" t="s">
        <v>107</v>
      </c>
      <c r="I54">
        <v>2023305</v>
      </c>
      <c r="J54" t="s">
        <v>99</v>
      </c>
      <c r="K54">
        <v>0</v>
      </c>
      <c r="N54">
        <v>999</v>
      </c>
    </row>
    <row r="55" customFormat="1" ht="21" customHeight="1" spans="1:14">
      <c r="A55">
        <v>1023401</v>
      </c>
      <c r="B55" s="6"/>
      <c r="C55">
        <v>1023401</v>
      </c>
      <c r="D55" t="s">
        <v>108</v>
      </c>
      <c r="E55">
        <v>2</v>
      </c>
      <c r="F55" t="s">
        <v>34</v>
      </c>
      <c r="G55">
        <v>2</v>
      </c>
      <c r="H55" t="s">
        <v>109</v>
      </c>
      <c r="I55">
        <v>2023401</v>
      </c>
      <c r="J55" t="s">
        <v>110</v>
      </c>
      <c r="K55">
        <v>0</v>
      </c>
      <c r="N55">
        <v>999</v>
      </c>
    </row>
    <row r="56" customFormat="1" ht="21" customHeight="1" spans="1:14">
      <c r="A56">
        <v>1023402</v>
      </c>
      <c r="B56" s="6"/>
      <c r="C56">
        <v>1023402</v>
      </c>
      <c r="D56" t="s">
        <v>111</v>
      </c>
      <c r="E56">
        <v>2</v>
      </c>
      <c r="F56" t="s">
        <v>34</v>
      </c>
      <c r="G56">
        <v>3</v>
      </c>
      <c r="H56" t="s">
        <v>112</v>
      </c>
      <c r="I56">
        <v>2023402</v>
      </c>
      <c r="J56" t="s">
        <v>110</v>
      </c>
      <c r="K56">
        <v>0</v>
      </c>
      <c r="N56">
        <v>999</v>
      </c>
    </row>
    <row r="57" customFormat="1" ht="21" customHeight="1" spans="1:14">
      <c r="A57">
        <v>1023403</v>
      </c>
      <c r="B57" s="6"/>
      <c r="C57">
        <v>1023403</v>
      </c>
      <c r="D57" t="s">
        <v>113</v>
      </c>
      <c r="E57">
        <v>2</v>
      </c>
      <c r="F57" t="s">
        <v>34</v>
      </c>
      <c r="G57">
        <v>4</v>
      </c>
      <c r="H57" t="s">
        <v>114</v>
      </c>
      <c r="I57">
        <v>2023403</v>
      </c>
      <c r="J57" t="s">
        <v>110</v>
      </c>
      <c r="K57">
        <v>0</v>
      </c>
      <c r="N57">
        <v>999</v>
      </c>
    </row>
    <row r="58" customFormat="1" ht="21" customHeight="1" spans="1:14">
      <c r="A58">
        <v>1023404</v>
      </c>
      <c r="B58" s="6"/>
      <c r="C58">
        <v>1023404</v>
      </c>
      <c r="D58" t="s">
        <v>115</v>
      </c>
      <c r="E58">
        <v>2</v>
      </c>
      <c r="F58" t="s">
        <v>34</v>
      </c>
      <c r="G58">
        <v>5</v>
      </c>
      <c r="H58" t="s">
        <v>116</v>
      </c>
      <c r="I58">
        <v>2023404</v>
      </c>
      <c r="J58" t="s">
        <v>110</v>
      </c>
      <c r="K58">
        <v>0</v>
      </c>
      <c r="N58">
        <v>999</v>
      </c>
    </row>
    <row r="59" customFormat="1" ht="21" customHeight="1" spans="1:14">
      <c r="A59">
        <v>1023405</v>
      </c>
      <c r="B59" s="6"/>
      <c r="C59">
        <v>1023405</v>
      </c>
      <c r="D59" t="s">
        <v>117</v>
      </c>
      <c r="E59">
        <v>2</v>
      </c>
      <c r="F59" t="s">
        <v>34</v>
      </c>
      <c r="G59">
        <v>6</v>
      </c>
      <c r="H59" t="s">
        <v>118</v>
      </c>
      <c r="I59">
        <v>2023405</v>
      </c>
      <c r="J59" t="s">
        <v>110</v>
      </c>
      <c r="K59">
        <v>0</v>
      </c>
      <c r="N59">
        <v>999</v>
      </c>
    </row>
    <row r="60" ht="21" customHeight="1" spans="1:14">
      <c r="A60">
        <f>1000000+E60*10000+B60</f>
        <v>1990000</v>
      </c>
      <c r="B60" s="6">
        <v>0</v>
      </c>
      <c r="C60">
        <v>1990000</v>
      </c>
      <c r="D60" t="s">
        <v>119</v>
      </c>
      <c r="E60">
        <v>99</v>
      </c>
      <c r="F60" t="s">
        <v>120</v>
      </c>
      <c r="G60">
        <v>1</v>
      </c>
      <c r="H60" t="str">
        <f>"itemicon_"&amp;A60&amp;".png"</f>
        <v>itemicon_1990000.png</v>
      </c>
      <c r="I60">
        <f>2000000+E60*10000+B60</f>
        <v>2990000</v>
      </c>
      <c r="J60" t="s">
        <v>121</v>
      </c>
      <c r="K60">
        <v>0</v>
      </c>
      <c r="N60">
        <v>-1</v>
      </c>
    </row>
    <row r="61" ht="21" customHeight="1" spans="1:14">
      <c r="A61">
        <f>1000000+E61*10000+B61</f>
        <v>1980000</v>
      </c>
      <c r="B61" s="6">
        <v>0</v>
      </c>
      <c r="C61">
        <v>1980000</v>
      </c>
      <c r="D61" t="s">
        <v>122</v>
      </c>
      <c r="E61">
        <v>98</v>
      </c>
      <c r="F61" t="s">
        <v>120</v>
      </c>
      <c r="G61">
        <v>1</v>
      </c>
      <c r="H61" t="str">
        <f>"itemicon_"&amp;A61&amp;".png"</f>
        <v>itemicon_1980000.png</v>
      </c>
      <c r="I61">
        <f>2000000+E61*10000+B61</f>
        <v>2980000</v>
      </c>
      <c r="J61" t="s">
        <v>123</v>
      </c>
      <c r="K61">
        <v>0</v>
      </c>
      <c r="N61">
        <v>-1</v>
      </c>
    </row>
    <row r="62" ht="23" customHeight="1" spans="1:14">
      <c r="A62">
        <f>1000000+E62*10000+B62</f>
        <v>1040001</v>
      </c>
      <c r="B62" s="6">
        <f>COUNTIF($F$1:F62,F62)</f>
        <v>1</v>
      </c>
      <c r="C62">
        <f>1000000+E62*100000+B62</f>
        <v>1400001</v>
      </c>
      <c r="D62" t="s">
        <v>124</v>
      </c>
      <c r="E62">
        <v>4</v>
      </c>
      <c r="F62" t="s">
        <v>125</v>
      </c>
      <c r="G62">
        <v>1</v>
      </c>
      <c r="H62" t="str">
        <f>"itemicon_"&amp;A62&amp;".png"</f>
        <v>itemicon_1040001.png</v>
      </c>
      <c r="I62">
        <f>2000000+E62*10000+B62</f>
        <v>2040001</v>
      </c>
      <c r="K62">
        <v>0</v>
      </c>
      <c r="N62">
        <v>-1</v>
      </c>
    </row>
    <row r="63" customFormat="1" ht="23" customHeight="1" spans="1:14">
      <c r="A63">
        <f>1000000+E63*10000+B63</f>
        <v>1040002</v>
      </c>
      <c r="B63" s="6">
        <f>COUNTIF($F$1:F63,F63)</f>
        <v>2</v>
      </c>
      <c r="C63">
        <f>1000000+E63*100000+B63</f>
        <v>1400002</v>
      </c>
      <c r="D63" t="s">
        <v>126</v>
      </c>
      <c r="E63">
        <v>4</v>
      </c>
      <c r="F63" t="s">
        <v>125</v>
      </c>
      <c r="G63">
        <v>1</v>
      </c>
      <c r="H63" t="str">
        <f>"itemicon_"&amp;A63&amp;".png"</f>
        <v>itemicon_1040002.png</v>
      </c>
      <c r="I63">
        <f>2000000+E63*10000+B63</f>
        <v>2040002</v>
      </c>
      <c r="K63">
        <v>0</v>
      </c>
      <c r="N63">
        <v>-1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ひかり</cp:lastModifiedBy>
  <dcterms:created xsi:type="dcterms:W3CDTF">2025-07-14T07:23:00Z</dcterms:created>
  <dcterms:modified xsi:type="dcterms:W3CDTF">2025-09-04T02:07:28Z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2052-12.1.0.22529</vt:lpwstr>
  </property>
</Properties>
</file>