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6a3448c1a23431c" /></Relationships>
</file>

<file path=xl/workbook.xml><?xml version="1.0" encoding="utf-8"?>
<x:workbook xmlns:x="http://schemas.openxmlformats.org/spreadsheetml/2006/main">
  <x:sheets>
    <x:sheet xmlns:r="http://schemas.openxmlformats.org/officeDocument/2006/relationships" name="globalConfig" sheetId="1" r:id="Rc475fc9c0fe3458b"/>
  </x:sheets>
</x:workbook>
</file>

<file path=xl/comments1.xml><?xml version="1.0" encoding="utf-8"?>
<x:comments xmlns:x="http://schemas.openxmlformats.org/spreadsheetml/2006/main">
  <x:authors>
    <x:author>Administrator</x:author>
  </x:authors>
  <x:commentList>
    <x:comment ref="D16" authorId="0">
      <x:text>
        <x:r>
          <x:t>Administrator:
赢家抽3%，再次基础上再抽3333/10000返给房主</x:t>
        </x:r>
      </x:text>
    </x:comment>
    <x:comment ref="G18" authorId="0">
      <x:text>
        <x:r>
          <x:t>Administrator:
默认头像：默认头像框：默认国旗：默认头衔：默认筹码：默认牌背：默认大厅背景
不需要时填0，不要改变分割</x:t>
        </x:r>
      </x:text>
    </x:comment>
    <x:comment ref="E35" authorId="0">
      <x:text>
        <x:r>
          <x:t>Administrator:
奖池总量
总量 ÷ 平均中奖金额 = 中奖次数
1000000000 ÷ 718000 = 1392.7577
初始天数30天</x:t>
        </x:r>
      </x:text>
    </x:comment>
    <x:comment ref="C37" authorId="0">
      <x:text>
        <x:r>
          <x:t>Administrator:
修改此比例后，需要在多语言表中(67016)修正描述数值</x:t>
        </x:r>
      </x:text>
    </x:comment>
    <x:comment ref="B48" authorId="0">
      <x:text>
        <x:r>
          <x:t>Administrator:
机器人积分增长最大值 = 参数 * 总排名（300） / 100</x:t>
        </x:r>
      </x:text>
    </x:comment>
    <x:comment ref="C50" authorId="0">
      <x:text>
        <x:r>
          <x:t>Administrator:
为空时表示不开此活动</x:t>
        </x:r>
      </x:text>
    </x:comment>
    <x:comment ref="B51" authorId="0">
      <x:text>
        <x:r>
          <x:t>Administrator:
废弃</x:t>
        </x:r>
      </x:text>
    </x:comment>
    <x:comment ref="D52" authorId="0">
      <x:text>
        <x:r>
          <x:t>Administrator:
值为0表示不返利
</x:t>
        </x:r>
      </x:text>
    </x:comment>
    <x:comment ref="D53" authorId="0">
      <x:text>
        <x:r>
          <x:t>Administrator:
值为0表示不返利
</x:t>
        </x:r>
      </x:text>
    </x:comment>
    <x:comment ref="D54" authorId="0">
      <x:text>
        <x:r>
          <x:t>Administrator:
值为0表示不返利
</x:t>
        </x:r>
      </x:text>
    </x:comment>
    <x:comment ref="C56" authorId="0">
      <x:text>
        <x:r>
          <x:t>Administrator:
配置几月几号领取，就在当天可领取奖励</x:t>
        </x:r>
      </x:text>
    </x:comment>
    <x:comment ref="C65" authorId="0">
      <x:text>
        <x:r>
          <x:t>Administrator:
游戏大类_有效的游戏ID范围|……
1_-1|2_201000_200100|3_300400
【游戏大类】
1:slot类型游戏
2:押注类游戏
3:对战类游戏
【有效的游戏ID】
Warehouse表中的gameID
-1:此类型的所有游戏
100100：金矿大亨
……</x:t>
        </x:r>
      </x:text>
    </x:comment>
    <x:comment ref="D77" authorId="0">
      <x:text>
        <x:r>
          <x:t>Administrator:
1表示可以重复触发
-1表示不能触发</x:t>
        </x:r>
      </x:text>
    </x:comment>
    <x:comment ref="B90" authorId="0">
      <x:text>
        <x:r>
          <x:t>Administrator:
配置为空或0，表示不限次数</x:t>
        </x:r>
      </x:text>
    </x:comment>
  </x:commentList>
</x:comments>
</file>

<file path=xl/sharedStrings.xml><?xml version="1.0" encoding="utf-8"?>
<x:sst xmlns:x="http://schemas.openxmlformats.org/spreadsheetml/2006/main">
  <x:si>
    <x:t xml:space="preserve">sid</x:t>
  </x:si>
  <x:si>
    <x:t xml:space="preserve">值</x:t>
  </x:si>
  <x:si>
    <x:t xml:space="preserve">整形</x:t>
  </x:si>
  <x:si>
    <x:t xml:space="preserve">长整型</x:t>
  </x:si>
  <x:si>
    <x:t xml:space="preserve">布尔值</x:t>
  </x:si>
  <x:si>
    <x:t xml:space="preserve">备注</x:t>
  </x:si>
  <x:si>
    <x:t xml:space="preserve">int</x:t>
  </x:si>
  <x:si>
    <x:t xml:space="preserve">String</x:t>
  </x:si>
  <x:si>
    <x:t xml:space="preserve">long</x:t>
  </x:si>
  <x:si>
    <x:t xml:space="preserve">bool</x:t>
  </x:si>
  <x:si>
    <x:t xml:space="preserve">id</x:t>
  </x:si>
  <x:si>
    <x:t xml:space="preserve">value</x:t>
  </x:si>
  <x:si>
    <x:t xml:space="preserve">intValue</x:t>
  </x:si>
  <x:si>
    <x:t xml:space="preserve">longValue</x:t>
  </x:si>
  <x:si>
    <x:t xml:space="preserve">boolValue</x:t>
  </x:si>
  <x:si>
    <x:t xml:space="preserve">玩家最大等级</x:t>
  </x:si>
  <x:si>
    <x:t xml:space="preserve">基础经验倍率</x:t>
  </x:si>
  <x:si>
    <x:t xml:space="preserve">万分比</x:t>
  </x:si>
  <x:si>
    <x:t xml:space="preserve">基础流水倍率（打码量）</x:t>
  </x:si>
  <x:si>
    <x:t xml:space="preserve">商店价格显示转换</x:t>
  </x:si>
  <x:si>
    <x:t xml:space="preserve">表中值除以此值</x:t>
  </x:si>
  <x:si>
    <x:t xml:space="preserve">百家乐允许显示最多的房间数量</x:t>
  </x:si>
  <x:si>
    <x:t xml:space="preserve">优先显示最近创建的房间</x:t>
  </x:si>
  <x:si>
    <x:t xml:space="preserve">sweet win</x:t>
  </x:si>
  <x:si>
    <x:t xml:space="preserve">5,10</x:t>
  </x:si>
  <x:si>
    <x:t xml:space="preserve">slot中奖倍数大于押注倍数后触发大奖表现。此配置下限 &gt;= 【中奖金额 ÷ baseRoom表_单线押分 ÷ baseRoom表_押分系数】 &gt; 此配置范围时，展示表现</x:t>
  </x:si>
  <x:si>
    <x:t xml:space="preserve">big win</x:t>
  </x:si>
  <x:si>
    <x:t xml:space="preserve">10,20</x:t>
  </x:si>
  <x:si>
    <x:t xml:space="preserve">mega win</x:t>
  </x:si>
  <x:si>
    <x:t xml:space="preserve">20,30</x:t>
  </x:si>
  <x:si>
    <x:t xml:space="preserve">epic win</x:t>
  </x:si>
  <x:si>
    <x:t xml:space="preserve">30,50</x:t>
  </x:si>
  <x:si>
    <x:t xml:space="preserve">legendary win</x:t>
  </x:si>
  <x:si>
    <x:t xml:space="preserve">50,9999999</x:t>
  </x:si>
  <x:si>
    <x:t xml:space="preserve">押注桌面展示的筹码数量上限</x:t>
  </x:si>
  <x:si>
    <x:t xml:space="preserve">创建房间功能基础收益万分比</x:t>
  </x:si>
  <x:si>
    <x:t xml:space="preserve">每局结束从赢方获得的奖金中扣除此比例金额提供给创建房间的玩家</x:t>
  </x:si>
  <x:si>
    <x:t xml:space="preserve">创建房间-【邀请码每日0点重置后获得次数】</x:t>
  </x:si>
  <x:si>
    <x:t xml:space="preserve">默认装扮</x:t>
  </x:si>
  <x:si>
    <x:t xml:space="preserve">1:1001:2023:0:4001:5001:6001</x:t>
  </x:si>
  <x:si>
    <x:t xml:space="preserve">avatar表的ID</x:t>
  </x:si>
  <x:si>
    <x:t xml:space="preserve">牌局开启后需要的等待时间（分钟）</x:t>
  </x:si>
  <x:si>
    <x:t xml:space="preserve">最多连续坐庄次数</x:t>
  </x:si>
  <x:si>
    <x:t xml:space="preserve">我的赌场清除CD价值，每X秒需要Y钻石（道具ID_道具数量_单位时间秒）</x:t>
  </x:si>
  <x:si>
    <x:t xml:space="preserve">1980000_500_60</x:t>
  </x:si>
  <x:si>
    <x:t xml:space="preserve">钻石和金币等价，30000金币等于1$，设1分钟=0.02$=0.14￥=0.02*30000=600</x:t>
  </x:si>
  <x:si>
    <x:t xml:space="preserve">默认邮件有效期（秒）</x:t>
  </x:si>
  <x:si>
    <x:t xml:space="preserve">我的赌场购买一键领取的消耗（道具ID_道具数量_持续时间分钟）</x:t>
  </x:si>
  <x:si>
    <x:t xml:space="preserve">1980000_3000_1440</x:t>
  </x:si>
  <x:si>
    <x:t xml:space="preserve">钻石和金币等价，30000金币等于1$，设1分钟=0.001$=0.007￥=1*0.001*30000=30</x:t>
  </x:si>
  <x:si>
    <x:t xml:space="preserve">收藏游戏数量上限</x:t>
  </x:si>
  <x:si>
    <x:t xml:space="preserve">摇钱树活动增长金额</x:t>
  </x:si>
  <x:si>
    <x:t xml:space="preserve">0_12_5000_10000|12_24_5000_10000</x:t>
  </x:si>
  <x:si>
    <x:t xml:space="preserve">开始时间/时_结束时间/时（左闭右开）_每次增长值_每次增长下限|</x:t>
  </x:si>
  <x:si>
    <x:t xml:space="preserve">摇钱树活动增加频率</x:t>
  </x:si>
  <x:si>
    <x:t xml:space="preserve">2_1000</x:t>
  </x:si>
  <x:si>
    <x:t xml:space="preserve">增长间隔（秒）_增长触发概率万分比</x:t>
  </x:si>
  <x:si>
    <x:t xml:space="preserve">摇钱树活动当前奖金累计进入下一期的万分比比例</x:t>
  </x:si>
  <x:si>
    <x:t xml:space="preserve">摇钱树活动当玩家产生有效打码量的金额万分比进入奖池</x:t>
  </x:si>
  <x:si>
    <x:t xml:space="preserve">摇钱树活动每日免费获得一个祈福卡道具（重置时间跟随系统）</x:t>
  </x:si>
  <x:si>
    <x:t xml:space="preserve">1022501_1</x:t>
  </x:si>
  <x:si>
    <x:t xml:space="preserve">储钱罐：每次下注金币的万分比飞入储钱罐</x:t>
  </x:si>
  <x:si>
    <x:t xml:space="preserve">创建房间-房间销毁时房主获得实际准备金的万分比</x:t>
  </x:si>
  <x:si>
    <x:t xml:space="preserve">不得超过10000</x:t>
  </x:si>
  <x:si>
    <x:t xml:space="preserve">刮刮奖活动每次消耗道具数量</x:t>
  </x:si>
  <x:si>
    <x:t xml:space="preserve">1022502_1</x:t>
  </x:si>
  <x:si>
    <x:t xml:space="preserve">幸运夺宝能配置商品数量上限</x:t>
  </x:si>
  <x:si>
    <x:t xml:space="preserve">官方派奖每个转盘需求积分：初、中、高(字段废弃，配置移到ActivityConfig.xlsx)</x:t>
  </x:si>
  <x:si>
    <x:t xml:space="preserve">10_200_5000</x:t>
  </x:si>
  <x:si>
    <x:t xml:space="preserve">官方派奖转盘奖池金币数量（废弃，在活动配置表中配置）</x:t>
  </x:si>
  <x:si>
    <x:t xml:space="preserve">从OfficialAwards表中取平均中奖金额</x:t>
  </x:si>
  <x:si>
    <x:t xml:space="preserve">活动时间</x:t>
  </x:si>
  <x:si>
    <x:t xml:space="preserve">天</x:t>
  </x:si>
  <x:si>
    <x:t xml:space="preserve">毫秒</x:t>
  </x:si>
  <x:si>
    <x:t xml:space="preserve">官方派奖：有效下注转换积分比例 ：有效下注 = X积分(字段废弃)</x:t>
  </x:si>
  <x:si>
    <x:t xml:space="preserve">100000_1</x:t>
  </x:si>
  <x:si>
    <x:t xml:space="preserve">官方派奖：充值转换积分比例 ：充值金额（290,000 越南盾 = 1 积分 )</x:t>
  </x:si>
  <x:si>
    <x:t xml:space="preserve">1_10</x:t>
  </x:si>
  <x:si>
    <x:t xml:space="preserve">官方派奖：转盘1次数_转盘2次数_转盘3次数（真人抽奖后机器人跟着的抽奖次数，填10，表示玩家抽1次，机器人抽10次）</x:t>
  </x:si>
  <x:si>
    <x:t xml:space="preserve">1_1_1</x:t>
  </x:si>
  <x:si>
    <x:t xml:space="preserve">机器人奖池比例</x:t>
  </x:si>
  <x:si>
    <x:t xml:space="preserve">官方派奖：机器人中奖间隔（毫秒_权重|毫秒_权重）</x:t>
  </x:si>
  <x:si>
    <x:t xml:space="preserve">33600_1000|28000_1000|22400_1000|16800_1000|11200_1000</x:t>
  </x:si>
  <x:si>
    <x:t xml:space="preserve">平均中奖间隔</x:t>
  </x:si>
  <x:si>
    <x:t xml:space="preserve">共5档</x:t>
  </x:si>
  <x:si>
    <x:t xml:space="preserve">每档偏移</x:t>
  </x:si>
  <x:si>
    <x:t xml:space="preserve">每档时间</x:t>
  </x:si>
  <x:si>
    <x:t xml:space="preserve">积分大奖： 转盘每次消耗积分数</x:t>
  </x:si>
  <x:si>
    <x:t xml:space="preserve">积分大奖：上榜的最低积分要求(日榜、周榜ID110 ，月榜ID42)</x:t>
  </x:si>
  <x:si>
    <x:t xml:space="preserve">积分大奖：月总榜-上榜的最低积分要求</x:t>
  </x:si>
  <x:si>
    <x:t xml:space="preserve">积分大奖：每日转盘默认初始次数上限</x:t>
  </x:si>
  <x:si>
    <x:t xml:space="preserve">积分大奖：充值多少金额给一次转盘次数</x:t>
  </x:si>
  <x:si>
    <x:t xml:space="preserve">积分大奖：积分保底奖励（积分数量_奖励道具ID_奖励道具数量）</x:t>
  </x:si>
  <x:si>
    <x:t xml:space="preserve">300_1990000_25100|600_1990000_50200|1200_1990000_100400|2400_1990000_200900|3600_1990000_301300|4800_1990000_401800</x:t>
  </x:si>
  <x:si>
    <x:t xml:space="preserve">VIP充值：充值金额与经验转换比例(充值金额_获得vip经验，最低支持0.01_1，美元)</x:t>
  </x:si>
  <x:si>
    <x:t xml:space="preserve">1_30000</x:t>
  </x:si>
  <x:si>
    <x:t xml:space="preserve">积分大奖：实物奖励兑换码过期时间（天）</x:t>
  </x:si>
  <x:si>
    <x:t xml:space="preserve">目标积分</x:t>
  </x:si>
  <x:si>
    <x:t xml:space="preserve">积分大奖：占用榜单的机器人条件，触发的倒计时，单位秒【倒计时下限_倒计时上限_最小增长积分_前X名用机器人占榜】</x:t>
  </x:si>
  <x:si>
    <x:t xml:space="preserve">90_210_60_45</x:t>
  </x:si>
  <x:si>
    <x:t xml:space="preserve">目标积分 / （24*60/时间间隔分）*100/(总排名/MAX(1,(当前名次*(当前名次-1)))+总排名/当前名次) =增长积分</x:t>
  </x:si>
  <x:si>
    <x:t xml:space="preserve">名次</x:t>
  </x:si>
  <x:si>
    <x:t xml:space="preserve">积分大奖: 【日榜排行榜显示人数_周榜排行榜显示人数_月榜排行榜显示人数】</x:t>
  </x:si>
  <x:si>
    <x:t xml:space="preserve">300_50_10</x:t>
  </x:si>
  <x:si>
    <x:t xml:space="preserve">间隔</x:t>
  </x:si>
  <x:si>
    <x:t xml:space="preserve">新手奖励</x:t>
  </x:si>
  <x:si>
    <x:t xml:space="preserve">1990000_214300</x:t>
  </x:si>
  <x:si>
    <x:t xml:space="preserve">手机短信区号（印度、巴基斯坦、菲律宾、巴西、尼日利亚）废弃</x:t>
  </x:si>
  <x:si>
    <x:t xml:space="preserve">‌91_92_63_55_234</x:t>
  </x:si>
  <x:si>
    <x:t xml:space="preserve">VIP充值返利给金币时的金币数量，金币数量 = 返利金额 * 此值</x:t>
  </x:si>
  <x:si>
    <x:t xml:space="preserve">推广分享给金币时的金币数量，金币数量 = 返利金额 * 此值</x:t>
  </x:si>
  <x:si>
    <x:t xml:space="preserve">VIP充值返利给钻石时的钻石数量，钻石数量 = 返利金额 * 此值</x:t>
  </x:si>
  <x:si>
    <x:t xml:space="preserve">幸运夺宝开奖时间(秒)</x:t>
  </x:si>
  <x:si>
    <x:t xml:space="preserve">VIP季度奖励领取时间(月份1日期1_月份2日期2_月份3日期3_月份4日期4)</x:t>
  </x:si>
  <x:si>
    <x:t xml:space="preserve">0331_0630_0930_1231</x:t>
  </x:si>
  <x:si>
    <x:t xml:space="preserve">推广分享链接及宣传图</x:t>
  </x:si>
  <x:si>
    <x:t xml:space="preserve">https://aws-s3-jjg-asset-bucket.s3.ap-southeast-1.amazonaws.com/tanchuang_res/english/tc_sc_1.png</x:t>
  </x:si>
  <x:si>
    <x:t xml:space="preserve">隐私政策链接</x:t>
  </x:si>
  <x:si>
    <x:t xml:space="preserve">https://chat.kinghush.com/privacy.html</x:t>
  </x:si>
  <x:si>
    <x:t xml:space="preserve">推广分享：分享1人得固定奖励</x:t>
  </x:si>
  <x:si>
    <x:t xml:space="preserve">1990000_210000</x:t>
  </x:si>
  <x:si>
    <x:t xml:space="preserve">推广分享：二维码图片配置(该资源放在资源服务器实时下载显示的)</x:t>
  </x:si>
  <x:si>
    <x:t xml:space="preserve">ShareQRCode/QR_Code001.png</x:t>
  </x:si>
  <x:si>
    <x:t xml:space="preserve">推广分享：周榜上榜条件设置(收益数量)</x:t>
  </x:si>
  <x:si>
    <x:t xml:space="preserve">1990000_7500000</x:t>
  </x:si>
  <x:si>
    <x:t xml:space="preserve">推广分享：有效用户达标条件（有效下注累计_数值|累计充值_数值）</x:t>
  </x:si>
  <x:si>
    <x:t xml:space="preserve">AND(totalValidBets(4200000),totalRecharge(10,0))</x:t>
  </x:si>
  <x:si>
    <x:t xml:space="preserve">财富轮盘：昨日输的金币兑换为积分的比例（昨日所输金币_获得积分）</x:t>
  </x:si>
  <x:si>
    <x:t xml:space="preserve">50_1</x:t>
  </x:si>
  <x:si>
    <x:t xml:space="preserve">财富轮盘：每次抽奖所消耗的积分</x:t>
  </x:si>
  <x:si>
    <x:t xml:space="preserve">财富轮盘：指定游戏内的打码才可以转为积分，填游戏范围</x:t>
  </x:si>
  <x:si>
    <x:t xml:space="preserve">1_-1</x:t>
  </x:si>
  <x:si>
    <x:t xml:space="preserve">买一送七：限购时间，单位秒，活动开始后到此倒计时结束之间才能付费参与活动</x:t>
  </x:si>
  <x:si>
    <x:t xml:space="preserve">摇钱树奖池保底：当摇钱树奖池金额低于此值时，始终不中奖</x:t>
  </x:si>
  <x:si>
    <x:t xml:space="preserve">货币文本符号，服务器发个前端放在货币数值前面</x:t>
  </x:si>
  <x:si>
    <x:t xml:space="preserve">$</x:t>
  </x:si>
  <x:si>
    <x:t xml:space="preserve">幸运夺宝：商品价值货币的图标</x:t>
  </x:si>
  <x:si>
    <x:t xml:space="preserve">jinbi_11.png</x:t>
  </x:si>
  <x:si>
    <x:t xml:space="preserve">幸运夺宝：抢购商品所需要的道具ID(仅在界面左上角处显示的抢购消耗道具的信息)</x:t>
  </x:si>
  <x:si>
    <x:t xml:space="preserve">积分大奖：上榜的最低积分要求(周榜)</x:t>
  </x:si>
  <x:si>
    <x:t xml:space="preserve">机器人最低准入倍数放大基数：用于选择机器人的携带金额，机器人携带金额= 游戏最小准入金额× 此倍数</x:t>
  </x:si>
  <x:si>
    <x:t xml:space="preserve">创建房间-Slot游戏新增超时提出的倒计时，单位毫秒</x:t>
  </x:si>
  <x:si>
    <x:t xml:space="preserve">活动-分享按钮：活动参与条件，不满足时分享失败|奖励道具ID_道具数量|每天账号领取次数_相同设备最多领取次数_注册IP地址领取次数_登录IP地址领取次数|领取奖励条件</x:t>
  </x:si>
  <x:si>
    <x:t xml:space="preserve">bindPhone()|1970000_100000|1_5_20_100|accountTotalRecharge(0)</x:t>
  </x:si>
  <x:si>
    <x:t xml:space="preserve">创建房间-房间时间上限，房间时长不能超过此值，单位：小时</x:t>
  </x:si>
  <x:si>
    <x:t xml:space="preserve">截图分享-在slot游戏中中奖达到多少倍触发截图分享</x:t>
  </x:si>
  <x:si>
    <x:t xml:space="preserve">截图分享-在slot游戏中同一房间获得X倍奖励是否重复触发截图分享（在当日分享次数足够时）</x:t>
  </x:si>
  <x:si>
    <x:t xml:space="preserve">截图分享-在slot游戏中同一用户每日最多触发多少次截图分享</x:t>
  </x:si>
  <x:si>
    <x:t xml:space="preserve">充值挑战活动：福利中充值返利的金币数量=预算价值*此值</x:t>
  </x:si>
  <x:si>
    <x:t xml:space="preserve">礼包码输入错误后需要等待的时间（单位：秒）</x:t>
  </x:si>
  <x:si>
    <x:t xml:space="preserve">充值引导：点击充值引导图标，跳转客服链接</x:t>
  </x:si>
  <x:si>
    <x:t xml:space="preserve">https://j5wxcf.7mmon3ss.com/chatwindow.aspx?siteId=65002831&amp;planId=c245fbe6-4ec5-46d6-8542-657f871cc0b3</x:t>
  </x:si>
  <x:si>
    <x:t xml:space="preserve">机器人跑马灯开关以及机器人跑马灯读取runninglight中数据间隔时间（毫秒）</x:t>
  </x:si>
  <x:si>
    <x:t xml:space="preserve">免费旋转转盘抽奖结果控制（第一次抽奖的范围，万分比）、后续获得比例万分比</x:t>
  </x:si>
  <x:si>
    <x:t xml:space="preserve">8000_9000|7537</x:t>
  </x:si>
  <x:si>
    <x:t xml:space="preserve">免费旋转分享转盘人数、游戏流水（游戏下注）、充值金额与人数要求（达到充值金额）</x:t>
  </x:si>
  <x:si>
    <x:t xml:space="preserve">6|179000|1|1</x:t>
  </x:si>
  <x:si>
    <x:t xml:space="preserve">免费旋转活动用户在每轮抽奖中需要达到的目标金额</x:t>
  </x:si>
  <x:si>
    <x:t xml:space="preserve">免费旋转活动用户每轮抽奖持续的时间（单位：小时）</x:t>
  </x:si>
  <x:si>
    <x:t xml:space="preserve">免费旋转活动被推广用户的流水游戏范围</x:t>
  </x:si>
  <x:si>
    <x:t xml:space="preserve">广告：奖励收益倍数(必随机一个倍数)</x:t>
  </x:si>
  <x:si>
    <x:t xml:space="preserve">1.5_2000|2_2000|3_3000</x:t>
  </x:si>
  <x:si>
    <x:t xml:space="preserve">广告：看一次广告清除的时间(分)</x:t>
  </x:si>
  <x:si>
    <x:t xml:space="preserve">广告：建筑每次升级看广告次数</x:t>
  </x:si>
  <x:si>
    <x:t xml:space="preserve">游客在赌场中设备的交互时间（秒）</x:t>
  </x:si>
  <x:si>
    <x:t xml:space="preserve">赌场信息：游戏总数量 (赌场ID_游戏ID|赌场ID_游戏ID)</x:t>
  </x:si>
  <x:si>
    <x:t xml:space="preserve">1_100100_100200_100300</x:t>
  </x:si>
  <x:si>
    <x:t xml:space="preserve">赌场信息：雇员总数量 (赌场ID_雇员总数量|赌场ID_雇员总数量)</x:t>
  </x:si>
  <x:si>
    <x:t xml:space="preserve">赌场信息：容纳游客总数 (赌场ID_游客总数量|赌场ID_游客总数量)</x:t>
  </x:si>
  <x:si>
    <x:t xml:space="preserve">1_200</x:t>
  </x:si>
  <x:si>
    <x:t xml:space="preserve">建筑：建造加速道具ID</x:t>
  </x:si>
  <x:si>
    <x:t xml:space="preserve">联盟：联盟的创建条件：需要用户达到的等级数</x:t>
  </x:si>
  <x:si>
    <x:t xml:space="preserve">联盟：创建联盟需要消耗的道具与数量</x:t>
  </x:si>
  <x:si>
    <x:t xml:space="preserve">1980000_200</x:t>
  </x:si>
  <x:si>
    <x:t xml:space="preserve">联盟：联盟任务列表中任务条数上限</x:t>
  </x:si>
  <x:si>
    <x:t xml:space="preserve">联盟：用户每日完成联盟任务的次数上限</x:t>
  </x:si>
  <x:si>
    <x:t xml:space="preserve">联盟：用户建筑加速每日被帮助次数上限</x:t>
  </x:si>
  <x:si>
    <x:t xml:space="preserve">联盟：用户每日给盟友可提供的加速次数上限</x:t>
  </x:si>
  <x:si>
    <x:t xml:space="preserve">联盟：用户的建筑被帮助加速一次可减少的时间（分钟）</x:t>
  </x:si>
  <x:si>
    <x:t xml:space="preserve">联盟：用户帮助求助者一次可获得的贡献值数量</x:t>
  </x:si>
  <x:si>
    <x:t xml:space="preserve">联盟：用户每日捐献的次数</x:t>
  </x:si>
  <x:si>
    <x:t xml:space="preserve">联盟：用户用于捐献的物品和数量</x:t>
  </x:si>
  <x:si>
    <x:t xml:space="preserve">1980000_0,20,30,40,50</x:t>
  </x:si>
  <x:si>
    <x:t xml:space="preserve">联盟：用户捐献后获得的贡献值奖励数量</x:t>
  </x:si>
  <x:si>
    <x:t xml:space="preserve">拜访：点赞一次可以获得的人气值（被点赞的玩家）</x:t>
  </x:si>
  <x:si>
    <x:t xml:space="preserve">拜访：留言一条可以获得的人气值（被留言的玩家）</x:t>
  </x:si>
  <x:si>
    <x:t xml:space="preserve">拜访：试玩一次slot游戏可以获得人气值（房主）</x:t>
  </x:si>
  <x:si>
    <x:t xml:space="preserve">拜访：每天可以获得的人气值上限</x:t>
  </x:si>
  <x:si>
    <x:t xml:space="preserve">拜访：每日可以试玩slot的次数</x:t>
  </x:si>
  <x:si>
    <x:t xml:space="preserve">拜访：用户在试玩slot游戏中，获胜时被抽取的比例（百分比）</x:t>
  </x:si>
  <x:si>
    <x:t xml:space="preserve">多人任务：用户每日最多领取任务次数</x:t>
  </x:si>
  <x:si>
    <x:t xml:space="preserve">多人任务：任务列表中每日从任务池中随机抽取任务的个数</x:t>
  </x:si>
  <x:si>
    <x:t xml:space="preserve">多人任务：刷新任务列表所需要的道具及数量</x:t>
  </x:si>
  <x:si>
    <x:t xml:space="preserve">1980000_50</x:t>
  </x:si>
  <x:si>
    <x:t xml:space="preserve">好友聊天：每日赠送礼物详情</x:t>
  </x:si>
  <x:si>
    <x:t xml:space="preserve">1980000_10_1_50</x:t>
  </x:si>
  <x:si>
    <x:t xml:space="preserve">物品id_物品数量_赠送次数上限_赠送人数上限</x:t>
  </x:si>
  <x:si>
    <x:t xml:space="preserve">联盟：用户捐献后获得的声誉值奖励数量</x:t>
  </x:si>
</x:sst>
</file>

<file path=xl/styles.xml><?xml version="1.0" encoding="utf-8"?>
<x:styleSheet xmlns:x="http://schemas.openxmlformats.org/spreadsheetml/2006/main">
  <x:numFmts count="5">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 numFmtId="176" formatCode="0_ "/>
  </x:numFmts>
  <x:fonts count="31">
    <x:font>
      <x:sz val="11"/>
      <x:color theme="1"/>
      <x:name val="等线"/>
    </x:font>
    <x:font>
      <x:sz val="11"/>
      <x:color theme="1"/>
      <x:name val="微软雅黑"/>
    </x:font>
    <x:font>
      <x:sz val="11"/>
      <x:color theme="0" tint="-0.24998"/>
      <x:name val="微软雅黑"/>
    </x:font>
    <x:font>
      <x:sz val="11"/>
      <x:name val="微软雅黑"/>
    </x:font>
    <x:font>
      <x:sz val="10"/>
      <x:color theme="1"/>
      <x:name val="微软雅黑"/>
    </x:font>
    <x:font>
      <x:b/>
      <x:sz val="11"/>
      <x:color rgb="FFFF0000"/>
      <x:name val="微软雅黑"/>
    </x:font>
    <x:font>
      <x:sz val="11"/>
      <x:color rgb="FFFF0000"/>
      <x:name val="微软雅黑"/>
    </x:font>
    <x:font>
      <x:b/>
      <x:sz val="11"/>
      <x:color theme="2"/>
      <x:name val="微软雅黑"/>
    </x:font>
    <x:font>
      <x:sz val="11"/>
      <x:color theme="0" tint="-0.24998"/>
      <x:name val="Times New Roman"/>
    </x:font>
    <x:font>
      <x:sz val="10"/>
      <x:color theme="0" tint="-0.24998"/>
      <x:name val="Arial"/>
    </x:font>
    <x:font>
      <x:sz val="11"/>
      <x:color rgb="FF0000FF"/>
      <x:name val="等线"/>
    </x:font>
    <x:font>
      <x:sz val="11"/>
      <x:color rgb="FF800080"/>
      <x:name val="等线"/>
    </x:font>
    <x:font>
      <x:sz val="11"/>
      <x:color rgb="FFFF0000"/>
      <x:name val="等线"/>
    </x:font>
    <x:font>
      <x:b/>
      <x:sz val="18"/>
      <x:color theme="3"/>
      <x:name val="等线"/>
    </x:font>
    <x:font>
      <x:i/>
      <x:sz val="11"/>
      <x:color rgb="FF7F7F7F"/>
      <x:name val="等线"/>
    </x:font>
    <x:font>
      <x:b/>
      <x:sz val="15"/>
      <x:color theme="3"/>
      <x:name val="等线"/>
    </x:font>
    <x:font>
      <x:b/>
      <x:sz val="13"/>
      <x:color theme="3"/>
      <x:name val="等线"/>
    </x:font>
    <x:font>
      <x:b/>
      <x:sz val="11"/>
      <x:color theme="3"/>
      <x:name val="等线"/>
    </x:font>
    <x:font>
      <x:sz val="11"/>
      <x:color rgb="FF3F3F76"/>
      <x:name val="等线"/>
    </x:font>
    <x:font>
      <x:b/>
      <x:sz val="11"/>
      <x:color rgb="FF3F3F3F"/>
      <x:name val="等线"/>
    </x:font>
    <x:font>
      <x:b/>
      <x:sz val="11"/>
      <x:color rgb="FFFA7D00"/>
      <x:name val="等线"/>
    </x:font>
    <x:font>
      <x:b/>
      <x:sz val="11"/>
      <x:color rgb="FFFFFFFF"/>
      <x:name val="等线"/>
    </x:font>
    <x:font>
      <x:sz val="11"/>
      <x:color rgb="FFFA7D00"/>
      <x:name val="等线"/>
    </x:font>
    <x:font>
      <x:b/>
      <x:sz val="11"/>
      <x:color theme="1"/>
      <x:name val="等线"/>
    </x:font>
    <x:font>
      <x:sz val="11"/>
      <x:color rgb="FF006100"/>
      <x:name val="等线"/>
    </x:font>
    <x:font>
      <x:sz val="11"/>
      <x:color rgb="FF9C0006"/>
      <x:name val="等线"/>
    </x:font>
    <x:font>
      <x:sz val="11"/>
      <x:color rgb="FF9C6500"/>
      <x:name val="等线"/>
    </x:font>
    <x:font>
      <x:sz val="11"/>
      <x:color theme="0"/>
      <x:name val="等线"/>
    </x:font>
    <x:font>
      <x:sz val="11"/>
      <x:color theme="1"/>
      <x:name val="等线"/>
    </x:font>
    <x:font>
      <x:b/>
      <x:sz val="9"/>
      <x:name val="宋体"/>
    </x:font>
    <x:font>
      <x:sz val="9"/>
      <x:name val="宋体"/>
    </x:font>
  </x:fonts>
  <x:fills count="38">
    <x:fill>
      <x:patternFill patternType="none"/>
    </x:fill>
    <x:fill>
      <x:patternFill patternType="gray125"/>
    </x:fill>
    <x:fill>
      <x:patternFill patternType="solid">
        <x:fgColor theme="9" tint="0.8"/>
      </x:patternFill>
    </x:fill>
    <x:fill>
      <x:patternFill patternType="solid">
        <x:fgColor theme="8" tint="0.8"/>
      </x:patternFill>
    </x:fill>
    <x:fill>
      <x:patternFill patternType="solid">
        <x:fgColor theme="5" tint="0.4"/>
      </x:patternFill>
    </x:fill>
    <x:fill>
      <x:patternFill patternType="solid">
        <x:fgColor theme="7" tint="0.4"/>
      </x:patternFill>
    </x:fill>
    <x:fill>
      <x:patternFill patternType="solid">
        <x:fgColor theme="5" tint="0.8"/>
      </x:patternFill>
    </x:fill>
    <x:fill>
      <x:patternFill patternType="solid">
        <x:fgColor theme="5" tint="0.79998"/>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s>
  <x:borders count="10">
    <x:border/>
    <x:border>
      <x:left style="thin">
        <x:color rgb="FFDEE0E3"/>
      </x:left>
      <x:right style="thin">
        <x:color rgb="FFDEE0E3"/>
      </x:right>
      <x:top style="thin">
        <x:color rgb="FFDEE0E3"/>
      </x:top>
      <x:bottom style="thin">
        <x:color rgb="FFDEE0E3"/>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49">
    <x:xf numFmtId="0" fontId="0" fillId="0" borderId="0"/>
    <x:xf numFmtId="43" fontId="0" fillId="0" borderId="0" applyFont="0" applyFill="0" applyBorder="0" applyAlignment="0" applyProtection="0">
      <x:alignment vertical="center"/>
    </x:xf>
    <x:xf numFmtId="44" fontId="0" fillId="0" borderId="0" applyFont="0" applyFill="0" applyBorder="0" applyAlignment="0" applyProtection="0">
      <x:alignment vertical="center"/>
    </x:xf>
    <x:xf numFmtId="9" fontId="0" fillId="0" borderId="0" applyFont="0" applyFill="0" applyBorder="0" applyAlignment="0" applyProtection="0">
      <x:alignment vertical="center"/>
    </x:xf>
    <x:xf numFmtId="41" fontId="0" fillId="0" borderId="0" applyFont="0" applyFill="0" applyBorder="0" applyAlignment="0" applyProtection="0">
      <x:alignment vertical="center"/>
    </x:xf>
    <x:xf numFmtId="42" fontId="0" fillId="0" borderId="0" applyFont="0" applyFill="0" applyBorder="0" applyAlignment="0" applyProtection="0">
      <x:alignment vertical="center"/>
    </x:xf>
    <x:xf numFmtId="0" fontId="10" fillId="0" borderId="0" applyNumberFormat="0" applyFill="0" applyBorder="0" applyAlignment="0" applyProtection="0">
      <x:alignment vertical="center"/>
    </x:xf>
    <x:xf numFmtId="0" fontId="11" fillId="0" borderId="0" applyNumberFormat="0" applyFill="0" applyBorder="0" applyAlignment="0" applyProtection="0">
      <x:alignment vertical="center"/>
    </x:xf>
    <x:xf numFmtId="0" fontId="0" fillId="8" borderId="2" applyNumberFormat="0" applyFont="0" applyAlignment="0" applyProtection="0">
      <x:alignment vertical="center"/>
    </x:xf>
    <x:xf numFmtId="0" fontId="12" fillId="0" borderId="0" applyNumberFormat="0" applyFill="0" applyBorder="0" applyAlignment="0" applyProtection="0">
      <x:alignment vertical="center"/>
    </x:xf>
    <x:xf numFmtId="0" fontId="13" fillId="0" borderId="0" applyNumberFormat="0" applyFill="0" applyBorder="0" applyAlignment="0" applyProtection="0">
      <x:alignment vertical="center"/>
    </x:xf>
    <x:xf numFmtId="0" fontId="14" fillId="0" borderId="0" applyNumberFormat="0" applyFill="0" applyBorder="0" applyAlignment="0" applyProtection="0">
      <x:alignment vertical="center"/>
    </x:xf>
    <x:xf numFmtId="0" fontId="15" fillId="0" borderId="3" applyNumberFormat="0" applyFill="0" applyAlignment="0" applyProtection="0">
      <x:alignment vertical="center"/>
    </x:xf>
    <x:xf numFmtId="0" fontId="16" fillId="0" borderId="3" applyNumberFormat="0" applyFill="0" applyAlignment="0" applyProtection="0">
      <x:alignment vertical="center"/>
    </x:xf>
    <x:xf numFmtId="0" fontId="17" fillId="0" borderId="4" applyNumberFormat="0" applyFill="0" applyAlignment="0" applyProtection="0">
      <x:alignment vertical="center"/>
    </x:xf>
    <x:xf numFmtId="0" fontId="17" fillId="0" borderId="0" applyNumberFormat="0" applyFill="0" applyBorder="0" applyAlignment="0" applyProtection="0">
      <x:alignment vertical="center"/>
    </x:xf>
    <x:xf numFmtId="0" fontId="18" fillId="9" borderId="5" applyNumberFormat="0" applyAlignment="0" applyProtection="0">
      <x:alignment vertical="center"/>
    </x:xf>
    <x:xf numFmtId="0" fontId="19" fillId="10" borderId="6" applyNumberFormat="0" applyAlignment="0" applyProtection="0">
      <x:alignment vertical="center"/>
    </x:xf>
    <x:xf numFmtId="0" fontId="20" fillId="10" borderId="5" applyNumberFormat="0" applyAlignment="0" applyProtection="0">
      <x:alignment vertical="center"/>
    </x:xf>
    <x:xf numFmtId="0" fontId="21" fillId="11" borderId="7" applyNumberFormat="0" applyAlignment="0" applyProtection="0">
      <x:alignment vertical="center"/>
    </x:xf>
    <x:xf numFmtId="0" fontId="22" fillId="0" borderId="8" applyNumberFormat="0" applyFill="0" applyAlignment="0" applyProtection="0">
      <x:alignment vertical="center"/>
    </x:xf>
    <x:xf numFmtId="0" fontId="23" fillId="0" borderId="9" applyNumberFormat="0" applyFill="0" applyAlignment="0" applyProtection="0">
      <x:alignment vertical="center"/>
    </x:xf>
    <x:xf numFmtId="0" fontId="24" fillId="12" borderId="0" applyNumberFormat="0" applyBorder="0" applyAlignment="0" applyProtection="0">
      <x:alignment vertical="center"/>
    </x:xf>
    <x:xf numFmtId="0" fontId="25" fillId="13" borderId="0" applyNumberFormat="0" applyBorder="0" applyAlignment="0" applyProtection="0">
      <x:alignment vertical="center"/>
    </x:xf>
    <x:xf numFmtId="0" fontId="26" fillId="14" borderId="0" applyNumberFormat="0" applyBorder="0" applyAlignment="0" applyProtection="0">
      <x:alignment vertical="center"/>
    </x:xf>
    <x:xf numFmtId="0" fontId="27" fillId="15" borderId="0" applyNumberFormat="0" applyBorder="0" applyAlignment="0" applyProtection="0">
      <x:alignment vertical="center"/>
    </x:xf>
    <x:xf numFmtId="0" fontId="28" fillId="16" borderId="0" applyNumberFormat="0" applyBorder="0" applyAlignment="0" applyProtection="0">
      <x:alignment vertical="center"/>
    </x:xf>
    <x:xf numFmtId="0" fontId="28" fillId="17" borderId="0" applyNumberFormat="0" applyBorder="0" applyAlignment="0" applyProtection="0">
      <x:alignment vertical="center"/>
    </x:xf>
    <x:xf numFmtId="0" fontId="27" fillId="18" borderId="0" applyNumberFormat="0" applyBorder="0" applyAlignment="0" applyProtection="0">
      <x:alignment vertical="center"/>
    </x:xf>
    <x:xf numFmtId="0" fontId="27" fillId="19" borderId="0" applyNumberFormat="0" applyBorder="0" applyAlignment="0" applyProtection="0">
      <x:alignment vertical="center"/>
    </x:xf>
    <x:xf numFmtId="0" fontId="28" fillId="7" borderId="0" applyNumberFormat="0" applyBorder="0" applyAlignment="0" applyProtection="0">
      <x:alignment vertical="center"/>
    </x:xf>
    <x:xf numFmtId="0" fontId="28" fillId="20" borderId="0" applyNumberFormat="0" applyBorder="0" applyAlignment="0" applyProtection="0">
      <x:alignment vertical="center"/>
    </x:xf>
    <x:xf numFmtId="0" fontId="27" fillId="21" borderId="0" applyNumberFormat="0" applyBorder="0" applyAlignment="0" applyProtection="0">
      <x:alignment vertical="center"/>
    </x:xf>
    <x:xf numFmtId="0" fontId="27" fillId="22" borderId="0" applyNumberFormat="0" applyBorder="0" applyAlignment="0" applyProtection="0">
      <x:alignment vertical="center"/>
    </x:xf>
    <x:xf numFmtId="0" fontId="28" fillId="23" borderId="0" applyNumberFormat="0" applyBorder="0" applyAlignment="0" applyProtection="0">
      <x:alignment vertical="center"/>
    </x:xf>
    <x:xf numFmtId="0" fontId="28" fillId="24" borderId="0" applyNumberFormat="0" applyBorder="0" applyAlignment="0" applyProtection="0">
      <x:alignment vertical="center"/>
    </x:xf>
    <x:xf numFmtId="0" fontId="27" fillId="25" borderId="0" applyNumberFormat="0" applyBorder="0" applyAlignment="0" applyProtection="0">
      <x:alignment vertical="center"/>
    </x:xf>
    <x:xf numFmtId="0" fontId="27" fillId="26" borderId="0" applyNumberFormat="0" applyBorder="0" applyAlignment="0" applyProtection="0">
      <x:alignment vertical="center"/>
    </x:xf>
    <x:xf numFmtId="0" fontId="28" fillId="27" borderId="0" applyNumberFormat="0" applyBorder="0" applyAlignment="0" applyProtection="0">
      <x:alignment vertical="center"/>
    </x:xf>
    <x:xf numFmtId="0" fontId="28" fillId="28" borderId="0" applyNumberFormat="0" applyBorder="0" applyAlignment="0" applyProtection="0">
      <x:alignment vertical="center"/>
    </x:xf>
    <x:xf numFmtId="0" fontId="27" fillId="29" borderId="0" applyNumberFormat="0" applyBorder="0" applyAlignment="0" applyProtection="0">
      <x:alignment vertical="center"/>
    </x:xf>
    <x:xf numFmtId="0" fontId="27" fillId="30" borderId="0" applyNumberFormat="0" applyBorder="0" applyAlignment="0" applyProtection="0">
      <x:alignment vertical="center"/>
    </x:xf>
    <x:xf numFmtId="0" fontId="28" fillId="31" borderId="0" applyNumberFormat="0" applyBorder="0" applyAlignment="0" applyProtection="0">
      <x:alignment vertical="center"/>
    </x:xf>
    <x:xf numFmtId="0" fontId="28" fillId="32" borderId="0" applyNumberFormat="0" applyBorder="0" applyAlignment="0" applyProtection="0">
      <x:alignment vertical="center"/>
    </x:xf>
    <x:xf numFmtId="0" fontId="27" fillId="33" borderId="0" applyNumberFormat="0" applyBorder="0" applyAlignment="0" applyProtection="0">
      <x:alignment vertical="center"/>
    </x:xf>
    <x:xf numFmtId="0" fontId="27" fillId="34" borderId="0" applyNumberFormat="0" applyBorder="0" applyAlignment="0" applyProtection="0">
      <x:alignment vertical="center"/>
    </x:xf>
    <x:xf numFmtId="0" fontId="28" fillId="35" borderId="0" applyNumberFormat="0" applyBorder="0" applyAlignment="0" applyProtection="0">
      <x:alignment vertical="center"/>
    </x:xf>
    <x:xf numFmtId="0" fontId="28" fillId="36" borderId="0" applyNumberFormat="0" applyBorder="0" applyAlignment="0" applyProtection="0">
      <x:alignment vertical="center"/>
    </x:xf>
    <x:xf numFmtId="0" fontId="27" fillId="37" borderId="0" applyNumberFormat="0" applyBorder="0" applyAlignment="0" applyProtection="0">
      <x:alignment vertical="center"/>
    </x:xf>
  </x:cellStyleXfs>
  <x:cellXfs count="42">
    <x:xf numFmtId="0" fontId="0" fillId="0" borderId="0" xfId="0"/>
    <x:xf numFmtId="0" fontId="1" fillId="2" borderId="0" xfId="0" applyFont="1" applyFill="1"/>
    <x:xf numFmtId="0" fontId="2" fillId="0" borderId="0" xfId="0" applyFont="1"/>
    <x:xf numFmtId="0" fontId="3" fillId="0" borderId="0" xfId="0" applyFont="1"/>
    <x:xf numFmtId="0" fontId="1" fillId="3" borderId="0" xfId="0" applyFont="1" applyFill="1"/>
    <x:xf numFmtId="0" fontId="1" fillId="4" borderId="0" xfId="0" applyFont="1" applyFill="1"/>
    <x:xf numFmtId="0" fontId="1" fillId="5" borderId="0" xfId="0" applyFont="1" applyFill="1"/>
    <x:xf numFmtId="0" fontId="1" fillId="6" borderId="0" xfId="0" applyFont="1" applyFill="1"/>
    <x:xf numFmtId="0" fontId="1" fillId="0" borderId="0" xfId="0" applyFont="1"/>
    <x:xf numFmtId="0" fontId="1" fillId="0" borderId="1" xfId="0" applyFont="1" applyBorder="1" applyAlignment="1">
      <x:alignment horizontal="left" vertical="center"/>
    </x:xf>
    <x:xf numFmtId="0" fontId="1" fillId="0" borderId="1" xfId="0" applyFont="1" applyBorder="1" applyAlignment="1">
      <x:alignment vertical="center"/>
    </x:xf>
    <x:xf numFmtId="0" fontId="4" fillId="0" borderId="1" xfId="0" applyFont="1" applyBorder="1" applyAlignment="1">
      <x:alignment vertical="center"/>
    </x:xf>
    <x:xf numFmtId="0" fontId="1" fillId="0" borderId="0" xfId="0" applyFont="1" applyAlignment="1">
      <x:alignment vertical="center"/>
    </x:xf>
    <x:xf numFmtId="0" fontId="1" fillId="0" borderId="0" xfId="0" applyFont="1" applyAlignment="1">
      <x:alignment horizontal="left" vertical="center"/>
    </x:xf>
    <x:xf numFmtId="0" fontId="5" fillId="0" borderId="0" xfId="0" applyFont="1" applyAlignment="1">
      <x:alignment vertical="center"/>
    </x:xf>
    <x:xf numFmtId="3" fontId="1" fillId="0" borderId="0" xfId="0" applyNumberFormat="1" applyFont="1" applyAlignment="1">
      <x:alignment vertical="center"/>
    </x:xf>
    <x:xf numFmtId="20" fontId="1" fillId="0" borderId="0" xfId="0" applyNumberFormat="1" applyFont="1"/>
    <x:xf numFmtId="0" fontId="6" fillId="2" borderId="0" xfId="0" applyFont="1" applyFill="1"/>
    <x:xf numFmtId="0" fontId="1" fillId="0" borderId="0" xfId="0" applyFont="1" applyAlignment="1">
      <x:alignment horizontal="left"/>
    </x:xf>
    <x:xf numFmtId="0" fontId="2" fillId="7" borderId="0" xfId="0" applyFont="1" applyFill="1"/>
    <x:xf numFmtId="0" fontId="7" fillId="0" borderId="0" xfId="0" applyFont="1"/>
    <x:xf numFmtId="0" fontId="1" fillId="7" borderId="0" xfId="0" applyFont="1" applyFill="1"/>
    <x:xf numFmtId="0" fontId="5" fillId="6" borderId="0" xfId="0" applyFont="1" applyFill="1" applyAlignment="1"/>
    <x:xf numFmtId="0" fontId="3" fillId="7" borderId="0" xfId="0" applyFont="1" applyFill="1"/>
    <x:xf numFmtId="176" fontId="1" fillId="0" borderId="0" xfId="0" applyNumberFormat="1" applyFont="1"/>
    <x:xf numFmtId="9" fontId="1" fillId="0" borderId="0" xfId="0" applyNumberFormat="1" applyFont="1"/>
    <x:xf numFmtId="0" fontId="5" fillId="3" borderId="0" xfId="0" applyFont="1" applyFill="1"/>
    <x:xf numFmtId="0" fontId="5" fillId="4" borderId="0" xfId="0" applyFont="1" applyFill="1"/>
    <x:xf numFmtId="0" fontId="1" fillId="0" borderId="0" xfId="0" applyFont="1" applyFill="1" applyAlignment="1"/>
    <x:xf numFmtId="0" fontId="8" fillId="0" borderId="0" xfId="0" applyFont="1"/>
    <x:xf numFmtId="0" fontId="6" fillId="4" borderId="0" xfId="0" applyFont="1" applyFill="1"/>
    <x:xf numFmtId="0" fontId="6" fillId="5" borderId="0" xfId="0" applyFont="1" applyFill="1"/>
    <x:xf numFmtId="0" fontId="9" fillId="0" borderId="0" xfId="0" applyFont="1"/>
    <x:xf numFmtId="0" fontId="10" fillId="0" borderId="0" xfId="6" applyAlignment="1"/>
    <x:xf numFmtId="0" fontId="5" fillId="5" borderId="0" xfId="0" applyFont="1" applyFill="1"/>
    <x:xf numFmtId="0" fontId="5" fillId="6" borderId="0" xfId="0" applyFont="1" applyFill="1"/>
    <x:xf numFmtId="0" fontId="1" fillId="0" borderId="1" xfId="0" applyFont="1" applyBorder="1"/>
    <x:xf numFmtId="0" fontId="1" fillId="0" borderId="0" xfId="0" applyFont="1" applyAlignment="1">
      <x:alignment horizontal="right"/>
    </x:xf>
    <x:xf numFmtId="0" fontId="0" fillId="0" borderId="0" xfId="0" applyFill="1" applyAlignment="1">
      <x:alignment vertical="center"/>
    </x:xf>
    <x:xf numFmtId="0" fontId="1" fillId="0" borderId="0" xfId="0" applyFont="1" applyFill="1" applyAlignment="1">
      <x:alignment vertical="center"/>
    </x:xf>
    <x:xf numFmtId="3" fontId="1" fillId="0" borderId="0" xfId="0" applyNumberFormat="1" applyFont="1" applyAlignment="1">
      <x:alignment vertical="center"/>
    </x:xf>
    <x:xf numFmtId="0" fontId="1" fillId="0" borderId="0" xfId="0" applyFont="1" applyAlignment="1">
      <x:alignment vertical="center"/>
    </x:xf>
  </x:cellXfs>
  <x:cellStyles count="49">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s>
</x:styleSheet>
</file>

<file path=xl/_rels/workbook.xml.rels>&#65279;<?xml version="1.0" encoding="utf-8"?><Relationships xmlns="http://schemas.openxmlformats.org/package/2006/relationships"><Relationship Type="http://schemas.openxmlformats.org/officeDocument/2006/relationships/styles" Target="/xl/styles.xml" Id="R908b5e706e0a4d17" /><Relationship Type="http://schemas.openxmlformats.org/officeDocument/2006/relationships/theme" Target="/xl/theme/theme1.xml" Id="Rb044722473064c29" /><Relationship Type="http://schemas.openxmlformats.org/officeDocument/2006/relationships/sharedStrings" Target="/xl/sharedStrings.xml" Id="R19e7d9efa4f44d0b" /><Relationship Type="http://schemas.openxmlformats.org/officeDocument/2006/relationships/worksheet" Target="/xl/worksheets/sheet1.xml" Id="Rc475fc9c0fe3458b" /><Relationship Type="http://schemas.microsoft.com/office/2017/10/relationships/person" Target="/xl/persons/person.xml" Id="R906685d2b9cc46d1" /></Relationships>
</file>

<file path=xl/persons/person.xml><?xml version="1.0" encoding="utf-8"?>
<xltc:personList xmlns:xltc="http://schemas.microsoft.com/office/spreadsheetml/2018/threadedcomments">
  <xltc:person displayName="Administrator" id="{1452D074-8783-8945-6948-3F39F166B157}"/>
</xltc:personList>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aws-s3-jjg-asset-bucket.s3.ap-southeast-1.amazonaws.com/tanchuang_res/english/tc_sc_1.png" TargetMode="External" Id="R267af604b71b4431" /><Relationship Type="http://schemas.openxmlformats.org/officeDocument/2006/relationships/hyperlink" Target="https://chat.kinghush.com/privacy.html" TargetMode="External" Id="R5ed64baed29449e9" /><Relationship Type="http://schemas.openxmlformats.org/officeDocument/2006/relationships/comments" Target="/xl/comments1.xml" Id="Rde960f15f1574972" /><Relationship Type="http://schemas.openxmlformats.org/officeDocument/2006/relationships/vmlDrawing" Target="/xl/drawings/vmldrawing.vml" Id="R87afa80ccb684492" /></Relationships>
</file>

<file path=xl/worksheets/sheet1.xml><?xml version="1.0" encoding="utf-8"?>
<x:worksheet xmlns:x="http://schemas.openxmlformats.org/spreadsheetml/2006/main">
  <x:sheetFormatPr defaultColWidth="9" defaultRowHeight="16.5"/>
  <x:cols>
    <x:col min="1" max="1" width="9" style="8" customWidth="0"/>
    <x:col min="2" max="2" width="134.125" style="8" customWidth="1"/>
    <x:col min="3" max="3" width="36.5" style="8" customWidth="1"/>
    <x:col min="4" max="4" width="28.375" style="8" customWidth="1"/>
    <x:col min="5" max="5" width="11.5" style="8" customWidth="1"/>
    <x:col min="6" max="6" width="9.625" style="8" customWidth="1"/>
    <x:col min="7" max="7" width="23.375" style="8" customWidth="1"/>
    <x:col min="8" max="8" width="12.75" style="8" customWidth="0"/>
    <x:col min="9" max="10" width="14.125" style="8" customWidth="0"/>
    <x:col min="11" max="11" width="9" style="8" customWidth="0"/>
    <x:col min="12" max="12" width="12.875" style="8" customWidth="0"/>
    <x:col min="13" max="13" width="9" style="8" customWidth="0"/>
    <x:col min="14" max="17" width="10.375" style="8" customWidth="0"/>
    <x:col min="18" max="18" width="9.25" style="8" customWidth="0"/>
    <x:col min="19" max="16384" width="9" style="8" customWidth="0"/>
  </x:cols>
  <x:sheetData>
    <x:row r="1">
      <x:c r="A1" s="9" t="s">
        <x:v>0</x:v>
      </x:c>
      <x:c r="B1" s="10"/>
      <x:c r="C1" s="10" t="s">
        <x:v>1</x:v>
      </x:c>
      <x:c r="D1" s="10" t="s">
        <x:v>2</x:v>
      </x:c>
      <x:c r="E1" s="10" t="s">
        <x:v>3</x:v>
      </x:c>
      <x:c r="F1" s="10" t="s">
        <x:v>4</x:v>
      </x:c>
      <x:c r="G1" s="10" t="s">
        <x:v>5</x:v>
      </x:c>
    </x:row>
    <x:row r="2">
      <x:c r="A2" s="11" t="s">
        <x:v>6</x:v>
      </x:c>
      <x:c r="B2" s="10"/>
      <x:c r="C2" s="10" t="s">
        <x:v>7</x:v>
      </x:c>
      <x:c r="D2" s="12" t="s">
        <x:v>6</x:v>
      </x:c>
      <x:c r="E2" s="8" t="s">
        <x:v>8</x:v>
      </x:c>
      <x:c r="F2" s="10" t="s">
        <x:v>9</x:v>
      </x:c>
      <x:c r="G2" s="10"/>
    </x:row>
    <x:row r="3">
      <x:c r="A3" s="9" t="s">
        <x:v>10</x:v>
      </x:c>
      <x:c r="B3" s="10"/>
      <x:c r="C3" s="10" t="s">
        <x:v>11</x:v>
      </x:c>
      <x:c r="D3" s="8" t="s">
        <x:v>12</x:v>
      </x:c>
      <x:c r="E3" s="8" t="s">
        <x:v>13</x:v>
      </x:c>
      <x:c r="F3" s="8" t="s">
        <x:v>14</x:v>
      </x:c>
      <x:c r="G3" s="10"/>
    </x:row>
    <x:row r="4">
      <x:c r="A4" s="13"/>
      <x:c r="B4" s="12"/>
      <x:c r="C4" s="12"/>
      <x:c r="G4" s="12"/>
    </x:row>
    <x:row r="5">
      <x:c r="A5" s="8">
        <x:v>1</x:v>
      </x:c>
      <x:c r="B5" s="12" t="s">
        <x:v>15</x:v>
      </x:c>
      <x:c r="D5" s="12">
        <x:v>999</x:v>
      </x:c>
      <x:c r="E5" s="12"/>
      <x:c r="F5" s="12"/>
      <x:c r="G5" s="12"/>
    </x:row>
    <x:row r="6">
      <x:c r="A6" s="8">
        <x:v>2</x:v>
      </x:c>
      <x:c r="B6" s="12" t="s">
        <x:v>16</x:v>
      </x:c>
      <x:c r="D6" s="14">
        <x:v>10000</x:v>
      </x:c>
      <x:c r="E6" s="12"/>
      <x:c r="F6" s="12"/>
      <x:c r="G6" s="12" t="s">
        <x:v>17</x:v>
      </x:c>
    </x:row>
    <x:row r="7">
      <x:c r="A7" s="8">
        <x:v>3</x:v>
      </x:c>
      <x:c r="B7" s="12" t="s">
        <x:v>18</x:v>
      </x:c>
      <x:c r="D7" s="12">
        <x:v>10000</x:v>
      </x:c>
      <x:c r="E7" s="12"/>
      <x:c r="F7" s="12"/>
      <x:c r="G7" s="12" t="s">
        <x:v>17</x:v>
      </x:c>
    </x:row>
    <x:row r="8">
      <x:c r="A8" s="8">
        <x:v>4</x:v>
      </x:c>
      <x:c r="B8" s="12" t="s">
        <x:v>19</x:v>
      </x:c>
      <x:c r="C8" s="12">
        <x:v>100</x:v>
      </x:c>
      <x:c r="D8" s="12"/>
      <x:c r="E8" s="12"/>
      <x:c r="F8" s="12"/>
      <x:c r="G8" s="12" t="s">
        <x:v>20</x:v>
      </x:c>
    </x:row>
    <x:row r="9">
      <x:c r="A9" s="8">
        <x:v>5</x:v>
      </x:c>
      <x:c r="B9" s="8" t="s">
        <x:v>21</x:v>
      </x:c>
      <x:c r="C9" s="8">
        <x:v>4</x:v>
      </x:c>
      <x:c r="G9" s="8" t="s">
        <x:v>22</x:v>
      </x:c>
    </x:row>
    <x:row r="10">
      <x:c r="A10" s="8">
        <x:v>6</x:v>
      </x:c>
      <x:c r="B10" s="12" t="s">
        <x:v>23</x:v>
      </x:c>
      <x:c r="C10" s="40" t="s">
        <x:v>24</x:v>
      </x:c>
      <x:c r="D10" s="15"/>
      <x:c r="E10" s="12"/>
      <x:c r="F10" s="12"/>
      <x:c r="G10" s="8" t="s">
        <x:v>25</x:v>
      </x:c>
    </x:row>
    <x:row r="11">
      <x:c r="A11" s="8">
        <x:v>7</x:v>
      </x:c>
      <x:c r="B11" s="12" t="s">
        <x:v>26</x:v>
      </x:c>
      <x:c r="C11" s="41" t="s">
        <x:v>27</x:v>
      </x:c>
      <x:c r="D11" s="12"/>
      <x:c r="E11" s="12"/>
      <x:c r="F11" s="12"/>
      <x:c r="G11" s="8" t="s">
        <x:v>25</x:v>
      </x:c>
    </x:row>
    <x:row r="12">
      <x:c r="A12" s="8">
        <x:v>8</x:v>
      </x:c>
      <x:c r="B12" s="12" t="s">
        <x:v>28</x:v>
      </x:c>
      <x:c r="C12" s="41" t="s">
        <x:v>29</x:v>
      </x:c>
      <x:c r="D12" s="12"/>
      <x:c r="E12" s="12"/>
      <x:c r="F12" s="12"/>
      <x:c r="G12" s="8" t="s">
        <x:v>25</x:v>
      </x:c>
    </x:row>
    <x:row r="13">
      <x:c r="A13" s="8">
        <x:v>9</x:v>
      </x:c>
      <x:c r="B13" s="12" t="s">
        <x:v>30</x:v>
      </x:c>
      <x:c r="C13" s="41" t="s">
        <x:v>31</x:v>
      </x:c>
      <x:c r="D13" s="12"/>
      <x:c r="E13" s="12"/>
      <x:c r="F13" s="12"/>
      <x:c r="G13" s="8" t="s">
        <x:v>25</x:v>
      </x:c>
    </x:row>
    <x:row r="14">
      <x:c r="A14" s="8">
        <x:v>10</x:v>
      </x:c>
      <x:c r="B14" s="12" t="s">
        <x:v>32</x:v>
      </x:c>
      <x:c r="C14" s="41" t="s">
        <x:v>33</x:v>
      </x:c>
      <x:c r="D14" s="12"/>
      <x:c r="E14" s="12"/>
      <x:c r="F14" s="12"/>
      <x:c r="G14" s="8" t="s">
        <x:v>25</x:v>
      </x:c>
    </x:row>
    <x:row r="15">
      <x:c r="A15" s="8">
        <x:v>11</x:v>
      </x:c>
      <x:c r="B15" s="8" t="s">
        <x:v>34</x:v>
      </x:c>
      <x:c r="D15" s="8" t="n">
        <x:f>2*3*5*3</x:f>
        <x:v>90</x:v>
      </x:c>
    </x:row>
    <x:row r="16">
      <x:c r="A16" s="8">
        <x:v>12</x:v>
      </x:c>
      <x:c r="B16" s="8" t="s">
        <x:v>35</x:v>
      </x:c>
      <x:c r="D16" s="8">
        <x:v>3333</x:v>
      </x:c>
      <x:c r="G16" s="8" t="s">
        <x:v>36</x:v>
      </x:c>
    </x:row>
    <x:row r="17">
      <x:c r="A17" s="8">
        <x:v>13</x:v>
      </x:c>
      <x:c r="B17" s="8" t="s">
        <x:v>37</x:v>
      </x:c>
      <x:c r="D17" s="8">
        <x:v>1</x:v>
      </x:c>
    </x:row>
    <x:row r="18">
      <x:c r="A18" s="8">
        <x:v>14</x:v>
      </x:c>
      <x:c r="B18" s="8" t="s">
        <x:v>38</x:v>
      </x:c>
      <x:c r="C18" s="16" t="s">
        <x:v>39</x:v>
      </x:c>
      <x:c r="G18" s="8" t="s">
        <x:v>40</x:v>
      </x:c>
    </x:row>
    <x:row r="19">
      <x:c r="A19" s="8">
        <x:v>15</x:v>
      </x:c>
      <x:c r="B19" s="8" t="s">
        <x:v>41</x:v>
      </x:c>
      <x:c r="D19" s="8">
        <x:v>5</x:v>
      </x:c>
    </x:row>
    <x:row r="20">
      <x:c r="A20" s="8">
        <x:v>16</x:v>
      </x:c>
      <x:c r="B20" s="8" t="s">
        <x:v>42</x:v>
      </x:c>
      <x:c r="D20" s="8">
        <x:v>10</x:v>
      </x:c>
    </x:row>
    <x:row r="21">
      <x:c r="A21" s="8">
        <x:v>17</x:v>
      </x:c>
      <x:c r="B21" s="8" t="s">
        <x:v>43</x:v>
      </x:c>
      <x:c r="C21" s="8" t="s">
        <x:v>44</x:v>
      </x:c>
      <x:c r="G21" s="8" t="s">
        <x:v>45</x:v>
      </x:c>
    </x:row>
    <x:row r="22">
      <x:c r="A22" s="8">
        <x:v>18</x:v>
      </x:c>
      <x:c r="B22" s="8" t="s">
        <x:v>46</x:v>
      </x:c>
      <x:c r="D22" s="8" t="n">
        <x:f>7*24*60*60</x:f>
        <x:v>604800</x:v>
      </x:c>
    </x:row>
    <x:row r="23">
      <x:c r="A23" s="8">
        <x:v>19</x:v>
      </x:c>
      <x:c r="B23" s="8" t="s">
        <x:v>47</x:v>
      </x:c>
      <x:c r="C23" s="8" t="s">
        <x:v>48</x:v>
      </x:c>
      <x:c r="G23" s="8" t="s">
        <x:v>49</x:v>
      </x:c>
      <x:c r="L23" s="8" t="n">
        <x:f>60*24*30</x:f>
        <x:v>43200</x:v>
      </x:c>
    </x:row>
    <x:row r="24">
      <x:c r="A24" s="8">
        <x:v>20</x:v>
      </x:c>
      <x:c r="B24" s="8" t="s">
        <x:v>50</x:v>
      </x:c>
      <x:c r="D24" s="8">
        <x:v>10</x:v>
      </x:c>
    </x:row>
    <x:row r="25" s="1" customFormat="1">
      <x:c r="A25" s="1">
        <x:v>21</x:v>
      </x:c>
      <x:c r="B25" s="1" t="s">
        <x:v>51</x:v>
      </x:c>
      <x:c r="C25" s="17" t="s">
        <x:v>52</x:v>
      </x:c>
      <x:c r="G25" s="1" t="s">
        <x:v>53</x:v>
      </x:c>
    </x:row>
    <x:row r="26" s="1" customFormat="1">
      <x:c r="A26" s="1">
        <x:v>22</x:v>
      </x:c>
      <x:c r="B26" s="1" t="s">
        <x:v>54</x:v>
      </x:c>
      <x:c r="C26" s="1" t="s">
        <x:v>55</x:v>
      </x:c>
      <x:c r="G26" s="1" t="s">
        <x:v>56</x:v>
      </x:c>
    </x:row>
    <x:row r="27" s="1" customFormat="1">
      <x:c r="A27" s="1">
        <x:v>23</x:v>
      </x:c>
      <x:c r="B27" s="1" t="s">
        <x:v>57</x:v>
      </x:c>
      <x:c r="D27" s="1">
        <x:v>10000</x:v>
      </x:c>
    </x:row>
    <x:row r="28" s="1" customFormat="1">
      <x:c r="A28" s="1">
        <x:v>24</x:v>
      </x:c>
      <x:c r="B28" s="1" t="s">
        <x:v>58</x:v>
      </x:c>
      <x:c r="D28" s="1">
        <x:v>100</x:v>
      </x:c>
    </x:row>
    <x:row r="29" s="1" customFormat="1">
      <x:c r="A29" s="1">
        <x:v>25</x:v>
      </x:c>
      <x:c r="B29" s="1" t="s">
        <x:v>59</x:v>
      </x:c>
      <x:c r="C29" s="1" t="s">
        <x:v>60</x:v>
      </x:c>
    </x:row>
    <x:row r="30">
      <x:c r="A30" s="8">
        <x:v>26</x:v>
      </x:c>
      <x:c r="B30" s="8" t="s">
        <x:v>61</x:v>
      </x:c>
      <x:c r="C30" s="18"/>
      <x:c r="D30" s="8">
        <x:v>100</x:v>
      </x:c>
    </x:row>
    <x:row r="31">
      <x:c r="A31" s="8">
        <x:v>27</x:v>
      </x:c>
      <x:c r="B31" s="8" t="s">
        <x:v>62</x:v>
      </x:c>
      <x:c r="D31" s="8">
        <x:v>10000</x:v>
      </x:c>
      <x:c r="G31" s="8" t="s">
        <x:v>63</x:v>
      </x:c>
    </x:row>
    <x:row r="32">
      <x:c r="A32" s="8">
        <x:v>28</x:v>
      </x:c>
      <x:c r="B32" s="8" t="s">
        <x:v>64</x:v>
      </x:c>
      <x:c r="C32" s="8" t="s">
        <x:v>65</x:v>
      </x:c>
    </x:row>
    <x:row r="33">
      <x:c r="A33" s="8">
        <x:v>29</x:v>
      </x:c>
      <x:c r="B33" s="8" t="s">
        <x:v>66</x:v>
      </x:c>
      <x:c r="D33" s="8">
        <x:v>10</x:v>
      </x:c>
    </x:row>
    <x:row r="34" s="2" customFormat="1">
      <x:c r="A34" s="19">
        <x:v>30</x:v>
      </x:c>
      <x:c r="B34" s="19" t="s">
        <x:v>67</x:v>
      </x:c>
      <x:c r="C34" s="2" t="s">
        <x:v>68</x:v>
      </x:c>
    </x:row>
    <x:row r="35" s="2" customFormat="1">
      <x:c r="A35" s="19">
        <x:v>31</x:v>
      </x:c>
      <x:c r="B35" s="19" t="s">
        <x:v>69</x:v>
      </x:c>
      <x:c r="E35" s="20">
        <x:v>372460972.440945</x:v>
      </x:c>
      <x:c r="G35" s="2" t="s">
        <x:v>70</x:v>
      </x:c>
      <x:c r="H35" s="20">
        <x:v>8692.20472440945</x:v>
      </x:c>
      <x:c r="I35" s="2" t="s">
        <x:v>71</x:v>
      </x:c>
      <x:c r="J35" s="2">
        <x:v>1</x:v>
      </x:c>
      <x:c r="K35" s="2" t="s">
        <x:v>72</x:v>
      </x:c>
      <x:c r="L35" s="2" t="n">
        <x:f>J35*24*60*60*1000</x:f>
        <x:v>86400000</x:v>
      </x:c>
      <x:c r="M35" s="2" t="s">
        <x:v>73</x:v>
      </x:c>
    </x:row>
    <x:row r="36">
      <x:c r="A36" s="19">
        <x:v>32</x:v>
      </x:c>
      <x:c r="B36" s="19" t="s">
        <x:v>74</x:v>
      </x:c>
      <x:c r="C36" s="2" t="s">
        <x:v>75</x:v>
      </x:c>
    </x:row>
    <x:row r="37">
      <x:c r="A37" s="21">
        <x:v>33</x:v>
      </x:c>
      <x:c r="B37" s="21" t="s">
        <x:v>76</x:v>
      </x:c>
      <x:c r="C37" s="22" t="s">
        <x:v>77</x:v>
      </x:c>
    </x:row>
    <x:row r="38" s="3" customFormat="1">
      <x:c r="A38" s="23">
        <x:v>34</x:v>
      </x:c>
      <x:c r="B38" s="23" t="s">
        <x:v>78</x:v>
      </x:c>
      <x:c r="C38" s="3" t="s">
        <x:v>79</x:v>
      </x:c>
      <x:c r="G38" s="3" t="s">
        <x:v>80</x:v>
      </x:c>
      <x:c r="H38" s="3">
        <x:v>90</x:v>
      </x:c>
    </x:row>
    <x:row r="39">
      <x:c r="A39" s="21">
        <x:v>35</x:v>
      </x:c>
      <x:c r="B39" s="21" t="s">
        <x:v>81</x:v>
      </x:c>
      <x:c r="C39" s="8" t="s">
        <x:v>82</x:v>
      </x:c>
      <x:c r="G39" s="8" t="s">
        <x:v>83</x:v>
      </x:c>
      <x:c r="H39" s="24" t="n">
        <x:f>ROUND(L35/(E35*H38/100/H35),0)</x:f>
        <x:v>2240</x:v>
      </x:c>
      <x:c r="I39" s="8" t="s">
        <x:v>73</x:v>
      </x:c>
      <x:c r="J39" s="8" t="s">
        <x:v>84</x:v>
      </x:c>
      <x:c r="K39" s="25" t="s">
        <x:v>85</x:v>
      </x:c>
      <x:c r="L39" s="25">
        <x:v>0.25</x:v>
      </x:c>
      <x:c r="M39" s="8" t="s">
        <x:v>86</x:v>
      </x:c>
      <x:c r="N39" s="8" t="n">
        <x:f>ROUND(P39*(1+2*L39),0)</x:f>
        <x:v>3360</x:v>
      </x:c>
      <x:c r="O39" s="8" t="n">
        <x:f>ROUND(P39*(1+1*L39),0)</x:f>
        <x:v>2800</x:v>
      </x:c>
      <x:c r="P39" s="8" t="n">
        <x:f>H39</x:f>
        <x:v>2240</x:v>
      </x:c>
      <x:c r="Q39" s="8" t="n">
        <x:f>ROUND(P39*(1-1*L39),0)</x:f>
        <x:v>1680</x:v>
      </x:c>
      <x:c r="R39" s="8" t="n">
        <x:f>ROUND(P39*(1-2*L39),0)</x:f>
        <x:v>1120</x:v>
      </x:c>
      <x:c r="S39" s="8" t="str">
        <x:f>_xlfn.TEXTJOIN("_",TRUE,N39,1000)</x:f>
        <x:v>3360_1000</x:v>
      </x:c>
      <x:c r="T39" s="8" t="str">
        <x:f>_xlfn.TEXTJOIN("_",TRUE,O39,1000)</x:f>
        <x:v>2800_1000</x:v>
      </x:c>
      <x:c r="U39" s="8" t="str">
        <x:f>_xlfn.TEXTJOIN("_",TRUE,P39,1000)</x:f>
        <x:v>2240_1000</x:v>
      </x:c>
      <x:c r="V39" s="8" t="str">
        <x:f>_xlfn.TEXTJOIN("_",TRUE,Q39,1000)</x:f>
        <x:v>1680_1000</x:v>
      </x:c>
      <x:c r="W39" s="8" t="str">
        <x:f>_xlfn.TEXTJOIN("_",TRUE,R39,1000)</x:f>
        <x:v>1120_1000</x:v>
      </x:c>
    </x:row>
    <x:row r="40" s="4" customFormat="1">
      <x:c r="A40" s="4">
        <x:v>40</x:v>
      </x:c>
      <x:c r="B40" s="4" t="s">
        <x:v>87</x:v>
      </x:c>
      <x:c r="D40" s="26">
        <x:v>88</x:v>
      </x:c>
    </x:row>
    <x:row r="41" s="4" customFormat="1">
      <x:c r="A41" s="4">
        <x:v>41</x:v>
      </x:c>
      <x:c r="B41" s="4" t="s">
        <x:v>88</x:v>
      </x:c>
      <x:c r="D41" s="26">
        <x:v>600</x:v>
      </x:c>
    </x:row>
    <x:row r="42" s="4" customFormat="1">
      <x:c r="A42" s="4">
        <x:v>42</x:v>
      </x:c>
      <x:c r="B42" s="4" t="s">
        <x:v>89</x:v>
      </x:c>
      <x:c r="D42" s="26">
        <x:v>18000</x:v>
      </x:c>
    </x:row>
    <x:row r="43" s="4" customFormat="1">
      <x:c r="A43" s="4">
        <x:v>43</x:v>
      </x:c>
      <x:c r="B43" s="4" t="s">
        <x:v>90</x:v>
      </x:c>
      <x:c r="D43" s="26">
        <x:v>1</x:v>
      </x:c>
    </x:row>
    <x:row r="44" s="4" customFormat="1">
      <x:c r="A44" s="4">
        <x:v>44</x:v>
      </x:c>
      <x:c r="B44" s="4" t="s">
        <x:v>91</x:v>
      </x:c>
      <x:c r="D44" s="26">
        <x:v>10</x:v>
      </x:c>
    </x:row>
    <x:row r="45" s="4" customFormat="1">
      <x:c r="A45" s="4">
        <x:v>45</x:v>
      </x:c>
      <x:c r="B45" s="4" t="s">
        <x:v>92</x:v>
      </x:c>
      <x:c r="C45" s="26" t="s">
        <x:v>93</x:v>
      </x:c>
    </x:row>
    <x:row r="46" s="5" customFormat="1">
      <x:c r="A46" s="5">
        <x:v>46</x:v>
      </x:c>
      <x:c r="B46" s="5" t="s">
        <x:v>94</x:v>
      </x:c>
      <x:c r="C46" s="27" t="s">
        <x:v>95</x:v>
      </x:c>
    </x:row>
    <x:row r="47" s="4" customFormat="1">
      <x:c r="A47" s="4">
        <x:v>47</x:v>
      </x:c>
      <x:c r="B47" s="4" t="s">
        <x:v>96</x:v>
      </x:c>
      <x:c r="D47" s="4">
        <x:v>3</x:v>
      </x:c>
      <x:c r="H47" s="4" t="s">
        <x:v>97</x:v>
      </x:c>
      <x:c r="I47" s="4">
        <x:v>6000</x:v>
      </x:c>
    </x:row>
    <x:row r="48" s="4" customFormat="1">
      <x:c r="A48" s="4">
        <x:v>48</x:v>
      </x:c>
      <x:c r="B48" s="4" t="s">
        <x:v>98</x:v>
      </x:c>
      <x:c r="C48" s="4" t="s">
        <x:v>99</x:v>
      </x:c>
      <x:c r="G48" s="4" t="s">
        <x:v>100</x:v>
      </x:c>
      <x:c r="H48" s="4" t="s">
        <x:v>101</x:v>
      </x:c>
      <x:c r="I48" s="4">
        <x:v>30</x:v>
      </x:c>
      <x:c r="J48" s="4" t="n">
        <x:f>I47/(24*60/I49)*100/(I48/1+I48/1)</x:f>
        <x:v>104.16666666666667</x:v>
      </x:c>
    </x:row>
    <x:row r="49" s="4" customFormat="1">
      <x:c r="A49" s="4">
        <x:v>49</x:v>
      </x:c>
      <x:c r="B49" s="4" t="s">
        <x:v>102</x:v>
      </x:c>
      <x:c r="C49" s="4" t="s">
        <x:v>103</x:v>
      </x:c>
      <x:c r="H49" s="4" t="s">
        <x:v>104</x:v>
      </x:c>
      <x:c r="I49" s="4">
        <x:v>15</x:v>
      </x:c>
    </x:row>
    <x:row r="50">
      <x:c r="A50" s="8">
        <x:v>50</x:v>
      </x:c>
      <x:c r="B50" s="8" t="s">
        <x:v>105</x:v>
      </x:c>
      <x:c r="C50" s="28" t="s">
        <x:v>106</x:v>
      </x:c>
      <x:c r="I50" s="8">
        <x:v>600</x:v>
      </x:c>
    </x:row>
    <x:row r="51" s="2" customFormat="1">
      <x:c r="A51" s="2">
        <x:v>51</x:v>
      </x:c>
      <x:c r="B51" s="2" t="s">
        <x:v>107</x:v>
      </x:c>
      <x:c r="C51" s="29" t="s">
        <x:v>108</x:v>
      </x:c>
      <x:c r="I51" s="2">
        <x:v>1200</x:v>
      </x:c>
    </x:row>
    <x:row r="52" s="5" customFormat="1">
      <x:c r="A52" s="5">
        <x:v>52</x:v>
      </x:c>
      <x:c r="B52" s="5" t="s">
        <x:v>109</x:v>
      </x:c>
      <x:c r="D52" s="30">
        <x:v>30000</x:v>
      </x:c>
    </x:row>
    <x:row r="53" s="6" customFormat="1">
      <x:c r="A53" s="6">
        <x:v>53</x:v>
      </x:c>
      <x:c r="B53" s="6" t="s">
        <x:v>110</x:v>
      </x:c>
      <x:c r="D53" s="31">
        <x:v>30000</x:v>
      </x:c>
    </x:row>
    <x:row r="54" s="5" customFormat="1">
      <x:c r="A54" s="5">
        <x:v>54</x:v>
      </x:c>
      <x:c r="B54" s="5" t="s">
        <x:v>111</x:v>
      </x:c>
      <x:c r="D54" s="5">
        <x:v>0</x:v>
      </x:c>
    </x:row>
    <x:row r="55">
      <x:c r="A55" s="8">
        <x:v>55</x:v>
      </x:c>
      <x:c r="B55" s="8" t="s">
        <x:v>112</x:v>
      </x:c>
      <x:c r="C55" s="8"/>
      <x:c r="D55" s="8">
        <x:v>60</x:v>
      </x:c>
    </x:row>
    <x:row r="56" s="5" customFormat="1">
      <x:c r="A56" s="5">
        <x:v>56</x:v>
      </x:c>
      <x:c r="B56" s="5" t="s">
        <x:v>113</x:v>
      </x:c>
      <x:c r="C56" s="5" t="s">
        <x:v>114</x:v>
      </x:c>
    </x:row>
    <x:row r="57" s="2" customFormat="1">
      <x:c r="A57" s="2">
        <x:v>60</x:v>
      </x:c>
      <x:c r="B57" s="2" t="s">
        <x:v>115</x:v>
      </x:c>
      <x:c r="C57" s="32" t="s">
        <x:v>116</x:v>
      </x:c>
    </x:row>
    <x:row r="58">
      <x:c r="A58" s="8">
        <x:v>61</x:v>
      </x:c>
      <x:c r="B58" s="8" t="s">
        <x:v>117</x:v>
      </x:c>
      <x:c r="C58" s="33" t="s">
        <x:v>118</x:v>
      </x:c>
    </x:row>
    <x:row r="59" s="6" customFormat="1">
      <x:c r="A59" s="6">
        <x:v>62</x:v>
      </x:c>
      <x:c r="B59" s="6" t="s">
        <x:v>119</x:v>
      </x:c>
      <x:c r="C59" s="31" t="s">
        <x:v>120</x:v>
      </x:c>
    </x:row>
    <x:row r="60" s="6" customFormat="1">
      <x:c r="A60" s="6">
        <x:v>63</x:v>
      </x:c>
      <x:c r="B60" s="6" t="s">
        <x:v>121</x:v>
      </x:c>
      <x:c r="C60" s="6" t="s">
        <x:v>122</x:v>
      </x:c>
    </x:row>
    <x:row r="61" s="6" customFormat="1">
      <x:c r="A61" s="6">
        <x:v>64</x:v>
      </x:c>
      <x:c r="B61" s="6" t="s">
        <x:v>123</x:v>
      </x:c>
      <x:c r="C61" s="34" t="s">
        <x:v>124</x:v>
      </x:c>
    </x:row>
    <x:row r="62" s="6" customFormat="1">
      <x:c r="A62" s="6">
        <x:v>65</x:v>
      </x:c>
      <x:c r="B62" s="6" t="s">
        <x:v>125</x:v>
      </x:c>
      <x:c r="C62" s="34" t="s">
        <x:v>126</x:v>
      </x:c>
    </x:row>
    <x:row r="63" s="7" customFormat="1">
      <x:c r="A63" s="7">
        <x:v>70</x:v>
      </x:c>
      <x:c r="B63" s="7" t="s">
        <x:v>127</x:v>
      </x:c>
      <x:c r="C63" s="35" t="s">
        <x:v>128</x:v>
      </x:c>
      <x:c r="D63" s="35"/>
    </x:row>
    <x:row r="64" s="7" customFormat="1">
      <x:c r="A64" s="7">
        <x:v>71</x:v>
      </x:c>
      <x:c r="B64" s="7" t="s">
        <x:v>129</x:v>
      </x:c>
      <x:c r="C64" s="35"/>
      <x:c r="D64" s="35">
        <x:v>5000</x:v>
      </x:c>
    </x:row>
    <x:row r="65" s="7" customFormat="1">
      <x:c r="A65" s="7">
        <x:v>72</x:v>
      </x:c>
      <x:c r="B65" s="7" t="s">
        <x:v>130</x:v>
      </x:c>
      <x:c r="C65" s="35" t="s">
        <x:v>131</x:v>
      </x:c>
    </x:row>
    <x:row r="66">
      <x:c r="A66" s="36">
        <x:v>80</x:v>
      </x:c>
      <x:c r="B66" s="36" t="s">
        <x:v>132</x:v>
      </x:c>
      <x:c r="C66" s="36"/>
      <x:c r="D66" s="36">
        <x:v>259200</x:v>
      </x:c>
      <x:c r="E66" s="11"/>
      <x:c r="F66" s="11"/>
      <x:c r="G66" s="11"/>
      <x:c r="H66" s="11"/>
      <x:c r="I66" s="11"/>
      <x:c r="J66" s="11"/>
      <x:c r="K66" s="11"/>
      <x:c r="L66" s="11"/>
      <x:c r="M66" s="11"/>
      <x:c r="N66" s="11"/>
      <x:c r="O66" s="11"/>
      <x:c r="P66" s="11"/>
      <x:c r="Q66" s="11"/>
      <x:c r="R66" s="11"/>
      <x:c r="S66" s="11"/>
      <x:c r="T66" s="11"/>
    </x:row>
    <x:row r="67" s="1" customFormat="1">
      <x:c r="A67" s="1">
        <x:v>90</x:v>
      </x:c>
      <x:c r="B67" s="1" t="s">
        <x:v>133</x:v>
      </x:c>
      <x:c r="D67" s="1">
        <x:v>150000</x:v>
      </x:c>
    </x:row>
    <x:row r="68">
      <x:c r="A68" s="8">
        <x:v>100</x:v>
      </x:c>
      <x:c r="B68" s="8" t="s">
        <x:v>134</x:v>
      </x:c>
      <x:c r="C68" s="8" t="s">
        <x:v>135</x:v>
      </x:c>
    </x:row>
    <x:row r="69">
      <x:c r="A69" s="8">
        <x:v>101</x:v>
      </x:c>
      <x:c r="B69" s="8" t="s">
        <x:v>136</x:v>
      </x:c>
      <x:c r="C69" s="8" t="s">
        <x:v>137</x:v>
      </x:c>
    </x:row>
    <x:row r="70">
      <x:c r="A70" s="8">
        <x:v>102</x:v>
      </x:c>
      <x:c r="B70" s="8" t="s">
        <x:v>138</x:v>
      </x:c>
      <x:c r="D70" s="37">
        <x:v>1022503</x:v>
      </x:c>
    </x:row>
    <x:row r="71" s="4" customFormat="1">
      <x:c r="A71" s="4">
        <x:v>110</x:v>
      </x:c>
      <x:c r="B71" s="4" t="s">
        <x:v>139</x:v>
      </x:c>
      <x:c r="D71" s="26">
        <x:v>4200</x:v>
      </x:c>
    </x:row>
    <x:row r="72">
      <x:c r="A72" s="8">
        <x:v>111</x:v>
      </x:c>
      <x:c r="B72" s="8" t="s">
        <x:v>140</x:v>
      </x:c>
      <x:c r="D72" s="8">
        <x:v>500</x:v>
      </x:c>
    </x:row>
    <x:row r="73">
      <x:c r="A73" s="8">
        <x:v>112</x:v>
      </x:c>
      <x:c r="B73" s="8" t="s">
        <x:v>141</x:v>
      </x:c>
      <x:c r="D73" s="8">
        <x:v>300000</x:v>
      </x:c>
    </x:row>
    <x:row r="74">
      <x:c r="A74" s="8">
        <x:v>113</x:v>
      </x:c>
      <x:c r="B74" s="8" t="s">
        <x:v>142</x:v>
      </x:c>
      <x:c r="C74" s="8" t="s">
        <x:v>143</x:v>
      </x:c>
    </x:row>
    <x:row r="75">
      <x:c r="A75" s="8">
        <x:v>114</x:v>
      </x:c>
      <x:c r="B75" s="8" t="s">
        <x:v>144</x:v>
      </x:c>
      <x:c r="D75" s="8">
        <x:v>168</x:v>
      </x:c>
    </x:row>
    <x:row r="76">
      <x:c r="A76" s="8">
        <x:v>120</x:v>
      </x:c>
      <x:c r="B76" s="8" t="s">
        <x:v>145</x:v>
      </x:c>
      <x:c r="C76" s="8"/>
      <x:c r="D76" s="8">
        <x:v>5</x:v>
      </x:c>
      <x:c r="E76" s="8"/>
      <x:c r="F76" s="8"/>
      <x:c r="G76" s="8"/>
      <x:c r="H76" s="8"/>
      <x:c r="I76" s="8"/>
      <x:c r="J76" s="8"/>
      <x:c r="K76" s="8"/>
      <x:c r="L76" s="8"/>
      <x:c r="M76" s="8"/>
      <x:c r="N76" s="8"/>
      <x:c r="O76" s="8"/>
      <x:c r="P76" s="8"/>
      <x:c r="Q76" s="8"/>
      <x:c r="R76" s="8"/>
    </x:row>
    <x:row r="77">
      <x:c r="A77" s="8">
        <x:v>121</x:v>
      </x:c>
      <x:c r="B77" s="8" t="s">
        <x:v>146</x:v>
      </x:c>
      <x:c r="C77" s="8"/>
      <x:c r="D77" s="8">
        <x:v>-1</x:v>
      </x:c>
      <x:c r="E77" s="8"/>
      <x:c r="F77" s="8"/>
      <x:c r="G77" s="8"/>
      <x:c r="H77" s="8"/>
      <x:c r="I77" s="8"/>
      <x:c r="J77" s="8"/>
      <x:c r="K77" s="8"/>
      <x:c r="L77" s="8"/>
      <x:c r="M77" s="8"/>
      <x:c r="N77" s="8"/>
      <x:c r="O77" s="8"/>
      <x:c r="P77" s="8"/>
      <x:c r="Q77" s="8"/>
      <x:c r="R77" s="8"/>
    </x:row>
    <x:row r="78">
      <x:c r="A78" s="8">
        <x:v>122</x:v>
      </x:c>
      <x:c r="B78" s="8" t="s">
        <x:v>147</x:v>
      </x:c>
      <x:c r="C78" s="8"/>
      <x:c r="D78" s="8">
        <x:v>99</x:v>
      </x:c>
      <x:c r="E78" s="8"/>
      <x:c r="F78" s="8"/>
      <x:c r="G78" s="8"/>
      <x:c r="H78" s="8"/>
      <x:c r="I78" s="8"/>
      <x:c r="J78" s="8"/>
      <x:c r="K78" s="8"/>
      <x:c r="L78" s="8"/>
      <x:c r="M78" s="8"/>
      <x:c r="N78" s="8"/>
      <x:c r="O78" s="8"/>
      <x:c r="P78" s="8"/>
      <x:c r="Q78" s="8"/>
      <x:c r="R78" s="8"/>
    </x:row>
    <x:row r="79">
      <x:c r="A79" s="8">
        <x:v>123</x:v>
      </x:c>
      <x:c r="B79" s="8" t="s">
        <x:v>148</x:v>
      </x:c>
      <x:c r="C79" s="8"/>
      <x:c r="D79" s="8">
        <x:v>30000</x:v>
      </x:c>
      <x:c r="E79" s="8"/>
      <x:c r="F79" s="8"/>
      <x:c r="G79" s="8"/>
      <x:c r="H79" s="8"/>
      <x:c r="I79" s="8"/>
      <x:c r="J79" s="8"/>
      <x:c r="K79" s="8"/>
      <x:c r="L79" s="8"/>
      <x:c r="M79" s="8"/>
      <x:c r="N79" s="8"/>
      <x:c r="O79" s="8"/>
      <x:c r="P79" s="8"/>
      <x:c r="Q79" s="8"/>
      <x:c r="R79" s="8"/>
    </x:row>
    <x:row r="80">
      <x:c r="A80" s="8">
        <x:v>124</x:v>
      </x:c>
      <x:c r="B80" s="8" t="s">
        <x:v>149</x:v>
      </x:c>
      <x:c r="D80" s="8">
        <x:v>10</x:v>
      </x:c>
    </x:row>
    <x:row r="81">
      <x:c r="A81" s="8">
        <x:v>125</x:v>
      </x:c>
      <x:c r="B81" s="8" t="s">
        <x:v>150</x:v>
      </x:c>
      <x:c r="C81" s="8" t="s">
        <x:v>151</x:v>
      </x:c>
    </x:row>
    <x:row r="82">
      <x:c r="A82" s="8">
        <x:v>126</x:v>
      </x:c>
      <x:c r="B82" s="8" t="s">
        <x:v>152</x:v>
      </x:c>
      <x:c r="D82" s="8">
        <x:v>20000</x:v>
      </x:c>
      <x:c r="F82" s="8" t="b">
        <x:v>1</x:v>
      </x:c>
    </x:row>
    <x:row r="83">
      <x:c r="A83" s="8">
        <x:v>127</x:v>
      </x:c>
      <x:c r="B83" s="8" t="s">
        <x:v>153</x:v>
      </x:c>
      <x:c r="C83" s="8" t="s">
        <x:v>154</x:v>
      </x:c>
    </x:row>
    <x:row r="84">
      <x:c r="A84" s="8">
        <x:v>128</x:v>
      </x:c>
      <x:c r="B84" s="8" t="s">
        <x:v>155</x:v>
      </x:c>
      <x:c r="C84" s="8" t="s">
        <x:v>156</x:v>
      </x:c>
    </x:row>
    <x:row r="85">
      <x:c r="A85" s="8">
        <x:v>129</x:v>
      </x:c>
      <x:c r="B85" s="8" t="s">
        <x:v>157</x:v>
      </x:c>
      <x:c r="D85" s="8">
        <x:v>100000</x:v>
      </x:c>
    </x:row>
    <x:row r="86">
      <x:c r="A86" s="8">
        <x:v>130</x:v>
      </x:c>
      <x:c r="B86" s="8" t="s">
        <x:v>158</x:v>
      </x:c>
      <x:c r="D86" s="8">
        <x:v>72</x:v>
      </x:c>
    </x:row>
    <x:row r="87">
      <x:c r="A87" s="8">
        <x:v>131</x:v>
      </x:c>
      <x:c r="B87" s="8" t="s">
        <x:v>159</x:v>
      </x:c>
      <x:c r="C87" s="8" t="s">
        <x:v>131</x:v>
      </x:c>
    </x:row>
    <x:row r="88">
      <x:c r="A88" s="8">
        <x:v>135</x:v>
      </x:c>
      <x:c r="B88" s="8" t="s">
        <x:v>160</x:v>
      </x:c>
      <x:c r="C88" s="8" t="s">
        <x:v>161</x:v>
      </x:c>
    </x:row>
    <x:row r="89">
      <x:c r="A89" s="8">
        <x:v>136</x:v>
      </x:c>
      <x:c r="B89" s="8" t="s">
        <x:v>162</x:v>
      </x:c>
      <x:c r="D89" s="8">
        <x:v>10</x:v>
      </x:c>
    </x:row>
    <x:row r="90">
      <x:c r="A90" s="8">
        <x:v>137</x:v>
      </x:c>
      <x:c r="B90" s="8" t="s">
        <x:v>163</x:v>
      </x:c>
      <x:c r="D90" s="8">
        <x:v>3</x:v>
      </x:c>
    </x:row>
    <x:row r="91">
      <x:c r="A91" s="8">
        <x:v>200</x:v>
      </x:c>
      <x:c r="B91" s="8" t="s">
        <x:v>164</x:v>
      </x:c>
      <x:c r="D91" s="8">
        <x:v>5</x:v>
      </x:c>
    </x:row>
    <x:row r="92">
      <x:c r="A92" s="8">
        <x:v>211</x:v>
      </x:c>
      <x:c r="B92" s="8" t="s">
        <x:v>165</x:v>
      </x:c>
      <x:c r="C92" s="8" t="s">
        <x:v>166</x:v>
      </x:c>
    </x:row>
    <x:row r="93">
      <x:c r="A93" s="8">
        <x:v>212</x:v>
      </x:c>
      <x:c r="B93" s="8" t="s">
        <x:v>167</x:v>
      </x:c>
      <x:c r="C93" s="8" t="s">
        <x:v>77</x:v>
      </x:c>
    </x:row>
    <x:row r="94">
      <x:c r="A94" s="8">
        <x:v>213</x:v>
      </x:c>
      <x:c r="B94" s="8" t="s">
        <x:v>168</x:v>
      </x:c>
      <x:c r="C94" s="8" t="s">
        <x:v>169</x:v>
      </x:c>
    </x:row>
    <x:row r="95">
      <x:c r="A95" s="8">
        <x:v>220</x:v>
      </x:c>
      <x:c r="B95" s="8" t="s">
        <x:v>170</x:v>
      </x:c>
      <x:c r="D95" s="8">
        <x:v>1024007</x:v>
      </x:c>
    </x:row>
    <x:row r="96">
      <x:c r="A96" s="8">
        <x:v>221</x:v>
      </x:c>
      <x:c r="B96" s="8" t="s">
        <x:v>171</x:v>
      </x:c>
      <x:c r="D96" s="8">
        <x:v>2</x:v>
      </x:c>
    </x:row>
    <x:row r="97">
      <x:c r="A97" s="8">
        <x:v>222</x:v>
      </x:c>
      <x:c r="B97" s="8" t="s">
        <x:v>172</x:v>
      </x:c>
      <x:c r="C97" s="38" t="s">
        <x:v>173</x:v>
      </x:c>
    </x:row>
    <x:row r="98">
      <x:c r="A98" s="8">
        <x:v>223</x:v>
      </x:c>
      <x:c r="B98" s="8" t="s">
        <x:v>174</x:v>
      </x:c>
      <x:c r="C98" s="38"/>
      <x:c r="D98" s="8">
        <x:v>20</x:v>
      </x:c>
    </x:row>
    <x:row r="99">
      <x:c r="A99" s="8">
        <x:v>224</x:v>
      </x:c>
      <x:c r="B99" s="8" t="s">
        <x:v>175</x:v>
      </x:c>
      <x:c r="C99" s="38"/>
      <x:c r="D99" s="8">
        <x:v>10</x:v>
      </x:c>
    </x:row>
    <x:row r="100">
      <x:c r="A100" s="8">
        <x:v>225</x:v>
      </x:c>
      <x:c r="B100" s="8" t="s">
        <x:v>176</x:v>
      </x:c>
      <x:c r="C100" s="38"/>
      <x:c r="D100" s="8">
        <x:v>8</x:v>
      </x:c>
    </x:row>
    <x:row r="101">
      <x:c r="A101" s="8">
        <x:v>226</x:v>
      </x:c>
      <x:c r="B101" s="8" t="s">
        <x:v>177</x:v>
      </x:c>
      <x:c r="C101" s="38"/>
      <x:c r="D101" s="8">
        <x:v>10</x:v>
      </x:c>
    </x:row>
    <x:row r="102">
      <x:c r="A102" s="8">
        <x:v>227</x:v>
      </x:c>
      <x:c r="B102" s="8" t="s">
        <x:v>178</x:v>
      </x:c>
      <x:c r="C102" s="38"/>
      <x:c r="D102" s="8">
        <x:v>10</x:v>
      </x:c>
    </x:row>
    <x:row r="103">
      <x:c r="A103" s="8">
        <x:v>228</x:v>
      </x:c>
      <x:c r="B103" s="8" t="s">
        <x:v>179</x:v>
      </x:c>
      <x:c r="C103" s="38"/>
      <x:c r="D103" s="8">
        <x:v>10</x:v>
      </x:c>
    </x:row>
    <x:row r="104">
      <x:c r="A104" s="8">
        <x:v>229</x:v>
      </x:c>
      <x:c r="B104" s="8" t="s">
        <x:v>180</x:v>
      </x:c>
      <x:c r="C104" s="38"/>
      <x:c r="D104" s="8">
        <x:v>5</x:v>
      </x:c>
    </x:row>
    <x:row r="105">
      <x:c r="A105" s="8">
        <x:v>230</x:v>
      </x:c>
      <x:c r="B105" s="8" t="s">
        <x:v>181</x:v>
      </x:c>
      <x:c r="C105" s="39" t="s">
        <x:v>182</x:v>
      </x:c>
    </x:row>
    <x:row r="106">
      <x:c r="A106" s="8">
        <x:v>231</x:v>
      </x:c>
      <x:c r="B106" s="8" t="s">
        <x:v>183</x:v>
      </x:c>
      <x:c r="C106" s="38"/>
      <x:c r="D106" s="8">
        <x:v>50</x:v>
      </x:c>
    </x:row>
    <x:row r="107">
      <x:c r="A107" s="8">
        <x:v>232</x:v>
      </x:c>
      <x:c r="B107" s="8" t="s">
        <x:v>184</x:v>
      </x:c>
      <x:c r="D107" s="8">
        <x:v>2</x:v>
      </x:c>
    </x:row>
    <x:row r="108">
      <x:c r="A108" s="8">
        <x:v>233</x:v>
      </x:c>
      <x:c r="B108" s="8" t="s">
        <x:v>185</x:v>
      </x:c>
      <x:c r="D108" s="8">
        <x:v>2</x:v>
      </x:c>
    </x:row>
    <x:row r="109">
      <x:c r="A109" s="8">
        <x:v>234</x:v>
      </x:c>
      <x:c r="B109" s="8" t="s">
        <x:v>186</x:v>
      </x:c>
      <x:c r="D109" s="8">
        <x:v>1</x:v>
      </x:c>
    </x:row>
    <x:row r="110">
      <x:c r="A110" s="8">
        <x:v>235</x:v>
      </x:c>
      <x:c r="B110" s="8" t="s">
        <x:v>187</x:v>
      </x:c>
      <x:c r="D110" s="8">
        <x:v>200</x:v>
      </x:c>
    </x:row>
    <x:row r="111">
      <x:c r="A111" s="8">
        <x:v>236</x:v>
      </x:c>
      <x:c r="B111" s="8" t="s">
        <x:v>188</x:v>
      </x:c>
      <x:c r="D111" s="8">
        <x:v>100</x:v>
      </x:c>
    </x:row>
    <x:row r="112">
      <x:c r="A112" s="8">
        <x:v>237</x:v>
      </x:c>
      <x:c r="B112" s="8" t="s">
        <x:v>189</x:v>
      </x:c>
      <x:c r="D112" s="8">
        <x:v>3</x:v>
      </x:c>
    </x:row>
    <x:row r="113">
      <x:c r="A113" s="8">
        <x:v>238</x:v>
      </x:c>
      <x:c r="B113" s="8" t="s">
        <x:v>190</x:v>
      </x:c>
      <x:c r="D113" s="8">
        <x:v>3</x:v>
      </x:c>
    </x:row>
    <x:row r="114">
      <x:c r="A114" s="8">
        <x:v>239</x:v>
      </x:c>
      <x:c r="B114" s="8" t="s">
        <x:v>191</x:v>
      </x:c>
      <x:c r="D114" s="8">
        <x:v>10</x:v>
      </x:c>
    </x:row>
    <x:row r="115">
      <x:c r="A115" s="8">
        <x:v>240</x:v>
      </x:c>
      <x:c r="B115" s="8" t="s">
        <x:v>192</x:v>
      </x:c>
      <x:c r="C115" s="38" t="s">
        <x:v>193</x:v>
      </x:c>
    </x:row>
    <x:row r="116">
      <x:c r="A116" s="8">
        <x:v>241</x:v>
      </x:c>
      <x:c r="B116" s="8" t="s">
        <x:v>194</x:v>
      </x:c>
      <x:c r="C116" s="8" t="s">
        <x:v>195</x:v>
      </x:c>
      <x:c r="G116" s="8" t="s">
        <x:v>196</x:v>
      </x:c>
    </x:row>
    <x:row r="117">
      <x:c r="A117" s="8">
        <x:v>242</x:v>
      </x:c>
      <x:c r="B117" s="8" t="s">
        <x:v>197</x:v>
      </x:c>
      <x:c r="D117" s="8">
        <x:v>50</x:v>
      </x:c>
    </x:row>
    <x:row r="118">
      <x:c r="A118" t="n">
        <x:v>243</x:v>
      </x:c>
      <x:c r="B118" t="str">
        <x:v>拜访：用户每日点赞次数上限</x:v>
      </x:c>
      <x:c r="C118"/>
      <x:c r="D118" t="n">
        <x:v>10</x:v>
      </x:c>
      <x:c r="E118"/>
      <x:c r="F118"/>
      <x:c r="G118" t="str">
        <x:v>全服总次数，每日0点重置</x:v>
      </x:c>
    </x:row>
    <x:row r="119">
      <x:c r="A119" t="n">
        <x:v>244</x:v>
      </x:c>
      <x:c r="B119" t="str">
        <x:v>拜访：用户每日留言次数上限</x:v>
      </x:c>
      <x:c r="C119"/>
      <x:c r="D119" t="n">
        <x:v>10</x:v>
      </x:c>
      <x:c r="E119"/>
      <x:c r="F119"/>
      <x:c r="G119" t="str">
        <x:v>全服总次数，每日0点重置</x:v>
      </x:c>
    </x:row>
    <x:row r="120">
      <x:c r="A120" t="n">
        <x:v>245</x:v>
      </x:c>
      <x:c r="B120" t="str">
        <x:v>拜访：留言所需最低累计充值金额</x:v>
      </x:c>
      <x:c r="C120"/>
      <x:c r="D120" t="n">
        <x:v>1</x:v>
      </x:c>
      <x:c r="E120"/>
      <x:c r="F120"/>
      <x:c r="G120" t="str">
        <x:v>累计充值达标可留言</x:v>
      </x:c>
    </x:row>
    <x:row r="121">
      <x:c r="A121" t="n">
        <x:v>246</x:v>
      </x:c>
      <x:c r="B121" t="str">
        <x:v>拜访：留言最大字数</x:v>
      </x:c>
      <x:c r="C121"/>
      <x:c r="D121" t="n">
        <x:v>30</x:v>
      </x:c>
      <x:c r="E121"/>
      <x:c r="F121"/>
      <x:c r="G121" t="str">
        <x:v>按Unicode字符数计算</x:v>
      </x:c>
    </x:row>
    <x:row r="122">
      <x:c r="A122" t="n">
        <x:v>247</x:v>
      </x:c>
      <x:c r="B122" t="str">
        <x:v>拜访：操作记录和留言板保存条数上限</x:v>
      </x:c>
      <x:c r="C122"/>
      <x:c r="D122" t="n">
        <x:v>100</x:v>
      </x:c>
      <x:c r="E122"/>
      <x:c r="F122"/>
      <x:c r="G122"/>
    </x:row>
    <x:row r="123">
      <x:c r="A123" t="n">
        <x:v>248</x:v>
      </x:c>
      <x:c r="B123" t="str">
        <x:v>拜访：礼物列表（礼物ID_钻石价格_人气值）</x:v>
      </x:c>
      <x:c r="C123" t="str">
        <x:v>1_10_5|2_50_30|3_100_80</x:v>
      </x:c>
      <x:c r="D123"/>
      <x:c r="E123"/>
      <x:c r="F123"/>
      <x:c r="G123" t="str">
        <x:v>竖线分隔礼物档位</x:v>
      </x:c>
    </x:row>
    <x:row r="124">
      <x:c r="A124" t="n">
        <x:v>249</x:v>
      </x:c>
      <x:c r="B124" t="str">
        <x:v>拜访：房主每日试玩金币抽成上限</x:v>
      </x:c>
      <x:c r="C124"/>
      <x:c r="D124"/>
      <x:c r="E124" t="n">
        <x:v>1000000</x:v>
      </x:c>
      <x:c r="F124"/>
      <x:c r="G124"/>
    </x:row>
    <x:row r="125">
      <x:c r="A125" t="n">
        <x:v>250</x:v>
      </x:c>
      <x:c r="B125" t="str">
        <x:v>拜访：客座赌局会话有效期（秒）</x:v>
      </x:c>
      <x:c r="C125"/>
      <x:c r="D125" t="n">
        <x:v>1800</x:v>
      </x:c>
      <x:c r="E125"/>
      <x:c r="F125"/>
      <x:c r="G125"/>
    </x:row>
    <x:row r="126">
      <x:c r="A126" t="n">
        <x:v>251</x:v>
      </x:c>
      <x:c r="B126" t="str">
        <x:v>拜访：人气赛季榜奖励（排名区间:道具ID_数量）</x:v>
      </x:c>
      <x:c r="C126" t="str">
        <x:v>1-1:1980000_100|2-3:1980000_50|4-10:1980000_20|11-100:1980000_5</x:v>
      </x:c>
      <x:c r="D126"/>
      <x:c r="E126"/>
      <x:c r="F126"/>
      <x:c r="G126" t="str">
        <x:v>竖线分隔排名档位，逗号分隔多个道具</x:v>
      </x:c>
    </x:row>
  </x:sheetData>
  <x:hyperlinks>
    <x:hyperlink xmlns:r="http://schemas.openxmlformats.org/officeDocument/2006/relationships" ref="C57" r:id="R267af604b71b4431"/>
    <x:hyperlink xmlns:r="http://schemas.openxmlformats.org/officeDocument/2006/relationships" ref="C58" r:id="R5ed64baed29449e9"/>
  </x:hyperlinks>
  <x:pageMargins left="0.7" right="0.7" top="0.75" bottom="0.75" header="0.3" footer="0.3"/>
  <x:legacyDrawing xmlns:r="http://schemas.openxmlformats.org/officeDocument/2006/relationships" r:id="R87afa80ccb684492"/>
</x:worksheet>
</file>