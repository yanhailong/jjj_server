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50" authorId="0">
      <text>
        <r>
          <rPr>
            <b/>
            <sz val="9"/>
            <rFont val="宋体"/>
            <charset val="134"/>
          </rPr>
          <t>Administrator:</t>
        </r>
        <r>
          <rPr>
            <sz val="9"/>
            <rFont val="宋体"/>
            <charset val="134"/>
          </rPr>
          <t xml:space="preserve">
废弃</t>
        </r>
      </text>
    </comment>
    <comment ref="D51" authorId="0">
      <text>
        <r>
          <rPr>
            <b/>
            <sz val="9"/>
            <rFont val="宋体"/>
            <charset val="134"/>
          </rPr>
          <t>Administrator:</t>
        </r>
        <r>
          <rPr>
            <sz val="9"/>
            <rFont val="宋体"/>
            <charset val="134"/>
          </rPr>
          <t xml:space="preserve">
值为0表示不返利</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C55" authorId="0">
      <text>
        <r>
          <rPr>
            <b/>
            <sz val="9"/>
            <rFont val="宋体"/>
            <charset val="134"/>
          </rPr>
          <t>Administrator:</t>
        </r>
        <r>
          <rPr>
            <sz val="9"/>
            <rFont val="宋体"/>
            <charset val="134"/>
          </rPr>
          <t xml:space="preserve">
配置几月几号领取，就在当天可领取奖励</t>
        </r>
      </text>
    </comment>
    <comment ref="C64" authorId="0">
      <text>
        <r>
          <rPr>
            <b/>
            <sz val="9"/>
            <rFont val="宋体"/>
            <charset val="134"/>
          </rPr>
          <t xml:space="preserve">Administrator:
</t>
        </r>
        <r>
          <rPr>
            <sz val="9"/>
            <rFont val="宋体"/>
            <charset val="134"/>
          </rPr>
          <t>游戏大类_有效的游戏ID范围|……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<sst xmlns="http://schemas.openxmlformats.org/spreadsheetml/2006/main" count="132" uniqueCount="125">
  <si>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</si>
  <si>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</si>
  <si>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</si>
  <si>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</si>
  <si>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</si>
  <si>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</si>
  <si>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</si>
  <si>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</si>
  <si>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</si>
  <si>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</si>
  <si>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</si>
  <si>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</si>
  <si>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</si>
  <si>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</si>
  <si>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</si>
  <si>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</si>
  <si>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</si>
  <si>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</si>
  <si>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</si>
  <si>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</si>
  <si>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</si>
  <si>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</si>
  <si>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</si>
  <si>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</si>
  <si>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</si>
  <si>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</si>
  <si>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</si>
  <si>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</si>
  <si>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</si>
  <si>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</si>
  <si>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</si>
  <si>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</si>
  <si>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</si>
  <si>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</si>
  <si>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</si>
  <si>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</si>
  <si>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</si>
  <si>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</si>
  <si>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</si>
  <si>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</si>
  <si>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</si>
  <si>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</si>
  <si>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</si>
  <si>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</si>
  <si>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</si>
  <si>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</si>
  <si>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</si>
  <si>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</si>
  <si>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</si>
  <si>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</si>
  <si>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</si>
  <si>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</si>
  <si>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</si>
  <si>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</si>
  <si>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</si>
  <si>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</si>
  <si>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</si>
  <si>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</si>
  <si>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</si>
  <si>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</si>
  <si>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</si>
  <si>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</si>
  <si>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</si>
  <si>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</si>
  <si>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</si>
  <si>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</si>
  <si>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</si>
  <si>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</si>
  <si>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</si>
  <si>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</si>
  <si>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</si>
  <si>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</si>
  <si>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</si>
  <si>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</si>
  <si>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：充值金额（1 美元 = 100 积分 )</t>
  </si>
  <si>
    <t>1_100</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</si>
  <si>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</si>
  <si>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</si>
  <si>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</si>
  <si>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</si>
  <si>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</si>
  <si>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</si>
  <si>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</si>
  <si>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</si>
  <si>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</si>
  <si>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</si>
  <si>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</si>
  <si>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</si>
  <si>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</si>
  <si>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</si>
  <si>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100_1990000_700000|400_1990000_2800000|800_1990000_5600000|1100_1990000_7700000|1600_1990000_11200000|2500_1990000_17500000</t>
  </si>
  <si>
    <t>VIP充值：充值金额与经验转换比例(充值金额_获得vip经验，最低支持0.01_1，美元)</t>
  </si>
  <si>
    <t>0.01_20000</t>
  </si>
  <si>
    <t>积分大奖：实物奖励兑换码过期时间（天）</t>
  </si>
  <si>
    <t>积分大奖：占用榜单的机器人条件，活动开始X分钟后出现_VIP等级_玩家等级</t>
  </si>
  <si>
    <t>20_5_600</t>
  </si>
  <si>
    <t>新手奖励</t>
  </si>
  <si>
    <t>1990000_700000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</si>
  <si>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</si>
  <si>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</si>
  <si>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</si>
  <si>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</si>
  <si>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</si>
  <si>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</si>
  <si>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</si>
  <si>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</si>
  <si>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</si>
  <si>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</si>
  <si>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</si>
  <si>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</si>
  <si>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</si>
  <si>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1990000_630000</t>
  </si>
  <si>
    <t>推广分享：二维码图片配置(该资源放在资源服务器实时下载显示的)</t>
  </si>
  <si>
    <t>ShareQRCode/QR_Code001.png</t>
  </si>
  <si>
    <t>推广分享：周榜上榜条件设置(收益数量)</t>
  </si>
  <si>
    <t>1990000_10000</t>
  </si>
  <si>
    <t>推广分享：有效用户达标条件</t>
  </si>
  <si>
    <t>12007_100000|11002_10000_0</t>
  </si>
  <si>
    <t>财富轮盘：昨日输的金币兑换为积分的比例（昨日所输金币_获得积分）</t>
  </si>
  <si>
    <t>1000000_1</t>
  </si>
  <si>
    <t>财富轮盘：每次抽奖所消耗的积分</t>
  </si>
  <si>
    <t>财富轮盘：指定游戏内的打码才可以转为积分，填游戏范围</t>
  </si>
  <si>
    <t>1_-1|2_-1|3_-1</t>
  </si>
  <si>
    <t>买一送七：限购时间，单位秒，活动开始后到此倒计时结束之间才能付费参与活动</t>
  </si>
  <si>
    <t>摇钱树奖池保底：当摇钱树奖池金额低于此值时，始终不中奖</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</si>
</sst>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27">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0" tint="-0.25"/>
      <name val="Times New Roman"/>
      <charset val="134"/>
    </font>
    <font>
      <sz val="10.5"/>
      <color theme="0" tint="-0.25"/>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4"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5" borderId="5" applyNumberFormat="0" applyAlignment="0" applyProtection="0">
      <alignment vertical="center"/>
    </xf>
    <xf numFmtId="0" fontId="15" fillId="6" borderId="6" applyNumberFormat="0" applyAlignment="0" applyProtection="0">
      <alignment vertical="center"/>
    </xf>
    <xf numFmtId="0" fontId="16" fillId="6" borderId="5" applyNumberFormat="0" applyAlignment="0" applyProtection="0">
      <alignment vertical="center"/>
    </xf>
    <xf numFmtId="0" fontId="17" fillId="7"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3" fillId="34" borderId="0" applyNumberFormat="0" applyBorder="0" applyAlignment="0" applyProtection="0">
      <alignment vertical="center"/>
    </xf>
  </cellStyleXfs>
  <cellXfs count="20">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176" fontId="1" fillId="0" borderId="0" xfId="0" applyNumberFormat="1" applyFont="1"/>
    <xf numFmtId="9" fontId="1" fillId="0" borderId="0" xfId="0" applyNumberFormat="1" applyFont="1"/>
    <xf numFmtId="0" fontId="1" fillId="3" borderId="0" xfId="0" applyFont="1" applyFill="1"/>
    <xf numFmtId="0" fontId="4" fillId="0" borderId="0" xfId="0" applyFont="1"/>
    <xf numFmtId="0" fontId="5" fillId="0" borderId="0" xfId="0" applyFont="1"/>
    <xf numFmtId="0" fontId="6" fillId="0" borderId="0" xfId="6" applyAlignment="1"/>
    <xf numFmtId="0" fontId="1" fillId="0" borderId="1" xfId="0" applyFont="1" applyBorder="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6"/>
  <sheetViews>
    <sheetView tabSelected="1" workbookViewId="0">
      <pane ySplit="3" topLeftCell="A41" activePane="bottomLeft" state="frozen"/>
      <selection/>
      <selection pane="bottomLeft" activeCell="F65" sqref="F65"/>
    </sheetView>
  </sheetViews>
  <sheetFormatPr defaultColWidth="9" defaultRowHeight="16.5"/>
  <cols>
    <col min="1" max="1" width="9" style="1"/>
    <col min="2" max="2" width="69" style="1" customWidth="1"/>
    <col min="3" max="3" width="37.625" style="1" customWidth="1"/>
    <col min="4" max="4" width="9.375" style="1" customWidth="1"/>
    <col min="5" max="5" width="11.5" style="1" customWidth="1"/>
    <col min="6" max="6" width="9.625" style="1" customWidth="1"/>
    <col min="7" max="7" width="23.375" style="1" customWidth="1"/>
    <col min="8" max="8" width="12.75" style="1"/>
    <col min="9" max="9" width="9" style="1"/>
    <col min="10" max="10" width="11.5" style="1"/>
    <col min="11" max="11" width="9" style="1"/>
    <col min="12" max="12" width="12.875" style="1"/>
    <col min="13" max="13" width="9" style="1"/>
    <col min="14" max="17" width="10.375" style="1"/>
    <col min="18"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20" t="s">
        <v>24</v>
      </c>
      <c r="D10" s="8"/>
      <c r="E10" s="6"/>
      <c r="F10" s="6"/>
      <c r="G10" s="1" t="s">
        <v>25</v>
      </c>
    </row>
    <row r="11" spans="1:7">
      <c r="A11" s="1">
        <v>7</v>
      </c>
      <c r="B11" s="6" t="s">
        <v>26</v>
      </c>
      <c r="C11" s="21" t="s">
        <v>27</v>
      </c>
      <c r="D11" s="6"/>
      <c r="E11" s="6"/>
      <c r="F11" s="6"/>
      <c r="G11" s="1" t="s">
        <v>25</v>
      </c>
    </row>
    <row r="12" spans="1:7">
      <c r="A12" s="1">
        <v>8</v>
      </c>
      <c r="B12" s="6" t="s">
        <v>28</v>
      </c>
      <c r="C12" s="21" t="s">
        <v>29</v>
      </c>
      <c r="D12" s="6"/>
      <c r="E12" s="6"/>
      <c r="F12" s="6"/>
      <c r="G12" s="1" t="s">
        <v>25</v>
      </c>
    </row>
    <row r="13" spans="1:7">
      <c r="A13" s="1">
        <v>9</v>
      </c>
      <c r="B13" s="6" t="s">
        <v>30</v>
      </c>
      <c r="C13" s="21" t="s">
        <v>31</v>
      </c>
      <c r="D13" s="6"/>
      <c r="E13" s="6"/>
      <c r="F13" s="6"/>
      <c r="G13" s="1" t="s">
        <v>25</v>
      </c>
    </row>
    <row r="14" spans="1:7">
      <c r="A14" s="1">
        <v>10</v>
      </c>
      <c r="B14" s="6" t="s">
        <v>32</v>
      </c>
      <c r="C14" s="21"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s="2" customFormat="1" spans="1:23">
      <c r="A34" s="11">
        <v>30</v>
      </c>
      <c r="B34" s="11" t="s">
        <v>65</v>
      </c>
      <c r="C34" s="2" t="s">
        <v>66</v>
      </c>
    </row>
    <row r="35" s="2" customFormat="1" spans="1:23">
      <c r="A35" s="11">
        <v>31</v>
      </c>
      <c r="B35" s="11" t="s">
        <v>67</v>
      </c>
      <c r="E35" s="2">
        <v>20989402.5988449</v>
      </c>
      <c r="G35" s="2" t="s">
        <v>68</v>
      </c>
      <c r="H35" s="2">
        <v>1049470.12994225</v>
      </c>
      <c r="I35" s="2" t="s">
        <v>69</v>
      </c>
      <c r="J35" s="2">
        <v>1</v>
      </c>
      <c r="K35" s="2" t="s">
        <v>70</v>
      </c>
      <c r="L35" s="2">
        <f>J35*24*60*60*1000</f>
        <v>86400000</v>
      </c>
      <c r="M35" s="2" t="s">
        <v>71</v>
      </c>
    </row>
    <row r="36" spans="1:23">
      <c r="A36" s="11">
        <v>32</v>
      </c>
      <c r="B36" s="11" t="s">
        <v>72</v>
      </c>
      <c r="C36" s="2" t="s">
        <v>73</v>
      </c>
    </row>
    <row r="37" spans="1:23">
      <c r="A37" s="12">
        <v>33</v>
      </c>
      <c r="B37" s="12" t="s">
        <v>74</v>
      </c>
      <c r="C37" s="1" t="s">
        <v>75</v>
      </c>
    </row>
    <row r="38" s="2" customFormat="1" spans="1:23">
      <c r="A38" s="11">
        <v>34</v>
      </c>
      <c r="B38" s="11" t="s">
        <v>76</v>
      </c>
      <c r="C38" s="2" t="s">
        <v>77</v>
      </c>
      <c r="G38" s="2" t="s">
        <v>78</v>
      </c>
      <c r="H38" s="2">
        <v>30</v>
      </c>
      <c r="J38" s="2">
        <f>H39/1000/60/60</f>
        <v>4</v>
      </c>
    </row>
    <row r="39" spans="1:23">
      <c r="A39" s="12">
        <v>35</v>
      </c>
      <c r="B39" s="12" t="s">
        <v>79</v>
      </c>
      <c r="C39" s="1" t="str">
        <f>_xlfn.TEXTJOIN("|",TRUE,S39:W39)</f>
        <v>21600000_1000|18000000_1000|14400000_1000|10800000_1000|7200000_1000</v>
      </c>
      <c r="G39" s="1" t="s">
        <v>80</v>
      </c>
      <c r="H39" s="13">
        <f>ROUND(L35/(E35*H38/100/H35),0)</f>
        <v>14400000</v>
      </c>
      <c r="I39" s="1" t="s">
        <v>71</v>
      </c>
      <c r="J39" s="1" t="s">
        <v>81</v>
      </c>
      <c r="K39" s="14" t="s">
        <v>82</v>
      </c>
      <c r="L39" s="14">
        <v>0.25</v>
      </c>
      <c r="M39" s="1" t="s">
        <v>83</v>
      </c>
      <c r="N39" s="1">
        <f>ROUND(P39*(1+2*L39),0)</f>
        <v>21600000</v>
      </c>
      <c r="O39" s="1">
        <f>ROUND(P39*(1+1*L39),0)</f>
        <v>18000000</v>
      </c>
      <c r="P39" s="1">
        <f>H39</f>
        <v>14400000</v>
      </c>
      <c r="Q39" s="1">
        <f>ROUND(P39*(1-1*L39),0)</f>
        <v>10800000</v>
      </c>
      <c r="R39" s="1">
        <f>ROUND(P39*(1-2*L39),0)</f>
        <v>7200000</v>
      </c>
      <c r="S39" s="1" t="str">
        <f>_xlfn.TEXTJOIN("_",TRUE,N39,1000)</f>
        <v>21600000_1000</v>
      </c>
      <c r="T39" s="1" t="str">
        <f>_xlfn.TEXTJOIN("_",TRUE,O39,1000)</f>
        <v>18000000_1000</v>
      </c>
      <c r="U39" s="1" t="str">
        <f>_xlfn.TEXTJOIN("_",TRUE,P39,1000)</f>
        <v>14400000_1000</v>
      </c>
      <c r="V39" s="1" t="str">
        <f>_xlfn.TEXTJOIN("_",TRUE,Q39,1000)</f>
        <v>10800000_1000</v>
      </c>
      <c r="W39" s="1" t="str">
        <f>_xlfn.TEXTJOIN("_",TRUE,R39,1000)</f>
        <v>7200000_1000</v>
      </c>
    </row>
    <row r="40" spans="1:23">
      <c r="A40" s="15">
        <v>40</v>
      </c>
      <c r="B40" s="15" t="s">
        <v>84</v>
      </c>
      <c r="D40" s="1">
        <v>50</v>
      </c>
    </row>
    <row r="41" spans="1:23">
      <c r="A41" s="15">
        <v>41</v>
      </c>
      <c r="B41" s="15" t="s">
        <v>85</v>
      </c>
      <c r="D41" s="1">
        <v>50</v>
      </c>
    </row>
    <row r="42" spans="1:23">
      <c r="A42" s="15">
        <v>42</v>
      </c>
      <c r="B42" s="15" t="s">
        <v>86</v>
      </c>
      <c r="D42" s="1">
        <v>500</v>
      </c>
    </row>
    <row r="43" spans="1:23">
      <c r="A43" s="15">
        <v>43</v>
      </c>
      <c r="B43" s="15" t="s">
        <v>87</v>
      </c>
      <c r="D43" s="1">
        <v>1</v>
      </c>
    </row>
    <row r="44" spans="1:23">
      <c r="A44" s="15">
        <v>44</v>
      </c>
      <c r="B44" s="1" t="s">
        <v>88</v>
      </c>
      <c r="D44" s="1">
        <v>10</v>
      </c>
    </row>
    <row r="45" spans="1:23">
      <c r="A45" s="15">
        <v>45</v>
      </c>
      <c r="B45" s="1" t="s">
        <v>89</v>
      </c>
      <c r="C45" s="1" t="s">
        <v>90</v>
      </c>
    </row>
    <row r="46" spans="1:23">
      <c r="A46" s="1">
        <v>46</v>
      </c>
      <c r="B46" s="1" t="s">
        <v>91</v>
      </c>
      <c r="C46" s="1" t="s">
        <v>92</v>
      </c>
    </row>
    <row r="47" spans="1:23">
      <c r="A47" s="1">
        <v>47</v>
      </c>
      <c r="B47" s="1" t="s">
        <v>93</v>
      </c>
      <c r="D47" s="1">
        <v>3</v>
      </c>
    </row>
    <row r="48" spans="1:23">
      <c r="A48" s="1">
        <v>48</v>
      </c>
      <c r="B48" s="1" t="s">
        <v>94</v>
      </c>
      <c r="C48" s="1" t="s">
        <v>95</v>
      </c>
    </row>
    <row r="49" spans="1:4">
      <c r="A49" s="1">
        <v>50</v>
      </c>
      <c r="B49" s="1" t="s">
        <v>96</v>
      </c>
      <c r="C49" s="1" t="s">
        <v>97</v>
      </c>
    </row>
    <row r="50" s="2" customFormat="1" spans="1:4">
      <c r="A50" s="2">
        <v>51</v>
      </c>
      <c r="B50" s="2" t="s">
        <v>98</v>
      </c>
      <c r="C50" s="16" t="s">
        <v>99</v>
      </c>
    </row>
    <row r="51" spans="1:4">
      <c r="A51" s="1">
        <v>52</v>
      </c>
      <c r="B51" s="1" t="s">
        <v>100</v>
      </c>
      <c r="D51" s="1">
        <v>700000</v>
      </c>
    </row>
    <row r="52" spans="1:4">
      <c r="A52" s="1">
        <v>53</v>
      </c>
      <c r="B52" s="1" t="s">
        <v>101</v>
      </c>
      <c r="D52" s="1">
        <v>700000</v>
      </c>
    </row>
    <row r="53" spans="1:4">
      <c r="A53" s="1">
        <v>54</v>
      </c>
      <c r="B53" s="1" t="s">
        <v>102</v>
      </c>
      <c r="D53" s="1">
        <v>0</v>
      </c>
    </row>
    <row r="54" customFormat="1" spans="1:4">
      <c r="A54" s="1">
        <v>55</v>
      </c>
      <c r="B54" s="1" t="s">
        <v>103</v>
      </c>
      <c r="C54" s="1"/>
      <c r="D54" s="1">
        <v>60</v>
      </c>
    </row>
    <row r="55" spans="1:4">
      <c r="A55" s="1">
        <v>56</v>
      </c>
      <c r="B55" s="1" t="s">
        <v>104</v>
      </c>
      <c r="C55" s="1" t="s">
        <v>105</v>
      </c>
    </row>
    <row r="56" s="2" customFormat="1" spans="1:4">
      <c r="A56" s="2">
        <v>60</v>
      </c>
      <c r="B56" s="2" t="s">
        <v>106</v>
      </c>
      <c r="C56" s="17" t="s">
        <v>107</v>
      </c>
    </row>
    <row r="57" spans="1:4">
      <c r="A57" s="1">
        <v>61</v>
      </c>
      <c r="B57" s="1" t="s">
        <v>108</v>
      </c>
      <c r="C57" s="18" t="s">
        <v>109</v>
      </c>
    </row>
    <row r="58" spans="1:4">
      <c r="A58" s="1">
        <v>62</v>
      </c>
      <c r="B58" s="1" t="s">
        <v>110</v>
      </c>
      <c r="C58" s="1" t="s">
        <v>111</v>
      </c>
    </row>
    <row r="59" spans="1:4">
      <c r="A59" s="1">
        <v>63</v>
      </c>
      <c r="B59" s="1" t="s">
        <v>112</v>
      </c>
      <c r="C59" s="1" t="s">
        <v>113</v>
      </c>
    </row>
    <row r="60" spans="1:4">
      <c r="A60" s="1">
        <v>64</v>
      </c>
      <c r="B60" s="1" t="s">
        <v>114</v>
      </c>
      <c r="C60" s="1" t="s">
        <v>115</v>
      </c>
    </row>
    <row r="61" spans="1:4">
      <c r="A61" s="1">
        <v>65</v>
      </c>
      <c r="B61" s="1" t="s">
        <v>116</v>
      </c>
      <c r="C61" s="1" t="s">
        <v>117</v>
      </c>
    </row>
    <row r="62" spans="1:4">
      <c r="A62" s="1">
        <v>70</v>
      </c>
      <c r="B62" s="1" t="s">
        <v>118</v>
      </c>
      <c r="C62" s="1" t="s">
        <v>119</v>
      </c>
    </row>
    <row r="63" spans="1:4">
      <c r="A63" s="1">
        <v>71</v>
      </c>
      <c r="B63" s="1" t="s">
        <v>120</v>
      </c>
      <c r="D63" s="1">
        <v>10</v>
      </c>
    </row>
    <row r="64" spans="1:4">
      <c r="A64" s="1">
        <v>72</v>
      </c>
      <c r="B64" s="1" t="s">
        <v>121</v>
      </c>
      <c r="C64" s="1" t="s">
        <v>122</v>
      </c>
    </row>
    <row r="65" spans="1:20">
      <c r="A65" s="19">
        <v>80</v>
      </c>
      <c r="B65" s="19" t="s">
        <v>123</v>
      </c>
      <c r="C65" s="19"/>
      <c r="D65" s="19">
        <v>259200</v>
      </c>
      <c r="E65" s="5"/>
      <c r="F65" s="5"/>
      <c r="G65" s="5"/>
      <c r="H65" s="5"/>
      <c r="I65" s="5"/>
      <c r="J65" s="5"/>
      <c r="K65" s="5"/>
      <c r="L65" s="5"/>
      <c r="M65" s="5"/>
      <c r="N65" s="5"/>
      <c r="O65" s="5"/>
      <c r="P65" s="5"/>
      <c r="Q65" s="5"/>
      <c r="R65" s="5"/>
      <c r="S65" s="5"/>
      <c r="T65" s="5"/>
    </row>
    <row r="66" spans="1:20">
      <c r="A66" s="1">
        <v>90</v>
      </c>
      <c r="B66" s="1" t="s">
        <v>124</v>
      </c>
      <c r="D66" s="1">
        <v>10000</v>
      </c>
    </row>
  </sheetData>
  <hyperlinks>
    <hyperlink ref="C56"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2025-12-23T03:45:38Z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