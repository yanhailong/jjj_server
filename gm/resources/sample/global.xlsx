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List>
</comments>
</file>

<file path=xl/sharedStrings.xml><?xml version="1.0" encoding="utf-8"?>
<sst xmlns="http://schemas.openxmlformats.org/spreadsheetml/2006/main" count="94" uniqueCount="87">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</sst>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0" tint="-0.25"/>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7">
    <xf numFmtId="0" fontId="0" fillId="0" borderId="0" xfId="0"/>
    <xf numFmtId="0" fontId="1" fillId="0" borderId="0" xfId="0" applyFont="1"/>
    <xf numFmtId="0" fontId="0" fillId="0" borderId="1" xfId="0" applyBorder="1" applyAlignment="1">
      <alignment horizontal="left" vertical="center"/>
    </xf>
    <xf numFmtId="0" fontId="0" fillId="0" borderId="1" xfId="0" applyBorder="1" applyAlignment="1">
      <alignment vertical="center"/>
    </xf>
    <xf numFmtId="0" fontId="2"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3" fillId="0" borderId="0" xfId="0" applyFont="1"/>
    <xf numFmtId="0" fontId="0" fillId="0" borderId="0" xfId="0" applyAlignment="1">
      <alignment horizontal="left"/>
    </xf>
    <xf numFmtId="0" fontId="0" fillId="2" borderId="0" xfId="0" applyFill="1"/>
    <xf numFmtId="0" fontId="1" fillId="2" borderId="0" xfId="0" applyFont="1" applyFill="1"/>
    <xf numFmtId="0" fontId="0" fillId="3" borderId="0" xfId="0" applyFill="1"/>
    <xf numFmtId="9" fontId="0" fillId="0" borderId="0" xfId="0" applyNumberForma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2"/>
  <sheetViews>
    <sheetView tabSelected="1" workbookViewId="0">
      <pane ySplit="3" topLeftCell="A16" activePane="bottomLeft" state="frozen"/>
      <selection/>
      <selection pane="bottomLeft" activeCell="E34" sqref="E34"/>
    </sheetView>
  </sheetViews>
  <sheetFormatPr defaultColWidth="9" defaultRowHeight="14.25"/>
  <cols>
    <col min="2" max="2" width="65.375" customWidth="1"/>
    <col min="3" max="3" width="37.625" customWidth="1"/>
    <col min="4" max="4" width="9.375" customWidth="1"/>
    <col min="5" max="5" width="11.5" customWidth="1"/>
    <col min="6" max="6" width="9.625" customWidth="1"/>
    <col min="7" max="7" width="23.375" customWidth="1"/>
    <col min="10" max="10" width="11.5"/>
    <col min="12" max="12" width="11.5"/>
  </cols>
  <sheetData>
    <row r="1" spans="1:7">
      <c r="A1" s="2" t="s">
        <v>0</v>
      </c>
      <c r="B1" s="3"/>
      <c r="C1" s="3" t="s">
        <v>1</v>
      </c>
      <c r="D1" s="3" t="s">
        <v>2</v>
      </c>
      <c r="E1" s="3" t="s">
        <v>3</v>
      </c>
      <c r="F1" s="3" t="s">
        <v>4</v>
      </c>
      <c r="G1" s="3" t="s">
        <v>5</v>
      </c>
    </row>
    <row r="2" spans="1:7">
      <c r="A2" s="4" t="s">
        <v>6</v>
      </c>
      <c r="B2" s="3"/>
      <c r="C2" s="3" t="s">
        <v>7</v>
      </c>
      <c r="D2" s="5" t="s">
        <v>6</v>
      </c>
      <c r="E2" t="s">
        <v>8</v>
      </c>
      <c r="F2" s="3" t="s">
        <v>9</v>
      </c>
      <c r="G2" s="3"/>
    </row>
    <row r="3" spans="1:7">
      <c r="A3" s="6" t="s">
        <v>10</v>
      </c>
      <c r="B3" s="3"/>
      <c r="C3" s="3" t="s">
        <v>11</v>
      </c>
      <c r="D3" t="s">
        <v>12</v>
      </c>
      <c r="E3" t="s">
        <v>13</v>
      </c>
      <c r="F3" t="s">
        <v>14</v>
      </c>
      <c r="G3" s="3"/>
    </row>
    <row r="4" spans="1:7">
      <c r="A4" s="7"/>
      <c r="B4" s="5"/>
      <c r="C4" s="5"/>
      <c r="G4" s="5"/>
    </row>
    <row r="5" spans="1:7">
      <c r="A5">
        <v>1</v>
      </c>
      <c r="B5" s="5" t="s">
        <v>15</v>
      </c>
      <c r="D5" s="5">
        <v>200</v>
      </c>
      <c r="E5" s="5"/>
      <c r="F5" s="5"/>
      <c r="G5" s="5"/>
    </row>
    <row r="6" spans="1:7">
      <c r="A6">
        <v>2</v>
      </c>
      <c r="B6" s="5" t="s">
        <v>16</v>
      </c>
      <c r="D6" s="5">
        <v>10000</v>
      </c>
      <c r="E6" s="5"/>
      <c r="F6" s="5"/>
      <c r="G6" s="5" t="s">
        <v>17</v>
      </c>
    </row>
    <row r="7" spans="1:7">
      <c r="A7">
        <v>3</v>
      </c>
      <c r="B7" s="5" t="s">
        <v>18</v>
      </c>
      <c r="D7" s="5">
        <v>10000</v>
      </c>
      <c r="E7" s="5"/>
      <c r="F7" s="5"/>
      <c r="G7" s="5" t="s">
        <v>17</v>
      </c>
    </row>
    <row r="8" spans="1:7">
      <c r="A8">
        <v>4</v>
      </c>
      <c r="B8" s="5" t="s">
        <v>19</v>
      </c>
      <c r="C8" s="5">
        <v>100</v>
      </c>
      <c r="D8" s="5"/>
      <c r="E8" s="5"/>
      <c r="F8" s="5"/>
      <c r="G8" s="5" t="s">
        <v>20</v>
      </c>
    </row>
    <row r="9" spans="1:7">
      <c r="A9">
        <v>5</v>
      </c>
      <c r="B9" t="s">
        <v>21</v>
      </c>
      <c r="C9">
        <v>4</v>
      </c>
      <c r="G9" t="s">
        <v>22</v>
      </c>
    </row>
    <row r="10" spans="1:7">
      <c r="A10">
        <v>6</v>
      </c>
      <c r="B10" s="5" t="s">
        <v>23</v>
      </c>
      <c r="C10" s="17" t="s">
        <v>24</v>
      </c>
      <c r="D10" s="8"/>
      <c r="E10" s="5"/>
      <c r="F10" s="5"/>
      <c r="G10" t="s">
        <v>25</v>
      </c>
    </row>
    <row r="11" spans="1:7">
      <c r="A11">
        <v>7</v>
      </c>
      <c r="B11" s="5" t="s">
        <v>26</v>
      </c>
      <c r="C11" s="18" t="s">
        <v>27</v>
      </c>
      <c r="D11" s="9"/>
      <c r="E11" s="5"/>
      <c r="F11" s="5"/>
      <c r="G11" t="s">
        <v>25</v>
      </c>
    </row>
    <row r="12" spans="1:7">
      <c r="A12">
        <v>8</v>
      </c>
      <c r="B12" s="5" t="s">
        <v>28</v>
      </c>
      <c r="C12" s="18" t="s">
        <v>29</v>
      </c>
      <c r="D12" s="9"/>
      <c r="E12" s="5"/>
      <c r="F12" s="5"/>
      <c r="G12" t="s">
        <v>25</v>
      </c>
    </row>
    <row r="13" spans="1:7">
      <c r="A13">
        <v>9</v>
      </c>
      <c r="B13" s="5" t="s">
        <v>30</v>
      </c>
      <c r="C13" s="18" t="s">
        <v>31</v>
      </c>
      <c r="D13" s="9"/>
      <c r="E13" s="5"/>
      <c r="F13" s="5"/>
      <c r="G13" t="s">
        <v>25</v>
      </c>
    </row>
    <row r="14" spans="1:7">
      <c r="A14">
        <v>10</v>
      </c>
      <c r="B14" s="5" t="s">
        <v>32</v>
      </c>
      <c r="C14" s="18" t="s">
        <v>33</v>
      </c>
      <c r="D14" s="9"/>
      <c r="E14" s="5"/>
      <c r="F14" s="5"/>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10" t="s">
        <v>39</v>
      </c>
      <c r="G18" t="s">
        <v>40</v>
      </c>
    </row>
    <row r="19" spans="1:4">
      <c r="A19">
        <v>15</v>
      </c>
      <c r="B19" s="11"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3">
      <c r="A29">
        <v>25</v>
      </c>
      <c r="B29" t="s">
        <v>57</v>
      </c>
      <c r="C29" t="s">
        <v>58</v>
      </c>
    </row>
    <row r="30" spans="1:4">
      <c r="A30">
        <v>26</v>
      </c>
      <c r="B30" t="s">
        <v>59</v>
      </c>
      <c r="C30" s="12"/>
      <c r="D30">
        <v>100</v>
      </c>
    </row>
    <row r="31" spans="1:7">
      <c r="A31">
        <v>27</v>
      </c>
      <c r="B31" t="s">
        <v>60</v>
      </c>
      <c r="D31">
        <v>9900</v>
      </c>
      <c r="G31" t="s">
        <v>61</v>
      </c>
    </row>
    <row r="32" spans="1:3">
      <c r="A32">
        <v>28</v>
      </c>
      <c r="B32" t="s">
        <v>62</v>
      </c>
      <c r="C32" t="s">
        <v>63</v>
      </c>
    </row>
    <row r="33" spans="1:4">
      <c r="A33">
        <v>29</v>
      </c>
      <c r="B33" t="s">
        <v>64</v>
      </c>
      <c r="D33">
        <v>6</v>
      </c>
    </row>
    <row r="34" customFormat="1" spans="1:3">
      <c r="A34" s="13">
        <v>30</v>
      </c>
      <c r="B34" s="13" t="s">
        <v>65</v>
      </c>
      <c r="C34" t="s">
        <v>66</v>
      </c>
    </row>
    <row r="35" s="1" customFormat="1" spans="1:13">
      <c r="A35" s="14">
        <v>31</v>
      </c>
      <c r="B35" s="14" t="s">
        <v>67</v>
      </c>
      <c r="E35" s="1">
        <v>1000000000</v>
      </c>
      <c r="G35" s="1" t="s">
        <v>68</v>
      </c>
      <c r="H35" s="1">
        <v>718000</v>
      </c>
      <c r="I35" s="1" t="s">
        <v>69</v>
      </c>
      <c r="J35" s="1">
        <v>30</v>
      </c>
      <c r="K35" s="1" t="s">
        <v>70</v>
      </c>
      <c r="L35" s="1">
        <f>J35*24*60*60*1000</f>
        <v>2592000000</v>
      </c>
      <c r="M35" s="1" t="s">
        <v>71</v>
      </c>
    </row>
    <row r="36" spans="1:3">
      <c r="A36" s="13">
        <v>32</v>
      </c>
      <c r="B36" s="13" t="s">
        <v>72</v>
      </c>
      <c r="C36" t="s">
        <v>73</v>
      </c>
    </row>
    <row r="37" spans="1:3">
      <c r="A37" s="13">
        <v>33</v>
      </c>
      <c r="B37" s="13" t="s">
        <v>74</v>
      </c>
      <c r="C37" t="s">
        <v>75</v>
      </c>
    </row>
    <row r="38" s="1" customFormat="1" spans="1:8">
      <c r="A38" s="14">
        <v>34</v>
      </c>
      <c r="B38" s="14" t="s">
        <v>76</v>
      </c>
      <c r="C38" s="1" t="s">
        <v>77</v>
      </c>
      <c r="G38" s="1" t="s">
        <v>78</v>
      </c>
      <c r="H38" s="1">
        <f>VALUE(MID(C38,FIND("_",C38)+1,4))</f>
        <v>90</v>
      </c>
    </row>
    <row r="39" spans="1:23">
      <c r="A39" s="13">
        <v>35</v>
      </c>
      <c r="B39" s="13" t="s">
        <v>79</v>
      </c>
      <c r="C39" t="str">
        <f>_xlfn.TEXTJOIN("|",TRUE,S39:W39)</f>
        <v>3101760_1000|2584800_1000|2067840_1000|1550880_1000|1033920_1000</v>
      </c>
      <c r="G39" t="s">
        <v>80</v>
      </c>
      <c r="H39">
        <f>ROUND(L35/(E35*H38/100/H35),0)</f>
        <v>2067840</v>
      </c>
      <c r="I39" t="s">
        <v>71</v>
      </c>
      <c r="J39" t="s">
        <v>81</v>
      </c>
      <c r="K39" s="16" t="s">
        <v>82</v>
      </c>
      <c r="L39" s="16">
        <v>0.25</v>
      </c>
      <c r="M39" t="s">
        <v>83</v>
      </c>
      <c r="N39">
        <f>ROUND(P39*(1+2*L39),0)</f>
        <v>3101760</v>
      </c>
      <c r="O39">
        <f>ROUND(P39*(1+1*L39),0)</f>
        <v>2584800</v>
      </c>
      <c r="P39">
        <f>H39</f>
        <v>2067840</v>
      </c>
      <c r="Q39">
        <f>ROUND(P39*(1-1*L39),0)</f>
        <v>1550880</v>
      </c>
      <c r="R39">
        <f>ROUND(P39*(1-2*L39),0)</f>
        <v>1033920</v>
      </c>
      <c r="S39" t="str">
        <f>_xlfn.TEXTJOIN("_",TRUE,N39,1000)</f>
        <v>3101760_1000</v>
      </c>
      <c r="T39" t="str">
        <f>_xlfn.TEXTJOIN("_",TRUE,O39,1000)</f>
        <v>2584800_1000</v>
      </c>
      <c r="U39" t="str">
        <f>_xlfn.TEXTJOIN("_",TRUE,P39,1000)</f>
        <v>2067840_1000</v>
      </c>
      <c r="V39" t="str">
        <f>_xlfn.TEXTJOIN("_",TRUE,Q39,1000)</f>
        <v>1550880_1000</v>
      </c>
      <c r="W39" t="str">
        <f>_xlfn.TEXTJOIN("_",TRUE,R39,1000)</f>
        <v>1033920_1000</v>
      </c>
    </row>
    <row r="40" spans="1:4">
      <c r="A40" s="15">
        <v>40</v>
      </c>
      <c r="B40" s="15" t="s">
        <v>84</v>
      </c>
      <c r="D40">
        <v>50</v>
      </c>
    </row>
    <row r="41" spans="1:4">
      <c r="A41" s="15">
        <v>41</v>
      </c>
      <c r="B41" s="15" t="s">
        <v>85</v>
      </c>
      <c r="D41">
        <v>200</v>
      </c>
    </row>
    <row r="42" spans="1:4">
      <c r="A42" s="15">
        <v>42</v>
      </c>
      <c r="B42" s="15" t="s">
        <v>86</v>
      </c>
      <c r="D42">
        <v>2000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2025-10-10T02:11:27Z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