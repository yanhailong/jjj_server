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java\gamedoc\游戏配置表\common\"/>
    </mc:Choice>
  </mc:AlternateContent>
  <xr:revisionPtr revIDLastSave="0" documentId="13_ncr:1_{DCF864D1-CE52-4CEC-9A1B-F1C30F91D0D3}" xr6:coauthVersionLast="47" xr6:coauthVersionMax="47" xr10:uidLastSave="{00000000-0000-0000-0000-000000000000}"/>
  <bookViews>
    <workbookView xWindow="-120" yWindow="-120" windowWidth="29040" windowHeight="15990" xr2:uid="{00000000-000D-0000-FFFF-FFFF00000000}"/>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9" i="1" l="1"/>
  <c r="V39" i="1"/>
  <c r="U39" i="1"/>
  <c r="T39" i="1"/>
  <c r="S39" i="1"/>
  <c r="R39" i="1"/>
  <c r="Q39" i="1"/>
  <c r="P39" i="1"/>
  <c r="O39" i="1"/>
  <c r="N39" i="1"/>
  <c r="H39" i="1"/>
  <c r="H38" i="1"/>
  <c r="L35" i="1"/>
  <c r="D22" i="1"/>
  <c r="D1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E35" authorId="0" shapeId="0" xr:uid="{00000000-0006-0000-0000-000001000000}">
      <text>
        <r>
          <rPr>
            <b/>
            <sz val="9"/>
            <rFont val="宋体"/>
            <charset val="134"/>
          </rPr>
          <t>Administrator:</t>
        </r>
        <r>
          <rPr>
            <sz val="9"/>
            <rFont val="宋体"/>
            <charset val="134"/>
          </rPr>
          <t xml:space="preserve">
总量 ÷ 平均中奖金额 = 中奖次数
1000000000 ÷ 718000 = 1392.7577
初始天数30天</t>
        </r>
      </text>
    </comment>
  </commentList>
</comments>
</file>

<file path=xl/sharedStrings.xml><?xml version="1.0" encoding="utf-8"?>
<sst xmlns="http://schemas.openxmlformats.org/spreadsheetml/2006/main" count="92" uniqueCount="85">
  <si>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</si>
  <si>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</si>
  <si>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</si>
  <si>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</si>
  <si>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</si>
  <si>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</si>
  <si>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</si>
  <si>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</si>
  <si>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</si>
  <si>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</si>
  <si>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</si>
  <si>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</si>
  <si>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</si>
  <si>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</si>
  <si>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</si>
  <si>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</si>
  <si>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</si>
  <si>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</si>
  <si>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</si>
  <si>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</si>
  <si>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</si>
  <si>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</si>
  <si>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</si>
  <si>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</si>
  <si>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</si>
  <si>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</si>
  <si>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</si>
  <si>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</si>
  <si>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</si>
  <si>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</si>
  <si>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</si>
  <si>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</si>
  <si>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</si>
  <si>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</si>
  <si>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</si>
  <si>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</si>
  <si>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</si>
  <si>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</si>
  <si>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</si>
  <si>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</si>
  <si>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</si>
  <si>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</si>
  <si>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</si>
  <si>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</si>
  <si>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</si>
  <si>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</si>
  <si>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</si>
  <si>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</si>
  <si>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</si>
  <si>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</si>
  <si>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</si>
  <si>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</si>
  <si>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</si>
  <si>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</si>
  <si>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</si>
  <si>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</si>
  <si>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</si>
  <si>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</si>
  <si>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</si>
  <si>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</si>
  <si>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</si>
  <si>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</si>
  <si>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</si>
  <si>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</si>
  <si>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</si>
  <si>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</si>
  <si>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</si>
  <si>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t>
  </si>
  <si>
    <t>从OfficialAwards表中取平均中奖金额</t>
  </si>
  <si>
    <t>活动时间</t>
  </si>
  <si>
    <t>天</t>
  </si>
  <si>
    <t>毫秒</t>
  </si>
  <si>
    <t>官方派奖：有效下注转换积分比例 ：有效下注 = X积分</t>
  </si>
  <si>
    <t>100000_1</t>
  </si>
  <si>
    <t>官方派奖：充值转换积分比例 ：充值金额 = X积分</t>
  </si>
  <si>
    <t>10_1</t>
  </si>
  <si>
    <t>官方派奖：真人和机器人奖池比例(百分比)</t>
  </si>
  <si>
    <t>10_90</t>
  </si>
  <si>
    <t>机器人奖池比例</t>
  </si>
  <si>
    <t>官方派奖：机器人中奖间隔（毫秒_权重|毫秒_权重）</t>
  </si>
  <si>
    <t>平均中奖间隔</t>
  </si>
  <si>
    <t>共5档</t>
  </si>
  <si>
    <t>每档偏移</t>
  </si>
  <si>
    <t>每档时间</t>
  </si>
  <si>
    <t>3101760_1000|2584800_1000|2067840_1000|1550880_1000|1033920_1000</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</si>
</sst>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等线"/>
      <charset val="134"/>
      <scheme val="minor"/>
    </font>
    <font>
      <sz val="10"/>
      <color theme="1"/>
      <name val="等线"/>
      <charset val="134"/>
      <scheme val="minor"/>
    </font>
    <font>
      <sz val="11"/>
      <color theme="1"/>
      <name val="等线"/>
      <charset val="134"/>
    </font>
    <font>
      <b/>
      <sz val="9"/>
      <name val="宋体"/>
      <charset val="134"/>
    </font>
    <font>
      <sz val="9"/>
      <name val="宋体"/>
      <charset val="134"/>
    </font>
    <font>
      <sz val="9"/>
      <name val="等线"/>
      <charset val="134"/>
      <scheme val="minor"/>
    </font>
    <font>
      <sz val="11"/>
      <color theme="1"/>
      <name val="等线"/>
      <family val="3"/>
      <charset val="134"/>
      <scheme val="minor"/>
    </font>
  </fonts>
  <fills count="2">
    <fill>
      <patternFill patternType="none"/>
    </fill>
    <fill>
      <patternFill patternType="gray125"/>
    </fill>
  </fills>
  <borders count="2">
    <border>
      <left/>
      <right/>
      <top/>
      <bottom/>
      <diagonal/>
    </border>
    <border>
      <left style="thin">
        <color rgb="FFDEE0E3"/>
      </left>
      <right style="thin">
        <color rgb="FFDEE0E3"/>
      </right>
      <top style="thin">
        <color rgb="FFDEE0E3"/>
      </top>
      <bottom style="thin">
        <color rgb="FFDEE0E3"/>
      </bottom>
      <diagonal/>
    </border>
  </borders>
  <cellStyleXfs count="1">
    <xf numFmtId="0" fontId="0" fillId="0" borderId="0"/>
  </cellStyleXfs>
  <cellXfs count="14">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0" xfId="0" applyAlignment="1">
      <alignment horizontal="left" vertical="center"/>
    </xf>
    <xf numFmtId="3" fontId="0" fillId="0" borderId="0" xfId="0" applyNumberFormat="1" applyAlignment="1">
      <alignment vertical="center"/>
    </xf>
    <xf numFmtId="20" fontId="0" fillId="0" borderId="0" xfId="0" applyNumberFormat="1"/>
    <xf numFmtId="0" fontId="2" fillId="0" borderId="0" xfId="0" applyFont="1"/>
    <xf numFmtId="0" fontId="0" fillId="0" borderId="0" xfId="0" applyAlignment="1">
      <alignment horizontal="left"/>
    </xf>
    <xf numFmtId="9" fontId="0" fillId="0" borderId="0" xfId="0" applyNumberFormat="1"/>
    <xf numFmtId="3" fontId="0" fillId="0" borderId="0" xfId="0" quotePrefix="1" applyNumberFormat="1" applyAlignment="1">
      <alignment vertical="center"/>
    </xf>
    <xf numFmtId="0" fontId="0" fillId="0" borderId="0" xfId="0" quotePrefix="1" applyAlignment="1">
      <alignment vertical="center"/>
    </xf>
    <xf numFmtId="0" fontId="6" fillId="0" borderId="0" xfId="0" applyFont="1"/>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9"/>
  <sheetViews>
    <sheetView tabSelected="1" topLeftCell="A19" workbookViewId="0">
      <selection activeCell="C43" activeCellId="1" sqref="C39 C43"/>
    </sheetView>
  </sheetViews>
  <sheetFormatPr defaultColWidth="9" defaultRowHeight="14.25" x14ac:dyDescent="0.2"/>
  <cols>
    <col min="2" max="2" width="65.375" customWidth="1"/>
    <col min="3" max="3" width="37.625" customWidth="1"/>
    <col min="4" max="4" width="9.375" customWidth="1"/>
    <col min="5" max="5" width="11.5" customWidth="1"/>
    <col min="6" max="6" width="9.625" customWidth="1"/>
    <col min="7" max="7" width="23.375" customWidth="1"/>
    <col min="10" max="10" width="11.5"/>
    <col min="12" max="12" width="11.5"/>
  </cols>
  <sheetData>
    <row r="1" spans="1:7" x14ac:dyDescent="0.2">
      <c r="A1" s="1" t="s">
        <v>0</v>
      </c>
      <c r="B1" s="2"/>
      <c r="C1" s="2" t="s">
        <v>1</v>
      </c>
      <c r="D1" s="2" t="s">
        <v>2</v>
      </c>
      <c r="E1" s="2" t="s">
        <v>3</v>
      </c>
      <c r="F1" s="2" t="s">
        <v>4</v>
      </c>
      <c r="G1" s="2" t="s">
        <v>5</v>
      </c>
    </row>
    <row r="2" spans="1:7" x14ac:dyDescent="0.2">
      <c r="A2" s="3" t="s">
        <v>6</v>
      </c>
      <c r="B2" s="2"/>
      <c r="C2" s="2" t="s">
        <v>7</v>
      </c>
      <c r="D2" s="4" t="s">
        <v>6</v>
      </c>
      <c r="E2" t="s">
        <v>8</v>
      </c>
      <c r="F2" s="2" t="s">
        <v>9</v>
      </c>
      <c r="G2" s="2"/>
    </row>
    <row r="3" spans="1:7" x14ac:dyDescent="0.2">
      <c r="A3" s="1" t="s">
        <v>10</v>
      </c>
      <c r="B3" s="2"/>
      <c r="C3" s="2" t="s">
        <v>11</v>
      </c>
      <c r="D3" t="s">
        <v>12</v>
      </c>
      <c r="E3" t="s">
        <v>13</v>
      </c>
      <c r="F3" t="s">
        <v>14</v>
      </c>
      <c r="G3" s="2"/>
    </row>
    <row r="4" spans="1:7" x14ac:dyDescent="0.2">
      <c r="A4" s="5"/>
      <c r="B4" s="4"/>
      <c r="C4" s="4"/>
      <c r="G4" s="4"/>
    </row>
    <row r="5" spans="1:7" x14ac:dyDescent="0.2">
      <c r="A5">
        <v>1</v>
      </c>
      <c r="B5" s="4" t="s">
        <v>15</v>
      </c>
      <c r="D5" s="4">
        <v>200</v>
      </c>
      <c r="E5" s="4"/>
      <c r="F5" s="4"/>
      <c r="G5" s="4"/>
    </row>
    <row r="6" spans="1:7" x14ac:dyDescent="0.2">
      <c r="A6">
        <v>2</v>
      </c>
      <c r="B6" s="4" t="s">
        <v>16</v>
      </c>
      <c r="D6" s="4">
        <v>10000</v>
      </c>
      <c r="E6" s="4"/>
      <c r="F6" s="4"/>
      <c r="G6" s="4" t="s">
        <v>17</v>
      </c>
    </row>
    <row r="7" spans="1:7" x14ac:dyDescent="0.2">
      <c r="A7">
        <v>3</v>
      </c>
      <c r="B7" s="4" t="s">
        <v>18</v>
      </c>
      <c r="D7" s="4">
        <v>10000</v>
      </c>
      <c r="E7" s="4"/>
      <c r="F7" s="4"/>
      <c r="G7" s="4" t="s">
        <v>17</v>
      </c>
    </row>
    <row r="8" spans="1:7" x14ac:dyDescent="0.2">
      <c r="A8">
        <v>4</v>
      </c>
      <c r="B8" s="4" t="s">
        <v>19</v>
      </c>
      <c r="C8" s="4">
        <v>100</v>
      </c>
      <c r="D8" s="4"/>
      <c r="E8" s="4"/>
      <c r="F8" s="4"/>
      <c r="G8" s="4" t="s">
        <v>20</v>
      </c>
    </row>
    <row r="9" spans="1:7" x14ac:dyDescent="0.2">
      <c r="A9">
        <v>5</v>
      </c>
      <c r="B9" t="s">
        <v>21</v>
      </c>
      <c r="C9">
        <v>4</v>
      </c>
      <c r="G9" t="s">
        <v>22</v>
      </c>
    </row>
    <row r="10" spans="1:7" x14ac:dyDescent="0.2">
      <c r="A10">
        <v>6</v>
      </c>
      <c r="B10" s="4" t="s">
        <v>23</v>
      </c>
      <c r="C10" s="11" t="s">
        <v>24</v>
      </c>
      <c r="D10" s="6"/>
      <c r="E10" s="4"/>
      <c r="F10" s="4"/>
      <c r="G10" t="s">
        <v>25</v>
      </c>
    </row>
    <row r="11" spans="1:7" x14ac:dyDescent="0.2">
      <c r="A11">
        <v>7</v>
      </c>
      <c r="B11" s="4" t="s">
        <v>26</v>
      </c>
      <c r="C11" s="12" t="s">
        <v>27</v>
      </c>
      <c r="D11" s="4"/>
      <c r="E11" s="4"/>
      <c r="F11" s="4"/>
      <c r="G11" t="s">
        <v>25</v>
      </c>
    </row>
    <row r="12" spans="1:7" x14ac:dyDescent="0.2">
      <c r="A12">
        <v>8</v>
      </c>
      <c r="B12" s="4" t="s">
        <v>28</v>
      </c>
      <c r="C12" s="12" t="s">
        <v>29</v>
      </c>
      <c r="D12" s="4"/>
      <c r="E12" s="4"/>
      <c r="F12" s="4"/>
      <c r="G12" t="s">
        <v>25</v>
      </c>
    </row>
    <row r="13" spans="1:7" x14ac:dyDescent="0.2">
      <c r="A13">
        <v>9</v>
      </c>
      <c r="B13" s="4" t="s">
        <v>30</v>
      </c>
      <c r="C13" s="12" t="s">
        <v>31</v>
      </c>
      <c r="D13" s="4"/>
      <c r="E13" s="4"/>
      <c r="F13" s="4"/>
      <c r="G13" t="s">
        <v>25</v>
      </c>
    </row>
    <row r="14" spans="1:7" x14ac:dyDescent="0.2">
      <c r="A14">
        <v>10</v>
      </c>
      <c r="B14" s="4" t="s">
        <v>32</v>
      </c>
      <c r="C14" s="12" t="s">
        <v>33</v>
      </c>
      <c r="D14" s="4"/>
      <c r="E14" s="4"/>
      <c r="F14" s="4"/>
      <c r="G14" t="s">
        <v>25</v>
      </c>
    </row>
    <row r="15" spans="1:7" x14ac:dyDescent="0.2">
      <c r="A15">
        <v>11</v>
      </c>
      <c r="B15" t="s">
        <v>34</v>
      </c>
      <c r="D15">
        <f>2*3*5*3</f>
        <v>90</v>
      </c>
    </row>
    <row r="16" spans="1:7" x14ac:dyDescent="0.2">
      <c r="A16">
        <v>12</v>
      </c>
      <c r="B16" t="s">
        <v>35</v>
      </c>
      <c r="D16">
        <v>100</v>
      </c>
      <c r="G16" t="s">
        <v>36</v>
      </c>
    </row>
    <row r="17" spans="1:7" x14ac:dyDescent="0.2">
      <c r="A17">
        <v>13</v>
      </c>
      <c r="B17" t="s">
        <v>37</v>
      </c>
      <c r="D17">
        <v>1</v>
      </c>
    </row>
    <row r="18" spans="1:7" x14ac:dyDescent="0.2">
      <c r="A18">
        <v>14</v>
      </c>
      <c r="B18" t="s">
        <v>38</v>
      </c>
      <c r="C18" s="7" t="s">
        <v>39</v>
      </c>
      <c r="G18" t="s">
        <v>40</v>
      </c>
    </row>
    <row r="19" spans="1:7" x14ac:dyDescent="0.2">
      <c r="A19">
        <v>15</v>
      </c>
      <c r="B19" s="8" t="s">
        <v>41</v>
      </c>
      <c r="D19">
        <v>5</v>
      </c>
    </row>
    <row r="20" spans="1:7" x14ac:dyDescent="0.2">
      <c r="A20">
        <v>16</v>
      </c>
      <c r="B20" t="s">
        <v>42</v>
      </c>
      <c r="D20">
        <v>10</v>
      </c>
    </row>
    <row r="21" spans="1:7" x14ac:dyDescent="0.2">
      <c r="A21">
        <v>17</v>
      </c>
      <c r="B21" t="s">
        <v>43</v>
      </c>
      <c r="C21" t="s">
        <v>44</v>
      </c>
    </row>
    <row r="22" spans="1:7" x14ac:dyDescent="0.2">
      <c r="A22">
        <v>18</v>
      </c>
      <c r="B22" t="s">
        <v>45</v>
      </c>
      <c r="D22">
        <f>7*24*60*60</f>
        <v>604800</v>
      </c>
    </row>
    <row r="23" spans="1:7" x14ac:dyDescent="0.2">
      <c r="A23">
        <v>19</v>
      </c>
      <c r="B23" t="s">
        <v>46</v>
      </c>
      <c r="C23" t="s">
        <v>47</v>
      </c>
    </row>
    <row r="24" spans="1:7" x14ac:dyDescent="0.2">
      <c r="A24">
        <v>20</v>
      </c>
      <c r="B24" t="s">
        <v>48</v>
      </c>
      <c r="D24">
        <v>10</v>
      </c>
    </row>
    <row r="25" spans="1:7" x14ac:dyDescent="0.2">
      <c r="A25">
        <v>21</v>
      </c>
      <c r="B25" t="s">
        <v>49</v>
      </c>
      <c r="C25" t="s">
        <v>50</v>
      </c>
      <c r="G25" t="s">
        <v>51</v>
      </c>
    </row>
    <row r="26" spans="1:7" x14ac:dyDescent="0.2">
      <c r="A26">
        <v>22</v>
      </c>
      <c r="B26" t="s">
        <v>52</v>
      </c>
      <c r="C26" t="s">
        <v>53</v>
      </c>
      <c r="G26" t="s">
        <v>54</v>
      </c>
    </row>
    <row r="27" spans="1:7" x14ac:dyDescent="0.2">
      <c r="A27">
        <v>23</v>
      </c>
      <c r="B27" t="s">
        <v>55</v>
      </c>
      <c r="D27">
        <v>10000</v>
      </c>
    </row>
    <row r="28" spans="1:7" x14ac:dyDescent="0.2">
      <c r="A28">
        <v>24</v>
      </c>
      <c r="B28" t="s">
        <v>56</v>
      </c>
      <c r="D28">
        <v>100</v>
      </c>
    </row>
    <row r="29" spans="1:7" x14ac:dyDescent="0.2">
      <c r="A29">
        <v>25</v>
      </c>
      <c r="B29" t="s">
        <v>57</v>
      </c>
      <c r="C29" t="s">
        <v>58</v>
      </c>
    </row>
    <row r="30" spans="1:7" x14ac:dyDescent="0.2">
      <c r="A30">
        <v>26</v>
      </c>
      <c r="B30" t="s">
        <v>59</v>
      </c>
      <c r="C30" s="9"/>
      <c r="D30">
        <v>500</v>
      </c>
    </row>
    <row r="31" spans="1:7" x14ac:dyDescent="0.2">
      <c r="A31">
        <v>27</v>
      </c>
      <c r="B31" t="s">
        <v>60</v>
      </c>
      <c r="D31">
        <v>9900</v>
      </c>
      <c r="G31" t="s">
        <v>61</v>
      </c>
    </row>
    <row r="32" spans="1:7" x14ac:dyDescent="0.2">
      <c r="A32">
        <v>28</v>
      </c>
      <c r="B32" t="s">
        <v>62</v>
      </c>
      <c r="C32" t="s">
        <v>63</v>
      </c>
    </row>
    <row r="33" spans="1:23" x14ac:dyDescent="0.2">
      <c r="A33">
        <v>29</v>
      </c>
      <c r="B33" t="s">
        <v>64</v>
      </c>
      <c r="D33">
        <v>6</v>
      </c>
    </row>
    <row r="34" spans="1:23" x14ac:dyDescent="0.2">
      <c r="A34">
        <v>30</v>
      </c>
      <c r="B34" t="s">
        <v>65</v>
      </c>
      <c r="C34" t="s">
        <v>66</v>
      </c>
    </row>
    <row r="35" spans="1:23" x14ac:dyDescent="0.2">
      <c r="A35">
        <v>31</v>
      </c>
      <c r="B35" t="s">
        <v>67</v>
      </c>
      <c r="E35">
        <v>1000000000</v>
      </c>
      <c r="G35" t="s">
        <v>68</v>
      </c>
      <c r="H35">
        <v>718000</v>
      </c>
      <c r="I35" t="s">
        <v>69</v>
      </c>
      <c r="J35">
        <v>30</v>
      </c>
      <c r="K35" t="s">
        <v>70</v>
      </c>
      <c r="L35">
        <f>J35*24*60*60*1000</f>
        <v>2592000000</v>
      </c>
      <c r="M35" t="s">
        <v>71</v>
      </c>
    </row>
    <row r="36" spans="1:23" x14ac:dyDescent="0.2">
      <c r="A36">
        <v>32</v>
      </c>
      <c r="B36" t="s">
        <v>72</v>
      </c>
      <c r="C36" t="s">
        <v>73</v>
      </c>
    </row>
    <row r="37" spans="1:23" x14ac:dyDescent="0.2">
      <c r="A37">
        <v>33</v>
      </c>
      <c r="B37" t="s">
        <v>74</v>
      </c>
      <c r="C37" t="s">
        <v>75</v>
      </c>
    </row>
    <row r="38" spans="1:23" x14ac:dyDescent="0.2">
      <c r="A38">
        <v>34</v>
      </c>
      <c r="B38" t="s">
        <v>76</v>
      </c>
      <c r="C38" t="s">
        <v>77</v>
      </c>
      <c r="G38" t="s">
        <v>78</v>
      </c>
      <c r="H38">
        <f>VALUE(MID(C38,FIND("_",C38)+1,4))</f>
        <v>90</v>
      </c>
    </row>
    <row r="39" spans="1:23" x14ac:dyDescent="0.2">
      <c r="A39">
        <v>35</v>
      </c>
      <c r="B39" t="s">
        <v>79</v>
      </c>
      <c r="C39" s="13" t="s">
        <v>84</v>
      </c>
      <c r="G39" t="s">
        <v>80</v>
      </c>
      <c r="H39">
        <f>ROUND(L35/(E35*H38/100/H35),0)</f>
        <v>2067840</v>
      </c>
      <c r="I39" t="s">
        <v>71</v>
      </c>
      <c r="J39" t="s">
        <v>81</v>
      </c>
      <c r="K39" s="10" t="s">
        <v>82</v>
      </c>
      <c r="L39" s="10">
        <v>0.25</v>
      </c>
      <c r="M39" t="s">
        <v>83</v>
      </c>
      <c r="N39">
        <f>ROUND(P39*(1+2*L39),0)</f>
        <v>3101760</v>
      </c>
      <c r="O39">
        <f>ROUND(P39*(1+1*L39),0)</f>
        <v>2584800</v>
      </c>
      <c r="P39">
        <f>H39</f>
        <v>2067840</v>
      </c>
      <c r="Q39">
        <f>ROUND(P39*(1-1*L39),0)</f>
        <v>1550880</v>
      </c>
      <c r="R39">
        <f>ROUND(P39*(1-2*L39),0)</f>
        <v>1033920</v>
      </c>
      <c r="S39" t="str">
        <f>_xlfn.TEXTJOIN("_",TRUE,N39,1000)</f>
        <v>3101760_1000</v>
      </c>
      <c r="T39" t="str">
        <f>_xlfn.TEXTJOIN("_",TRUE,O39,1000)</f>
        <v>2584800_1000</v>
      </c>
      <c r="U39" t="str">
        <f>_xlfn.TEXTJOIN("_",TRUE,P39,1000)</f>
        <v>2067840_1000</v>
      </c>
      <c r="V39" t="str">
        <f>_xlfn.TEXTJOIN("_",TRUE,Q39,1000)</f>
        <v>1550880_1000</v>
      </c>
      <c r="W39" t="str">
        <f>_xlfn.TEXTJOIN("_",TRUE,R39,1000)</f>
        <v>1033920_1000</v>
      </c>
    </row>
  </sheetData>
  <phoneticPr fontId="5" type="noConversion"/>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globalConfig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2025-09-23T03:39:09Z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