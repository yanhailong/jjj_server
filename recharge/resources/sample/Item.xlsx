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9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0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<sst xmlns="http://schemas.openxmlformats.org/spreadsheetml/2006/main" count="1079" uniqueCount="523">
  <si>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</si>
  <si>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</si>
  <si>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</si>
  <si>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</si>
  <si>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</si>
  <si>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</si>
  <si>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</si>
  <si>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</si>
  <si>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</si>
  <si>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</si>
  <si>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</si>
  <si>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</si>
  <si>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</si>
  <si>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</si>
  <si>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</si>
  <si>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</si>
  <si>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</si>
  <si>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</si>
  <si>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</si>
  <si>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</si>
  <si>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</si>
  <si>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</si>
  <si>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</si>
  <si>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</si>
  <si>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</si>
  <si>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</si>
  <si>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</si>
  <si>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</si>
  <si>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</si>
  <si>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</si>
  <si>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</si>
  <si>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</si>
  <si>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</si>
  <si>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</si>
  <si>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</si>
  <si>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</si>
  <si>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</si>
  <si>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</si>
  <si>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</si>
  <si>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</si>
  <si>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</si>
  <si>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</si>
  <si>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</si>
  <si>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</si>
  <si>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</si>
  <si>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</si>
  <si>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</si>
  <si>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</si>
  <si>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</si>
  <si>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</si>
  <si>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</si>
  <si>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</si>
  <si>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</si>
  <si>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</si>
  <si>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</si>
  <si>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</si>
  <si>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</si>
  <si>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</si>
  <si>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</si>
  <si>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</si>
  <si>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</si>
  <si>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</si>
  <si>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</si>
  <si>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</si>
  <si>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</si>
  <si>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</si>
  <si>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</si>
  <si>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</si>
  <si>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</si>
  <si>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</si>
  <si>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</si>
  <si>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</si>
  <si>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</si>
  <si>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</si>
  <si>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</si>
  <si>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</si>
  <si>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</si>
  <si>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</si>
  <si>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</si>
  <si>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</si>
  <si>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</si>
  <si>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</si>
  <si>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</si>
  <si>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</si>
  <si>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</si>
  <si>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</si>
  <si>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</si>
  <si>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</si>
  <si>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</si>
  <si>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</si>
  <si>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</si>
  <si>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</si>
  <si>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</si>
  <si>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</si>
  <si>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</si>
  <si>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</si>
  <si>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</si>
  <si>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</si>
  <si>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</si>
  <si>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</si>
  <si>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</si>
  <si>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</si>
  <si>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</si>
  <si>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</si>
  <si>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</si>
  <si>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</si>
  <si>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</si>
  <si>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</si>
  <si>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</si>
  <si>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</si>
  <si>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</si>
  <si>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</si>
  <si>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</si>
  <si>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</si>
  <si>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</si>
  <si>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</si>
  <si>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</si>
  <si>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</si>
  <si>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</si>
  <si>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</si>
  <si>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</si>
  <si>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</si>
  <si>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</si>
  <si>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</si>
  <si>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</si>
  <si>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</si>
  <si>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</si>
  <si>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</si>
  <si>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</si>
  <si>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</si>
  <si>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</si>
  <si>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</si>
  <si>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</si>
  <si>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</si>
  <si>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</si>
  <si>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</si>
  <si>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</si>
  <si>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</si>
  <si>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</si>
  <si>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</si>
  <si>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</si>
  <si>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</si>
  <si>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</si>
  <si>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</si>
  <si>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</si>
  <si>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</si>
  <si>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</si>
  <si>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</si>
  <si>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</si>
  <si>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</si>
  <si>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</si>
  <si>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</si>
  <si>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</si>
  <si>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</si>
  <si>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</si>
  <si>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</si>
  <si>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</si>
  <si>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</si>
  <si>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</si>
  <si>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</si>
  <si>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</si>
  <si>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</si>
  <si>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</si>
  <si>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</si>
  <si>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</si>
  <si>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</si>
  <si>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</si>
  <si>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</si>
  <si>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</si>
  <si>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</si>
  <si>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</si>
  <si>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</si>
  <si>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</si>
  <si>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</si>
  <si>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</si>
  <si>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</si>
  <si>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</si>
  <si>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</si>
  <si>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</si>
  <si>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</si>
  <si>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</si>
  <si>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</si>
  <si>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</si>
  <si>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</si>
  <si>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升级游戏特殊词条</t>
  </si>
  <si>
    <t>稀有研究点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</si>
  <si>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</si>
  <si>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</si>
  <si>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</si>
  <si>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</si>
  <si>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</si>
  <si>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</si>
  <si>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</si>
  <si>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</si>
  <si>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</si>
  <si>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</si>
  <si>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</si>
  <si>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</si>
  <si>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</si>
  <si>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</si>
  <si>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</si>
  <si>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</si>
  <si>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</si>
  <si>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</si>
  <si>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</si>
  <si>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</si>
  <si>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</si>
  <si>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</si>
  <si>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</si>
  <si>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</si>
  <si>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</si>
  <si>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</si>
  <si>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</si>
  <si>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</si>
  <si>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</si>
  <si>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</si>
  <si>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</si>
  <si>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</si>
  <si>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</si>
  <si>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</si>
  <si>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</si>
  <si>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</si>
  <si>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yjy_tb_cjmx.png</t>
  </si>
  <si>
    <t>升级超级明星游戏特殊词条</t>
  </si>
  <si>
    <t>yjy_tb_smfy.png</t>
  </si>
  <si>
    <t>升级神马飞扬游戏特殊词条</t>
  </si>
  <si>
    <t>yjy_tb_hhsc.png</t>
  </si>
  <si>
    <t>升级虎虎生财游戏特殊词条</t>
  </si>
  <si>
    <t>yjy_tb_ajyh.png</t>
  </si>
  <si>
    <t>升级埃及延后游戏特殊词条</t>
  </si>
  <si>
    <t>yjy_tb_jszc.png</t>
  </si>
  <si>
    <t>升级金蛇招财游戏特殊词条</t>
  </si>
  <si>
    <t>yjy_tb_jqt.png</t>
  </si>
  <si>
    <t>升级金钱兔游戏特殊词条</t>
  </si>
  <si>
    <t>yjy_tb_mjhl.png</t>
  </si>
  <si>
    <t>升级麻将胡了游戏特殊词条</t>
  </si>
  <si>
    <t>yjy_tb_nqct.png</t>
  </si>
  <si>
    <t>升级牛气冲天游戏特殊词条</t>
  </si>
  <si>
    <t>yjy_tb_sshh.png</t>
  </si>
  <si>
    <t>升级鼠鼠福福游戏特殊词条</t>
  </si>
  <si>
    <t>yjy_tb_sdkhy.png</t>
  </si>
  <si>
    <t>升级圣诞狂欢夜游戏特殊词条</t>
  </si>
  <si>
    <t>镐</t>
  </si>
  <si>
    <t>挖矿小游戏的基础挖掘道具</t>
  </si>
  <si>
    <t>炸弹</t>
  </si>
  <si>
    <t>挖矿小游戏的特殊挖掘道具，可挖掘一横排；</t>
  </si>
  <si>
    <t>挖机</t>
  </si>
  <si>
    <t>挖矿小游戏的特殊挖掘道具，可挖掘3*3范围的格子</t>
  </si>
  <si>
    <t>铜矿</t>
  </si>
  <si>
    <t>挖矿小游戏中的低价值矿石，可在兑换商店中兑换道具</t>
  </si>
  <si>
    <t>银矿</t>
  </si>
  <si>
    <t>挖矿小游戏中的中价值矿石，可在兑换商店中兑换道具</t>
  </si>
  <si>
    <t>金矿</t>
  </si>
  <si>
    <t>挖矿小游戏中的高价值矿石，可在兑换商店中兑换道具</t>
  </si>
  <si>
    <t>yjy_tb_cs.png</t>
  </si>
  <si>
    <t>升级财神游戏特殊词条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</si>
  <si>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</si>
  <si>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</si>
  <si>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</si>
  <si>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</si>
  <si>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</si>
  <si>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</si>
  <si>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</si>
  <si>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</si>
  <si>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</si>
  <si>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</si>
  <si>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</si>
  <si>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</si>
  <si>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</si>
  <si>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</si>
  <si>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</si>
  <si>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</si>
  <si>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</si>
  <si>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</si>
  <si>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</si>
  <si>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</si>
  <si>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</si>
  <si>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</si>
  <si>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</si>
  <si>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</si>
  <si>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</si>
  <si>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</si>
  <si>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</si>
  <si>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</si>
  <si>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</si>
  <si>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</si>
  <si>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</si>
  <si>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</si>
  <si>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</si>
  <si>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</si>
  <si>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</si>
  <si>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</si>
  <si>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</si>
  <si>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</si>
  <si>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</si>
  <si>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</si>
  <si>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</si>
  <si>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</si>
  <si>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</si>
  <si>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</si>
  <si>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</si>
  <si>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</si>
  <si>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</si>
  <si>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</si>
  <si>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</si>
  <si>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</si>
  <si>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</si>
  <si>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</si>
  <si>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</si>
  <si>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</si>
  <si>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</si>
  <si>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</si>
  <si>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</si>
  <si>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</si>
  <si>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</si>
  <si>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</si>
  <si>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itemicon_1020002.png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</si>
  <si>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</si>
  <si>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</si>
  <si>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</si>
  <si>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</si>
  <si>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</si>
  <si>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</si>
  <si>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</si>
  <si>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</si>
  <si>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</si>
  <si>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</si>
  <si>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</si>
  <si>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</si>
  <si>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</si>
  <si>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</si>
  <si>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</si>
  <si>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</si>
  <si>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</si>
  <si>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</si>
  <si>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</si>
  <si>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</si>
  <si>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</si>
  <si>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</si>
  <si>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</si>
  <si>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</si>
  <si>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</si>
  <si>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</si>
  <si>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</si>
  <si>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</si>
  <si>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</si>
  <si>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</si>
  <si>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</si>
  <si>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</si>
  <si>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</si>
  <si>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</si>
  <si>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</si>
  <si>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itemicon_1020006.png</t>
  </si>
  <si>
    <t>挑战券</t>
  </si>
  <si>
    <t>用于主动匹配所消耗的道具</t>
  </si>
  <si>
    <t>白色宝石箱</t>
  </si>
  <si>
    <t>可以指定开出任意白色宝石的箱子</t>
  </si>
  <si>
    <t>绿色宝石箱</t>
  </si>
  <si>
    <t>可以指定开出任意绿色宝石的箱子</t>
  </si>
  <si>
    <t>蓝色宝石箱</t>
  </si>
  <si>
    <t>可以指定开出任意蓝色宝石的箱子</t>
  </si>
  <si>
    <t>紫色宝石箱</t>
  </si>
  <si>
    <t>可以指定开出任意紫色宝石的箱子</t>
  </si>
  <si>
    <t>橙色宝石箱</t>
  </si>
  <si>
    <t>可以指定开出任意橙色宝石的箱子</t>
  </si>
  <si>
    <t>基础命中.白</t>
  </si>
  <si>
    <t>普通模式Spin基础中奖概率+%s</t>
  </si>
  <si>
    <t>免费命中.白</t>
  </si>
  <si>
    <t>处于免费旋转模式时，该模式内中奖概率+%s</t>
  </si>
  <si>
    <t>基础收益.白</t>
  </si>
  <si>
    <t>10-20倍区间的中奖概率+%s</t>
  </si>
  <si>
    <t>大奖冲刺.白</t>
  </si>
  <si>
    <t>50-100倍区间的触发概率+%s</t>
  </si>
  <si>
    <t>下注提升.白</t>
  </si>
  <si>
    <t>下注的金额提升到%s</t>
  </si>
  <si>
    <t>免费模式.白</t>
  </si>
  <si>
    <t>进入免费旋转模式的概率+%s</t>
  </si>
  <si>
    <t>基础命中.绿</t>
  </si>
  <si>
    <t>免费命中.绿</t>
  </si>
  <si>
    <t>基础收益.绿</t>
  </si>
  <si>
    <t>大奖冲刺.绿</t>
  </si>
  <si>
    <t>下注提升.绿</t>
  </si>
  <si>
    <t>免费模式.绿</t>
  </si>
  <si>
    <t>基础命中.蓝</t>
  </si>
  <si>
    <t>免费命中.蓝</t>
  </si>
  <si>
    <t>基础收益.蓝</t>
  </si>
  <si>
    <t>大奖冲刺.蓝</t>
  </si>
  <si>
    <t>下注提升.蓝</t>
  </si>
  <si>
    <t>免费模式.蓝</t>
  </si>
  <si>
    <t>基础命中.紫</t>
  </si>
  <si>
    <t>免费命中.紫</t>
  </si>
  <si>
    <t>基础收益.紫</t>
  </si>
  <si>
    <t>大奖冲刺.紫</t>
  </si>
  <si>
    <t>下注提升.紫</t>
  </si>
  <si>
    <t>免费模式.紫</t>
  </si>
  <si>
    <t>基础命中.橙</t>
  </si>
  <si>
    <t>免费命中.橙</t>
  </si>
  <si>
    <t>基础收益.橙</t>
  </si>
  <si>
    <t>大奖冲刺.橙</t>
  </si>
  <si>
    <t>下注提升.橙</t>
  </si>
  <si>
    <t>免费模式.橙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</si>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</sst>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4" fillId="0" borderId="0" xfId="0" applyFont="1" applyAlignment="1">
      <alignment vertical="center" wrapText="1"/>
    </xf>
    <xf numFmtId="0" fontId="5" fillId="0" borderId="1" xfId="0" applyFont="1" applyBorder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18"/>
  <sheetViews>
    <sheetView tabSelected="1" zoomScale="85" zoomScaleNormal="85" workbookViewId="0">
      <pane ySplit="4" topLeftCell="A74" activePane="bottomLeft" state="frozen"/>
      <selection/>
      <selection pane="bottomLeft" activeCell="H77" sqref="H77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8" width="18.375" style="1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4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4" t="s">
        <v>20</v>
      </c>
      <c r="B2" s="4"/>
      <c r="C2" s="4" t="s">
        <v>20</v>
      </c>
      <c r="D2" s="4"/>
      <c r="E2" s="4" t="s">
        <v>20</v>
      </c>
      <c r="F2" s="5"/>
      <c r="G2" s="4" t="s">
        <v>20</v>
      </c>
      <c r="H2" s="4" t="s">
        <v>21</v>
      </c>
      <c r="I2" s="4" t="s">
        <v>20</v>
      </c>
      <c r="J2" s="4" t="s">
        <v>22</v>
      </c>
      <c r="K2" s="4" t="s">
        <v>22</v>
      </c>
      <c r="L2" s="4" t="s">
        <v>21</v>
      </c>
      <c r="M2" s="4" t="s">
        <v>20</v>
      </c>
      <c r="N2" s="4" t="s">
        <v>22</v>
      </c>
      <c r="O2" s="4"/>
      <c r="P2" s="4" t="s">
        <v>20</v>
      </c>
      <c r="Q2" s="4" t="s">
        <v>20</v>
      </c>
      <c r="R2" s="4" t="s">
        <v>20</v>
      </c>
      <c r="S2" s="1" t="s">
        <v>23</v>
      </c>
      <c r="T2" s="1" t="s">
        <v>23</v>
      </c>
      <c r="U2" s="1" t="s">
        <v>20</v>
      </c>
    </row>
    <row r="3" spans="1:22">
      <c r="A3" s="3" t="s">
        <v>24</v>
      </c>
      <c r="B3" s="3"/>
      <c r="C3" s="4" t="s">
        <v>25</v>
      </c>
      <c r="D3" s="4"/>
      <c r="E3" s="4" t="s">
        <v>26</v>
      </c>
      <c r="F3" s="4"/>
      <c r="G3" s="4" t="s">
        <v>27</v>
      </c>
      <c r="H3" s="4" t="s">
        <v>28</v>
      </c>
      <c r="I3" s="4" t="s">
        <v>29</v>
      </c>
      <c r="J3" s="4" t="s">
        <v>30</v>
      </c>
      <c r="K3" s="4" t="s">
        <v>31</v>
      </c>
      <c r="L3" s="4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4" t="s">
        <v>37</v>
      </c>
      <c r="S3" s="1" t="s">
        <v>38</v>
      </c>
      <c r="T3" s="1" t="s">
        <v>39</v>
      </c>
      <c r="U3" s="1" t="s">
        <v>40</v>
      </c>
    </row>
    <row r="4" spans="1:22">
      <c r="A4" s="6"/>
      <c r="B4" s="6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M8" s="1">
        <v>2960000</v>
      </c>
      <c r="N8" s="1" t="b">
        <v>0</v>
      </c>
      <c r="O8" s="1" t="s">
        <v>52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53</v>
      </c>
      <c r="E9" s="1">
        <v>2</v>
      </c>
      <c r="F9" s="1" t="s">
        <v>54</v>
      </c>
      <c r="I9" s="1">
        <v>1</v>
      </c>
      <c r="J9" s="1" t="b">
        <v>1</v>
      </c>
      <c r="K9" s="1" t="b">
        <v>1</v>
      </c>
      <c r="L9" s="1" t="s">
        <v>55</v>
      </c>
      <c r="M9" s="1">
        <v>2020001</v>
      </c>
      <c r="N9" s="1" t="b">
        <v>0</v>
      </c>
      <c r="O9" s="1" t="s">
        <v>56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57</v>
      </c>
      <c r="E10" s="1">
        <v>2</v>
      </c>
      <c r="F10" s="1" t="s">
        <v>54</v>
      </c>
      <c r="I10" s="1">
        <v>1</v>
      </c>
      <c r="J10" s="1" t="b">
        <v>1</v>
      </c>
      <c r="K10" s="1" t="b">
        <v>1</v>
      </c>
      <c r="L10" s="1" t="s">
        <v>58</v>
      </c>
      <c r="M10" s="1">
        <v>2022501</v>
      </c>
      <c r="N10" s="1" t="b">
        <v>0</v>
      </c>
      <c r="O10" s="1" t="s">
        <v>59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60</v>
      </c>
      <c r="E11" s="1">
        <v>2</v>
      </c>
      <c r="F11" s="1" t="s">
        <v>54</v>
      </c>
      <c r="I11" s="1">
        <v>1</v>
      </c>
      <c r="J11" s="1" t="b">
        <v>1</v>
      </c>
      <c r="K11" s="1" t="b">
        <v>1</v>
      </c>
      <c r="L11" s="1" t="s">
        <v>61</v>
      </c>
      <c r="M11" s="1">
        <v>2022502</v>
      </c>
      <c r="N11" s="1" t="b">
        <v>0</v>
      </c>
      <c r="O11" s="1" t="s">
        <v>62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63</v>
      </c>
      <c r="E12" s="1">
        <v>2</v>
      </c>
      <c r="F12" s="1" t="s">
        <v>54</v>
      </c>
      <c r="I12" s="1">
        <v>1</v>
      </c>
      <c r="J12" s="1" t="b">
        <v>1</v>
      </c>
      <c r="K12" s="1" t="b">
        <v>1</v>
      </c>
      <c r="L12" s="1" t="s">
        <v>64</v>
      </c>
      <c r="M12" s="1">
        <v>2022503</v>
      </c>
      <c r="N12" s="1" t="b">
        <v>0</v>
      </c>
      <c r="O12" s="1" t="s">
        <v>62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65</v>
      </c>
      <c r="E13" s="1">
        <v>1</v>
      </c>
      <c r="F13" s="1" t="s">
        <v>66</v>
      </c>
      <c r="I13" s="1">
        <v>2</v>
      </c>
      <c r="J13" s="1" t="b">
        <v>1</v>
      </c>
      <c r="K13" s="1" t="b">
        <v>1</v>
      </c>
      <c r="L13" s="1" t="s">
        <v>67</v>
      </c>
      <c r="M13" s="1">
        <v>2010301</v>
      </c>
      <c r="N13" s="1" t="b">
        <v>0</v>
      </c>
      <c r="O13" s="1" t="s">
        <v>68</v>
      </c>
      <c r="R13" s="1">
        <v>999999</v>
      </c>
      <c r="S13" s="7" t="s">
        <v>69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70</v>
      </c>
      <c r="E14" s="1">
        <v>1</v>
      </c>
      <c r="F14" s="1" t="s">
        <v>66</v>
      </c>
      <c r="I14" s="1">
        <v>3</v>
      </c>
      <c r="J14" s="1" t="b">
        <v>1</v>
      </c>
      <c r="K14" s="1" t="b">
        <v>1</v>
      </c>
      <c r="L14" s="1" t="s">
        <v>71</v>
      </c>
      <c r="M14" s="1">
        <v>2010302</v>
      </c>
      <c r="N14" s="1" t="b">
        <v>0</v>
      </c>
      <c r="O14" s="1" t="s">
        <v>68</v>
      </c>
      <c r="R14" s="1">
        <v>999999</v>
      </c>
      <c r="S14" s="7" t="s">
        <v>69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72</v>
      </c>
      <c r="E15" s="1">
        <v>1</v>
      </c>
      <c r="F15" s="1" t="s">
        <v>66</v>
      </c>
      <c r="I15" s="1">
        <v>4</v>
      </c>
      <c r="J15" s="1" t="b">
        <v>1</v>
      </c>
      <c r="K15" s="1" t="b">
        <v>1</v>
      </c>
      <c r="L15" s="1" t="s">
        <v>73</v>
      </c>
      <c r="M15" s="1">
        <v>2010303</v>
      </c>
      <c r="N15" s="1" t="b">
        <v>0</v>
      </c>
      <c r="O15" s="1" t="s">
        <v>68</v>
      </c>
      <c r="R15" s="1">
        <v>999999</v>
      </c>
      <c r="S15" s="7" t="s">
        <v>69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74</v>
      </c>
      <c r="E16" s="1">
        <v>1</v>
      </c>
      <c r="F16" s="1" t="s">
        <v>66</v>
      </c>
      <c r="I16" s="1">
        <v>5</v>
      </c>
      <c r="J16" s="1" t="b">
        <v>1</v>
      </c>
      <c r="K16" s="1" t="b">
        <v>1</v>
      </c>
      <c r="L16" s="1" t="s">
        <v>75</v>
      </c>
      <c r="M16" s="1">
        <v>2010304</v>
      </c>
      <c r="N16" s="1" t="b">
        <v>0</v>
      </c>
      <c r="O16" s="1" t="s">
        <v>68</v>
      </c>
      <c r="R16" s="1">
        <v>999999</v>
      </c>
      <c r="S16" s="7" t="s">
        <v>69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76</v>
      </c>
      <c r="E17" s="1">
        <v>1</v>
      </c>
      <c r="F17" s="1" t="s">
        <v>66</v>
      </c>
      <c r="I17" s="1">
        <v>6</v>
      </c>
      <c r="J17" s="1" t="b">
        <v>1</v>
      </c>
      <c r="K17" s="1" t="b">
        <v>1</v>
      </c>
      <c r="L17" s="1" t="s">
        <v>75</v>
      </c>
      <c r="M17" s="1">
        <v>2010305</v>
      </c>
      <c r="N17" s="1" t="b">
        <v>0</v>
      </c>
      <c r="O17" s="1" t="s">
        <v>68</v>
      </c>
      <c r="R17" s="1">
        <v>999999</v>
      </c>
      <c r="S17" s="7" t="s">
        <v>69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77</v>
      </c>
      <c r="E18" s="2">
        <v>1</v>
      </c>
      <c r="F18" s="2" t="s">
        <v>66</v>
      </c>
      <c r="I18" s="2">
        <v>2</v>
      </c>
      <c r="J18" s="2" t="b">
        <v>1</v>
      </c>
      <c r="K18" s="2" t="b">
        <v>1</v>
      </c>
      <c r="L18" s="2" t="s">
        <v>67</v>
      </c>
      <c r="M18" s="2">
        <v>2010401</v>
      </c>
      <c r="N18" s="2" t="b">
        <v>0</v>
      </c>
      <c r="O18" s="2" t="s">
        <v>78</v>
      </c>
      <c r="R18" s="2">
        <v>999999</v>
      </c>
      <c r="S18" s="8"/>
      <c r="T18" s="8" t="s">
        <v>79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80</v>
      </c>
      <c r="E19" s="2">
        <v>1</v>
      </c>
      <c r="F19" s="2" t="s">
        <v>66</v>
      </c>
      <c r="I19" s="2">
        <v>2</v>
      </c>
      <c r="J19" s="2" t="b">
        <v>1</v>
      </c>
      <c r="K19" s="2" t="b">
        <v>1</v>
      </c>
      <c r="L19" s="2" t="s">
        <v>71</v>
      </c>
      <c r="M19" s="2">
        <v>2010501</v>
      </c>
      <c r="N19" s="2" t="b">
        <v>0</v>
      </c>
      <c r="O19" s="2" t="s">
        <v>81</v>
      </c>
      <c r="R19" s="2">
        <v>999999</v>
      </c>
      <c r="S19" s="8"/>
      <c r="T19" s="8" t="s">
        <v>82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83</v>
      </c>
      <c r="E20" s="2">
        <v>1</v>
      </c>
      <c r="F20" s="2" t="s">
        <v>66</v>
      </c>
      <c r="I20" s="2">
        <v>2</v>
      </c>
      <c r="J20" s="2" t="b">
        <v>1</v>
      </c>
      <c r="K20" s="2" t="b">
        <v>1</v>
      </c>
      <c r="L20" s="2" t="s">
        <v>73</v>
      </c>
      <c r="M20" s="2">
        <v>2010601</v>
      </c>
      <c r="N20" s="2" t="b">
        <v>0</v>
      </c>
      <c r="O20" s="2" t="s">
        <v>84</v>
      </c>
      <c r="R20" s="2">
        <v>999999</v>
      </c>
      <c r="S20" s="8"/>
      <c r="T20" s="8" t="s">
        <v>85</v>
      </c>
    </row>
    <row r="21" spans="1:22">
      <c r="A21" s="1">
        <v>1031001</v>
      </c>
      <c r="B21" s="1">
        <v>1001</v>
      </c>
      <c r="C21" s="1">
        <v>1301001</v>
      </c>
      <c r="D21" s="1" t="s">
        <v>86</v>
      </c>
      <c r="E21" s="1">
        <v>3</v>
      </c>
      <c r="F21" s="1" t="s">
        <v>54</v>
      </c>
      <c r="I21" s="1">
        <v>1</v>
      </c>
      <c r="J21" s="1" t="b">
        <v>0</v>
      </c>
      <c r="K21" s="1" t="b">
        <v>0</v>
      </c>
      <c r="L21" s="1" t="s">
        <v>87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88</v>
      </c>
      <c r="E22" s="1">
        <v>3</v>
      </c>
      <c r="F22" s="1" t="s">
        <v>54</v>
      </c>
      <c r="I22" s="1">
        <v>1</v>
      </c>
      <c r="J22" s="1" t="b">
        <v>0</v>
      </c>
      <c r="K22" s="1" t="b">
        <v>0</v>
      </c>
      <c r="L22" s="1" t="s">
        <v>89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90</v>
      </c>
      <c r="E23" s="1">
        <v>3</v>
      </c>
      <c r="F23" s="1" t="s">
        <v>54</v>
      </c>
      <c r="I23" s="1">
        <v>1</v>
      </c>
      <c r="J23" s="1" t="b">
        <v>0</v>
      </c>
      <c r="K23" s="1" t="b">
        <v>0</v>
      </c>
      <c r="L23" s="1" t="s">
        <v>91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92</v>
      </c>
      <c r="E24" s="1">
        <v>3</v>
      </c>
      <c r="F24" s="1" t="s">
        <v>54</v>
      </c>
      <c r="I24" s="1">
        <v>1</v>
      </c>
      <c r="J24" s="1" t="b">
        <v>0</v>
      </c>
      <c r="K24" s="1" t="b">
        <v>0</v>
      </c>
      <c r="L24" s="1" t="s">
        <v>93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94</v>
      </c>
      <c r="E25" s="1">
        <v>3</v>
      </c>
      <c r="F25" s="1" t="s">
        <v>54</v>
      </c>
      <c r="I25" s="1">
        <v>1</v>
      </c>
      <c r="J25" s="1" t="b">
        <v>0</v>
      </c>
      <c r="K25" s="1" t="b">
        <v>0</v>
      </c>
      <c r="L25" s="1" t="s">
        <v>95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96</v>
      </c>
      <c r="E26" s="1">
        <v>3</v>
      </c>
      <c r="F26" s="1" t="s">
        <v>54</v>
      </c>
      <c r="I26" s="1">
        <v>1</v>
      </c>
      <c r="J26" s="1" t="b">
        <v>0</v>
      </c>
      <c r="K26" s="1" t="b">
        <v>0</v>
      </c>
      <c r="L26" s="1" t="s">
        <v>97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98</v>
      </c>
      <c r="E27" s="1">
        <v>2</v>
      </c>
      <c r="F27" s="1" t="s">
        <v>54</v>
      </c>
      <c r="I27" s="1">
        <v>1</v>
      </c>
      <c r="J27" s="1" t="b">
        <v>0</v>
      </c>
      <c r="K27" s="1" t="b">
        <v>0</v>
      </c>
      <c r="L27" s="1" t="s">
        <v>99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100</v>
      </c>
      <c r="E28" s="1">
        <v>2</v>
      </c>
      <c r="F28" s="1" t="s">
        <v>54</v>
      </c>
      <c r="I28" s="1">
        <v>1</v>
      </c>
      <c r="J28" s="1" t="b">
        <v>0</v>
      </c>
      <c r="K28" s="1" t="b">
        <v>0</v>
      </c>
      <c r="L28" s="1" t="s">
        <v>99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101</v>
      </c>
      <c r="E29" s="1">
        <v>3</v>
      </c>
      <c r="F29" s="1" t="s">
        <v>54</v>
      </c>
      <c r="I29" s="1">
        <v>1</v>
      </c>
      <c r="J29" s="1" t="b">
        <v>0</v>
      </c>
      <c r="K29" s="1" t="b">
        <v>0</v>
      </c>
      <c r="L29" s="1" t="s">
        <v>102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103</v>
      </c>
      <c r="E30" s="1">
        <v>3</v>
      </c>
      <c r="F30" s="1" t="s">
        <v>54</v>
      </c>
      <c r="I30" s="1">
        <v>1</v>
      </c>
      <c r="J30" s="1" t="b">
        <v>0</v>
      </c>
      <c r="K30" s="1" t="b">
        <v>0</v>
      </c>
      <c r="L30" s="1" t="s">
        <v>104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105</v>
      </c>
      <c r="E31" s="1">
        <v>3</v>
      </c>
      <c r="F31" s="1" t="s">
        <v>54</v>
      </c>
      <c r="I31" s="1">
        <v>1</v>
      </c>
      <c r="J31" s="1" t="b">
        <v>0</v>
      </c>
      <c r="K31" s="1" t="b">
        <v>0</v>
      </c>
      <c r="L31" s="1" t="s">
        <v>106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107</v>
      </c>
      <c r="E32" s="1">
        <v>3</v>
      </c>
      <c r="F32" s="1" t="s">
        <v>54</v>
      </c>
      <c r="I32" s="1">
        <v>1</v>
      </c>
      <c r="J32" s="1" t="b">
        <v>0</v>
      </c>
      <c r="K32" s="1" t="b">
        <v>0</v>
      </c>
      <c r="L32" s="1" t="s">
        <v>108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109</v>
      </c>
      <c r="E33" s="1">
        <v>3</v>
      </c>
      <c r="F33" s="1" t="s">
        <v>54</v>
      </c>
      <c r="I33" s="1">
        <v>1</v>
      </c>
      <c r="J33" s="1" t="b">
        <v>0</v>
      </c>
      <c r="K33" s="1" t="b">
        <v>0</v>
      </c>
      <c r="L33" s="1" t="s">
        <v>110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111</v>
      </c>
      <c r="E34" s="1">
        <v>3</v>
      </c>
      <c r="F34" s="1" t="s">
        <v>54</v>
      </c>
      <c r="I34" s="1">
        <v>1</v>
      </c>
      <c r="J34" s="1" t="b">
        <v>0</v>
      </c>
      <c r="K34" s="1" t="b">
        <v>0</v>
      </c>
      <c r="L34" s="1" t="s">
        <v>112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113</v>
      </c>
      <c r="E35" s="1">
        <v>3</v>
      </c>
      <c r="F35" s="1" t="s">
        <v>54</v>
      </c>
      <c r="I35" s="1">
        <v>1</v>
      </c>
      <c r="J35" s="1" t="b">
        <v>0</v>
      </c>
      <c r="K35" s="1" t="b">
        <v>0</v>
      </c>
      <c r="L35" s="1" t="s">
        <v>114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115</v>
      </c>
      <c r="E36" s="1">
        <v>3</v>
      </c>
      <c r="F36" s="1" t="s">
        <v>54</v>
      </c>
      <c r="I36" s="1">
        <v>1</v>
      </c>
      <c r="J36" s="1" t="b">
        <v>0</v>
      </c>
      <c r="K36" s="1" t="b">
        <v>0</v>
      </c>
      <c r="L36" s="1" t="s">
        <v>116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117</v>
      </c>
      <c r="E37" s="1">
        <v>3</v>
      </c>
      <c r="F37" s="1" t="s">
        <v>54</v>
      </c>
      <c r="I37" s="1">
        <v>1</v>
      </c>
      <c r="J37" s="1" t="b">
        <v>0</v>
      </c>
      <c r="K37" s="1" t="b">
        <v>0</v>
      </c>
      <c r="L37" s="1" t="s">
        <v>118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119</v>
      </c>
      <c r="E38" s="1">
        <v>2</v>
      </c>
      <c r="F38" s="1" t="s">
        <v>54</v>
      </c>
      <c r="I38" s="1">
        <v>1</v>
      </c>
      <c r="J38" s="1" t="b">
        <v>0</v>
      </c>
      <c r="K38" s="1" t="b">
        <v>0</v>
      </c>
      <c r="L38" s="1" t="s">
        <v>120</v>
      </c>
      <c r="M38" s="1">
        <v>2022504</v>
      </c>
      <c r="N38" s="1" t="b">
        <v>0</v>
      </c>
      <c r="O38" s="1" t="s">
        <v>121</v>
      </c>
      <c r="R38" s="1">
        <v>999999999</v>
      </c>
    </row>
    <row r="39" spans="1:22">
      <c r="A39" s="1">
        <v>1023001</v>
      </c>
      <c r="C39" s="1">
        <v>1023001</v>
      </c>
      <c r="D39" s="1" t="s">
        <v>122</v>
      </c>
      <c r="E39" s="1">
        <v>2</v>
      </c>
      <c r="F39" s="1" t="s">
        <v>54</v>
      </c>
      <c r="I39" s="1">
        <v>2</v>
      </c>
      <c r="J39" s="1" t="b">
        <v>1</v>
      </c>
      <c r="K39" s="1" t="b">
        <v>1</v>
      </c>
      <c r="L39" s="1" t="s">
        <v>123</v>
      </c>
      <c r="M39" s="1">
        <v>2023001</v>
      </c>
      <c r="N39" s="1" t="b">
        <v>0</v>
      </c>
      <c r="O39" s="1" t="s">
        <v>124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125</v>
      </c>
      <c r="E40" s="1">
        <v>2</v>
      </c>
      <c r="F40" s="1" t="s">
        <v>54</v>
      </c>
      <c r="I40" s="1">
        <v>3</v>
      </c>
      <c r="J40" s="1" t="b">
        <v>1</v>
      </c>
      <c r="K40" s="1" t="b">
        <v>1</v>
      </c>
      <c r="L40" s="1" t="s">
        <v>126</v>
      </c>
      <c r="M40" s="1">
        <v>2023002</v>
      </c>
      <c r="N40" s="1" t="b">
        <v>0</v>
      </c>
      <c r="O40" s="1" t="s">
        <v>124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127</v>
      </c>
      <c r="E41" s="1">
        <v>2</v>
      </c>
      <c r="F41" s="1" t="s">
        <v>54</v>
      </c>
      <c r="I41" s="1">
        <v>4</v>
      </c>
      <c r="J41" s="1" t="b">
        <v>1</v>
      </c>
      <c r="K41" s="1" t="b">
        <v>1</v>
      </c>
      <c r="L41" s="1" t="s">
        <v>128</v>
      </c>
      <c r="M41" s="1">
        <v>2023003</v>
      </c>
      <c r="N41" s="1" t="b">
        <v>0</v>
      </c>
      <c r="O41" s="1" t="s">
        <v>124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129</v>
      </c>
      <c r="E42" s="1">
        <v>2</v>
      </c>
      <c r="F42" s="1" t="s">
        <v>54</v>
      </c>
      <c r="I42" s="1">
        <v>5</v>
      </c>
      <c r="J42" s="1" t="b">
        <v>1</v>
      </c>
      <c r="K42" s="1" t="b">
        <v>1</v>
      </c>
      <c r="L42" s="1" t="s">
        <v>130</v>
      </c>
      <c r="M42" s="1">
        <v>2023004</v>
      </c>
      <c r="N42" s="1" t="b">
        <v>0</v>
      </c>
      <c r="O42" s="1" t="s">
        <v>124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131</v>
      </c>
      <c r="E43" s="1">
        <v>2</v>
      </c>
      <c r="F43" s="1" t="s">
        <v>54</v>
      </c>
      <c r="I43" s="1">
        <v>6</v>
      </c>
      <c r="J43" s="1" t="b">
        <v>1</v>
      </c>
      <c r="K43" s="1" t="b">
        <v>1</v>
      </c>
      <c r="L43" s="1" t="s">
        <v>132</v>
      </c>
      <c r="M43" s="1">
        <v>2023005</v>
      </c>
      <c r="N43" s="1" t="b">
        <v>0</v>
      </c>
      <c r="O43" s="1" t="s">
        <v>124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133</v>
      </c>
      <c r="E44" s="1">
        <v>2</v>
      </c>
      <c r="F44" s="1" t="s">
        <v>54</v>
      </c>
      <c r="I44" s="1">
        <v>2</v>
      </c>
      <c r="J44" s="1" t="b">
        <v>1</v>
      </c>
      <c r="K44" s="1" t="b">
        <v>1</v>
      </c>
      <c r="L44" s="1" t="s">
        <v>134</v>
      </c>
      <c r="M44" s="1">
        <v>2023101</v>
      </c>
      <c r="N44" s="1" t="b">
        <v>0</v>
      </c>
      <c r="O44" s="1" t="s">
        <v>135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136</v>
      </c>
      <c r="E45" s="1">
        <v>2</v>
      </c>
      <c r="F45" s="1" t="s">
        <v>54</v>
      </c>
      <c r="I45" s="1">
        <v>3</v>
      </c>
      <c r="J45" s="1" t="b">
        <v>1</v>
      </c>
      <c r="K45" s="1" t="b">
        <v>1</v>
      </c>
      <c r="L45" s="1" t="s">
        <v>137</v>
      </c>
      <c r="M45" s="1">
        <v>2023102</v>
      </c>
      <c r="N45" s="1" t="b">
        <v>0</v>
      </c>
      <c r="O45" s="1" t="s">
        <v>135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138</v>
      </c>
      <c r="E46" s="1">
        <v>2</v>
      </c>
      <c r="F46" s="1" t="s">
        <v>54</v>
      </c>
      <c r="I46" s="1">
        <v>4</v>
      </c>
      <c r="J46" s="1" t="b">
        <v>1</v>
      </c>
      <c r="K46" s="1" t="b">
        <v>1</v>
      </c>
      <c r="L46" s="1" t="s">
        <v>139</v>
      </c>
      <c r="M46" s="1">
        <v>2023103</v>
      </c>
      <c r="N46" s="1" t="b">
        <v>0</v>
      </c>
      <c r="O46" s="1" t="s">
        <v>135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140</v>
      </c>
      <c r="E47" s="1">
        <v>2</v>
      </c>
      <c r="F47" s="1" t="s">
        <v>54</v>
      </c>
      <c r="I47" s="1">
        <v>5</v>
      </c>
      <c r="J47" s="1" t="b">
        <v>1</v>
      </c>
      <c r="K47" s="1" t="b">
        <v>1</v>
      </c>
      <c r="L47" s="1" t="s">
        <v>141</v>
      </c>
      <c r="M47" s="1">
        <v>2023104</v>
      </c>
      <c r="N47" s="1" t="b">
        <v>0</v>
      </c>
      <c r="O47" s="1" t="s">
        <v>135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142</v>
      </c>
      <c r="E48" s="1">
        <v>2</v>
      </c>
      <c r="F48" s="1" t="s">
        <v>54</v>
      </c>
      <c r="I48" s="1">
        <v>6</v>
      </c>
      <c r="J48" s="1" t="b">
        <v>1</v>
      </c>
      <c r="K48" s="1" t="b">
        <v>1</v>
      </c>
      <c r="L48" s="1" t="s">
        <v>143</v>
      </c>
      <c r="M48" s="1">
        <v>2023105</v>
      </c>
      <c r="N48" s="1" t="b">
        <v>0</v>
      </c>
      <c r="O48" s="1" t="s">
        <v>135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144</v>
      </c>
      <c r="E49" s="1">
        <v>2</v>
      </c>
      <c r="F49" s="1" t="s">
        <v>54</v>
      </c>
      <c r="I49" s="1">
        <v>2</v>
      </c>
      <c r="J49" s="1" t="b">
        <v>1</v>
      </c>
      <c r="K49" s="1" t="b">
        <v>1</v>
      </c>
      <c r="L49" s="1" t="s">
        <v>145</v>
      </c>
      <c r="M49" s="1">
        <v>2023201</v>
      </c>
      <c r="N49" s="1" t="b">
        <v>0</v>
      </c>
      <c r="O49" s="1" t="s">
        <v>146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147</v>
      </c>
      <c r="E50" s="1">
        <v>2</v>
      </c>
      <c r="F50" s="1" t="s">
        <v>54</v>
      </c>
      <c r="I50" s="1">
        <v>3</v>
      </c>
      <c r="J50" s="1" t="b">
        <v>1</v>
      </c>
      <c r="K50" s="1" t="b">
        <v>1</v>
      </c>
      <c r="L50" s="1" t="s">
        <v>148</v>
      </c>
      <c r="M50" s="1">
        <v>2023202</v>
      </c>
      <c r="N50" s="1" t="b">
        <v>0</v>
      </c>
      <c r="O50" s="1" t="s">
        <v>146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149</v>
      </c>
      <c r="E51" s="1">
        <v>2</v>
      </c>
      <c r="F51" s="1" t="s">
        <v>54</v>
      </c>
      <c r="I51" s="1">
        <v>4</v>
      </c>
      <c r="J51" s="1" t="b">
        <v>1</v>
      </c>
      <c r="K51" s="1" t="b">
        <v>1</v>
      </c>
      <c r="L51" s="1" t="s">
        <v>150</v>
      </c>
      <c r="M51" s="1">
        <v>2023203</v>
      </c>
      <c r="N51" s="1" t="b">
        <v>0</v>
      </c>
      <c r="O51" s="1" t="s">
        <v>146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151</v>
      </c>
      <c r="E52" s="1">
        <v>2</v>
      </c>
      <c r="F52" s="1" t="s">
        <v>54</v>
      </c>
      <c r="I52" s="1">
        <v>5</v>
      </c>
      <c r="J52" s="1" t="b">
        <v>1</v>
      </c>
      <c r="K52" s="1" t="b">
        <v>1</v>
      </c>
      <c r="L52" s="1" t="s">
        <v>152</v>
      </c>
      <c r="M52" s="1">
        <v>2023204</v>
      </c>
      <c r="N52" s="1" t="b">
        <v>0</v>
      </c>
      <c r="O52" s="1" t="s">
        <v>146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153</v>
      </c>
      <c r="E53" s="1">
        <v>2</v>
      </c>
      <c r="F53" s="1" t="s">
        <v>54</v>
      </c>
      <c r="I53" s="1">
        <v>6</v>
      </c>
      <c r="J53" s="1" t="b">
        <v>1</v>
      </c>
      <c r="K53" s="1" t="b">
        <v>1</v>
      </c>
      <c r="L53" s="1" t="s">
        <v>154</v>
      </c>
      <c r="M53" s="1">
        <v>2023205</v>
      </c>
      <c r="N53" s="1" t="b">
        <v>0</v>
      </c>
      <c r="O53" s="1" t="s">
        <v>146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155</v>
      </c>
      <c r="E54" s="1">
        <v>2</v>
      </c>
      <c r="F54" s="1" t="s">
        <v>54</v>
      </c>
      <c r="I54" s="1">
        <v>2</v>
      </c>
      <c r="J54" s="1" t="b">
        <v>1</v>
      </c>
      <c r="K54" s="1" t="b">
        <v>1</v>
      </c>
      <c r="L54" s="1" t="s">
        <v>156</v>
      </c>
      <c r="M54" s="1">
        <v>2023301</v>
      </c>
      <c r="N54" s="1" t="b">
        <v>0</v>
      </c>
      <c r="O54" s="1" t="s">
        <v>157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158</v>
      </c>
      <c r="E55" s="1">
        <v>2</v>
      </c>
      <c r="F55" s="1" t="s">
        <v>54</v>
      </c>
      <c r="I55" s="1">
        <v>3</v>
      </c>
      <c r="J55" s="1" t="b">
        <v>1</v>
      </c>
      <c r="K55" s="1" t="b">
        <v>1</v>
      </c>
      <c r="L55" s="1" t="s">
        <v>159</v>
      </c>
      <c r="M55" s="1">
        <v>2023302</v>
      </c>
      <c r="N55" s="1" t="b">
        <v>0</v>
      </c>
      <c r="O55" s="1" t="s">
        <v>157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160</v>
      </c>
      <c r="E56" s="1">
        <v>2</v>
      </c>
      <c r="F56" s="1" t="s">
        <v>54</v>
      </c>
      <c r="I56" s="1">
        <v>4</v>
      </c>
      <c r="J56" s="1" t="b">
        <v>1</v>
      </c>
      <c r="K56" s="1" t="b">
        <v>1</v>
      </c>
      <c r="L56" s="1" t="s">
        <v>161</v>
      </c>
      <c r="M56" s="1">
        <v>2023303</v>
      </c>
      <c r="N56" s="1" t="b">
        <v>0</v>
      </c>
      <c r="O56" s="1" t="s">
        <v>157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162</v>
      </c>
      <c r="E57" s="1">
        <v>2</v>
      </c>
      <c r="F57" s="1" t="s">
        <v>54</v>
      </c>
      <c r="I57" s="1">
        <v>5</v>
      </c>
      <c r="J57" s="1" t="b">
        <v>1</v>
      </c>
      <c r="K57" s="1" t="b">
        <v>1</v>
      </c>
      <c r="L57" s="1" t="s">
        <v>163</v>
      </c>
      <c r="M57" s="1">
        <v>2023304</v>
      </c>
      <c r="N57" s="1" t="b">
        <v>0</v>
      </c>
      <c r="O57" s="1" t="s">
        <v>157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164</v>
      </c>
      <c r="E58" s="1">
        <v>2</v>
      </c>
      <c r="F58" s="1" t="s">
        <v>54</v>
      </c>
      <c r="I58" s="1">
        <v>6</v>
      </c>
      <c r="J58" s="1" t="b">
        <v>1</v>
      </c>
      <c r="K58" s="1" t="b">
        <v>1</v>
      </c>
      <c r="L58" s="1" t="s">
        <v>165</v>
      </c>
      <c r="M58" s="1">
        <v>2023305</v>
      </c>
      <c r="N58" s="1" t="b">
        <v>0</v>
      </c>
      <c r="O58" s="1" t="s">
        <v>157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166</v>
      </c>
      <c r="E59" s="1">
        <v>2</v>
      </c>
      <c r="F59" s="1" t="s">
        <v>54</v>
      </c>
      <c r="I59" s="1">
        <v>2</v>
      </c>
      <c r="J59" s="1" t="b">
        <v>1</v>
      </c>
      <c r="K59" s="1" t="b">
        <v>1</v>
      </c>
      <c r="L59" s="1" t="s">
        <v>167</v>
      </c>
      <c r="M59" s="1">
        <v>2023401</v>
      </c>
      <c r="N59" s="1" t="b">
        <v>0</v>
      </c>
      <c r="O59" s="1" t="s">
        <v>168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169</v>
      </c>
      <c r="E60" s="1">
        <v>2</v>
      </c>
      <c r="F60" s="1" t="s">
        <v>54</v>
      </c>
      <c r="I60" s="1">
        <v>3</v>
      </c>
      <c r="J60" s="1" t="b">
        <v>1</v>
      </c>
      <c r="K60" s="1" t="b">
        <v>1</v>
      </c>
      <c r="L60" s="1" t="s">
        <v>170</v>
      </c>
      <c r="M60" s="1">
        <v>2023402</v>
      </c>
      <c r="N60" s="1" t="b">
        <v>0</v>
      </c>
      <c r="O60" s="1" t="s">
        <v>168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171</v>
      </c>
      <c r="E61" s="1">
        <v>2</v>
      </c>
      <c r="F61" s="1" t="s">
        <v>54</v>
      </c>
      <c r="I61" s="1">
        <v>4</v>
      </c>
      <c r="J61" s="1" t="b">
        <v>1</v>
      </c>
      <c r="K61" s="1" t="b">
        <v>1</v>
      </c>
      <c r="L61" s="1" t="s">
        <v>172</v>
      </c>
      <c r="M61" s="1">
        <v>2023403</v>
      </c>
      <c r="N61" s="1" t="b">
        <v>0</v>
      </c>
      <c r="O61" s="1" t="s">
        <v>168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173</v>
      </c>
      <c r="E62" s="1">
        <v>2</v>
      </c>
      <c r="F62" s="1" t="s">
        <v>54</v>
      </c>
      <c r="I62" s="1">
        <v>5</v>
      </c>
      <c r="J62" s="1" t="b">
        <v>1</v>
      </c>
      <c r="K62" s="1" t="b">
        <v>1</v>
      </c>
      <c r="L62" s="1" t="s">
        <v>174</v>
      </c>
      <c r="M62" s="1">
        <v>2023404</v>
      </c>
      <c r="N62" s="1" t="b">
        <v>0</v>
      </c>
      <c r="O62" s="1" t="s">
        <v>168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175</v>
      </c>
      <c r="E63" s="1">
        <v>2</v>
      </c>
      <c r="F63" s="1" t="s">
        <v>54</v>
      </c>
      <c r="I63" s="1">
        <v>6</v>
      </c>
      <c r="J63" s="1" t="b">
        <v>1</v>
      </c>
      <c r="K63" s="1" t="b">
        <v>1</v>
      </c>
      <c r="L63" s="1" t="s">
        <v>176</v>
      </c>
      <c r="M63" s="1">
        <v>2023405</v>
      </c>
      <c r="N63" s="1" t="b">
        <v>0</v>
      </c>
      <c r="O63" s="1" t="s">
        <v>168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177</v>
      </c>
      <c r="E64" s="1">
        <v>2</v>
      </c>
      <c r="F64" s="1" t="s">
        <v>54</v>
      </c>
      <c r="I64" s="1">
        <v>1</v>
      </c>
      <c r="J64" s="1" t="b">
        <v>0</v>
      </c>
      <c r="K64" s="1" t="b">
        <v>0</v>
      </c>
      <c r="L64" s="1" t="s">
        <v>178</v>
      </c>
      <c r="M64" s="1">
        <v>2024001</v>
      </c>
      <c r="N64" s="1" t="b">
        <v>0</v>
      </c>
      <c r="O64" s="1" t="s">
        <v>179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180</v>
      </c>
      <c r="E65" s="1">
        <v>2</v>
      </c>
      <c r="F65" s="1" t="s">
        <v>54</v>
      </c>
      <c r="I65" s="1">
        <v>1</v>
      </c>
      <c r="J65" s="1" t="b">
        <v>0</v>
      </c>
      <c r="K65" s="1" t="b">
        <v>0</v>
      </c>
      <c r="L65" s="1" t="s">
        <v>181</v>
      </c>
      <c r="M65" s="1">
        <v>2024003</v>
      </c>
      <c r="N65" s="1" t="b">
        <v>0</v>
      </c>
      <c r="O65" s="1" t="s">
        <v>182</v>
      </c>
      <c r="R65" s="1">
        <v>-1</v>
      </c>
    </row>
    <row r="66" spans="1:20">
      <c r="A66" s="1">
        <v>1024005</v>
      </c>
      <c r="C66" s="1">
        <v>1024005</v>
      </c>
      <c r="D66" s="1" t="s">
        <v>183</v>
      </c>
      <c r="E66" s="1">
        <v>2</v>
      </c>
      <c r="F66" s="1" t="s">
        <v>54</v>
      </c>
      <c r="G66" s="1">
        <v>1</v>
      </c>
      <c r="I66" s="1">
        <v>1</v>
      </c>
      <c r="J66" s="1" t="b">
        <v>1</v>
      </c>
      <c r="K66" s="1" t="b">
        <v>0</v>
      </c>
      <c r="L66" s="1" t="s">
        <v>120</v>
      </c>
      <c r="M66" s="1">
        <v>2024005</v>
      </c>
      <c r="N66" s="1" t="b">
        <v>0</v>
      </c>
      <c r="O66" s="1" t="s">
        <v>184</v>
      </c>
      <c r="R66" s="1">
        <v>-1</v>
      </c>
    </row>
    <row r="67" spans="1:20">
      <c r="A67" s="1">
        <v>1024006</v>
      </c>
      <c r="C67" s="1">
        <v>1024006</v>
      </c>
      <c r="D67" s="1" t="s">
        <v>185</v>
      </c>
      <c r="E67" s="1">
        <v>2</v>
      </c>
      <c r="F67" s="1" t="s">
        <v>54</v>
      </c>
      <c r="G67" s="1">
        <v>1</v>
      </c>
      <c r="I67" s="1">
        <v>5</v>
      </c>
      <c r="J67" s="1" t="b">
        <v>1</v>
      </c>
      <c r="K67" s="1" t="b">
        <v>0</v>
      </c>
      <c r="L67" s="1" t="s">
        <v>176</v>
      </c>
      <c r="M67" s="1">
        <v>2024006</v>
      </c>
      <c r="N67" s="1" t="b">
        <v>0</v>
      </c>
      <c r="O67" s="1" t="s">
        <v>184</v>
      </c>
      <c r="R67" s="1">
        <v>-1</v>
      </c>
    </row>
    <row r="68" s="1" customFormat="1" spans="1:20">
      <c r="A68" s="1">
        <v>1024007</v>
      </c>
      <c r="C68" s="1">
        <v>1024007</v>
      </c>
      <c r="D68" s="1" t="s">
        <v>186</v>
      </c>
      <c r="E68" s="1">
        <v>2</v>
      </c>
      <c r="F68" s="1" t="s">
        <v>54</v>
      </c>
      <c r="I68" s="1">
        <v>1</v>
      </c>
      <c r="J68" s="1" t="b">
        <v>1</v>
      </c>
      <c r="K68" s="1" t="b">
        <v>1</v>
      </c>
      <c r="L68" s="1" t="s">
        <v>187</v>
      </c>
      <c r="M68" s="1">
        <v>2024007</v>
      </c>
      <c r="N68" s="1" t="b">
        <v>0</v>
      </c>
      <c r="O68" s="1" t="s">
        <v>188</v>
      </c>
      <c r="R68" s="1">
        <v>999999999</v>
      </c>
    </row>
    <row r="69" spans="1:20">
      <c r="A69" s="1">
        <v>1024008</v>
      </c>
      <c r="C69" s="1">
        <v>1024008</v>
      </c>
      <c r="D69" s="1" t="s">
        <v>189</v>
      </c>
      <c r="E69" s="1">
        <v>2</v>
      </c>
      <c r="F69" s="1" t="s">
        <v>54</v>
      </c>
      <c r="I69" s="1">
        <v>1</v>
      </c>
      <c r="J69" s="1" t="b">
        <v>1</v>
      </c>
      <c r="K69" s="1" t="b">
        <v>1</v>
      </c>
      <c r="L69" s="1" t="s">
        <v>123</v>
      </c>
      <c r="M69" s="1">
        <v>2024008</v>
      </c>
      <c r="N69" s="1" t="b">
        <v>0</v>
      </c>
      <c r="O69" s="1" t="s">
        <v>189</v>
      </c>
      <c r="R69" s="1">
        <v>999999</v>
      </c>
    </row>
    <row r="70" spans="1:20">
      <c r="A70" s="1">
        <v>1024009</v>
      </c>
      <c r="C70" s="1">
        <v>1024009</v>
      </c>
      <c r="D70" s="1" t="s">
        <v>190</v>
      </c>
      <c r="E70" s="1">
        <v>2</v>
      </c>
      <c r="F70" s="1" t="s">
        <v>54</v>
      </c>
      <c r="I70" s="1">
        <v>1</v>
      </c>
      <c r="J70" s="1" t="b">
        <v>1</v>
      </c>
      <c r="K70" s="1" t="b">
        <v>1</v>
      </c>
      <c r="L70" s="1" t="s">
        <v>134</v>
      </c>
      <c r="M70" s="1">
        <v>2024009</v>
      </c>
      <c r="N70" s="1" t="b">
        <v>0</v>
      </c>
      <c r="O70" s="1" t="s">
        <v>190</v>
      </c>
      <c r="R70" s="1">
        <v>999999</v>
      </c>
    </row>
    <row r="71" spans="1:20">
      <c r="A71" s="1">
        <v>1024010</v>
      </c>
      <c r="C71" s="1">
        <v>1024010</v>
      </c>
      <c r="D71" s="1" t="s">
        <v>191</v>
      </c>
      <c r="E71" s="1">
        <v>2</v>
      </c>
      <c r="F71" s="1" t="s">
        <v>54</v>
      </c>
      <c r="I71" s="1">
        <v>1</v>
      </c>
      <c r="J71" s="1" t="b">
        <v>1</v>
      </c>
      <c r="K71" s="1" t="b">
        <v>1</v>
      </c>
      <c r="L71" s="1" t="s">
        <v>145</v>
      </c>
      <c r="M71" s="1">
        <v>2024010</v>
      </c>
      <c r="N71" s="1" t="b">
        <v>0</v>
      </c>
      <c r="O71" s="1" t="s">
        <v>191</v>
      </c>
      <c r="R71" s="1">
        <v>999999</v>
      </c>
    </row>
    <row r="72" spans="1:20">
      <c r="A72" s="1">
        <v>1024011</v>
      </c>
      <c r="C72" s="1">
        <v>1024011</v>
      </c>
      <c r="D72" s="1" t="s">
        <v>192</v>
      </c>
      <c r="E72" s="1">
        <v>2</v>
      </c>
      <c r="F72" s="1" t="s">
        <v>54</v>
      </c>
      <c r="I72" s="1">
        <v>1</v>
      </c>
      <c r="J72" s="1" t="b">
        <v>0</v>
      </c>
      <c r="K72" s="1" t="b">
        <v>0</v>
      </c>
      <c r="L72" s="1" t="s">
        <v>120</v>
      </c>
      <c r="M72" s="1">
        <v>2024011</v>
      </c>
      <c r="N72" s="1" t="b">
        <v>0</v>
      </c>
      <c r="O72" s="1" t="s">
        <v>193</v>
      </c>
      <c r="R72" s="1">
        <v>-1</v>
      </c>
    </row>
    <row r="73" spans="1:20">
      <c r="A73" s="1">
        <v>1024012</v>
      </c>
      <c r="C73" s="1">
        <v>1024012</v>
      </c>
      <c r="D73" s="1" t="s">
        <v>194</v>
      </c>
      <c r="E73" s="1">
        <v>2</v>
      </c>
      <c r="F73" s="1" t="s">
        <v>54</v>
      </c>
      <c r="I73" s="1">
        <v>1</v>
      </c>
      <c r="J73" s="1" t="b">
        <v>0</v>
      </c>
      <c r="K73" s="1" t="b">
        <v>0</v>
      </c>
      <c r="L73" s="1" t="s">
        <v>49</v>
      </c>
      <c r="M73" s="1">
        <v>2024012</v>
      </c>
      <c r="N73" s="1" t="b">
        <v>0</v>
      </c>
      <c r="O73" s="1" t="s">
        <v>195</v>
      </c>
      <c r="R73" s="1">
        <v>-1</v>
      </c>
    </row>
    <row r="74" spans="1:20">
      <c r="A74" s="1">
        <v>1024013</v>
      </c>
      <c r="C74" s="1">
        <v>1024013</v>
      </c>
      <c r="D74" s="1" t="s">
        <v>196</v>
      </c>
      <c r="E74" s="1">
        <v>2</v>
      </c>
      <c r="F74" s="1" t="s">
        <v>54</v>
      </c>
      <c r="I74" s="1">
        <v>1</v>
      </c>
      <c r="J74" s="1" t="b">
        <v>1</v>
      </c>
      <c r="K74" s="1" t="b">
        <v>1</v>
      </c>
      <c r="L74" s="1" t="s">
        <v>55</v>
      </c>
      <c r="M74" s="1">
        <v>2024013</v>
      </c>
      <c r="N74" s="1" t="b">
        <v>0</v>
      </c>
      <c r="O74" s="1" t="s">
        <v>197</v>
      </c>
      <c r="R74" s="1">
        <v>999999</v>
      </c>
    </row>
    <row r="75" spans="1:20">
      <c r="A75" s="1">
        <v>1024014</v>
      </c>
      <c r="C75" s="1">
        <v>1024014</v>
      </c>
      <c r="D75" s="1" t="s">
        <v>198</v>
      </c>
      <c r="E75" s="1">
        <v>2</v>
      </c>
      <c r="F75" s="1" t="s">
        <v>54</v>
      </c>
      <c r="I75" s="1">
        <v>1</v>
      </c>
      <c r="J75" s="1" t="b">
        <v>1</v>
      </c>
      <c r="K75" s="1" t="b">
        <v>1</v>
      </c>
      <c r="L75" s="1" t="s">
        <v>64</v>
      </c>
      <c r="M75" s="1">
        <v>2024014</v>
      </c>
      <c r="N75" s="1" t="b">
        <v>0</v>
      </c>
      <c r="O75" s="1" t="s">
        <v>199</v>
      </c>
      <c r="R75" s="1">
        <v>999999</v>
      </c>
    </row>
    <row r="76" spans="1:20">
      <c r="A76" s="1">
        <v>1024015</v>
      </c>
      <c r="C76" s="1">
        <v>1024015</v>
      </c>
      <c r="D76" s="1" t="s">
        <v>200</v>
      </c>
      <c r="E76" s="1">
        <v>2</v>
      </c>
      <c r="F76" s="1" t="s">
        <v>54</v>
      </c>
      <c r="I76" s="1">
        <v>1</v>
      </c>
      <c r="J76" s="1" t="b">
        <v>1</v>
      </c>
      <c r="K76" s="1" t="b">
        <v>1</v>
      </c>
      <c r="L76" s="1" t="s">
        <v>112</v>
      </c>
      <c r="M76" s="1">
        <v>2024015</v>
      </c>
      <c r="N76" s="1" t="b">
        <v>0</v>
      </c>
      <c r="O76" s="1" t="s">
        <v>201</v>
      </c>
      <c r="R76" s="1">
        <v>999999</v>
      </c>
      <c r="T76" s="1" t="s">
        <v>202</v>
      </c>
    </row>
    <row r="77" spans="1:20">
      <c r="A77" s="1">
        <v>1024016</v>
      </c>
      <c r="C77" s="1">
        <v>1024016</v>
      </c>
      <c r="D77" s="1" t="s">
        <v>203</v>
      </c>
      <c r="E77" s="1">
        <v>2</v>
      </c>
      <c r="F77" s="1" t="s">
        <v>54</v>
      </c>
      <c r="I77" s="1">
        <v>1</v>
      </c>
      <c r="J77" s="1" t="b">
        <v>1</v>
      </c>
      <c r="K77" s="1" t="b">
        <v>1</v>
      </c>
      <c r="L77" s="1" t="s">
        <v>112</v>
      </c>
      <c r="M77" s="1">
        <v>2024016</v>
      </c>
      <c r="N77" s="1" t="b">
        <v>0</v>
      </c>
      <c r="O77" s="1" t="s">
        <v>204</v>
      </c>
      <c r="R77" s="1">
        <v>999999</v>
      </c>
      <c r="T77" s="1" t="s">
        <v>205</v>
      </c>
    </row>
    <row r="78" spans="1:20">
      <c r="A78" s="1">
        <v>1024017</v>
      </c>
      <c r="C78" s="1">
        <v>1024017</v>
      </c>
      <c r="D78" s="1" t="s">
        <v>206</v>
      </c>
      <c r="E78" s="1">
        <v>2</v>
      </c>
      <c r="F78" s="1" t="s">
        <v>54</v>
      </c>
      <c r="I78" s="1">
        <v>1</v>
      </c>
      <c r="J78" s="1" t="b">
        <v>1</v>
      </c>
      <c r="K78" s="1" t="b">
        <v>1</v>
      </c>
      <c r="L78" s="1" t="s">
        <v>114</v>
      </c>
      <c r="M78" s="1">
        <v>2024017</v>
      </c>
      <c r="N78" s="1" t="b">
        <v>0</v>
      </c>
      <c r="O78" s="1" t="s">
        <v>207</v>
      </c>
      <c r="R78" s="1">
        <v>999999</v>
      </c>
    </row>
    <row r="79" spans="1:20">
      <c r="A79" s="1">
        <v>1024018</v>
      </c>
      <c r="C79" s="1">
        <v>1024018</v>
      </c>
      <c r="D79" s="1" t="s">
        <v>208</v>
      </c>
      <c r="E79" s="1">
        <v>2</v>
      </c>
      <c r="F79" s="1" t="s">
        <v>54</v>
      </c>
      <c r="I79" s="1">
        <v>1</v>
      </c>
      <c r="J79" s="1" t="b">
        <v>0</v>
      </c>
      <c r="K79" s="1" t="b">
        <v>0</v>
      </c>
      <c r="L79" s="1" t="s">
        <v>209</v>
      </c>
      <c r="M79" s="1">
        <v>2024018</v>
      </c>
      <c r="N79" s="1" t="b">
        <v>0</v>
      </c>
      <c r="O79" s="1" t="s">
        <v>210</v>
      </c>
      <c r="R79" s="1">
        <v>-1</v>
      </c>
    </row>
    <row r="80" spans="1:20">
      <c r="A80" s="1">
        <v>1024019</v>
      </c>
      <c r="C80" s="1">
        <v>1024019</v>
      </c>
      <c r="D80" s="1" t="s">
        <v>211</v>
      </c>
      <c r="E80" s="1">
        <v>2</v>
      </c>
      <c r="F80" s="1" t="s">
        <v>54</v>
      </c>
      <c r="I80" s="1">
        <v>1</v>
      </c>
      <c r="J80" s="1" t="b">
        <v>0</v>
      </c>
      <c r="K80" s="1" t="b">
        <v>0</v>
      </c>
      <c r="L80" s="1" t="s">
        <v>209</v>
      </c>
      <c r="M80" s="1">
        <v>2024019</v>
      </c>
      <c r="N80" s="1" t="b">
        <v>0</v>
      </c>
      <c r="O80" s="1" t="s">
        <v>212</v>
      </c>
    </row>
    <row r="81" spans="1:18">
      <c r="A81" s="1">
        <v>1024020</v>
      </c>
      <c r="C81" s="1">
        <v>1024020</v>
      </c>
      <c r="D81" s="1" t="s">
        <v>213</v>
      </c>
      <c r="E81" s="1">
        <v>2</v>
      </c>
      <c r="F81" s="1" t="s">
        <v>54</v>
      </c>
      <c r="I81" s="1">
        <v>1</v>
      </c>
      <c r="J81" s="1" t="b">
        <v>0</v>
      </c>
      <c r="K81" s="1" t="b">
        <v>0</v>
      </c>
      <c r="L81" s="1" t="s">
        <v>209</v>
      </c>
      <c r="M81" s="1">
        <v>2024020</v>
      </c>
      <c r="N81" s="1" t="b">
        <v>0</v>
      </c>
      <c r="O81" s="1" t="s">
        <v>214</v>
      </c>
    </row>
    <row r="82" spans="1:18">
      <c r="A82" s="1">
        <v>1024021</v>
      </c>
      <c r="C82" s="1">
        <v>1024021</v>
      </c>
      <c r="D82" s="1" t="s">
        <v>215</v>
      </c>
      <c r="E82" s="1">
        <v>2</v>
      </c>
      <c r="F82" s="1" t="s">
        <v>54</v>
      </c>
      <c r="I82" s="1">
        <v>1</v>
      </c>
      <c r="J82" s="1" t="b">
        <v>0</v>
      </c>
      <c r="K82" s="1" t="b">
        <v>0</v>
      </c>
      <c r="L82" s="1" t="s">
        <v>209</v>
      </c>
      <c r="M82" s="1">
        <v>2024021</v>
      </c>
      <c r="N82" s="1" t="b">
        <v>0</v>
      </c>
      <c r="O82" s="1" t="s">
        <v>216</v>
      </c>
    </row>
    <row r="83" spans="1:18">
      <c r="A83" s="1">
        <v>1024022</v>
      </c>
      <c r="C83" s="1">
        <v>1024022</v>
      </c>
      <c r="D83" s="1" t="s">
        <v>217</v>
      </c>
      <c r="E83" s="1">
        <v>2</v>
      </c>
      <c r="F83" s="1" t="s">
        <v>54</v>
      </c>
      <c r="I83" s="1">
        <v>1</v>
      </c>
      <c r="J83" s="1" t="b">
        <v>0</v>
      </c>
      <c r="K83" s="1" t="b">
        <v>0</v>
      </c>
      <c r="L83" s="1" t="s">
        <v>209</v>
      </c>
      <c r="M83" s="1">
        <v>2024022</v>
      </c>
      <c r="N83" s="1" t="b">
        <v>0</v>
      </c>
      <c r="O83" s="1" t="s">
        <v>218</v>
      </c>
    </row>
    <row r="84" spans="1:18">
      <c r="A84" s="1">
        <v>1024023</v>
      </c>
      <c r="C84" s="1">
        <v>1024023</v>
      </c>
      <c r="D84" s="1" t="s">
        <v>219</v>
      </c>
      <c r="E84" s="1">
        <v>2</v>
      </c>
      <c r="F84" s="1" t="s">
        <v>54</v>
      </c>
      <c r="I84" s="1">
        <v>1</v>
      </c>
      <c r="J84" s="1" t="b">
        <v>0</v>
      </c>
      <c r="K84" s="1" t="b">
        <v>0</v>
      </c>
      <c r="L84" s="1" t="s">
        <v>209</v>
      </c>
      <c r="M84" s="1">
        <v>2024023</v>
      </c>
      <c r="N84" s="1" t="b">
        <v>0</v>
      </c>
      <c r="O84" s="1" t="s">
        <v>220</v>
      </c>
    </row>
    <row r="85" ht="17.25" spans="1:18">
      <c r="A85" s="1">
        <v>1024024</v>
      </c>
      <c r="C85" s="1">
        <v>1024024</v>
      </c>
      <c r="D85" s="1" t="s">
        <v>221</v>
      </c>
      <c r="E85" s="1">
        <v>2</v>
      </c>
      <c r="F85" s="1" t="s">
        <v>54</v>
      </c>
      <c r="G85" s="1">
        <v>1</v>
      </c>
      <c r="H85" s="9">
        <v>100300</v>
      </c>
      <c r="I85" s="1">
        <v>1</v>
      </c>
      <c r="J85" s="1" t="b">
        <v>1</v>
      </c>
      <c r="K85" s="1" t="b">
        <v>1</v>
      </c>
      <c r="L85" s="1" t="s">
        <v>222</v>
      </c>
      <c r="M85" s="1">
        <v>2024024</v>
      </c>
      <c r="N85" s="1" t="b">
        <v>0</v>
      </c>
      <c r="O85" s="1" t="s">
        <v>223</v>
      </c>
      <c r="R85" s="1">
        <v>999999</v>
      </c>
    </row>
    <row r="86" ht="17.25" spans="1:18">
      <c r="A86" s="1">
        <v>1024025</v>
      </c>
      <c r="C86" s="1">
        <v>1024024</v>
      </c>
      <c r="D86" s="1" t="s">
        <v>221</v>
      </c>
      <c r="E86" s="1">
        <v>2</v>
      </c>
      <c r="F86" s="1" t="s">
        <v>54</v>
      </c>
      <c r="G86" s="1">
        <v>1</v>
      </c>
      <c r="H86" s="9">
        <v>103400</v>
      </c>
      <c r="I86" s="1">
        <v>1</v>
      </c>
      <c r="J86" s="1" t="b">
        <v>1</v>
      </c>
      <c r="K86" s="1" t="b">
        <v>1</v>
      </c>
      <c r="L86" s="1" t="s">
        <v>224</v>
      </c>
      <c r="M86" s="1">
        <v>2024025</v>
      </c>
      <c r="N86" s="1" t="b">
        <v>0</v>
      </c>
      <c r="O86" s="1" t="s">
        <v>225</v>
      </c>
      <c r="R86" s="1">
        <v>999999</v>
      </c>
    </row>
    <row r="87" spans="1:18">
      <c r="A87" s="1">
        <v>1024026</v>
      </c>
      <c r="C87" s="1">
        <v>1024024</v>
      </c>
      <c r="D87" s="1" t="s">
        <v>221</v>
      </c>
      <c r="E87" s="1">
        <v>2</v>
      </c>
      <c r="F87" s="1" t="s">
        <v>54</v>
      </c>
      <c r="G87" s="1">
        <v>1</v>
      </c>
      <c r="H87" s="10">
        <v>103401</v>
      </c>
      <c r="I87" s="1">
        <v>1</v>
      </c>
      <c r="J87" s="1" t="b">
        <v>1</v>
      </c>
      <c r="K87" s="1" t="b">
        <v>1</v>
      </c>
      <c r="L87" s="1" t="s">
        <v>226</v>
      </c>
      <c r="M87" s="1">
        <v>2024026</v>
      </c>
      <c r="N87" s="1" t="b">
        <v>0</v>
      </c>
      <c r="O87" s="1" t="s">
        <v>227</v>
      </c>
      <c r="R87" s="1">
        <v>999999</v>
      </c>
    </row>
    <row r="88" spans="1:18">
      <c r="A88" s="1">
        <v>1024027</v>
      </c>
      <c r="C88" s="1">
        <v>1024024</v>
      </c>
      <c r="D88" s="1" t="s">
        <v>221</v>
      </c>
      <c r="E88" s="1">
        <v>2</v>
      </c>
      <c r="F88" s="1" t="s">
        <v>54</v>
      </c>
      <c r="G88" s="1">
        <v>1</v>
      </c>
      <c r="H88" s="10">
        <v>101400</v>
      </c>
      <c r="I88" s="1">
        <v>1</v>
      </c>
      <c r="J88" s="1" t="b">
        <v>1</v>
      </c>
      <c r="K88" s="1" t="b">
        <v>1</v>
      </c>
      <c r="L88" s="1" t="s">
        <v>228</v>
      </c>
      <c r="M88" s="1">
        <v>2024027</v>
      </c>
      <c r="N88" s="1" t="b">
        <v>0</v>
      </c>
      <c r="O88" s="1" t="s">
        <v>229</v>
      </c>
      <c r="R88" s="1">
        <v>999999</v>
      </c>
    </row>
    <row r="89" spans="1:18">
      <c r="A89" s="1">
        <v>1024028</v>
      </c>
      <c r="C89" s="1">
        <v>1024024</v>
      </c>
      <c r="D89" s="1" t="s">
        <v>221</v>
      </c>
      <c r="E89" s="1">
        <v>2</v>
      </c>
      <c r="F89" s="1" t="s">
        <v>54</v>
      </c>
      <c r="G89" s="1">
        <v>1</v>
      </c>
      <c r="H89" s="10">
        <v>103500</v>
      </c>
      <c r="I89" s="1">
        <v>1</v>
      </c>
      <c r="J89" s="1" t="b">
        <v>1</v>
      </c>
      <c r="K89" s="1" t="b">
        <v>1</v>
      </c>
      <c r="L89" s="1" t="s">
        <v>230</v>
      </c>
      <c r="M89" s="1">
        <v>2024028</v>
      </c>
      <c r="N89" s="1" t="b">
        <v>0</v>
      </c>
      <c r="O89" s="1" t="s">
        <v>231</v>
      </c>
      <c r="R89" s="1">
        <v>999999</v>
      </c>
    </row>
    <row r="90" spans="1:18">
      <c r="A90" s="1">
        <v>1024029</v>
      </c>
      <c r="C90" s="1">
        <v>1024024</v>
      </c>
      <c r="D90" s="1" t="s">
        <v>221</v>
      </c>
      <c r="E90" s="1">
        <v>2</v>
      </c>
      <c r="F90" s="1" t="s">
        <v>54</v>
      </c>
      <c r="G90" s="1">
        <v>1</v>
      </c>
      <c r="H90" s="10">
        <v>103501</v>
      </c>
      <c r="I90" s="1">
        <v>1</v>
      </c>
      <c r="J90" s="1" t="b">
        <v>1</v>
      </c>
      <c r="K90" s="1" t="b">
        <v>1</v>
      </c>
      <c r="L90" s="1" t="s">
        <v>232</v>
      </c>
      <c r="M90" s="1">
        <v>2024029</v>
      </c>
      <c r="N90" s="1" t="b">
        <v>0</v>
      </c>
      <c r="O90" s="1" t="s">
        <v>233</v>
      </c>
      <c r="R90" s="1">
        <v>999999</v>
      </c>
    </row>
    <row r="91" spans="1:18">
      <c r="A91" s="1">
        <v>1024030</v>
      </c>
      <c r="C91" s="1">
        <v>1024024</v>
      </c>
      <c r="D91" s="1" t="s">
        <v>221</v>
      </c>
      <c r="E91" s="1">
        <v>2</v>
      </c>
      <c r="F91" s="1" t="s">
        <v>54</v>
      </c>
      <c r="G91" s="1">
        <v>1</v>
      </c>
      <c r="H91" s="10">
        <v>100700</v>
      </c>
      <c r="I91" s="1">
        <v>1</v>
      </c>
      <c r="J91" s="1" t="b">
        <v>1</v>
      </c>
      <c r="K91" s="1" t="b">
        <v>1</v>
      </c>
      <c r="L91" s="1" t="s">
        <v>234</v>
      </c>
      <c r="M91" s="1">
        <v>2024030</v>
      </c>
      <c r="N91" s="1" t="b">
        <v>0</v>
      </c>
      <c r="O91" s="1" t="s">
        <v>235</v>
      </c>
      <c r="R91" s="1">
        <v>999999</v>
      </c>
    </row>
    <row r="92" spans="1:18">
      <c r="A92" s="1">
        <v>1024031</v>
      </c>
      <c r="C92" s="1">
        <v>1024024</v>
      </c>
      <c r="D92" s="1" t="s">
        <v>221</v>
      </c>
      <c r="E92" s="1">
        <v>2</v>
      </c>
      <c r="F92" s="1" t="s">
        <v>54</v>
      </c>
      <c r="G92" s="1">
        <v>1</v>
      </c>
      <c r="H92" s="10">
        <v>103700</v>
      </c>
      <c r="I92" s="1">
        <v>1</v>
      </c>
      <c r="J92" s="1" t="b">
        <v>1</v>
      </c>
      <c r="K92" s="1" t="b">
        <v>1</v>
      </c>
      <c r="L92" s="1" t="s">
        <v>236</v>
      </c>
      <c r="M92" s="1">
        <v>2024031</v>
      </c>
      <c r="N92" s="1" t="b">
        <v>0</v>
      </c>
      <c r="O92" s="1" t="s">
        <v>237</v>
      </c>
      <c r="R92" s="1">
        <v>999999</v>
      </c>
    </row>
    <row r="93" spans="1:18">
      <c r="A93" s="1">
        <v>1024032</v>
      </c>
      <c r="C93" s="1">
        <v>1024024</v>
      </c>
      <c r="D93" s="1" t="s">
        <v>221</v>
      </c>
      <c r="E93" s="1">
        <v>2</v>
      </c>
      <c r="F93" s="1" t="s">
        <v>54</v>
      </c>
      <c r="G93" s="1">
        <v>1</v>
      </c>
      <c r="H93" s="10">
        <v>103600</v>
      </c>
      <c r="I93" s="1">
        <v>1</v>
      </c>
      <c r="J93" s="1" t="b">
        <v>1</v>
      </c>
      <c r="K93" s="1" t="b">
        <v>1</v>
      </c>
      <c r="L93" s="1" t="s">
        <v>238</v>
      </c>
      <c r="M93" s="1">
        <v>2024032</v>
      </c>
      <c r="N93" s="1" t="b">
        <v>0</v>
      </c>
      <c r="O93" s="1" t="s">
        <v>239</v>
      </c>
      <c r="R93" s="1">
        <v>999999</v>
      </c>
    </row>
    <row r="94" spans="1:18">
      <c r="A94" s="1">
        <v>1024033</v>
      </c>
      <c r="C94" s="1">
        <v>1024024</v>
      </c>
      <c r="D94" s="1" t="s">
        <v>221</v>
      </c>
      <c r="E94" s="1">
        <v>2</v>
      </c>
      <c r="F94" s="1" t="s">
        <v>54</v>
      </c>
      <c r="G94" s="1">
        <v>1</v>
      </c>
      <c r="H94" s="10">
        <v>101700</v>
      </c>
      <c r="I94" s="1">
        <v>1</v>
      </c>
      <c r="J94" s="1" t="b">
        <v>1</v>
      </c>
      <c r="K94" s="1" t="b">
        <v>1</v>
      </c>
      <c r="L94" s="1" t="s">
        <v>240</v>
      </c>
      <c r="M94" s="1">
        <v>2024033</v>
      </c>
      <c r="N94" s="1" t="b">
        <v>0</v>
      </c>
      <c r="O94" s="1" t="s">
        <v>241</v>
      </c>
      <c r="R94" s="1">
        <v>999999</v>
      </c>
    </row>
    <row r="95" spans="1:18">
      <c r="A95" s="1">
        <v>1024034</v>
      </c>
      <c r="C95" s="1">
        <v>1024025</v>
      </c>
      <c r="D95" s="1" t="s">
        <v>242</v>
      </c>
      <c r="E95" s="1">
        <v>2</v>
      </c>
      <c r="F95" s="1" t="s">
        <v>54</v>
      </c>
      <c r="I95" s="1">
        <v>1</v>
      </c>
      <c r="J95" s="1" t="b">
        <v>1</v>
      </c>
      <c r="K95" s="1" t="b">
        <v>1</v>
      </c>
      <c r="M95" s="1">
        <v>2024034</v>
      </c>
      <c r="N95" s="1" t="b">
        <v>0</v>
      </c>
      <c r="O95" s="1" t="s">
        <v>243</v>
      </c>
      <c r="R95" s="1">
        <v>999999</v>
      </c>
    </row>
    <row r="96" spans="1:18">
      <c r="A96" s="1">
        <v>1024035</v>
      </c>
      <c r="C96" s="1">
        <v>1024026</v>
      </c>
      <c r="D96" s="1" t="s">
        <v>244</v>
      </c>
      <c r="E96" s="1">
        <v>2</v>
      </c>
      <c r="F96" s="1" t="s">
        <v>54</v>
      </c>
      <c r="I96" s="1">
        <v>1</v>
      </c>
      <c r="J96" s="1" t="b">
        <v>1</v>
      </c>
      <c r="K96" s="1" t="b">
        <v>1</v>
      </c>
      <c r="M96" s="1">
        <v>2024035</v>
      </c>
      <c r="N96" s="1" t="b">
        <v>0</v>
      </c>
      <c r="O96" s="1" t="s">
        <v>245</v>
      </c>
      <c r="R96" s="1">
        <v>999999</v>
      </c>
    </row>
    <row r="97" spans="1:18">
      <c r="A97" s="1">
        <v>1024036</v>
      </c>
      <c r="C97" s="1">
        <v>1024027</v>
      </c>
      <c r="D97" s="1" t="s">
        <v>246</v>
      </c>
      <c r="E97" s="1">
        <v>2</v>
      </c>
      <c r="F97" s="1" t="s">
        <v>54</v>
      </c>
      <c r="I97" s="1">
        <v>1</v>
      </c>
      <c r="J97" s="1" t="b">
        <v>1</v>
      </c>
      <c r="K97" s="1" t="b">
        <v>1</v>
      </c>
      <c r="M97" s="1">
        <v>2024036</v>
      </c>
      <c r="N97" s="1" t="b">
        <v>0</v>
      </c>
      <c r="O97" s="1" t="s">
        <v>247</v>
      </c>
      <c r="R97" s="1">
        <v>999999</v>
      </c>
    </row>
    <row r="98" spans="1:18">
      <c r="A98" s="1">
        <v>1024037</v>
      </c>
      <c r="C98" s="1">
        <v>1024028</v>
      </c>
      <c r="D98" s="1" t="s">
        <v>248</v>
      </c>
      <c r="E98" s="1">
        <v>2</v>
      </c>
      <c r="F98" s="1" t="s">
        <v>54</v>
      </c>
      <c r="I98" s="1">
        <v>1</v>
      </c>
      <c r="J98" s="1" t="b">
        <v>1</v>
      </c>
      <c r="K98" s="1" t="b">
        <v>1</v>
      </c>
      <c r="M98" s="1">
        <v>2024037</v>
      </c>
      <c r="N98" s="1" t="b">
        <v>0</v>
      </c>
      <c r="O98" s="1" t="s">
        <v>249</v>
      </c>
      <c r="R98" s="1">
        <v>999999</v>
      </c>
    </row>
    <row r="99" spans="1:18">
      <c r="A99" s="1">
        <v>1024038</v>
      </c>
      <c r="C99" s="1">
        <v>1024029</v>
      </c>
      <c r="D99" s="1" t="s">
        <v>250</v>
      </c>
      <c r="E99" s="1">
        <v>2</v>
      </c>
      <c r="F99" s="1" t="s">
        <v>54</v>
      </c>
      <c r="I99" s="1">
        <v>1</v>
      </c>
      <c r="J99" s="1" t="b">
        <v>1</v>
      </c>
      <c r="K99" s="1" t="b">
        <v>1</v>
      </c>
      <c r="M99" s="1">
        <v>2024038</v>
      </c>
      <c r="N99" s="1" t="b">
        <v>0</v>
      </c>
      <c r="O99" s="1" t="s">
        <v>251</v>
      </c>
      <c r="R99" s="1">
        <v>999999</v>
      </c>
    </row>
    <row r="100" spans="1:18">
      <c r="A100" s="1">
        <v>1024039</v>
      </c>
      <c r="C100" s="1">
        <v>1024030</v>
      </c>
      <c r="D100" s="1" t="s">
        <v>252</v>
      </c>
      <c r="E100" s="1">
        <v>2</v>
      </c>
      <c r="F100" s="1" t="s">
        <v>54</v>
      </c>
      <c r="I100" s="1">
        <v>1</v>
      </c>
      <c r="J100" s="1" t="b">
        <v>1</v>
      </c>
      <c r="K100" s="1" t="b">
        <v>1</v>
      </c>
      <c r="M100" s="1">
        <v>2024039</v>
      </c>
      <c r="N100" s="1" t="b">
        <v>0</v>
      </c>
      <c r="O100" s="1" t="s">
        <v>253</v>
      </c>
      <c r="R100" s="1">
        <v>999999</v>
      </c>
    </row>
    <row r="101" spans="1:18">
      <c r="A101" s="1">
        <v>1024040</v>
      </c>
      <c r="C101" s="1">
        <v>1024024</v>
      </c>
      <c r="D101" s="1" t="s">
        <v>221</v>
      </c>
      <c r="E101" s="1">
        <v>2</v>
      </c>
      <c r="F101" s="1" t="s">
        <v>54</v>
      </c>
      <c r="G101" s="1">
        <v>1</v>
      </c>
      <c r="H101" s="10">
        <v>101200</v>
      </c>
      <c r="I101" s="1">
        <v>1</v>
      </c>
      <c r="J101" s="1" t="b">
        <v>1</v>
      </c>
      <c r="K101" s="1" t="b">
        <v>1</v>
      </c>
      <c r="L101" s="1" t="s">
        <v>254</v>
      </c>
      <c r="M101" s="1">
        <v>2024040</v>
      </c>
      <c r="N101" s="1" t="b">
        <v>0</v>
      </c>
      <c r="O101" s="1" t="s">
        <v>255</v>
      </c>
      <c r="R101" s="1">
        <v>999999</v>
      </c>
    </row>
    <row r="102" spans="1:18">
      <c r="A102" s="1">
        <v>1025101</v>
      </c>
      <c r="C102" s="1">
        <v>1025101</v>
      </c>
      <c r="D102" s="1" t="s">
        <v>256</v>
      </c>
      <c r="E102" s="1">
        <v>2</v>
      </c>
      <c r="F102" s="1" t="s">
        <v>54</v>
      </c>
      <c r="I102" s="1">
        <v>1</v>
      </c>
      <c r="J102" s="1" t="b">
        <v>0</v>
      </c>
      <c r="K102" s="1" t="b">
        <v>0</v>
      </c>
      <c r="L102" s="1" t="s">
        <v>257</v>
      </c>
      <c r="M102" s="1">
        <v>2025101</v>
      </c>
      <c r="N102" s="1" t="b">
        <v>0</v>
      </c>
      <c r="O102" s="1" t="s">
        <v>256</v>
      </c>
      <c r="R102" s="1">
        <v>-1</v>
      </c>
    </row>
    <row r="103" spans="1:18">
      <c r="A103" s="1">
        <v>1025102</v>
      </c>
      <c r="C103" s="1">
        <v>1025102</v>
      </c>
      <c r="D103" s="1" t="s">
        <v>258</v>
      </c>
      <c r="E103" s="1">
        <v>2</v>
      </c>
      <c r="F103" s="1" t="s">
        <v>54</v>
      </c>
      <c r="I103" s="1">
        <v>1</v>
      </c>
      <c r="J103" s="1" t="b">
        <v>0</v>
      </c>
      <c r="K103" s="1" t="b">
        <v>0</v>
      </c>
      <c r="L103" s="1" t="s">
        <v>259</v>
      </c>
      <c r="M103" s="1">
        <v>2025102</v>
      </c>
      <c r="N103" s="1" t="b">
        <v>0</v>
      </c>
      <c r="O103" s="1" t="s">
        <v>258</v>
      </c>
      <c r="R103" s="1">
        <v>-1</v>
      </c>
    </row>
    <row r="104" spans="1:18">
      <c r="A104" s="1">
        <v>1025103</v>
      </c>
      <c r="C104" s="1">
        <v>1025103</v>
      </c>
      <c r="D104" s="1" t="s">
        <v>260</v>
      </c>
      <c r="E104" s="1">
        <v>2</v>
      </c>
      <c r="F104" s="1" t="s">
        <v>54</v>
      </c>
      <c r="I104" s="1">
        <v>1</v>
      </c>
      <c r="J104" s="1" t="b">
        <v>0</v>
      </c>
      <c r="K104" s="1" t="b">
        <v>0</v>
      </c>
      <c r="L104" s="1" t="s">
        <v>261</v>
      </c>
      <c r="M104" s="1">
        <v>2025103</v>
      </c>
      <c r="N104" s="1" t="b">
        <v>0</v>
      </c>
      <c r="O104" s="1" t="s">
        <v>260</v>
      </c>
      <c r="R104" s="1">
        <v>-1</v>
      </c>
    </row>
    <row r="105" spans="1:18">
      <c r="A105" s="1">
        <v>1025104</v>
      </c>
      <c r="C105" s="1">
        <v>1025104</v>
      </c>
      <c r="D105" s="1" t="s">
        <v>262</v>
      </c>
      <c r="E105" s="1">
        <v>2</v>
      </c>
      <c r="F105" s="1" t="s">
        <v>54</v>
      </c>
      <c r="I105" s="1">
        <v>1</v>
      </c>
      <c r="J105" s="1" t="b">
        <v>0</v>
      </c>
      <c r="K105" s="1" t="b">
        <v>0</v>
      </c>
      <c r="L105" s="1" t="s">
        <v>263</v>
      </c>
      <c r="M105" s="1">
        <v>2025104</v>
      </c>
      <c r="N105" s="1" t="b">
        <v>0</v>
      </c>
      <c r="O105" s="1" t="s">
        <v>262</v>
      </c>
      <c r="R105" s="1">
        <v>-1</v>
      </c>
    </row>
    <row r="106" spans="1:18">
      <c r="A106" s="1">
        <v>1025105</v>
      </c>
      <c r="C106" s="1">
        <v>1025105</v>
      </c>
      <c r="D106" s="1" t="s">
        <v>264</v>
      </c>
      <c r="E106" s="1">
        <v>2</v>
      </c>
      <c r="F106" s="1" t="s">
        <v>54</v>
      </c>
      <c r="I106" s="1">
        <v>1</v>
      </c>
      <c r="J106" s="1" t="b">
        <v>0</v>
      </c>
      <c r="K106" s="1" t="b">
        <v>0</v>
      </c>
      <c r="L106" s="1" t="s">
        <v>265</v>
      </c>
      <c r="M106" s="1">
        <v>2025105</v>
      </c>
      <c r="N106" s="1" t="b">
        <v>0</v>
      </c>
      <c r="O106" s="1" t="s">
        <v>264</v>
      </c>
      <c r="R106" s="1">
        <v>-1</v>
      </c>
    </row>
    <row r="107" spans="1:18">
      <c r="A107" s="1">
        <v>1025106</v>
      </c>
      <c r="C107" s="1">
        <v>1025106</v>
      </c>
      <c r="D107" s="1" t="s">
        <v>266</v>
      </c>
      <c r="E107" s="1">
        <v>2</v>
      </c>
      <c r="F107" s="1" t="s">
        <v>54</v>
      </c>
      <c r="I107" s="1">
        <v>1</v>
      </c>
      <c r="J107" s="1" t="b">
        <v>0</v>
      </c>
      <c r="K107" s="1" t="b">
        <v>0</v>
      </c>
      <c r="L107" s="1" t="s">
        <v>267</v>
      </c>
      <c r="M107" s="1">
        <v>2025106</v>
      </c>
      <c r="N107" s="1" t="b">
        <v>0</v>
      </c>
      <c r="O107" s="1" t="s">
        <v>266</v>
      </c>
      <c r="R107" s="1">
        <v>-1</v>
      </c>
    </row>
    <row r="108" spans="1:18">
      <c r="A108" s="1">
        <v>1025201</v>
      </c>
      <c r="C108" s="1">
        <v>1025201</v>
      </c>
      <c r="D108" s="1" t="s">
        <v>268</v>
      </c>
      <c r="E108" s="1">
        <v>2</v>
      </c>
      <c r="F108" s="1" t="s">
        <v>54</v>
      </c>
      <c r="I108" s="1">
        <v>2</v>
      </c>
      <c r="J108" s="1" t="b">
        <v>0</v>
      </c>
      <c r="K108" s="1" t="b">
        <v>0</v>
      </c>
      <c r="L108" s="1" t="s">
        <v>269</v>
      </c>
      <c r="M108" s="1">
        <v>2025201</v>
      </c>
      <c r="N108" s="1" t="b">
        <v>0</v>
      </c>
      <c r="O108" s="1" t="s">
        <v>268</v>
      </c>
      <c r="R108" s="1">
        <v>-1</v>
      </c>
    </row>
    <row r="109" spans="1:18">
      <c r="A109" s="1">
        <v>1025202</v>
      </c>
      <c r="C109" s="1">
        <v>1025202</v>
      </c>
      <c r="D109" s="1" t="s">
        <v>270</v>
      </c>
      <c r="E109" s="1">
        <v>2</v>
      </c>
      <c r="F109" s="1" t="s">
        <v>54</v>
      </c>
      <c r="I109" s="1">
        <v>2</v>
      </c>
      <c r="J109" s="1" t="b">
        <v>0</v>
      </c>
      <c r="K109" s="1" t="b">
        <v>0</v>
      </c>
      <c r="L109" s="1" t="s">
        <v>271</v>
      </c>
      <c r="M109" s="1">
        <v>2025202</v>
      </c>
      <c r="N109" s="1" t="b">
        <v>0</v>
      </c>
      <c r="O109" s="1" t="s">
        <v>270</v>
      </c>
      <c r="R109" s="1">
        <v>-1</v>
      </c>
    </row>
    <row r="110" spans="1:18">
      <c r="A110" s="1">
        <v>1025203</v>
      </c>
      <c r="C110" s="1">
        <v>1025203</v>
      </c>
      <c r="D110" s="1" t="s">
        <v>272</v>
      </c>
      <c r="E110" s="1">
        <v>2</v>
      </c>
      <c r="F110" s="1" t="s">
        <v>54</v>
      </c>
      <c r="I110" s="1">
        <v>2</v>
      </c>
      <c r="J110" s="1" t="b">
        <v>0</v>
      </c>
      <c r="K110" s="1" t="b">
        <v>0</v>
      </c>
      <c r="L110" s="1" t="s">
        <v>273</v>
      </c>
      <c r="M110" s="1">
        <v>2025203</v>
      </c>
      <c r="N110" s="1" t="b">
        <v>0</v>
      </c>
      <c r="O110" s="1" t="s">
        <v>272</v>
      </c>
      <c r="R110" s="1">
        <v>-1</v>
      </c>
    </row>
    <row r="111" spans="1:18">
      <c r="A111" s="1">
        <v>1025204</v>
      </c>
      <c r="C111" s="1">
        <v>1025204</v>
      </c>
      <c r="D111" s="1" t="s">
        <v>274</v>
      </c>
      <c r="E111" s="1">
        <v>2</v>
      </c>
      <c r="F111" s="1" t="s">
        <v>54</v>
      </c>
      <c r="I111" s="1">
        <v>2</v>
      </c>
      <c r="J111" s="1" t="b">
        <v>0</v>
      </c>
      <c r="K111" s="1" t="b">
        <v>0</v>
      </c>
      <c r="L111" s="1" t="s">
        <v>275</v>
      </c>
      <c r="M111" s="1">
        <v>2025204</v>
      </c>
      <c r="N111" s="1" t="b">
        <v>0</v>
      </c>
      <c r="O111" s="1" t="s">
        <v>274</v>
      </c>
      <c r="R111" s="1">
        <v>-1</v>
      </c>
    </row>
    <row r="112" spans="1:18">
      <c r="A112" s="1">
        <v>1025205</v>
      </c>
      <c r="C112" s="1">
        <v>1025205</v>
      </c>
      <c r="D112" s="1" t="s">
        <v>276</v>
      </c>
      <c r="E112" s="1">
        <v>2</v>
      </c>
      <c r="F112" s="1" t="s">
        <v>54</v>
      </c>
      <c r="I112" s="1">
        <v>2</v>
      </c>
      <c r="J112" s="1" t="b">
        <v>0</v>
      </c>
      <c r="K112" s="1" t="b">
        <v>0</v>
      </c>
      <c r="L112" s="1" t="s">
        <v>277</v>
      </c>
      <c r="M112" s="1">
        <v>2025205</v>
      </c>
      <c r="N112" s="1" t="b">
        <v>0</v>
      </c>
      <c r="O112" s="1" t="s">
        <v>276</v>
      </c>
      <c r="R112" s="1">
        <v>-1</v>
      </c>
    </row>
    <row r="113" spans="1:18">
      <c r="A113" s="1">
        <v>1025206</v>
      </c>
      <c r="C113" s="1">
        <v>1025206</v>
      </c>
      <c r="D113" s="1" t="s">
        <v>278</v>
      </c>
      <c r="E113" s="1">
        <v>2</v>
      </c>
      <c r="F113" s="1" t="s">
        <v>54</v>
      </c>
      <c r="I113" s="1">
        <v>2</v>
      </c>
      <c r="J113" s="1" t="b">
        <v>0</v>
      </c>
      <c r="K113" s="1" t="b">
        <v>0</v>
      </c>
      <c r="L113" s="1" t="s">
        <v>279</v>
      </c>
      <c r="M113" s="1">
        <v>2025206</v>
      </c>
      <c r="N113" s="1" t="b">
        <v>0</v>
      </c>
      <c r="O113" s="1" t="s">
        <v>278</v>
      </c>
      <c r="R113" s="1">
        <v>-1</v>
      </c>
    </row>
    <row r="114" spans="1:18">
      <c r="A114" s="1">
        <v>1025301</v>
      </c>
      <c r="C114" s="1">
        <v>1025301</v>
      </c>
      <c r="D114" s="1" t="s">
        <v>280</v>
      </c>
      <c r="E114" s="1">
        <v>2</v>
      </c>
      <c r="F114" s="1" t="s">
        <v>54</v>
      </c>
      <c r="I114" s="1">
        <v>3</v>
      </c>
      <c r="J114" s="1" t="b">
        <v>0</v>
      </c>
      <c r="K114" s="1" t="b">
        <v>0</v>
      </c>
      <c r="L114" s="1" t="s">
        <v>281</v>
      </c>
      <c r="M114" s="1">
        <v>2025301</v>
      </c>
      <c r="N114" s="1" t="b">
        <v>0</v>
      </c>
      <c r="O114" s="1" t="s">
        <v>280</v>
      </c>
      <c r="R114" s="1">
        <v>-1</v>
      </c>
    </row>
    <row r="115" spans="1:18">
      <c r="A115" s="1">
        <v>1025302</v>
      </c>
      <c r="C115" s="1">
        <v>1025302</v>
      </c>
      <c r="D115" s="1" t="s">
        <v>282</v>
      </c>
      <c r="E115" s="1">
        <v>2</v>
      </c>
      <c r="F115" s="1" t="s">
        <v>54</v>
      </c>
      <c r="I115" s="1">
        <v>3</v>
      </c>
      <c r="J115" s="1" t="b">
        <v>0</v>
      </c>
      <c r="K115" s="1" t="b">
        <v>0</v>
      </c>
      <c r="L115" s="1" t="s">
        <v>283</v>
      </c>
      <c r="M115" s="1">
        <v>2025302</v>
      </c>
      <c r="N115" s="1" t="b">
        <v>0</v>
      </c>
      <c r="O115" s="1" t="s">
        <v>282</v>
      </c>
      <c r="R115" s="1">
        <v>-1</v>
      </c>
    </row>
    <row r="116" spans="1:18">
      <c r="A116" s="1">
        <v>1025303</v>
      </c>
      <c r="C116" s="1">
        <v>1025303</v>
      </c>
      <c r="D116" s="1" t="s">
        <v>284</v>
      </c>
      <c r="E116" s="1">
        <v>2</v>
      </c>
      <c r="F116" s="1" t="s">
        <v>54</v>
      </c>
      <c r="I116" s="1">
        <v>3</v>
      </c>
      <c r="J116" s="1" t="b">
        <v>0</v>
      </c>
      <c r="K116" s="1" t="b">
        <v>0</v>
      </c>
      <c r="L116" s="1" t="s">
        <v>285</v>
      </c>
      <c r="M116" s="1">
        <v>2025303</v>
      </c>
      <c r="N116" s="1" t="b">
        <v>0</v>
      </c>
      <c r="O116" s="1" t="s">
        <v>284</v>
      </c>
      <c r="R116" s="1">
        <v>-1</v>
      </c>
    </row>
    <row r="117" spans="1:18">
      <c r="A117" s="1">
        <v>1025304</v>
      </c>
      <c r="C117" s="1">
        <v>1025304</v>
      </c>
      <c r="D117" s="1" t="s">
        <v>286</v>
      </c>
      <c r="E117" s="1">
        <v>2</v>
      </c>
      <c r="F117" s="1" t="s">
        <v>54</v>
      </c>
      <c r="I117" s="1">
        <v>3</v>
      </c>
      <c r="J117" s="1" t="b">
        <v>0</v>
      </c>
      <c r="K117" s="1" t="b">
        <v>0</v>
      </c>
      <c r="L117" s="1" t="s">
        <v>287</v>
      </c>
      <c r="M117" s="1">
        <v>2025304</v>
      </c>
      <c r="N117" s="1" t="b">
        <v>0</v>
      </c>
      <c r="O117" s="1" t="s">
        <v>286</v>
      </c>
      <c r="R117" s="1">
        <v>-1</v>
      </c>
    </row>
    <row r="118" spans="1:18">
      <c r="A118" s="1">
        <v>1025305</v>
      </c>
      <c r="C118" s="1">
        <v>1025305</v>
      </c>
      <c r="D118" s="1" t="s">
        <v>288</v>
      </c>
      <c r="E118" s="1">
        <v>2</v>
      </c>
      <c r="F118" s="1" t="s">
        <v>54</v>
      </c>
      <c r="I118" s="1">
        <v>3</v>
      </c>
      <c r="J118" s="1" t="b">
        <v>0</v>
      </c>
      <c r="K118" s="1" t="b">
        <v>0</v>
      </c>
      <c r="L118" s="1" t="s">
        <v>289</v>
      </c>
      <c r="M118" s="1">
        <v>2025305</v>
      </c>
      <c r="N118" s="1" t="b">
        <v>0</v>
      </c>
      <c r="O118" s="1" t="s">
        <v>288</v>
      </c>
      <c r="R118" s="1">
        <v>-1</v>
      </c>
    </row>
    <row r="119" spans="1:18">
      <c r="A119" s="1">
        <v>1025306</v>
      </c>
      <c r="C119" s="1">
        <v>1025306</v>
      </c>
      <c r="D119" s="1" t="s">
        <v>290</v>
      </c>
      <c r="E119" s="1">
        <v>2</v>
      </c>
      <c r="F119" s="1" t="s">
        <v>54</v>
      </c>
      <c r="I119" s="1">
        <v>3</v>
      </c>
      <c r="J119" s="1" t="b">
        <v>0</v>
      </c>
      <c r="K119" s="1" t="b">
        <v>0</v>
      </c>
      <c r="L119" s="1" t="s">
        <v>291</v>
      </c>
      <c r="M119" s="1">
        <v>2025306</v>
      </c>
      <c r="N119" s="1" t="b">
        <v>0</v>
      </c>
      <c r="O119" s="1" t="s">
        <v>290</v>
      </c>
      <c r="R119" s="1">
        <v>-1</v>
      </c>
    </row>
    <row r="120" spans="1:18">
      <c r="A120" s="1">
        <v>1025401</v>
      </c>
      <c r="C120" s="1">
        <v>1025401</v>
      </c>
      <c r="D120" s="1" t="s">
        <v>292</v>
      </c>
      <c r="E120" s="1">
        <v>2</v>
      </c>
      <c r="F120" s="1" t="s">
        <v>54</v>
      </c>
      <c r="I120" s="1">
        <v>4</v>
      </c>
      <c r="J120" s="1" t="b">
        <v>0</v>
      </c>
      <c r="K120" s="1" t="b">
        <v>0</v>
      </c>
      <c r="L120" s="1" t="s">
        <v>293</v>
      </c>
      <c r="M120" s="1">
        <v>2025401</v>
      </c>
      <c r="N120" s="1" t="b">
        <v>0</v>
      </c>
      <c r="O120" s="1" t="s">
        <v>292</v>
      </c>
      <c r="R120" s="1">
        <v>-1</v>
      </c>
    </row>
    <row r="121" spans="1:18">
      <c r="A121" s="1">
        <v>1025402</v>
      </c>
      <c r="C121" s="1">
        <v>1025402</v>
      </c>
      <c r="D121" s="1" t="s">
        <v>294</v>
      </c>
      <c r="E121" s="1">
        <v>2</v>
      </c>
      <c r="F121" s="1" t="s">
        <v>54</v>
      </c>
      <c r="I121" s="1">
        <v>4</v>
      </c>
      <c r="J121" s="1" t="b">
        <v>0</v>
      </c>
      <c r="K121" s="1" t="b">
        <v>0</v>
      </c>
      <c r="L121" s="1" t="s">
        <v>295</v>
      </c>
      <c r="M121" s="1">
        <v>2025402</v>
      </c>
      <c r="N121" s="1" t="b">
        <v>0</v>
      </c>
      <c r="O121" s="1" t="s">
        <v>294</v>
      </c>
      <c r="R121" s="1">
        <v>-1</v>
      </c>
    </row>
    <row r="122" spans="1:18">
      <c r="A122" s="1">
        <v>1025403</v>
      </c>
      <c r="C122" s="1">
        <v>1025403</v>
      </c>
      <c r="D122" s="1" t="s">
        <v>296</v>
      </c>
      <c r="E122" s="1">
        <v>2</v>
      </c>
      <c r="F122" s="1" t="s">
        <v>54</v>
      </c>
      <c r="I122" s="1">
        <v>4</v>
      </c>
      <c r="J122" s="1" t="b">
        <v>0</v>
      </c>
      <c r="K122" s="1" t="b">
        <v>0</v>
      </c>
      <c r="L122" s="1" t="s">
        <v>297</v>
      </c>
      <c r="M122" s="1">
        <v>2025403</v>
      </c>
      <c r="N122" s="1" t="b">
        <v>0</v>
      </c>
      <c r="O122" s="1" t="s">
        <v>296</v>
      </c>
      <c r="R122" s="1">
        <v>-1</v>
      </c>
    </row>
    <row r="123" spans="1:18">
      <c r="A123" s="1">
        <v>1025404</v>
      </c>
      <c r="C123" s="1">
        <v>1025404</v>
      </c>
      <c r="D123" s="1" t="s">
        <v>298</v>
      </c>
      <c r="E123" s="1">
        <v>2</v>
      </c>
      <c r="F123" s="1" t="s">
        <v>54</v>
      </c>
      <c r="I123" s="1">
        <v>4</v>
      </c>
      <c r="J123" s="1" t="b">
        <v>0</v>
      </c>
      <c r="K123" s="1" t="b">
        <v>0</v>
      </c>
      <c r="L123" s="1" t="s">
        <v>299</v>
      </c>
      <c r="M123" s="1">
        <v>2025404</v>
      </c>
      <c r="N123" s="1" t="b">
        <v>0</v>
      </c>
      <c r="O123" s="1" t="s">
        <v>298</v>
      </c>
      <c r="R123" s="1">
        <v>-1</v>
      </c>
    </row>
    <row r="124" spans="1:18">
      <c r="A124" s="1">
        <v>1025405</v>
      </c>
      <c r="C124" s="1">
        <v>1025405</v>
      </c>
      <c r="D124" s="1" t="s">
        <v>300</v>
      </c>
      <c r="E124" s="1">
        <v>2</v>
      </c>
      <c r="F124" s="1" t="s">
        <v>54</v>
      </c>
      <c r="I124" s="1">
        <v>4</v>
      </c>
      <c r="J124" s="1" t="b">
        <v>0</v>
      </c>
      <c r="K124" s="1" t="b">
        <v>0</v>
      </c>
      <c r="L124" s="1" t="s">
        <v>301</v>
      </c>
      <c r="M124" s="1">
        <v>2025405</v>
      </c>
      <c r="N124" s="1" t="b">
        <v>0</v>
      </c>
      <c r="O124" s="1" t="s">
        <v>300</v>
      </c>
      <c r="R124" s="1">
        <v>-1</v>
      </c>
    </row>
    <row r="125" spans="1:18">
      <c r="A125" s="1">
        <v>1025406</v>
      </c>
      <c r="C125" s="1">
        <v>1025406</v>
      </c>
      <c r="D125" s="1" t="s">
        <v>302</v>
      </c>
      <c r="E125" s="1">
        <v>2</v>
      </c>
      <c r="F125" s="1" t="s">
        <v>54</v>
      </c>
      <c r="I125" s="1">
        <v>4</v>
      </c>
      <c r="J125" s="1" t="b">
        <v>0</v>
      </c>
      <c r="K125" s="1" t="b">
        <v>0</v>
      </c>
      <c r="L125" s="1" t="s">
        <v>303</v>
      </c>
      <c r="M125" s="1">
        <v>2025406</v>
      </c>
      <c r="N125" s="1" t="b">
        <v>0</v>
      </c>
      <c r="O125" s="1" t="s">
        <v>302</v>
      </c>
      <c r="R125" s="1">
        <v>-1</v>
      </c>
    </row>
    <row r="126" spans="1:18">
      <c r="A126" s="1">
        <v>1025501</v>
      </c>
      <c r="C126" s="1">
        <v>1025501</v>
      </c>
      <c r="D126" s="1" t="s">
        <v>304</v>
      </c>
      <c r="E126" s="1">
        <v>2</v>
      </c>
      <c r="F126" s="1" t="s">
        <v>54</v>
      </c>
      <c r="I126" s="1">
        <v>5</v>
      </c>
      <c r="J126" s="1" t="b">
        <v>0</v>
      </c>
      <c r="K126" s="1" t="b">
        <v>0</v>
      </c>
      <c r="L126" s="1" t="s">
        <v>305</v>
      </c>
      <c r="M126" s="1">
        <v>2025501</v>
      </c>
      <c r="N126" s="1" t="b">
        <v>0</v>
      </c>
      <c r="O126" s="1" t="s">
        <v>304</v>
      </c>
      <c r="R126" s="1">
        <v>-1</v>
      </c>
    </row>
    <row r="127" spans="1:18">
      <c r="A127" s="1">
        <v>1025502</v>
      </c>
      <c r="C127" s="1">
        <v>1025502</v>
      </c>
      <c r="D127" s="1" t="s">
        <v>306</v>
      </c>
      <c r="E127" s="1">
        <v>2</v>
      </c>
      <c r="F127" s="1" t="s">
        <v>54</v>
      </c>
      <c r="I127" s="1">
        <v>5</v>
      </c>
      <c r="J127" s="1" t="b">
        <v>0</v>
      </c>
      <c r="K127" s="1" t="b">
        <v>0</v>
      </c>
      <c r="L127" s="1" t="s">
        <v>307</v>
      </c>
      <c r="M127" s="1">
        <v>2025502</v>
      </c>
      <c r="N127" s="1" t="b">
        <v>0</v>
      </c>
      <c r="O127" s="1" t="s">
        <v>306</v>
      </c>
      <c r="R127" s="1">
        <v>-1</v>
      </c>
    </row>
    <row r="128" spans="1:18">
      <c r="A128" s="1">
        <v>1025503</v>
      </c>
      <c r="C128" s="1">
        <v>1025503</v>
      </c>
      <c r="D128" s="1" t="s">
        <v>308</v>
      </c>
      <c r="E128" s="1">
        <v>2</v>
      </c>
      <c r="F128" s="1" t="s">
        <v>54</v>
      </c>
      <c r="I128" s="1">
        <v>5</v>
      </c>
      <c r="J128" s="1" t="b">
        <v>0</v>
      </c>
      <c r="K128" s="1" t="b">
        <v>0</v>
      </c>
      <c r="L128" s="1" t="s">
        <v>309</v>
      </c>
      <c r="M128" s="1">
        <v>2025503</v>
      </c>
      <c r="N128" s="1" t="b">
        <v>0</v>
      </c>
      <c r="O128" s="1" t="s">
        <v>308</v>
      </c>
      <c r="R128" s="1">
        <v>-1</v>
      </c>
    </row>
    <row r="129" spans="1:18">
      <c r="A129" s="1">
        <v>1025504</v>
      </c>
      <c r="C129" s="1">
        <v>1025504</v>
      </c>
      <c r="D129" s="1" t="s">
        <v>310</v>
      </c>
      <c r="E129" s="1">
        <v>2</v>
      </c>
      <c r="F129" s="1" t="s">
        <v>54</v>
      </c>
      <c r="I129" s="1">
        <v>5</v>
      </c>
      <c r="J129" s="1" t="b">
        <v>0</v>
      </c>
      <c r="K129" s="1" t="b">
        <v>0</v>
      </c>
      <c r="L129" s="1" t="s">
        <v>311</v>
      </c>
      <c r="M129" s="1">
        <v>2025504</v>
      </c>
      <c r="N129" s="1" t="b">
        <v>0</v>
      </c>
      <c r="O129" s="1" t="s">
        <v>310</v>
      </c>
      <c r="R129" s="1">
        <v>-1</v>
      </c>
    </row>
    <row r="130" spans="1:18">
      <c r="A130" s="1">
        <v>1025505</v>
      </c>
      <c r="C130" s="1">
        <v>1025505</v>
      </c>
      <c r="D130" s="1" t="s">
        <v>312</v>
      </c>
      <c r="E130" s="1">
        <v>2</v>
      </c>
      <c r="F130" s="1" t="s">
        <v>54</v>
      </c>
      <c r="I130" s="1">
        <v>5</v>
      </c>
      <c r="J130" s="1" t="b">
        <v>0</v>
      </c>
      <c r="K130" s="1" t="b">
        <v>0</v>
      </c>
      <c r="L130" s="1" t="s">
        <v>313</v>
      </c>
      <c r="M130" s="1">
        <v>2025505</v>
      </c>
      <c r="N130" s="1" t="b">
        <v>0</v>
      </c>
      <c r="O130" s="1" t="s">
        <v>312</v>
      </c>
      <c r="R130" s="1">
        <v>-1</v>
      </c>
    </row>
    <row r="131" spans="1:18">
      <c r="A131" s="1">
        <v>1025506</v>
      </c>
      <c r="C131" s="1">
        <v>1025506</v>
      </c>
      <c r="D131" s="1" t="s">
        <v>314</v>
      </c>
      <c r="E131" s="1">
        <v>2</v>
      </c>
      <c r="F131" s="1" t="s">
        <v>54</v>
      </c>
      <c r="I131" s="1">
        <v>5</v>
      </c>
      <c r="J131" s="1" t="b">
        <v>0</v>
      </c>
      <c r="K131" s="1" t="b">
        <v>0</v>
      </c>
      <c r="L131" s="1" t="s">
        <v>315</v>
      </c>
      <c r="M131" s="1">
        <v>2025506</v>
      </c>
      <c r="N131" s="1" t="b">
        <v>0</v>
      </c>
      <c r="O131" s="1" t="s">
        <v>314</v>
      </c>
      <c r="R131" s="1">
        <v>-1</v>
      </c>
    </row>
    <row r="132" spans="1:18">
      <c r="A132" s="1">
        <v>1125101</v>
      </c>
      <c r="C132" s="1">
        <v>1125101</v>
      </c>
      <c r="D132" s="1" t="str">
        <f>D102&amp;"碎片"</f>
        <v>街头潮人碎片</v>
      </c>
      <c r="E132" s="1">
        <v>2</v>
      </c>
      <c r="F132" s="1" t="s">
        <v>54</v>
      </c>
      <c r="I132" s="1">
        <v>1</v>
      </c>
      <c r="J132" s="1" t="b">
        <v>1</v>
      </c>
      <c r="K132" s="1" t="b">
        <v>1</v>
      </c>
      <c r="L132" s="1" t="s">
        <v>316</v>
      </c>
      <c r="M132" s="1">
        <v>2125101</v>
      </c>
      <c r="N132" s="1" t="b">
        <v>0</v>
      </c>
      <c r="O132" s="1" t="str">
        <f>D102&amp;"游客的升星道具"</f>
        <v>街头潮人游客的升星道具</v>
      </c>
      <c r="R132" s="1">
        <v>999999</v>
      </c>
    </row>
    <row r="133" spans="1:18">
      <c r="A133" s="1">
        <v>1125102</v>
      </c>
      <c r="C133" s="1">
        <v>1125102</v>
      </c>
      <c r="D133" s="1" t="str">
        <f t="shared" ref="D133:D161" si="0">D103&amp;"碎片"</f>
        <v>复古绅士碎片</v>
      </c>
      <c r="E133" s="1">
        <v>2</v>
      </c>
      <c r="F133" s="1" t="s">
        <v>54</v>
      </c>
      <c r="I133" s="1">
        <v>1</v>
      </c>
      <c r="J133" s="1" t="b">
        <v>1</v>
      </c>
      <c r="K133" s="1" t="b">
        <v>1</v>
      </c>
      <c r="L133" s="1" t="s">
        <v>316</v>
      </c>
      <c r="M133" s="1">
        <v>2125102</v>
      </c>
      <c r="N133" s="1" t="b">
        <v>0</v>
      </c>
      <c r="O133" s="1" t="str">
        <f t="shared" ref="O133:O161" si="1">D103&amp;"游客的升星道具"</f>
        <v>复古绅士游客的升星道具</v>
      </c>
      <c r="R133" s="1">
        <v>999999</v>
      </c>
    </row>
    <row r="134" spans="1:18">
      <c r="A134" s="1">
        <v>1125103</v>
      </c>
      <c r="C134" s="1">
        <v>1125103</v>
      </c>
      <c r="D134" s="1" t="str">
        <f t="shared" si="0"/>
        <v>酷盖少年碎片</v>
      </c>
      <c r="E134" s="1">
        <v>2</v>
      </c>
      <c r="F134" s="1" t="s">
        <v>54</v>
      </c>
      <c r="I134" s="1">
        <v>1</v>
      </c>
      <c r="J134" s="1" t="b">
        <v>1</v>
      </c>
      <c r="K134" s="1" t="b">
        <v>1</v>
      </c>
      <c r="L134" s="1" t="s">
        <v>316</v>
      </c>
      <c r="M134" s="1">
        <v>2125103</v>
      </c>
      <c r="N134" s="1" t="b">
        <v>0</v>
      </c>
      <c r="O134" s="1" t="str">
        <f t="shared" si="1"/>
        <v>酷盖少年游客的升星道具</v>
      </c>
      <c r="R134" s="1">
        <v>999999</v>
      </c>
    </row>
    <row r="135" spans="1:18">
      <c r="A135" s="1">
        <v>1125104</v>
      </c>
      <c r="C135" s="1">
        <v>1125104</v>
      </c>
      <c r="D135" s="1" t="str">
        <f t="shared" si="0"/>
        <v>潮流先锋碎片</v>
      </c>
      <c r="E135" s="1">
        <v>2</v>
      </c>
      <c r="F135" s="1" t="s">
        <v>54</v>
      </c>
      <c r="I135" s="1">
        <v>1</v>
      </c>
      <c r="J135" s="1" t="b">
        <v>1</v>
      </c>
      <c r="K135" s="1" t="b">
        <v>1</v>
      </c>
      <c r="L135" s="1" t="s">
        <v>316</v>
      </c>
      <c r="M135" s="1">
        <v>2125104</v>
      </c>
      <c r="N135" s="1" t="b">
        <v>0</v>
      </c>
      <c r="O135" s="1" t="str">
        <f t="shared" si="1"/>
        <v>潮流先锋游客的升星道具</v>
      </c>
      <c r="R135" s="1">
        <v>999999</v>
      </c>
    </row>
    <row r="136" spans="1:18">
      <c r="A136" s="1">
        <v>1125105</v>
      </c>
      <c r="C136" s="1">
        <v>1125105</v>
      </c>
      <c r="D136" s="1" t="str">
        <f t="shared" si="0"/>
        <v>时尚教主碎片</v>
      </c>
      <c r="E136" s="1">
        <v>2</v>
      </c>
      <c r="F136" s="1" t="s">
        <v>54</v>
      </c>
      <c r="I136" s="1">
        <v>1</v>
      </c>
      <c r="J136" s="1" t="b">
        <v>1</v>
      </c>
      <c r="K136" s="1" t="b">
        <v>1</v>
      </c>
      <c r="L136" s="1" t="s">
        <v>316</v>
      </c>
      <c r="M136" s="1">
        <v>2125105</v>
      </c>
      <c r="N136" s="1" t="b">
        <v>0</v>
      </c>
      <c r="O136" s="1" t="str">
        <f t="shared" si="1"/>
        <v>时尚教主游客的升星道具</v>
      </c>
      <c r="R136" s="1">
        <v>999999</v>
      </c>
    </row>
    <row r="137" spans="1:18">
      <c r="A137" s="1">
        <v>1125106</v>
      </c>
      <c r="C137" s="1">
        <v>1125106</v>
      </c>
      <c r="D137" s="1" t="str">
        <f t="shared" si="0"/>
        <v>街拍达人碎片</v>
      </c>
      <c r="E137" s="1">
        <v>2</v>
      </c>
      <c r="F137" s="1" t="s">
        <v>54</v>
      </c>
      <c r="I137" s="1">
        <v>1</v>
      </c>
      <c r="J137" s="1" t="b">
        <v>1</v>
      </c>
      <c r="K137" s="1" t="b">
        <v>1</v>
      </c>
      <c r="L137" s="1" t="s">
        <v>316</v>
      </c>
      <c r="M137" s="1">
        <v>2125106</v>
      </c>
      <c r="N137" s="1" t="b">
        <v>0</v>
      </c>
      <c r="O137" s="1" t="str">
        <f t="shared" si="1"/>
        <v>街拍达人游客的升星道具</v>
      </c>
      <c r="R137" s="1">
        <v>999999</v>
      </c>
    </row>
    <row r="138" spans="1:18">
      <c r="A138" s="1">
        <v>1125201</v>
      </c>
      <c r="C138" s="1">
        <v>1125201</v>
      </c>
      <c r="D138" s="1" t="str">
        <f t="shared" si="0"/>
        <v>运动健将碎片</v>
      </c>
      <c r="E138" s="1">
        <v>2</v>
      </c>
      <c r="F138" s="1" t="s">
        <v>54</v>
      </c>
      <c r="I138" s="1">
        <v>2</v>
      </c>
      <c r="J138" s="1" t="b">
        <v>1</v>
      </c>
      <c r="K138" s="1" t="b">
        <v>1</v>
      </c>
      <c r="L138" s="1" t="s">
        <v>316</v>
      </c>
      <c r="M138" s="1">
        <v>2125201</v>
      </c>
      <c r="N138" s="1" t="b">
        <v>0</v>
      </c>
      <c r="O138" s="1" t="str">
        <f t="shared" si="1"/>
        <v>运动健将游客的升星道具</v>
      </c>
      <c r="R138" s="1">
        <v>999999</v>
      </c>
    </row>
    <row r="139" spans="1:18">
      <c r="A139" s="1">
        <v>1125202</v>
      </c>
      <c r="C139" s="1">
        <v>1125202</v>
      </c>
      <c r="D139" s="1" t="str">
        <f t="shared" si="0"/>
        <v>跑酷少年碎片</v>
      </c>
      <c r="E139" s="1">
        <v>2</v>
      </c>
      <c r="F139" s="1" t="s">
        <v>54</v>
      </c>
      <c r="I139" s="1">
        <v>2</v>
      </c>
      <c r="J139" s="1" t="b">
        <v>1</v>
      </c>
      <c r="K139" s="1" t="b">
        <v>1</v>
      </c>
      <c r="L139" s="1" t="s">
        <v>316</v>
      </c>
      <c r="M139" s="1">
        <v>2125202</v>
      </c>
      <c r="N139" s="1" t="b">
        <v>0</v>
      </c>
      <c r="O139" s="1" t="str">
        <f t="shared" si="1"/>
        <v>跑酷少年游客的升星道具</v>
      </c>
      <c r="R139" s="1">
        <v>999999</v>
      </c>
    </row>
    <row r="140" spans="1:18">
      <c r="A140" s="1">
        <v>1125203</v>
      </c>
      <c r="C140" s="1">
        <v>1125203</v>
      </c>
      <c r="D140" s="1" t="str">
        <f t="shared" si="0"/>
        <v>滑板高手碎片</v>
      </c>
      <c r="E140" s="1">
        <v>2</v>
      </c>
      <c r="F140" s="1" t="s">
        <v>54</v>
      </c>
      <c r="I140" s="1">
        <v>2</v>
      </c>
      <c r="J140" s="1" t="b">
        <v>1</v>
      </c>
      <c r="K140" s="1" t="b">
        <v>1</v>
      </c>
      <c r="L140" s="1" t="s">
        <v>316</v>
      </c>
      <c r="M140" s="1">
        <v>2125203</v>
      </c>
      <c r="N140" s="1" t="b">
        <v>0</v>
      </c>
      <c r="O140" s="1" t="str">
        <f t="shared" si="1"/>
        <v>滑板高手游客的升星道具</v>
      </c>
      <c r="R140" s="1">
        <v>999999</v>
      </c>
    </row>
    <row r="141" spans="1:18">
      <c r="A141" s="1">
        <v>1125204</v>
      </c>
      <c r="C141" s="1">
        <v>1125204</v>
      </c>
      <c r="D141" s="1" t="str">
        <f t="shared" si="0"/>
        <v>甜心辣妹碎片</v>
      </c>
      <c r="E141" s="1">
        <v>2</v>
      </c>
      <c r="F141" s="1" t="s">
        <v>54</v>
      </c>
      <c r="I141" s="1">
        <v>2</v>
      </c>
      <c r="J141" s="1" t="b">
        <v>1</v>
      </c>
      <c r="K141" s="1" t="b">
        <v>1</v>
      </c>
      <c r="L141" s="1" t="s">
        <v>316</v>
      </c>
      <c r="M141" s="1">
        <v>2125204</v>
      </c>
      <c r="N141" s="1" t="b">
        <v>0</v>
      </c>
      <c r="O141" s="1" t="str">
        <f t="shared" si="1"/>
        <v>甜心辣妹游客的升星道具</v>
      </c>
      <c r="R141" s="1">
        <v>999999</v>
      </c>
    </row>
    <row r="142" spans="1:18">
      <c r="A142" s="1">
        <v>1125205</v>
      </c>
      <c r="C142" s="1">
        <v>1125205</v>
      </c>
      <c r="D142" s="1" t="str">
        <f t="shared" si="0"/>
        <v>活力少女碎片</v>
      </c>
      <c r="E142" s="1">
        <v>2</v>
      </c>
      <c r="F142" s="1" t="s">
        <v>54</v>
      </c>
      <c r="I142" s="1">
        <v>2</v>
      </c>
      <c r="J142" s="1" t="b">
        <v>1</v>
      </c>
      <c r="K142" s="1" t="b">
        <v>1</v>
      </c>
      <c r="L142" s="1" t="s">
        <v>316</v>
      </c>
      <c r="M142" s="1">
        <v>2125205</v>
      </c>
      <c r="N142" s="1" t="b">
        <v>0</v>
      </c>
      <c r="O142" s="1" t="str">
        <f t="shared" si="1"/>
        <v>活力少女游客的升星道具</v>
      </c>
      <c r="R142" s="1">
        <v>999999</v>
      </c>
    </row>
    <row r="143" spans="1:18">
      <c r="A143" s="1">
        <v>1125206</v>
      </c>
      <c r="C143" s="1">
        <v>1125206</v>
      </c>
      <c r="D143" s="1" t="str">
        <f t="shared" si="0"/>
        <v>优雅女神碎片</v>
      </c>
      <c r="E143" s="1">
        <v>2</v>
      </c>
      <c r="F143" s="1" t="s">
        <v>54</v>
      </c>
      <c r="I143" s="1">
        <v>2</v>
      </c>
      <c r="J143" s="1" t="b">
        <v>1</v>
      </c>
      <c r="K143" s="1" t="b">
        <v>1</v>
      </c>
      <c r="L143" s="1" t="s">
        <v>316</v>
      </c>
      <c r="M143" s="1">
        <v>2125206</v>
      </c>
      <c r="N143" s="1" t="b">
        <v>0</v>
      </c>
      <c r="O143" s="1" t="str">
        <f t="shared" si="1"/>
        <v>优雅女神游客的升星道具</v>
      </c>
      <c r="R143" s="1">
        <v>999999</v>
      </c>
    </row>
    <row r="144" spans="1:18">
      <c r="A144" s="1">
        <v>1125301</v>
      </c>
      <c r="C144" s="1">
        <v>1125301</v>
      </c>
      <c r="D144" s="1" t="str">
        <f t="shared" si="0"/>
        <v>健身狂魔碎片</v>
      </c>
      <c r="E144" s="1">
        <v>2</v>
      </c>
      <c r="F144" s="1" t="s">
        <v>54</v>
      </c>
      <c r="I144" s="1">
        <v>3</v>
      </c>
      <c r="J144" s="1" t="b">
        <v>1</v>
      </c>
      <c r="K144" s="1" t="b">
        <v>1</v>
      </c>
      <c r="L144" s="1" t="s">
        <v>316</v>
      </c>
      <c r="M144" s="1">
        <v>2125301</v>
      </c>
      <c r="N144" s="1" t="b">
        <v>0</v>
      </c>
      <c r="O144" s="1" t="str">
        <f t="shared" si="1"/>
        <v>健身狂魔游客的升星道具</v>
      </c>
      <c r="R144" s="1">
        <v>999999</v>
      </c>
    </row>
    <row r="145" spans="1:18">
      <c r="A145" s="1">
        <v>1125302</v>
      </c>
      <c r="C145" s="1">
        <v>1125302</v>
      </c>
      <c r="D145" s="1" t="str">
        <f t="shared" si="0"/>
        <v>单车骑士碎片</v>
      </c>
      <c r="E145" s="1">
        <v>2</v>
      </c>
      <c r="F145" s="1" t="s">
        <v>54</v>
      </c>
      <c r="I145" s="1">
        <v>3</v>
      </c>
      <c r="J145" s="1" t="b">
        <v>1</v>
      </c>
      <c r="K145" s="1" t="b">
        <v>1</v>
      </c>
      <c r="L145" s="1" t="s">
        <v>316</v>
      </c>
      <c r="M145" s="1">
        <v>2125302</v>
      </c>
      <c r="N145" s="1" t="b">
        <v>0</v>
      </c>
      <c r="O145" s="1" t="str">
        <f t="shared" si="1"/>
        <v>单车骑士游客的升星道具</v>
      </c>
      <c r="R145" s="1">
        <v>999999</v>
      </c>
    </row>
    <row r="146" spans="1:18">
      <c r="A146" s="1">
        <v>1125303</v>
      </c>
      <c r="C146" s="1">
        <v>1125303</v>
      </c>
      <c r="D146" s="1" t="str">
        <f t="shared" si="0"/>
        <v>登山行者碎片</v>
      </c>
      <c r="E146" s="1">
        <v>2</v>
      </c>
      <c r="F146" s="1" t="s">
        <v>54</v>
      </c>
      <c r="I146" s="1">
        <v>3</v>
      </c>
      <c r="J146" s="1" t="b">
        <v>1</v>
      </c>
      <c r="K146" s="1" t="b">
        <v>1</v>
      </c>
      <c r="L146" s="1" t="s">
        <v>316</v>
      </c>
      <c r="M146" s="1">
        <v>2125303</v>
      </c>
      <c r="N146" s="1" t="b">
        <v>0</v>
      </c>
      <c r="O146" s="1" t="str">
        <f t="shared" si="1"/>
        <v>登山行者游客的升星道具</v>
      </c>
      <c r="R146" s="1">
        <v>999999</v>
      </c>
    </row>
    <row r="147" spans="1:18">
      <c r="A147" s="1">
        <v>1125304</v>
      </c>
      <c r="C147" s="1">
        <v>1125304</v>
      </c>
      <c r="D147" s="1" t="str">
        <f t="shared" si="0"/>
        <v>文艺青年碎片</v>
      </c>
      <c r="E147" s="1">
        <v>2</v>
      </c>
      <c r="F147" s="1" t="s">
        <v>54</v>
      </c>
      <c r="I147" s="1">
        <v>3</v>
      </c>
      <c r="J147" s="1" t="b">
        <v>1</v>
      </c>
      <c r="K147" s="1" t="b">
        <v>1</v>
      </c>
      <c r="L147" s="1" t="s">
        <v>316</v>
      </c>
      <c r="M147" s="1">
        <v>2125304</v>
      </c>
      <c r="N147" s="1" t="b">
        <v>0</v>
      </c>
      <c r="O147" s="1" t="str">
        <f t="shared" si="1"/>
        <v>文艺青年游客的升星道具</v>
      </c>
      <c r="R147" s="1">
        <v>999999</v>
      </c>
    </row>
    <row r="148" spans="1:18">
      <c r="A148" s="1">
        <v>1125305</v>
      </c>
      <c r="C148" s="1">
        <v>1125305</v>
      </c>
      <c r="D148" s="1" t="str">
        <f t="shared" si="0"/>
        <v>书香少女碎片</v>
      </c>
      <c r="E148" s="1">
        <v>2</v>
      </c>
      <c r="F148" s="1" t="s">
        <v>54</v>
      </c>
      <c r="I148" s="1">
        <v>3</v>
      </c>
      <c r="J148" s="1" t="b">
        <v>1</v>
      </c>
      <c r="K148" s="1" t="b">
        <v>1</v>
      </c>
      <c r="L148" s="1" t="s">
        <v>316</v>
      </c>
      <c r="M148" s="1">
        <v>2125305</v>
      </c>
      <c r="N148" s="1" t="b">
        <v>0</v>
      </c>
      <c r="O148" s="1" t="str">
        <f t="shared" si="1"/>
        <v>书香少女游客的升星道具</v>
      </c>
      <c r="R148" s="1">
        <v>999999</v>
      </c>
    </row>
    <row r="149" spans="1:18">
      <c r="A149" s="1">
        <v>1125306</v>
      </c>
      <c r="C149" s="1">
        <v>1125306</v>
      </c>
      <c r="D149" s="1" t="str">
        <f t="shared" si="0"/>
        <v>民谣歌手碎片</v>
      </c>
      <c r="E149" s="1">
        <v>2</v>
      </c>
      <c r="F149" s="1" t="s">
        <v>54</v>
      </c>
      <c r="I149" s="1">
        <v>3</v>
      </c>
      <c r="J149" s="1" t="b">
        <v>1</v>
      </c>
      <c r="K149" s="1" t="b">
        <v>1</v>
      </c>
      <c r="L149" s="1" t="s">
        <v>316</v>
      </c>
      <c r="M149" s="1">
        <v>2125306</v>
      </c>
      <c r="N149" s="1" t="b">
        <v>0</v>
      </c>
      <c r="O149" s="1" t="str">
        <f t="shared" si="1"/>
        <v>民谣歌手游客的升星道具</v>
      </c>
      <c r="R149" s="1">
        <v>999999</v>
      </c>
    </row>
    <row r="150" spans="1:18">
      <c r="A150" s="1">
        <v>1125401</v>
      </c>
      <c r="C150" s="1">
        <v>1125401</v>
      </c>
      <c r="D150" s="1" t="str">
        <f t="shared" si="0"/>
        <v>马拉松客碎片</v>
      </c>
      <c r="E150" s="1">
        <v>2</v>
      </c>
      <c r="F150" s="1" t="s">
        <v>54</v>
      </c>
      <c r="I150" s="1">
        <v>4</v>
      </c>
      <c r="J150" s="1" t="b">
        <v>1</v>
      </c>
      <c r="K150" s="1" t="b">
        <v>1</v>
      </c>
      <c r="L150" s="1" t="s">
        <v>316</v>
      </c>
      <c r="M150" s="1">
        <v>2125401</v>
      </c>
      <c r="N150" s="1" t="b">
        <v>0</v>
      </c>
      <c r="O150" s="1" t="str">
        <f t="shared" si="1"/>
        <v>马拉松客游客的升星道具</v>
      </c>
      <c r="R150" s="1">
        <v>999999</v>
      </c>
    </row>
    <row r="151" spans="1:18">
      <c r="A151" s="1">
        <v>1125402</v>
      </c>
      <c r="C151" s="1">
        <v>1125402</v>
      </c>
      <c r="D151" s="1" t="str">
        <f t="shared" si="0"/>
        <v>极限玩家碎片</v>
      </c>
      <c r="E151" s="1">
        <v>2</v>
      </c>
      <c r="F151" s="1" t="s">
        <v>54</v>
      </c>
      <c r="I151" s="1">
        <v>4</v>
      </c>
      <c r="J151" s="1" t="b">
        <v>1</v>
      </c>
      <c r="K151" s="1" t="b">
        <v>1</v>
      </c>
      <c r="L151" s="1" t="s">
        <v>316</v>
      </c>
      <c r="M151" s="1">
        <v>2125402</v>
      </c>
      <c r="N151" s="1" t="b">
        <v>0</v>
      </c>
      <c r="O151" s="1" t="str">
        <f t="shared" si="1"/>
        <v>极限玩家游客的升星道具</v>
      </c>
      <c r="R151" s="1">
        <v>999999</v>
      </c>
    </row>
    <row r="152" spans="1:18">
      <c r="A152" s="1">
        <v>1125403</v>
      </c>
      <c r="C152" s="1">
        <v>1125403</v>
      </c>
      <c r="D152" s="1" t="str">
        <f t="shared" si="0"/>
        <v>科技极客碎片</v>
      </c>
      <c r="E152" s="1">
        <v>2</v>
      </c>
      <c r="F152" s="1" t="s">
        <v>54</v>
      </c>
      <c r="I152" s="1">
        <v>4</v>
      </c>
      <c r="J152" s="1" t="b">
        <v>1</v>
      </c>
      <c r="K152" s="1" t="b">
        <v>1</v>
      </c>
      <c r="L152" s="1" t="s">
        <v>316</v>
      </c>
      <c r="M152" s="1">
        <v>2125403</v>
      </c>
      <c r="N152" s="1" t="b">
        <v>0</v>
      </c>
      <c r="O152" s="1" t="str">
        <f t="shared" si="1"/>
        <v>科技极客游客的升星道具</v>
      </c>
      <c r="R152" s="1">
        <v>999999</v>
      </c>
    </row>
    <row r="153" spans="1:18">
      <c r="A153" s="1">
        <v>1125404</v>
      </c>
      <c r="C153" s="1">
        <v>1125404</v>
      </c>
      <c r="D153" s="1" t="str">
        <f t="shared" si="0"/>
        <v>独立画家碎片</v>
      </c>
      <c r="E153" s="1">
        <v>2</v>
      </c>
      <c r="F153" s="1" t="s">
        <v>54</v>
      </c>
      <c r="I153" s="1">
        <v>4</v>
      </c>
      <c r="J153" s="1" t="b">
        <v>1</v>
      </c>
      <c r="K153" s="1" t="b">
        <v>1</v>
      </c>
      <c r="L153" s="1" t="s">
        <v>316</v>
      </c>
      <c r="M153" s="1">
        <v>2125404</v>
      </c>
      <c r="N153" s="1" t="b">
        <v>0</v>
      </c>
      <c r="O153" s="1" t="str">
        <f t="shared" si="1"/>
        <v>独立画家游客的升星道具</v>
      </c>
      <c r="R153" s="1">
        <v>999999</v>
      </c>
    </row>
    <row r="154" spans="1:18">
      <c r="A154" s="1">
        <v>1125405</v>
      </c>
      <c r="C154" s="1">
        <v>1125405</v>
      </c>
      <c r="D154" s="1" t="str">
        <f t="shared" si="0"/>
        <v>浪漫诗人碎片</v>
      </c>
      <c r="E154" s="1">
        <v>2</v>
      </c>
      <c r="F154" s="1" t="s">
        <v>54</v>
      </c>
      <c r="I154" s="1">
        <v>4</v>
      </c>
      <c r="J154" s="1" t="b">
        <v>1</v>
      </c>
      <c r="K154" s="1" t="b">
        <v>1</v>
      </c>
      <c r="L154" s="1" t="s">
        <v>316</v>
      </c>
      <c r="M154" s="1">
        <v>2125405</v>
      </c>
      <c r="N154" s="1" t="b">
        <v>0</v>
      </c>
      <c r="O154" s="1" t="str">
        <f t="shared" si="1"/>
        <v>浪漫诗人游客的升星道具</v>
      </c>
      <c r="R154" s="1">
        <v>999999</v>
      </c>
    </row>
    <row r="155" spans="1:18">
      <c r="A155" s="1">
        <v>1125406</v>
      </c>
      <c r="C155" s="1">
        <v>1125406</v>
      </c>
      <c r="D155" s="1" t="str">
        <f t="shared" si="0"/>
        <v>古典乐迷碎片</v>
      </c>
      <c r="E155" s="1">
        <v>2</v>
      </c>
      <c r="F155" s="1" t="s">
        <v>54</v>
      </c>
      <c r="I155" s="1">
        <v>4</v>
      </c>
      <c r="J155" s="1" t="b">
        <v>1</v>
      </c>
      <c r="K155" s="1" t="b">
        <v>1</v>
      </c>
      <c r="L155" s="1" t="s">
        <v>316</v>
      </c>
      <c r="M155" s="1">
        <v>2125406</v>
      </c>
      <c r="N155" s="1" t="b">
        <v>0</v>
      </c>
      <c r="O155" s="1" t="str">
        <f t="shared" si="1"/>
        <v>古典乐迷游客的升星道具</v>
      </c>
      <c r="R155" s="1">
        <v>999999</v>
      </c>
    </row>
    <row r="156" spans="1:18">
      <c r="A156" s="1">
        <v>1125501</v>
      </c>
      <c r="C156" s="1">
        <v>1125501</v>
      </c>
      <c r="D156" s="1" t="str">
        <f t="shared" si="0"/>
        <v>创业新贵碎片</v>
      </c>
      <c r="E156" s="1">
        <v>2</v>
      </c>
      <c r="F156" s="1" t="s">
        <v>54</v>
      </c>
      <c r="I156" s="1">
        <v>5</v>
      </c>
      <c r="J156" s="1" t="b">
        <v>1</v>
      </c>
      <c r="K156" s="1" t="b">
        <v>1</v>
      </c>
      <c r="L156" s="1" t="s">
        <v>316</v>
      </c>
      <c r="M156" s="1">
        <v>2125501</v>
      </c>
      <c r="N156" s="1" t="b">
        <v>0</v>
      </c>
      <c r="O156" s="1" t="str">
        <f t="shared" si="1"/>
        <v>创业新贵游客的升星道具</v>
      </c>
      <c r="R156" s="1">
        <v>999999</v>
      </c>
    </row>
    <row r="157" spans="1:18">
      <c r="A157" s="1">
        <v>1125502</v>
      </c>
      <c r="C157" s="1">
        <v>1125502</v>
      </c>
      <c r="D157" s="1" t="str">
        <f t="shared" si="0"/>
        <v>摸金校尉碎片</v>
      </c>
      <c r="E157" s="1">
        <v>2</v>
      </c>
      <c r="F157" s="1" t="s">
        <v>54</v>
      </c>
      <c r="I157" s="1">
        <v>5</v>
      </c>
      <c r="J157" s="1" t="b">
        <v>1</v>
      </c>
      <c r="K157" s="1" t="b">
        <v>1</v>
      </c>
      <c r="L157" s="1" t="s">
        <v>316</v>
      </c>
      <c r="M157" s="1">
        <v>2125502</v>
      </c>
      <c r="N157" s="1" t="b">
        <v>0</v>
      </c>
      <c r="O157" s="1" t="str">
        <f t="shared" si="1"/>
        <v>摸金校尉游客的升星道具</v>
      </c>
      <c r="R157" s="1">
        <v>999999</v>
      </c>
    </row>
    <row r="158" spans="1:18">
      <c r="A158" s="1">
        <v>1125503</v>
      </c>
      <c r="C158" s="1">
        <v>1125503</v>
      </c>
      <c r="D158" s="1" t="str">
        <f t="shared" si="0"/>
        <v>氪金大佬碎片</v>
      </c>
      <c r="E158" s="1">
        <v>2</v>
      </c>
      <c r="F158" s="1" t="s">
        <v>54</v>
      </c>
      <c r="I158" s="1">
        <v>5</v>
      </c>
      <c r="J158" s="1" t="b">
        <v>1</v>
      </c>
      <c r="K158" s="1" t="b">
        <v>1</v>
      </c>
      <c r="L158" s="1" t="s">
        <v>316</v>
      </c>
      <c r="M158" s="1">
        <v>2125503</v>
      </c>
      <c r="N158" s="1" t="b">
        <v>0</v>
      </c>
      <c r="O158" s="1" t="str">
        <f t="shared" si="1"/>
        <v>氪金大佬游客的升星道具</v>
      </c>
      <c r="R158" s="1">
        <v>999999</v>
      </c>
    </row>
    <row r="159" spans="1:18">
      <c r="A159" s="1">
        <v>1125504</v>
      </c>
      <c r="C159" s="1">
        <v>1125504</v>
      </c>
      <c r="D159" s="1" t="str">
        <f t="shared" si="0"/>
        <v>穿搭博主碎片</v>
      </c>
      <c r="E159" s="1">
        <v>2</v>
      </c>
      <c r="F159" s="1" t="s">
        <v>54</v>
      </c>
      <c r="I159" s="1">
        <v>5</v>
      </c>
      <c r="J159" s="1" t="b">
        <v>1</v>
      </c>
      <c r="K159" s="1" t="b">
        <v>1</v>
      </c>
      <c r="L159" s="1" t="s">
        <v>316</v>
      </c>
      <c r="M159" s="1">
        <v>2125504</v>
      </c>
      <c r="N159" s="1" t="b">
        <v>0</v>
      </c>
      <c r="O159" s="1" t="str">
        <f t="shared" si="1"/>
        <v>穿搭博主游客的升星道具</v>
      </c>
      <c r="R159" s="1">
        <v>999999</v>
      </c>
    </row>
    <row r="160" spans="1:18">
      <c r="A160" s="1">
        <v>1125505</v>
      </c>
      <c r="C160" s="1">
        <v>1125505</v>
      </c>
      <c r="D160" s="1" t="str">
        <f t="shared" si="0"/>
        <v>美妆新秀碎片</v>
      </c>
      <c r="E160" s="1">
        <v>2</v>
      </c>
      <c r="F160" s="1" t="s">
        <v>54</v>
      </c>
      <c r="I160" s="1">
        <v>5</v>
      </c>
      <c r="J160" s="1" t="b">
        <v>1</v>
      </c>
      <c r="K160" s="1" t="b">
        <v>1</v>
      </c>
      <c r="L160" s="1" t="s">
        <v>316</v>
      </c>
      <c r="M160" s="1">
        <v>2125505</v>
      </c>
      <c r="N160" s="1" t="b">
        <v>0</v>
      </c>
      <c r="O160" s="1" t="str">
        <f t="shared" si="1"/>
        <v>美妆新秀游客的升星道具</v>
      </c>
      <c r="R160" s="1">
        <v>999999</v>
      </c>
    </row>
    <row r="161" spans="1:18">
      <c r="A161" s="1">
        <v>1125506</v>
      </c>
      <c r="C161" s="1">
        <v>1125506</v>
      </c>
      <c r="D161" s="1" t="str">
        <f t="shared" si="0"/>
        <v>高定女王碎片</v>
      </c>
      <c r="E161" s="1">
        <v>2</v>
      </c>
      <c r="F161" s="1" t="s">
        <v>54</v>
      </c>
      <c r="I161" s="1">
        <v>5</v>
      </c>
      <c r="J161" s="1" t="b">
        <v>1</v>
      </c>
      <c r="K161" s="1" t="b">
        <v>1</v>
      </c>
      <c r="L161" s="1" t="s">
        <v>316</v>
      </c>
      <c r="M161" s="1">
        <v>2125506</v>
      </c>
      <c r="N161" s="1" t="b">
        <v>0</v>
      </c>
      <c r="O161" s="1" t="str">
        <f t="shared" si="1"/>
        <v>高定女王游客的升星道具</v>
      </c>
      <c r="R161" s="1">
        <v>999999</v>
      </c>
    </row>
    <row r="162" spans="1:18">
      <c r="A162" s="1">
        <v>1026001</v>
      </c>
      <c r="C162" s="1">
        <v>1026001</v>
      </c>
      <c r="D162" s="1" t="s">
        <v>317</v>
      </c>
      <c r="E162" s="1">
        <v>2</v>
      </c>
      <c r="F162" s="1" t="s">
        <v>54</v>
      </c>
      <c r="I162" s="1">
        <v>1</v>
      </c>
      <c r="J162" s="1" t="b">
        <v>0</v>
      </c>
      <c r="K162" s="1" t="b">
        <v>0</v>
      </c>
      <c r="L162" s="1" t="s">
        <v>318</v>
      </c>
      <c r="M162" s="1">
        <v>2026001</v>
      </c>
      <c r="N162" s="1" t="b">
        <v>0</v>
      </c>
      <c r="O162" s="1" t="s">
        <v>317</v>
      </c>
      <c r="R162" s="1">
        <v>-1</v>
      </c>
    </row>
    <row r="163" spans="1:18">
      <c r="A163" s="1">
        <v>1026002</v>
      </c>
      <c r="C163" s="1">
        <v>1026002</v>
      </c>
      <c r="D163" s="1" t="s">
        <v>319</v>
      </c>
      <c r="E163" s="1">
        <v>2</v>
      </c>
      <c r="F163" s="1" t="s">
        <v>54</v>
      </c>
      <c r="I163" s="1">
        <v>1</v>
      </c>
      <c r="J163" s="1" t="b">
        <v>0</v>
      </c>
      <c r="K163" s="1" t="b">
        <v>0</v>
      </c>
      <c r="L163" s="1" t="s">
        <v>320</v>
      </c>
      <c r="M163" s="1">
        <v>2026002</v>
      </c>
      <c r="N163" s="1" t="b">
        <v>0</v>
      </c>
      <c r="O163" s="1" t="s">
        <v>319</v>
      </c>
      <c r="R163" s="1">
        <v>-1</v>
      </c>
    </row>
    <row r="164" spans="1:18">
      <c r="A164" s="1">
        <v>1026101</v>
      </c>
      <c r="C164" s="1">
        <v>1026101</v>
      </c>
      <c r="D164" s="1" t="s">
        <v>321</v>
      </c>
      <c r="E164" s="1">
        <v>2</v>
      </c>
      <c r="F164" s="1" t="s">
        <v>54</v>
      </c>
      <c r="I164" s="1">
        <v>2</v>
      </c>
      <c r="J164" s="1" t="b">
        <v>0</v>
      </c>
      <c r="K164" s="1" t="b">
        <v>0</v>
      </c>
      <c r="L164" s="1" t="s">
        <v>209</v>
      </c>
      <c r="M164" s="1">
        <v>2026101</v>
      </c>
      <c r="N164" s="1" t="b">
        <v>0</v>
      </c>
      <c r="O164" s="1" t="s">
        <v>321</v>
      </c>
      <c r="R164" s="1">
        <v>-1</v>
      </c>
    </row>
    <row r="165" spans="1:18">
      <c r="A165" s="1">
        <v>1026102</v>
      </c>
      <c r="C165" s="1">
        <v>1026102</v>
      </c>
      <c r="D165" s="1" t="s">
        <v>322</v>
      </c>
      <c r="E165" s="1">
        <v>2</v>
      </c>
      <c r="F165" s="1" t="s">
        <v>54</v>
      </c>
      <c r="I165" s="1">
        <v>2</v>
      </c>
      <c r="J165" s="1" t="b">
        <v>0</v>
      </c>
      <c r="K165" s="1" t="b">
        <v>0</v>
      </c>
      <c r="L165" s="1" t="s">
        <v>209</v>
      </c>
      <c r="M165" s="1">
        <v>2026102</v>
      </c>
      <c r="N165" s="1" t="b">
        <v>0</v>
      </c>
      <c r="O165" s="1" t="s">
        <v>322</v>
      </c>
      <c r="R165" s="1">
        <v>-1</v>
      </c>
    </row>
    <row r="166" spans="1:18">
      <c r="A166" s="1">
        <v>1026201</v>
      </c>
      <c r="C166" s="1">
        <v>1026201</v>
      </c>
      <c r="D166" s="1" t="s">
        <v>323</v>
      </c>
      <c r="E166" s="1">
        <v>2</v>
      </c>
      <c r="F166" s="1" t="s">
        <v>54</v>
      </c>
      <c r="I166" s="1">
        <v>3</v>
      </c>
      <c r="J166" s="1" t="b">
        <v>0</v>
      </c>
      <c r="K166" s="1" t="b">
        <v>0</v>
      </c>
      <c r="L166" s="1" t="s">
        <v>209</v>
      </c>
      <c r="M166" s="1">
        <v>2026201</v>
      </c>
      <c r="N166" s="1" t="b">
        <v>0</v>
      </c>
      <c r="O166" s="1" t="s">
        <v>323</v>
      </c>
      <c r="R166" s="1">
        <v>-1</v>
      </c>
    </row>
    <row r="167" spans="1:18">
      <c r="A167" s="1">
        <v>1026202</v>
      </c>
      <c r="C167" s="1">
        <v>1026202</v>
      </c>
      <c r="D167" s="1" t="s">
        <v>324</v>
      </c>
      <c r="E167" s="1">
        <v>2</v>
      </c>
      <c r="F167" s="1" t="s">
        <v>54</v>
      </c>
      <c r="I167" s="1">
        <v>3</v>
      </c>
      <c r="J167" s="1" t="b">
        <v>0</v>
      </c>
      <c r="K167" s="1" t="b">
        <v>0</v>
      </c>
      <c r="L167" s="1" t="s">
        <v>209</v>
      </c>
      <c r="M167" s="1">
        <v>2026202</v>
      </c>
      <c r="N167" s="1" t="b">
        <v>0</v>
      </c>
      <c r="O167" s="1" t="s">
        <v>324</v>
      </c>
      <c r="R167" s="1">
        <v>-1</v>
      </c>
    </row>
    <row r="168" spans="1:18">
      <c r="A168" s="1">
        <v>1026301</v>
      </c>
      <c r="C168" s="1">
        <v>1026301</v>
      </c>
      <c r="D168" s="1" t="s">
        <v>325</v>
      </c>
      <c r="E168" s="1">
        <v>2</v>
      </c>
      <c r="F168" s="1" t="s">
        <v>54</v>
      </c>
      <c r="I168" s="1">
        <v>4</v>
      </c>
      <c r="J168" s="1" t="b">
        <v>0</v>
      </c>
      <c r="K168" s="1" t="b">
        <v>0</v>
      </c>
      <c r="L168" s="1" t="s">
        <v>209</v>
      </c>
      <c r="M168" s="1">
        <v>2026301</v>
      </c>
      <c r="N168" s="1" t="b">
        <v>0</v>
      </c>
      <c r="O168" s="1" t="s">
        <v>325</v>
      </c>
      <c r="R168" s="1">
        <v>-1</v>
      </c>
    </row>
    <row r="169" spans="1:18">
      <c r="A169" s="1">
        <v>1026302</v>
      </c>
      <c r="C169" s="1">
        <v>1026302</v>
      </c>
      <c r="D169" s="1" t="s">
        <v>326</v>
      </c>
      <c r="E169" s="1">
        <v>2</v>
      </c>
      <c r="F169" s="1" t="s">
        <v>54</v>
      </c>
      <c r="I169" s="1">
        <v>4</v>
      </c>
      <c r="J169" s="1" t="b">
        <v>0</v>
      </c>
      <c r="K169" s="1" t="b">
        <v>0</v>
      </c>
      <c r="L169" s="1" t="s">
        <v>209</v>
      </c>
      <c r="M169" s="1">
        <v>2026302</v>
      </c>
      <c r="N169" s="1" t="b">
        <v>0</v>
      </c>
      <c r="O169" s="1" t="s">
        <v>326</v>
      </c>
      <c r="R169" s="1">
        <v>-1</v>
      </c>
    </row>
    <row r="170" spans="1:18">
      <c r="A170" s="1">
        <v>1026401</v>
      </c>
      <c r="C170" s="1">
        <v>1026401</v>
      </c>
      <c r="D170" s="1" t="s">
        <v>327</v>
      </c>
      <c r="E170" s="1">
        <v>2</v>
      </c>
      <c r="F170" s="1" t="s">
        <v>54</v>
      </c>
      <c r="I170" s="1">
        <v>5</v>
      </c>
      <c r="J170" s="1" t="b">
        <v>0</v>
      </c>
      <c r="K170" s="1" t="b">
        <v>0</v>
      </c>
      <c r="L170" s="1" t="s">
        <v>209</v>
      </c>
      <c r="M170" s="1">
        <v>2026401</v>
      </c>
      <c r="N170" s="1" t="b">
        <v>0</v>
      </c>
      <c r="O170" s="1" t="s">
        <v>327</v>
      </c>
      <c r="R170" s="1">
        <v>-1</v>
      </c>
    </row>
    <row r="171" spans="1:18">
      <c r="A171" s="1">
        <v>1026402</v>
      </c>
      <c r="C171" s="1">
        <v>1026402</v>
      </c>
      <c r="D171" s="1" t="s">
        <v>328</v>
      </c>
      <c r="E171" s="1">
        <v>2</v>
      </c>
      <c r="F171" s="1" t="s">
        <v>54</v>
      </c>
      <c r="I171" s="1">
        <v>5</v>
      </c>
      <c r="J171" s="1" t="b">
        <v>0</v>
      </c>
      <c r="K171" s="1" t="b">
        <v>0</v>
      </c>
      <c r="L171" s="1" t="s">
        <v>209</v>
      </c>
      <c r="M171" s="1">
        <v>2026402</v>
      </c>
      <c r="N171" s="1" t="b">
        <v>0</v>
      </c>
      <c r="O171" s="1" t="s">
        <v>328</v>
      </c>
      <c r="R171" s="1">
        <v>-1</v>
      </c>
    </row>
    <row r="172" spans="1:18">
      <c r="A172" s="1">
        <v>1027001</v>
      </c>
      <c r="C172" s="1">
        <v>1027001</v>
      </c>
      <c r="D172" s="1" t="s">
        <v>329</v>
      </c>
      <c r="E172" s="1">
        <v>2</v>
      </c>
      <c r="F172" s="1" t="s">
        <v>54</v>
      </c>
      <c r="I172" s="1">
        <v>1</v>
      </c>
      <c r="J172" s="1" t="b">
        <v>0</v>
      </c>
      <c r="K172" s="1" t="b">
        <v>0</v>
      </c>
      <c r="L172" s="1" t="s">
        <v>330</v>
      </c>
      <c r="M172" s="1">
        <v>2027001</v>
      </c>
      <c r="N172" s="1" t="b">
        <v>0</v>
      </c>
      <c r="O172" s="1" t="s">
        <v>329</v>
      </c>
      <c r="R172" s="1">
        <v>-1</v>
      </c>
    </row>
    <row r="173" spans="1:18">
      <c r="A173" s="1">
        <v>1027002</v>
      </c>
      <c r="C173" s="1">
        <v>1027002</v>
      </c>
      <c r="D173" s="1" t="s">
        <v>331</v>
      </c>
      <c r="E173" s="1">
        <v>2</v>
      </c>
      <c r="F173" s="1" t="s">
        <v>54</v>
      </c>
      <c r="I173" s="1">
        <v>1</v>
      </c>
      <c r="J173" s="1" t="b">
        <v>0</v>
      </c>
      <c r="K173" s="1" t="b">
        <v>0</v>
      </c>
      <c r="L173" s="1" t="s">
        <v>209</v>
      </c>
      <c r="M173" s="1">
        <v>2027002</v>
      </c>
      <c r="N173" s="1" t="b">
        <v>0</v>
      </c>
      <c r="O173" s="1" t="s">
        <v>331</v>
      </c>
      <c r="R173" s="1">
        <v>-1</v>
      </c>
    </row>
    <row r="174" spans="1:18">
      <c r="A174" s="1">
        <v>1027101</v>
      </c>
      <c r="C174" s="1">
        <v>1027101</v>
      </c>
      <c r="D174" s="1" t="s">
        <v>332</v>
      </c>
      <c r="E174" s="1">
        <v>2</v>
      </c>
      <c r="F174" s="1" t="s">
        <v>54</v>
      </c>
      <c r="I174" s="1">
        <v>2</v>
      </c>
      <c r="J174" s="1" t="b">
        <v>0</v>
      </c>
      <c r="K174" s="1" t="b">
        <v>0</v>
      </c>
      <c r="L174" s="1" t="s">
        <v>209</v>
      </c>
      <c r="M174" s="1">
        <v>2027101</v>
      </c>
      <c r="N174" s="1" t="b">
        <v>0</v>
      </c>
      <c r="O174" s="1" t="s">
        <v>332</v>
      </c>
      <c r="R174" s="1">
        <v>-1</v>
      </c>
    </row>
    <row r="175" spans="1:18">
      <c r="A175" s="1">
        <v>1027102</v>
      </c>
      <c r="C175" s="1">
        <v>1027102</v>
      </c>
      <c r="D175" s="1" t="s">
        <v>333</v>
      </c>
      <c r="E175" s="1">
        <v>2</v>
      </c>
      <c r="F175" s="1" t="s">
        <v>54</v>
      </c>
      <c r="I175" s="1">
        <v>2</v>
      </c>
      <c r="J175" s="1" t="b">
        <v>0</v>
      </c>
      <c r="K175" s="1" t="b">
        <v>0</v>
      </c>
      <c r="L175" s="1" t="s">
        <v>209</v>
      </c>
      <c r="M175" s="1">
        <v>2027102</v>
      </c>
      <c r="N175" s="1" t="b">
        <v>0</v>
      </c>
      <c r="O175" s="1" t="s">
        <v>333</v>
      </c>
      <c r="R175" s="1">
        <v>-1</v>
      </c>
    </row>
    <row r="176" spans="1:18">
      <c r="A176" s="1">
        <v>1027201</v>
      </c>
      <c r="C176" s="1">
        <v>1027201</v>
      </c>
      <c r="D176" s="1" t="s">
        <v>334</v>
      </c>
      <c r="E176" s="1">
        <v>2</v>
      </c>
      <c r="F176" s="1" t="s">
        <v>54</v>
      </c>
      <c r="I176" s="1">
        <v>3</v>
      </c>
      <c r="J176" s="1" t="b">
        <v>0</v>
      </c>
      <c r="K176" s="1" t="b">
        <v>0</v>
      </c>
      <c r="L176" s="1" t="s">
        <v>209</v>
      </c>
      <c r="M176" s="1">
        <v>2027201</v>
      </c>
      <c r="N176" s="1" t="b">
        <v>0</v>
      </c>
      <c r="O176" s="1" t="s">
        <v>334</v>
      </c>
      <c r="R176" s="1">
        <v>-1</v>
      </c>
    </row>
    <row r="177" spans="1:18">
      <c r="A177" s="1">
        <v>1027202</v>
      </c>
      <c r="C177" s="1">
        <v>1027202</v>
      </c>
      <c r="D177" s="1" t="s">
        <v>335</v>
      </c>
      <c r="E177" s="1">
        <v>2</v>
      </c>
      <c r="F177" s="1" t="s">
        <v>54</v>
      </c>
      <c r="I177" s="1">
        <v>3</v>
      </c>
      <c r="J177" s="1" t="b">
        <v>0</v>
      </c>
      <c r="K177" s="1" t="b">
        <v>0</v>
      </c>
      <c r="L177" s="1" t="s">
        <v>209</v>
      </c>
      <c r="M177" s="1">
        <v>2027202</v>
      </c>
      <c r="N177" s="1" t="b">
        <v>0</v>
      </c>
      <c r="O177" s="1" t="s">
        <v>335</v>
      </c>
      <c r="R177" s="1">
        <v>-1</v>
      </c>
    </row>
    <row r="178" spans="1:18">
      <c r="A178" s="1">
        <v>1027301</v>
      </c>
      <c r="C178" s="1">
        <v>1027301</v>
      </c>
      <c r="D178" s="1" t="s">
        <v>336</v>
      </c>
      <c r="E178" s="1">
        <v>2</v>
      </c>
      <c r="F178" s="1" t="s">
        <v>54</v>
      </c>
      <c r="I178" s="1">
        <v>4</v>
      </c>
      <c r="J178" s="1" t="b">
        <v>0</v>
      </c>
      <c r="K178" s="1" t="b">
        <v>0</v>
      </c>
      <c r="L178" s="1" t="s">
        <v>209</v>
      </c>
      <c r="M178" s="1">
        <v>2027301</v>
      </c>
      <c r="N178" s="1" t="b">
        <v>0</v>
      </c>
      <c r="O178" s="1" t="s">
        <v>336</v>
      </c>
      <c r="R178" s="1">
        <v>-1</v>
      </c>
    </row>
    <row r="179" spans="1:18">
      <c r="A179" s="1">
        <v>1027302</v>
      </c>
      <c r="C179" s="1">
        <v>1027302</v>
      </c>
      <c r="D179" s="1" t="s">
        <v>337</v>
      </c>
      <c r="E179" s="1">
        <v>2</v>
      </c>
      <c r="F179" s="1" t="s">
        <v>54</v>
      </c>
      <c r="I179" s="1">
        <v>4</v>
      </c>
      <c r="J179" s="1" t="b">
        <v>0</v>
      </c>
      <c r="K179" s="1" t="b">
        <v>0</v>
      </c>
      <c r="L179" s="1" t="s">
        <v>338</v>
      </c>
      <c r="M179" s="1">
        <v>2027302</v>
      </c>
      <c r="N179" s="1" t="b">
        <v>0</v>
      </c>
      <c r="O179" s="1" t="s">
        <v>337</v>
      </c>
      <c r="R179" s="1">
        <v>-1</v>
      </c>
    </row>
    <row r="180" spans="1:18">
      <c r="A180" s="1">
        <v>1027401</v>
      </c>
      <c r="C180" s="1">
        <v>1027401</v>
      </c>
      <c r="D180" s="1" t="s">
        <v>339</v>
      </c>
      <c r="E180" s="1">
        <v>2</v>
      </c>
      <c r="F180" s="1" t="s">
        <v>54</v>
      </c>
      <c r="I180" s="1">
        <v>5</v>
      </c>
      <c r="J180" s="1" t="b">
        <v>0</v>
      </c>
      <c r="K180" s="1" t="b">
        <v>0</v>
      </c>
      <c r="L180" s="1" t="s">
        <v>209</v>
      </c>
      <c r="M180" s="1">
        <v>2027401</v>
      </c>
      <c r="N180" s="1" t="b">
        <v>0</v>
      </c>
      <c r="O180" s="1" t="s">
        <v>339</v>
      </c>
      <c r="R180" s="1">
        <v>-1</v>
      </c>
    </row>
    <row r="181" spans="1:18">
      <c r="A181" s="1">
        <v>1027402</v>
      </c>
      <c r="C181" s="1">
        <v>1027402</v>
      </c>
      <c r="D181" s="1" t="s">
        <v>340</v>
      </c>
      <c r="E181" s="1">
        <v>2</v>
      </c>
      <c r="F181" s="1" t="s">
        <v>54</v>
      </c>
      <c r="I181" s="1">
        <v>5</v>
      </c>
      <c r="J181" s="1" t="b">
        <v>0</v>
      </c>
      <c r="K181" s="1" t="b">
        <v>0</v>
      </c>
      <c r="L181" s="1" t="s">
        <v>341</v>
      </c>
      <c r="M181" s="1">
        <v>2027402</v>
      </c>
      <c r="N181" s="1" t="b">
        <v>0</v>
      </c>
      <c r="O181" s="1" t="s">
        <v>340</v>
      </c>
      <c r="R181" s="1">
        <v>-1</v>
      </c>
    </row>
    <row r="182" spans="1:18">
      <c r="A182" s="1">
        <v>1028001</v>
      </c>
      <c r="C182" s="1">
        <v>1028001</v>
      </c>
      <c r="D182" s="1" t="s">
        <v>342</v>
      </c>
      <c r="E182" s="1">
        <v>2</v>
      </c>
      <c r="F182" s="1" t="s">
        <v>54</v>
      </c>
      <c r="I182" s="1">
        <v>1</v>
      </c>
      <c r="J182" s="1" t="b">
        <v>0</v>
      </c>
      <c r="K182" s="1" t="b">
        <v>0</v>
      </c>
      <c r="L182" s="1" t="s">
        <v>209</v>
      </c>
      <c r="M182" s="1">
        <v>2028001</v>
      </c>
      <c r="N182" s="1" t="b">
        <v>0</v>
      </c>
      <c r="O182" s="1" t="s">
        <v>342</v>
      </c>
      <c r="R182" s="1">
        <v>-1</v>
      </c>
    </row>
    <row r="183" spans="1:18">
      <c r="A183" s="1">
        <v>1028002</v>
      </c>
      <c r="C183" s="1">
        <v>1028002</v>
      </c>
      <c r="D183" s="1" t="s">
        <v>343</v>
      </c>
      <c r="E183" s="1">
        <v>2</v>
      </c>
      <c r="F183" s="1" t="s">
        <v>54</v>
      </c>
      <c r="I183" s="1">
        <v>1</v>
      </c>
      <c r="J183" s="1" t="b">
        <v>0</v>
      </c>
      <c r="K183" s="1" t="b">
        <v>0</v>
      </c>
      <c r="L183" s="1" t="s">
        <v>209</v>
      </c>
      <c r="M183" s="1">
        <v>2028002</v>
      </c>
      <c r="N183" s="1" t="b">
        <v>0</v>
      </c>
      <c r="O183" s="1" t="s">
        <v>343</v>
      </c>
      <c r="R183" s="1">
        <v>-1</v>
      </c>
    </row>
    <row r="184" spans="1:18">
      <c r="A184" s="1">
        <v>1028101</v>
      </c>
      <c r="C184" s="1">
        <v>1028101</v>
      </c>
      <c r="D184" s="1" t="s">
        <v>344</v>
      </c>
      <c r="E184" s="1">
        <v>2</v>
      </c>
      <c r="F184" s="1" t="s">
        <v>54</v>
      </c>
      <c r="I184" s="1">
        <v>2</v>
      </c>
      <c r="J184" s="1" t="b">
        <v>0</v>
      </c>
      <c r="K184" s="1" t="b">
        <v>0</v>
      </c>
      <c r="L184" s="1" t="s">
        <v>209</v>
      </c>
      <c r="M184" s="1">
        <v>2028101</v>
      </c>
      <c r="N184" s="1" t="b">
        <v>0</v>
      </c>
      <c r="O184" s="1" t="s">
        <v>344</v>
      </c>
      <c r="R184" s="1">
        <v>-1</v>
      </c>
    </row>
    <row r="185" spans="1:18">
      <c r="A185" s="1">
        <v>1028102</v>
      </c>
      <c r="C185" s="1">
        <v>1028102</v>
      </c>
      <c r="D185" s="1" t="s">
        <v>345</v>
      </c>
      <c r="E185" s="1">
        <v>2</v>
      </c>
      <c r="F185" s="1" t="s">
        <v>54</v>
      </c>
      <c r="I185" s="1">
        <v>2</v>
      </c>
      <c r="J185" s="1" t="b">
        <v>0</v>
      </c>
      <c r="K185" s="1" t="b">
        <v>0</v>
      </c>
      <c r="L185" s="1" t="s">
        <v>209</v>
      </c>
      <c r="M185" s="1">
        <v>2028102</v>
      </c>
      <c r="N185" s="1" t="b">
        <v>0</v>
      </c>
      <c r="O185" s="1" t="s">
        <v>345</v>
      </c>
      <c r="R185" s="1">
        <v>-1</v>
      </c>
    </row>
    <row r="186" spans="1:18">
      <c r="A186" s="1">
        <v>1028201</v>
      </c>
      <c r="C186" s="1">
        <v>1028201</v>
      </c>
      <c r="D186" s="1" t="s">
        <v>346</v>
      </c>
      <c r="E186" s="1">
        <v>2</v>
      </c>
      <c r="F186" s="1" t="s">
        <v>54</v>
      </c>
      <c r="I186" s="1">
        <v>3</v>
      </c>
      <c r="J186" s="1" t="b">
        <v>0</v>
      </c>
      <c r="K186" s="1" t="b">
        <v>0</v>
      </c>
      <c r="L186" s="1" t="s">
        <v>209</v>
      </c>
      <c r="M186" s="1">
        <v>2028201</v>
      </c>
      <c r="N186" s="1" t="b">
        <v>0</v>
      </c>
      <c r="O186" s="1" t="s">
        <v>346</v>
      </c>
      <c r="R186" s="1">
        <v>-1</v>
      </c>
    </row>
    <row r="187" spans="1:18">
      <c r="A187" s="1">
        <v>1028202</v>
      </c>
      <c r="C187" s="1">
        <v>1028202</v>
      </c>
      <c r="D187" s="1" t="s">
        <v>347</v>
      </c>
      <c r="E187" s="1">
        <v>2</v>
      </c>
      <c r="F187" s="1" t="s">
        <v>54</v>
      </c>
      <c r="I187" s="1">
        <v>3</v>
      </c>
      <c r="J187" s="1" t="b">
        <v>0</v>
      </c>
      <c r="K187" s="1" t="b">
        <v>0</v>
      </c>
      <c r="L187" s="1" t="s">
        <v>209</v>
      </c>
      <c r="M187" s="1">
        <v>2028202</v>
      </c>
      <c r="N187" s="1" t="b">
        <v>0</v>
      </c>
      <c r="O187" s="1" t="s">
        <v>347</v>
      </c>
      <c r="R187" s="1">
        <v>-1</v>
      </c>
    </row>
    <row r="188" spans="1:18">
      <c r="A188" s="1">
        <v>1028301</v>
      </c>
      <c r="C188" s="1">
        <v>1028301</v>
      </c>
      <c r="D188" s="1" t="s">
        <v>348</v>
      </c>
      <c r="E188" s="1">
        <v>2</v>
      </c>
      <c r="F188" s="1" t="s">
        <v>54</v>
      </c>
      <c r="I188" s="1">
        <v>4</v>
      </c>
      <c r="J188" s="1" t="b">
        <v>0</v>
      </c>
      <c r="K188" s="1" t="b">
        <v>0</v>
      </c>
      <c r="L188" s="1" t="s">
        <v>209</v>
      </c>
      <c r="M188" s="1">
        <v>2028301</v>
      </c>
      <c r="N188" s="1" t="b">
        <v>0</v>
      </c>
      <c r="O188" s="1" t="s">
        <v>348</v>
      </c>
      <c r="R188" s="1">
        <v>-1</v>
      </c>
    </row>
    <row r="189" spans="1:18">
      <c r="A189" s="1">
        <v>1028302</v>
      </c>
      <c r="C189" s="1">
        <v>1028302</v>
      </c>
      <c r="D189" s="1" t="s">
        <v>349</v>
      </c>
      <c r="E189" s="1">
        <v>2</v>
      </c>
      <c r="F189" s="1" t="s">
        <v>54</v>
      </c>
      <c r="I189" s="1">
        <v>4</v>
      </c>
      <c r="J189" s="1" t="b">
        <v>0</v>
      </c>
      <c r="K189" s="1" t="b">
        <v>0</v>
      </c>
      <c r="L189" s="1" t="s">
        <v>209</v>
      </c>
      <c r="M189" s="1">
        <v>2028302</v>
      </c>
      <c r="N189" s="1" t="b">
        <v>0</v>
      </c>
      <c r="O189" s="1" t="s">
        <v>349</v>
      </c>
      <c r="R189" s="1">
        <v>-1</v>
      </c>
    </row>
    <row r="190" spans="1:18">
      <c r="A190" s="1">
        <v>1028401</v>
      </c>
      <c r="C190" s="1">
        <v>1028401</v>
      </c>
      <c r="D190" s="1" t="s">
        <v>350</v>
      </c>
      <c r="E190" s="1">
        <v>2</v>
      </c>
      <c r="F190" s="1" t="s">
        <v>54</v>
      </c>
      <c r="I190" s="1">
        <v>5</v>
      </c>
      <c r="J190" s="1" t="b">
        <v>0</v>
      </c>
      <c r="K190" s="1" t="b">
        <v>0</v>
      </c>
      <c r="L190" s="1" t="s">
        <v>209</v>
      </c>
      <c r="M190" s="1">
        <v>2028401</v>
      </c>
      <c r="N190" s="1" t="b">
        <v>0</v>
      </c>
      <c r="O190" s="1" t="s">
        <v>350</v>
      </c>
      <c r="R190" s="1">
        <v>-1</v>
      </c>
    </row>
    <row r="191" spans="1:18">
      <c r="A191" s="1">
        <v>1028402</v>
      </c>
      <c r="C191" s="1">
        <v>1028402</v>
      </c>
      <c r="D191" s="1" t="s">
        <v>351</v>
      </c>
      <c r="E191" s="1">
        <v>2</v>
      </c>
      <c r="F191" s="1" t="s">
        <v>54</v>
      </c>
      <c r="I191" s="1">
        <v>5</v>
      </c>
      <c r="J191" s="1" t="b">
        <v>0</v>
      </c>
      <c r="K191" s="1" t="b">
        <v>0</v>
      </c>
      <c r="L191" s="1" t="s">
        <v>209</v>
      </c>
      <c r="M191" s="1">
        <v>2028402</v>
      </c>
      <c r="N191" s="1" t="b">
        <v>0</v>
      </c>
      <c r="O191" s="1" t="s">
        <v>351</v>
      </c>
      <c r="R191" s="1">
        <v>-1</v>
      </c>
    </row>
    <row r="192" spans="1:18">
      <c r="A192" s="1">
        <v>1126001</v>
      </c>
      <c r="C192" s="1">
        <v>1126001</v>
      </c>
      <c r="D192" s="1" t="str">
        <f>D162&amp;"碎片"</f>
        <v>威廉碎片</v>
      </c>
      <c r="E192" s="1">
        <v>2</v>
      </c>
      <c r="F192" s="1" t="s">
        <v>54</v>
      </c>
      <c r="I192" s="1">
        <v>1</v>
      </c>
      <c r="J192" s="1" t="b">
        <v>1</v>
      </c>
      <c r="K192" s="1" t="b">
        <v>1</v>
      </c>
      <c r="L192" s="1" t="s">
        <v>209</v>
      </c>
      <c r="M192" s="1">
        <v>2126001</v>
      </c>
      <c r="N192" s="1" t="b">
        <v>0</v>
      </c>
      <c r="O192" s="1" t="str">
        <f>D162&amp;"雇员的升星道具"</f>
        <v>威廉雇员的升星道具</v>
      </c>
      <c r="R192" s="1">
        <v>999999</v>
      </c>
    </row>
    <row r="193" spans="1:18">
      <c r="A193" s="1">
        <v>1126002</v>
      </c>
      <c r="C193" s="1">
        <v>1126002</v>
      </c>
      <c r="D193" s="1" t="str">
        <f t="shared" ref="D193:D221" si="2">D163&amp;"碎片"</f>
        <v>艾拉碎片</v>
      </c>
      <c r="E193" s="1">
        <v>2</v>
      </c>
      <c r="F193" s="1" t="s">
        <v>54</v>
      </c>
      <c r="I193" s="1">
        <v>1</v>
      </c>
      <c r="J193" s="1" t="b">
        <v>1</v>
      </c>
      <c r="K193" s="1" t="b">
        <v>1</v>
      </c>
      <c r="L193" s="1" t="s">
        <v>352</v>
      </c>
      <c r="M193" s="1">
        <v>2126002</v>
      </c>
      <c r="N193" s="1" t="b">
        <v>0</v>
      </c>
      <c r="O193" s="1" t="str">
        <f t="shared" ref="O193:O221" si="3">D163&amp;"雇员的升星道具"</f>
        <v>艾拉雇员的升星道具</v>
      </c>
      <c r="R193" s="1">
        <v>999999</v>
      </c>
    </row>
    <row r="194" spans="1:18">
      <c r="A194" s="1">
        <v>1126101</v>
      </c>
      <c r="C194" s="1">
        <v>1126101</v>
      </c>
      <c r="D194" s="1" t="str">
        <f t="shared" si="2"/>
        <v>亨利碎片</v>
      </c>
      <c r="E194" s="1">
        <v>2</v>
      </c>
      <c r="F194" s="1" t="s">
        <v>54</v>
      </c>
      <c r="I194" s="1">
        <v>2</v>
      </c>
      <c r="J194" s="1" t="b">
        <v>1</v>
      </c>
      <c r="K194" s="1" t="b">
        <v>1</v>
      </c>
      <c r="L194" s="1" t="s">
        <v>352</v>
      </c>
      <c r="M194" s="1">
        <v>2126101</v>
      </c>
      <c r="N194" s="1" t="b">
        <v>0</v>
      </c>
      <c r="O194" s="1" t="str">
        <f t="shared" si="3"/>
        <v>亨利雇员的升星道具</v>
      </c>
      <c r="R194" s="1">
        <v>999999</v>
      </c>
    </row>
    <row r="195" spans="1:18">
      <c r="A195" s="1">
        <v>1126102</v>
      </c>
      <c r="C195" s="1">
        <v>1126102</v>
      </c>
      <c r="D195" s="1" t="str">
        <f t="shared" si="2"/>
        <v>艾玛碎片</v>
      </c>
      <c r="E195" s="1">
        <v>2</v>
      </c>
      <c r="F195" s="1" t="s">
        <v>54</v>
      </c>
      <c r="I195" s="1">
        <v>2</v>
      </c>
      <c r="J195" s="1" t="b">
        <v>1</v>
      </c>
      <c r="K195" s="1" t="b">
        <v>1</v>
      </c>
      <c r="L195" s="1" t="s">
        <v>352</v>
      </c>
      <c r="M195" s="1">
        <v>2126102</v>
      </c>
      <c r="N195" s="1" t="b">
        <v>0</v>
      </c>
      <c r="O195" s="1" t="str">
        <f t="shared" si="3"/>
        <v>艾玛雇员的升星道具</v>
      </c>
      <c r="R195" s="1">
        <v>999999</v>
      </c>
    </row>
    <row r="196" spans="1:18">
      <c r="A196" s="1">
        <v>1126201</v>
      </c>
      <c r="C196" s="1">
        <v>1126201</v>
      </c>
      <c r="D196" s="1" t="str">
        <f t="shared" si="2"/>
        <v>乔治碎片</v>
      </c>
      <c r="E196" s="1">
        <v>2</v>
      </c>
      <c r="F196" s="1" t="s">
        <v>54</v>
      </c>
      <c r="I196" s="1">
        <v>3</v>
      </c>
      <c r="J196" s="1" t="b">
        <v>1</v>
      </c>
      <c r="K196" s="1" t="b">
        <v>1</v>
      </c>
      <c r="L196" s="1" t="s">
        <v>352</v>
      </c>
      <c r="M196" s="1">
        <v>2126201</v>
      </c>
      <c r="N196" s="1" t="b">
        <v>0</v>
      </c>
      <c r="O196" s="1" t="str">
        <f t="shared" si="3"/>
        <v>乔治雇员的升星道具</v>
      </c>
      <c r="R196" s="1">
        <v>999999</v>
      </c>
    </row>
    <row r="197" spans="1:18">
      <c r="A197" s="1">
        <v>1126202</v>
      </c>
      <c r="C197" s="1">
        <v>1126202</v>
      </c>
      <c r="D197" s="1" t="str">
        <f t="shared" si="2"/>
        <v>艾娃碎片</v>
      </c>
      <c r="E197" s="1">
        <v>2</v>
      </c>
      <c r="F197" s="1" t="s">
        <v>54</v>
      </c>
      <c r="I197" s="1">
        <v>3</v>
      </c>
      <c r="J197" s="1" t="b">
        <v>1</v>
      </c>
      <c r="K197" s="1" t="b">
        <v>1</v>
      </c>
      <c r="L197" s="1" t="s">
        <v>352</v>
      </c>
      <c r="M197" s="1">
        <v>2126202</v>
      </c>
      <c r="N197" s="1" t="b">
        <v>0</v>
      </c>
      <c r="O197" s="1" t="str">
        <f t="shared" si="3"/>
        <v>艾娃雇员的升星道具</v>
      </c>
      <c r="R197" s="1">
        <v>999999</v>
      </c>
    </row>
    <row r="198" spans="1:18">
      <c r="A198" s="1">
        <v>1126301</v>
      </c>
      <c r="C198" s="1">
        <v>1126301</v>
      </c>
      <c r="D198" s="1" t="str">
        <f t="shared" si="2"/>
        <v>亚瑟碎片</v>
      </c>
      <c r="E198" s="1">
        <v>2</v>
      </c>
      <c r="F198" s="1" t="s">
        <v>54</v>
      </c>
      <c r="I198" s="1">
        <v>4</v>
      </c>
      <c r="J198" s="1" t="b">
        <v>1</v>
      </c>
      <c r="K198" s="1" t="b">
        <v>1</v>
      </c>
      <c r="L198" s="1" t="s">
        <v>352</v>
      </c>
      <c r="M198" s="1">
        <v>2126301</v>
      </c>
      <c r="N198" s="1" t="b">
        <v>0</v>
      </c>
      <c r="O198" s="1" t="str">
        <f t="shared" si="3"/>
        <v>亚瑟雇员的升星道具</v>
      </c>
      <c r="R198" s="1">
        <v>999999</v>
      </c>
    </row>
    <row r="199" spans="1:18">
      <c r="A199" s="1">
        <v>1126302</v>
      </c>
      <c r="C199" s="1">
        <v>1126302</v>
      </c>
      <c r="D199" s="1" t="str">
        <f t="shared" si="2"/>
        <v>安娜碎片</v>
      </c>
      <c r="E199" s="1">
        <v>2</v>
      </c>
      <c r="F199" s="1" t="s">
        <v>54</v>
      </c>
      <c r="I199" s="1">
        <v>4</v>
      </c>
      <c r="J199" s="1" t="b">
        <v>1</v>
      </c>
      <c r="K199" s="1" t="b">
        <v>1</v>
      </c>
      <c r="L199" s="1" t="s">
        <v>352</v>
      </c>
      <c r="M199" s="1">
        <v>2126302</v>
      </c>
      <c r="N199" s="1" t="b">
        <v>0</v>
      </c>
      <c r="O199" s="1" t="str">
        <f t="shared" si="3"/>
        <v>安娜雇员的升星道具</v>
      </c>
      <c r="R199" s="1">
        <v>999999</v>
      </c>
    </row>
    <row r="200" spans="1:18">
      <c r="A200" s="1">
        <v>1126401</v>
      </c>
      <c r="C200" s="1">
        <v>1126401</v>
      </c>
      <c r="D200" s="1" t="str">
        <f t="shared" si="2"/>
        <v>马修碎片</v>
      </c>
      <c r="E200" s="1">
        <v>2</v>
      </c>
      <c r="F200" s="1" t="s">
        <v>54</v>
      </c>
      <c r="I200" s="1">
        <v>5</v>
      </c>
      <c r="J200" s="1" t="b">
        <v>1</v>
      </c>
      <c r="K200" s="1" t="b">
        <v>1</v>
      </c>
      <c r="L200" s="1" t="s">
        <v>352</v>
      </c>
      <c r="M200" s="1">
        <v>2126401</v>
      </c>
      <c r="N200" s="1" t="b">
        <v>0</v>
      </c>
      <c r="O200" s="1" t="str">
        <f t="shared" si="3"/>
        <v>马修雇员的升星道具</v>
      </c>
      <c r="R200" s="1">
        <v>999999</v>
      </c>
    </row>
    <row r="201" spans="1:18">
      <c r="A201" s="1">
        <v>1126402</v>
      </c>
      <c r="C201" s="1">
        <v>1126402</v>
      </c>
      <c r="D201" s="1" t="str">
        <f t="shared" si="2"/>
        <v>哈珀碎片</v>
      </c>
      <c r="E201" s="1">
        <v>2</v>
      </c>
      <c r="F201" s="1" t="s">
        <v>54</v>
      </c>
      <c r="I201" s="1">
        <v>5</v>
      </c>
      <c r="J201" s="1" t="b">
        <v>1</v>
      </c>
      <c r="K201" s="1" t="b">
        <v>1</v>
      </c>
      <c r="L201" s="1" t="s">
        <v>352</v>
      </c>
      <c r="M201" s="1">
        <v>2126402</v>
      </c>
      <c r="N201" s="1" t="b">
        <v>0</v>
      </c>
      <c r="O201" s="1" t="str">
        <f t="shared" si="3"/>
        <v>哈珀雇员的升星道具</v>
      </c>
      <c r="R201" s="1">
        <v>999999</v>
      </c>
    </row>
    <row r="202" spans="1:18">
      <c r="A202" s="1">
        <v>1127001</v>
      </c>
      <c r="C202" s="1">
        <v>1127001</v>
      </c>
      <c r="D202" s="1" t="str">
        <f t="shared" si="2"/>
        <v>拉斐尔碎片</v>
      </c>
      <c r="E202" s="1">
        <v>2</v>
      </c>
      <c r="F202" s="1" t="s">
        <v>54</v>
      </c>
      <c r="I202" s="1">
        <v>1</v>
      </c>
      <c r="J202" s="1" t="b">
        <v>1</v>
      </c>
      <c r="K202" s="1" t="b">
        <v>1</v>
      </c>
      <c r="L202" s="1" t="s">
        <v>352</v>
      </c>
      <c r="M202" s="1">
        <v>2127001</v>
      </c>
      <c r="N202" s="1" t="b">
        <v>0</v>
      </c>
      <c r="O202" s="1" t="str">
        <f t="shared" si="3"/>
        <v>拉斐尔雇员的升星道具</v>
      </c>
      <c r="R202" s="1">
        <v>999999</v>
      </c>
    </row>
    <row r="203" spans="1:18">
      <c r="A203" s="1">
        <v>1127002</v>
      </c>
      <c r="C203" s="1">
        <v>1127002</v>
      </c>
      <c r="D203" s="1" t="str">
        <f t="shared" si="2"/>
        <v>伊芙琳碎片</v>
      </c>
      <c r="E203" s="1">
        <v>2</v>
      </c>
      <c r="F203" s="1" t="s">
        <v>54</v>
      </c>
      <c r="I203" s="1">
        <v>1</v>
      </c>
      <c r="J203" s="1" t="b">
        <v>1</v>
      </c>
      <c r="K203" s="1" t="b">
        <v>1</v>
      </c>
      <c r="L203" s="1" t="s">
        <v>352</v>
      </c>
      <c r="M203" s="1">
        <v>2127002</v>
      </c>
      <c r="N203" s="1" t="b">
        <v>0</v>
      </c>
      <c r="O203" s="1" t="str">
        <f t="shared" si="3"/>
        <v>伊芙琳雇员的升星道具</v>
      </c>
      <c r="R203" s="1">
        <v>999999</v>
      </c>
    </row>
    <row r="204" spans="1:18">
      <c r="A204" s="1">
        <v>1127101</v>
      </c>
      <c r="C204" s="1">
        <v>1127101</v>
      </c>
      <c r="D204" s="1" t="str">
        <f t="shared" si="2"/>
        <v>埃米尔碎片</v>
      </c>
      <c r="E204" s="1">
        <v>2</v>
      </c>
      <c r="F204" s="1" t="s">
        <v>54</v>
      </c>
      <c r="I204" s="1">
        <v>2</v>
      </c>
      <c r="J204" s="1" t="b">
        <v>1</v>
      </c>
      <c r="K204" s="1" t="b">
        <v>1</v>
      </c>
      <c r="L204" s="1" t="s">
        <v>352</v>
      </c>
      <c r="M204" s="1">
        <v>2127101</v>
      </c>
      <c r="N204" s="1" t="b">
        <v>0</v>
      </c>
      <c r="O204" s="1" t="str">
        <f t="shared" si="3"/>
        <v>埃米尔雇员的升星道具</v>
      </c>
      <c r="R204" s="1">
        <v>999999</v>
      </c>
    </row>
    <row r="205" spans="1:18">
      <c r="A205" s="1">
        <v>1127102</v>
      </c>
      <c r="C205" s="1">
        <v>1127102</v>
      </c>
      <c r="D205" s="1" t="str">
        <f t="shared" si="2"/>
        <v>夏洛特碎片</v>
      </c>
      <c r="E205" s="1">
        <v>2</v>
      </c>
      <c r="F205" s="1" t="s">
        <v>54</v>
      </c>
      <c r="I205" s="1">
        <v>2</v>
      </c>
      <c r="J205" s="1" t="b">
        <v>1</v>
      </c>
      <c r="K205" s="1" t="b">
        <v>1</v>
      </c>
      <c r="L205" s="1" t="s">
        <v>352</v>
      </c>
      <c r="M205" s="1">
        <v>2127102</v>
      </c>
      <c r="N205" s="1" t="b">
        <v>0</v>
      </c>
      <c r="O205" s="1" t="str">
        <f t="shared" si="3"/>
        <v>夏洛特雇员的升星道具</v>
      </c>
      <c r="R205" s="1">
        <v>999999</v>
      </c>
    </row>
    <row r="206" spans="1:18">
      <c r="A206" s="1">
        <v>1127201</v>
      </c>
      <c r="C206" s="1">
        <v>1127201</v>
      </c>
      <c r="D206" s="1" t="str">
        <f t="shared" si="2"/>
        <v>雷蒙德碎片</v>
      </c>
      <c r="E206" s="1">
        <v>2</v>
      </c>
      <c r="F206" s="1" t="s">
        <v>54</v>
      </c>
      <c r="I206" s="1">
        <v>3</v>
      </c>
      <c r="J206" s="1" t="b">
        <v>1</v>
      </c>
      <c r="K206" s="1" t="b">
        <v>1</v>
      </c>
      <c r="L206" s="1" t="s">
        <v>352</v>
      </c>
      <c r="M206" s="1">
        <v>2127201</v>
      </c>
      <c r="N206" s="1" t="b">
        <v>0</v>
      </c>
      <c r="O206" s="1" t="str">
        <f t="shared" si="3"/>
        <v>雷蒙德雇员的升星道具</v>
      </c>
      <c r="R206" s="1">
        <v>999999</v>
      </c>
    </row>
    <row r="207" spans="1:18">
      <c r="A207" s="1">
        <v>1127202</v>
      </c>
      <c r="C207" s="1">
        <v>1127202</v>
      </c>
      <c r="D207" s="1" t="str">
        <f t="shared" si="2"/>
        <v>斯嘉丽碎片</v>
      </c>
      <c r="E207" s="1">
        <v>2</v>
      </c>
      <c r="F207" s="1" t="s">
        <v>54</v>
      </c>
      <c r="I207" s="1">
        <v>3</v>
      </c>
      <c r="J207" s="1" t="b">
        <v>1</v>
      </c>
      <c r="K207" s="1" t="b">
        <v>1</v>
      </c>
      <c r="L207" s="1" t="s">
        <v>352</v>
      </c>
      <c r="M207" s="1">
        <v>2127202</v>
      </c>
      <c r="N207" s="1" t="b">
        <v>0</v>
      </c>
      <c r="O207" s="1" t="str">
        <f t="shared" si="3"/>
        <v>斯嘉丽雇员的升星道具</v>
      </c>
      <c r="R207" s="1">
        <v>999999</v>
      </c>
    </row>
    <row r="208" spans="1:18">
      <c r="A208" s="1">
        <v>1127301</v>
      </c>
      <c r="C208" s="1">
        <v>1127301</v>
      </c>
      <c r="D208" s="1" t="str">
        <f t="shared" si="2"/>
        <v>丹尼尔碎片</v>
      </c>
      <c r="E208" s="1">
        <v>2</v>
      </c>
      <c r="F208" s="1" t="s">
        <v>54</v>
      </c>
      <c r="I208" s="1">
        <v>4</v>
      </c>
      <c r="J208" s="1" t="b">
        <v>1</v>
      </c>
      <c r="K208" s="1" t="b">
        <v>1</v>
      </c>
      <c r="L208" s="1" t="s">
        <v>352</v>
      </c>
      <c r="M208" s="1">
        <v>2127301</v>
      </c>
      <c r="N208" s="1" t="b">
        <v>0</v>
      </c>
      <c r="O208" s="1" t="str">
        <f t="shared" si="3"/>
        <v>丹尼尔雇员的升星道具</v>
      </c>
      <c r="R208" s="1">
        <v>999999</v>
      </c>
    </row>
    <row r="209" spans="1:18">
      <c r="A209" s="1">
        <v>1127302</v>
      </c>
      <c r="C209" s="1">
        <v>1127302</v>
      </c>
      <c r="D209" s="1" t="str">
        <f t="shared" si="2"/>
        <v>莉莉安碎片</v>
      </c>
      <c r="E209" s="1">
        <v>2</v>
      </c>
      <c r="F209" s="1" t="s">
        <v>54</v>
      </c>
      <c r="I209" s="1">
        <v>4</v>
      </c>
      <c r="J209" s="1" t="b">
        <v>1</v>
      </c>
      <c r="K209" s="1" t="b">
        <v>1</v>
      </c>
      <c r="L209" s="1" t="s">
        <v>352</v>
      </c>
      <c r="M209" s="1">
        <v>2127302</v>
      </c>
      <c r="N209" s="1" t="b">
        <v>0</v>
      </c>
      <c r="O209" s="1" t="str">
        <f t="shared" si="3"/>
        <v>莉莉安雇员的升星道具</v>
      </c>
      <c r="R209" s="1">
        <v>999999</v>
      </c>
    </row>
    <row r="210" spans="1:18">
      <c r="A210" s="1">
        <v>1127401</v>
      </c>
      <c r="C210" s="1">
        <v>1127401</v>
      </c>
      <c r="D210" s="1" t="str">
        <f t="shared" si="2"/>
        <v>卢卡斯碎片</v>
      </c>
      <c r="E210" s="1">
        <v>2</v>
      </c>
      <c r="F210" s="1" t="s">
        <v>54</v>
      </c>
      <c r="I210" s="1">
        <v>5</v>
      </c>
      <c r="J210" s="1" t="b">
        <v>1</v>
      </c>
      <c r="K210" s="1" t="b">
        <v>1</v>
      </c>
      <c r="L210" s="1" t="s">
        <v>352</v>
      </c>
      <c r="M210" s="1">
        <v>2127401</v>
      </c>
      <c r="N210" s="1" t="b">
        <v>0</v>
      </c>
      <c r="O210" s="1" t="str">
        <f t="shared" si="3"/>
        <v>卢卡斯雇员的升星道具</v>
      </c>
      <c r="R210" s="1">
        <v>999999</v>
      </c>
    </row>
    <row r="211" spans="1:18">
      <c r="A211" s="1">
        <v>1127402</v>
      </c>
      <c r="C211" s="1">
        <v>1127402</v>
      </c>
      <c r="D211" s="1" t="str">
        <f t="shared" si="2"/>
        <v>克拉拉碎片</v>
      </c>
      <c r="E211" s="1">
        <v>2</v>
      </c>
      <c r="F211" s="1" t="s">
        <v>54</v>
      </c>
      <c r="I211" s="1">
        <v>5</v>
      </c>
      <c r="J211" s="1" t="b">
        <v>1</v>
      </c>
      <c r="K211" s="1" t="b">
        <v>1</v>
      </c>
      <c r="L211" s="1" t="s">
        <v>352</v>
      </c>
      <c r="M211" s="1">
        <v>2127402</v>
      </c>
      <c r="N211" s="1" t="b">
        <v>0</v>
      </c>
      <c r="O211" s="1" t="str">
        <f t="shared" si="3"/>
        <v>克拉拉雇员的升星道具</v>
      </c>
      <c r="R211" s="1">
        <v>999999</v>
      </c>
    </row>
    <row r="212" spans="1:18">
      <c r="A212" s="1">
        <v>1128001</v>
      </c>
      <c r="C212" s="1">
        <v>1128001</v>
      </c>
      <c r="D212" s="1" t="str">
        <f t="shared" si="2"/>
        <v>尼古拉斯碎片</v>
      </c>
      <c r="E212" s="1">
        <v>2</v>
      </c>
      <c r="F212" s="1" t="s">
        <v>54</v>
      </c>
      <c r="I212" s="1">
        <v>1</v>
      </c>
      <c r="J212" s="1" t="b">
        <v>1</v>
      </c>
      <c r="K212" s="1" t="b">
        <v>1</v>
      </c>
      <c r="L212" s="1" t="s">
        <v>352</v>
      </c>
      <c r="M212" s="1">
        <v>2128001</v>
      </c>
      <c r="N212" s="1" t="b">
        <v>0</v>
      </c>
      <c r="O212" s="1" t="str">
        <f t="shared" si="3"/>
        <v>尼古拉斯雇员的升星道具</v>
      </c>
      <c r="R212" s="1">
        <v>999999</v>
      </c>
    </row>
    <row r="213" spans="1:18">
      <c r="A213" s="1">
        <v>1128002</v>
      </c>
      <c r="C213" s="1">
        <v>1128002</v>
      </c>
      <c r="D213" s="1" t="str">
        <f t="shared" si="2"/>
        <v>奥利维亚碎片</v>
      </c>
      <c r="E213" s="1">
        <v>2</v>
      </c>
      <c r="F213" s="1" t="s">
        <v>54</v>
      </c>
      <c r="I213" s="1">
        <v>1</v>
      </c>
      <c r="J213" s="1" t="b">
        <v>1</v>
      </c>
      <c r="K213" s="1" t="b">
        <v>1</v>
      </c>
      <c r="L213" s="1" t="s">
        <v>352</v>
      </c>
      <c r="M213" s="1">
        <v>2128002</v>
      </c>
      <c r="N213" s="1" t="b">
        <v>0</v>
      </c>
      <c r="O213" s="1" t="str">
        <f t="shared" si="3"/>
        <v>奥利维亚雇员的升星道具</v>
      </c>
      <c r="R213" s="1">
        <v>999999</v>
      </c>
    </row>
    <row r="214" spans="1:18">
      <c r="A214" s="1">
        <v>1128101</v>
      </c>
      <c r="C214" s="1">
        <v>1128101</v>
      </c>
      <c r="D214" s="1" t="str">
        <f t="shared" si="2"/>
        <v>亚历山大碎片</v>
      </c>
      <c r="E214" s="1">
        <v>2</v>
      </c>
      <c r="F214" s="1" t="s">
        <v>54</v>
      </c>
      <c r="I214" s="1">
        <v>2</v>
      </c>
      <c r="J214" s="1" t="b">
        <v>1</v>
      </c>
      <c r="K214" s="1" t="b">
        <v>1</v>
      </c>
      <c r="L214" s="1" t="s">
        <v>352</v>
      </c>
      <c r="M214" s="1">
        <v>2128101</v>
      </c>
      <c r="N214" s="1" t="b">
        <v>0</v>
      </c>
      <c r="O214" s="1" t="str">
        <f t="shared" si="3"/>
        <v>亚历山大雇员的升星道具</v>
      </c>
      <c r="R214" s="1">
        <v>999999</v>
      </c>
    </row>
    <row r="215" spans="1:18">
      <c r="A215" s="1">
        <v>1128102</v>
      </c>
      <c r="C215" s="1">
        <v>1128102</v>
      </c>
      <c r="D215" s="1" t="str">
        <f t="shared" si="2"/>
        <v>玛格丽特碎片</v>
      </c>
      <c r="E215" s="1">
        <v>2</v>
      </c>
      <c r="F215" s="1" t="s">
        <v>54</v>
      </c>
      <c r="I215" s="1">
        <v>2</v>
      </c>
      <c r="J215" s="1" t="b">
        <v>1</v>
      </c>
      <c r="K215" s="1" t="b">
        <v>1</v>
      </c>
      <c r="L215" s="1" t="s">
        <v>352</v>
      </c>
      <c r="M215" s="1">
        <v>2128102</v>
      </c>
      <c r="N215" s="1" t="b">
        <v>0</v>
      </c>
      <c r="O215" s="1" t="str">
        <f t="shared" si="3"/>
        <v>玛格丽特雇员的升星道具</v>
      </c>
      <c r="R215" s="1">
        <v>999999</v>
      </c>
    </row>
    <row r="216" spans="1:18">
      <c r="A216" s="1">
        <v>1128201</v>
      </c>
      <c r="C216" s="1">
        <v>1128201</v>
      </c>
      <c r="D216" s="1" t="str">
        <f t="shared" si="2"/>
        <v>奥古斯特碎片</v>
      </c>
      <c r="E216" s="1">
        <v>2</v>
      </c>
      <c r="F216" s="1" t="s">
        <v>54</v>
      </c>
      <c r="I216" s="1">
        <v>3</v>
      </c>
      <c r="J216" s="1" t="b">
        <v>1</v>
      </c>
      <c r="K216" s="1" t="b">
        <v>1</v>
      </c>
      <c r="L216" s="1" t="s">
        <v>352</v>
      </c>
      <c r="M216" s="1">
        <v>2128201</v>
      </c>
      <c r="N216" s="1" t="b">
        <v>0</v>
      </c>
      <c r="O216" s="1" t="str">
        <f t="shared" si="3"/>
        <v>奥古斯特雇员的升星道具</v>
      </c>
      <c r="R216" s="1">
        <v>999999</v>
      </c>
    </row>
    <row r="217" spans="1:18">
      <c r="A217" s="1">
        <v>1128202</v>
      </c>
      <c r="C217" s="1">
        <v>1128202</v>
      </c>
      <c r="D217" s="1" t="str">
        <f t="shared" si="2"/>
        <v>维奥莱特碎片</v>
      </c>
      <c r="E217" s="1">
        <v>2</v>
      </c>
      <c r="F217" s="1" t="s">
        <v>54</v>
      </c>
      <c r="I217" s="1">
        <v>3</v>
      </c>
      <c r="J217" s="1" t="b">
        <v>1</v>
      </c>
      <c r="K217" s="1" t="b">
        <v>1</v>
      </c>
      <c r="L217" s="1" t="s">
        <v>352</v>
      </c>
      <c r="M217" s="1">
        <v>2128202</v>
      </c>
      <c r="N217" s="1" t="b">
        <v>0</v>
      </c>
      <c r="O217" s="1" t="str">
        <f t="shared" si="3"/>
        <v>维奥莱特雇员的升星道具</v>
      </c>
      <c r="R217" s="1">
        <v>999999</v>
      </c>
    </row>
    <row r="218" spans="1:18">
      <c r="A218" s="1">
        <v>1128301</v>
      </c>
      <c r="C218" s="1">
        <v>1128301</v>
      </c>
      <c r="D218" s="1" t="str">
        <f t="shared" si="2"/>
        <v>费利克斯碎片</v>
      </c>
      <c r="E218" s="1">
        <v>2</v>
      </c>
      <c r="F218" s="1" t="s">
        <v>54</v>
      </c>
      <c r="I218" s="1">
        <v>4</v>
      </c>
      <c r="J218" s="1" t="b">
        <v>1</v>
      </c>
      <c r="K218" s="1" t="b">
        <v>1</v>
      </c>
      <c r="L218" s="1" t="s">
        <v>352</v>
      </c>
      <c r="M218" s="1">
        <v>2128301</v>
      </c>
      <c r="N218" s="1" t="b">
        <v>0</v>
      </c>
      <c r="O218" s="1" t="str">
        <f t="shared" si="3"/>
        <v>费利克斯雇员的升星道具</v>
      </c>
      <c r="R218" s="1">
        <v>999999</v>
      </c>
    </row>
    <row r="219" spans="1:18">
      <c r="A219" s="1">
        <v>1128302</v>
      </c>
      <c r="C219" s="1">
        <v>1128302</v>
      </c>
      <c r="D219" s="1" t="str">
        <f t="shared" si="2"/>
        <v>维多利亚碎片</v>
      </c>
      <c r="E219" s="1">
        <v>2</v>
      </c>
      <c r="F219" s="1" t="s">
        <v>54</v>
      </c>
      <c r="I219" s="1">
        <v>4</v>
      </c>
      <c r="J219" s="1" t="b">
        <v>1</v>
      </c>
      <c r="K219" s="1" t="b">
        <v>1</v>
      </c>
      <c r="L219" s="1" t="s">
        <v>352</v>
      </c>
      <c r="M219" s="1">
        <v>2128302</v>
      </c>
      <c r="N219" s="1" t="b">
        <v>0</v>
      </c>
      <c r="O219" s="1" t="str">
        <f t="shared" si="3"/>
        <v>维多利亚雇员的升星道具</v>
      </c>
      <c r="R219" s="1">
        <v>999999</v>
      </c>
    </row>
    <row r="220" spans="1:18">
      <c r="A220" s="1">
        <v>1128401</v>
      </c>
      <c r="C220" s="1">
        <v>1128401</v>
      </c>
      <c r="D220" s="1" t="str">
        <f t="shared" si="2"/>
        <v>阿尔弗雷德碎片</v>
      </c>
      <c r="E220" s="1">
        <v>2</v>
      </c>
      <c r="F220" s="1" t="s">
        <v>54</v>
      </c>
      <c r="I220" s="1">
        <v>5</v>
      </c>
      <c r="J220" s="1" t="b">
        <v>1</v>
      </c>
      <c r="K220" s="1" t="b">
        <v>1</v>
      </c>
      <c r="L220" s="1" t="s">
        <v>352</v>
      </c>
      <c r="M220" s="1">
        <v>2128401</v>
      </c>
      <c r="N220" s="1" t="b">
        <v>0</v>
      </c>
      <c r="O220" s="1" t="str">
        <f t="shared" si="3"/>
        <v>阿尔弗雷德雇员的升星道具</v>
      </c>
      <c r="R220" s="1">
        <v>999999</v>
      </c>
    </row>
    <row r="221" spans="1:18">
      <c r="A221" s="1">
        <v>1128402</v>
      </c>
      <c r="C221" s="1">
        <v>1128402</v>
      </c>
      <c r="D221" s="1" t="str">
        <f t="shared" si="2"/>
        <v>伊丽莎白碎片</v>
      </c>
      <c r="E221" s="1">
        <v>2</v>
      </c>
      <c r="F221" s="1" t="s">
        <v>54</v>
      </c>
      <c r="I221" s="1">
        <v>5</v>
      </c>
      <c r="J221" s="1" t="b">
        <v>1</v>
      </c>
      <c r="K221" s="1" t="b">
        <v>1</v>
      </c>
      <c r="L221" s="1" t="s">
        <v>352</v>
      </c>
      <c r="M221" s="1">
        <v>2128402</v>
      </c>
      <c r="N221" s="1" t="b">
        <v>0</v>
      </c>
      <c r="O221" s="1" t="str">
        <f t="shared" si="3"/>
        <v>伊丽莎白雇员的升星道具</v>
      </c>
      <c r="R221" s="1">
        <v>999999</v>
      </c>
    </row>
    <row r="222" spans="1:18">
      <c r="A222" s="1">
        <v>1130001</v>
      </c>
      <c r="C222" s="1">
        <v>1130001</v>
      </c>
      <c r="D222" s="1" t="s">
        <v>353</v>
      </c>
      <c r="E222" s="1">
        <v>2</v>
      </c>
      <c r="F222" s="1" t="s">
        <v>54</v>
      </c>
      <c r="I222" s="1">
        <v>1</v>
      </c>
      <c r="J222" s="1" t="b">
        <v>1</v>
      </c>
      <c r="K222" s="1" t="b">
        <v>1</v>
      </c>
      <c r="M222" s="1">
        <v>2130001</v>
      </c>
      <c r="N222" s="1" t="b">
        <v>0</v>
      </c>
      <c r="O222" s="1" t="s">
        <v>354</v>
      </c>
      <c r="R222" s="1">
        <v>999999</v>
      </c>
    </row>
    <row r="223" spans="1:18">
      <c r="A223" s="1">
        <v>1130002</v>
      </c>
      <c r="C223" s="1">
        <v>1130002</v>
      </c>
      <c r="D223" s="1" t="s">
        <v>355</v>
      </c>
      <c r="E223" s="1">
        <v>1</v>
      </c>
      <c r="F223" s="1" t="s">
        <v>66</v>
      </c>
      <c r="I223" s="1">
        <v>1</v>
      </c>
      <c r="J223" s="1" t="b">
        <v>1</v>
      </c>
      <c r="K223" s="1" t="b">
        <v>1</v>
      </c>
      <c r="M223" s="1">
        <v>2130002</v>
      </c>
      <c r="N223" s="1" t="b">
        <v>0</v>
      </c>
      <c r="O223" s="1" t="s">
        <v>356</v>
      </c>
      <c r="R223" s="1">
        <v>999999</v>
      </c>
    </row>
    <row r="224" spans="1:18">
      <c r="A224" s="1">
        <v>1130003</v>
      </c>
      <c r="C224" s="1">
        <v>1130003</v>
      </c>
      <c r="D224" s="1" t="s">
        <v>357</v>
      </c>
      <c r="E224" s="1">
        <v>1</v>
      </c>
      <c r="F224" s="1" t="s">
        <v>66</v>
      </c>
      <c r="I224" s="1">
        <v>2</v>
      </c>
      <c r="J224" s="1" t="b">
        <v>1</v>
      </c>
      <c r="K224" s="1" t="b">
        <v>1</v>
      </c>
      <c r="M224" s="1">
        <v>2130003</v>
      </c>
      <c r="N224" s="1" t="b">
        <v>0</v>
      </c>
      <c r="O224" s="1" t="s">
        <v>358</v>
      </c>
      <c r="R224" s="1">
        <v>999999</v>
      </c>
    </row>
    <row r="225" spans="1:18">
      <c r="A225" s="1">
        <v>1130004</v>
      </c>
      <c r="C225" s="1">
        <v>1130004</v>
      </c>
      <c r="D225" s="1" t="s">
        <v>359</v>
      </c>
      <c r="E225" s="1">
        <v>1</v>
      </c>
      <c r="F225" s="1" t="s">
        <v>66</v>
      </c>
      <c r="I225" s="1">
        <v>3</v>
      </c>
      <c r="J225" s="1" t="b">
        <v>1</v>
      </c>
      <c r="K225" s="1" t="b">
        <v>1</v>
      </c>
      <c r="M225" s="1">
        <v>2130004</v>
      </c>
      <c r="N225" s="1" t="b">
        <v>0</v>
      </c>
      <c r="O225" s="1" t="s">
        <v>360</v>
      </c>
      <c r="R225" s="1">
        <v>999999</v>
      </c>
    </row>
    <row r="226" spans="1:18">
      <c r="A226" s="1">
        <v>1130005</v>
      </c>
      <c r="C226" s="1">
        <v>1130005</v>
      </c>
      <c r="D226" s="1" t="s">
        <v>361</v>
      </c>
      <c r="E226" s="1">
        <v>1</v>
      </c>
      <c r="F226" s="1" t="s">
        <v>66</v>
      </c>
      <c r="I226" s="1">
        <v>4</v>
      </c>
      <c r="J226" s="1" t="b">
        <v>1</v>
      </c>
      <c r="K226" s="1" t="b">
        <v>1</v>
      </c>
      <c r="M226" s="1">
        <v>2130005</v>
      </c>
      <c r="N226" s="1" t="b">
        <v>0</v>
      </c>
      <c r="O226" s="1" t="s">
        <v>362</v>
      </c>
      <c r="R226" s="1">
        <v>999999</v>
      </c>
    </row>
    <row r="227" spans="1:18">
      <c r="A227" s="1">
        <v>1130006</v>
      </c>
      <c r="C227" s="1">
        <v>1130006</v>
      </c>
      <c r="D227" s="1" t="s">
        <v>363</v>
      </c>
      <c r="E227" s="1">
        <v>1</v>
      </c>
      <c r="F227" s="1" t="s">
        <v>66</v>
      </c>
      <c r="I227" s="1">
        <v>5</v>
      </c>
      <c r="J227" s="1" t="b">
        <v>1</v>
      </c>
      <c r="K227" s="1" t="b">
        <v>1</v>
      </c>
      <c r="M227" s="1">
        <v>2130006</v>
      </c>
      <c r="N227" s="1" t="b">
        <v>0</v>
      </c>
      <c r="O227" s="1" t="s">
        <v>364</v>
      </c>
      <c r="R227" s="1">
        <v>999999</v>
      </c>
    </row>
    <row r="228" spans="1:18">
      <c r="A228" s="1">
        <v>1131001</v>
      </c>
      <c r="C228" s="1">
        <v>1131001</v>
      </c>
      <c r="D228" s="1" t="s">
        <v>365</v>
      </c>
      <c r="E228" s="1">
        <v>2</v>
      </c>
      <c r="F228" s="1" t="s">
        <v>54</v>
      </c>
      <c r="I228" s="1">
        <v>1</v>
      </c>
      <c r="J228" s="1" t="b">
        <v>1</v>
      </c>
      <c r="K228" s="1" t="b">
        <v>0</v>
      </c>
      <c r="M228" s="1">
        <v>2131001</v>
      </c>
      <c r="N228" s="1" t="b">
        <v>0</v>
      </c>
      <c r="O228" s="1" t="s">
        <v>366</v>
      </c>
    </row>
    <row r="229" spans="1:18">
      <c r="A229" s="1">
        <v>1131002</v>
      </c>
      <c r="C229" s="1">
        <v>1131002</v>
      </c>
      <c r="D229" s="1" t="s">
        <v>367</v>
      </c>
      <c r="E229" s="1">
        <v>2</v>
      </c>
      <c r="F229" s="1" t="s">
        <v>54</v>
      </c>
      <c r="I229" s="1">
        <v>1</v>
      </c>
      <c r="J229" s="1" t="b">
        <v>1</v>
      </c>
      <c r="K229" s="1" t="b">
        <v>0</v>
      </c>
      <c r="M229" s="1">
        <v>2131002</v>
      </c>
      <c r="N229" s="1" t="b">
        <v>0</v>
      </c>
      <c r="O229" s="1" t="s">
        <v>368</v>
      </c>
    </row>
    <row r="230" spans="1:18">
      <c r="A230" s="1">
        <v>1131003</v>
      </c>
      <c r="C230" s="1">
        <v>1131003</v>
      </c>
      <c r="D230" s="1" t="s">
        <v>369</v>
      </c>
      <c r="E230" s="1">
        <v>2</v>
      </c>
      <c r="F230" s="1" t="s">
        <v>54</v>
      </c>
      <c r="I230" s="1">
        <v>1</v>
      </c>
      <c r="J230" s="1" t="b">
        <v>1</v>
      </c>
      <c r="K230" s="1" t="b">
        <v>0</v>
      </c>
      <c r="M230" s="1">
        <v>2131003</v>
      </c>
      <c r="N230" s="1" t="b">
        <v>0</v>
      </c>
      <c r="O230" s="1" t="s">
        <v>370</v>
      </c>
    </row>
    <row r="231" spans="1:18">
      <c r="A231" s="1">
        <v>1131004</v>
      </c>
      <c r="C231" s="1">
        <v>1131004</v>
      </c>
      <c r="D231" s="1" t="s">
        <v>371</v>
      </c>
      <c r="E231" s="1">
        <v>2</v>
      </c>
      <c r="F231" s="1" t="s">
        <v>54</v>
      </c>
      <c r="I231" s="1">
        <v>1</v>
      </c>
      <c r="J231" s="1" t="b">
        <v>1</v>
      </c>
      <c r="K231" s="1" t="b">
        <v>0</v>
      </c>
      <c r="M231" s="1">
        <v>2131004</v>
      </c>
      <c r="N231" s="1" t="b">
        <v>0</v>
      </c>
      <c r="O231" s="1" t="s">
        <v>372</v>
      </c>
    </row>
    <row r="232" spans="1:18">
      <c r="A232" s="1">
        <v>1131005</v>
      </c>
      <c r="C232" s="1">
        <v>1131005</v>
      </c>
      <c r="D232" s="11" t="s">
        <v>373</v>
      </c>
      <c r="E232" s="1">
        <v>2</v>
      </c>
      <c r="F232" s="1" t="s">
        <v>54</v>
      </c>
      <c r="I232" s="1">
        <v>1</v>
      </c>
      <c r="J232" s="1" t="b">
        <v>1</v>
      </c>
      <c r="K232" s="1" t="b">
        <v>0</v>
      </c>
      <c r="M232" s="1">
        <v>2131005</v>
      </c>
      <c r="N232" s="1" t="b">
        <v>0</v>
      </c>
      <c r="O232" s="1" t="s">
        <v>374</v>
      </c>
    </row>
    <row r="233" spans="1:18">
      <c r="A233" s="1">
        <v>1131006</v>
      </c>
      <c r="C233" s="1">
        <v>1131006</v>
      </c>
      <c r="D233" s="1" t="s">
        <v>375</v>
      </c>
      <c r="E233" s="1">
        <v>2</v>
      </c>
      <c r="F233" s="1" t="s">
        <v>54</v>
      </c>
      <c r="I233" s="1">
        <v>1</v>
      </c>
      <c r="J233" s="1" t="b">
        <v>1</v>
      </c>
      <c r="K233" s="1" t="b">
        <v>0</v>
      </c>
      <c r="M233" s="1">
        <v>2131006</v>
      </c>
      <c r="N233" s="1" t="b">
        <v>0</v>
      </c>
      <c r="O233" s="1" t="s">
        <v>376</v>
      </c>
    </row>
    <row r="234" spans="1:18">
      <c r="A234" s="1">
        <v>1131101</v>
      </c>
      <c r="C234" s="1">
        <v>1131101</v>
      </c>
      <c r="D234" s="1" t="s">
        <v>377</v>
      </c>
      <c r="E234" s="1">
        <v>2</v>
      </c>
      <c r="F234" s="1" t="s">
        <v>54</v>
      </c>
      <c r="I234" s="1">
        <v>2</v>
      </c>
      <c r="J234" s="1" t="b">
        <v>1</v>
      </c>
      <c r="K234" s="1" t="b">
        <v>0</v>
      </c>
      <c r="M234" s="1">
        <v>2131101</v>
      </c>
      <c r="N234" s="1" t="b">
        <v>0</v>
      </c>
      <c r="O234" s="1" t="s">
        <v>366</v>
      </c>
    </row>
    <row r="235" spans="1:18">
      <c r="A235" s="1">
        <v>1131102</v>
      </c>
      <c r="C235" s="1">
        <v>1131102</v>
      </c>
      <c r="D235" s="1" t="s">
        <v>378</v>
      </c>
      <c r="E235" s="1">
        <v>2</v>
      </c>
      <c r="F235" s="1" t="s">
        <v>54</v>
      </c>
      <c r="I235" s="1">
        <v>2</v>
      </c>
      <c r="J235" s="1" t="b">
        <v>1</v>
      </c>
      <c r="K235" s="1" t="b">
        <v>0</v>
      </c>
      <c r="M235" s="1">
        <v>2131102</v>
      </c>
      <c r="N235" s="1" t="b">
        <v>0</v>
      </c>
      <c r="O235" s="1" t="s">
        <v>368</v>
      </c>
    </row>
    <row r="236" spans="1:18">
      <c r="A236" s="1">
        <v>1131103</v>
      </c>
      <c r="C236" s="1">
        <v>1131103</v>
      </c>
      <c r="D236" s="1" t="s">
        <v>379</v>
      </c>
      <c r="E236" s="1">
        <v>2</v>
      </c>
      <c r="F236" s="1" t="s">
        <v>54</v>
      </c>
      <c r="I236" s="1">
        <v>2</v>
      </c>
      <c r="J236" s="1" t="b">
        <v>1</v>
      </c>
      <c r="K236" s="1" t="b">
        <v>0</v>
      </c>
      <c r="M236" s="1">
        <v>2131103</v>
      </c>
      <c r="N236" s="1" t="b">
        <v>0</v>
      </c>
      <c r="O236" s="1" t="s">
        <v>370</v>
      </c>
    </row>
    <row r="237" spans="1:18">
      <c r="A237" s="1">
        <v>1131104</v>
      </c>
      <c r="C237" s="1">
        <v>1131104</v>
      </c>
      <c r="D237" s="1" t="s">
        <v>380</v>
      </c>
      <c r="E237" s="1">
        <v>2</v>
      </c>
      <c r="F237" s="1" t="s">
        <v>54</v>
      </c>
      <c r="I237" s="1">
        <v>2</v>
      </c>
      <c r="J237" s="1" t="b">
        <v>1</v>
      </c>
      <c r="K237" s="1" t="b">
        <v>0</v>
      </c>
      <c r="M237" s="1">
        <v>2131104</v>
      </c>
      <c r="N237" s="1" t="b">
        <v>0</v>
      </c>
      <c r="O237" s="1" t="s">
        <v>372</v>
      </c>
    </row>
    <row r="238" spans="1:18">
      <c r="A238" s="1">
        <v>1131105</v>
      </c>
      <c r="C238" s="1">
        <v>1131105</v>
      </c>
      <c r="D238" s="11" t="s">
        <v>381</v>
      </c>
      <c r="E238" s="1">
        <v>2</v>
      </c>
      <c r="F238" s="1" t="s">
        <v>54</v>
      </c>
      <c r="I238" s="1">
        <v>2</v>
      </c>
      <c r="J238" s="1" t="b">
        <v>1</v>
      </c>
      <c r="K238" s="1" t="b">
        <v>0</v>
      </c>
      <c r="M238" s="1">
        <v>2131105</v>
      </c>
      <c r="N238" s="1" t="b">
        <v>0</v>
      </c>
      <c r="O238" s="1" t="s">
        <v>374</v>
      </c>
    </row>
    <row r="239" spans="1:18">
      <c r="A239" s="1">
        <v>1131106</v>
      </c>
      <c r="C239" s="1">
        <v>1131106</v>
      </c>
      <c r="D239" s="1" t="s">
        <v>382</v>
      </c>
      <c r="E239" s="1">
        <v>2</v>
      </c>
      <c r="F239" s="1" t="s">
        <v>54</v>
      </c>
      <c r="I239" s="1">
        <v>2</v>
      </c>
      <c r="J239" s="1" t="b">
        <v>1</v>
      </c>
      <c r="K239" s="1" t="b">
        <v>0</v>
      </c>
      <c r="M239" s="1">
        <v>2131106</v>
      </c>
      <c r="N239" s="1" t="b">
        <v>0</v>
      </c>
      <c r="O239" s="1" t="s">
        <v>376</v>
      </c>
    </row>
    <row r="240" spans="1:18">
      <c r="A240" s="1">
        <v>1131201</v>
      </c>
      <c r="C240" s="1">
        <v>1131201</v>
      </c>
      <c r="D240" s="1" t="s">
        <v>383</v>
      </c>
      <c r="E240" s="1">
        <v>2</v>
      </c>
      <c r="F240" s="1" t="s">
        <v>54</v>
      </c>
      <c r="I240" s="1">
        <v>3</v>
      </c>
      <c r="J240" s="1" t="b">
        <v>1</v>
      </c>
      <c r="K240" s="1" t="b">
        <v>0</v>
      </c>
      <c r="M240" s="1">
        <v>2131201</v>
      </c>
      <c r="N240" s="1" t="b">
        <v>0</v>
      </c>
      <c r="O240" s="1" t="s">
        <v>366</v>
      </c>
    </row>
    <row r="241" spans="1:15">
      <c r="A241" s="1">
        <v>1131202</v>
      </c>
      <c r="C241" s="1">
        <v>1131202</v>
      </c>
      <c r="D241" s="1" t="s">
        <v>384</v>
      </c>
      <c r="E241" s="1">
        <v>2</v>
      </c>
      <c r="F241" s="1" t="s">
        <v>54</v>
      </c>
      <c r="I241" s="1">
        <v>3</v>
      </c>
      <c r="J241" s="1" t="b">
        <v>1</v>
      </c>
      <c r="K241" s="1" t="b">
        <v>0</v>
      </c>
      <c r="M241" s="1">
        <v>2131202</v>
      </c>
      <c r="N241" s="1" t="b">
        <v>0</v>
      </c>
      <c r="O241" s="1" t="s">
        <v>368</v>
      </c>
    </row>
    <row r="242" spans="1:15">
      <c r="A242" s="1">
        <v>1131203</v>
      </c>
      <c r="C242" s="1">
        <v>1131203</v>
      </c>
      <c r="D242" s="1" t="s">
        <v>385</v>
      </c>
      <c r="E242" s="1">
        <v>2</v>
      </c>
      <c r="F242" s="1" t="s">
        <v>54</v>
      </c>
      <c r="I242" s="1">
        <v>3</v>
      </c>
      <c r="J242" s="1" t="b">
        <v>1</v>
      </c>
      <c r="K242" s="1" t="b">
        <v>0</v>
      </c>
      <c r="M242" s="1">
        <v>2131203</v>
      </c>
      <c r="N242" s="1" t="b">
        <v>0</v>
      </c>
      <c r="O242" s="1" t="s">
        <v>370</v>
      </c>
    </row>
    <row r="243" spans="1:15">
      <c r="A243" s="1">
        <v>1131204</v>
      </c>
      <c r="C243" s="1">
        <v>1131204</v>
      </c>
      <c r="D243" s="1" t="s">
        <v>386</v>
      </c>
      <c r="E243" s="1">
        <v>2</v>
      </c>
      <c r="F243" s="1" t="s">
        <v>54</v>
      </c>
      <c r="I243" s="1">
        <v>3</v>
      </c>
      <c r="J243" s="1" t="b">
        <v>1</v>
      </c>
      <c r="K243" s="1" t="b">
        <v>0</v>
      </c>
      <c r="M243" s="1">
        <v>2131204</v>
      </c>
      <c r="N243" s="1" t="b">
        <v>0</v>
      </c>
      <c r="O243" s="1" t="s">
        <v>372</v>
      </c>
    </row>
    <row r="244" spans="1:15">
      <c r="A244" s="1">
        <v>1131205</v>
      </c>
      <c r="C244" s="1">
        <v>1131205</v>
      </c>
      <c r="D244" s="11" t="s">
        <v>387</v>
      </c>
      <c r="E244" s="1">
        <v>2</v>
      </c>
      <c r="F244" s="1" t="s">
        <v>54</v>
      </c>
      <c r="I244" s="1">
        <v>3</v>
      </c>
      <c r="J244" s="1" t="b">
        <v>1</v>
      </c>
      <c r="K244" s="1" t="b">
        <v>0</v>
      </c>
      <c r="M244" s="1">
        <v>2131205</v>
      </c>
      <c r="N244" s="1" t="b">
        <v>0</v>
      </c>
      <c r="O244" s="1" t="s">
        <v>374</v>
      </c>
    </row>
    <row r="245" spans="1:15">
      <c r="A245" s="1">
        <v>1131206</v>
      </c>
      <c r="C245" s="1">
        <v>1131206</v>
      </c>
      <c r="D245" s="1" t="s">
        <v>388</v>
      </c>
      <c r="E245" s="1">
        <v>2</v>
      </c>
      <c r="F245" s="1" t="s">
        <v>54</v>
      </c>
      <c r="I245" s="1">
        <v>3</v>
      </c>
      <c r="J245" s="1" t="b">
        <v>1</v>
      </c>
      <c r="K245" s="1" t="b">
        <v>0</v>
      </c>
      <c r="M245" s="1">
        <v>2131206</v>
      </c>
      <c r="N245" s="1" t="b">
        <v>0</v>
      </c>
      <c r="O245" s="1" t="s">
        <v>376</v>
      </c>
    </row>
    <row r="246" spans="1:15">
      <c r="A246" s="1">
        <v>1131301</v>
      </c>
      <c r="C246" s="1">
        <v>1131301</v>
      </c>
      <c r="D246" s="1" t="s">
        <v>389</v>
      </c>
      <c r="E246" s="1">
        <v>2</v>
      </c>
      <c r="F246" s="1" t="s">
        <v>54</v>
      </c>
      <c r="I246" s="1">
        <v>4</v>
      </c>
      <c r="J246" s="1" t="b">
        <v>1</v>
      </c>
      <c r="K246" s="1" t="b">
        <v>0</v>
      </c>
      <c r="M246" s="1">
        <v>2131301</v>
      </c>
      <c r="N246" s="1" t="b">
        <v>0</v>
      </c>
      <c r="O246" s="1" t="s">
        <v>366</v>
      </c>
    </row>
    <row r="247" spans="1:15">
      <c r="A247" s="1">
        <v>1131302</v>
      </c>
      <c r="C247" s="1">
        <v>1131302</v>
      </c>
      <c r="D247" s="1" t="s">
        <v>390</v>
      </c>
      <c r="E247" s="1">
        <v>2</v>
      </c>
      <c r="F247" s="1" t="s">
        <v>54</v>
      </c>
      <c r="I247" s="1">
        <v>4</v>
      </c>
      <c r="J247" s="1" t="b">
        <v>1</v>
      </c>
      <c r="K247" s="1" t="b">
        <v>0</v>
      </c>
      <c r="M247" s="1">
        <v>2131302</v>
      </c>
      <c r="N247" s="1" t="b">
        <v>0</v>
      </c>
      <c r="O247" s="1" t="s">
        <v>368</v>
      </c>
    </row>
    <row r="248" spans="1:15">
      <c r="A248" s="1">
        <v>1131303</v>
      </c>
      <c r="C248" s="1">
        <v>1131303</v>
      </c>
      <c r="D248" s="1" t="s">
        <v>391</v>
      </c>
      <c r="E248" s="1">
        <v>2</v>
      </c>
      <c r="F248" s="1" t="s">
        <v>54</v>
      </c>
      <c r="I248" s="1">
        <v>4</v>
      </c>
      <c r="J248" s="1" t="b">
        <v>1</v>
      </c>
      <c r="K248" s="1" t="b">
        <v>0</v>
      </c>
      <c r="M248" s="1">
        <v>2131303</v>
      </c>
      <c r="N248" s="1" t="b">
        <v>0</v>
      </c>
      <c r="O248" s="1" t="s">
        <v>370</v>
      </c>
    </row>
    <row r="249" spans="1:15">
      <c r="A249" s="1">
        <v>1131304</v>
      </c>
      <c r="C249" s="1">
        <v>1131304</v>
      </c>
      <c r="D249" s="1" t="s">
        <v>392</v>
      </c>
      <c r="E249" s="1">
        <v>2</v>
      </c>
      <c r="F249" s="1" t="s">
        <v>54</v>
      </c>
      <c r="I249" s="1">
        <v>4</v>
      </c>
      <c r="J249" s="1" t="b">
        <v>1</v>
      </c>
      <c r="K249" s="1" t="b">
        <v>0</v>
      </c>
      <c r="M249" s="1">
        <v>2131304</v>
      </c>
      <c r="N249" s="1" t="b">
        <v>0</v>
      </c>
      <c r="O249" s="1" t="s">
        <v>372</v>
      </c>
    </row>
    <row r="250" spans="1:15">
      <c r="A250" s="1">
        <v>1131305</v>
      </c>
      <c r="C250" s="1">
        <v>1131305</v>
      </c>
      <c r="D250" s="11" t="s">
        <v>393</v>
      </c>
      <c r="E250" s="1">
        <v>2</v>
      </c>
      <c r="F250" s="1" t="s">
        <v>54</v>
      </c>
      <c r="I250" s="1">
        <v>4</v>
      </c>
      <c r="J250" s="1" t="b">
        <v>1</v>
      </c>
      <c r="K250" s="1" t="b">
        <v>0</v>
      </c>
      <c r="M250" s="1">
        <v>2131305</v>
      </c>
      <c r="N250" s="1" t="b">
        <v>0</v>
      </c>
      <c r="O250" s="1" t="s">
        <v>374</v>
      </c>
    </row>
    <row r="251" spans="1:15">
      <c r="A251" s="1">
        <v>1131306</v>
      </c>
      <c r="C251" s="1">
        <v>1131306</v>
      </c>
      <c r="D251" s="1" t="s">
        <v>394</v>
      </c>
      <c r="E251" s="1">
        <v>2</v>
      </c>
      <c r="F251" s="1" t="s">
        <v>54</v>
      </c>
      <c r="I251" s="1">
        <v>4</v>
      </c>
      <c r="J251" s="1" t="b">
        <v>1</v>
      </c>
      <c r="K251" s="1" t="b">
        <v>0</v>
      </c>
      <c r="M251" s="1">
        <v>2131306</v>
      </c>
      <c r="N251" s="1" t="b">
        <v>0</v>
      </c>
      <c r="O251" s="1" t="s">
        <v>376</v>
      </c>
    </row>
    <row r="252" spans="1:15">
      <c r="A252" s="1">
        <v>1131401</v>
      </c>
      <c r="C252" s="1">
        <v>1131401</v>
      </c>
      <c r="D252" s="1" t="s">
        <v>395</v>
      </c>
      <c r="E252" s="1">
        <v>2</v>
      </c>
      <c r="F252" s="1" t="s">
        <v>54</v>
      </c>
      <c r="I252" s="1">
        <v>5</v>
      </c>
      <c r="J252" s="1" t="b">
        <v>1</v>
      </c>
      <c r="K252" s="1" t="b">
        <v>0</v>
      </c>
      <c r="M252" s="1">
        <v>2131401</v>
      </c>
      <c r="N252" s="1" t="b">
        <v>0</v>
      </c>
      <c r="O252" s="1" t="s">
        <v>366</v>
      </c>
    </row>
    <row r="253" spans="1:15">
      <c r="A253" s="1">
        <v>1131402</v>
      </c>
      <c r="C253" s="1">
        <v>1131402</v>
      </c>
      <c r="D253" s="1" t="s">
        <v>396</v>
      </c>
      <c r="E253" s="1">
        <v>2</v>
      </c>
      <c r="F253" s="1" t="s">
        <v>54</v>
      </c>
      <c r="I253" s="1">
        <v>5</v>
      </c>
      <c r="J253" s="1" t="b">
        <v>1</v>
      </c>
      <c r="K253" s="1" t="b">
        <v>0</v>
      </c>
      <c r="M253" s="1">
        <v>2131402</v>
      </c>
      <c r="N253" s="1" t="b">
        <v>0</v>
      </c>
      <c r="O253" s="1" t="s">
        <v>368</v>
      </c>
    </row>
    <row r="254" spans="1:15">
      <c r="A254" s="1">
        <v>1131403</v>
      </c>
      <c r="C254" s="1">
        <v>1131403</v>
      </c>
      <c r="D254" s="1" t="s">
        <v>397</v>
      </c>
      <c r="E254" s="1">
        <v>2</v>
      </c>
      <c r="F254" s="1" t="s">
        <v>54</v>
      </c>
      <c r="I254" s="1">
        <v>5</v>
      </c>
      <c r="J254" s="1" t="b">
        <v>1</v>
      </c>
      <c r="K254" s="1" t="b">
        <v>0</v>
      </c>
      <c r="M254" s="1">
        <v>2131403</v>
      </c>
      <c r="N254" s="1" t="b">
        <v>0</v>
      </c>
      <c r="O254" s="1" t="s">
        <v>370</v>
      </c>
    </row>
    <row r="255" spans="1:15">
      <c r="A255" s="1">
        <v>1131404</v>
      </c>
      <c r="C255" s="1">
        <v>1131404</v>
      </c>
      <c r="D255" s="1" t="s">
        <v>398</v>
      </c>
      <c r="E255" s="1">
        <v>2</v>
      </c>
      <c r="F255" s="1" t="s">
        <v>54</v>
      </c>
      <c r="I255" s="1">
        <v>5</v>
      </c>
      <c r="J255" s="1" t="b">
        <v>1</v>
      </c>
      <c r="K255" s="1" t="b">
        <v>0</v>
      </c>
      <c r="M255" s="1">
        <v>2131404</v>
      </c>
      <c r="N255" s="1" t="b">
        <v>0</v>
      </c>
      <c r="O255" s="1" t="s">
        <v>372</v>
      </c>
    </row>
    <row r="256" spans="1:15">
      <c r="A256" s="1">
        <v>1131405</v>
      </c>
      <c r="C256" s="1">
        <v>1131405</v>
      </c>
      <c r="D256" s="11" t="s">
        <v>399</v>
      </c>
      <c r="E256" s="1">
        <v>2</v>
      </c>
      <c r="F256" s="1" t="s">
        <v>54</v>
      </c>
      <c r="I256" s="1">
        <v>5</v>
      </c>
      <c r="J256" s="1" t="b">
        <v>1</v>
      </c>
      <c r="K256" s="1" t="b">
        <v>0</v>
      </c>
      <c r="M256" s="1">
        <v>2131405</v>
      </c>
      <c r="N256" s="1" t="b">
        <v>0</v>
      </c>
      <c r="O256" s="1" t="s">
        <v>374</v>
      </c>
    </row>
    <row r="257" spans="1:18">
      <c r="A257" s="1">
        <v>1131406</v>
      </c>
      <c r="C257" s="1">
        <v>1131406</v>
      </c>
      <c r="D257" s="1" t="s">
        <v>400</v>
      </c>
      <c r="E257" s="1">
        <v>2</v>
      </c>
      <c r="F257" s="1" t="s">
        <v>54</v>
      </c>
      <c r="I257" s="1">
        <v>5</v>
      </c>
      <c r="J257" s="1" t="b">
        <v>1</v>
      </c>
      <c r="K257" s="1" t="b">
        <v>0</v>
      </c>
      <c r="M257" s="1">
        <v>2131406</v>
      </c>
      <c r="N257" s="1" t="b">
        <v>0</v>
      </c>
      <c r="O257" s="1" t="s">
        <v>376</v>
      </c>
    </row>
    <row r="258" spans="1:18">
      <c r="A258" s="1">
        <v>1150001</v>
      </c>
      <c r="C258" s="1">
        <v>1150001</v>
      </c>
      <c r="D258" s="1" t="s">
        <v>401</v>
      </c>
      <c r="E258" s="1">
        <v>2</v>
      </c>
      <c r="F258" s="1" t="s">
        <v>54</v>
      </c>
      <c r="I258" s="1">
        <v>2</v>
      </c>
      <c r="J258" s="1" t="b">
        <v>0</v>
      </c>
      <c r="K258" s="1" t="b">
        <v>0</v>
      </c>
      <c r="L258" s="1" t="s">
        <v>402</v>
      </c>
      <c r="M258" s="1">
        <v>2150001</v>
      </c>
      <c r="N258" s="1" t="b">
        <v>0</v>
      </c>
      <c r="O258" s="1" t="str">
        <f>"激活“"&amp;D258&amp;"”勋章\n获得途径：完成指定成就任务"</f>
        <v>激活“打卡卫士”勋章\n获得途径：完成指定成就任务</v>
      </c>
      <c r="R258" s="1">
        <v>1</v>
      </c>
    </row>
    <row r="259" spans="1:18">
      <c r="A259" s="1">
        <v>1150002</v>
      </c>
      <c r="C259" s="1">
        <v>1150002</v>
      </c>
      <c r="D259" s="1" t="s">
        <v>403</v>
      </c>
      <c r="E259" s="1">
        <v>2</v>
      </c>
      <c r="F259" s="1" t="s">
        <v>54</v>
      </c>
      <c r="I259" s="1">
        <v>2</v>
      </c>
      <c r="J259" s="1" t="b">
        <v>0</v>
      </c>
      <c r="K259" s="1" t="b">
        <v>0</v>
      </c>
      <c r="L259" s="1" t="s">
        <v>404</v>
      </c>
      <c r="M259" s="1">
        <v>2150002</v>
      </c>
      <c r="N259" s="1" t="b">
        <v>0</v>
      </c>
      <c r="O259" s="1" t="str">
        <f t="shared" ref="O259:O290" si="4">"激活“"&amp;D259&amp;"”勋章\n获得途径：完成指定成就任务"</f>
        <v>激活“成长之路”勋章\n获得途径：完成指定成就任务</v>
      </c>
      <c r="R259" s="1">
        <v>1</v>
      </c>
    </row>
    <row r="260" spans="1:18">
      <c r="A260" s="1">
        <v>1150003</v>
      </c>
      <c r="C260" s="1">
        <v>1150003</v>
      </c>
      <c r="D260" s="1" t="s">
        <v>405</v>
      </c>
      <c r="E260" s="1">
        <v>2</v>
      </c>
      <c r="F260" s="1" t="s">
        <v>54</v>
      </c>
      <c r="I260" s="1">
        <v>2</v>
      </c>
      <c r="J260" s="1" t="b">
        <v>0</v>
      </c>
      <c r="K260" s="1" t="b">
        <v>0</v>
      </c>
      <c r="L260" s="1" t="s">
        <v>406</v>
      </c>
      <c r="M260" s="1">
        <v>2150003</v>
      </c>
      <c r="N260" s="1" t="b">
        <v>0</v>
      </c>
      <c r="O260" s="1" t="str">
        <f t="shared" si="4"/>
        <v>激活“转轮高手”勋章\n获得途径：完成指定成就任务</v>
      </c>
      <c r="R260" s="1">
        <v>1</v>
      </c>
    </row>
    <row r="261" spans="1:18">
      <c r="A261" s="1">
        <v>1150004</v>
      </c>
      <c r="C261" s="1">
        <v>1150004</v>
      </c>
      <c r="D261" s="1" t="s">
        <v>407</v>
      </c>
      <c r="E261" s="1">
        <v>2</v>
      </c>
      <c r="F261" s="1" t="s">
        <v>54</v>
      </c>
      <c r="I261" s="1">
        <v>2</v>
      </c>
      <c r="J261" s="1" t="b">
        <v>0</v>
      </c>
      <c r="K261" s="1" t="b">
        <v>0</v>
      </c>
      <c r="L261" s="1" t="s">
        <v>408</v>
      </c>
      <c r="M261" s="1">
        <v>2150004</v>
      </c>
      <c r="N261" s="1" t="b">
        <v>0</v>
      </c>
      <c r="O261" s="1" t="str">
        <f t="shared" si="4"/>
        <v>激活“大赢家”勋章\n获得途径：完成指定成就任务</v>
      </c>
      <c r="R261" s="1">
        <v>1</v>
      </c>
    </row>
    <row r="262" spans="1:18">
      <c r="A262" s="1">
        <v>1150005</v>
      </c>
      <c r="C262" s="1">
        <v>1150005</v>
      </c>
      <c r="D262" s="1" t="s">
        <v>409</v>
      </c>
      <c r="E262" s="1">
        <v>2</v>
      </c>
      <c r="F262" s="1" t="s">
        <v>54</v>
      </c>
      <c r="I262" s="1">
        <v>2</v>
      </c>
      <c r="J262" s="1" t="b">
        <v>0</v>
      </c>
      <c r="K262" s="1" t="b">
        <v>0</v>
      </c>
      <c r="L262" s="1" t="s">
        <v>410</v>
      </c>
      <c r="M262" s="1">
        <v>2150005</v>
      </c>
      <c r="N262" s="1" t="b">
        <v>0</v>
      </c>
      <c r="O262" s="1" t="str">
        <f t="shared" si="4"/>
        <v>激活“转轮精英”勋章\n获得途径：完成指定成就任务</v>
      </c>
      <c r="R262" s="1">
        <v>1</v>
      </c>
    </row>
    <row r="263" spans="1:18">
      <c r="A263" s="1">
        <v>1150006</v>
      </c>
      <c r="C263" s="1">
        <v>1150006</v>
      </c>
      <c r="D263" s="1" t="s">
        <v>411</v>
      </c>
      <c r="E263" s="1">
        <v>2</v>
      </c>
      <c r="F263" s="1" t="s">
        <v>54</v>
      </c>
      <c r="I263" s="1">
        <v>2</v>
      </c>
      <c r="J263" s="1" t="b">
        <v>0</v>
      </c>
      <c r="K263" s="1" t="b">
        <v>0</v>
      </c>
      <c r="L263" s="1" t="s">
        <v>412</v>
      </c>
      <c r="M263" s="1">
        <v>2150006</v>
      </c>
      <c r="N263" s="1" t="b">
        <v>0</v>
      </c>
      <c r="O263" s="1" t="str">
        <f t="shared" si="4"/>
        <v>激活“幸运之星”勋章\n获得途径：完成指定成就任务</v>
      </c>
      <c r="R263" s="1">
        <v>1</v>
      </c>
    </row>
    <row r="264" spans="1:18">
      <c r="A264" s="1">
        <v>1150007</v>
      </c>
      <c r="C264" s="1">
        <v>1150007</v>
      </c>
      <c r="D264" s="1" t="s">
        <v>413</v>
      </c>
      <c r="E264" s="1">
        <v>2</v>
      </c>
      <c r="F264" s="1" t="s">
        <v>54</v>
      </c>
      <c r="I264" s="1">
        <v>2</v>
      </c>
      <c r="J264" s="1" t="b">
        <v>0</v>
      </c>
      <c r="K264" s="1" t="b">
        <v>0</v>
      </c>
      <c r="L264" s="1" t="s">
        <v>414</v>
      </c>
      <c r="M264" s="1">
        <v>2150007</v>
      </c>
      <c r="N264" s="1" t="b">
        <v>0</v>
      </c>
      <c r="O264" s="1" t="str">
        <f t="shared" si="4"/>
        <v>激活“游戏收集者”勋章\n获得途径：完成指定成就任务</v>
      </c>
      <c r="R264" s="1">
        <v>1</v>
      </c>
    </row>
    <row r="265" spans="1:18">
      <c r="A265" s="1">
        <v>1150008</v>
      </c>
      <c r="C265" s="1">
        <v>1150008</v>
      </c>
      <c r="D265" s="1" t="s">
        <v>415</v>
      </c>
      <c r="E265" s="1">
        <v>2</v>
      </c>
      <c r="F265" s="1" t="s">
        <v>54</v>
      </c>
      <c r="I265" s="1">
        <v>2</v>
      </c>
      <c r="J265" s="1" t="b">
        <v>0</v>
      </c>
      <c r="K265" s="1" t="b">
        <v>0</v>
      </c>
      <c r="L265" s="1" t="s">
        <v>416</v>
      </c>
      <c r="M265" s="1">
        <v>2150008</v>
      </c>
      <c r="N265" s="1" t="b">
        <v>0</v>
      </c>
      <c r="O265" s="1" t="str">
        <f t="shared" si="4"/>
        <v>激活“建筑能手”勋章\n获得途径：完成指定成就任务</v>
      </c>
      <c r="R265" s="1">
        <v>1</v>
      </c>
    </row>
    <row r="266" spans="1:18">
      <c r="A266" s="1">
        <v>1150009</v>
      </c>
      <c r="C266" s="1">
        <v>1150009</v>
      </c>
      <c r="D266" s="1" t="s">
        <v>417</v>
      </c>
      <c r="E266" s="1">
        <v>2</v>
      </c>
      <c r="F266" s="1" t="s">
        <v>54</v>
      </c>
      <c r="I266" s="1">
        <v>2</v>
      </c>
      <c r="J266" s="1" t="b">
        <v>0</v>
      </c>
      <c r="K266" s="1" t="b">
        <v>0</v>
      </c>
      <c r="L266" s="1" t="s">
        <v>418</v>
      </c>
      <c r="M266" s="1">
        <v>2150009</v>
      </c>
      <c r="N266" s="1" t="b">
        <v>0</v>
      </c>
      <c r="O266" s="1" t="str">
        <f t="shared" si="4"/>
        <v>激活“百万富豪”勋章\n获得途径：完成指定成就任务</v>
      </c>
      <c r="R266" s="1">
        <v>1</v>
      </c>
    </row>
    <row r="267" spans="1:18">
      <c r="A267" s="1">
        <v>1150010</v>
      </c>
      <c r="C267" s="1">
        <v>1150010</v>
      </c>
      <c r="D267" s="1" t="s">
        <v>419</v>
      </c>
      <c r="E267" s="1">
        <v>2</v>
      </c>
      <c r="F267" s="1" t="s">
        <v>54</v>
      </c>
      <c r="I267" s="1">
        <v>2</v>
      </c>
      <c r="J267" s="1" t="b">
        <v>0</v>
      </c>
      <c r="K267" s="1" t="b">
        <v>0</v>
      </c>
      <c r="L267" s="1" t="s">
        <v>420</v>
      </c>
      <c r="M267" s="1">
        <v>2150010</v>
      </c>
      <c r="N267" s="1" t="b">
        <v>0</v>
      </c>
      <c r="O267" s="1" t="str">
        <f t="shared" si="4"/>
        <v>激活“能量收集者”勋章\n获得途径：完成指定成就任务</v>
      </c>
      <c r="R267" s="1">
        <v>1</v>
      </c>
    </row>
    <row r="268" spans="1:18">
      <c r="A268" s="1">
        <v>1150011</v>
      </c>
      <c r="C268" s="1">
        <v>1150011</v>
      </c>
      <c r="D268" s="1" t="s">
        <v>421</v>
      </c>
      <c r="E268" s="1">
        <v>2</v>
      </c>
      <c r="F268" s="1" t="s">
        <v>54</v>
      </c>
      <c r="I268" s="1">
        <v>2</v>
      </c>
      <c r="J268" s="1" t="b">
        <v>0</v>
      </c>
      <c r="K268" s="1" t="b">
        <v>0</v>
      </c>
      <c r="L268" s="1" t="s">
        <v>422</v>
      </c>
      <c r="M268" s="1">
        <v>2150011</v>
      </c>
      <c r="N268" s="1" t="b">
        <v>0</v>
      </c>
      <c r="O268" s="1" t="str">
        <f t="shared" si="4"/>
        <v>激活“金币大师”勋章\n获得途径：完成指定成就任务</v>
      </c>
      <c r="R268" s="1">
        <v>1</v>
      </c>
    </row>
    <row r="269" spans="1:18">
      <c r="A269" s="1">
        <v>1150012</v>
      </c>
      <c r="C269" s="1">
        <v>1150012</v>
      </c>
      <c r="D269" s="1" t="s">
        <v>423</v>
      </c>
      <c r="E269" s="1">
        <v>2</v>
      </c>
      <c r="F269" s="1" t="s">
        <v>54</v>
      </c>
      <c r="I269" s="1">
        <v>2</v>
      </c>
      <c r="J269" s="1" t="b">
        <v>0</v>
      </c>
      <c r="K269" s="1" t="b">
        <v>0</v>
      </c>
      <c r="L269" s="1" t="s">
        <v>424</v>
      </c>
      <c r="M269" s="1">
        <v>2150012</v>
      </c>
      <c r="N269" s="1" t="b">
        <v>0</v>
      </c>
      <c r="O269" s="1" t="str">
        <f t="shared" si="4"/>
        <v>激活“钻石富豪”勋章\n获得途径：完成指定成就任务</v>
      </c>
      <c r="R269" s="1">
        <v>1</v>
      </c>
    </row>
    <row r="270" spans="1:18">
      <c r="A270" s="1">
        <v>1150013</v>
      </c>
      <c r="C270" s="1">
        <v>1150013</v>
      </c>
      <c r="D270" s="1" t="s">
        <v>425</v>
      </c>
      <c r="E270" s="1">
        <v>2</v>
      </c>
      <c r="F270" s="1" t="s">
        <v>54</v>
      </c>
      <c r="I270" s="1">
        <v>2</v>
      </c>
      <c r="J270" s="1" t="b">
        <v>0</v>
      </c>
      <c r="K270" s="1" t="b">
        <v>0</v>
      </c>
      <c r="L270" s="1" t="s">
        <v>426</v>
      </c>
      <c r="M270" s="1">
        <v>2150013</v>
      </c>
      <c r="N270" s="1" t="b">
        <v>0</v>
      </c>
      <c r="O270" s="1" t="str">
        <f t="shared" si="4"/>
        <v>激活“招商能手”勋章\n获得途径：完成指定成就任务</v>
      </c>
      <c r="R270" s="1">
        <v>1</v>
      </c>
    </row>
    <row r="271" spans="1:18">
      <c r="A271" s="1">
        <v>1150014</v>
      </c>
      <c r="C271" s="1">
        <v>1150014</v>
      </c>
      <c r="D271" s="1" t="s">
        <v>427</v>
      </c>
      <c r="E271" s="1">
        <v>2</v>
      </c>
      <c r="F271" s="1" t="s">
        <v>54</v>
      </c>
      <c r="I271" s="1">
        <v>2</v>
      </c>
      <c r="J271" s="1" t="b">
        <v>0</v>
      </c>
      <c r="K271" s="1" t="b">
        <v>0</v>
      </c>
      <c r="L271" s="1" t="s">
        <v>428</v>
      </c>
      <c r="M271" s="1">
        <v>2150014</v>
      </c>
      <c r="N271" s="1" t="b">
        <v>0</v>
      </c>
      <c r="O271" s="1" t="str">
        <f t="shared" si="4"/>
        <v>激活“娱乐CEO”勋章\n获得途径：完成指定成就任务</v>
      </c>
      <c r="R271" s="1">
        <v>1</v>
      </c>
    </row>
    <row r="272" spans="1:18">
      <c r="A272" s="1">
        <v>1150015</v>
      </c>
      <c r="C272" s="1">
        <v>1150015</v>
      </c>
      <c r="D272" s="1" t="s">
        <v>429</v>
      </c>
      <c r="E272" s="1">
        <v>2</v>
      </c>
      <c r="F272" s="1" t="s">
        <v>54</v>
      </c>
      <c r="I272" s="1">
        <v>2</v>
      </c>
      <c r="J272" s="1" t="b">
        <v>0</v>
      </c>
      <c r="K272" s="1" t="b">
        <v>0</v>
      </c>
      <c r="L272" s="1" t="s">
        <v>430</v>
      </c>
      <c r="M272" s="1">
        <v>2150015</v>
      </c>
      <c r="N272" s="1" t="b">
        <v>0</v>
      </c>
      <c r="O272" s="1" t="str">
        <f t="shared" si="4"/>
        <v>激活“人气爆棚”勋章\n获得途径：完成指定成就任务</v>
      </c>
      <c r="R272" s="1">
        <v>1</v>
      </c>
    </row>
    <row r="273" spans="1:18">
      <c r="A273" s="1">
        <v>1150016</v>
      </c>
      <c r="C273" s="1">
        <v>1150016</v>
      </c>
      <c r="D273" s="1" t="s">
        <v>431</v>
      </c>
      <c r="E273" s="1">
        <v>2</v>
      </c>
      <c r="F273" s="1" t="s">
        <v>54</v>
      </c>
      <c r="I273" s="1">
        <v>3</v>
      </c>
      <c r="J273" s="1" t="b">
        <v>0</v>
      </c>
      <c r="K273" s="1" t="b">
        <v>0</v>
      </c>
      <c r="L273" s="1" t="s">
        <v>432</v>
      </c>
      <c r="M273" s="1">
        <v>2150016</v>
      </c>
      <c r="N273" s="1" t="b">
        <v>0</v>
      </c>
      <c r="O273" s="1" t="str">
        <f t="shared" si="4"/>
        <v>激活“建筑大师”勋章\n获得途径：完成指定成就任务</v>
      </c>
      <c r="R273" s="1">
        <v>1</v>
      </c>
    </row>
    <row r="274" spans="1:18">
      <c r="A274" s="1">
        <v>1150017</v>
      </c>
      <c r="C274" s="1">
        <v>1150017</v>
      </c>
      <c r="D274" s="1" t="s">
        <v>433</v>
      </c>
      <c r="E274" s="1">
        <v>2</v>
      </c>
      <c r="F274" s="1" t="s">
        <v>54</v>
      </c>
      <c r="I274" s="1">
        <v>3</v>
      </c>
      <c r="J274" s="1" t="b">
        <v>0</v>
      </c>
      <c r="K274" s="1" t="b">
        <v>0</v>
      </c>
      <c r="L274" s="1" t="s">
        <v>434</v>
      </c>
      <c r="M274" s="1">
        <v>2150017</v>
      </c>
      <c r="N274" s="1" t="b">
        <v>0</v>
      </c>
      <c r="O274" s="1" t="str">
        <f t="shared" si="4"/>
        <v>激活“人气之王”勋章\n获得途径：完成指定成就任务</v>
      </c>
      <c r="R274" s="1">
        <v>1</v>
      </c>
    </row>
    <row r="275" spans="1:18">
      <c r="A275" s="1">
        <v>1150018</v>
      </c>
      <c r="C275" s="1">
        <v>1150018</v>
      </c>
      <c r="D275" s="1" t="s">
        <v>435</v>
      </c>
      <c r="E275" s="1">
        <v>2</v>
      </c>
      <c r="F275" s="1" t="s">
        <v>54</v>
      </c>
      <c r="I275" s="1">
        <v>3</v>
      </c>
      <c r="J275" s="1" t="b">
        <v>0</v>
      </c>
      <c r="K275" s="1" t="b">
        <v>0</v>
      </c>
      <c r="L275" s="1" t="s">
        <v>436</v>
      </c>
      <c r="M275" s="1">
        <v>2150018</v>
      </c>
      <c r="N275" s="1" t="b">
        <v>0</v>
      </c>
      <c r="O275" s="1" t="str">
        <f t="shared" si="4"/>
        <v>激活“团队高管”勋章\n获得途径：完成指定成就任务</v>
      </c>
      <c r="R275" s="1">
        <v>1</v>
      </c>
    </row>
    <row r="276" spans="1:18">
      <c r="A276" s="1">
        <v>1150019</v>
      </c>
      <c r="C276" s="1">
        <v>1150019</v>
      </c>
      <c r="D276" s="1" t="s">
        <v>437</v>
      </c>
      <c r="E276" s="1">
        <v>2</v>
      </c>
      <c r="F276" s="1" t="s">
        <v>54</v>
      </c>
      <c r="I276" s="1">
        <v>3</v>
      </c>
      <c r="J276" s="1" t="b">
        <v>0</v>
      </c>
      <c r="K276" s="1" t="b">
        <v>0</v>
      </c>
      <c r="L276" s="1" t="s">
        <v>438</v>
      </c>
      <c r="M276" s="1">
        <v>2150019</v>
      </c>
      <c r="N276" s="1" t="b">
        <v>0</v>
      </c>
      <c r="O276" s="1" t="str">
        <f t="shared" si="4"/>
        <v>激活“培养能手”勋章\n获得途径：完成指定成就任务</v>
      </c>
      <c r="R276" s="1">
        <v>1</v>
      </c>
    </row>
    <row r="277" spans="1:18">
      <c r="A277" s="1">
        <v>1150020</v>
      </c>
      <c r="C277" s="1">
        <v>1150020</v>
      </c>
      <c r="D277" s="1" t="s">
        <v>439</v>
      </c>
      <c r="E277" s="1">
        <v>2</v>
      </c>
      <c r="F277" s="1" t="s">
        <v>54</v>
      </c>
      <c r="I277" s="1">
        <v>3</v>
      </c>
      <c r="J277" s="1" t="b">
        <v>0</v>
      </c>
      <c r="K277" s="1" t="b">
        <v>0</v>
      </c>
      <c r="L277" s="1" t="s">
        <v>440</v>
      </c>
      <c r="M277" s="1">
        <v>2150020</v>
      </c>
      <c r="N277" s="1" t="b">
        <v>0</v>
      </c>
      <c r="O277" s="1" t="str">
        <f t="shared" si="4"/>
        <v>激活“培养大师”勋章\n获得途径：完成指定成就任务</v>
      </c>
      <c r="R277" s="1">
        <v>1</v>
      </c>
    </row>
    <row r="278" spans="1:18">
      <c r="A278" s="1">
        <v>1150021</v>
      </c>
      <c r="C278" s="1">
        <v>1150021</v>
      </c>
      <c r="D278" s="1" t="s">
        <v>441</v>
      </c>
      <c r="E278" s="1">
        <v>2</v>
      </c>
      <c r="F278" s="1" t="s">
        <v>54</v>
      </c>
      <c r="I278" s="1">
        <v>3</v>
      </c>
      <c r="J278" s="1" t="b">
        <v>0</v>
      </c>
      <c r="K278" s="1" t="b">
        <v>0</v>
      </c>
      <c r="L278" s="1" t="s">
        <v>442</v>
      </c>
      <c r="M278" s="1">
        <v>2150021</v>
      </c>
      <c r="N278" s="1" t="b">
        <v>0</v>
      </c>
      <c r="O278" s="1" t="str">
        <f t="shared" si="4"/>
        <v>激活“培养专家”勋章\n获得途径：完成指定成就任务</v>
      </c>
      <c r="R278" s="1">
        <v>1</v>
      </c>
    </row>
    <row r="279" spans="1:18">
      <c r="A279" s="1">
        <v>1150022</v>
      </c>
      <c r="C279" s="1">
        <v>1150022</v>
      </c>
      <c r="D279" s="1" t="s">
        <v>443</v>
      </c>
      <c r="E279" s="1">
        <v>2</v>
      </c>
      <c r="F279" s="1" t="s">
        <v>54</v>
      </c>
      <c r="I279" s="1">
        <v>3</v>
      </c>
      <c r="J279" s="1" t="b">
        <v>0</v>
      </c>
      <c r="K279" s="1" t="b">
        <v>0</v>
      </c>
      <c r="L279" s="1" t="s">
        <v>444</v>
      </c>
      <c r="M279" s="1">
        <v>2150022</v>
      </c>
      <c r="N279" s="1" t="b">
        <v>0</v>
      </c>
      <c r="O279" s="1" t="str">
        <f t="shared" si="4"/>
        <v>激活“有点小钱”勋章\n获得途径：完成指定成就任务</v>
      </c>
      <c r="R279" s="1">
        <v>1</v>
      </c>
    </row>
    <row r="280" spans="1:18">
      <c r="A280" s="1">
        <v>1150023</v>
      </c>
      <c r="C280" s="1">
        <v>1150023</v>
      </c>
      <c r="D280" s="1" t="s">
        <v>445</v>
      </c>
      <c r="E280" s="1">
        <v>2</v>
      </c>
      <c r="F280" s="1" t="s">
        <v>54</v>
      </c>
      <c r="I280" s="1">
        <v>3</v>
      </c>
      <c r="J280" s="1" t="b">
        <v>0</v>
      </c>
      <c r="K280" s="1" t="b">
        <v>0</v>
      </c>
      <c r="L280" s="1" t="s">
        <v>446</v>
      </c>
      <c r="M280" s="1">
        <v>2150023</v>
      </c>
      <c r="N280" s="1" t="b">
        <v>0</v>
      </c>
      <c r="O280" s="1" t="str">
        <f t="shared" si="4"/>
        <v>激活“小有成就”勋章\n获得途径：完成指定成就任务</v>
      </c>
      <c r="R280" s="1">
        <v>1</v>
      </c>
    </row>
    <row r="281" spans="1:18">
      <c r="A281" s="1">
        <v>1150024</v>
      </c>
      <c r="C281" s="1">
        <v>1150024</v>
      </c>
      <c r="D281" s="1" t="s">
        <v>447</v>
      </c>
      <c r="E281" s="1">
        <v>2</v>
      </c>
      <c r="F281" s="1" t="s">
        <v>54</v>
      </c>
      <c r="I281" s="1">
        <v>3</v>
      </c>
      <c r="J281" s="1" t="b">
        <v>0</v>
      </c>
      <c r="K281" s="1" t="b">
        <v>0</v>
      </c>
      <c r="L281" s="1" t="s">
        <v>448</v>
      </c>
      <c r="M281" s="1">
        <v>2150024</v>
      </c>
      <c r="N281" s="1" t="b">
        <v>0</v>
      </c>
      <c r="O281" s="1" t="str">
        <f t="shared" si="4"/>
        <v>激活“中奖能手”勋章\n获得途径：完成指定成就任务</v>
      </c>
      <c r="R281" s="1">
        <v>1</v>
      </c>
    </row>
    <row r="282" spans="1:18">
      <c r="A282" s="1">
        <v>1150025</v>
      </c>
      <c r="C282" s="1">
        <v>1150025</v>
      </c>
      <c r="D282" s="1" t="s">
        <v>449</v>
      </c>
      <c r="E282" s="1">
        <v>2</v>
      </c>
      <c r="F282" s="1" t="s">
        <v>54</v>
      </c>
      <c r="I282" s="1">
        <v>3</v>
      </c>
      <c r="J282" s="1" t="b">
        <v>0</v>
      </c>
      <c r="K282" s="1" t="b">
        <v>0</v>
      </c>
      <c r="L282" s="1" t="s">
        <v>450</v>
      </c>
      <c r="M282" s="1">
        <v>2150025</v>
      </c>
      <c r="N282" s="1" t="b">
        <v>0</v>
      </c>
      <c r="O282" s="1" t="str">
        <f t="shared" si="4"/>
        <v>激活“招财进宝”勋章\n获得途径：完成指定成就任务</v>
      </c>
      <c r="R282" s="1">
        <v>1</v>
      </c>
    </row>
    <row r="283" spans="1:18">
      <c r="A283" s="1">
        <v>1150026</v>
      </c>
      <c r="C283" s="1">
        <v>1150026</v>
      </c>
      <c r="D283" s="1" t="s">
        <v>451</v>
      </c>
      <c r="E283" s="1">
        <v>2</v>
      </c>
      <c r="F283" s="1" t="s">
        <v>54</v>
      </c>
      <c r="I283" s="1">
        <v>3</v>
      </c>
      <c r="J283" s="1" t="b">
        <v>0</v>
      </c>
      <c r="K283" s="1" t="b">
        <v>0</v>
      </c>
      <c r="L283" s="1" t="s">
        <v>452</v>
      </c>
      <c r="M283" s="1">
        <v>2150026</v>
      </c>
      <c r="N283" s="1" t="b">
        <v>0</v>
      </c>
      <c r="O283" s="1" t="str">
        <f t="shared" si="4"/>
        <v>激活“财富自由”勋章\n获得途径：完成指定成就任务</v>
      </c>
      <c r="R283" s="1">
        <v>1</v>
      </c>
    </row>
    <row r="284" spans="1:18">
      <c r="A284" s="1">
        <v>1150027</v>
      </c>
      <c r="C284" s="1">
        <v>1150027</v>
      </c>
      <c r="D284" s="1" t="s">
        <v>453</v>
      </c>
      <c r="E284" s="1">
        <v>2</v>
      </c>
      <c r="F284" s="1" t="s">
        <v>54</v>
      </c>
      <c r="I284" s="1">
        <v>3</v>
      </c>
      <c r="J284" s="1" t="b">
        <v>0</v>
      </c>
      <c r="K284" s="1" t="b">
        <v>0</v>
      </c>
      <c r="L284" s="1" t="s">
        <v>454</v>
      </c>
      <c r="M284" s="1">
        <v>2150027</v>
      </c>
      <c r="N284" s="1" t="b">
        <v>0</v>
      </c>
      <c r="O284" s="1" t="str">
        <f t="shared" si="4"/>
        <v>激活“超级赢家”勋章\n获得途径：完成指定成就任务</v>
      </c>
      <c r="R284" s="1">
        <v>1</v>
      </c>
    </row>
    <row r="285" spans="1:18">
      <c r="A285" s="1">
        <v>1150028</v>
      </c>
      <c r="C285" s="1">
        <v>1150028</v>
      </c>
      <c r="D285" s="1" t="s">
        <v>455</v>
      </c>
      <c r="E285" s="1">
        <v>2</v>
      </c>
      <c r="F285" s="1" t="s">
        <v>54</v>
      </c>
      <c r="I285" s="1">
        <v>4</v>
      </c>
      <c r="J285" s="1" t="b">
        <v>0</v>
      </c>
      <c r="K285" s="1" t="b">
        <v>0</v>
      </c>
      <c r="L285" s="1" t="s">
        <v>456</v>
      </c>
      <c r="M285" s="1">
        <v>2150028</v>
      </c>
      <c r="N285" s="1" t="b">
        <v>0</v>
      </c>
      <c r="O285" s="1" t="str">
        <f t="shared" si="4"/>
        <v>激活“VIP专享”勋章\n获得途径：完成指定成就任务</v>
      </c>
      <c r="R285" s="1">
        <v>1</v>
      </c>
    </row>
    <row r="286" spans="1:18">
      <c r="A286" s="1">
        <v>1150029</v>
      </c>
      <c r="C286" s="1">
        <v>1150029</v>
      </c>
      <c r="D286" s="1" t="s">
        <v>457</v>
      </c>
      <c r="E286" s="1">
        <v>2</v>
      </c>
      <c r="F286" s="1" t="s">
        <v>54</v>
      </c>
      <c r="I286" s="1">
        <v>4</v>
      </c>
      <c r="J286" s="1" t="b">
        <v>0</v>
      </c>
      <c r="K286" s="1" t="b">
        <v>0</v>
      </c>
      <c r="L286" s="1" t="s">
        <v>458</v>
      </c>
      <c r="M286" s="1">
        <v>2150029</v>
      </c>
      <c r="N286" s="1" t="b">
        <v>0</v>
      </c>
      <c r="O286" s="1" t="str">
        <f t="shared" si="4"/>
        <v>激活“研发院士”勋章\n获得途径：完成指定成就任务</v>
      </c>
      <c r="R286" s="1">
        <v>1</v>
      </c>
    </row>
    <row r="287" spans="1:18">
      <c r="A287" s="1">
        <v>1150030</v>
      </c>
      <c r="C287" s="1">
        <v>1150030</v>
      </c>
      <c r="D287" s="1" t="s">
        <v>459</v>
      </c>
      <c r="E287" s="1">
        <v>2</v>
      </c>
      <c r="F287" s="1" t="s">
        <v>54</v>
      </c>
      <c r="I287" s="1">
        <v>4</v>
      </c>
      <c r="J287" s="1" t="b">
        <v>0</v>
      </c>
      <c r="K287" s="1" t="b">
        <v>0</v>
      </c>
      <c r="L287" s="1" t="s">
        <v>460</v>
      </c>
      <c r="M287" s="1">
        <v>2150030</v>
      </c>
      <c r="N287" s="1" t="b">
        <v>0</v>
      </c>
      <c r="O287" s="1" t="str">
        <f>"激活“"&amp;D287&amp;"”勋章\n获得途径：完成指定活动"</f>
        <v>激活“社交精英”勋章\n获得途径：完成指定活动</v>
      </c>
      <c r="R287" s="1">
        <v>1</v>
      </c>
    </row>
    <row r="288" spans="1:18">
      <c r="A288" s="1">
        <v>1150031</v>
      </c>
      <c r="C288" s="1">
        <v>1150031</v>
      </c>
      <c r="D288" s="1" t="s">
        <v>461</v>
      </c>
      <c r="E288" s="1">
        <v>2</v>
      </c>
      <c r="F288" s="1" t="s">
        <v>54</v>
      </c>
      <c r="I288" s="1">
        <v>4</v>
      </c>
      <c r="J288" s="1" t="b">
        <v>0</v>
      </c>
      <c r="K288" s="1" t="b">
        <v>0</v>
      </c>
      <c r="L288" s="1" t="s">
        <v>462</v>
      </c>
      <c r="M288" s="1">
        <v>2150031</v>
      </c>
      <c r="N288" s="1" t="b">
        <v>0</v>
      </c>
      <c r="O288" s="1" t="str">
        <f t="shared" ref="O288:O318" si="5">"激活“"&amp;D288&amp;"”勋章\n获得途径：完成指定活动"</f>
        <v>激活“精英团队”勋章\n获得途径：完成指定活动</v>
      </c>
      <c r="R288" s="1">
        <v>1</v>
      </c>
    </row>
    <row r="289" spans="1:18">
      <c r="A289" s="1">
        <v>1150032</v>
      </c>
      <c r="C289" s="1">
        <v>1150032</v>
      </c>
      <c r="D289" s="1" t="s">
        <v>463</v>
      </c>
      <c r="E289" s="1">
        <v>2</v>
      </c>
      <c r="F289" s="1" t="s">
        <v>54</v>
      </c>
      <c r="I289" s="1">
        <v>4</v>
      </c>
      <c r="J289" s="1" t="b">
        <v>0</v>
      </c>
      <c r="K289" s="1" t="b">
        <v>0</v>
      </c>
      <c r="L289" s="1" t="s">
        <v>464</v>
      </c>
      <c r="M289" s="1">
        <v>2150032</v>
      </c>
      <c r="N289" s="1" t="b">
        <v>0</v>
      </c>
      <c r="O289" s="1" t="str">
        <f t="shared" si="5"/>
        <v>激活“游戏大亨”勋章\n获得途径：完成指定活动</v>
      </c>
      <c r="R289" s="1">
        <v>1</v>
      </c>
    </row>
    <row r="290" spans="1:18">
      <c r="A290" s="1">
        <v>1150033</v>
      </c>
      <c r="C290" s="1">
        <v>1150033</v>
      </c>
      <c r="D290" s="1" t="s">
        <v>465</v>
      </c>
      <c r="E290" s="1">
        <v>2</v>
      </c>
      <c r="F290" s="1" t="s">
        <v>54</v>
      </c>
      <c r="I290" s="1">
        <v>4</v>
      </c>
      <c r="J290" s="1" t="b">
        <v>0</v>
      </c>
      <c r="K290" s="1" t="b">
        <v>0</v>
      </c>
      <c r="L290" s="1" t="s">
        <v>466</v>
      </c>
      <c r="M290" s="1">
        <v>2150033</v>
      </c>
      <c r="N290" s="1" t="b">
        <v>0</v>
      </c>
      <c r="O290" s="1" t="str">
        <f t="shared" si="5"/>
        <v>激活“营销高手”勋章\n获得途径：完成指定活动</v>
      </c>
      <c r="R290" s="1">
        <v>1</v>
      </c>
    </row>
    <row r="291" spans="1:18">
      <c r="A291" s="1">
        <v>1150034</v>
      </c>
      <c r="C291" s="1">
        <v>1150034</v>
      </c>
      <c r="D291" s="1" t="s">
        <v>467</v>
      </c>
      <c r="E291" s="1">
        <v>2</v>
      </c>
      <c r="F291" s="1" t="s">
        <v>54</v>
      </c>
      <c r="I291" s="1">
        <v>4</v>
      </c>
      <c r="J291" s="1" t="b">
        <v>0</v>
      </c>
      <c r="K291" s="1" t="b">
        <v>0</v>
      </c>
      <c r="L291" s="1" t="s">
        <v>468</v>
      </c>
      <c r="M291" s="1">
        <v>2150034</v>
      </c>
      <c r="N291" s="1" t="b">
        <v>0</v>
      </c>
      <c r="O291" s="1" t="str">
        <f t="shared" si="5"/>
        <v>激活“招商经理”勋章\n获得途径：完成指定活动</v>
      </c>
      <c r="R291" s="1">
        <v>1</v>
      </c>
    </row>
    <row r="292" spans="1:18">
      <c r="A292" s="1">
        <v>1150035</v>
      </c>
      <c r="C292" s="1">
        <v>1150035</v>
      </c>
      <c r="D292" s="1" t="s">
        <v>469</v>
      </c>
      <c r="E292" s="1">
        <v>2</v>
      </c>
      <c r="F292" s="1" t="s">
        <v>54</v>
      </c>
      <c r="I292" s="1">
        <v>4</v>
      </c>
      <c r="J292" s="1" t="b">
        <v>0</v>
      </c>
      <c r="K292" s="1" t="b">
        <v>0</v>
      </c>
      <c r="L292" s="1" t="s">
        <v>470</v>
      </c>
      <c r="M292" s="1">
        <v>2150035</v>
      </c>
      <c r="N292" s="1" t="b">
        <v>0</v>
      </c>
      <c r="O292" s="1" t="str">
        <f t="shared" si="5"/>
        <v>激活“广告精英”勋章\n获得途径：完成指定活动</v>
      </c>
      <c r="R292" s="1">
        <v>1</v>
      </c>
    </row>
    <row r="293" spans="1:18">
      <c r="A293" s="1">
        <v>1150036</v>
      </c>
      <c r="C293" s="1">
        <v>1150036</v>
      </c>
      <c r="D293" s="1" t="s">
        <v>471</v>
      </c>
      <c r="E293" s="1">
        <v>2</v>
      </c>
      <c r="F293" s="1" t="s">
        <v>54</v>
      </c>
      <c r="I293" s="1">
        <v>4</v>
      </c>
      <c r="J293" s="1" t="b">
        <v>0</v>
      </c>
      <c r="K293" s="1" t="b">
        <v>0</v>
      </c>
      <c r="L293" s="1" t="s">
        <v>472</v>
      </c>
      <c r="M293" s="1">
        <v>2150036</v>
      </c>
      <c r="N293" s="1" t="b">
        <v>0</v>
      </c>
      <c r="O293" s="1" t="str">
        <f t="shared" si="5"/>
        <v>激活“招募精英”勋章\n获得途径：完成指定活动</v>
      </c>
      <c r="R293" s="1">
        <v>1</v>
      </c>
    </row>
    <row r="294" spans="1:18">
      <c r="A294" s="1">
        <v>1150037</v>
      </c>
      <c r="C294" s="1">
        <v>1150037</v>
      </c>
      <c r="D294" s="1" t="s">
        <v>473</v>
      </c>
      <c r="E294" s="1">
        <v>2</v>
      </c>
      <c r="F294" s="1" t="s">
        <v>54</v>
      </c>
      <c r="I294" s="1">
        <v>4</v>
      </c>
      <c r="J294" s="1" t="b">
        <v>0</v>
      </c>
      <c r="K294" s="1" t="b">
        <v>0</v>
      </c>
      <c r="L294" s="1" t="s">
        <v>474</v>
      </c>
      <c r="M294" s="1">
        <v>2150037</v>
      </c>
      <c r="N294" s="1" t="b">
        <v>0</v>
      </c>
      <c r="O294" s="1" t="str">
        <f t="shared" si="5"/>
        <v>激活“商界精英”勋章\n获得途径：完成指定活动</v>
      </c>
      <c r="R294" s="1">
        <v>1</v>
      </c>
    </row>
    <row r="295" spans="1:18">
      <c r="A295" s="1">
        <v>1150038</v>
      </c>
      <c r="C295" s="1">
        <v>1150038</v>
      </c>
      <c r="D295" s="1" t="s">
        <v>475</v>
      </c>
      <c r="E295" s="1">
        <v>2</v>
      </c>
      <c r="F295" s="1" t="s">
        <v>54</v>
      </c>
      <c r="I295" s="1">
        <v>4</v>
      </c>
      <c r="J295" s="1" t="b">
        <v>0</v>
      </c>
      <c r="K295" s="1" t="b">
        <v>0</v>
      </c>
      <c r="L295" s="1" t="s">
        <v>476</v>
      </c>
      <c r="M295" s="1">
        <v>2150038</v>
      </c>
      <c r="N295" s="1" t="b">
        <v>0</v>
      </c>
      <c r="O295" s="1" t="str">
        <f t="shared" si="5"/>
        <v>激活“策略大师”勋章\n获得途径：完成指定活动</v>
      </c>
      <c r="R295" s="1">
        <v>1</v>
      </c>
    </row>
    <row r="296" spans="1:18">
      <c r="A296" s="1">
        <v>1150039</v>
      </c>
      <c r="C296" s="1">
        <v>1150039</v>
      </c>
      <c r="D296" s="1" t="s">
        <v>477</v>
      </c>
      <c r="E296" s="1">
        <v>2</v>
      </c>
      <c r="F296" s="1" t="s">
        <v>54</v>
      </c>
      <c r="I296" s="1">
        <v>4</v>
      </c>
      <c r="J296" s="1" t="b">
        <v>0</v>
      </c>
      <c r="K296" s="1" t="b">
        <v>0</v>
      </c>
      <c r="L296" s="1" t="s">
        <v>478</v>
      </c>
      <c r="M296" s="1">
        <v>2150039</v>
      </c>
      <c r="N296" s="1" t="b">
        <v>0</v>
      </c>
      <c r="O296" s="1" t="str">
        <f t="shared" si="5"/>
        <v>激活“幸运之神”勋章\n获得途径：完成指定活动</v>
      </c>
      <c r="R296" s="1">
        <v>1</v>
      </c>
    </row>
    <row r="297" spans="1:18">
      <c r="A297" s="1">
        <v>1150040</v>
      </c>
      <c r="C297" s="1">
        <v>1150040</v>
      </c>
      <c r="D297" s="1" t="s">
        <v>479</v>
      </c>
      <c r="E297" s="1">
        <v>2</v>
      </c>
      <c r="F297" s="1" t="s">
        <v>54</v>
      </c>
      <c r="I297" s="1">
        <v>4</v>
      </c>
      <c r="J297" s="1" t="b">
        <v>0</v>
      </c>
      <c r="K297" s="1" t="b">
        <v>0</v>
      </c>
      <c r="L297" s="1" t="s">
        <v>480</v>
      </c>
      <c r="M297" s="1">
        <v>2150040</v>
      </c>
      <c r="N297" s="1" t="b">
        <v>0</v>
      </c>
      <c r="O297" s="1" t="str">
        <f t="shared" si="5"/>
        <v>激活“大奖得主”勋章\n获得途径：完成指定活动</v>
      </c>
      <c r="R297" s="1">
        <v>1</v>
      </c>
    </row>
    <row r="298" spans="1:18">
      <c r="A298" s="1">
        <v>1150041</v>
      </c>
      <c r="C298" s="1">
        <v>1150041</v>
      </c>
      <c r="D298" s="1" t="s">
        <v>481</v>
      </c>
      <c r="E298" s="1">
        <v>2</v>
      </c>
      <c r="F298" s="1" t="s">
        <v>54</v>
      </c>
      <c r="I298" s="1">
        <v>4</v>
      </c>
      <c r="J298" s="1" t="b">
        <v>0</v>
      </c>
      <c r="K298" s="1" t="b">
        <v>0</v>
      </c>
      <c r="L298" s="1" t="s">
        <v>482</v>
      </c>
      <c r="M298" s="1">
        <v>2150041</v>
      </c>
      <c r="N298" s="1" t="b">
        <v>0</v>
      </c>
      <c r="O298" s="1" t="str">
        <f t="shared" si="5"/>
        <v>激活“最佳经理人”勋章\n获得途径：完成指定活动</v>
      </c>
      <c r="R298" s="1">
        <v>1</v>
      </c>
    </row>
    <row r="299" spans="1:18">
      <c r="A299" s="1">
        <v>1150042</v>
      </c>
      <c r="C299" s="1">
        <v>1150042</v>
      </c>
      <c r="D299" s="1" t="s">
        <v>483</v>
      </c>
      <c r="E299" s="1">
        <v>2</v>
      </c>
      <c r="F299" s="1" t="s">
        <v>54</v>
      </c>
      <c r="I299" s="1">
        <v>5</v>
      </c>
      <c r="J299" s="1" t="b">
        <v>0</v>
      </c>
      <c r="K299" s="1" t="b">
        <v>0</v>
      </c>
      <c r="L299" s="1" t="s">
        <v>484</v>
      </c>
      <c r="M299" s="1">
        <v>2150042</v>
      </c>
      <c r="N299" s="1" t="b">
        <v>0</v>
      </c>
      <c r="O299" s="1" t="str">
        <f t="shared" si="5"/>
        <v>激活“财富神话”勋章\n获得途径：完成指定活动</v>
      </c>
      <c r="R299" s="1">
        <v>1</v>
      </c>
    </row>
    <row r="300" spans="1:18">
      <c r="A300" s="1">
        <v>1150043</v>
      </c>
      <c r="C300" s="1">
        <v>1150043</v>
      </c>
      <c r="D300" s="1" t="s">
        <v>485</v>
      </c>
      <c r="E300" s="1">
        <v>2</v>
      </c>
      <c r="F300" s="1" t="s">
        <v>54</v>
      </c>
      <c r="I300" s="1">
        <v>5</v>
      </c>
      <c r="J300" s="1" t="b">
        <v>0</v>
      </c>
      <c r="K300" s="1" t="b">
        <v>0</v>
      </c>
      <c r="L300" s="1" t="s">
        <v>486</v>
      </c>
      <c r="M300" s="1">
        <v>2150043</v>
      </c>
      <c r="N300" s="1" t="b">
        <v>0</v>
      </c>
      <c r="O300" s="1" t="str">
        <f t="shared" si="5"/>
        <v>激活“财运亨通”勋章\n获得途径：完成指定活动</v>
      </c>
      <c r="R300" s="1">
        <v>1</v>
      </c>
    </row>
    <row r="301" spans="1:18">
      <c r="A301" s="1">
        <v>1150044</v>
      </c>
      <c r="C301" s="1">
        <v>1150044</v>
      </c>
      <c r="D301" s="1" t="s">
        <v>487</v>
      </c>
      <c r="E301" s="1">
        <v>2</v>
      </c>
      <c r="F301" s="1" t="s">
        <v>54</v>
      </c>
      <c r="I301" s="1">
        <v>5</v>
      </c>
      <c r="J301" s="1" t="b">
        <v>0</v>
      </c>
      <c r="K301" s="1" t="b">
        <v>0</v>
      </c>
      <c r="L301" s="1" t="s">
        <v>488</v>
      </c>
      <c r="M301" s="1">
        <v>2150044</v>
      </c>
      <c r="N301" s="1" t="b">
        <v>0</v>
      </c>
      <c r="O301" s="1" t="str">
        <f t="shared" si="5"/>
        <v>激活“亿万富豪”勋章\n获得途径：完成指定活动</v>
      </c>
      <c r="R301" s="1">
        <v>1</v>
      </c>
    </row>
    <row r="302" spans="1:18">
      <c r="A302" s="1">
        <v>1150045</v>
      </c>
      <c r="C302" s="1">
        <v>1150045</v>
      </c>
      <c r="D302" s="1" t="s">
        <v>489</v>
      </c>
      <c r="E302" s="1">
        <v>2</v>
      </c>
      <c r="F302" s="1" t="s">
        <v>54</v>
      </c>
      <c r="I302" s="1">
        <v>5</v>
      </c>
      <c r="J302" s="1" t="b">
        <v>0</v>
      </c>
      <c r="K302" s="1" t="b">
        <v>0</v>
      </c>
      <c r="L302" s="1" t="s">
        <v>490</v>
      </c>
      <c r="M302" s="1">
        <v>2150045</v>
      </c>
      <c r="N302" s="1" t="b">
        <v>0</v>
      </c>
      <c r="O302" s="1" t="str">
        <f t="shared" si="5"/>
        <v>激活“巨富大亨”勋章\n获得途径：完成指定活动</v>
      </c>
      <c r="R302" s="1">
        <v>1</v>
      </c>
    </row>
    <row r="303" spans="1:18">
      <c r="A303" s="1">
        <v>1150046</v>
      </c>
      <c r="C303" s="1">
        <v>1150046</v>
      </c>
      <c r="D303" s="1" t="s">
        <v>491</v>
      </c>
      <c r="E303" s="1">
        <v>2</v>
      </c>
      <c r="F303" s="1" t="s">
        <v>54</v>
      </c>
      <c r="I303" s="1">
        <v>5</v>
      </c>
      <c r="J303" s="1" t="b">
        <v>0</v>
      </c>
      <c r="K303" s="1" t="b">
        <v>0</v>
      </c>
      <c r="L303" s="1" t="s">
        <v>492</v>
      </c>
      <c r="M303" s="1">
        <v>2150046</v>
      </c>
      <c r="N303" s="1" t="b">
        <v>0</v>
      </c>
      <c r="O303" s="1" t="str">
        <f t="shared" si="5"/>
        <v>激活“传奇赢家”勋章\n获得途径：完成指定活动</v>
      </c>
      <c r="R303" s="1">
        <v>1</v>
      </c>
    </row>
    <row r="304" spans="1:18">
      <c r="A304" s="1">
        <v>1150047</v>
      </c>
      <c r="C304" s="1">
        <v>1150047</v>
      </c>
      <c r="D304" s="1" t="s">
        <v>493</v>
      </c>
      <c r="E304" s="1">
        <v>2</v>
      </c>
      <c r="F304" s="1" t="s">
        <v>54</v>
      </c>
      <c r="I304" s="1">
        <v>5</v>
      </c>
      <c r="J304" s="1" t="b">
        <v>0</v>
      </c>
      <c r="K304" s="1" t="b">
        <v>0</v>
      </c>
      <c r="L304" s="1" t="s">
        <v>494</v>
      </c>
      <c r="M304" s="1">
        <v>2150047</v>
      </c>
      <c r="N304" s="1" t="b">
        <v>0</v>
      </c>
      <c r="O304" s="1" t="str">
        <f t="shared" si="5"/>
        <v>激活“营销冠军”勋章\n获得途径：完成指定活动</v>
      </c>
      <c r="R304" s="1">
        <v>1</v>
      </c>
    </row>
    <row r="305" spans="1:18">
      <c r="A305" s="1">
        <v>1150048</v>
      </c>
      <c r="C305" s="1">
        <v>1150048</v>
      </c>
      <c r="D305" s="1" t="s">
        <v>495</v>
      </c>
      <c r="E305" s="1">
        <v>2</v>
      </c>
      <c r="F305" s="1" t="s">
        <v>54</v>
      </c>
      <c r="I305" s="1">
        <v>5</v>
      </c>
      <c r="J305" s="1" t="b">
        <v>0</v>
      </c>
      <c r="K305" s="1" t="b">
        <v>0</v>
      </c>
      <c r="L305" s="1" t="s">
        <v>496</v>
      </c>
      <c r="M305" s="1">
        <v>2150048</v>
      </c>
      <c r="N305" s="1" t="b">
        <v>0</v>
      </c>
      <c r="O305" s="1" t="str">
        <f t="shared" si="5"/>
        <v>激活“产业巨头”勋章\n获得途径：完成指定活动</v>
      </c>
      <c r="R305" s="1">
        <v>1</v>
      </c>
    </row>
    <row r="306" spans="1:18">
      <c r="A306" s="1">
        <v>1150049</v>
      </c>
      <c r="C306" s="1">
        <v>1150049</v>
      </c>
      <c r="D306" s="1" t="s">
        <v>497</v>
      </c>
      <c r="E306" s="1">
        <v>2</v>
      </c>
      <c r="F306" s="1" t="s">
        <v>54</v>
      </c>
      <c r="I306" s="1">
        <v>5</v>
      </c>
      <c r="J306" s="1" t="b">
        <v>0</v>
      </c>
      <c r="K306" s="1" t="b">
        <v>0</v>
      </c>
      <c r="L306" s="1" t="s">
        <v>498</v>
      </c>
      <c r="M306" s="1">
        <v>2150049</v>
      </c>
      <c r="N306" s="1" t="b">
        <v>0</v>
      </c>
      <c r="O306" s="1" t="str">
        <f t="shared" si="5"/>
        <v>激活“管理大师”勋章\n获得途径：完成指定活动</v>
      </c>
      <c r="R306" s="1">
        <v>1</v>
      </c>
    </row>
    <row r="307" spans="1:18">
      <c r="A307" s="1">
        <v>1150050</v>
      </c>
      <c r="C307" s="1">
        <v>1150050</v>
      </c>
      <c r="D307" s="1" t="s">
        <v>499</v>
      </c>
      <c r="E307" s="1">
        <v>2</v>
      </c>
      <c r="F307" s="1" t="s">
        <v>54</v>
      </c>
      <c r="I307" s="1">
        <v>5</v>
      </c>
      <c r="J307" s="1" t="b">
        <v>0</v>
      </c>
      <c r="K307" s="1" t="b">
        <v>0</v>
      </c>
      <c r="L307" s="1" t="s">
        <v>500</v>
      </c>
      <c r="M307" s="1">
        <v>2150050</v>
      </c>
      <c r="N307" s="1" t="b">
        <v>0</v>
      </c>
      <c r="O307" s="1" t="str">
        <f t="shared" si="5"/>
        <v>激活“娱乐大亨”勋章\n获得途径：完成指定活动</v>
      </c>
      <c r="R307" s="1">
        <v>1</v>
      </c>
    </row>
    <row r="308" spans="1:18">
      <c r="A308" s="1">
        <v>1150051</v>
      </c>
      <c r="C308" s="1">
        <v>1150051</v>
      </c>
      <c r="D308" s="1" t="s">
        <v>501</v>
      </c>
      <c r="E308" s="1">
        <v>2</v>
      </c>
      <c r="F308" s="1" t="s">
        <v>54</v>
      </c>
      <c r="I308" s="1">
        <v>5</v>
      </c>
      <c r="J308" s="1" t="b">
        <v>0</v>
      </c>
      <c r="K308" s="1" t="b">
        <v>0</v>
      </c>
      <c r="L308" s="1" t="s">
        <v>502</v>
      </c>
      <c r="M308" s="1">
        <v>2150051</v>
      </c>
      <c r="N308" s="1" t="b">
        <v>0</v>
      </c>
      <c r="O308" s="1" t="str">
        <f t="shared" si="5"/>
        <v>激活“商界奇才”勋章\n获得途径：完成指定活动</v>
      </c>
      <c r="R308" s="1">
        <v>1</v>
      </c>
    </row>
    <row r="309" spans="1:18">
      <c r="A309" s="1">
        <v>1150052</v>
      </c>
      <c r="C309" s="1">
        <v>1150052</v>
      </c>
      <c r="D309" s="1" t="s">
        <v>503</v>
      </c>
      <c r="E309" s="1">
        <v>2</v>
      </c>
      <c r="F309" s="1" t="s">
        <v>54</v>
      </c>
      <c r="I309" s="1">
        <v>5</v>
      </c>
      <c r="J309" s="1" t="b">
        <v>0</v>
      </c>
      <c r="K309" s="1" t="b">
        <v>0</v>
      </c>
      <c r="L309" s="1" t="s">
        <v>504</v>
      </c>
      <c r="M309" s="1">
        <v>2150052</v>
      </c>
      <c r="N309" s="1" t="b">
        <v>0</v>
      </c>
      <c r="O309" s="1" t="str">
        <f t="shared" si="5"/>
        <v>激活“商界传奇”勋章\n获得途径：完成指定活动</v>
      </c>
      <c r="R309" s="1">
        <v>1</v>
      </c>
    </row>
    <row r="310" spans="1:18">
      <c r="A310" s="1">
        <v>1150053</v>
      </c>
      <c r="C310" s="1">
        <v>1150053</v>
      </c>
      <c r="D310" s="1" t="s">
        <v>505</v>
      </c>
      <c r="E310" s="1">
        <v>2</v>
      </c>
      <c r="F310" s="1" t="s">
        <v>54</v>
      </c>
      <c r="I310" s="1">
        <v>5</v>
      </c>
      <c r="J310" s="1" t="b">
        <v>0</v>
      </c>
      <c r="K310" s="1" t="b">
        <v>0</v>
      </c>
      <c r="L310" s="1" t="s">
        <v>506</v>
      </c>
      <c r="M310" s="1">
        <v>2150053</v>
      </c>
      <c r="N310" s="1" t="b">
        <v>0</v>
      </c>
      <c r="O310" s="1" t="str">
        <f t="shared" si="5"/>
        <v>激活“科研之王”勋章\n获得途径：完成指定活动</v>
      </c>
      <c r="R310" s="1">
        <v>1</v>
      </c>
    </row>
    <row r="311" spans="1:18">
      <c r="A311" s="1">
        <v>1150054</v>
      </c>
      <c r="C311" s="1">
        <v>1150054</v>
      </c>
      <c r="D311" s="1" t="s">
        <v>507</v>
      </c>
      <c r="E311" s="1">
        <v>2</v>
      </c>
      <c r="F311" s="1" t="s">
        <v>54</v>
      </c>
      <c r="I311" s="1">
        <v>5</v>
      </c>
      <c r="J311" s="1" t="b">
        <v>0</v>
      </c>
      <c r="K311" s="1" t="b">
        <v>0</v>
      </c>
      <c r="L311" s="1" t="s">
        <v>508</v>
      </c>
      <c r="M311" s="1">
        <v>2150054</v>
      </c>
      <c r="N311" s="1" t="b">
        <v>0</v>
      </c>
      <c r="O311" s="1" t="str">
        <f t="shared" si="5"/>
        <v>激活“转轮之王”勋章\n获得途径：完成指定活动</v>
      </c>
      <c r="R311" s="1">
        <v>1</v>
      </c>
    </row>
    <row r="312" spans="1:18">
      <c r="A312" s="1">
        <v>1150055</v>
      </c>
      <c r="C312" s="1">
        <v>1150055</v>
      </c>
      <c r="D312" s="1" t="s">
        <v>509</v>
      </c>
      <c r="E312" s="1">
        <v>2</v>
      </c>
      <c r="F312" s="1" t="s">
        <v>54</v>
      </c>
      <c r="I312" s="1">
        <v>5</v>
      </c>
      <c r="J312" s="1" t="b">
        <v>0</v>
      </c>
      <c r="K312" s="1" t="b">
        <v>0</v>
      </c>
      <c r="L312" s="1" t="s">
        <v>510</v>
      </c>
      <c r="M312" s="1">
        <v>2150055</v>
      </c>
      <c r="N312" s="1" t="b">
        <v>0</v>
      </c>
      <c r="O312" s="1" t="str">
        <f t="shared" si="5"/>
        <v>激活“赌场之王”勋章\n获得途径：完成指定活动</v>
      </c>
      <c r="R312" s="1">
        <v>1</v>
      </c>
    </row>
    <row r="313" spans="1:18">
      <c r="A313" s="1">
        <v>1150056</v>
      </c>
      <c r="C313" s="1">
        <v>1150056</v>
      </c>
      <c r="D313" s="1" t="s">
        <v>511</v>
      </c>
      <c r="E313" s="1">
        <v>2</v>
      </c>
      <c r="F313" s="1" t="s">
        <v>54</v>
      </c>
      <c r="I313" s="1">
        <v>5</v>
      </c>
      <c r="J313" s="1" t="b">
        <v>0</v>
      </c>
      <c r="K313" s="1" t="b">
        <v>0</v>
      </c>
      <c r="L313" s="1" t="s">
        <v>512</v>
      </c>
      <c r="M313" s="1">
        <v>2150056</v>
      </c>
      <c r="N313" s="1" t="b">
        <v>0</v>
      </c>
      <c r="O313" s="1" t="str">
        <f t="shared" si="5"/>
        <v>激活“全服名人”勋章\n获得途径：完成指定活动</v>
      </c>
      <c r="R313" s="1">
        <v>1</v>
      </c>
    </row>
    <row r="314" spans="1:18">
      <c r="A314" s="1">
        <v>1150057</v>
      </c>
      <c r="C314" s="1">
        <v>1150057</v>
      </c>
      <c r="D314" s="1" t="s">
        <v>513</v>
      </c>
      <c r="E314" s="1">
        <v>2</v>
      </c>
      <c r="F314" s="1" t="s">
        <v>54</v>
      </c>
      <c r="I314" s="1">
        <v>5</v>
      </c>
      <c r="J314" s="1" t="b">
        <v>0</v>
      </c>
      <c r="K314" s="1" t="b">
        <v>0</v>
      </c>
      <c r="L314" s="1" t="s">
        <v>514</v>
      </c>
      <c r="M314" s="1">
        <v>2150057</v>
      </c>
      <c r="N314" s="1" t="b">
        <v>0</v>
      </c>
      <c r="O314" s="1" t="str">
        <f t="shared" si="5"/>
        <v>激活“富贵逼人”勋章\n获得途径：完成指定活动</v>
      </c>
      <c r="R314" s="1">
        <v>1</v>
      </c>
    </row>
    <row r="315" spans="1:18">
      <c r="A315" s="1">
        <v>1150058</v>
      </c>
      <c r="C315" s="1">
        <v>1150058</v>
      </c>
      <c r="D315" s="1" t="s">
        <v>515</v>
      </c>
      <c r="E315" s="1">
        <v>2</v>
      </c>
      <c r="F315" s="1" t="s">
        <v>54</v>
      </c>
      <c r="I315" s="1">
        <v>5</v>
      </c>
      <c r="J315" s="1" t="b">
        <v>0</v>
      </c>
      <c r="K315" s="1" t="b">
        <v>0</v>
      </c>
      <c r="L315" s="1" t="s">
        <v>516</v>
      </c>
      <c r="M315" s="1">
        <v>2150058</v>
      </c>
      <c r="N315" s="1" t="b">
        <v>0</v>
      </c>
      <c r="O315" s="1" t="str">
        <f t="shared" si="5"/>
        <v>激活“辉煌人生”勋章\n获得途径：完成指定活动</v>
      </c>
      <c r="R315" s="1">
        <v>1</v>
      </c>
    </row>
    <row r="316" spans="1:18">
      <c r="A316" s="1">
        <v>1150059</v>
      </c>
      <c r="C316" s="1">
        <v>1150059</v>
      </c>
      <c r="D316" s="1" t="s">
        <v>517</v>
      </c>
      <c r="E316" s="1">
        <v>2</v>
      </c>
      <c r="F316" s="1" t="s">
        <v>54</v>
      </c>
      <c r="I316" s="1">
        <v>5</v>
      </c>
      <c r="J316" s="1" t="b">
        <v>0</v>
      </c>
      <c r="K316" s="1" t="b">
        <v>0</v>
      </c>
      <c r="L316" s="1" t="s">
        <v>518</v>
      </c>
      <c r="M316" s="1">
        <v>2150059</v>
      </c>
      <c r="N316" s="1" t="b">
        <v>0</v>
      </c>
      <c r="O316" s="1" t="str">
        <f t="shared" si="5"/>
        <v>激活“风云人物”勋章\n获得途径：完成指定活动</v>
      </c>
      <c r="R316" s="1">
        <v>1</v>
      </c>
    </row>
    <row r="317" spans="1:18">
      <c r="A317" s="1">
        <v>1150060</v>
      </c>
      <c r="C317" s="1">
        <v>1150060</v>
      </c>
      <c r="D317" s="1" t="s">
        <v>519</v>
      </c>
      <c r="E317" s="1">
        <v>2</v>
      </c>
      <c r="F317" s="1" t="s">
        <v>54</v>
      </c>
      <c r="I317" s="1">
        <v>5</v>
      </c>
      <c r="J317" s="1" t="b">
        <v>0</v>
      </c>
      <c r="K317" s="1" t="b">
        <v>0</v>
      </c>
      <c r="L317" s="1" t="s">
        <v>520</v>
      </c>
      <c r="M317" s="1">
        <v>2150060</v>
      </c>
      <c r="N317" s="1" t="b">
        <v>0</v>
      </c>
      <c r="O317" s="1" t="str">
        <f t="shared" si="5"/>
        <v>激活“名震世界”勋章\n获得途径：完成指定活动</v>
      </c>
      <c r="R317" s="1">
        <v>1</v>
      </c>
    </row>
    <row r="318" spans="1:18">
      <c r="A318" s="1">
        <v>1150061</v>
      </c>
      <c r="C318" s="1">
        <v>1150061</v>
      </c>
      <c r="D318" s="1" t="s">
        <v>521</v>
      </c>
      <c r="E318" s="1">
        <v>2</v>
      </c>
      <c r="F318" s="1" t="s">
        <v>54</v>
      </c>
      <c r="I318" s="1">
        <v>5</v>
      </c>
      <c r="J318" s="1" t="b">
        <v>0</v>
      </c>
      <c r="K318" s="1" t="b">
        <v>0</v>
      </c>
      <c r="L318" s="1" t="s">
        <v>522</v>
      </c>
      <c r="M318" s="1">
        <v>2150061</v>
      </c>
      <c r="N318" s="1" t="b">
        <v>0</v>
      </c>
      <c r="O318" s="1" t="str">
        <f t="shared" si="5"/>
        <v>激活“时代传说”勋章\n获得途径：完成指定活动</v>
      </c>
      <c r="R318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2025-07-14T07:23:00Z</dcterms:created>
  <dcterms:modified xsi:type="dcterms:W3CDTF">2026-07-16T06:01:40Z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