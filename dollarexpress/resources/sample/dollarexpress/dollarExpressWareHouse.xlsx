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workspace\gameserver\dollarexpress\resources\sample\dollarexpress\"/>
    </mc:Choice>
  </mc:AlternateContent>
  <xr:revisionPtr revIDLastSave="0" documentId="13_ncr:1_{0E3F3092-8181-498D-B7DC-EC02AA55745F}" xr6:coauthVersionLast="45" xr6:coauthVersionMax="45" xr10:uidLastSave="{00000000-0000-0000-0000-000000000000}"/>
  <bookViews>
    <workbookView xWindow="28680" yWindow="-120" windowWidth="29040" windowHeight="15840" xr2:uid="{00000000-000D-0000-FFFF-FFFF00000000}"/>
  </bookViews>
  <sheets>
    <sheet name="DollarExpressWareHouseConfig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" i="1" l="1"/>
  <c r="L6" i="1" s="1"/>
  <c r="G6" i="1"/>
  <c r="K6" i="1" s="1"/>
  <c r="F6" i="1"/>
  <c r="J6" i="1" s="1"/>
  <c r="E6" i="1"/>
  <c r="I6" i="1" s="1"/>
  <c r="M6" i="1" s="1"/>
  <c r="H5" i="1"/>
  <c r="L5" i="1" s="1"/>
  <c r="G5" i="1"/>
  <c r="K5" i="1" s="1"/>
  <c r="F5" i="1"/>
  <c r="J5" i="1" s="1"/>
  <c r="E5" i="1"/>
  <c r="I5" i="1" s="1"/>
  <c r="M5" i="1" s="1"/>
  <c r="I4" i="1"/>
  <c r="M4" i="1" s="1"/>
  <c r="H4" i="1"/>
  <c r="L4" i="1" s="1"/>
  <c r="G4" i="1"/>
  <c r="K4" i="1" s="1"/>
  <c r="F4" i="1"/>
  <c r="J4" i="1" s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N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押注金额除以此值后，才是用于计算赔付的底注</t>
        </r>
      </text>
    </comment>
  </commentList>
</comments>
</file>

<file path=xl/sharedStrings.xml><?xml version="1.0" encoding="utf-8"?>
<sst xmlns="http://schemas.openxmlformats.org/spreadsheetml/2006/main" count="43" uniqueCount="32">
  <si>
    <t>sid</t>
  </si>
  <si>
    <t>说明</t>
  </si>
  <si>
    <t>押注_1</t>
  </si>
  <si>
    <t>押注_2</t>
  </si>
  <si>
    <t>押注_3</t>
  </si>
  <si>
    <t>押注_4</t>
  </si>
  <si>
    <t>押注_5</t>
  </si>
  <si>
    <t>押注_6</t>
  </si>
  <si>
    <t>押注_7</t>
  </si>
  <si>
    <t>押注_8</t>
  </si>
  <si>
    <t>押注_9</t>
  </si>
  <si>
    <t>押注_10</t>
  </si>
  <si>
    <t>底注倍数</t>
  </si>
  <si>
    <t>int</t>
  </si>
  <si>
    <t>stake_1</t>
  </si>
  <si>
    <t>stake_2</t>
  </si>
  <si>
    <t>stake_3</t>
  </si>
  <si>
    <t>stake_4</t>
  </si>
  <si>
    <t>stake_5</t>
  </si>
  <si>
    <t>stake_6</t>
  </si>
  <si>
    <t>stake_7</t>
  </si>
  <si>
    <t>stake_8</t>
  </si>
  <si>
    <t>stake_9</t>
  </si>
  <si>
    <t>stake_10</t>
  </si>
  <si>
    <t>multiplier</t>
  </si>
  <si>
    <t>基础场</t>
  </si>
  <si>
    <t>中级场</t>
  </si>
  <si>
    <t>高级场</t>
  </si>
  <si>
    <r>
      <t>n</t>
    </r>
    <r>
      <rPr>
        <sz val="11"/>
        <color theme="1"/>
        <rFont val="宋体"/>
        <family val="3"/>
        <charset val="134"/>
        <scheme val="minor"/>
      </rPr>
      <t>ame</t>
    </r>
    <phoneticPr fontId="4" type="noConversion"/>
  </si>
  <si>
    <t>水池初始值</t>
  </si>
  <si>
    <t>long</t>
    <phoneticPr fontId="4" type="noConversion"/>
  </si>
  <si>
    <t>basicWarehouse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</si>
</sst>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宋体"/>
      <charset val="134"/>
      <scheme val="minor"/>
    </font>
    <font>
      <sz val="10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>
      <alignment vertical="center"/>
    </xf>
    <xf numFmtId="0" fontId="1" fillId="0" borderId="0" xfId="0" applyFont="1">
      <alignment vertical="center"/>
    </xf>
    <xf numFmtId="0" fontId="5" fillId="0" borderId="0" xfId="0" applyFont="1" applyAlignment="1">
      <alignment horizontal="left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"/>
  <sheetViews>
    <sheetView tabSelected="1" workbookViewId="0">
      <selection activeCell="D5" sqref="D5"/>
    </sheetView>
  </sheetViews>
  <sheetFormatPr defaultColWidth="9" defaultRowHeight="13.5" x14ac:dyDescent="0.15"/>
  <cols>
    <col min="3" max="3" width="15.125" customWidth="1"/>
    <col min="9" max="9" width="9.375"/>
    <col min="10" max="11" width="10.375"/>
    <col min="12" max="12" width="11.5"/>
    <col min="13" max="13" width="14" customWidth="1"/>
    <col min="14" max="14" width="10.75" customWidth="1"/>
  </cols>
  <sheetData>
    <row r="1" spans="1:14" x14ac:dyDescent="0.15">
      <c r="A1" s="1" t="s">
        <v>0</v>
      </c>
      <c r="B1" s="2" t="s">
        <v>1</v>
      </c>
      <c r="C1" s="2" t="s">
        <v>29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15">
      <c r="A2" s="3"/>
      <c r="B2" s="4"/>
      <c r="C2" s="4" t="s">
        <v>30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</row>
    <row r="3" spans="1:14" x14ac:dyDescent="0.15">
      <c r="A3" s="1" t="s">
        <v>0</v>
      </c>
      <c r="B3" s="5" t="s">
        <v>28</v>
      </c>
      <c r="C3" s="5" t="s">
        <v>31</v>
      </c>
      <c r="D3" t="s">
        <v>14</v>
      </c>
      <c r="E3" t="s">
        <v>15</v>
      </c>
      <c r="F3" t="s">
        <v>16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</row>
    <row r="4" spans="1:14" x14ac:dyDescent="0.15">
      <c r="A4">
        <v>1</v>
      </c>
      <c r="B4" t="s">
        <v>25</v>
      </c>
      <c r="C4">
        <v>50000000</v>
      </c>
      <c r="D4">
        <v>100</v>
      </c>
      <c r="E4">
        <f t="shared" ref="E4:E6" si="0">D4*2</f>
        <v>200</v>
      </c>
      <c r="F4">
        <f t="shared" ref="F4:F6" si="1">D4*3</f>
        <v>300</v>
      </c>
      <c r="G4">
        <f t="shared" ref="G4:G6" si="2">D4*4</f>
        <v>400</v>
      </c>
      <c r="H4">
        <f t="shared" ref="H4:M4" si="3">D4*5</f>
        <v>500</v>
      </c>
      <c r="I4">
        <f t="shared" si="3"/>
        <v>1000</v>
      </c>
      <c r="J4">
        <f t="shared" si="3"/>
        <v>1500</v>
      </c>
      <c r="K4">
        <f t="shared" si="3"/>
        <v>2000</v>
      </c>
      <c r="L4">
        <f t="shared" si="3"/>
        <v>2500</v>
      </c>
      <c r="M4">
        <f t="shared" si="3"/>
        <v>5000</v>
      </c>
      <c r="N4">
        <v>100</v>
      </c>
    </row>
    <row r="5" spans="1:14" x14ac:dyDescent="0.15">
      <c r="A5">
        <v>2</v>
      </c>
      <c r="B5" t="s">
        <v>26</v>
      </c>
      <c r="C5">
        <v>500000000</v>
      </c>
      <c r="D5">
        <v>1000</v>
      </c>
      <c r="E5">
        <f t="shared" si="0"/>
        <v>2000</v>
      </c>
      <c r="F5">
        <f t="shared" si="1"/>
        <v>3000</v>
      </c>
      <c r="G5">
        <f t="shared" si="2"/>
        <v>4000</v>
      </c>
      <c r="H5">
        <f t="shared" ref="H5:M5" si="4">D5*5</f>
        <v>5000</v>
      </c>
      <c r="I5">
        <f t="shared" si="4"/>
        <v>10000</v>
      </c>
      <c r="J5">
        <f t="shared" si="4"/>
        <v>15000</v>
      </c>
      <c r="K5">
        <f t="shared" si="4"/>
        <v>20000</v>
      </c>
      <c r="L5">
        <f t="shared" si="4"/>
        <v>25000</v>
      </c>
      <c r="M5">
        <f t="shared" si="4"/>
        <v>50000</v>
      </c>
      <c r="N5">
        <v>100</v>
      </c>
    </row>
    <row r="6" spans="1:14" x14ac:dyDescent="0.15">
      <c r="A6">
        <v>3</v>
      </c>
      <c r="B6" t="s">
        <v>27</v>
      </c>
      <c r="C6">
        <v>5000000000</v>
      </c>
      <c r="D6">
        <v>10000</v>
      </c>
      <c r="E6">
        <f t="shared" si="0"/>
        <v>20000</v>
      </c>
      <c r="F6">
        <f t="shared" si="1"/>
        <v>30000</v>
      </c>
      <c r="G6">
        <f t="shared" si="2"/>
        <v>40000</v>
      </c>
      <c r="H6">
        <f t="shared" ref="H6:M6" si="5">D6*5</f>
        <v>50000</v>
      </c>
      <c r="I6">
        <f t="shared" si="5"/>
        <v>100000</v>
      </c>
      <c r="J6">
        <f t="shared" si="5"/>
        <v>150000</v>
      </c>
      <c r="K6">
        <f t="shared" si="5"/>
        <v>200000</v>
      </c>
      <c r="L6">
        <f t="shared" si="5"/>
        <v>250000</v>
      </c>
      <c r="M6">
        <f t="shared" si="5"/>
        <v>500000</v>
      </c>
      <c r="N6">
        <v>100</v>
      </c>
    </row>
  </sheetData>
  <phoneticPr fontId="4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DollarExpressWareHouseConfig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2025-06-12T02:28:00Z</dcterms:created>
  <dcterms:modified xsi:type="dcterms:W3CDTF">2025-06-21T03:54:18Z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A55C3059D96C4EC588F6B36B2EFBAB88_11</vt:lpwstr>
  </property>
  <property fmtid="{D5CDD505-2E9C-101B-9397-08002B2CF9AE}" pid="3" name="KSOProductBuildVer">
    <vt:lpwstr>2052-12.1.0.21541</vt:lpwstr>
  </property>
</Properties>
</file>