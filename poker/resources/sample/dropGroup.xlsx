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不做调用，仅区分ID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每一行必出一个物品
相同ID表示一个组
一个组ID进行掉落时，需要把组内掉落包都走一遍</t>
        </r>
      </text>
    </comment>
  </commentList>
</comments>
</file>

<file path=xl/sharedStrings.xml><?xml version="1.0" encoding="utf-8"?>
<sst xmlns="http://schemas.openxmlformats.org/spreadsheetml/2006/main" count="179" uniqueCount="66">
  <si>
    <t>ID</t>
  </si>
  <si>
    <t>掉落主ID</t>
  </si>
  <si>
    <t>序列</t>
  </si>
  <si>
    <t>子包组</t>
  </si>
  <si>
    <t>每天掉落次数</t>
  </si>
  <si>
    <t>子包1</t>
  </si>
  <si>
    <t>权重</t>
  </si>
  <si>
    <t>子包ID</t>
  </si>
  <si>
    <t>子包名</t>
  </si>
  <si>
    <t>子包2</t>
  </si>
  <si>
    <t>int</t>
  </si>
  <si>
    <t>list&lt;list&lt;int&gt;{_}&gt;{|}</t>
  </si>
  <si>
    <t>id</t>
  </si>
  <si>
    <t>trunkID</t>
  </si>
  <si>
    <t>dropDetailedID</t>
  </si>
  <si>
    <t>dropCount</t>
  </si>
  <si>
    <t>随机金币礼包</t>
  </si>
  <si>
    <t>900_20000001|100_20000000</t>
  </si>
  <si>
    <t>100_20000000</t>
  </si>
  <si>
    <t>1金币</t>
  </si>
  <si>
    <t>900_20000001</t>
  </si>
  <si>
    <t>5000_10000随机金币</t>
  </si>
  <si>
    <t>900_20000002|100_20000000</t>
  </si>
  <si>
    <t>900_20000002</t>
  </si>
  <si>
    <t>10000_50000随机金币</t>
  </si>
  <si>
    <t>900_20000003|100_20000000</t>
  </si>
  <si>
    <t>900_20000003</t>
  </si>
  <si>
    <t>50000_100000随机金币</t>
  </si>
  <si>
    <t>900_20000004|100_20000000</t>
  </si>
  <si>
    <t>900_20000004</t>
  </si>
  <si>
    <t>100000_500000随机金币</t>
  </si>
  <si>
    <t>随机金币礼包2</t>
  </si>
  <si>
    <t>500_20000004|500_0</t>
  </si>
  <si>
    <t>500_0</t>
  </si>
  <si>
    <t>无</t>
  </si>
  <si>
    <t>500_20000004</t>
  </si>
  <si>
    <t>拼图碎片包1</t>
  </si>
  <si>
    <t>1000_20000008</t>
  </si>
  <si>
    <t>拼图碎片包2</t>
  </si>
  <si>
    <t>1000_20000009</t>
  </si>
  <si>
    <t>拼图碎片包3</t>
  </si>
  <si>
    <t>1000_20000010</t>
  </si>
  <si>
    <t>拼图碎片包4</t>
  </si>
  <si>
    <t>1000_20000011</t>
  </si>
  <si>
    <t>拼图碎片包5</t>
  </si>
  <si>
    <t>1000_20000012</t>
  </si>
  <si>
    <t>500_20000021|500_0</t>
  </si>
  <si>
    <t>赌场材料-40级</t>
  </si>
  <si>
    <t>赌场材料-50级</t>
  </si>
  <si>
    <t>赌场材料-60级</t>
  </si>
  <si>
    <t>赌场材料-70级</t>
  </si>
  <si>
    <t>赌场材料-80级</t>
  </si>
  <si>
    <t>赌场材料-90级</t>
  </si>
  <si>
    <t>赌场材料-100级</t>
  </si>
  <si>
    <t>赌场材料-110级</t>
  </si>
  <si>
    <t>赌场材料-120级</t>
  </si>
  <si>
    <t>赌场材料-130级</t>
  </si>
  <si>
    <t>赌场材料-140级</t>
  </si>
  <si>
    <t>赌场材料-150级</t>
  </si>
  <si>
    <t>赌场工具（普通）</t>
  </si>
  <si>
    <t>1星材料包-35</t>
  </si>
  <si>
    <t>1星材料包-40</t>
  </si>
  <si>
    <t>赌场工具（精良）</t>
  </si>
  <si>
    <t>赌场工具（优秀）</t>
  </si>
  <si>
    <t>赌场工具（绝佳）</t>
  </si>
  <si>
    <t>赌场工具（传奇）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</si>
</sst>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0" xfId="0" applyFont="1" applyFill="1">
      <alignment vertical="center"/>
    </xf>
    <xf numFmtId="0" fontId="0" fillId="5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tabSelected="1" zoomScale="85" zoomScaleNormal="85" workbookViewId="0">
      <pane xSplit="3" ySplit="4" topLeftCell="D32" activePane="bottomRight" state="frozen"/>
      <selection/>
      <selection pane="topRight"/>
      <selection pane="bottomLeft"/>
      <selection pane="bottomRight" activeCell="E50" sqref="E50"/>
    </sheetView>
  </sheetViews>
  <sheetFormatPr defaultColWidth="9" defaultRowHeight="13.5"/>
  <cols>
    <col min="1" max="1" width="10.375"/>
    <col min="2" max="2" width="17.25" customWidth="1"/>
    <col min="3" max="3" width="9.375" customWidth="1"/>
    <col min="4" max="4" width="12.875" customWidth="1"/>
    <col min="5" max="5" width="28.25" customWidth="1"/>
    <col min="6" max="6" width="12.875" customWidth="1"/>
    <col min="7" max="7" width="13.75" customWidth="1"/>
    <col min="9" max="9" width="9.375"/>
    <col min="10" max="10" width="19.875" customWidth="1"/>
    <col min="11" max="11" width="13.75" customWidth="1"/>
    <col min="13" max="13" width="9.375"/>
    <col min="14" max="14" width="23.25" customWidth="1"/>
  </cols>
  <sheetData>
    <row r="1" spans="1:14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6</v>
      </c>
      <c r="M1" t="s">
        <v>7</v>
      </c>
      <c r="N1" t="s">
        <v>8</v>
      </c>
    </row>
    <row r="2" spans="1:14">
      <c r="A2" t="s">
        <v>10</v>
      </c>
      <c r="C2" t="s">
        <v>10</v>
      </c>
      <c r="E2" t="s">
        <v>11</v>
      </c>
      <c r="F2" t="s">
        <v>10</v>
      </c>
    </row>
    <row r="3" spans="1:14">
      <c r="A3" t="s">
        <v>12</v>
      </c>
      <c r="C3" t="s">
        <v>13</v>
      </c>
      <c r="E3" t="s">
        <v>14</v>
      </c>
      <c r="F3" t="s">
        <v>15</v>
      </c>
    </row>
    <row r="5" spans="1:14">
      <c r="A5">
        <v>10000101</v>
      </c>
      <c r="B5" t="s">
        <v>16</v>
      </c>
      <c r="C5">
        <v>100001</v>
      </c>
      <c r="D5">
        <v>1</v>
      </c>
      <c r="E5" t="s">
        <v>17</v>
      </c>
      <c r="F5">
        <v>100</v>
      </c>
      <c r="G5" t="s">
        <v>18</v>
      </c>
      <c r="H5">
        <v>100</v>
      </c>
      <c r="I5">
        <v>20000000</v>
      </c>
      <c r="J5" t="s">
        <v>19</v>
      </c>
      <c r="K5" t="s">
        <v>20</v>
      </c>
      <c r="L5">
        <v>900</v>
      </c>
      <c r="M5">
        <v>20000001</v>
      </c>
      <c r="N5" t="s">
        <v>21</v>
      </c>
    </row>
    <row r="6" spans="1:14">
      <c r="A6">
        <v>10000102</v>
      </c>
      <c r="B6" t="s">
        <v>16</v>
      </c>
      <c r="C6">
        <v>100001</v>
      </c>
      <c r="D6">
        <v>2</v>
      </c>
      <c r="E6" t="s">
        <v>22</v>
      </c>
      <c r="F6">
        <v>100</v>
      </c>
      <c r="G6" t="s">
        <v>18</v>
      </c>
      <c r="H6">
        <v>100</v>
      </c>
      <c r="I6">
        <v>20000000</v>
      </c>
      <c r="J6" t="s">
        <v>19</v>
      </c>
      <c r="K6" t="s">
        <v>23</v>
      </c>
      <c r="L6">
        <v>900</v>
      </c>
      <c r="M6">
        <v>20000002</v>
      </c>
      <c r="N6" t="s">
        <v>24</v>
      </c>
    </row>
    <row r="7" spans="1:14">
      <c r="A7">
        <v>10000103</v>
      </c>
      <c r="B7" t="s">
        <v>16</v>
      </c>
      <c r="C7">
        <v>100001</v>
      </c>
      <c r="D7">
        <v>3</v>
      </c>
      <c r="E7" t="s">
        <v>25</v>
      </c>
      <c r="F7">
        <v>100</v>
      </c>
      <c r="G7" t="s">
        <v>18</v>
      </c>
      <c r="H7">
        <v>100</v>
      </c>
      <c r="I7">
        <v>20000000</v>
      </c>
      <c r="J7" t="s">
        <v>19</v>
      </c>
      <c r="K7" t="s">
        <v>26</v>
      </c>
      <c r="L7">
        <v>900</v>
      </c>
      <c r="M7">
        <v>20000003</v>
      </c>
      <c r="N7" t="s">
        <v>27</v>
      </c>
    </row>
    <row r="8" spans="1:14">
      <c r="A8">
        <v>10000104</v>
      </c>
      <c r="B8" t="s">
        <v>16</v>
      </c>
      <c r="C8">
        <v>100001</v>
      </c>
      <c r="D8">
        <v>4</v>
      </c>
      <c r="E8" t="s">
        <v>28</v>
      </c>
      <c r="F8">
        <v>100</v>
      </c>
      <c r="G8" t="s">
        <v>18</v>
      </c>
      <c r="H8">
        <v>100</v>
      </c>
      <c r="I8">
        <v>20000000</v>
      </c>
      <c r="J8" t="s">
        <v>19</v>
      </c>
      <c r="K8" t="s">
        <v>29</v>
      </c>
      <c r="L8">
        <v>900</v>
      </c>
      <c r="M8">
        <v>20000004</v>
      </c>
      <c r="N8" t="s">
        <v>30</v>
      </c>
    </row>
    <row r="9" spans="1:14">
      <c r="A9">
        <v>10000201</v>
      </c>
      <c r="B9" t="s">
        <v>31</v>
      </c>
      <c r="C9">
        <v>100002</v>
      </c>
      <c r="D9">
        <v>1</v>
      </c>
      <c r="E9" t="s">
        <v>32</v>
      </c>
      <c r="F9">
        <v>100</v>
      </c>
      <c r="G9" t="s">
        <v>33</v>
      </c>
      <c r="H9">
        <v>500</v>
      </c>
      <c r="I9">
        <v>0</v>
      </c>
      <c r="J9" t="s">
        <v>34</v>
      </c>
      <c r="K9" t="s">
        <v>35</v>
      </c>
      <c r="L9">
        <v>500</v>
      </c>
      <c r="M9">
        <v>20000004</v>
      </c>
      <c r="N9" t="s">
        <v>30</v>
      </c>
    </row>
    <row r="10" spans="1:14">
      <c r="A10">
        <v>10000601</v>
      </c>
      <c r="B10" t="s">
        <v>36</v>
      </c>
      <c r="C10">
        <v>100006</v>
      </c>
      <c r="D10">
        <v>1</v>
      </c>
      <c r="E10" t="s">
        <v>37</v>
      </c>
      <c r="F10">
        <v>100</v>
      </c>
    </row>
    <row r="11" spans="1:14">
      <c r="A11">
        <v>10000602</v>
      </c>
      <c r="B11" t="s">
        <v>36</v>
      </c>
      <c r="C11">
        <v>100006</v>
      </c>
      <c r="D11">
        <v>2</v>
      </c>
      <c r="E11" t="s">
        <v>37</v>
      </c>
      <c r="F11">
        <v>100</v>
      </c>
    </row>
    <row r="12" spans="1:14">
      <c r="A12">
        <v>10000603</v>
      </c>
      <c r="B12" t="s">
        <v>36</v>
      </c>
      <c r="C12">
        <v>100006</v>
      </c>
      <c r="D12">
        <v>3</v>
      </c>
      <c r="E12" t="s">
        <v>37</v>
      </c>
      <c r="F12">
        <v>100</v>
      </c>
    </row>
    <row r="13" spans="1:14">
      <c r="A13">
        <v>10000611</v>
      </c>
      <c r="B13" t="s">
        <v>38</v>
      </c>
      <c r="C13">
        <v>100007</v>
      </c>
      <c r="D13">
        <v>1</v>
      </c>
      <c r="E13" t="s">
        <v>39</v>
      </c>
      <c r="F13">
        <v>100</v>
      </c>
    </row>
    <row r="14" spans="1:14">
      <c r="A14">
        <v>10000612</v>
      </c>
      <c r="B14" t="s">
        <v>38</v>
      </c>
      <c r="C14">
        <v>100007</v>
      </c>
      <c r="D14">
        <v>2</v>
      </c>
      <c r="E14" t="s">
        <v>39</v>
      </c>
      <c r="F14">
        <v>100</v>
      </c>
    </row>
    <row r="15" spans="1:14">
      <c r="A15">
        <v>10000613</v>
      </c>
      <c r="B15" t="s">
        <v>38</v>
      </c>
      <c r="C15">
        <v>100007</v>
      </c>
      <c r="D15">
        <v>3</v>
      </c>
      <c r="E15" t="s">
        <v>39</v>
      </c>
      <c r="F15">
        <v>100</v>
      </c>
    </row>
    <row r="16" spans="1:14">
      <c r="A16">
        <v>10000621</v>
      </c>
      <c r="B16" t="s">
        <v>40</v>
      </c>
      <c r="C16">
        <v>100008</v>
      </c>
      <c r="D16">
        <v>1</v>
      </c>
      <c r="E16" t="s">
        <v>41</v>
      </c>
      <c r="F16">
        <v>100</v>
      </c>
    </row>
    <row r="17" spans="1:14">
      <c r="A17">
        <v>10000622</v>
      </c>
      <c r="B17" t="s">
        <v>40</v>
      </c>
      <c r="C17">
        <v>100008</v>
      </c>
      <c r="D17">
        <v>2</v>
      </c>
      <c r="E17" t="s">
        <v>41</v>
      </c>
      <c r="F17">
        <v>100</v>
      </c>
    </row>
    <row r="18" spans="1:14">
      <c r="A18">
        <v>10000623</v>
      </c>
      <c r="B18" t="s">
        <v>40</v>
      </c>
      <c r="C18">
        <v>100008</v>
      </c>
      <c r="D18">
        <v>3</v>
      </c>
      <c r="E18" t="s">
        <v>41</v>
      </c>
      <c r="F18">
        <v>100</v>
      </c>
    </row>
    <row r="19" customFormat="1" spans="1:14">
      <c r="A19">
        <v>10000631</v>
      </c>
      <c r="B19" t="s">
        <v>42</v>
      </c>
      <c r="C19">
        <v>100009</v>
      </c>
      <c r="D19">
        <v>1</v>
      </c>
      <c r="E19" t="s">
        <v>43</v>
      </c>
      <c r="F19">
        <v>100</v>
      </c>
    </row>
    <row r="20" customFormat="1" spans="1:14">
      <c r="A20">
        <v>10000632</v>
      </c>
      <c r="B20" t="s">
        <v>42</v>
      </c>
      <c r="C20">
        <v>100009</v>
      </c>
      <c r="D20">
        <v>2</v>
      </c>
      <c r="E20" t="s">
        <v>43</v>
      </c>
      <c r="F20">
        <v>100</v>
      </c>
    </row>
    <row r="21" customFormat="1" spans="1:14">
      <c r="A21">
        <v>10000633</v>
      </c>
      <c r="B21" t="s">
        <v>42</v>
      </c>
      <c r="C21">
        <v>100009</v>
      </c>
      <c r="D21">
        <v>3</v>
      </c>
      <c r="E21" t="s">
        <v>43</v>
      </c>
      <c r="F21">
        <v>100</v>
      </c>
    </row>
    <row r="22" customFormat="1" spans="1:14">
      <c r="A22">
        <v>10000641</v>
      </c>
      <c r="B22" t="s">
        <v>44</v>
      </c>
      <c r="C22">
        <v>100010</v>
      </c>
      <c r="D22">
        <v>1</v>
      </c>
      <c r="E22" t="s">
        <v>45</v>
      </c>
      <c r="F22">
        <v>100</v>
      </c>
    </row>
    <row r="23" customFormat="1" spans="1:14">
      <c r="A23">
        <v>10000642</v>
      </c>
      <c r="B23" t="s">
        <v>44</v>
      </c>
      <c r="C23">
        <v>100010</v>
      </c>
      <c r="D23">
        <v>2</v>
      </c>
      <c r="E23" t="s">
        <v>45</v>
      </c>
      <c r="F23">
        <v>100</v>
      </c>
    </row>
    <row r="24" customFormat="1" spans="1:14">
      <c r="A24">
        <v>10000643</v>
      </c>
      <c r="B24" t="s">
        <v>44</v>
      </c>
      <c r="C24">
        <v>100010</v>
      </c>
      <c r="D24">
        <v>3</v>
      </c>
      <c r="E24" t="s">
        <v>45</v>
      </c>
      <c r="F24">
        <v>100</v>
      </c>
    </row>
    <row r="25" spans="1:14">
      <c r="A25">
        <v>10000651</v>
      </c>
      <c r="B25" t="s">
        <v>31</v>
      </c>
      <c r="C25">
        <v>100011</v>
      </c>
      <c r="D25">
        <v>1</v>
      </c>
      <c r="E25" t="s">
        <v>46</v>
      </c>
      <c r="F25">
        <v>100</v>
      </c>
    </row>
    <row r="26" spans="1:14">
      <c r="A26" s="1">
        <v>10010040</v>
      </c>
      <c r="B26" s="1" t="s">
        <v>47</v>
      </c>
      <c r="C26">
        <v>10040</v>
      </c>
      <c r="E26" t="str">
        <f>_xlfn.TEXTJOIN("|",TRUE,G26,K26)</f>
        <v>7250_0|2750_20010040</v>
      </c>
      <c r="F26">
        <v>99999</v>
      </c>
      <c r="G26" t="str">
        <f>_xlfn.TEXTJOIN("_",TRUE,H26:I26)</f>
        <v>7250_0</v>
      </c>
      <c r="H26">
        <v>7250</v>
      </c>
      <c r="I26">
        <v>0</v>
      </c>
      <c r="J26" t="s">
        <v>34</v>
      </c>
      <c r="K26" t="str">
        <f>_xlfn.TEXTJOIN("_",TRUE,L26:M26)</f>
        <v>2750_20010040</v>
      </c>
      <c r="L26">
        <f>10000-H26</f>
        <v>2750</v>
      </c>
      <c r="M26">
        <v>20010040</v>
      </c>
      <c r="N26" t="s">
        <v>47</v>
      </c>
    </row>
    <row r="27" spans="1:14">
      <c r="A27" s="1">
        <v>10010050</v>
      </c>
      <c r="B27" s="1" t="s">
        <v>48</v>
      </c>
      <c r="C27">
        <v>10050</v>
      </c>
      <c r="E27" t="str">
        <f t="shared" ref="E27:E43" si="0">_xlfn.TEXTJOIN("|",TRUE,G27,K27)</f>
        <v>7226_0|2774_20010050</v>
      </c>
      <c r="F27">
        <v>99999</v>
      </c>
      <c r="G27" t="str">
        <f t="shared" ref="G27:G49" si="1">_xlfn.TEXTJOIN("_",TRUE,H27:I27)</f>
        <v>7226_0</v>
      </c>
      <c r="H27">
        <v>7226</v>
      </c>
      <c r="I27">
        <v>0</v>
      </c>
      <c r="J27" t="s">
        <v>34</v>
      </c>
      <c r="K27" t="str">
        <f t="shared" ref="K27:K37" si="2">_xlfn.TEXTJOIN("_",TRUE,L27:M27)</f>
        <v>2774_20010050</v>
      </c>
      <c r="L27">
        <f t="shared" ref="L27:L37" si="3">10000-H27</f>
        <v>2774</v>
      </c>
      <c r="M27">
        <v>20010050</v>
      </c>
      <c r="N27" t="s">
        <v>48</v>
      </c>
    </row>
    <row r="28" spans="1:14">
      <c r="A28" s="1">
        <v>10010060</v>
      </c>
      <c r="B28" s="1" t="s">
        <v>49</v>
      </c>
      <c r="C28">
        <v>10060</v>
      </c>
      <c r="E28" t="str">
        <f t="shared" si="0"/>
        <v>6588_0|3412_20010060</v>
      </c>
      <c r="F28">
        <v>99999</v>
      </c>
      <c r="G28" t="str">
        <f t="shared" si="1"/>
        <v>6588_0</v>
      </c>
      <c r="H28">
        <v>6588</v>
      </c>
      <c r="I28">
        <v>0</v>
      </c>
      <c r="J28" t="s">
        <v>34</v>
      </c>
      <c r="K28" t="str">
        <f t="shared" si="2"/>
        <v>3412_20010060</v>
      </c>
      <c r="L28">
        <f t="shared" si="3"/>
        <v>3412</v>
      </c>
      <c r="M28">
        <v>20010060</v>
      </c>
      <c r="N28" t="s">
        <v>49</v>
      </c>
    </row>
    <row r="29" spans="1:14">
      <c r="A29" s="1">
        <v>10010070</v>
      </c>
      <c r="B29" s="1" t="s">
        <v>50</v>
      </c>
      <c r="C29">
        <v>10070</v>
      </c>
      <c r="E29" t="str">
        <f t="shared" si="0"/>
        <v>7788_0|2212_20010070</v>
      </c>
      <c r="F29">
        <v>99999</v>
      </c>
      <c r="G29" t="str">
        <f t="shared" si="1"/>
        <v>7788_0</v>
      </c>
      <c r="H29">
        <v>7788</v>
      </c>
      <c r="I29">
        <v>0</v>
      </c>
      <c r="J29" t="s">
        <v>34</v>
      </c>
      <c r="K29" t="str">
        <f t="shared" si="2"/>
        <v>2212_20010070</v>
      </c>
      <c r="L29">
        <f t="shared" si="3"/>
        <v>2212</v>
      </c>
      <c r="M29">
        <v>20010070</v>
      </c>
      <c r="N29" t="s">
        <v>50</v>
      </c>
    </row>
    <row r="30" spans="1:14">
      <c r="A30" s="1">
        <v>10010080</v>
      </c>
      <c r="B30" s="1" t="s">
        <v>51</v>
      </c>
      <c r="C30">
        <v>10080</v>
      </c>
      <c r="E30" t="str">
        <f t="shared" si="0"/>
        <v>6951_0|3049_20010080</v>
      </c>
      <c r="F30">
        <v>99999</v>
      </c>
      <c r="G30" t="str">
        <f t="shared" si="1"/>
        <v>6951_0</v>
      </c>
      <c r="H30">
        <v>6951</v>
      </c>
      <c r="I30">
        <v>0</v>
      </c>
      <c r="J30" t="s">
        <v>34</v>
      </c>
      <c r="K30" t="str">
        <f t="shared" si="2"/>
        <v>3049_20010080</v>
      </c>
      <c r="L30">
        <f t="shared" si="3"/>
        <v>3049</v>
      </c>
      <c r="M30">
        <v>20010080</v>
      </c>
      <c r="N30" t="s">
        <v>51</v>
      </c>
    </row>
    <row r="31" spans="1:14">
      <c r="A31" s="1">
        <v>10010090</v>
      </c>
      <c r="B31" s="1" t="s">
        <v>52</v>
      </c>
      <c r="C31">
        <v>10090</v>
      </c>
      <c r="E31" t="str">
        <f t="shared" si="0"/>
        <v>7861_0|2139_20010090</v>
      </c>
      <c r="F31">
        <v>99999</v>
      </c>
      <c r="G31" t="str">
        <f t="shared" si="1"/>
        <v>7861_0</v>
      </c>
      <c r="H31">
        <v>7861</v>
      </c>
      <c r="I31">
        <v>0</v>
      </c>
      <c r="J31" t="s">
        <v>34</v>
      </c>
      <c r="K31" t="str">
        <f t="shared" si="2"/>
        <v>2139_20010090</v>
      </c>
      <c r="L31">
        <f t="shared" si="3"/>
        <v>2139</v>
      </c>
      <c r="M31">
        <v>20010090</v>
      </c>
      <c r="N31" t="s">
        <v>52</v>
      </c>
    </row>
    <row r="32" spans="1:14">
      <c r="A32" s="1">
        <v>10010100</v>
      </c>
      <c r="B32" s="1" t="s">
        <v>53</v>
      </c>
      <c r="C32">
        <v>10100</v>
      </c>
      <c r="E32" t="str">
        <f t="shared" si="0"/>
        <v>7826_0|2174_20010100</v>
      </c>
      <c r="F32">
        <v>99999</v>
      </c>
      <c r="G32" t="str">
        <f t="shared" si="1"/>
        <v>7826_0</v>
      </c>
      <c r="H32">
        <v>7826</v>
      </c>
      <c r="I32">
        <v>0</v>
      </c>
      <c r="J32" t="s">
        <v>34</v>
      </c>
      <c r="K32" t="str">
        <f t="shared" si="2"/>
        <v>2174_20010100</v>
      </c>
      <c r="L32">
        <f t="shared" si="3"/>
        <v>2174</v>
      </c>
      <c r="M32">
        <v>20010100</v>
      </c>
      <c r="N32" t="s">
        <v>53</v>
      </c>
    </row>
    <row r="33" spans="1:14">
      <c r="A33" s="1">
        <v>10010110</v>
      </c>
      <c r="B33" s="1" t="s">
        <v>54</v>
      </c>
      <c r="C33">
        <v>10110</v>
      </c>
      <c r="E33" t="str">
        <f t="shared" si="0"/>
        <v>7858_0|2142_20010110</v>
      </c>
      <c r="F33">
        <v>99999</v>
      </c>
      <c r="G33" t="str">
        <f t="shared" si="1"/>
        <v>7858_0</v>
      </c>
      <c r="H33">
        <v>7858</v>
      </c>
      <c r="I33">
        <v>0</v>
      </c>
      <c r="J33" t="s">
        <v>34</v>
      </c>
      <c r="K33" t="str">
        <f t="shared" si="2"/>
        <v>2142_20010110</v>
      </c>
      <c r="L33">
        <f t="shared" si="3"/>
        <v>2142</v>
      </c>
      <c r="M33">
        <v>20010110</v>
      </c>
      <c r="N33" t="s">
        <v>54</v>
      </c>
    </row>
    <row r="34" spans="1:14">
      <c r="A34" s="1">
        <v>10010120</v>
      </c>
      <c r="B34" s="1" t="s">
        <v>55</v>
      </c>
      <c r="C34">
        <v>10120</v>
      </c>
      <c r="E34" t="str">
        <f t="shared" si="0"/>
        <v>7779_0|2221_20010120</v>
      </c>
      <c r="F34">
        <v>99999</v>
      </c>
      <c r="G34" t="str">
        <f t="shared" si="1"/>
        <v>7779_0</v>
      </c>
      <c r="H34">
        <v>7779</v>
      </c>
      <c r="I34">
        <v>0</v>
      </c>
      <c r="J34" t="s">
        <v>34</v>
      </c>
      <c r="K34" t="str">
        <f t="shared" si="2"/>
        <v>2221_20010120</v>
      </c>
      <c r="L34">
        <f t="shared" si="3"/>
        <v>2221</v>
      </c>
      <c r="M34">
        <v>20010120</v>
      </c>
      <c r="N34" t="s">
        <v>55</v>
      </c>
    </row>
    <row r="35" spans="1:14">
      <c r="A35" s="1">
        <v>10010130</v>
      </c>
      <c r="B35" s="1" t="s">
        <v>56</v>
      </c>
      <c r="C35">
        <v>10130</v>
      </c>
      <c r="E35" t="str">
        <f t="shared" si="0"/>
        <v>7828_0|2172_20010130</v>
      </c>
      <c r="F35">
        <v>99999</v>
      </c>
      <c r="G35" t="str">
        <f t="shared" si="1"/>
        <v>7828_0</v>
      </c>
      <c r="H35">
        <v>7828</v>
      </c>
      <c r="I35">
        <v>0</v>
      </c>
      <c r="J35" t="s">
        <v>34</v>
      </c>
      <c r="K35" t="str">
        <f t="shared" si="2"/>
        <v>2172_20010130</v>
      </c>
      <c r="L35">
        <f t="shared" si="3"/>
        <v>2172</v>
      </c>
      <c r="M35">
        <v>20010130</v>
      </c>
      <c r="N35" t="s">
        <v>56</v>
      </c>
    </row>
    <row r="36" spans="1:14">
      <c r="A36" s="1">
        <v>10010140</v>
      </c>
      <c r="B36" s="1" t="s">
        <v>57</v>
      </c>
      <c r="C36">
        <v>10140</v>
      </c>
      <c r="E36" t="str">
        <f t="shared" si="0"/>
        <v>8677_0|1323_20010140</v>
      </c>
      <c r="F36">
        <v>99999</v>
      </c>
      <c r="G36" t="str">
        <f t="shared" si="1"/>
        <v>8677_0</v>
      </c>
      <c r="H36">
        <v>8677</v>
      </c>
      <c r="I36">
        <v>0</v>
      </c>
      <c r="J36" t="s">
        <v>34</v>
      </c>
      <c r="K36" t="str">
        <f t="shared" si="2"/>
        <v>1323_20010140</v>
      </c>
      <c r="L36">
        <f t="shared" si="3"/>
        <v>1323</v>
      </c>
      <c r="M36">
        <v>20010140</v>
      </c>
      <c r="N36" t="s">
        <v>57</v>
      </c>
    </row>
    <row r="37" spans="1:14">
      <c r="A37" s="1">
        <v>10010150</v>
      </c>
      <c r="B37" s="1" t="s">
        <v>58</v>
      </c>
      <c r="C37">
        <v>10150</v>
      </c>
      <c r="E37" t="str">
        <f t="shared" si="0"/>
        <v>8981_0|1019_20010150</v>
      </c>
      <c r="F37">
        <v>99999</v>
      </c>
      <c r="G37" t="str">
        <f t="shared" si="1"/>
        <v>8981_0</v>
      </c>
      <c r="H37">
        <v>8981</v>
      </c>
      <c r="I37">
        <v>0</v>
      </c>
      <c r="J37" t="s">
        <v>34</v>
      </c>
      <c r="K37" t="str">
        <f t="shared" si="2"/>
        <v>1019_20010150</v>
      </c>
      <c r="L37">
        <f t="shared" si="3"/>
        <v>1019</v>
      </c>
      <c r="M37">
        <v>20010150</v>
      </c>
      <c r="N37" t="s">
        <v>58</v>
      </c>
    </row>
    <row r="38" customFormat="1" spans="1:14">
      <c r="A38">
        <f t="shared" ref="A38:A43" si="4">C38*100+D38</f>
        <v>101030101</v>
      </c>
      <c r="B38" s="2" t="s">
        <v>59</v>
      </c>
      <c r="C38" s="1">
        <v>1010301</v>
      </c>
      <c r="D38">
        <v>1</v>
      </c>
      <c r="E38" t="str">
        <f t="shared" si="0"/>
        <v>10000_20020020</v>
      </c>
      <c r="F38">
        <v>99999</v>
      </c>
      <c r="G38" t="str">
        <f t="shared" si="1"/>
        <v>10000_20020020</v>
      </c>
      <c r="H38">
        <v>10000</v>
      </c>
      <c r="I38">
        <v>20020020</v>
      </c>
      <c r="J38" t="s">
        <v>60</v>
      </c>
    </row>
    <row r="39" customFormat="1" spans="1:14">
      <c r="A39">
        <f t="shared" si="4"/>
        <v>101030102</v>
      </c>
      <c r="B39" s="2" t="s">
        <v>59</v>
      </c>
      <c r="C39" s="1">
        <v>1010301</v>
      </c>
      <c r="D39">
        <v>2</v>
      </c>
      <c r="E39" t="str">
        <f t="shared" si="0"/>
        <v>10000_20020021</v>
      </c>
      <c r="F39">
        <v>99999</v>
      </c>
      <c r="G39" t="str">
        <f t="shared" si="1"/>
        <v>10000_20020021</v>
      </c>
      <c r="H39">
        <v>10000</v>
      </c>
      <c r="I39">
        <v>20020021</v>
      </c>
      <c r="J39" t="s">
        <v>61</v>
      </c>
    </row>
    <row r="40" customFormat="1" spans="1:14">
      <c r="A40">
        <f t="shared" si="4"/>
        <v>101030201</v>
      </c>
      <c r="B40" s="3" t="s">
        <v>62</v>
      </c>
      <c r="C40" s="4">
        <v>1010302</v>
      </c>
      <c r="D40">
        <v>1</v>
      </c>
      <c r="E40" t="str">
        <f t="shared" si="0"/>
        <v>10000_20020020</v>
      </c>
      <c r="F40">
        <v>99999</v>
      </c>
      <c r="G40" t="str">
        <f t="shared" si="1"/>
        <v>10000_20020020</v>
      </c>
      <c r="H40">
        <v>10000</v>
      </c>
      <c r="I40">
        <v>20020020</v>
      </c>
      <c r="J40" t="s">
        <v>60</v>
      </c>
    </row>
    <row r="41" customFormat="1" spans="1:14">
      <c r="A41">
        <f t="shared" si="4"/>
        <v>101030202</v>
      </c>
      <c r="B41" s="3" t="s">
        <v>62</v>
      </c>
      <c r="C41" s="4">
        <v>1010302</v>
      </c>
      <c r="D41">
        <v>2</v>
      </c>
      <c r="E41" t="str">
        <f t="shared" si="0"/>
        <v>10000_20020021</v>
      </c>
      <c r="F41">
        <v>99999</v>
      </c>
      <c r="G41" t="str">
        <f t="shared" si="1"/>
        <v>10000_20020021</v>
      </c>
      <c r="H41">
        <v>10000</v>
      </c>
      <c r="I41">
        <v>20020021</v>
      </c>
      <c r="J41" t="s">
        <v>61</v>
      </c>
    </row>
    <row r="42" customFormat="1" spans="1:14">
      <c r="A42">
        <f t="shared" si="4"/>
        <v>101030203</v>
      </c>
      <c r="B42" s="3" t="s">
        <v>62</v>
      </c>
      <c r="C42" s="4">
        <v>1010302</v>
      </c>
      <c r="D42">
        <v>3</v>
      </c>
      <c r="E42" t="str">
        <f t="shared" si="0"/>
        <v>10000_20020020</v>
      </c>
      <c r="F42">
        <v>99999</v>
      </c>
      <c r="G42" t="str">
        <f t="shared" si="1"/>
        <v>10000_20020020</v>
      </c>
      <c r="H42">
        <v>10000</v>
      </c>
      <c r="I42">
        <v>20020020</v>
      </c>
      <c r="J42" t="s">
        <v>60</v>
      </c>
    </row>
    <row r="43" customFormat="1" spans="1:14">
      <c r="A43">
        <f t="shared" si="4"/>
        <v>101030204</v>
      </c>
      <c r="B43" s="3" t="s">
        <v>62</v>
      </c>
      <c r="C43" s="4">
        <v>1010302</v>
      </c>
      <c r="D43">
        <v>4</v>
      </c>
      <c r="E43" t="str">
        <f t="shared" si="0"/>
        <v>10000_20020021</v>
      </c>
      <c r="F43">
        <v>99999</v>
      </c>
      <c r="G43" t="str">
        <f t="shared" si="1"/>
        <v>10000_20020021</v>
      </c>
      <c r="H43">
        <v>10000</v>
      </c>
      <c r="I43">
        <v>20020021</v>
      </c>
      <c r="J43" t="s">
        <v>61</v>
      </c>
    </row>
    <row r="44" customFormat="1" spans="1:14">
      <c r="A44">
        <f t="shared" ref="A44:A49" si="5">C44*100+D44</f>
        <v>101030301</v>
      </c>
      <c r="B44" s="5" t="s">
        <v>63</v>
      </c>
      <c r="C44" s="6">
        <v>1010303</v>
      </c>
      <c r="D44">
        <v>1</v>
      </c>
      <c r="E44" t="str">
        <f t="shared" ref="E44:E49" si="6">_xlfn.TEXTJOIN("|",TRUE,G44,K44)</f>
        <v>10000_20020020</v>
      </c>
      <c r="F44">
        <v>99999</v>
      </c>
      <c r="G44" t="str">
        <f t="shared" si="1"/>
        <v>10000_20020020</v>
      </c>
      <c r="H44">
        <v>10000</v>
      </c>
      <c r="I44">
        <v>20020020</v>
      </c>
      <c r="J44" t="s">
        <v>60</v>
      </c>
    </row>
    <row r="45" customFormat="1" spans="1:14">
      <c r="A45">
        <f t="shared" si="5"/>
        <v>101030302</v>
      </c>
      <c r="B45" s="5" t="s">
        <v>63</v>
      </c>
      <c r="C45" s="6">
        <v>1010303</v>
      </c>
      <c r="D45">
        <v>2</v>
      </c>
      <c r="E45" t="str">
        <f t="shared" si="6"/>
        <v>10000_20020021</v>
      </c>
      <c r="F45">
        <v>99999</v>
      </c>
      <c r="G45" t="str">
        <f t="shared" si="1"/>
        <v>10000_20020021</v>
      </c>
      <c r="H45">
        <v>10000</v>
      </c>
      <c r="I45">
        <v>20020021</v>
      </c>
      <c r="J45" t="s">
        <v>61</v>
      </c>
    </row>
    <row r="46" customFormat="1" spans="1:14">
      <c r="A46">
        <f t="shared" si="5"/>
        <v>101030303</v>
      </c>
      <c r="B46" s="5" t="s">
        <v>63</v>
      </c>
      <c r="C46" s="6">
        <v>1010303</v>
      </c>
      <c r="D46">
        <v>3</v>
      </c>
      <c r="E46" t="str">
        <f t="shared" si="6"/>
        <v>10000_20020020</v>
      </c>
      <c r="F46">
        <v>99999</v>
      </c>
      <c r="G46" t="str">
        <f t="shared" si="1"/>
        <v>10000_20020020</v>
      </c>
      <c r="H46">
        <v>10000</v>
      </c>
      <c r="I46">
        <v>20020020</v>
      </c>
      <c r="J46" t="s">
        <v>60</v>
      </c>
    </row>
    <row r="47" customFormat="1" spans="1:14">
      <c r="A47">
        <f t="shared" si="5"/>
        <v>101030304</v>
      </c>
      <c r="B47" s="5" t="s">
        <v>63</v>
      </c>
      <c r="C47" s="6">
        <v>1010303</v>
      </c>
      <c r="D47">
        <v>4</v>
      </c>
      <c r="E47" t="str">
        <f t="shared" si="6"/>
        <v>10000_20020021</v>
      </c>
      <c r="F47">
        <v>99999</v>
      </c>
      <c r="G47" t="str">
        <f t="shared" si="1"/>
        <v>10000_20020021</v>
      </c>
      <c r="H47">
        <v>10000</v>
      </c>
      <c r="I47">
        <v>20020021</v>
      </c>
      <c r="J47" t="s">
        <v>61</v>
      </c>
    </row>
    <row r="48" customFormat="1" spans="1:14">
      <c r="A48">
        <f t="shared" si="5"/>
        <v>101030305</v>
      </c>
      <c r="B48" s="5" t="s">
        <v>63</v>
      </c>
      <c r="C48" s="6">
        <v>1010303</v>
      </c>
      <c r="D48">
        <v>5</v>
      </c>
      <c r="E48" t="str">
        <f t="shared" si="6"/>
        <v>10000_20020020</v>
      </c>
      <c r="F48">
        <v>99999</v>
      </c>
      <c r="G48" t="str">
        <f t="shared" si="1"/>
        <v>10000_20020020</v>
      </c>
      <c r="H48">
        <v>10000</v>
      </c>
      <c r="I48">
        <v>20020020</v>
      </c>
      <c r="J48" t="s">
        <v>60</v>
      </c>
    </row>
    <row r="49" customFormat="1" spans="1:10">
      <c r="A49">
        <f t="shared" si="5"/>
        <v>101030306</v>
      </c>
      <c r="B49" s="5" t="s">
        <v>63</v>
      </c>
      <c r="C49" s="6">
        <v>1010303</v>
      </c>
      <c r="D49">
        <v>6</v>
      </c>
      <c r="E49" t="str">
        <f t="shared" si="6"/>
        <v>10000_20020021</v>
      </c>
      <c r="F49">
        <v>99999</v>
      </c>
      <c r="G49" t="str">
        <f t="shared" si="1"/>
        <v>10000_20020021</v>
      </c>
      <c r="H49">
        <v>10000</v>
      </c>
      <c r="I49">
        <v>20020021</v>
      </c>
      <c r="J49" t="s">
        <v>61</v>
      </c>
    </row>
    <row r="50" customFormat="1" spans="1:10">
      <c r="A50">
        <f>C50*100+D50</f>
        <v>101030401</v>
      </c>
      <c r="B50" s="7" t="s">
        <v>64</v>
      </c>
      <c r="C50" s="8">
        <v>1010304</v>
      </c>
      <c r="D50">
        <v>1</v>
      </c>
      <c r="E50" t="str">
        <f>_xlfn.TEXTJOIN("|",TRUE,G50,K50)</f>
        <v>10000_20020020</v>
      </c>
      <c r="F50">
        <v>99999</v>
      </c>
      <c r="G50" t="str">
        <f>_xlfn.TEXTJOIN("_",TRUE,H50:I50)</f>
        <v>10000_20020020</v>
      </c>
      <c r="H50">
        <v>10000</v>
      </c>
      <c r="I50">
        <v>20020020</v>
      </c>
      <c r="J50" t="s">
        <v>60</v>
      </c>
    </row>
    <row r="51" customFormat="1" spans="1:10">
      <c r="A51">
        <f>C51*100+D51</f>
        <v>101030402</v>
      </c>
      <c r="B51" s="7" t="s">
        <v>64</v>
      </c>
      <c r="C51" s="8">
        <v>1010304</v>
      </c>
      <c r="D51">
        <v>2</v>
      </c>
      <c r="E51" t="str">
        <f>_xlfn.TEXTJOIN("|",TRUE,G51,K51)</f>
        <v>10000_20020021</v>
      </c>
      <c r="F51">
        <v>99999</v>
      </c>
      <c r="G51" t="str">
        <f>_xlfn.TEXTJOIN("_",TRUE,H51:I51)</f>
        <v>10000_20020021</v>
      </c>
      <c r="H51">
        <v>10000</v>
      </c>
      <c r="I51">
        <v>20020021</v>
      </c>
      <c r="J51" t="s">
        <v>61</v>
      </c>
    </row>
    <row r="52" customFormat="1" spans="1:10">
      <c r="A52">
        <f t="shared" ref="A52:A57" si="7">C52*100+D52</f>
        <v>101030403</v>
      </c>
      <c r="B52" s="7" t="s">
        <v>64</v>
      </c>
      <c r="C52" s="8">
        <v>1010304</v>
      </c>
      <c r="D52">
        <v>3</v>
      </c>
      <c r="E52" t="str">
        <f t="shared" ref="E52:E57" si="8">_xlfn.TEXTJOIN("|",TRUE,G52,K52)</f>
        <v>10000_20020020</v>
      </c>
      <c r="F52">
        <v>99999</v>
      </c>
      <c r="G52" t="str">
        <f t="shared" ref="G52:G57" si="9">_xlfn.TEXTJOIN("_",TRUE,H52:I52)</f>
        <v>10000_20020020</v>
      </c>
      <c r="H52">
        <v>10000</v>
      </c>
      <c r="I52">
        <v>20020020</v>
      </c>
      <c r="J52" t="s">
        <v>60</v>
      </c>
    </row>
    <row r="53" customFormat="1" spans="1:10">
      <c r="A53">
        <f t="shared" ref="A53:A55" si="10">C53*100+D53</f>
        <v>101030404</v>
      </c>
      <c r="B53" s="7" t="s">
        <v>64</v>
      </c>
      <c r="C53" s="8">
        <v>1010304</v>
      </c>
      <c r="D53">
        <v>4</v>
      </c>
      <c r="E53" t="str">
        <f t="shared" ref="E53:E55" si="11">_xlfn.TEXTJOIN("|",TRUE,G53,K53)</f>
        <v>10000_20020021</v>
      </c>
      <c r="F53">
        <v>99999</v>
      </c>
      <c r="G53" t="str">
        <f t="shared" ref="G53:G55" si="12">_xlfn.TEXTJOIN("_",TRUE,H53:I53)</f>
        <v>10000_20020021</v>
      </c>
      <c r="H53">
        <v>10000</v>
      </c>
      <c r="I53">
        <v>20020021</v>
      </c>
      <c r="J53" t="s">
        <v>61</v>
      </c>
    </row>
    <row r="54" customFormat="1" spans="1:10">
      <c r="A54">
        <f t="shared" si="10"/>
        <v>101030405</v>
      </c>
      <c r="B54" s="7" t="s">
        <v>64</v>
      </c>
      <c r="C54" s="8">
        <v>1010304</v>
      </c>
      <c r="D54">
        <v>5</v>
      </c>
      <c r="E54" t="str">
        <f t="shared" si="11"/>
        <v>10000_20020020</v>
      </c>
      <c r="F54">
        <v>99999</v>
      </c>
      <c r="G54" t="str">
        <f t="shared" si="12"/>
        <v>10000_20020020</v>
      </c>
      <c r="H54">
        <v>10000</v>
      </c>
      <c r="I54">
        <v>20020020</v>
      </c>
      <c r="J54" t="s">
        <v>60</v>
      </c>
    </row>
    <row r="55" customFormat="1" spans="1:10">
      <c r="A55">
        <f t="shared" si="10"/>
        <v>101030406</v>
      </c>
      <c r="B55" s="7" t="s">
        <v>64</v>
      </c>
      <c r="C55" s="8">
        <v>1010304</v>
      </c>
      <c r="D55">
        <v>6</v>
      </c>
      <c r="E55" t="str">
        <f t="shared" si="11"/>
        <v>10000_20020021</v>
      </c>
      <c r="F55">
        <v>99999</v>
      </c>
      <c r="G55" t="str">
        <f t="shared" si="12"/>
        <v>10000_20020021</v>
      </c>
      <c r="H55">
        <v>10000</v>
      </c>
      <c r="I55">
        <v>20020021</v>
      </c>
      <c r="J55" t="s">
        <v>61</v>
      </c>
    </row>
    <row r="56" customFormat="1" spans="1:10">
      <c r="A56">
        <f t="shared" si="7"/>
        <v>101030407</v>
      </c>
      <c r="B56" s="7" t="s">
        <v>64</v>
      </c>
      <c r="C56" s="8">
        <v>1010304</v>
      </c>
      <c r="D56">
        <v>7</v>
      </c>
      <c r="E56" t="str">
        <f t="shared" si="8"/>
        <v>10000_20020020</v>
      </c>
      <c r="F56">
        <v>99999</v>
      </c>
      <c r="G56" t="str">
        <f t="shared" si="9"/>
        <v>10000_20020020</v>
      </c>
      <c r="H56">
        <v>10000</v>
      </c>
      <c r="I56">
        <v>20020020</v>
      </c>
      <c r="J56" t="s">
        <v>60</v>
      </c>
    </row>
    <row r="57" customFormat="1" spans="1:10">
      <c r="A57">
        <f t="shared" si="7"/>
        <v>101030408</v>
      </c>
      <c r="B57" s="7" t="s">
        <v>64</v>
      </c>
      <c r="C57" s="8">
        <v>1010304</v>
      </c>
      <c r="D57">
        <v>8</v>
      </c>
      <c r="E57" t="str">
        <f t="shared" si="8"/>
        <v>10000_20020021</v>
      </c>
      <c r="F57">
        <v>99999</v>
      </c>
      <c r="G57" t="str">
        <f t="shared" si="9"/>
        <v>10000_20020021</v>
      </c>
      <c r="H57">
        <v>10000</v>
      </c>
      <c r="I57">
        <v>20020021</v>
      </c>
      <c r="J57" t="s">
        <v>61</v>
      </c>
    </row>
    <row r="58" customFormat="1" spans="1:10">
      <c r="A58">
        <f>C58*100+D58</f>
        <v>101030501</v>
      </c>
      <c r="B58" s="3" t="s">
        <v>65</v>
      </c>
      <c r="C58" s="3">
        <v>1010305</v>
      </c>
      <c r="D58">
        <v>1</v>
      </c>
      <c r="E58" t="str">
        <f>_xlfn.TEXTJOIN("|",TRUE,G58,K58)</f>
        <v>10000_20020020</v>
      </c>
      <c r="F58">
        <v>99999</v>
      </c>
      <c r="G58" t="str">
        <f>_xlfn.TEXTJOIN("_",TRUE,H58:I58)</f>
        <v>10000_20020020</v>
      </c>
      <c r="H58">
        <v>10000</v>
      </c>
      <c r="I58">
        <v>20020020</v>
      </c>
      <c r="J58" t="s">
        <v>60</v>
      </c>
    </row>
    <row r="59" customFormat="1" spans="1:10">
      <c r="A59">
        <f>C59*100+D59</f>
        <v>101030502</v>
      </c>
      <c r="B59" s="3" t="s">
        <v>65</v>
      </c>
      <c r="C59" s="3">
        <v>1010305</v>
      </c>
      <c r="D59">
        <v>2</v>
      </c>
      <c r="E59" t="str">
        <f>_xlfn.TEXTJOIN("|",TRUE,G59,K59)</f>
        <v>10000_20020021</v>
      </c>
      <c r="F59">
        <v>99999</v>
      </c>
      <c r="G59" t="str">
        <f>_xlfn.TEXTJOIN("_",TRUE,H59:I59)</f>
        <v>10000_20020021</v>
      </c>
      <c r="H59">
        <v>10000</v>
      </c>
      <c r="I59">
        <v>20020021</v>
      </c>
      <c r="J59" t="s">
        <v>61</v>
      </c>
    </row>
    <row r="60" customFormat="1" spans="1:10">
      <c r="A60">
        <f>C60*100+D60</f>
        <v>101030503</v>
      </c>
      <c r="B60" s="3" t="s">
        <v>65</v>
      </c>
      <c r="C60" s="3">
        <v>1010305</v>
      </c>
      <c r="D60">
        <v>3</v>
      </c>
      <c r="E60" t="str">
        <f>_xlfn.TEXTJOIN("|",TRUE,G60,K60)</f>
        <v>10000_20020020</v>
      </c>
      <c r="F60">
        <v>99999</v>
      </c>
      <c r="G60" t="str">
        <f>_xlfn.TEXTJOIN("_",TRUE,H60:I60)</f>
        <v>10000_20020020</v>
      </c>
      <c r="H60">
        <v>10000</v>
      </c>
      <c r="I60">
        <v>20020020</v>
      </c>
      <c r="J60" t="s">
        <v>60</v>
      </c>
    </row>
    <row r="61" customFormat="1" spans="1:10">
      <c r="A61">
        <f>C61*100+D61</f>
        <v>101030504</v>
      </c>
      <c r="B61" s="3" t="s">
        <v>65</v>
      </c>
      <c r="C61" s="3">
        <v>1010305</v>
      </c>
      <c r="D61">
        <v>4</v>
      </c>
      <c r="E61" t="str">
        <f>_xlfn.TEXTJOIN("|",TRUE,G61,K61)</f>
        <v>10000_20020021</v>
      </c>
      <c r="F61">
        <v>99999</v>
      </c>
      <c r="G61" t="str">
        <f>_xlfn.TEXTJOIN("_",TRUE,H61:I61)</f>
        <v>10000_20020021</v>
      </c>
      <c r="H61">
        <v>10000</v>
      </c>
      <c r="I61">
        <v>20020021</v>
      </c>
      <c r="J61" t="s">
        <v>61</v>
      </c>
    </row>
    <row r="62" customFormat="1" spans="1:10">
      <c r="A62">
        <f>C62*100+D62</f>
        <v>101030505</v>
      </c>
      <c r="B62" s="3" t="s">
        <v>65</v>
      </c>
      <c r="C62" s="3">
        <v>1010305</v>
      </c>
      <c r="D62">
        <v>5</v>
      </c>
      <c r="E62" t="str">
        <f>_xlfn.TEXTJOIN("|",TRUE,G62,K62)</f>
        <v>10000_20020020</v>
      </c>
      <c r="F62">
        <v>99999</v>
      </c>
      <c r="G62" t="str">
        <f>_xlfn.TEXTJOIN("_",TRUE,H62:I62)</f>
        <v>10000_20020020</v>
      </c>
      <c r="H62">
        <v>10000</v>
      </c>
      <c r="I62">
        <v>20020020</v>
      </c>
      <c r="J62" t="s">
        <v>60</v>
      </c>
    </row>
    <row r="63" customFormat="1" spans="1:10">
      <c r="A63">
        <f>C63*100+D63</f>
        <v>101030506</v>
      </c>
      <c r="B63" s="3" t="s">
        <v>65</v>
      </c>
      <c r="C63" s="3">
        <v>1010305</v>
      </c>
      <c r="D63">
        <v>6</v>
      </c>
      <c r="E63" t="str">
        <f>_xlfn.TEXTJOIN("|",TRUE,G63,K63)</f>
        <v>10000_20020021</v>
      </c>
      <c r="F63">
        <v>99999</v>
      </c>
      <c r="G63" t="str">
        <f>_xlfn.TEXTJOIN("_",TRUE,H63:I63)</f>
        <v>10000_20020021</v>
      </c>
      <c r="H63">
        <v>10000</v>
      </c>
      <c r="I63">
        <v>20020021</v>
      </c>
      <c r="J63" t="s">
        <v>61</v>
      </c>
    </row>
    <row r="64" customFormat="1" spans="1:10">
      <c r="A64">
        <f>C64*100+D64</f>
        <v>101030507</v>
      </c>
      <c r="B64" s="3" t="s">
        <v>65</v>
      </c>
      <c r="C64" s="3">
        <v>1010305</v>
      </c>
      <c r="D64">
        <v>7</v>
      </c>
      <c r="E64" t="str">
        <f>_xlfn.TEXTJOIN("|",TRUE,G64,K64)</f>
        <v>10000_20020020</v>
      </c>
      <c r="F64">
        <v>99999</v>
      </c>
      <c r="G64" t="str">
        <f>_xlfn.TEXTJOIN("_",TRUE,H64:I64)</f>
        <v>10000_20020020</v>
      </c>
      <c r="H64">
        <v>10000</v>
      </c>
      <c r="I64">
        <v>20020020</v>
      </c>
      <c r="J64" t="s">
        <v>60</v>
      </c>
    </row>
    <row r="65" customFormat="1" spans="1:10">
      <c r="A65">
        <f>C65*100+D65</f>
        <v>101030508</v>
      </c>
      <c r="B65" s="3" t="s">
        <v>65</v>
      </c>
      <c r="C65" s="3">
        <v>1010305</v>
      </c>
      <c r="D65">
        <v>8</v>
      </c>
      <c r="E65" t="str">
        <f>_xlfn.TEXTJOIN("|",TRUE,G65,K65)</f>
        <v>10000_20020021</v>
      </c>
      <c r="F65">
        <v>99999</v>
      </c>
      <c r="G65" t="str">
        <f>_xlfn.TEXTJOIN("_",TRUE,H65:I65)</f>
        <v>10000_20020021</v>
      </c>
      <c r="H65">
        <v>10000</v>
      </c>
      <c r="I65">
        <v>20020021</v>
      </c>
      <c r="J65" t="s">
        <v>61</v>
      </c>
    </row>
    <row r="66" customFormat="1" spans="1:10">
      <c r="A66">
        <f>C66*100+D66</f>
        <v>101030509</v>
      </c>
      <c r="B66" s="3" t="s">
        <v>65</v>
      </c>
      <c r="C66" s="3">
        <v>1010305</v>
      </c>
      <c r="D66">
        <v>9</v>
      </c>
      <c r="E66" t="str">
        <f>_xlfn.TEXTJOIN("|",TRUE,G66,K66)</f>
        <v>10000_20020020</v>
      </c>
      <c r="F66">
        <v>99999</v>
      </c>
      <c r="G66" t="str">
        <f>_xlfn.TEXTJOIN("_",TRUE,H66:I66)</f>
        <v>10000_20020020</v>
      </c>
      <c r="H66">
        <v>10000</v>
      </c>
      <c r="I66">
        <v>20020020</v>
      </c>
      <c r="J66" t="s">
        <v>60</v>
      </c>
    </row>
    <row r="67" customFormat="1" spans="1:10">
      <c r="A67">
        <f>C67*100+D67</f>
        <v>101030510</v>
      </c>
      <c r="B67" s="3" t="s">
        <v>65</v>
      </c>
      <c r="C67" s="3">
        <v>1010305</v>
      </c>
      <c r="D67">
        <v>10</v>
      </c>
      <c r="E67" t="str">
        <f>_xlfn.TEXTJOIN("|",TRUE,G67,K67)</f>
        <v>10000_20020021</v>
      </c>
      <c r="F67">
        <v>99999</v>
      </c>
      <c r="G67" t="str">
        <f>_xlfn.TEXTJOIN("_",TRUE,H67:I67)</f>
        <v>10000_20020021</v>
      </c>
      <c r="H67">
        <v>10000</v>
      </c>
      <c r="I67">
        <v>20020021</v>
      </c>
      <c r="J67" t="s">
        <v>61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2025-12-11T10:34:06Z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8B9E57C8DAC043158BBBFB72A584032E_12</vt:lpwstr>
  </property>
  <property fmtid="{D5CDD505-2E9C-101B-9397-08002B2CF9AE}" pid="4" name="CalculationRule">
    <vt:i4>0</vt:i4>
  </property>
</Properties>
</file>