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<sst xmlns="http://schemas.openxmlformats.org/spreadsheetml/2006/main" count="138" uniqueCount="108">
  <si>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</si>
  <si>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</si>
  <si>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</si>
  <si>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</si>
  <si>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</si>
  <si>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</si>
  <si>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</si>
  <si>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</si>
  <si>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</si>
  <si>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</si>
  <si>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</si>
  <si>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</si>
  <si>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</si>
  <si>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</si>
  <si>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</si>
  <si>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</si>
  <si>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</si>
  <si>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</si>
  <si>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</si>
  <si>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</si>
  <si>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</si>
  <si>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</si>
  <si>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</si>
  <si>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</si>
  <si>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</si>
  <si>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</si>
  <si>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</si>
  <si>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</si>
  <si>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</si>
  <si>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</si>
  <si>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</si>
  <si>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</si>
  <si>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</si>
  <si>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</si>
  <si>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</si>
  <si>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</si>
  <si>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1990000_300</t>
  </si>
  <si>
    <t>1990000_10</t>
  </si>
  <si>
    <t>1990000_200</t>
  </si>
  <si>
    <t>1990000_50</t>
  </si>
  <si>
    <t>1022501_1</t>
  </si>
  <si>
    <t>4320_12380000</t>
  </si>
  <si>
    <t>1990000_2900</t>
  </si>
  <si>
    <t>1990000_90</t>
  </si>
  <si>
    <t>1990000_1900</t>
  </si>
  <si>
    <t>1990000_400</t>
  </si>
  <si>
    <t>1020001_1</t>
  </si>
  <si>
    <t>4320_104648340</t>
  </si>
  <si>
    <t>1990000_28200</t>
  </si>
  <si>
    <t>1990000_900</t>
  </si>
  <si>
    <t>1990000_18800</t>
  </si>
  <si>
    <t>1990000_4700</t>
  </si>
  <si>
    <t>1022501_3</t>
  </si>
  <si>
    <t>4320_1069785000</t>
  </si>
  <si>
    <t>1990000_200900</t>
  </si>
  <si>
    <t>1990000_6600</t>
  </si>
  <si>
    <t>1990000_133900</t>
  </si>
  <si>
    <t>1990000_33400</t>
  </si>
  <si>
    <t>1031600_1|1020001_2</t>
  </si>
  <si>
    <t>-1_0</t>
  </si>
  <si>
    <t>1990000_1668800</t>
  </si>
  <si>
    <t>1990000_55600</t>
  </si>
  <si>
    <t>1990000_1112500</t>
  </si>
  <si>
    <t>1990000_278100</t>
  </si>
  <si>
    <t>1031801_1|1022501_10</t>
  </si>
  <si>
    <t>1_150</t>
  </si>
  <si>
    <t>1990000_3030200</t>
  </si>
  <si>
    <t>1990000_101000</t>
  </si>
  <si>
    <t>1990000_2020100</t>
  </si>
  <si>
    <t>1990000_505000</t>
  </si>
  <si>
    <t>1032001_1|1020001_10</t>
  </si>
  <si>
    <t>1_200</t>
  </si>
  <si>
    <t>1990000_8574300</t>
  </si>
  <si>
    <t>1990000_285800</t>
  </si>
  <si>
    <t>1990000_5716200</t>
  </si>
  <si>
    <t>1990000_1429000</t>
  </si>
  <si>
    <t>1031601_1|1032201_1|1022501_30</t>
  </si>
  <si>
    <t>1_250|2_50</t>
  </si>
  <si>
    <t>1990000_39354800</t>
  </si>
  <si>
    <t>1990000_1311800</t>
  </si>
  <si>
    <t>1990000_26236500</t>
  </si>
  <si>
    <t>1990000_6559100</t>
  </si>
  <si>
    <t>1031802_1|1020001_20</t>
  </si>
  <si>
    <t>1_300|2_100</t>
  </si>
  <si>
    <t>1990000_126373000</t>
  </si>
  <si>
    <t>1990000_4212400</t>
  </si>
  <si>
    <t>1990000_84248600</t>
  </si>
  <si>
    <t>1990000_21062100</t>
  </si>
  <si>
    <t>1032002_1|1022501_30</t>
  </si>
  <si>
    <t>1_400|2_200</t>
  </si>
  <si>
    <t>1990000_630179700</t>
  </si>
  <si>
    <t>1990000_21005900</t>
  </si>
  <si>
    <t>1990000_420119800</t>
  </si>
  <si>
    <t>1990000_105029900</t>
  </si>
  <si>
    <t>1031602_1|1032202_1|1020001_20</t>
  </si>
  <si>
    <t>1_500|2_300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</si>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</sst>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头衔1-财富贵族</v>
          </cell>
        </row>
        <row r="136">
          <cell r="A136">
            <v>1031601</v>
          </cell>
        </row>
        <row r="136">
          <cell r="D136" t="str">
            <v>头衔2-一夜暴富</v>
          </cell>
        </row>
        <row r="137">
          <cell r="A137">
            <v>1031602</v>
          </cell>
        </row>
        <row r="137">
          <cell r="D137" t="str">
            <v>头衔3-四方来财</v>
          </cell>
        </row>
        <row r="138">
          <cell r="A138">
            <v>1031801</v>
          </cell>
        </row>
        <row r="138">
          <cell r="D138" t="str">
            <v>筹码2-翡翠贵族</v>
          </cell>
        </row>
        <row r="139">
          <cell r="A139">
            <v>1031802</v>
          </cell>
        </row>
        <row r="139">
          <cell r="D139" t="str">
            <v>筹码3-水晶皇室</v>
          </cell>
        </row>
        <row r="140">
          <cell r="A140">
            <v>1032001</v>
          </cell>
        </row>
        <row r="140">
          <cell r="D140" t="str">
            <v>牌背2-神秘塔罗</v>
          </cell>
        </row>
        <row r="141">
          <cell r="A141">
            <v>1032002</v>
          </cell>
        </row>
        <row r="141">
          <cell r="D141" t="str">
            <v>牌背3-命运之手</v>
          </cell>
        </row>
        <row r="142">
          <cell r="A142">
            <v>1032201</v>
          </cell>
        </row>
        <row r="142">
          <cell r="D142" t="str">
            <v>大厅背景2-决赛之夜</v>
          </cell>
        </row>
        <row r="143">
          <cell r="A143">
            <v>1032202</v>
          </cell>
        </row>
        <row r="143">
          <cell r="D143" t="str">
            <v>大厅背景3-度假海滩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workbookViewId="0">
      <selection activeCell="F20" sqref="F20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customWidth="1"/>
    <col min="4" max="4" width="17.75" style="1" customWidth="1"/>
    <col min="5" max="5" width="14.875" style="1" customWidth="1"/>
    <col min="6" max="6" width="17.375" style="1" customWidth="1"/>
    <col min="7" max="8" width="21.25" style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6384" width="9" style="1"/>
  </cols>
  <sheetData>
    <row r="1" spans="1:18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18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18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18">
      <c r="A4" s="9"/>
      <c r="B4" s="9"/>
      <c r="C4" s="6"/>
      <c r="D4" s="5"/>
      <c r="E4" s="6"/>
      <c r="O4" s="7"/>
    </row>
    <row r="5" spans="1:18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I5" s="1" t="s">
        <v>36</v>
      </c>
      <c r="J5" s="1" t="s">
        <v>37</v>
      </c>
      <c r="K5" s="1" t="s">
        <v>38</v>
      </c>
      <c r="L5" s="1" t="s">
        <v>39</v>
      </c>
      <c r="M5" s="1" t="s">
        <v>40</v>
      </c>
      <c r="O5" s="7"/>
      <c r="P5"/>
      <c r="Q5"/>
      <c r="R5"/>
    </row>
    <row r="6" spans="1:18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41</v>
      </c>
      <c r="G6" s="1">
        <v>10000</v>
      </c>
      <c r="H6" s="1">
        <v>10000</v>
      </c>
      <c r="I6" s="1" t="s">
        <v>42</v>
      </c>
      <c r="J6" s="1" t="s">
        <v>43</v>
      </c>
      <c r="K6" s="1" t="s">
        <v>44</v>
      </c>
      <c r="L6" s="1" t="s">
        <v>45</v>
      </c>
      <c r="M6" s="1" t="s">
        <v>46</v>
      </c>
      <c r="O6" s="7"/>
      <c r="P6"/>
      <c r="Q6"/>
      <c r="R6"/>
    </row>
    <row r="7" spans="1:18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47</v>
      </c>
      <c r="G7" s="1">
        <v>10000</v>
      </c>
      <c r="H7" s="1">
        <v>10000</v>
      </c>
      <c r="I7" s="1" t="s">
        <v>48</v>
      </c>
      <c r="J7" s="1" t="s">
        <v>49</v>
      </c>
      <c r="K7" s="1" t="s">
        <v>50</v>
      </c>
      <c r="L7" s="1" t="s">
        <v>51</v>
      </c>
      <c r="M7" s="1" t="s">
        <v>52</v>
      </c>
      <c r="O7" s="7"/>
      <c r="P7"/>
      <c r="Q7"/>
      <c r="R7"/>
    </row>
    <row r="8" spans="1:18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53</v>
      </c>
      <c r="G8" s="1">
        <v>10000</v>
      </c>
      <c r="H8" s="1">
        <v>10000</v>
      </c>
      <c r="I8" s="1" t="s">
        <v>54</v>
      </c>
      <c r="J8" s="1" t="s">
        <v>55</v>
      </c>
      <c r="K8" s="1" t="s">
        <v>56</v>
      </c>
      <c r="L8" s="1" t="s">
        <v>57</v>
      </c>
      <c r="M8" s="1" t="s">
        <v>58</v>
      </c>
      <c r="O8" s="7"/>
      <c r="P8"/>
      <c r="Q8"/>
      <c r="R8"/>
    </row>
    <row r="9" spans="1:18">
      <c r="A9" s="1">
        <v>5</v>
      </c>
      <c r="B9" s="1">
        <v>4</v>
      </c>
      <c r="C9" s="10">
        <v>9282900000</v>
      </c>
      <c r="D9" s="12">
        <v>928290000</v>
      </c>
      <c r="E9" s="1">
        <v>19005</v>
      </c>
      <c r="F9" s="15" t="s">
        <v>59</v>
      </c>
      <c r="G9" s="1">
        <v>0</v>
      </c>
      <c r="H9" s="1">
        <v>10000</v>
      </c>
      <c r="I9" s="1" t="s">
        <v>60</v>
      </c>
      <c r="J9" s="1" t="s">
        <v>61</v>
      </c>
      <c r="K9" s="1" t="s">
        <v>62</v>
      </c>
      <c r="L9" s="1" t="s">
        <v>63</v>
      </c>
      <c r="M9" s="1" t="s">
        <v>64</v>
      </c>
      <c r="O9" s="7" t="s">
        <v>65</v>
      </c>
      <c r="P9"/>
      <c r="Q9"/>
      <c r="R9"/>
    </row>
    <row r="10" spans="1:18">
      <c r="A10" s="1">
        <v>6</v>
      </c>
      <c r="B10" s="1">
        <v>5</v>
      </c>
      <c r="C10" s="10">
        <v>45009500000</v>
      </c>
      <c r="D10" s="12">
        <v>4500950000</v>
      </c>
      <c r="E10" s="1">
        <v>19006</v>
      </c>
      <c r="F10" s="15" t="s">
        <v>59</v>
      </c>
      <c r="G10" s="1">
        <v>0</v>
      </c>
      <c r="H10" s="1">
        <v>10000</v>
      </c>
      <c r="I10" s="1" t="s">
        <v>66</v>
      </c>
      <c r="J10" s="1" t="s">
        <v>67</v>
      </c>
      <c r="K10" s="1" t="s">
        <v>68</v>
      </c>
      <c r="L10" s="1" t="s">
        <v>69</v>
      </c>
      <c r="M10" s="1" t="s">
        <v>70</v>
      </c>
      <c r="O10" s="7" t="s">
        <v>71</v>
      </c>
      <c r="P10"/>
      <c r="Q10"/>
      <c r="R10"/>
    </row>
    <row r="11" spans="1:18">
      <c r="A11" s="1">
        <v>7</v>
      </c>
      <c r="B11" s="1">
        <v>6</v>
      </c>
      <c r="C11" s="10">
        <v>226071700000</v>
      </c>
      <c r="D11" s="12">
        <v>22607170000</v>
      </c>
      <c r="E11" s="1">
        <v>19007</v>
      </c>
      <c r="F11" s="15" t="s">
        <v>59</v>
      </c>
      <c r="G11" s="1">
        <v>0</v>
      </c>
      <c r="H11" s="1">
        <v>10000</v>
      </c>
      <c r="I11" s="1" t="s">
        <v>72</v>
      </c>
      <c r="J11" s="1" t="s">
        <v>73</v>
      </c>
      <c r="K11" s="1" t="s">
        <v>74</v>
      </c>
      <c r="L11" s="1" t="s">
        <v>75</v>
      </c>
      <c r="M11" s="1" t="s">
        <v>76</v>
      </c>
      <c r="O11" s="7" t="s">
        <v>77</v>
      </c>
      <c r="P11"/>
      <c r="Q11"/>
      <c r="R11"/>
    </row>
    <row r="12" spans="1:18">
      <c r="A12" s="1">
        <v>8</v>
      </c>
      <c r="B12" s="1">
        <v>7</v>
      </c>
      <c r="C12" s="10">
        <v>876546600000</v>
      </c>
      <c r="D12" s="12">
        <v>87654660000</v>
      </c>
      <c r="E12" s="1">
        <v>19008</v>
      </c>
      <c r="F12" s="15" t="s">
        <v>59</v>
      </c>
      <c r="G12" s="1">
        <v>0</v>
      </c>
      <c r="H12" s="1">
        <v>10000</v>
      </c>
      <c r="I12" s="1" t="s">
        <v>78</v>
      </c>
      <c r="J12" s="1" t="s">
        <v>79</v>
      </c>
      <c r="K12" s="1" t="s">
        <v>80</v>
      </c>
      <c r="L12" s="1" t="s">
        <v>81</v>
      </c>
      <c r="M12" s="1" t="s">
        <v>82</v>
      </c>
      <c r="O12" s="7" t="s">
        <v>83</v>
      </c>
      <c r="P12"/>
      <c r="Q12"/>
      <c r="R12"/>
    </row>
    <row r="13" spans="1:18">
      <c r="A13" s="1">
        <v>9</v>
      </c>
      <c r="B13" s="1">
        <v>8</v>
      </c>
      <c r="C13" s="10">
        <v>4298671200000</v>
      </c>
      <c r="D13" s="12">
        <v>429867120000</v>
      </c>
      <c r="E13" s="1">
        <v>19009</v>
      </c>
      <c r="F13" s="15" t="s">
        <v>59</v>
      </c>
      <c r="G13" s="1">
        <v>0</v>
      </c>
      <c r="H13" s="1">
        <v>10000</v>
      </c>
      <c r="I13" s="1" t="s">
        <v>84</v>
      </c>
      <c r="J13" s="1" t="s">
        <v>85</v>
      </c>
      <c r="K13" s="1" t="s">
        <v>86</v>
      </c>
      <c r="L13" s="1" t="s">
        <v>87</v>
      </c>
      <c r="M13" s="1" t="s">
        <v>88</v>
      </c>
      <c r="O13" s="7" t="s">
        <v>89</v>
      </c>
      <c r="P13"/>
      <c r="Q13"/>
      <c r="R13"/>
    </row>
    <row r="14" spans="1:18">
      <c r="A14" s="1">
        <v>10</v>
      </c>
      <c r="B14" s="1">
        <v>9</v>
      </c>
      <c r="D14" s="11"/>
      <c r="E14" s="1">
        <v>19010</v>
      </c>
      <c r="F14" s="15" t="s">
        <v>59</v>
      </c>
      <c r="G14" s="1">
        <v>0</v>
      </c>
      <c r="H14" s="1">
        <v>0</v>
      </c>
      <c r="I14" s="1" t="s">
        <v>90</v>
      </c>
      <c r="J14" s="1" t="s">
        <v>91</v>
      </c>
      <c r="K14" s="1" t="s">
        <v>92</v>
      </c>
      <c r="L14" s="1" t="s">
        <v>93</v>
      </c>
      <c r="M14" s="1" t="s">
        <v>94</v>
      </c>
      <c r="O14" s="7" t="s">
        <v>95</v>
      </c>
      <c r="P14"/>
      <c r="Q14"/>
      <c r="R14"/>
    </row>
    <row r="16" spans="1:18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96</v>
      </c>
      <c r="C4" s="1">
        <f>_xlfn.XLOOKUP(B4,[1]Item!$D:$D,[1]Item!$A:$A)</f>
        <v>1022502</v>
      </c>
      <c r="D4" s="1">
        <v>1</v>
      </c>
      <c r="E4" s="1" t="s">
        <v>97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98</v>
      </c>
      <c r="C5" s="1">
        <f>_xlfn.XLOOKUP(B5,[1]Item!$D:$D,[1]Item!$A:$A)</f>
        <v>1022501</v>
      </c>
      <c r="D5" s="1">
        <v>5</v>
      </c>
      <c r="E5" s="1" t="s">
        <v>97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99</v>
      </c>
      <c r="C6" s="1">
        <f>_xlfn.XLOOKUP(B6,[1]Item!$D:$D,[1]Item!$A:$A)</f>
        <v>1010301</v>
      </c>
      <c r="D6" s="1">
        <v>5</v>
      </c>
      <c r="E6" s="1" t="s">
        <v>97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100</v>
      </c>
      <c r="C7" s="1" t="e">
        <f>_xlfn.XLOOKUP(B7,[1]Item!$D:$D,[1]Item!$A:$A)</f>
        <v>#N/A</v>
      </c>
      <c r="D7" s="1">
        <v>1</v>
      </c>
      <c r="E7" s="1" t="s">
        <v>101</v>
      </c>
      <c r="F7" s="1">
        <f>_xlfn.XLOOKUP(E7,[1]Item!$D:$D,[1]Item!$A:$A)</f>
        <v>1022503</v>
      </c>
      <c r="G7" s="1">
        <v>5</v>
      </c>
      <c r="H7" s="1" t="s">
        <v>97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102</v>
      </c>
      <c r="C8" s="1" t="e">
        <f>_xlfn.XLOOKUP(B8,[1]Item!$D:$D,[1]Item!$A:$A)</f>
        <v>#N/A</v>
      </c>
      <c r="D8" s="1">
        <v>1</v>
      </c>
      <c r="E8" s="1" t="s">
        <v>96</v>
      </c>
      <c r="F8" s="1">
        <f>_xlfn.XLOOKUP(E8,[1]Item!$D:$D,[1]Item!$A:$A)</f>
        <v>1022502</v>
      </c>
      <c r="G8" s="1">
        <v>5</v>
      </c>
      <c r="H8" s="1" t="s">
        <v>97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103</v>
      </c>
      <c r="C9" s="1" t="e">
        <f>_xlfn.XLOOKUP(B9,[1]Item!$D:$D,[1]Item!$A:$A)</f>
        <v>#N/A</v>
      </c>
      <c r="D9" s="1">
        <v>1</v>
      </c>
      <c r="E9" s="1" t="s">
        <v>101</v>
      </c>
      <c r="F9" s="1">
        <f>_xlfn.XLOOKUP(E9,[1]Item!$D:$D,[1]Item!$A:$A)</f>
        <v>1022503</v>
      </c>
      <c r="G9" s="1">
        <v>10</v>
      </c>
      <c r="H9" s="1" t="s">
        <v>97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104</v>
      </c>
      <c r="C10" s="1" t="e">
        <f>_xlfn.XLOOKUP(B10,[1]Item!$D:$D,[1]Item!$A:$A)</f>
        <v>#N/A</v>
      </c>
      <c r="D10" s="1">
        <v>1</v>
      </c>
      <c r="E10" s="1" t="s">
        <v>96</v>
      </c>
      <c r="F10" s="1">
        <f>_xlfn.XLOOKUP(E10,[1]Item!$D:$D,[1]Item!$A:$A)</f>
        <v>1022502</v>
      </c>
      <c r="G10" s="1">
        <v>10</v>
      </c>
      <c r="H10" s="1" t="s">
        <v>97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105</v>
      </c>
      <c r="C11" s="1" t="e">
        <f>_xlfn.XLOOKUP(B11,[1]Item!$D:$D,[1]Item!$A:$A)</f>
        <v>#N/A</v>
      </c>
      <c r="D11" s="1">
        <v>1</v>
      </c>
      <c r="E11" s="1" t="s">
        <v>101</v>
      </c>
      <c r="F11" s="1">
        <f>_xlfn.XLOOKUP(E11,[1]Item!$D:$D,[1]Item!$A:$A)</f>
        <v>1022503</v>
      </c>
      <c r="G11" s="1">
        <v>20</v>
      </c>
      <c r="H11" s="1" t="s">
        <v>97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106</v>
      </c>
      <c r="C12" s="1" t="e">
        <f>_xlfn.XLOOKUP(B12,[1]Item!$D:$D,[1]Item!$A:$A)</f>
        <v>#N/A</v>
      </c>
      <c r="D12" s="1">
        <v>1</v>
      </c>
      <c r="E12" s="1" t="s">
        <v>96</v>
      </c>
      <c r="F12" s="1">
        <f>_xlfn.XLOOKUP(E12,[1]Item!$D:$D,[1]Item!$A:$A)</f>
        <v>1022502</v>
      </c>
      <c r="G12" s="1">
        <v>20</v>
      </c>
      <c r="H12" s="1" t="s">
        <v>97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107</v>
      </c>
      <c r="C13" s="1" t="e">
        <f>_xlfn.XLOOKUP(B13,[1]Item!$D:$D,[1]Item!$A:$A)</f>
        <v>#N/A</v>
      </c>
      <c r="D13" s="1">
        <v>1</v>
      </c>
      <c r="E13" s="1" t="s">
        <v>101</v>
      </c>
      <c r="F13" s="1">
        <f>_xlfn.XLOOKUP(E13,[1]Item!$D:$D,[1]Item!$A:$A)</f>
        <v>1022503</v>
      </c>
      <c r="G13" s="1">
        <v>20</v>
      </c>
      <c r="H13" s="1" t="s">
        <v>97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2026-01-04T02:34:30Z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