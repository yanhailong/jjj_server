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Texas" sheetId="47" r:id="rId1"/>
  </sheets>
  <definedNames>
    <definedName name="_xlnm._FilterDatabase" localSheetId="0" hidden="1">Texas!$B$1:$R$10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Administrator</author>
    <author>作者</author>
  </authors>
  <commentList>
    <comment ref="D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H1" authorId="1">
      <text>
        <r>
          <rPr>
            <b/>
            <sz val="9"/>
            <rFont val="宋体"/>
            <charset val="134"/>
          </rPr>
          <t xml:space="preserve">0 无前注
</t>
        </r>
        <r>
          <rPr>
            <sz val="9"/>
            <rFont val="宋体"/>
            <charset val="134"/>
          </rPr>
          <t>&gt;0 需要前注，填值</t>
        </r>
      </text>
    </comment>
    <comment ref="I1" authorId="1">
      <text>
        <r>
          <rPr>
            <sz val="9"/>
            <rFont val="宋体"/>
            <charset val="134"/>
          </rPr>
          <t>单位：K</t>
        </r>
      </text>
    </comment>
    <comment ref="J1" authorId="1">
      <text>
        <r>
          <rPr>
            <sz val="9"/>
            <rFont val="宋体"/>
            <charset val="134"/>
          </rPr>
          <t>单位：K</t>
        </r>
      </text>
    </comment>
    <comment ref="L1" authorId="1">
      <text>
        <r>
          <rPr>
            <sz val="9"/>
            <rFont val="宋体"/>
            <charset val="134"/>
          </rPr>
          <t>1 先跟再加
2 直接加</t>
        </r>
      </text>
    </comment>
    <comment ref="O1" authorId="2">
      <text>
        <r>
          <rPr>
            <b/>
            <sz val="9"/>
            <rFont val="宋体"/>
            <charset val="134"/>
          </rPr>
          <t>{outs数量,赔率}
数量为-1，即任意数量
赔率放大100倍</t>
        </r>
      </text>
    </comment>
  </commentList>
</comments>
</file>

<file path=xl/sharedStrings.xml><?xml version="1.0" encoding="utf-8"?>
<sst xmlns="http://schemas.openxmlformats.org/spreadsheetml/2006/main" count="74" uniqueCount="41">
  <si>
    <t>id</t>
  </si>
  <si>
    <t>游戏ID</t>
  </si>
  <si>
    <t>游戏名字</t>
  </si>
  <si>
    <t>房间类型</t>
  </si>
  <si>
    <t>默认入座金币</t>
  </si>
  <si>
    <t>请离房间（毫秒）</t>
  </si>
  <si>
    <t>上桌金额</t>
  </si>
  <si>
    <t>前注</t>
  </si>
  <si>
    <t>小盲</t>
  </si>
  <si>
    <t>大盲</t>
  </si>
  <si>
    <t>加注大盲倍数</t>
  </si>
  <si>
    <t>加注方式</t>
  </si>
  <si>
    <t>加注底池操作</t>
  </si>
  <si>
    <t>牌池ID</t>
  </si>
  <si>
    <t>保险赔率</t>
  </si>
  <si>
    <t>结算后看牌</t>
  </si>
  <si>
    <t>销牌数量</t>
  </si>
  <si>
    <t>描述</t>
  </si>
  <si>
    <t>int</t>
  </si>
  <si>
    <t>List&lt;int&gt;{;}</t>
  </si>
  <si>
    <t>string</t>
  </si>
  <si>
    <t>bool</t>
  </si>
  <si>
    <t>gameID</t>
  </si>
  <si>
    <t>roomID</t>
  </si>
  <si>
    <t>coinsNum</t>
  </si>
  <si>
    <t>escTime</t>
  </si>
  <si>
    <t>tablecoin</t>
  </si>
  <si>
    <t>ante</t>
  </si>
  <si>
    <t>sbNum</t>
  </si>
  <si>
    <t>bbNum</t>
  </si>
  <si>
    <t>bbAddMulti</t>
  </si>
  <si>
    <t>raiseWayType</t>
  </si>
  <si>
    <t>pool_OpType</t>
  </si>
  <si>
    <t>pokerPool</t>
  </si>
  <si>
    <t>insuranceOdd</t>
  </si>
  <si>
    <t>showDown</t>
  </si>
  <si>
    <t>burnNum</t>
  </si>
  <si>
    <t>欢乐德州</t>
  </si>
  <si>
    <t>1;3;4;5</t>
  </si>
  <si>
    <t>[1/2,2/3,1]</t>
  </si>
  <si>
    <t>经典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</si>
</sst>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79955442976165"/>
        <bgColor indexed="64"/>
      </patternFill>
    </fill>
    <fill>
      <patternFill patternType="solid">
        <fgColor theme="9" tint="0.7995544297616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4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2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"/>
  <sheetViews>
    <sheetView tabSelected="1" workbookViewId="0">
      <pane ySplit="1" topLeftCell="A2" activePane="bottomLeft" state="frozen"/>
      <selection/>
      <selection pane="bottomLeft" activeCell="F1" sqref="F$1:F$1048576"/>
    </sheetView>
  </sheetViews>
  <sheetFormatPr defaultColWidth="9" defaultRowHeight="16.5"/>
  <cols>
    <col min="1" max="1" width="10.375" style="2" customWidth="1"/>
    <col min="2" max="2" width="12" style="2" customWidth="1"/>
    <col min="3" max="3" width="17.5" style="2" customWidth="1"/>
    <col min="4" max="4" width="9.625" style="2" customWidth="1"/>
    <col min="5" max="6" width="28.625" style="2" customWidth="1"/>
    <col min="7" max="7" width="19.725" style="2" customWidth="1"/>
    <col min="8" max="8" width="9.25" style="2" customWidth="1"/>
    <col min="9" max="9" width="9" style="2"/>
    <col min="10" max="10" width="9.25" style="2"/>
    <col min="11" max="11" width="16.875" style="2" customWidth="1"/>
    <col min="12" max="12" width="19.75" style="2" customWidth="1"/>
    <col min="13" max="13" width="22.5" style="2" customWidth="1"/>
    <col min="14" max="14" width="9" style="2"/>
    <col min="15" max="15" width="24.75" style="2" customWidth="1"/>
    <col min="16" max="16" width="11.25" style="2" customWidth="1"/>
    <col min="17" max="17" width="9.25" style="2" customWidth="1"/>
    <col min="18" max="18" width="15" style="2" customWidth="1"/>
    <col min="19" max="16384" width="9" style="2"/>
  </cols>
  <sheetData>
    <row r="1" spans="1:18">
      <c r="A1" s="2" t="s">
        <v>0</v>
      </c>
      <c r="B1" s="3" t="s">
        <v>1</v>
      </c>
      <c r="C1" s="4" t="s">
        <v>2</v>
      </c>
      <c r="D1" s="5" t="s">
        <v>3</v>
      </c>
      <c r="E1" s="3" t="s">
        <v>4</v>
      </c>
      <c r="F1" s="3" t="s">
        <v>5</v>
      </c>
      <c r="G1" s="4" t="s">
        <v>6</v>
      </c>
      <c r="H1" s="6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3" t="s">
        <v>12</v>
      </c>
      <c r="N1" s="4" t="s">
        <v>13</v>
      </c>
      <c r="O1" s="5" t="s">
        <v>14</v>
      </c>
      <c r="P1" s="8" t="s">
        <v>15</v>
      </c>
      <c r="Q1" s="9" t="s">
        <v>16</v>
      </c>
      <c r="R1" s="2" t="s">
        <v>17</v>
      </c>
    </row>
    <row r="2" s="1" customFormat="1" spans="1:17">
      <c r="A2" s="1" t="s">
        <v>18</v>
      </c>
      <c r="B2" s="1" t="s">
        <v>18</v>
      </c>
      <c r="D2" s="1" t="s">
        <v>18</v>
      </c>
      <c r="E2" s="1" t="s">
        <v>18</v>
      </c>
      <c r="F2" s="1" t="s">
        <v>18</v>
      </c>
      <c r="G2" s="1" t="s">
        <v>18</v>
      </c>
      <c r="H2" s="1" t="s">
        <v>18</v>
      </c>
      <c r="I2" s="1" t="s">
        <v>18</v>
      </c>
      <c r="J2" s="1" t="s">
        <v>18</v>
      </c>
      <c r="K2" s="1" t="s">
        <v>19</v>
      </c>
      <c r="L2" s="1" t="s">
        <v>18</v>
      </c>
      <c r="M2" s="1" t="s">
        <v>20</v>
      </c>
      <c r="N2" s="1" t="s">
        <v>18</v>
      </c>
      <c r="O2" s="1" t="s">
        <v>19</v>
      </c>
      <c r="P2" s="1" t="s">
        <v>21</v>
      </c>
      <c r="Q2" s="1" t="s">
        <v>18</v>
      </c>
    </row>
    <row r="3" s="1" customFormat="1" spans="1:17">
      <c r="A3" s="1" t="s">
        <v>0</v>
      </c>
      <c r="B3" s="1" t="s">
        <v>22</v>
      </c>
      <c r="D3" s="1" t="s">
        <v>23</v>
      </c>
      <c r="E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1" t="s">
        <v>34</v>
      </c>
      <c r="P3" s="1" t="s">
        <v>35</v>
      </c>
      <c r="Q3" s="1" t="s">
        <v>36</v>
      </c>
    </row>
    <row r="4" s="1" customFormat="1" spans="5:6">
      <c r="E4" s="7"/>
      <c r="F4" s="7"/>
    </row>
    <row r="5" spans="1:18">
      <c r="A5" s="2">
        <v>3002001</v>
      </c>
      <c r="B5" s="1">
        <v>300200</v>
      </c>
      <c r="C5" s="1" t="s">
        <v>37</v>
      </c>
      <c r="D5" s="1">
        <v>1</v>
      </c>
      <c r="E5" s="2">
        <v>2000000</v>
      </c>
      <c r="F5" s="2">
        <v>60000</v>
      </c>
      <c r="G5" s="2">
        <f t="shared" ref="G5:G10" si="0">E5*2</f>
        <v>4000000</v>
      </c>
      <c r="H5" s="2">
        <v>0</v>
      </c>
      <c r="I5" s="2">
        <f t="shared" ref="I5:I10" si="1">J5/2</f>
        <v>50000</v>
      </c>
      <c r="J5" s="2">
        <f t="shared" ref="J5:J10" si="2">E5/20</f>
        <v>100000</v>
      </c>
      <c r="K5" s="2" t="s">
        <v>38</v>
      </c>
      <c r="L5" s="2">
        <v>2</v>
      </c>
      <c r="M5" s="2" t="s">
        <v>39</v>
      </c>
      <c r="N5" s="2">
        <v>100002</v>
      </c>
      <c r="P5" s="2" t="b">
        <v>1</v>
      </c>
      <c r="Q5" s="2">
        <v>0</v>
      </c>
      <c r="R5" s="1" t="s">
        <v>40</v>
      </c>
    </row>
    <row r="6" spans="1:18">
      <c r="A6" s="2">
        <v>3002002</v>
      </c>
      <c r="B6" s="1">
        <v>300200</v>
      </c>
      <c r="C6" s="1" t="s">
        <v>37</v>
      </c>
      <c r="D6" s="1">
        <v>2</v>
      </c>
      <c r="E6" s="2">
        <v>4000000</v>
      </c>
      <c r="F6" s="2">
        <v>60000</v>
      </c>
      <c r="G6" s="2">
        <f t="shared" si="0"/>
        <v>8000000</v>
      </c>
      <c r="H6" s="2">
        <v>0</v>
      </c>
      <c r="I6" s="2">
        <f t="shared" si="1"/>
        <v>100000</v>
      </c>
      <c r="J6" s="2">
        <f t="shared" si="2"/>
        <v>200000</v>
      </c>
      <c r="K6" s="2" t="s">
        <v>38</v>
      </c>
      <c r="L6" s="2">
        <v>2</v>
      </c>
      <c r="M6" s="2" t="s">
        <v>39</v>
      </c>
      <c r="N6" s="2">
        <v>100002</v>
      </c>
      <c r="P6" s="2" t="b">
        <v>1</v>
      </c>
      <c r="Q6" s="2">
        <v>0</v>
      </c>
      <c r="R6" s="1" t="s">
        <v>40</v>
      </c>
    </row>
    <row r="7" spans="1:18">
      <c r="A7" s="2">
        <v>3002003</v>
      </c>
      <c r="B7" s="1">
        <v>300200</v>
      </c>
      <c r="C7" s="1" t="s">
        <v>37</v>
      </c>
      <c r="D7" s="1">
        <v>3</v>
      </c>
      <c r="E7" s="2">
        <v>20000000</v>
      </c>
      <c r="F7" s="2">
        <v>60000</v>
      </c>
      <c r="G7" s="2">
        <f t="shared" si="0"/>
        <v>40000000</v>
      </c>
      <c r="H7" s="2">
        <v>0</v>
      </c>
      <c r="I7" s="2">
        <f t="shared" si="1"/>
        <v>500000</v>
      </c>
      <c r="J7" s="2">
        <f t="shared" si="2"/>
        <v>1000000</v>
      </c>
      <c r="K7" s="2" t="s">
        <v>38</v>
      </c>
      <c r="L7" s="2">
        <v>2</v>
      </c>
      <c r="M7" s="2" t="s">
        <v>39</v>
      </c>
      <c r="N7" s="2">
        <v>100002</v>
      </c>
      <c r="P7" s="2" t="b">
        <v>1</v>
      </c>
      <c r="Q7" s="2">
        <v>0</v>
      </c>
      <c r="R7" s="1" t="s">
        <v>40</v>
      </c>
    </row>
    <row r="8" spans="1:18">
      <c r="A8" s="2">
        <v>30020010</v>
      </c>
      <c r="B8" s="1">
        <v>300200</v>
      </c>
      <c r="C8" s="1" t="s">
        <v>37</v>
      </c>
      <c r="D8" s="1">
        <v>1</v>
      </c>
      <c r="E8" s="2">
        <v>2000</v>
      </c>
      <c r="F8" s="2">
        <v>60000</v>
      </c>
      <c r="G8" s="2">
        <f t="shared" si="0"/>
        <v>4000</v>
      </c>
      <c r="H8" s="2">
        <v>0</v>
      </c>
      <c r="I8" s="2">
        <f t="shared" si="1"/>
        <v>50</v>
      </c>
      <c r="J8" s="2">
        <f t="shared" si="2"/>
        <v>100</v>
      </c>
      <c r="K8" s="2" t="s">
        <v>38</v>
      </c>
      <c r="L8" s="2">
        <v>2</v>
      </c>
      <c r="M8" s="2" t="s">
        <v>39</v>
      </c>
      <c r="N8" s="2">
        <v>100002</v>
      </c>
      <c r="P8" s="2" t="b">
        <v>1</v>
      </c>
      <c r="Q8" s="2">
        <v>0</v>
      </c>
      <c r="R8" s="1" t="s">
        <v>40</v>
      </c>
    </row>
    <row r="9" spans="1:18">
      <c r="A9" s="2">
        <v>30020011</v>
      </c>
      <c r="B9" s="1">
        <v>300200</v>
      </c>
      <c r="C9" s="1" t="s">
        <v>37</v>
      </c>
      <c r="D9" s="1">
        <v>2</v>
      </c>
      <c r="E9" s="2">
        <v>8000</v>
      </c>
      <c r="F9" s="2">
        <v>60000</v>
      </c>
      <c r="G9" s="2">
        <f t="shared" si="0"/>
        <v>16000</v>
      </c>
      <c r="H9" s="2">
        <v>0</v>
      </c>
      <c r="I9" s="2">
        <f t="shared" si="1"/>
        <v>200</v>
      </c>
      <c r="J9" s="2">
        <f t="shared" si="2"/>
        <v>400</v>
      </c>
      <c r="K9" s="2" t="s">
        <v>38</v>
      </c>
      <c r="L9" s="2">
        <v>2</v>
      </c>
      <c r="M9" s="2" t="s">
        <v>39</v>
      </c>
      <c r="N9" s="2">
        <v>100002</v>
      </c>
      <c r="P9" s="2" t="b">
        <v>1</v>
      </c>
      <c r="Q9" s="2">
        <v>0</v>
      </c>
      <c r="R9" s="1" t="s">
        <v>40</v>
      </c>
    </row>
    <row r="10" spans="1:18">
      <c r="A10" s="2">
        <v>30020012</v>
      </c>
      <c r="B10" s="1">
        <v>300200</v>
      </c>
      <c r="C10" s="1" t="s">
        <v>37</v>
      </c>
      <c r="D10" s="1">
        <v>3</v>
      </c>
      <c r="E10" s="2">
        <v>20000</v>
      </c>
      <c r="F10" s="2">
        <v>60000</v>
      </c>
      <c r="G10" s="2">
        <f t="shared" si="0"/>
        <v>40000</v>
      </c>
      <c r="H10" s="2">
        <v>0</v>
      </c>
      <c r="I10" s="2">
        <f t="shared" si="1"/>
        <v>500</v>
      </c>
      <c r="J10" s="2">
        <f t="shared" si="2"/>
        <v>1000</v>
      </c>
      <c r="K10" s="2" t="s">
        <v>38</v>
      </c>
      <c r="L10" s="2">
        <v>2</v>
      </c>
      <c r="M10" s="2" t="s">
        <v>39</v>
      </c>
      <c r="N10" s="2">
        <v>100002</v>
      </c>
      <c r="P10" s="2" t="b">
        <v>1</v>
      </c>
      <c r="Q10" s="2">
        <v>0</v>
      </c>
      <c r="R10" s="1" t="s">
        <v>40</v>
      </c>
    </row>
  </sheetData>
  <autoFilter xmlns:etc="http://www.wps.cn/officeDocument/2017/etCustomData" ref="B1:R10" etc:filterBottomFollowUsedRange="0">
    <extLst/>
  </autoFilter>
  <pageMargins left="0.7" right="0.7" top="0.75" bottom="0.75" header="0.3" footer="0.3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Texas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2025-09-25T10:04:26Z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2052-12.1.0.22529</vt:lpwstr>
  </property>
</Properties>
</file>