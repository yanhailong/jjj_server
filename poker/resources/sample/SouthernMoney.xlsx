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SouthernMoney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chuge</author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 xml:space="preserve">1 基础场
</t>
        </r>
        <r>
          <rPr>
            <sz val="9"/>
            <rFont val="宋体"/>
            <charset val="134"/>
          </rPr>
          <t>2 中级场
3 高级场
4 至尊场</t>
        </r>
      </text>
    </comment>
    <comment ref="E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低于这个金额时，用户会被踢出房间</t>
        </r>
      </text>
    </comment>
    <comment ref="H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名次_赔付的倍数</t>
        </r>
      </text>
    </comment>
    <comment ref="I1" authorId="1">
      <text>
        <r>
          <rPr>
            <sz val="9"/>
            <rFont val="宋体"/>
            <charset val="134"/>
          </rPr>
          <t>赢奖 = 剩余张数 * 每张倍数 * 总投
模式1：南方前进结算，</t>
        </r>
      </text>
    </comment>
    <comment ref="J1" authorId="1">
      <text>
        <r>
          <rPr>
            <sz val="9"/>
            <rFont val="宋体"/>
            <charset val="134"/>
          </rPr>
          <t xml:space="preserve">赢奖 = 剩余红2的张数 * 每张倍数 * 总投
</t>
        </r>
      </text>
    </comment>
    <comment ref="K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赢奖 = 剩余黑2的张数 * 每张倍数 * 总投
</t>
        </r>
      </text>
    </comment>
  </commentList>
</comments>
</file>

<file path=xl/sharedStrings.xml><?xml version="1.0" encoding="utf-8"?>
<sst xmlns="http://schemas.openxmlformats.org/spreadsheetml/2006/main" count="80" uniqueCount="43">
  <si>
    <t>id</t>
  </si>
  <si>
    <t>游戏ID</t>
  </si>
  <si>
    <t>游戏名字</t>
  </si>
  <si>
    <t>房间类型</t>
  </si>
  <si>
    <t>游戏最低准备金额</t>
  </si>
  <si>
    <t>押分列表</t>
  </si>
  <si>
    <t>牌池ID</t>
  </si>
  <si>
    <t>血战结算的倍数</t>
  </si>
  <si>
    <t>结算剩余普通牌的倍数</t>
  </si>
  <si>
    <t>结算剩余手牌红2的倍数</t>
  </si>
  <si>
    <t>结算剩余手牌黑2的倍数</t>
  </si>
  <si>
    <t>结算剩余炸弹的倍数（三连对）</t>
  </si>
  <si>
    <t>结算剩余炸弹的倍数（四条）</t>
  </si>
  <si>
    <t>结算剩余炸弹的倍数（四连对）</t>
  </si>
  <si>
    <t>被管炸弹的倍数（三连对）</t>
  </si>
  <si>
    <t>被管炸弹的倍数（四条）</t>
  </si>
  <si>
    <t>被管炸弹的倍数（四连对）</t>
  </si>
  <si>
    <t>结算玩家最终赢分</t>
  </si>
  <si>
    <t>例如</t>
  </si>
  <si>
    <t>int</t>
  </si>
  <si>
    <t>string</t>
  </si>
  <si>
    <t>gameId</t>
  </si>
  <si>
    <t>roomId</t>
  </si>
  <si>
    <t>prepareamount</t>
  </si>
  <si>
    <t>betList</t>
  </si>
  <si>
    <t>poolId</t>
  </si>
  <si>
    <t>remainNormal1</t>
  </si>
  <si>
    <t>remainNormal</t>
  </si>
  <si>
    <t>remainred2</t>
  </si>
  <si>
    <t>remainblack2</t>
  </si>
  <si>
    <t>remainBoom1</t>
  </si>
  <si>
    <t>fourkindboom1</t>
  </si>
  <si>
    <t>fourpairsboom1</t>
  </si>
  <si>
    <t>remainBoom</t>
  </si>
  <si>
    <t>fourkindboom</t>
  </si>
  <si>
    <t>fourpairsboom</t>
  </si>
  <si>
    <t>南方前进</t>
  </si>
  <si>
    <t>最终赢分=剩余普通牌赢奖+剩余手牌2赢奖+剩余炸弹赢奖（炸弹结算是在牌局中即时结算）</t>
  </si>
  <si>
    <t>剩余手牌结算：玩家手牌剩10张牌，一个红2，一个黑2，一个四条炸弹，押分3000
玩家赢分=10×1×3000+4×3000+2×3000+1×8×3000
牌局中炸弹结算：ABCD四个玩家，A出了一个红2，然后被B的三连对炸弹炸了，B被C四条炸弹炸了，C被D四连对炸弹炸了，D被A更大的四连对炸弹炸了，最终赢家为A，输家为D,并且赔付此轮所有的输分（包括A出的红2，B出的三连对，C出的四条，D出的四连对，都算在D的头上）</t>
  </si>
  <si>
    <t>南方前进（血战）</t>
  </si>
  <si>
    <t>3_1|4_2</t>
  </si>
  <si>
    <t>最终赢分=名次赢奖+剩余手牌2赢奖+剩余炸弹赢奖（炸弹结算是在牌局中即时结算）</t>
  </si>
  <si>
    <t>南方前进-体验场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</si>
</sst>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tabSelected="1" zoomScale="90" zoomScaleNormal="90" workbookViewId="0">
      <selection activeCell="F27" sqref="F27"/>
    </sheetView>
  </sheetViews>
  <sheetFormatPr defaultColWidth="9" defaultRowHeight="16.5"/>
  <cols>
    <col min="1" max="1" width="12.5" style="1" customWidth="1"/>
    <col min="2" max="2" width="12" style="1" customWidth="1"/>
    <col min="3" max="3" width="15.75" style="1" customWidth="1"/>
    <col min="4" max="4" width="9" style="1"/>
    <col min="5" max="6" width="21.25" style="1" customWidth="1"/>
    <col min="7" max="7" width="9" style="1"/>
    <col min="8" max="9" width="19" customWidth="1"/>
    <col min="10" max="11" width="18.875" customWidth="1"/>
    <col min="12" max="12" width="22.375" customWidth="1"/>
    <col min="13" max="13" width="25.75" customWidth="1"/>
    <col min="14" max="14" width="31" customWidth="1"/>
    <col min="15" max="15" width="26.125" customWidth="1"/>
    <col min="16" max="16" width="21.5" customWidth="1"/>
    <col min="17" max="17" width="23.375" customWidth="1"/>
    <col min="18" max="18" width="26.625" customWidth="1"/>
    <col min="19" max="19" width="58.75" customWidth="1"/>
  </cols>
  <sheetData>
    <row r="1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2" t="s">
        <v>19</v>
      </c>
      <c r="B2" s="2" t="s">
        <v>19</v>
      </c>
      <c r="C2" s="2"/>
      <c r="D2" s="2" t="s">
        <v>19</v>
      </c>
      <c r="E2" s="2" t="s">
        <v>19</v>
      </c>
      <c r="F2" s="2" t="s">
        <v>19</v>
      </c>
      <c r="G2" s="2" t="s">
        <v>19</v>
      </c>
      <c r="H2" s="2" t="s">
        <v>20</v>
      </c>
      <c r="I2" s="2" t="s">
        <v>19</v>
      </c>
      <c r="J2" s="2" t="s">
        <v>19</v>
      </c>
      <c r="K2" s="2" t="s">
        <v>19</v>
      </c>
      <c r="L2" s="2" t="s">
        <v>19</v>
      </c>
      <c r="M2" s="2" t="s">
        <v>19</v>
      </c>
      <c r="N2" s="2" t="s">
        <v>19</v>
      </c>
      <c r="O2" s="2" t="s">
        <v>19</v>
      </c>
      <c r="P2" s="2" t="s">
        <v>19</v>
      </c>
      <c r="Q2" s="2" t="s">
        <v>19</v>
      </c>
    </row>
    <row r="3" spans="1:19">
      <c r="A3" s="2" t="s">
        <v>0</v>
      </c>
      <c r="B3" s="2" t="s">
        <v>21</v>
      </c>
      <c r="C3" s="2"/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2" t="s">
        <v>35</v>
      </c>
    </row>
    <row r="4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9">
      <c r="A5" s="1">
        <v>3004001</v>
      </c>
      <c r="B5" s="2">
        <v>300400</v>
      </c>
      <c r="C5" s="2" t="s">
        <v>36</v>
      </c>
      <c r="D5" s="2">
        <v>1</v>
      </c>
      <c r="E5" s="3">
        <f t="shared" ref="E5:E10" si="0">F5*52</f>
        <v>5200</v>
      </c>
      <c r="F5" s="3">
        <v>100</v>
      </c>
      <c r="G5" s="1">
        <v>100003</v>
      </c>
      <c r="H5" s="3"/>
      <c r="I5" s="3">
        <v>1</v>
      </c>
      <c r="J5" s="3">
        <v>4</v>
      </c>
      <c r="K5" s="3">
        <v>2</v>
      </c>
      <c r="L5" s="3">
        <v>6</v>
      </c>
      <c r="M5" s="4">
        <v>8</v>
      </c>
      <c r="N5" s="4">
        <v>10</v>
      </c>
      <c r="O5" s="3">
        <v>6</v>
      </c>
      <c r="P5" s="4">
        <v>8</v>
      </c>
      <c r="Q5" s="4">
        <v>10</v>
      </c>
      <c r="R5" s="4" t="s">
        <v>37</v>
      </c>
      <c r="S5" s="4" t="s">
        <v>38</v>
      </c>
    </row>
    <row r="6" spans="1:19">
      <c r="A6" s="1">
        <v>3004002</v>
      </c>
      <c r="B6" s="2">
        <v>300400</v>
      </c>
      <c r="C6" s="2" t="s">
        <v>36</v>
      </c>
      <c r="D6" s="1">
        <v>2</v>
      </c>
      <c r="E6" s="3">
        <f t="shared" si="0"/>
        <v>52000</v>
      </c>
      <c r="F6" s="3">
        <v>1000</v>
      </c>
      <c r="G6" s="1">
        <v>100003</v>
      </c>
      <c r="H6" s="3"/>
      <c r="I6" s="3">
        <v>1</v>
      </c>
      <c r="J6" s="3">
        <v>4</v>
      </c>
      <c r="K6" s="3">
        <v>2</v>
      </c>
      <c r="L6" s="3">
        <v>6</v>
      </c>
      <c r="M6" s="4">
        <v>8</v>
      </c>
      <c r="N6" s="4">
        <v>10</v>
      </c>
      <c r="O6" s="3">
        <v>6</v>
      </c>
      <c r="P6" s="4">
        <v>8</v>
      </c>
      <c r="Q6" s="4">
        <v>10</v>
      </c>
      <c r="R6" s="4"/>
      <c r="S6" s="4"/>
    </row>
    <row r="7" spans="1:19">
      <c r="A7" s="1">
        <v>3004003</v>
      </c>
      <c r="B7" s="2">
        <v>300400</v>
      </c>
      <c r="C7" s="2" t="s">
        <v>36</v>
      </c>
      <c r="D7" s="1">
        <v>3</v>
      </c>
      <c r="E7" s="3">
        <f t="shared" si="0"/>
        <v>520000</v>
      </c>
      <c r="F7" s="3">
        <v>10000</v>
      </c>
      <c r="G7" s="1">
        <v>100003</v>
      </c>
      <c r="H7" s="3"/>
      <c r="I7" s="3">
        <v>1</v>
      </c>
      <c r="J7" s="3">
        <v>4</v>
      </c>
      <c r="K7" s="3">
        <v>2</v>
      </c>
      <c r="L7" s="3">
        <v>6</v>
      </c>
      <c r="M7" s="4">
        <v>8</v>
      </c>
      <c r="N7" s="4">
        <v>10</v>
      </c>
      <c r="O7" s="3">
        <v>6</v>
      </c>
      <c r="P7" s="4">
        <v>8</v>
      </c>
      <c r="Q7" s="4">
        <v>10</v>
      </c>
      <c r="R7" s="4"/>
      <c r="S7" s="4"/>
    </row>
    <row r="8" spans="1:19">
      <c r="A8" s="1">
        <v>30040010</v>
      </c>
      <c r="B8" s="2">
        <v>300400</v>
      </c>
      <c r="C8" s="2" t="s">
        <v>36</v>
      </c>
      <c r="D8" s="2">
        <v>1</v>
      </c>
      <c r="E8" s="3">
        <f t="shared" si="0"/>
        <v>5200</v>
      </c>
      <c r="F8" s="3">
        <v>100</v>
      </c>
      <c r="G8" s="1">
        <v>100003</v>
      </c>
      <c r="H8" s="3"/>
      <c r="I8" s="3">
        <v>1</v>
      </c>
      <c r="J8" s="3">
        <v>4</v>
      </c>
      <c r="K8" s="3">
        <v>2</v>
      </c>
      <c r="L8" s="3">
        <v>6</v>
      </c>
      <c r="M8" s="4">
        <v>8</v>
      </c>
      <c r="N8" s="4">
        <v>10</v>
      </c>
      <c r="O8" s="3">
        <v>6</v>
      </c>
      <c r="P8" s="4">
        <v>8</v>
      </c>
      <c r="Q8" s="4">
        <v>10</v>
      </c>
      <c r="R8" s="4" t="s">
        <v>37</v>
      </c>
      <c r="S8" s="4" t="s">
        <v>38</v>
      </c>
    </row>
    <row r="9" spans="1:19">
      <c r="A9" s="1">
        <v>30040011</v>
      </c>
      <c r="B9" s="2">
        <v>300400</v>
      </c>
      <c r="C9" s="2" t="s">
        <v>36</v>
      </c>
      <c r="D9" s="1">
        <v>2</v>
      </c>
      <c r="E9" s="3">
        <f t="shared" si="0"/>
        <v>52000</v>
      </c>
      <c r="F9" s="3">
        <v>1000</v>
      </c>
      <c r="G9" s="1">
        <v>100003</v>
      </c>
      <c r="H9" s="3"/>
      <c r="I9" s="3">
        <v>1</v>
      </c>
      <c r="J9" s="3">
        <v>4</v>
      </c>
      <c r="K9" s="3">
        <v>2</v>
      </c>
      <c r="L9" s="3">
        <v>6</v>
      </c>
      <c r="M9" s="4">
        <v>8</v>
      </c>
      <c r="N9" s="4">
        <v>10</v>
      </c>
      <c r="O9" s="3">
        <v>6</v>
      </c>
      <c r="P9" s="4">
        <v>8</v>
      </c>
      <c r="Q9" s="4">
        <v>10</v>
      </c>
      <c r="R9" s="4"/>
      <c r="S9" s="4"/>
    </row>
    <row r="10" spans="1:19">
      <c r="A10" s="1">
        <v>30040012</v>
      </c>
      <c r="B10" s="2">
        <v>300400</v>
      </c>
      <c r="C10" s="2" t="s">
        <v>36</v>
      </c>
      <c r="D10" s="1">
        <v>3</v>
      </c>
      <c r="E10" s="3">
        <f t="shared" si="0"/>
        <v>520000</v>
      </c>
      <c r="F10" s="3">
        <v>10000</v>
      </c>
      <c r="G10" s="1">
        <v>100003</v>
      </c>
      <c r="H10" s="3"/>
      <c r="I10" s="3">
        <v>1</v>
      </c>
      <c r="J10" s="3">
        <v>4</v>
      </c>
      <c r="K10" s="3">
        <v>2</v>
      </c>
      <c r="L10" s="3">
        <v>6</v>
      </c>
      <c r="M10" s="4">
        <v>8</v>
      </c>
      <c r="N10" s="4">
        <v>10</v>
      </c>
      <c r="O10" s="3">
        <v>6</v>
      </c>
      <c r="P10" s="4">
        <v>8</v>
      </c>
      <c r="Q10" s="4">
        <v>10</v>
      </c>
      <c r="R10" s="4"/>
      <c r="S10" s="4"/>
    </row>
    <row r="11" spans="1:19">
      <c r="A11" s="1">
        <v>3004011</v>
      </c>
      <c r="B11" s="2">
        <v>300401</v>
      </c>
      <c r="C11" s="2" t="s">
        <v>39</v>
      </c>
      <c r="D11" s="2">
        <v>1</v>
      </c>
      <c r="E11" s="3">
        <f t="shared" ref="E11:E16" si="1">F11*12</f>
        <v>12000</v>
      </c>
      <c r="F11" s="3">
        <v>1000</v>
      </c>
      <c r="G11" s="1">
        <v>100003</v>
      </c>
      <c r="H11" s="3" t="s">
        <v>40</v>
      </c>
      <c r="I11" s="3"/>
      <c r="J11" s="3">
        <v>2</v>
      </c>
      <c r="K11" s="3">
        <v>1</v>
      </c>
      <c r="L11" s="3">
        <v>2</v>
      </c>
      <c r="M11" s="4">
        <v>3</v>
      </c>
      <c r="N11" s="4">
        <v>4</v>
      </c>
      <c r="O11" s="3">
        <v>2</v>
      </c>
      <c r="P11" s="4">
        <v>3</v>
      </c>
      <c r="Q11" s="4">
        <v>4</v>
      </c>
      <c r="R11" s="4" t="s">
        <v>41</v>
      </c>
    </row>
    <row r="12" spans="1:19">
      <c r="A12" s="1">
        <v>3004012</v>
      </c>
      <c r="B12" s="2">
        <v>300401</v>
      </c>
      <c r="C12" s="2" t="s">
        <v>39</v>
      </c>
      <c r="D12" s="1">
        <v>2</v>
      </c>
      <c r="E12" s="3">
        <f t="shared" si="1"/>
        <v>120000</v>
      </c>
      <c r="F12" s="3">
        <v>10000</v>
      </c>
      <c r="G12" s="1">
        <v>100003</v>
      </c>
      <c r="H12" s="3" t="s">
        <v>40</v>
      </c>
      <c r="I12" s="3"/>
      <c r="J12" s="3">
        <v>2</v>
      </c>
      <c r="K12" s="3">
        <v>1</v>
      </c>
      <c r="L12" s="3">
        <v>2</v>
      </c>
      <c r="M12" s="4">
        <v>3</v>
      </c>
      <c r="N12" s="4">
        <v>4</v>
      </c>
      <c r="O12" s="3">
        <v>2</v>
      </c>
      <c r="P12" s="4">
        <v>3</v>
      </c>
      <c r="Q12" s="4">
        <v>4</v>
      </c>
      <c r="R12" s="4"/>
    </row>
    <row r="13" spans="1:19">
      <c r="A13" s="1">
        <v>3004013</v>
      </c>
      <c r="B13" s="2">
        <v>300401</v>
      </c>
      <c r="C13" s="2" t="s">
        <v>39</v>
      </c>
      <c r="D13" s="1">
        <v>3</v>
      </c>
      <c r="E13" s="3">
        <f t="shared" si="1"/>
        <v>1200000</v>
      </c>
      <c r="F13" s="3">
        <v>100000</v>
      </c>
      <c r="G13" s="1">
        <v>100003</v>
      </c>
      <c r="H13" s="3" t="s">
        <v>40</v>
      </c>
      <c r="I13" s="3"/>
      <c r="J13" s="3">
        <v>2</v>
      </c>
      <c r="K13" s="3">
        <v>1</v>
      </c>
      <c r="L13" s="3">
        <v>2</v>
      </c>
      <c r="M13" s="4">
        <v>3</v>
      </c>
      <c r="N13" s="4">
        <v>4</v>
      </c>
      <c r="O13" s="3">
        <v>2</v>
      </c>
      <c r="P13" s="4">
        <v>3</v>
      </c>
      <c r="Q13" s="4">
        <v>4</v>
      </c>
      <c r="R13" s="4"/>
    </row>
    <row r="14" spans="1:19">
      <c r="A14" s="1">
        <v>30040110</v>
      </c>
      <c r="B14" s="2">
        <v>300401</v>
      </c>
      <c r="C14" s="2" t="s">
        <v>39</v>
      </c>
      <c r="D14" s="2">
        <v>1</v>
      </c>
      <c r="E14" s="3">
        <f t="shared" si="1"/>
        <v>12000</v>
      </c>
      <c r="F14" s="3">
        <v>1000</v>
      </c>
      <c r="G14" s="1">
        <v>100003</v>
      </c>
      <c r="H14" s="3" t="s">
        <v>40</v>
      </c>
      <c r="I14" s="3"/>
      <c r="J14" s="3">
        <v>2</v>
      </c>
      <c r="K14" s="3">
        <v>1</v>
      </c>
      <c r="L14" s="3">
        <v>2</v>
      </c>
      <c r="M14" s="4">
        <v>3</v>
      </c>
      <c r="N14" s="4">
        <v>4</v>
      </c>
      <c r="O14" s="3">
        <v>2</v>
      </c>
      <c r="P14" s="4">
        <v>3</v>
      </c>
      <c r="Q14" s="4">
        <v>4</v>
      </c>
      <c r="R14" s="4" t="s">
        <v>41</v>
      </c>
    </row>
    <row r="15" spans="1:19">
      <c r="A15" s="1">
        <v>30040111</v>
      </c>
      <c r="B15" s="2">
        <v>300401</v>
      </c>
      <c r="C15" s="2" t="s">
        <v>39</v>
      </c>
      <c r="D15" s="1">
        <v>2</v>
      </c>
      <c r="E15" s="3">
        <f t="shared" si="1"/>
        <v>120000</v>
      </c>
      <c r="F15" s="3">
        <v>10000</v>
      </c>
      <c r="G15" s="1">
        <v>100003</v>
      </c>
      <c r="H15" s="3" t="s">
        <v>40</v>
      </c>
      <c r="I15" s="3"/>
      <c r="J15" s="3">
        <v>2</v>
      </c>
      <c r="K15" s="3">
        <v>1</v>
      </c>
      <c r="L15" s="3">
        <v>2</v>
      </c>
      <c r="M15" s="4">
        <v>3</v>
      </c>
      <c r="N15" s="4">
        <v>4</v>
      </c>
      <c r="O15" s="3">
        <v>2</v>
      </c>
      <c r="P15" s="4">
        <v>3</v>
      </c>
      <c r="Q15" s="4">
        <v>4</v>
      </c>
      <c r="R15" s="4"/>
    </row>
    <row r="16" spans="1:19">
      <c r="A16" s="1">
        <v>30040112</v>
      </c>
      <c r="B16" s="2">
        <v>300401</v>
      </c>
      <c r="C16" s="2" t="s">
        <v>39</v>
      </c>
      <c r="D16" s="1">
        <v>3</v>
      </c>
      <c r="E16" s="3">
        <f t="shared" si="1"/>
        <v>1200000</v>
      </c>
      <c r="F16" s="3">
        <v>100000</v>
      </c>
      <c r="G16" s="1">
        <v>100003</v>
      </c>
      <c r="H16" s="3" t="s">
        <v>40</v>
      </c>
      <c r="I16" s="3"/>
      <c r="J16" s="3">
        <v>2</v>
      </c>
      <c r="K16" s="3">
        <v>1</v>
      </c>
      <c r="L16" s="3">
        <v>2</v>
      </c>
      <c r="M16" s="4">
        <v>3</v>
      </c>
      <c r="N16" s="4">
        <v>4</v>
      </c>
      <c r="O16" s="3">
        <v>2</v>
      </c>
      <c r="P16" s="4">
        <v>3</v>
      </c>
      <c r="Q16" s="4">
        <v>4</v>
      </c>
      <c r="R16" s="4"/>
    </row>
    <row r="17" customFormat="1" spans="1:19">
      <c r="A17" s="1">
        <v>30040231</v>
      </c>
      <c r="B17" s="2">
        <v>300402</v>
      </c>
      <c r="C17" s="2" t="s">
        <v>42</v>
      </c>
      <c r="D17" s="2">
        <v>1</v>
      </c>
      <c r="E17" s="3">
        <f t="shared" ref="E17:E19" si="2">F17*52</f>
        <v>5200</v>
      </c>
      <c r="F17" s="3">
        <v>100</v>
      </c>
      <c r="G17" s="1">
        <v>100003</v>
      </c>
      <c r="H17" s="1"/>
      <c r="I17" s="3">
        <v>1</v>
      </c>
      <c r="J17" s="3">
        <v>4</v>
      </c>
      <c r="K17" s="3">
        <v>2</v>
      </c>
      <c r="L17" s="3">
        <v>6</v>
      </c>
      <c r="M17" s="4">
        <v>8</v>
      </c>
      <c r="N17" s="4">
        <v>10</v>
      </c>
      <c r="O17" s="3">
        <v>6</v>
      </c>
      <c r="P17" s="4">
        <v>8</v>
      </c>
      <c r="Q17" s="4">
        <v>10</v>
      </c>
      <c r="R17" s="4" t="s">
        <v>37</v>
      </c>
      <c r="S17" s="4" t="s">
        <v>38</v>
      </c>
    </row>
    <row r="18" customFormat="1" spans="1:19">
      <c r="A18" s="1">
        <v>30040232</v>
      </c>
      <c r="B18" s="2">
        <v>300402</v>
      </c>
      <c r="C18" s="2" t="s">
        <v>42</v>
      </c>
      <c r="D18" s="1">
        <v>2</v>
      </c>
      <c r="E18" s="3">
        <f t="shared" si="2"/>
        <v>52000</v>
      </c>
      <c r="F18" s="3">
        <v>1000</v>
      </c>
      <c r="G18" s="1">
        <v>100003</v>
      </c>
      <c r="H18" s="1"/>
      <c r="I18" s="3">
        <v>1</v>
      </c>
      <c r="J18" s="3">
        <v>4</v>
      </c>
      <c r="K18" s="3">
        <v>2</v>
      </c>
      <c r="L18" s="3">
        <v>6</v>
      </c>
      <c r="M18" s="4">
        <v>8</v>
      </c>
      <c r="N18" s="4">
        <v>10</v>
      </c>
      <c r="O18" s="3">
        <v>6</v>
      </c>
      <c r="P18" s="4">
        <v>8</v>
      </c>
      <c r="Q18" s="4">
        <v>10</v>
      </c>
      <c r="R18" s="4"/>
      <c r="S18" s="4"/>
    </row>
    <row r="19" customFormat="1" spans="1:19">
      <c r="A19" s="1">
        <v>30040233</v>
      </c>
      <c r="B19" s="2">
        <v>300402</v>
      </c>
      <c r="C19" s="2" t="s">
        <v>42</v>
      </c>
      <c r="D19" s="1">
        <v>3</v>
      </c>
      <c r="E19" s="3">
        <f t="shared" si="2"/>
        <v>520000</v>
      </c>
      <c r="F19" s="3">
        <v>10000</v>
      </c>
      <c r="G19" s="1">
        <v>100003</v>
      </c>
      <c r="H19" s="1"/>
      <c r="I19" s="3">
        <v>1</v>
      </c>
      <c r="J19" s="3">
        <v>4</v>
      </c>
      <c r="K19" s="3">
        <v>2</v>
      </c>
      <c r="L19" s="3">
        <v>6</v>
      </c>
      <c r="M19" s="4">
        <v>8</v>
      </c>
      <c r="N19" s="4">
        <v>10</v>
      </c>
      <c r="O19" s="3">
        <v>6</v>
      </c>
      <c r="P19" s="4">
        <v>8</v>
      </c>
      <c r="Q19" s="4">
        <v>10</v>
      </c>
      <c r="R19" s="4"/>
      <c r="S19" s="4"/>
    </row>
  </sheetData>
  <mergeCells count="8">
    <mergeCell ref="R5:R7"/>
    <mergeCell ref="R8:R10"/>
    <mergeCell ref="R11:R13"/>
    <mergeCell ref="R14:R16"/>
    <mergeCell ref="R17:R19"/>
    <mergeCell ref="S5:S7"/>
    <mergeCell ref="S8:S10"/>
    <mergeCell ref="S17:S19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SouthernMoney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2023-05-12T11:15:00Z</dcterms:created>
  <dcterms:modified xsi:type="dcterms:W3CDTF">2026-05-06T03:37:55Z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DE7BA5880220444988700318B945C9E8_13</vt:lpwstr>
  </property>
  <property fmtid="{D5CDD505-2E9C-101B-9397-08002B2CF9AE}" pid="4" name="CalculationRule">
    <vt:i4>0</vt:i4>
  </property>
</Properties>
</file>