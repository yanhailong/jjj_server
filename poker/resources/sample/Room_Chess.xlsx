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<sst xmlns="http://schemas.openxmlformats.org/spreadsheetml/2006/main" count="133" uniqueCount="65">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</sst>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4" fillId="0" borderId="0" xfId="0" applyFont="1" applyFill="1" applyAlignment="1">
      <alignment horizontal="left" vertical="top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tabSelected="1" zoomScale="85" zoomScaleNormal="85" workbookViewId="0">
      <pane xSplit="5" ySplit="1" topLeftCell="I2" activePane="bottomRight" state="frozen"/>
      <selection/>
      <selection pane="topRight"/>
      <selection pane="bottomLeft"/>
      <selection pane="bottomRight" activeCell="M5" sqref="M5:M16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63.625" style="4" customWidth="1"/>
    <col min="8" max="9" width="28.625" style="3" customWidth="1"/>
    <col min="10" max="10" width="9.625" style="2" customWidth="1"/>
    <col min="11" max="12" width="9.25" style="3" customWidth="1"/>
    <col min="13" max="13" width="9.25" style="2" customWidth="1"/>
    <col min="14" max="14" width="13.25" style="2" customWidth="1"/>
    <col min="15" max="15" width="27.5" style="5" customWidth="1"/>
    <col min="16" max="16" width="27.5" style="2" customWidth="1"/>
    <col min="17" max="17" width="18.25" style="2" customWidth="1"/>
    <col min="18" max="18" width="19.125" style="2" customWidth="1"/>
    <col min="19" max="19" width="18.25" style="2" customWidth="1"/>
    <col min="20" max="16384" width="9" style="2"/>
  </cols>
  <sheetData>
    <row r="1" ht="24" customHeight="1" spans="1:19">
      <c r="A1" s="2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10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10" t="s">
        <v>10</v>
      </c>
      <c r="L1" s="11" t="s">
        <v>11</v>
      </c>
      <c r="M1" s="9" t="s">
        <v>12</v>
      </c>
      <c r="N1" s="12" t="s">
        <v>13</v>
      </c>
      <c r="O1" s="5" t="s">
        <v>14</v>
      </c>
      <c r="P1" s="2" t="s">
        <v>15</v>
      </c>
      <c r="Q1" t="s">
        <v>16</v>
      </c>
      <c r="R1" s="13" t="s">
        <v>17</v>
      </c>
      <c r="S1" s="14" t="s">
        <v>18</v>
      </c>
    </row>
    <row r="2" spans="1:19">
      <c r="A2" s="2" t="s">
        <v>19</v>
      </c>
      <c r="B2" s="2" t="s">
        <v>19</v>
      </c>
      <c r="D2" s="15" t="s">
        <v>19</v>
      </c>
      <c r="E2" s="2" t="s">
        <v>19</v>
      </c>
      <c r="F2" s="2" t="s">
        <v>20</v>
      </c>
      <c r="G2" s="2" t="s">
        <v>21</v>
      </c>
      <c r="H2" s="2" t="s">
        <v>19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16" t="s">
        <v>22</v>
      </c>
      <c r="P2" s="17" t="s">
        <v>23</v>
      </c>
      <c r="Q2" s="18" t="s">
        <v>24</v>
      </c>
      <c r="R2" s="8" t="s">
        <v>25</v>
      </c>
      <c r="S2" s="17" t="s">
        <v>19</v>
      </c>
    </row>
    <row r="3" spans="1:19">
      <c r="A3" s="2" t="s">
        <v>0</v>
      </c>
      <c r="B3" s="2" t="s">
        <v>26</v>
      </c>
      <c r="D3" s="8" t="s">
        <v>27</v>
      </c>
      <c r="E3" s="2" t="s">
        <v>28</v>
      </c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17" t="s">
        <v>36</v>
      </c>
      <c r="N3" s="2" t="s">
        <v>37</v>
      </c>
      <c r="O3" s="19" t="s">
        <v>38</v>
      </c>
      <c r="P3" s="17" t="s">
        <v>39</v>
      </c>
      <c r="Q3" t="s">
        <v>40</v>
      </c>
      <c r="R3" s="13" t="s">
        <v>41</v>
      </c>
      <c r="S3" s="17" t="s">
        <v>42</v>
      </c>
    </row>
    <row r="4" spans="1:19">
      <c r="F4" s="2"/>
      <c r="H4" s="4"/>
      <c r="I4" s="4"/>
      <c r="K4" s="2"/>
      <c r="L4" s="4"/>
      <c r="Q4"/>
      <c r="S4" s="20"/>
    </row>
    <row r="5" spans="1:19">
      <c r="A5" s="17">
        <f t="shared" ref="A5:A16" si="0">B5*10+E5</f>
        <v>3001001</v>
      </c>
      <c r="B5" s="2">
        <v>300100</v>
      </c>
      <c r="C5" s="2" t="s">
        <v>43</v>
      </c>
      <c r="D5" s="21">
        <v>300100001</v>
      </c>
      <c r="E5" s="2">
        <v>1</v>
      </c>
      <c r="F5" s="3" t="s">
        <v>44</v>
      </c>
      <c r="G5" s="4" t="s">
        <v>45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2">
        <v>300</v>
      </c>
      <c r="N5" s="2">
        <v>2</v>
      </c>
      <c r="O5" s="29" t="s">
        <v>46</v>
      </c>
      <c r="P5" s="2" t="s">
        <v>47</v>
      </c>
      <c r="Q5" t="s">
        <v>48</v>
      </c>
      <c r="R5" s="22" t="s">
        <v>49</v>
      </c>
      <c r="S5" s="23">
        <v>1990000</v>
      </c>
    </row>
    <row r="6" spans="1:19">
      <c r="A6" s="17">
        <f t="shared" si="0"/>
        <v>3001002</v>
      </c>
      <c r="B6" s="2">
        <v>300100</v>
      </c>
      <c r="C6" s="2" t="s">
        <v>43</v>
      </c>
      <c r="D6" s="21">
        <v>300100001</v>
      </c>
      <c r="E6" s="2">
        <v>2</v>
      </c>
      <c r="F6" s="3" t="s">
        <v>44</v>
      </c>
      <c r="G6" s="4" t="s">
        <v>45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2">
        <v>300</v>
      </c>
      <c r="N6" s="2">
        <v>2</v>
      </c>
      <c r="O6" s="29" t="s">
        <v>46</v>
      </c>
      <c r="P6" s="2" t="s">
        <v>47</v>
      </c>
      <c r="Q6" t="s">
        <v>50</v>
      </c>
      <c r="R6" s="22" t="s">
        <v>49</v>
      </c>
      <c r="S6" s="23">
        <v>1990000</v>
      </c>
    </row>
    <row r="7" spans="1:19">
      <c r="A7" s="17">
        <f t="shared" si="0"/>
        <v>3001003</v>
      </c>
      <c r="B7" s="2">
        <v>300100</v>
      </c>
      <c r="C7" s="2" t="s">
        <v>43</v>
      </c>
      <c r="D7" s="21">
        <v>300100001</v>
      </c>
      <c r="E7" s="2">
        <v>3</v>
      </c>
      <c r="F7" s="3" t="s">
        <v>44</v>
      </c>
      <c r="G7" s="4" t="s">
        <v>45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2">
        <v>300</v>
      </c>
      <c r="N7" s="2">
        <v>2</v>
      </c>
      <c r="O7" s="29" t="s">
        <v>46</v>
      </c>
      <c r="P7" s="2" t="s">
        <v>47</v>
      </c>
      <c r="Q7" t="s">
        <v>51</v>
      </c>
      <c r="R7" s="22" t="s">
        <v>49</v>
      </c>
      <c r="S7" s="23">
        <v>1990000</v>
      </c>
    </row>
    <row r="8" spans="1:19">
      <c r="A8" s="17">
        <f t="shared" si="0"/>
        <v>3002001</v>
      </c>
      <c r="B8" s="2">
        <v>300200</v>
      </c>
      <c r="C8" s="2" t="s">
        <v>52</v>
      </c>
      <c r="D8" s="21">
        <v>300200006</v>
      </c>
      <c r="E8" s="2">
        <v>1</v>
      </c>
      <c r="F8" s="3" t="s">
        <v>53</v>
      </c>
      <c r="G8" s="4" t="s">
        <v>54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2">
        <v>300</v>
      </c>
      <c r="N8" s="2">
        <v>2</v>
      </c>
      <c r="O8" s="29" t="s">
        <v>46</v>
      </c>
      <c r="P8" s="2" t="s">
        <v>55</v>
      </c>
      <c r="Q8" t="s">
        <v>48</v>
      </c>
      <c r="R8" s="2">
        <v>0</v>
      </c>
      <c r="S8" s="23">
        <v>1990000</v>
      </c>
    </row>
    <row r="9" spans="1:19">
      <c r="A9" s="17">
        <f t="shared" si="0"/>
        <v>3002002</v>
      </c>
      <c r="B9" s="2">
        <v>300200</v>
      </c>
      <c r="C9" s="2" t="s">
        <v>52</v>
      </c>
      <c r="D9" s="21">
        <v>300200006</v>
      </c>
      <c r="E9" s="2">
        <v>2</v>
      </c>
      <c r="F9" s="3" t="s">
        <v>53</v>
      </c>
      <c r="G9" s="4" t="s">
        <v>54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2">
        <v>300</v>
      </c>
      <c r="N9" s="2">
        <v>2</v>
      </c>
      <c r="O9" s="29" t="s">
        <v>46</v>
      </c>
      <c r="P9" s="2" t="s">
        <v>55</v>
      </c>
      <c r="Q9" t="s">
        <v>50</v>
      </c>
      <c r="R9" s="2">
        <v>0</v>
      </c>
      <c r="S9" s="23">
        <v>1990000</v>
      </c>
    </row>
    <row r="10" spans="1:19">
      <c r="A10" s="17">
        <f t="shared" si="0"/>
        <v>3002003</v>
      </c>
      <c r="B10" s="2">
        <v>300200</v>
      </c>
      <c r="C10" s="2" t="s">
        <v>52</v>
      </c>
      <c r="D10" s="21">
        <v>300200006</v>
      </c>
      <c r="E10" s="2">
        <v>3</v>
      </c>
      <c r="F10" s="3" t="s">
        <v>53</v>
      </c>
      <c r="G10" s="4" t="s">
        <v>54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2">
        <v>300</v>
      </c>
      <c r="N10" s="2">
        <v>2</v>
      </c>
      <c r="O10" s="29" t="s">
        <v>46</v>
      </c>
      <c r="P10" s="2" t="s">
        <v>55</v>
      </c>
      <c r="Q10" t="s">
        <v>51</v>
      </c>
      <c r="R10" s="2">
        <v>0</v>
      </c>
      <c r="S10" s="23">
        <v>1990000</v>
      </c>
    </row>
    <row r="11" spans="1:19">
      <c r="A11" s="17">
        <f t="shared" si="0"/>
        <v>3004001</v>
      </c>
      <c r="B11" s="2">
        <v>300400</v>
      </c>
      <c r="C11" s="2" t="s">
        <v>56</v>
      </c>
      <c r="D11" s="21">
        <v>300400001</v>
      </c>
      <c r="E11" s="2">
        <v>1</v>
      </c>
      <c r="F11" s="3" t="s">
        <v>57</v>
      </c>
      <c r="G11" s="4" t="s">
        <v>58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2">
        <v>300</v>
      </c>
      <c r="N11" s="2">
        <v>13</v>
      </c>
      <c r="O11" s="29" t="s">
        <v>46</v>
      </c>
      <c r="P11" s="2" t="s">
        <v>59</v>
      </c>
      <c r="Q11" t="s">
        <v>48</v>
      </c>
      <c r="R11" s="2">
        <v>0</v>
      </c>
      <c r="S11" s="23">
        <v>1990000</v>
      </c>
    </row>
    <row r="12" spans="1:19">
      <c r="A12" s="17">
        <f t="shared" si="0"/>
        <v>3004002</v>
      </c>
      <c r="B12" s="2">
        <v>300400</v>
      </c>
      <c r="C12" s="2" t="s">
        <v>56</v>
      </c>
      <c r="D12" s="21">
        <v>300400001</v>
      </c>
      <c r="E12" s="2">
        <v>2</v>
      </c>
      <c r="F12" s="3" t="s">
        <v>57</v>
      </c>
      <c r="G12" s="4" t="s">
        <v>58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2">
        <v>300</v>
      </c>
      <c r="N12" s="2">
        <v>13</v>
      </c>
      <c r="O12" s="29" t="s">
        <v>46</v>
      </c>
      <c r="P12" s="2" t="s">
        <v>59</v>
      </c>
      <c r="Q12" t="s">
        <v>50</v>
      </c>
      <c r="R12" s="2">
        <v>0</v>
      </c>
      <c r="S12" s="23">
        <v>1990000</v>
      </c>
    </row>
    <row r="13" spans="1:19">
      <c r="A13" s="17">
        <f t="shared" si="0"/>
        <v>3004003</v>
      </c>
      <c r="B13" s="2">
        <v>300400</v>
      </c>
      <c r="C13" s="2" t="s">
        <v>56</v>
      </c>
      <c r="D13" s="21">
        <v>300400001</v>
      </c>
      <c r="E13" s="2">
        <v>3</v>
      </c>
      <c r="F13" s="3" t="s">
        <v>57</v>
      </c>
      <c r="G13" s="4" t="s">
        <v>58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2">
        <v>300</v>
      </c>
      <c r="N13" s="2">
        <v>13</v>
      </c>
      <c r="O13" s="29" t="s">
        <v>46</v>
      </c>
      <c r="P13" s="2" t="s">
        <v>59</v>
      </c>
      <c r="Q13" t="s">
        <v>51</v>
      </c>
      <c r="R13" s="2">
        <v>0</v>
      </c>
      <c r="S13" s="23">
        <v>1990000</v>
      </c>
    </row>
    <row r="14" s="1" customFormat="1" spans="1:19">
      <c r="A14" s="24">
        <v>30020010</v>
      </c>
      <c r="B14" s="1">
        <v>300200</v>
      </c>
      <c r="C14" s="1" t="s">
        <v>52</v>
      </c>
      <c r="D14" s="24">
        <v>300200006</v>
      </c>
      <c r="E14" s="1">
        <v>1</v>
      </c>
      <c r="F14" s="25" t="s">
        <v>53</v>
      </c>
      <c r="G14" s="26" t="s">
        <v>60</v>
      </c>
      <c r="H14" s="25">
        <v>180000</v>
      </c>
      <c r="I14" s="25">
        <v>16008</v>
      </c>
      <c r="J14" s="25">
        <v>1</v>
      </c>
      <c r="K14" s="25">
        <v>2</v>
      </c>
      <c r="L14" s="25">
        <v>9</v>
      </c>
      <c r="M14" s="2">
        <v>300</v>
      </c>
      <c r="N14" s="1">
        <v>2</v>
      </c>
      <c r="O14" s="29" t="s">
        <v>46</v>
      </c>
      <c r="P14" s="1" t="s">
        <v>61</v>
      </c>
      <c r="Q14" s="27" t="s">
        <v>48</v>
      </c>
      <c r="R14" s="26" t="s">
        <v>62</v>
      </c>
      <c r="S14" s="28">
        <v>1980000</v>
      </c>
    </row>
    <row r="15" s="1" customFormat="1" spans="1:19">
      <c r="A15" s="24">
        <v>30020011</v>
      </c>
      <c r="B15" s="1">
        <v>300200</v>
      </c>
      <c r="C15" s="1" t="s">
        <v>52</v>
      </c>
      <c r="D15" s="24">
        <v>300200006</v>
      </c>
      <c r="E15" s="1">
        <v>2</v>
      </c>
      <c r="F15" s="25" t="s">
        <v>53</v>
      </c>
      <c r="G15" s="26" t="s">
        <v>60</v>
      </c>
      <c r="H15" s="25">
        <v>180000</v>
      </c>
      <c r="I15" s="25">
        <v>16008</v>
      </c>
      <c r="J15" s="25">
        <v>1</v>
      </c>
      <c r="K15" s="25">
        <v>2</v>
      </c>
      <c r="L15" s="25">
        <v>9</v>
      </c>
      <c r="M15" s="2">
        <v>300</v>
      </c>
      <c r="N15" s="1">
        <v>2</v>
      </c>
      <c r="O15" s="29" t="s">
        <v>46</v>
      </c>
      <c r="P15" s="1" t="s">
        <v>61</v>
      </c>
      <c r="Q15" s="27" t="s">
        <v>50</v>
      </c>
      <c r="R15" s="26" t="s">
        <v>63</v>
      </c>
      <c r="S15" s="28">
        <v>1980000</v>
      </c>
    </row>
    <row r="16" s="1" customFormat="1" spans="1:19">
      <c r="A16" s="24">
        <v>30020012</v>
      </c>
      <c r="B16" s="1">
        <v>300200</v>
      </c>
      <c r="C16" s="1" t="s">
        <v>52</v>
      </c>
      <c r="D16" s="24">
        <v>300200006</v>
      </c>
      <c r="E16" s="1">
        <v>3</v>
      </c>
      <c r="F16" s="25" t="s">
        <v>53</v>
      </c>
      <c r="G16" s="26" t="s">
        <v>60</v>
      </c>
      <c r="H16" s="25">
        <v>180000</v>
      </c>
      <c r="I16" s="25">
        <v>16008</v>
      </c>
      <c r="J16" s="25">
        <v>1</v>
      </c>
      <c r="K16" s="25">
        <v>2</v>
      </c>
      <c r="L16" s="25">
        <v>9</v>
      </c>
      <c r="M16" s="2">
        <v>300</v>
      </c>
      <c r="N16" s="1">
        <v>2</v>
      </c>
      <c r="O16" s="29" t="s">
        <v>46</v>
      </c>
      <c r="P16" s="1" t="s">
        <v>61</v>
      </c>
      <c r="Q16" s="27" t="s">
        <v>51</v>
      </c>
      <c r="R16" s="26" t="s">
        <v>64</v>
      </c>
      <c r="S16" s="28">
        <v>1980000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2026-01-13T01:35:07Z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