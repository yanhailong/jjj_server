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java\project2\poker\resources\sample\"/>
    </mc:Choice>
  </mc:AlternateContent>
  <xr:revisionPtr revIDLastSave="0" documentId="13_ncr:1_{6597C83A-4F61-4873-A324-0BB58AE46A43}" xr6:coauthVersionLast="47" xr6:coauthVersionMax="47" xr10:uidLastSave="{00000000-0000-0000-0000-000000000000}"/>
  <bookViews>
    <workbookView xWindow="-120" yWindow="-120" windowWidth="29040" windowHeight="15720" tabRatio="824" xr2:uid="{00000000-000D-0000-FFFF-FFFF00000000}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16" i="1" l="1"/>
  <c r="U13" i="1"/>
  <c r="A13" i="1"/>
  <c r="U12" i="1"/>
  <c r="A12" i="1"/>
  <c r="U11" i="1"/>
  <c r="A11" i="1"/>
  <c r="U10" i="1"/>
  <c r="A10" i="1"/>
  <c r="U9" i="1"/>
  <c r="A9" i="1"/>
  <c r="U8" i="1"/>
  <c r="A8" i="1"/>
  <c r="U7" i="1"/>
  <c r="A7" i="1"/>
  <c r="U6" i="1"/>
  <c r="A6" i="1"/>
  <c r="U5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chuge</author>
    <author>作者</author>
    <author>Administrator</author>
  </authors>
  <commentList>
    <comment ref="E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1 基础场
</t>
        </r>
        <r>
          <rPr>
            <sz val="9"/>
            <rFont val="宋体"/>
            <family val="3"/>
            <charset val="134"/>
          </rPr>
          <t>2 中级场
3 高级场</t>
        </r>
      </text>
    </comment>
    <comment ref="G1" authorId="1" shapeId="0" xr:uid="{00000000-0006-0000-0000-000002000000}">
      <text>
        <r>
          <rPr>
            <sz val="9"/>
            <rFont val="宋体"/>
            <family val="3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 shapeId="0" xr:uid="{00000000-0006-0000-0000-000003000000}">
      <text>
        <r>
          <rPr>
            <sz val="9"/>
            <rFont val="宋体"/>
            <family val="3"/>
            <charset val="134"/>
          </rPr>
          <t>系统抽水:
1.放大10000倍;
2.500为 0.05, 即 5%;</t>
        </r>
      </text>
    </comment>
    <comment ref="N1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实际进入标准池金额 = 玩家下注 * 系统赢抽水</t>
        </r>
      </text>
    </comment>
    <comment ref="Q1" authorId="2" shapeId="0" xr:uid="{00000000-0006-0000-0000-000005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道具ID_数量</t>
        </r>
      </text>
    </comment>
    <comment ref="U1" authorId="2" shapeId="0" xr:uid="{00000000-0006-0000-0000-000008000000}">
      <text>
        <r>
          <rPr>
            <sz val="9"/>
            <rFont val="宋体"/>
            <family val="3"/>
            <charset val="134"/>
          </rPr>
          <t>最大押分值*10000</t>
        </r>
      </text>
    </comment>
    <comment ref="H3" authorId="2" shapeId="0" xr:uid="{00000000-0006-0000-0000-000009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这个字段程序要求首字母大写
历史遗留问题</t>
        </r>
      </text>
    </comment>
    <comment ref="I3" authorId="2" shapeId="0" xr:uid="{00000000-0006-0000-0000-00000A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<sst xmlns="http://schemas.openxmlformats.org/spreadsheetml/2006/main" count="139" uniqueCount="71">
  <si>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</si>
  <si>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</si>
  <si>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</si>
  <si>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</si>
  <si>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</si>
  <si>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</si>
  <si>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</si>
  <si>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</si>
  <si>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</si>
  <si>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</si>
  <si>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</si>
  <si>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</si>
  <si>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</si>
  <si>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</si>
  <si>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</si>
  <si>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</si>
  <si>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</si>
  <si>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</si>
  <si>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</si>
  <si>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</si>
  <si>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</si>
  <si>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</si>
  <si>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</si>
  <si>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</si>
  <si>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</si>
  <si>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</si>
  <si>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</si>
  <si>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</si>
  <si>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</si>
  <si>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</si>
  <si>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</si>
  <si>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</si>
  <si>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</si>
  <si>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</si>
  <si>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</si>
  <si>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</si>
  <si>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</si>
  <si>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</si>
  <si>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</si>
  <si>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</si>
  <si>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</si>
  <si>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</si>
  <si>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</si>
  <si>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</si>
  <si>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</si>
  <si>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</si>
  <si>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</si>
  <si>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</si>
  <si>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</si>
  <si>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</si>
  <si>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</si>
  <si>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</si>
  <si>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</si>
  <si>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</si>
  <si>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</si>
  <si>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</si>
  <si>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</si>
  <si>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</si>
  <si>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</si>
  <si>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</si>
  <si>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0:6:4|6:12:5|12:18:5|18:24:5</t>
  </si>
  <si>
    <t>南方前进</t>
  </si>
  <si>
    <t>SouthernMoney</t>
  </si>
  <si>
    <t>2,2000;4,3000;12,15000;9,5000;10,3000</t>
  </si>
  <si>
    <t>0:6:2|6:12:2|12:18:2|18:24:2</t>
  </si>
  <si>
    <t>1,30000;11,200;4,300;7,7000;8,0;9,6000;10,0;13,1000</t>
  </si>
  <si>
    <t>0:6:0|6:12:0|12:18:0|18:24:0</t>
  </si>
  <si>
    <t>1980000_10000</t>
  </si>
  <si>
    <t>1980000_100000</t>
  </si>
  <si>
    <t>0:6:3|6:12:2|12:18:2|18:24:3</t>
    <phoneticPr fontId="11" type="noConversion"/>
  </si>
  <si>
    <t>0:6:2|6:12:2|12:18:2|18:24:2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</si>
</sst>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0_);[Red]\(0\)"/>
  </numFmts>
  <fonts count="12">
    <font>
      <sz val="11"/>
      <color theme="1"/>
      <name val="等线"/>
      <charset val="134"/>
      <scheme val="minor"/>
    </font>
    <font>
      <sz val="1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2"/>
      <color rgb="FF000000"/>
      <name val="Noto Sans CJK SC Regular"/>
      <family val="1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3408001953185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3">
    <xf numFmtId="0" fontId="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7" fillId="0" borderId="0">
      <alignment vertical="center"/>
    </xf>
    <xf numFmtId="43" fontId="10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11" applyNumberFormat="1" applyFont="1" applyFill="1" applyBorder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0" fontId="1" fillId="9" borderId="0" xfId="0" applyFont="1" applyFill="1" applyAlignment="1">
      <alignment horizontal="center" vertical="center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Fill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9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11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1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11" borderId="0" xfId="0" applyNumberFormat="1" applyFont="1" applyFill="1" applyBorder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176" fontId="6" fillId="0" borderId="0" xfId="0" applyNumberFormat="1" applyFont="1" applyFill="1" applyAlignment="1">
      <alignment horizontal="left" vertical="top"/>
    </xf>
    <xf numFmtId="49" fontId="1" fillId="0" borderId="0" xfId="0" quotePrefix="1" applyNumberFormat="1" applyFont="1" applyAlignment="1">
      <alignment horizontal="center" vertical="center"/>
    </xf>
  </cellXfs>
  <cellStyles count="13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2 3" xfId="4" xr:uid="{00000000-0005-0000-0000-000034000000}"/>
    <cellStyle name="常规 2 3 2" xfId="5" xr:uid="{00000000-0005-0000-0000-000035000000}"/>
    <cellStyle name="常规 3 2" xfId="6" xr:uid="{00000000-0005-0000-0000-000036000000}"/>
    <cellStyle name="常规 3 2 2" xfId="7" xr:uid="{00000000-0005-0000-0000-000037000000}"/>
    <cellStyle name="常规 3 2 3" xfId="8" xr:uid="{00000000-0005-0000-0000-000038000000}"/>
    <cellStyle name="常规 4" xfId="9" xr:uid="{00000000-0005-0000-0000-000039000000}"/>
    <cellStyle name="常规 5" xfId="10" xr:uid="{00000000-0005-0000-0000-00003A000000}"/>
    <cellStyle name="常规 6" xfId="11" xr:uid="{00000000-0005-0000-0000-00003B000000}"/>
    <cellStyle name="千位分隔 2" xfId="12" xr:uid="{00000000-0005-0000-0000-00003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5"/>
  <sheetViews>
    <sheetView tabSelected="1" zoomScale="85" zoomScaleNormal="85" workbookViewId="0">
      <pane xSplit="5" ySplit="1" topLeftCell="H2" activePane="bottomRight" state="frozen"/>
      <selection pane="topRight"/>
      <selection pane="bottomLeft"/>
      <selection pane="bottomRight" activeCell="N10" sqref="N10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25" style="4" customWidth="1"/>
    <col min="8" max="8" width="10.12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5" style="2" customWidth="1"/>
    <col min="16" max="16" width="10.625" style="5" customWidth="1"/>
    <col min="17" max="17" width="36.5" style="2" bestFit="1" customWidth="1"/>
    <col min="18" max="18" width="18.25" style="2" customWidth="1"/>
    <col min="19" max="19" width="19.125" style="2" customWidth="1"/>
    <col min="20" max="20" width="18.25" style="2" customWidth="1"/>
    <col min="21" max="21" width="14.25" style="6" customWidth="1"/>
    <col min="22" max="16384" width="9" style="2"/>
  </cols>
  <sheetData>
    <row r="1" spans="1:21" ht="24" customHeight="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9" t="s">
        <v>21</v>
      </c>
      <c r="N2" s="13" t="s">
        <v>21</v>
      </c>
      <c r="O2" s="2" t="s">
        <v>21</v>
      </c>
      <c r="P2" s="20" t="s">
        <v>24</v>
      </c>
      <c r="Q2" s="21" t="s">
        <v>25</v>
      </c>
      <c r="R2" s="22" t="s">
        <v>26</v>
      </c>
      <c r="S2" s="9" t="s">
        <v>27</v>
      </c>
      <c r="T2" s="21" t="s">
        <v>21</v>
      </c>
      <c r="U2" s="23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4" t="s">
        <v>39</v>
      </c>
      <c r="N3" s="25" t="s">
        <v>40</v>
      </c>
      <c r="O3" s="2" t="s">
        <v>41</v>
      </c>
      <c r="P3" s="26" t="s">
        <v>42</v>
      </c>
      <c r="Q3" s="21" t="s">
        <v>43</v>
      </c>
      <c r="R3" t="s">
        <v>44</v>
      </c>
      <c r="S3" s="15" t="s">
        <v>45</v>
      </c>
      <c r="T3" s="21" t="s">
        <v>46</v>
      </c>
      <c r="U3" s="23" t="s">
        <v>47</v>
      </c>
    </row>
    <row r="4" spans="1:21">
      <c r="F4" s="2"/>
      <c r="H4" s="4"/>
      <c r="I4" s="4"/>
      <c r="K4" s="2"/>
      <c r="L4" s="4"/>
      <c r="M4" s="19"/>
      <c r="N4" s="13"/>
      <c r="R4"/>
      <c r="T4" s="27"/>
      <c r="U4" s="28"/>
    </row>
    <row r="5" spans="1:21">
      <c r="A5" s="21">
        <f t="shared" ref="A5:A13" si="0">B5*10+E5</f>
        <v>3001001</v>
      </c>
      <c r="B5" s="2">
        <v>300100</v>
      </c>
      <c r="C5" s="2" t="s">
        <v>48</v>
      </c>
      <c r="D5" s="29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9">
        <v>300</v>
      </c>
      <c r="N5" s="13">
        <v>10000</v>
      </c>
      <c r="O5" s="2">
        <v>2</v>
      </c>
      <c r="P5" s="39" t="s">
        <v>51</v>
      </c>
      <c r="Q5" s="2" t="s">
        <v>69</v>
      </c>
      <c r="R5" t="s">
        <v>53</v>
      </c>
      <c r="S5" s="30" t="s">
        <v>54</v>
      </c>
      <c r="T5" s="31">
        <v>1990000</v>
      </c>
      <c r="U5" s="32">
        <f>100*100000</f>
        <v>10000000</v>
      </c>
    </row>
    <row r="6" spans="1:21">
      <c r="A6" s="21">
        <f t="shared" si="0"/>
        <v>3001002</v>
      </c>
      <c r="B6" s="2">
        <v>300100</v>
      </c>
      <c r="C6" s="2" t="s">
        <v>48</v>
      </c>
      <c r="D6" s="29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9">
        <v>300</v>
      </c>
      <c r="N6" s="13">
        <v>10000</v>
      </c>
      <c r="O6" s="2">
        <v>2</v>
      </c>
      <c r="P6" s="39" t="s">
        <v>51</v>
      </c>
      <c r="Q6" s="2" t="s">
        <v>52</v>
      </c>
      <c r="R6" t="s">
        <v>55</v>
      </c>
      <c r="S6" s="30" t="s">
        <v>54</v>
      </c>
      <c r="T6" s="31">
        <v>1990000</v>
      </c>
      <c r="U6" s="32">
        <f t="shared" ref="U6:U10" si="1">U5*10</f>
        <v>100000000</v>
      </c>
    </row>
    <row r="7" spans="1:21">
      <c r="A7" s="21">
        <f t="shared" si="0"/>
        <v>3001003</v>
      </c>
      <c r="B7" s="2">
        <v>300100</v>
      </c>
      <c r="C7" s="2" t="s">
        <v>48</v>
      </c>
      <c r="D7" s="29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9">
        <v>300</v>
      </c>
      <c r="N7" s="13">
        <v>10000</v>
      </c>
      <c r="O7" s="2">
        <v>2</v>
      </c>
      <c r="P7" s="39" t="s">
        <v>51</v>
      </c>
      <c r="Q7" s="2" t="s">
        <v>52</v>
      </c>
      <c r="R7" t="s">
        <v>56</v>
      </c>
      <c r="S7" s="30" t="s">
        <v>54</v>
      </c>
      <c r="T7" s="31">
        <v>1990000</v>
      </c>
      <c r="U7" s="32">
        <f t="shared" si="1"/>
        <v>1000000000</v>
      </c>
    </row>
    <row r="8" spans="1:21">
      <c r="A8" s="21">
        <f t="shared" si="0"/>
        <v>3002001</v>
      </c>
      <c r="B8" s="2">
        <v>300200</v>
      </c>
      <c r="C8" s="2" t="s">
        <v>57</v>
      </c>
      <c r="D8" s="29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9">
        <v>300</v>
      </c>
      <c r="N8" s="13">
        <v>10000</v>
      </c>
      <c r="O8" s="2">
        <v>2</v>
      </c>
      <c r="P8" s="39" t="s">
        <v>51</v>
      </c>
      <c r="Q8" s="2" t="s">
        <v>70</v>
      </c>
      <c r="R8" t="s">
        <v>53</v>
      </c>
      <c r="S8" s="2">
        <v>0</v>
      </c>
      <c r="T8" s="31">
        <v>1990000</v>
      </c>
      <c r="U8" s="32">
        <f>100*100000</f>
        <v>10000000</v>
      </c>
    </row>
    <row r="9" spans="1:21">
      <c r="A9" s="21">
        <f t="shared" si="0"/>
        <v>3002002</v>
      </c>
      <c r="B9" s="2">
        <v>300200</v>
      </c>
      <c r="C9" s="2" t="s">
        <v>57</v>
      </c>
      <c r="D9" s="29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9">
        <v>300</v>
      </c>
      <c r="N9" s="13">
        <v>10000</v>
      </c>
      <c r="O9" s="2">
        <v>2</v>
      </c>
      <c r="P9" s="39" t="s">
        <v>51</v>
      </c>
      <c r="Q9" s="2" t="s">
        <v>60</v>
      </c>
      <c r="R9" t="s">
        <v>55</v>
      </c>
      <c r="S9" s="2">
        <v>0</v>
      </c>
      <c r="T9" s="31">
        <v>1990000</v>
      </c>
      <c r="U9" s="32">
        <f t="shared" si="1"/>
        <v>100000000</v>
      </c>
    </row>
    <row r="10" spans="1:21">
      <c r="A10" s="21">
        <f t="shared" si="0"/>
        <v>3002003</v>
      </c>
      <c r="B10" s="2">
        <v>300200</v>
      </c>
      <c r="C10" s="2" t="s">
        <v>57</v>
      </c>
      <c r="D10" s="29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9">
        <v>300</v>
      </c>
      <c r="N10" s="13">
        <v>10000</v>
      </c>
      <c r="O10" s="2">
        <v>2</v>
      </c>
      <c r="P10" s="39" t="s">
        <v>51</v>
      </c>
      <c r="Q10" s="2" t="s">
        <v>60</v>
      </c>
      <c r="R10" t="s">
        <v>56</v>
      </c>
      <c r="S10" s="2">
        <v>0</v>
      </c>
      <c r="T10" s="31">
        <v>1990000</v>
      </c>
      <c r="U10" s="32">
        <f t="shared" si="1"/>
        <v>1000000000</v>
      </c>
    </row>
    <row r="11" spans="1:21">
      <c r="A11" s="21">
        <f t="shared" si="0"/>
        <v>3004001</v>
      </c>
      <c r="B11" s="2">
        <v>300400</v>
      </c>
      <c r="C11" s="2" t="s">
        <v>61</v>
      </c>
      <c r="D11" s="29">
        <v>300400001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3000</v>
      </c>
      <c r="K11" s="3">
        <v>2</v>
      </c>
      <c r="L11" s="3">
        <v>4</v>
      </c>
      <c r="M11" s="19">
        <v>300</v>
      </c>
      <c r="N11" s="13">
        <v>9700</v>
      </c>
      <c r="O11" s="2">
        <v>13</v>
      </c>
      <c r="P11" s="39" t="s">
        <v>51</v>
      </c>
      <c r="Q11" s="2" t="s">
        <v>64</v>
      </c>
      <c r="R11" t="s">
        <v>53</v>
      </c>
      <c r="S11" s="2">
        <v>0</v>
      </c>
      <c r="T11" s="31">
        <v>1990000</v>
      </c>
      <c r="U11" s="32">
        <f>100*100000</f>
        <v>10000000</v>
      </c>
    </row>
    <row r="12" spans="1:21">
      <c r="A12" s="21">
        <f t="shared" si="0"/>
        <v>3004002</v>
      </c>
      <c r="B12" s="2">
        <v>300400</v>
      </c>
      <c r="C12" s="2" t="s">
        <v>61</v>
      </c>
      <c r="D12" s="29">
        <v>300400001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3000</v>
      </c>
      <c r="K12" s="3">
        <v>2</v>
      </c>
      <c r="L12" s="3">
        <v>4</v>
      </c>
      <c r="M12" s="19">
        <v>300</v>
      </c>
      <c r="N12" s="13">
        <v>9700</v>
      </c>
      <c r="O12" s="2">
        <v>13</v>
      </c>
      <c r="P12" s="39" t="s">
        <v>51</v>
      </c>
      <c r="Q12" s="2" t="s">
        <v>64</v>
      </c>
      <c r="R12" t="s">
        <v>55</v>
      </c>
      <c r="S12" s="2">
        <v>0</v>
      </c>
      <c r="T12" s="31">
        <v>1990000</v>
      </c>
      <c r="U12" s="32">
        <f t="shared" ref="U12:U16" si="2">U11*10</f>
        <v>100000000</v>
      </c>
    </row>
    <row r="13" spans="1:21">
      <c r="A13" s="21">
        <f t="shared" si="0"/>
        <v>3004003</v>
      </c>
      <c r="B13" s="2">
        <v>300400</v>
      </c>
      <c r="C13" s="2" t="s">
        <v>61</v>
      </c>
      <c r="D13" s="29">
        <v>300400001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3000</v>
      </c>
      <c r="K13" s="3">
        <v>2</v>
      </c>
      <c r="L13" s="3">
        <v>4</v>
      </c>
      <c r="M13" s="19">
        <v>300</v>
      </c>
      <c r="N13" s="13">
        <v>9700</v>
      </c>
      <c r="O13" s="2">
        <v>13</v>
      </c>
      <c r="P13" s="39" t="s">
        <v>51</v>
      </c>
      <c r="Q13" s="2" t="s">
        <v>64</v>
      </c>
      <c r="R13" t="s">
        <v>56</v>
      </c>
      <c r="S13" s="2">
        <v>0</v>
      </c>
      <c r="T13" s="31">
        <v>1990000</v>
      </c>
      <c r="U13" s="32">
        <f t="shared" si="2"/>
        <v>1000000000</v>
      </c>
    </row>
    <row r="14" spans="1:21" s="1" customFormat="1">
      <c r="A14" s="33">
        <v>30020010</v>
      </c>
      <c r="B14" s="1">
        <v>300200</v>
      </c>
      <c r="C14" s="1" t="s">
        <v>57</v>
      </c>
      <c r="D14" s="33">
        <v>300200006</v>
      </c>
      <c r="E14" s="1">
        <v>1</v>
      </c>
      <c r="F14" s="34" t="s">
        <v>58</v>
      </c>
      <c r="G14" s="35" t="s">
        <v>65</v>
      </c>
      <c r="H14" s="34">
        <v>180000</v>
      </c>
      <c r="I14" s="34">
        <v>16008</v>
      </c>
      <c r="J14" s="34">
        <v>1</v>
      </c>
      <c r="K14" s="34">
        <v>2</v>
      </c>
      <c r="L14" s="34">
        <v>9</v>
      </c>
      <c r="M14" s="19">
        <v>300</v>
      </c>
      <c r="N14" s="13">
        <v>0</v>
      </c>
      <c r="O14" s="1">
        <v>2</v>
      </c>
      <c r="P14" s="39" t="s">
        <v>51</v>
      </c>
      <c r="Q14" s="1" t="s">
        <v>66</v>
      </c>
      <c r="R14" s="36" t="s">
        <v>53</v>
      </c>
      <c r="S14" s="35" t="s">
        <v>54</v>
      </c>
      <c r="T14" s="37">
        <v>1980000</v>
      </c>
      <c r="U14" s="32">
        <v>0</v>
      </c>
    </row>
    <row r="15" spans="1:21" s="1" customFormat="1">
      <c r="A15" s="33">
        <v>30020011</v>
      </c>
      <c r="B15" s="1">
        <v>300200</v>
      </c>
      <c r="C15" s="1" t="s">
        <v>57</v>
      </c>
      <c r="D15" s="33">
        <v>300200006</v>
      </c>
      <c r="E15" s="1">
        <v>2</v>
      </c>
      <c r="F15" s="34" t="s">
        <v>58</v>
      </c>
      <c r="G15" s="35" t="s">
        <v>65</v>
      </c>
      <c r="H15" s="34">
        <v>180000</v>
      </c>
      <c r="I15" s="34">
        <v>16008</v>
      </c>
      <c r="J15" s="34">
        <v>1</v>
      </c>
      <c r="K15" s="34">
        <v>2</v>
      </c>
      <c r="L15" s="34">
        <v>9</v>
      </c>
      <c r="M15" s="19">
        <v>300</v>
      </c>
      <c r="N15" s="13">
        <v>0</v>
      </c>
      <c r="O15" s="1">
        <v>2</v>
      </c>
      <c r="P15" s="39" t="s">
        <v>51</v>
      </c>
      <c r="Q15" s="1" t="s">
        <v>66</v>
      </c>
      <c r="R15" s="36" t="s">
        <v>55</v>
      </c>
      <c r="S15" s="35" t="s">
        <v>67</v>
      </c>
      <c r="T15" s="37">
        <v>1980000</v>
      </c>
      <c r="U15" s="32">
        <v>0</v>
      </c>
    </row>
    <row r="16" spans="1:21" s="1" customFormat="1">
      <c r="A16" s="33">
        <v>30020012</v>
      </c>
      <c r="B16" s="1">
        <v>300200</v>
      </c>
      <c r="C16" s="1" t="s">
        <v>57</v>
      </c>
      <c r="D16" s="33">
        <v>300200006</v>
      </c>
      <c r="E16" s="1">
        <v>3</v>
      </c>
      <c r="F16" s="34" t="s">
        <v>58</v>
      </c>
      <c r="G16" s="35" t="s">
        <v>65</v>
      </c>
      <c r="H16" s="34">
        <v>180000</v>
      </c>
      <c r="I16" s="34">
        <v>16008</v>
      </c>
      <c r="J16" s="34">
        <v>1</v>
      </c>
      <c r="K16" s="34">
        <v>2</v>
      </c>
      <c r="L16" s="34">
        <v>9</v>
      </c>
      <c r="M16" s="19">
        <v>300</v>
      </c>
      <c r="N16" s="13">
        <v>0</v>
      </c>
      <c r="O16" s="1">
        <v>2</v>
      </c>
      <c r="P16" s="39" t="s">
        <v>51</v>
      </c>
      <c r="Q16" s="1" t="s">
        <v>66</v>
      </c>
      <c r="R16" s="36" t="s">
        <v>56</v>
      </c>
      <c r="S16" s="35" t="s">
        <v>68</v>
      </c>
      <c r="T16" s="37">
        <v>1980000</v>
      </c>
      <c r="U16" s="32">
        <f t="shared" si="2"/>
        <v>0</v>
      </c>
    </row>
    <row r="29" spans="21:21">
      <c r="U29" s="38"/>
    </row>
    <row r="30" spans="21:21">
      <c r="U30" s="38"/>
    </row>
    <row r="31" spans="21:21">
      <c r="U31" s="38"/>
    </row>
    <row r="32" spans="21:21">
      <c r="U32" s="38"/>
    </row>
    <row r="33" spans="21:21">
      <c r="U33" s="38"/>
    </row>
    <row r="34" spans="21:21">
      <c r="U34" s="38"/>
    </row>
    <row r="35" spans="21:21">
      <c r="U35" s="38"/>
    </row>
    <row r="36" spans="21:21">
      <c r="U36" s="38"/>
    </row>
    <row r="37" spans="21:21">
      <c r="U37" s="38"/>
    </row>
    <row r="38" spans="21:21">
      <c r="U38" s="38"/>
    </row>
    <row r="39" spans="21:21">
      <c r="U39" s="38"/>
    </row>
    <row r="40" spans="21:21">
      <c r="U40" s="38"/>
    </row>
    <row r="41" spans="21:21">
      <c r="U41" s="38"/>
    </row>
    <row r="42" spans="21:21">
      <c r="U42" s="38"/>
    </row>
    <row r="43" spans="21:21">
      <c r="U43" s="38"/>
    </row>
    <row r="44" spans="21:21">
      <c r="U44" s="38"/>
    </row>
    <row r="45" spans="21:21">
      <c r="U45" s="38"/>
    </row>
    <row r="46" spans="21:21">
      <c r="U46" s="38"/>
    </row>
    <row r="47" spans="21:21">
      <c r="U47" s="38"/>
    </row>
    <row r="48" spans="21:21">
      <c r="U48" s="38"/>
    </row>
    <row r="49" spans="21:21">
      <c r="U49" s="38"/>
    </row>
    <row r="50" spans="21:21">
      <c r="U50" s="38"/>
    </row>
    <row r="51" spans="21:21">
      <c r="U51" s="38"/>
    </row>
    <row r="52" spans="21:21">
      <c r="U52" s="38"/>
    </row>
    <row r="53" spans="21:21">
      <c r="U53" s="38"/>
    </row>
    <row r="54" spans="21:21">
      <c r="U54" s="38"/>
    </row>
    <row r="55" spans="21:21">
      <c r="U55" s="38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7">
    <comment s:ref="F1" rgbClr="EFC3F0"/>
  </commentList>
  <commentList sheetStid="78">
    <comment s:ref="H1" rgbClr="D1C640"/>
  </commentList>
  <commentList sheetStid="30"/>
  <commentList sheetStid="33"/>
  <commentList sheetStid="31"/>
  <commentList sheetStid="32"/>
  <commentList sheetStid="38"/>
  <commentList sheetStid="51"/>
  <commentList sheetStid="43"/>
  <commentList sheetStid="45"/>
  <commentList sheetStid="47"/>
  <commentList sheetStid="61"/>
  <commentList sheetStid="69"/>
  <commentList sheetStid="65"/>
  <commentList sheetStid="72"/>
  <commentList sheetStid="86">
    <comment s:ref="H1" rgbClr="6FC5B0"/>
  </commentList>
  <commentList sheetStid="73"/>
  <commentList sheetStid="74"/>
  <commentList sheetStid="75"/>
  <commentList sheetStid="76"/>
  <commentList sheetStid="77"/>
  <commentList sheetStid="79"/>
  <commentList sheetStid="81"/>
  <commentList sheetStid="64"/>
  <commentList sheetStid="25"/>
  <commentList sheetStid="2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明 李</cp:lastModifiedBy>
  <dcterms:created xsi:type="dcterms:W3CDTF">2015-06-05T18:19:00Z</dcterms:created>
  <dcterms:modified xsi:type="dcterms:W3CDTF">2026-01-21T07:58:46Z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