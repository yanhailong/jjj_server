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824"/>
  </bookViews>
  <sheets>
    <sheet name="Room_Chess" sheetId="1" r:id="rId1"/>
  </sheets>
  <definedNames>
    <definedName name="_xlnm._FilterDatabase" localSheetId="0" hidden="1">Room_Chess!$B$1:$O$1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  <author>作者</author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</t>
        </r>
      </text>
    </comment>
    <comment ref="G1" authorId="1">
      <text>
        <r>
          <rPr>
            <sz val="9"/>
            <rFont val="宋体"/>
            <charset val="134"/>
          </rPr>
          <t>阶段信息:
1.每个阶段投注的时间;
2.单位: 1 秒为 1000;
3.格式：阶段类型ID,时间;阶段类型ID,时间;阶段类型ID,时间
3.阶段定义：
1 准备
2 洗牌
3 押分
4 发牌
5 确认
6 保险
7 打牌
8 开牌(比牌)
9 总结算
10 关闭
11 定庄
12 接牌
13 边池结算时间</t>
        </r>
      </text>
    </comment>
    <comment ref="M1" authorId="1">
      <text>
        <r>
          <rPr>
            <sz val="9"/>
            <rFont val="宋体"/>
            <charset val="134"/>
          </rPr>
          <t>系统抽水:
1.放大10000倍;
2.500为 0.05, 即 5%;</t>
        </r>
      </text>
    </comment>
    <comment ref="N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实际进入标准池金额 = 玩家下注 * 系统赢抽水</t>
        </r>
      </text>
    </comment>
    <comment ref="Q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R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  <comment ref="S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道具ID_数量</t>
        </r>
      </text>
    </comment>
    <comment ref="U1" authorId="2">
      <text>
        <r>
          <rPr>
            <sz val="9"/>
            <rFont val="宋体"/>
            <charset val="134"/>
          </rPr>
          <t>最大押分值*10000</t>
        </r>
      </text>
    </comment>
    <comment ref="H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这个字段程序要求首字母大写
历史遗留问题</t>
        </r>
      </text>
    </comment>
    <comment ref="I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这个字段程序要求首字母大写
历史遗留问题
</t>
        </r>
      </text>
    </comment>
  </commentList>
</comments>
</file>

<file path=xl/sharedStrings.xml><?xml version="1.0" encoding="utf-8"?>
<sst xmlns="http://schemas.openxmlformats.org/spreadsheetml/2006/main" count="235" uniqueCount="75">
  <si>
    <t>id</t>
  </si>
  <si>
    <t>游戏ID</t>
  </si>
  <si>
    <t>游戏名字</t>
  </si>
  <si>
    <t>多语言表ID</t>
  </si>
  <si>
    <t>房间类型</t>
  </si>
  <si>
    <t>玩法类型</t>
  </si>
  <si>
    <t>阶段信息</t>
  </si>
  <si>
    <t>请离房间（毫秒）</t>
  </si>
  <si>
    <t>踢出房间提示</t>
  </si>
  <si>
    <t>底注</t>
  </si>
  <si>
    <t>最少人数</t>
  </si>
  <si>
    <t>最多人数</t>
  </si>
  <si>
    <t>玩家赢抽水</t>
  </si>
  <si>
    <t>系统赢抽水</t>
  </si>
  <si>
    <t>玩家手牌数量</t>
  </si>
  <si>
    <t>机器人加入房间间隔（毫秒）</t>
  </si>
  <si>
    <t>机器人人数（时间段:机器人人数|……）</t>
  </si>
  <si>
    <t>跑马触发金额</t>
  </si>
  <si>
    <t>上庄最低金额</t>
  </si>
  <si>
    <t>交易项目ID</t>
  </si>
  <si>
    <t>初始化标准池</t>
  </si>
  <si>
    <t>int</t>
  </si>
  <si>
    <t>string</t>
  </si>
  <si>
    <t>map&lt;int{,}Int&gt;{;}</t>
  </si>
  <si>
    <t>list&lt;int&gt;{,}</t>
  </si>
  <si>
    <t>list&lt;list&lt;int&gt;{:}&gt;{|}</t>
  </si>
  <si>
    <t>List&lt;long&gt;{_}</t>
  </si>
  <si>
    <t>list&lt;int&gt;{_}</t>
  </si>
  <si>
    <t>long</t>
  </si>
  <si>
    <t>gameID</t>
  </si>
  <si>
    <t>nameid</t>
  </si>
  <si>
    <t>roomID</t>
  </si>
  <si>
    <t>playType</t>
  </si>
  <si>
    <t>chess_stageOrder</t>
  </si>
  <si>
    <t>EscTime</t>
  </si>
  <si>
    <t>EscTipText</t>
  </si>
  <si>
    <t>betBase</t>
  </si>
  <si>
    <t>minPlayer</t>
  </si>
  <si>
    <t>maxPlayer</t>
  </si>
  <si>
    <t>WinRatio</t>
  </si>
  <si>
    <t>EffectiveRatio</t>
  </si>
  <si>
    <t>handPoker</t>
  </si>
  <si>
    <t>IntervalTime</t>
  </si>
  <si>
    <t>robot_num</t>
  </si>
  <si>
    <t>marqueeTrigger</t>
  </si>
  <si>
    <t>minBankerAmount</t>
  </si>
  <si>
    <t>transactionItemId</t>
  </si>
  <si>
    <t>initBasePool</t>
  </si>
  <si>
    <t>21点</t>
  </si>
  <si>
    <t>Blackjack</t>
  </si>
  <si>
    <t>1,5000;3,15000;4,200;6,4000;7,8000;8,2000;9,5000;10,0</t>
  </si>
  <si>
    <t>200,2000</t>
  </si>
  <si>
    <t>0:6:3|6:12:2|12:18:2|18:24:3</t>
  </si>
  <si>
    <t>250000_17001</t>
  </si>
  <si>
    <t>1980000_1000</t>
  </si>
  <si>
    <t>10000000_17001</t>
  </si>
  <si>
    <t>1000000000_17001</t>
  </si>
  <si>
    <t>欢乐德州</t>
  </si>
  <si>
    <t>Texas</t>
  </si>
  <si>
    <t>1,8000;11,200;4,300;7,7000;8,0;9,6000;10,0;13,1000</t>
  </si>
  <si>
    <t>0:6:5|6:12:5|12:18:6|18:24:6</t>
  </si>
  <si>
    <t>南方前进</t>
  </si>
  <si>
    <t>SouthernMoney</t>
  </si>
  <si>
    <t>1,10000;2,2000;4,2000;7,15000;9,8000;10,0;12,15000</t>
  </si>
  <si>
    <t>1000,4000</t>
  </si>
  <si>
    <t>0:6:3|6:12:3|12:18:3|18:24:3</t>
  </si>
  <si>
    <t>南方前进（血战）</t>
  </si>
  <si>
    <t>TienLenMienNamHot</t>
  </si>
  <si>
    <t>斗仙牌</t>
  </si>
  <si>
    <t>FighterImmortal</t>
  </si>
  <si>
    <t>1,30000;11,200;4,300;7,7000;8,0;9,6000;10,0;13,1000</t>
  </si>
  <si>
    <t>0:6:0|6:12:0|12:18:0|18:24:0</t>
  </si>
  <si>
    <t>1980000_0</t>
  </si>
  <si>
    <t>南方前进-体验场</t>
  </si>
  <si>
    <t>TienLenMienNamTY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</si>
</sst>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6" borderId="0" xfId="59" applyFont="1" applyFill="1" applyAlignment="1" applyProtection="1">
      <alignment horizontal="center" vertical="center"/>
      <protection locked="0"/>
    </xf>
    <xf numFmtId="176" fontId="4" fillId="8" borderId="0" xfId="0" applyNumberFormat="1" applyFont="1" applyFill="1" applyAlignment="1">
      <alignment horizontal="left"/>
    </xf>
    <xf numFmtId="0" fontId="5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176" fontId="6" fillId="8" borderId="0" xfId="0" applyNumberFormat="1" applyFont="1" applyFill="1" applyAlignment="1">
      <alignment horizontal="left" vertical="top"/>
    </xf>
    <xf numFmtId="0" fontId="2" fillId="8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59" applyFont="1" applyAlignment="1" applyProtection="1">
      <alignment horizontal="center" vertical="center"/>
      <protection locked="0"/>
    </xf>
    <xf numFmtId="0" fontId="1" fillId="8" borderId="0" xfId="0" applyFont="1" applyFill="1" applyAlignment="1">
      <alignment horizontal="left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 applyProtection="1">
      <alignment horizontal="center"/>
      <protection locked="0"/>
    </xf>
    <xf numFmtId="0" fontId="2" fillId="8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>
      <alignment horizontal="left"/>
    </xf>
    <xf numFmtId="176" fontId="6" fillId="0" borderId="0" xfId="0" applyNumberFormat="1" applyFont="1" applyAlignment="1">
      <alignment horizontal="left" vertical="top"/>
    </xf>
    <xf numFmtId="49" fontId="1" fillId="0" borderId="0" xfId="0" applyNumberFormat="1" applyFont="1" applyAlignment="1" quotePrefix="1">
      <alignment horizontal="center" vertical="center"/>
    </xf>
    <xf numFmtId="49" fontId="1" fillId="3" borderId="0" xfId="0" applyNumberFormat="1" applyFont="1" applyFill="1" applyAlignment="1" quotePrefix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1"/>
  <sheetViews>
    <sheetView tabSelected="1" zoomScale="85" zoomScaleNormal="85" workbookViewId="0">
      <pane xSplit="5" ySplit="1" topLeftCell="H2" activePane="bottomRight" state="frozen"/>
      <selection/>
      <selection pane="topRight"/>
      <selection pane="bottomLeft"/>
      <selection pane="bottomRight" activeCell="W17" sqref="W17"/>
    </sheetView>
  </sheetViews>
  <sheetFormatPr defaultColWidth="9" defaultRowHeight="16.5"/>
  <cols>
    <col min="1" max="1" width="10.375" style="3" customWidth="1"/>
    <col min="2" max="2" width="12.5" style="3" customWidth="1"/>
    <col min="3" max="4" width="15.125" style="3" customWidth="1"/>
    <col min="5" max="5" width="9.25" style="3" customWidth="1"/>
    <col min="6" max="6" width="12.5" style="4" customWidth="1"/>
    <col min="7" max="7" width="12.625" style="5" customWidth="1"/>
    <col min="8" max="8" width="10.125" style="4" customWidth="1"/>
    <col min="9" max="9" width="13.375" style="4" customWidth="1"/>
    <col min="10" max="10" width="9.625" style="3" customWidth="1"/>
    <col min="11" max="12" width="9.25" style="4" customWidth="1"/>
    <col min="13" max="13" width="14.375" style="3" customWidth="1"/>
    <col min="14" max="14" width="12.75" style="3" customWidth="1"/>
    <col min="15" max="15" width="6.5" style="3" customWidth="1"/>
    <col min="16" max="16" width="10.625" style="6" customWidth="1"/>
    <col min="17" max="17" width="27.5" style="3" customWidth="1"/>
    <col min="18" max="18" width="18.25" style="5" customWidth="1"/>
    <col min="19" max="19" width="19.125" style="3" customWidth="1"/>
    <col min="20" max="20" width="18.25" style="3" customWidth="1"/>
    <col min="21" max="21" width="14.25" style="7" customWidth="1"/>
    <col min="22" max="16384" width="9" style="3"/>
  </cols>
  <sheetData>
    <row r="1" ht="24" customHeight="1" spans="1:21">
      <c r="A1" s="3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2" t="s">
        <v>10</v>
      </c>
      <c r="L1" s="13" t="s">
        <v>11</v>
      </c>
      <c r="M1" s="14" t="s">
        <v>12</v>
      </c>
      <c r="N1" s="14" t="s">
        <v>13</v>
      </c>
      <c r="O1" s="15" t="s">
        <v>14</v>
      </c>
      <c r="P1" s="6" t="s">
        <v>15</v>
      </c>
      <c r="Q1" s="3" t="s">
        <v>16</v>
      </c>
      <c r="R1" s="16" t="s">
        <v>17</v>
      </c>
      <c r="S1" s="17" t="s">
        <v>18</v>
      </c>
      <c r="T1" s="18" t="s">
        <v>19</v>
      </c>
      <c r="U1" s="19" t="s">
        <v>20</v>
      </c>
    </row>
    <row r="2" spans="1:21">
      <c r="A2" s="3" t="s">
        <v>21</v>
      </c>
      <c r="B2" s="3" t="s">
        <v>21</v>
      </c>
      <c r="D2" s="20" t="s">
        <v>21</v>
      </c>
      <c r="E2" s="3" t="s">
        <v>21</v>
      </c>
      <c r="F2" s="3" t="s">
        <v>22</v>
      </c>
      <c r="G2" s="3" t="s">
        <v>23</v>
      </c>
      <c r="H2" s="3" t="s">
        <v>21</v>
      </c>
      <c r="I2" s="3" t="s">
        <v>21</v>
      </c>
      <c r="J2" s="3" t="s">
        <v>21</v>
      </c>
      <c r="K2" s="3" t="s">
        <v>21</v>
      </c>
      <c r="L2" s="3" t="s">
        <v>21</v>
      </c>
      <c r="M2" s="14" t="s">
        <v>21</v>
      </c>
      <c r="N2" s="14" t="s">
        <v>21</v>
      </c>
      <c r="O2" s="3" t="s">
        <v>21</v>
      </c>
      <c r="P2" s="21" t="s">
        <v>24</v>
      </c>
      <c r="Q2" s="22" t="s">
        <v>25</v>
      </c>
      <c r="R2" s="23" t="s">
        <v>26</v>
      </c>
      <c r="S2" s="10" t="s">
        <v>27</v>
      </c>
      <c r="T2" s="22" t="s">
        <v>21</v>
      </c>
      <c r="U2" s="24" t="s">
        <v>28</v>
      </c>
    </row>
    <row r="3" spans="1:21">
      <c r="A3" s="3" t="s">
        <v>0</v>
      </c>
      <c r="B3" s="3" t="s">
        <v>29</v>
      </c>
      <c r="D3" s="10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25" t="s">
        <v>39</v>
      </c>
      <c r="N3" s="25" t="s">
        <v>40</v>
      </c>
      <c r="O3" s="3" t="s">
        <v>41</v>
      </c>
      <c r="P3" s="26" t="s">
        <v>42</v>
      </c>
      <c r="Q3" s="22" t="s">
        <v>43</v>
      </c>
      <c r="R3" s="16" t="s">
        <v>44</v>
      </c>
      <c r="S3" s="17" t="s">
        <v>45</v>
      </c>
      <c r="T3" s="22" t="s">
        <v>46</v>
      </c>
      <c r="U3" s="24" t="s">
        <v>47</v>
      </c>
    </row>
    <row r="4" spans="1:21">
      <c r="F4" s="3"/>
      <c r="H4" s="5"/>
      <c r="I4" s="5"/>
      <c r="K4" s="3"/>
      <c r="L4" s="5"/>
      <c r="M4" s="14"/>
      <c r="N4" s="14"/>
      <c r="R4" s="16"/>
      <c r="T4" s="27"/>
      <c r="U4" s="28"/>
    </row>
    <row r="5" spans="1:21">
      <c r="A5" s="22">
        <f t="shared" ref="A5:A19" si="0">B5*10+E5</f>
        <v>3001001</v>
      </c>
      <c r="B5" s="3">
        <v>300100</v>
      </c>
      <c r="C5" s="3" t="s">
        <v>48</v>
      </c>
      <c r="D5" s="29">
        <v>300100001</v>
      </c>
      <c r="E5" s="3">
        <v>1</v>
      </c>
      <c r="F5" s="4" t="s">
        <v>49</v>
      </c>
      <c r="G5" s="5" t="s">
        <v>50</v>
      </c>
      <c r="H5" s="4">
        <v>180000</v>
      </c>
      <c r="I5" s="4">
        <v>16008</v>
      </c>
      <c r="J5" s="4">
        <v>1</v>
      </c>
      <c r="K5" s="4">
        <v>2</v>
      </c>
      <c r="L5" s="4">
        <v>6</v>
      </c>
      <c r="M5" s="14">
        <v>300</v>
      </c>
      <c r="N5" s="14">
        <v>10000</v>
      </c>
      <c r="O5" s="3">
        <v>2</v>
      </c>
      <c r="P5" s="47" t="s">
        <v>51</v>
      </c>
      <c r="Q5" s="3" t="s">
        <v>52</v>
      </c>
      <c r="R5" s="16" t="s">
        <v>53</v>
      </c>
      <c r="S5" s="22" t="s">
        <v>54</v>
      </c>
      <c r="T5" s="30">
        <v>1990000</v>
      </c>
      <c r="U5" s="31">
        <f>100*100000</f>
        <v>10000000</v>
      </c>
    </row>
    <row r="6" spans="1:21">
      <c r="A6" s="22">
        <f t="shared" si="0"/>
        <v>3001002</v>
      </c>
      <c r="B6" s="3">
        <v>300100</v>
      </c>
      <c r="C6" s="3" t="s">
        <v>48</v>
      </c>
      <c r="D6" s="29">
        <v>300100001</v>
      </c>
      <c r="E6" s="3">
        <v>2</v>
      </c>
      <c r="F6" s="4" t="s">
        <v>49</v>
      </c>
      <c r="G6" s="5" t="s">
        <v>50</v>
      </c>
      <c r="H6" s="4">
        <v>180000</v>
      </c>
      <c r="I6" s="4">
        <v>16008</v>
      </c>
      <c r="J6" s="4">
        <v>1</v>
      </c>
      <c r="K6" s="4">
        <v>2</v>
      </c>
      <c r="L6" s="4">
        <v>6</v>
      </c>
      <c r="M6" s="14">
        <v>300</v>
      </c>
      <c r="N6" s="14">
        <v>10000</v>
      </c>
      <c r="O6" s="3">
        <v>2</v>
      </c>
      <c r="P6" s="47" t="s">
        <v>51</v>
      </c>
      <c r="Q6" s="3" t="s">
        <v>52</v>
      </c>
      <c r="R6" s="16" t="s">
        <v>55</v>
      </c>
      <c r="S6" s="22" t="s">
        <v>54</v>
      </c>
      <c r="T6" s="30">
        <v>1990000</v>
      </c>
      <c r="U6" s="31">
        <f t="shared" ref="U6:U10" si="1">U5*10</f>
        <v>100000000</v>
      </c>
    </row>
    <row r="7" spans="1:21">
      <c r="A7" s="22">
        <f t="shared" si="0"/>
        <v>3001003</v>
      </c>
      <c r="B7" s="3">
        <v>300100</v>
      </c>
      <c r="C7" s="3" t="s">
        <v>48</v>
      </c>
      <c r="D7" s="29">
        <v>300100001</v>
      </c>
      <c r="E7" s="3">
        <v>3</v>
      </c>
      <c r="F7" s="4" t="s">
        <v>49</v>
      </c>
      <c r="G7" s="5" t="s">
        <v>50</v>
      </c>
      <c r="H7" s="4">
        <v>180000</v>
      </c>
      <c r="I7" s="4">
        <v>16008</v>
      </c>
      <c r="J7" s="4">
        <v>1</v>
      </c>
      <c r="K7" s="4">
        <v>2</v>
      </c>
      <c r="L7" s="4">
        <v>6</v>
      </c>
      <c r="M7" s="14">
        <v>300</v>
      </c>
      <c r="N7" s="14">
        <v>10000</v>
      </c>
      <c r="O7" s="3">
        <v>2</v>
      </c>
      <c r="P7" s="47" t="s">
        <v>51</v>
      </c>
      <c r="Q7" s="3" t="s">
        <v>52</v>
      </c>
      <c r="R7" s="16" t="s">
        <v>56</v>
      </c>
      <c r="S7" s="22" t="s">
        <v>54</v>
      </c>
      <c r="T7" s="30">
        <v>1990000</v>
      </c>
      <c r="U7" s="31">
        <f t="shared" si="1"/>
        <v>1000000000</v>
      </c>
    </row>
    <row r="8" spans="1:21">
      <c r="A8" s="22">
        <f t="shared" si="0"/>
        <v>3002001</v>
      </c>
      <c r="B8" s="3">
        <v>300200</v>
      </c>
      <c r="C8" s="3" t="s">
        <v>57</v>
      </c>
      <c r="D8" s="29">
        <v>300200006</v>
      </c>
      <c r="E8" s="3">
        <v>1</v>
      </c>
      <c r="F8" s="4" t="s">
        <v>58</v>
      </c>
      <c r="G8" s="5" t="s">
        <v>59</v>
      </c>
      <c r="H8" s="4">
        <v>180000</v>
      </c>
      <c r="I8" s="4">
        <v>16008</v>
      </c>
      <c r="J8" s="4">
        <v>1</v>
      </c>
      <c r="K8" s="4">
        <v>2</v>
      </c>
      <c r="L8" s="4">
        <v>9</v>
      </c>
      <c r="M8" s="14">
        <v>300</v>
      </c>
      <c r="N8" s="14">
        <v>10000</v>
      </c>
      <c r="O8" s="3">
        <v>2</v>
      </c>
      <c r="P8" s="47" t="s">
        <v>51</v>
      </c>
      <c r="Q8" s="3" t="s">
        <v>60</v>
      </c>
      <c r="R8" s="16" t="s">
        <v>53</v>
      </c>
      <c r="S8" s="3">
        <v>0</v>
      </c>
      <c r="T8" s="30">
        <v>1990000</v>
      </c>
      <c r="U8" s="31">
        <f>100*100000</f>
        <v>10000000</v>
      </c>
    </row>
    <row r="9" spans="1:21">
      <c r="A9" s="22">
        <f t="shared" si="0"/>
        <v>3002002</v>
      </c>
      <c r="B9" s="3">
        <v>300200</v>
      </c>
      <c r="C9" s="3" t="s">
        <v>57</v>
      </c>
      <c r="D9" s="29">
        <v>300200006</v>
      </c>
      <c r="E9" s="3">
        <v>2</v>
      </c>
      <c r="F9" s="4" t="s">
        <v>58</v>
      </c>
      <c r="G9" s="5" t="s">
        <v>59</v>
      </c>
      <c r="H9" s="4">
        <v>180000</v>
      </c>
      <c r="I9" s="4">
        <v>16008</v>
      </c>
      <c r="J9" s="4">
        <v>1</v>
      </c>
      <c r="K9" s="4">
        <v>2</v>
      </c>
      <c r="L9" s="4">
        <v>9</v>
      </c>
      <c r="M9" s="14">
        <v>300</v>
      </c>
      <c r="N9" s="14">
        <v>10000</v>
      </c>
      <c r="O9" s="3">
        <v>2</v>
      </c>
      <c r="P9" s="47" t="s">
        <v>51</v>
      </c>
      <c r="Q9" s="3" t="s">
        <v>60</v>
      </c>
      <c r="R9" s="16" t="s">
        <v>55</v>
      </c>
      <c r="S9" s="3">
        <v>0</v>
      </c>
      <c r="T9" s="30">
        <v>1990000</v>
      </c>
      <c r="U9" s="31">
        <f t="shared" si="1"/>
        <v>100000000</v>
      </c>
    </row>
    <row r="10" spans="1:21">
      <c r="A10" s="22">
        <f t="shared" si="0"/>
        <v>3002003</v>
      </c>
      <c r="B10" s="3">
        <v>300200</v>
      </c>
      <c r="C10" s="3" t="s">
        <v>57</v>
      </c>
      <c r="D10" s="29">
        <v>300200006</v>
      </c>
      <c r="E10" s="3">
        <v>3</v>
      </c>
      <c r="F10" s="4" t="s">
        <v>58</v>
      </c>
      <c r="G10" s="5" t="s">
        <v>59</v>
      </c>
      <c r="H10" s="4">
        <v>180000</v>
      </c>
      <c r="I10" s="4">
        <v>16008</v>
      </c>
      <c r="J10" s="4">
        <v>1</v>
      </c>
      <c r="K10" s="4">
        <v>2</v>
      </c>
      <c r="L10" s="4">
        <v>9</v>
      </c>
      <c r="M10" s="14">
        <v>300</v>
      </c>
      <c r="N10" s="14">
        <v>10000</v>
      </c>
      <c r="O10" s="3">
        <v>2</v>
      </c>
      <c r="P10" s="47" t="s">
        <v>51</v>
      </c>
      <c r="Q10" s="3" t="s">
        <v>60</v>
      </c>
      <c r="R10" s="16" t="s">
        <v>56</v>
      </c>
      <c r="S10" s="3">
        <v>0</v>
      </c>
      <c r="T10" s="30">
        <v>1990000</v>
      </c>
      <c r="U10" s="31">
        <f t="shared" si="1"/>
        <v>1000000000</v>
      </c>
    </row>
    <row r="11" spans="1:21">
      <c r="A11" s="22">
        <f t="shared" si="0"/>
        <v>3004001</v>
      </c>
      <c r="B11" s="3">
        <v>300400</v>
      </c>
      <c r="C11" s="3" t="s">
        <v>61</v>
      </c>
      <c r="D11" s="29">
        <v>300400023</v>
      </c>
      <c r="E11" s="3">
        <v>1</v>
      </c>
      <c r="F11" s="4" t="s">
        <v>62</v>
      </c>
      <c r="G11" s="5" t="s">
        <v>63</v>
      </c>
      <c r="H11" s="4">
        <v>180000</v>
      </c>
      <c r="I11" s="4">
        <v>16008</v>
      </c>
      <c r="J11" s="4">
        <v>100</v>
      </c>
      <c r="K11" s="4">
        <v>4</v>
      </c>
      <c r="L11" s="4">
        <v>4</v>
      </c>
      <c r="M11" s="14">
        <v>300</v>
      </c>
      <c r="N11" s="14">
        <v>10000</v>
      </c>
      <c r="O11" s="3">
        <v>13</v>
      </c>
      <c r="P11" s="47" t="s">
        <v>64</v>
      </c>
      <c r="Q11" s="3" t="s">
        <v>65</v>
      </c>
      <c r="R11" s="16" t="s">
        <v>53</v>
      </c>
      <c r="S11" s="3">
        <v>0</v>
      </c>
      <c r="T11" s="30">
        <v>1990000</v>
      </c>
      <c r="U11" s="31">
        <f>100*100000</f>
        <v>10000000</v>
      </c>
    </row>
    <row r="12" spans="1:21">
      <c r="A12" s="22">
        <f t="shared" si="0"/>
        <v>3004002</v>
      </c>
      <c r="B12" s="3">
        <v>300400</v>
      </c>
      <c r="C12" s="3" t="s">
        <v>61</v>
      </c>
      <c r="D12" s="29">
        <v>300400023</v>
      </c>
      <c r="E12" s="3">
        <v>2</v>
      </c>
      <c r="F12" s="4" t="s">
        <v>62</v>
      </c>
      <c r="G12" s="5" t="s">
        <v>63</v>
      </c>
      <c r="H12" s="4">
        <v>180000</v>
      </c>
      <c r="I12" s="4">
        <v>16008</v>
      </c>
      <c r="J12" s="4">
        <v>1000</v>
      </c>
      <c r="K12" s="4">
        <v>4</v>
      </c>
      <c r="L12" s="4">
        <v>4</v>
      </c>
      <c r="M12" s="14">
        <v>300</v>
      </c>
      <c r="N12" s="14">
        <v>10000</v>
      </c>
      <c r="O12" s="3">
        <v>13</v>
      </c>
      <c r="P12" s="47" t="s">
        <v>64</v>
      </c>
      <c r="Q12" s="3" t="s">
        <v>65</v>
      </c>
      <c r="R12" s="16" t="s">
        <v>55</v>
      </c>
      <c r="S12" s="3">
        <v>0</v>
      </c>
      <c r="T12" s="30">
        <v>1990000</v>
      </c>
      <c r="U12" s="31">
        <f t="shared" ref="U12:U16" si="2">U11*10</f>
        <v>100000000</v>
      </c>
    </row>
    <row r="13" spans="1:21">
      <c r="A13" s="22">
        <f t="shared" si="0"/>
        <v>3004003</v>
      </c>
      <c r="B13" s="3">
        <v>300400</v>
      </c>
      <c r="C13" s="3" t="s">
        <v>61</v>
      </c>
      <c r="D13" s="29">
        <v>300400023</v>
      </c>
      <c r="E13" s="3">
        <v>3</v>
      </c>
      <c r="F13" s="4" t="s">
        <v>62</v>
      </c>
      <c r="G13" s="5" t="s">
        <v>63</v>
      </c>
      <c r="H13" s="4">
        <v>180000</v>
      </c>
      <c r="I13" s="4">
        <v>16008</v>
      </c>
      <c r="J13" s="4">
        <v>10000</v>
      </c>
      <c r="K13" s="4">
        <v>4</v>
      </c>
      <c r="L13" s="4">
        <v>4</v>
      </c>
      <c r="M13" s="14">
        <v>300</v>
      </c>
      <c r="N13" s="14">
        <v>10000</v>
      </c>
      <c r="O13" s="3">
        <v>13</v>
      </c>
      <c r="P13" s="47" t="s">
        <v>64</v>
      </c>
      <c r="Q13" s="3" t="s">
        <v>65</v>
      </c>
      <c r="R13" s="16" t="s">
        <v>56</v>
      </c>
      <c r="S13" s="3">
        <v>0</v>
      </c>
      <c r="T13" s="30">
        <v>1990000</v>
      </c>
      <c r="U13" s="31">
        <f t="shared" si="2"/>
        <v>1000000000</v>
      </c>
    </row>
    <row r="14" s="1" customFormat="1" spans="1:21">
      <c r="A14" s="22">
        <f t="shared" si="0"/>
        <v>3004011</v>
      </c>
      <c r="B14" s="3">
        <v>300401</v>
      </c>
      <c r="C14" s="3" t="s">
        <v>66</v>
      </c>
      <c r="D14" s="29">
        <v>300401001</v>
      </c>
      <c r="E14" s="3">
        <v>1</v>
      </c>
      <c r="F14" s="4" t="s">
        <v>67</v>
      </c>
      <c r="G14" s="5" t="s">
        <v>63</v>
      </c>
      <c r="H14" s="4">
        <v>180000</v>
      </c>
      <c r="I14" s="4">
        <v>16008</v>
      </c>
      <c r="J14" s="4">
        <v>1000</v>
      </c>
      <c r="K14" s="4">
        <v>4</v>
      </c>
      <c r="L14" s="4">
        <v>4</v>
      </c>
      <c r="M14" s="14">
        <v>300</v>
      </c>
      <c r="N14" s="14">
        <v>10000</v>
      </c>
      <c r="O14" s="3">
        <v>13</v>
      </c>
      <c r="P14" s="47" t="s">
        <v>64</v>
      </c>
      <c r="Q14" s="3" t="s">
        <v>65</v>
      </c>
      <c r="R14" s="16" t="s">
        <v>53</v>
      </c>
      <c r="S14" s="3">
        <v>0</v>
      </c>
      <c r="T14" s="30">
        <v>1990000</v>
      </c>
      <c r="U14" s="31">
        <f>100*100000</f>
        <v>10000000</v>
      </c>
    </row>
    <row r="15" s="1" customFormat="1" spans="1:21">
      <c r="A15" s="22">
        <f t="shared" si="0"/>
        <v>3004012</v>
      </c>
      <c r="B15" s="3">
        <v>300401</v>
      </c>
      <c r="C15" s="3" t="s">
        <v>66</v>
      </c>
      <c r="D15" s="29">
        <v>300401001</v>
      </c>
      <c r="E15" s="3">
        <v>2</v>
      </c>
      <c r="F15" s="4" t="s">
        <v>67</v>
      </c>
      <c r="G15" s="5" t="s">
        <v>63</v>
      </c>
      <c r="H15" s="4">
        <v>180000</v>
      </c>
      <c r="I15" s="4">
        <v>16008</v>
      </c>
      <c r="J15" s="4">
        <v>10000</v>
      </c>
      <c r="K15" s="4">
        <v>4</v>
      </c>
      <c r="L15" s="4">
        <v>4</v>
      </c>
      <c r="M15" s="14">
        <v>300</v>
      </c>
      <c r="N15" s="14">
        <v>10000</v>
      </c>
      <c r="O15" s="3">
        <v>13</v>
      </c>
      <c r="P15" s="47" t="s">
        <v>64</v>
      </c>
      <c r="Q15" s="3" t="s">
        <v>65</v>
      </c>
      <c r="R15" s="16" t="s">
        <v>55</v>
      </c>
      <c r="S15" s="3">
        <v>0</v>
      </c>
      <c r="T15" s="30">
        <v>1990000</v>
      </c>
      <c r="U15" s="31">
        <f t="shared" si="2"/>
        <v>100000000</v>
      </c>
    </row>
    <row r="16" s="1" customFormat="1" spans="1:21">
      <c r="A16" s="22">
        <f t="shared" si="0"/>
        <v>3004013</v>
      </c>
      <c r="B16" s="3">
        <v>300401</v>
      </c>
      <c r="C16" s="3" t="s">
        <v>66</v>
      </c>
      <c r="D16" s="29">
        <v>300401001</v>
      </c>
      <c r="E16" s="3">
        <v>3</v>
      </c>
      <c r="F16" s="4" t="s">
        <v>67</v>
      </c>
      <c r="G16" s="5" t="s">
        <v>63</v>
      </c>
      <c r="H16" s="4">
        <v>180000</v>
      </c>
      <c r="I16" s="4">
        <v>16008</v>
      </c>
      <c r="J16" s="4">
        <v>100000</v>
      </c>
      <c r="K16" s="4">
        <v>4</v>
      </c>
      <c r="L16" s="4">
        <v>4</v>
      </c>
      <c r="M16" s="14">
        <v>300</v>
      </c>
      <c r="N16" s="14">
        <v>10000</v>
      </c>
      <c r="O16" s="3">
        <v>13</v>
      </c>
      <c r="P16" s="47" t="s">
        <v>64</v>
      </c>
      <c r="Q16" s="3" t="s">
        <v>65</v>
      </c>
      <c r="R16" s="16" t="s">
        <v>56</v>
      </c>
      <c r="S16" s="3">
        <v>0</v>
      </c>
      <c r="T16" s="30">
        <v>1990000</v>
      </c>
      <c r="U16" s="31">
        <f t="shared" si="2"/>
        <v>1000000000</v>
      </c>
    </row>
    <row r="17" s="1" customFormat="1" spans="1:21">
      <c r="A17" s="22">
        <f t="shared" si="0"/>
        <v>3008001</v>
      </c>
      <c r="B17" s="3">
        <v>300800</v>
      </c>
      <c r="C17" s="3" t="s">
        <v>68</v>
      </c>
      <c r="D17" s="29">
        <v>300800001</v>
      </c>
      <c r="E17" s="3">
        <v>1</v>
      </c>
      <c r="F17" s="4" t="s">
        <v>69</v>
      </c>
      <c r="G17" s="5" t="s">
        <v>63</v>
      </c>
      <c r="H17" s="4">
        <v>180000</v>
      </c>
      <c r="I17" s="4">
        <v>16008</v>
      </c>
      <c r="J17" s="4">
        <v>100</v>
      </c>
      <c r="K17" s="4">
        <v>4</v>
      </c>
      <c r="L17" s="4">
        <v>4</v>
      </c>
      <c r="M17" s="14">
        <v>300</v>
      </c>
      <c r="N17" s="14">
        <v>10000</v>
      </c>
      <c r="O17" s="3">
        <v>8</v>
      </c>
      <c r="P17" s="47" t="s">
        <v>64</v>
      </c>
      <c r="Q17" s="3" t="s">
        <v>65</v>
      </c>
      <c r="R17" s="16" t="s">
        <v>53</v>
      </c>
      <c r="S17" s="3">
        <v>0</v>
      </c>
      <c r="T17" s="30">
        <v>1960000</v>
      </c>
      <c r="U17" s="31">
        <f>100*100000</f>
        <v>10000000</v>
      </c>
    </row>
    <row r="18" s="1" customFormat="1" spans="1:21">
      <c r="A18" s="22">
        <f t="shared" si="0"/>
        <v>3008002</v>
      </c>
      <c r="B18" s="3">
        <v>300800</v>
      </c>
      <c r="C18" s="3" t="s">
        <v>68</v>
      </c>
      <c r="D18" s="29">
        <v>300800001</v>
      </c>
      <c r="E18" s="3">
        <v>2</v>
      </c>
      <c r="F18" s="4" t="s">
        <v>69</v>
      </c>
      <c r="G18" s="5" t="s">
        <v>63</v>
      </c>
      <c r="H18" s="4">
        <v>180000</v>
      </c>
      <c r="I18" s="4">
        <v>16008</v>
      </c>
      <c r="J18" s="4">
        <v>1000</v>
      </c>
      <c r="K18" s="4">
        <v>4</v>
      </c>
      <c r="L18" s="4">
        <v>4</v>
      </c>
      <c r="M18" s="14">
        <v>300</v>
      </c>
      <c r="N18" s="14">
        <v>10000</v>
      </c>
      <c r="O18" s="3">
        <v>8</v>
      </c>
      <c r="P18" s="47" t="s">
        <v>64</v>
      </c>
      <c r="Q18" s="3" t="s">
        <v>65</v>
      </c>
      <c r="R18" s="16" t="s">
        <v>55</v>
      </c>
      <c r="S18" s="3">
        <v>0</v>
      </c>
      <c r="T18" s="30">
        <v>1960000</v>
      </c>
      <c r="U18" s="31">
        <f>U17*10</f>
        <v>100000000</v>
      </c>
    </row>
    <row r="19" s="1" customFormat="1" spans="1:21">
      <c r="A19" s="22">
        <f t="shared" si="0"/>
        <v>3008003</v>
      </c>
      <c r="B19" s="3">
        <v>300800</v>
      </c>
      <c r="C19" s="3" t="s">
        <v>68</v>
      </c>
      <c r="D19" s="29">
        <v>300800001</v>
      </c>
      <c r="E19" s="3">
        <v>3</v>
      </c>
      <c r="F19" s="4" t="s">
        <v>69</v>
      </c>
      <c r="G19" s="5" t="s">
        <v>63</v>
      </c>
      <c r="H19" s="4">
        <v>180000</v>
      </c>
      <c r="I19" s="4">
        <v>16008</v>
      </c>
      <c r="J19" s="4">
        <v>10000</v>
      </c>
      <c r="K19" s="4">
        <v>4</v>
      </c>
      <c r="L19" s="4">
        <v>4</v>
      </c>
      <c r="M19" s="14">
        <v>300</v>
      </c>
      <c r="N19" s="14">
        <v>10000</v>
      </c>
      <c r="O19" s="3">
        <v>8</v>
      </c>
      <c r="P19" s="47" t="s">
        <v>64</v>
      </c>
      <c r="Q19" s="3" t="s">
        <v>65</v>
      </c>
      <c r="R19" s="16" t="s">
        <v>56</v>
      </c>
      <c r="S19" s="3">
        <v>0</v>
      </c>
      <c r="T19" s="30">
        <v>1960000</v>
      </c>
      <c r="U19" s="31">
        <f>U18*10</f>
        <v>1000000000</v>
      </c>
    </row>
    <row r="20" s="1" customFormat="1" spans="1:21">
      <c r="A20" s="32">
        <v>30020010</v>
      </c>
      <c r="B20" s="1">
        <v>300200</v>
      </c>
      <c r="C20" s="1" t="s">
        <v>57</v>
      </c>
      <c r="D20" s="32">
        <v>300200006</v>
      </c>
      <c r="E20" s="1">
        <v>1</v>
      </c>
      <c r="F20" s="33" t="s">
        <v>58</v>
      </c>
      <c r="G20" s="34" t="s">
        <v>70</v>
      </c>
      <c r="H20" s="33">
        <v>180000</v>
      </c>
      <c r="I20" s="33">
        <v>16008</v>
      </c>
      <c r="J20" s="33">
        <v>1</v>
      </c>
      <c r="K20" s="33">
        <v>2</v>
      </c>
      <c r="L20" s="33">
        <v>9</v>
      </c>
      <c r="M20" s="14">
        <v>300</v>
      </c>
      <c r="N20" s="14">
        <v>10000</v>
      </c>
      <c r="O20" s="1">
        <v>2</v>
      </c>
      <c r="P20" s="47" t="s">
        <v>51</v>
      </c>
      <c r="Q20" s="1" t="s">
        <v>71</v>
      </c>
      <c r="R20" s="35" t="s">
        <v>53</v>
      </c>
      <c r="S20" s="34" t="s">
        <v>72</v>
      </c>
      <c r="T20" s="36">
        <v>1980000</v>
      </c>
      <c r="U20" s="31">
        <v>0</v>
      </c>
    </row>
    <row r="21" s="1" customFormat="1" spans="1:21">
      <c r="A21" s="32">
        <v>30020011</v>
      </c>
      <c r="B21" s="1">
        <v>300200</v>
      </c>
      <c r="C21" s="1" t="s">
        <v>57</v>
      </c>
      <c r="D21" s="32">
        <v>300200006</v>
      </c>
      <c r="E21" s="1">
        <v>2</v>
      </c>
      <c r="F21" s="33" t="s">
        <v>58</v>
      </c>
      <c r="G21" s="34" t="s">
        <v>70</v>
      </c>
      <c r="H21" s="33">
        <v>180000</v>
      </c>
      <c r="I21" s="33">
        <v>16008</v>
      </c>
      <c r="J21" s="33">
        <v>1</v>
      </c>
      <c r="K21" s="33">
        <v>2</v>
      </c>
      <c r="L21" s="33">
        <v>9</v>
      </c>
      <c r="M21" s="14">
        <v>300</v>
      </c>
      <c r="N21" s="14">
        <v>10000</v>
      </c>
      <c r="O21" s="1">
        <v>2</v>
      </c>
      <c r="P21" s="47" t="s">
        <v>51</v>
      </c>
      <c r="Q21" s="1" t="s">
        <v>71</v>
      </c>
      <c r="R21" s="35" t="s">
        <v>55</v>
      </c>
      <c r="S21" s="34" t="s">
        <v>72</v>
      </c>
      <c r="T21" s="36">
        <v>1980000</v>
      </c>
      <c r="U21" s="31">
        <v>0</v>
      </c>
    </row>
    <row r="22" s="1" customFormat="1" spans="1:21">
      <c r="A22" s="32">
        <v>30020012</v>
      </c>
      <c r="B22" s="1">
        <v>300200</v>
      </c>
      <c r="C22" s="1" t="s">
        <v>57</v>
      </c>
      <c r="D22" s="32">
        <v>300200006</v>
      </c>
      <c r="E22" s="1">
        <v>3</v>
      </c>
      <c r="F22" s="33" t="s">
        <v>58</v>
      </c>
      <c r="G22" s="34" t="s">
        <v>70</v>
      </c>
      <c r="H22" s="33">
        <v>180000</v>
      </c>
      <c r="I22" s="33">
        <v>16008</v>
      </c>
      <c r="J22" s="33">
        <v>1</v>
      </c>
      <c r="K22" s="33">
        <v>2</v>
      </c>
      <c r="L22" s="33">
        <v>9</v>
      </c>
      <c r="M22" s="14">
        <v>300</v>
      </c>
      <c r="N22" s="14">
        <v>10000</v>
      </c>
      <c r="O22" s="1">
        <v>2</v>
      </c>
      <c r="P22" s="47" t="s">
        <v>51</v>
      </c>
      <c r="Q22" s="1" t="s">
        <v>71</v>
      </c>
      <c r="R22" s="35" t="s">
        <v>56</v>
      </c>
      <c r="S22" s="34" t="s">
        <v>72</v>
      </c>
      <c r="T22" s="36">
        <v>1980000</v>
      </c>
      <c r="U22" s="31">
        <f>U21*10</f>
        <v>0</v>
      </c>
    </row>
    <row r="23" spans="1:21">
      <c r="A23" s="32">
        <v>30040010</v>
      </c>
      <c r="B23" s="1">
        <v>300400</v>
      </c>
      <c r="C23" s="1" t="s">
        <v>61</v>
      </c>
      <c r="D23" s="1">
        <v>300400023</v>
      </c>
      <c r="E23" s="1">
        <v>10</v>
      </c>
      <c r="F23" s="32" t="s">
        <v>62</v>
      </c>
      <c r="G23" s="5" t="s">
        <v>63</v>
      </c>
      <c r="H23" s="1">
        <v>180000</v>
      </c>
      <c r="I23" s="32">
        <v>16008</v>
      </c>
      <c r="J23" s="1">
        <v>100</v>
      </c>
      <c r="K23" s="32">
        <v>4</v>
      </c>
      <c r="L23" s="1">
        <v>4</v>
      </c>
      <c r="M23" s="14">
        <v>300</v>
      </c>
      <c r="N23" s="14">
        <v>10000</v>
      </c>
      <c r="O23" s="37">
        <v>13</v>
      </c>
      <c r="P23" s="47" t="s">
        <v>64</v>
      </c>
      <c r="Q23" s="1" t="s">
        <v>71</v>
      </c>
      <c r="R23" s="34" t="s">
        <v>53</v>
      </c>
      <c r="S23" s="34" t="s">
        <v>72</v>
      </c>
      <c r="T23" s="36">
        <v>1980000</v>
      </c>
      <c r="U23" s="31">
        <v>0</v>
      </c>
    </row>
    <row r="24" spans="1:21">
      <c r="A24" s="32">
        <v>30040011</v>
      </c>
      <c r="B24" s="1">
        <v>300400</v>
      </c>
      <c r="C24" s="1" t="s">
        <v>61</v>
      </c>
      <c r="D24" s="1">
        <v>300400023</v>
      </c>
      <c r="E24" s="1">
        <v>11</v>
      </c>
      <c r="F24" s="32" t="s">
        <v>62</v>
      </c>
      <c r="G24" s="5" t="s">
        <v>63</v>
      </c>
      <c r="H24" s="1">
        <v>180000</v>
      </c>
      <c r="I24" s="32">
        <v>16008</v>
      </c>
      <c r="J24" s="1">
        <v>1000</v>
      </c>
      <c r="K24" s="32">
        <v>4</v>
      </c>
      <c r="L24" s="1">
        <v>4</v>
      </c>
      <c r="M24" s="14">
        <v>300</v>
      </c>
      <c r="N24" s="14">
        <v>10000</v>
      </c>
      <c r="O24" s="37">
        <v>13</v>
      </c>
      <c r="P24" s="47" t="s">
        <v>64</v>
      </c>
      <c r="Q24" s="1" t="s">
        <v>71</v>
      </c>
      <c r="R24" s="34" t="s">
        <v>55</v>
      </c>
      <c r="S24" s="34" t="s">
        <v>72</v>
      </c>
      <c r="T24" s="36">
        <v>1980000</v>
      </c>
      <c r="U24" s="31">
        <v>0</v>
      </c>
    </row>
    <row r="25" spans="1:21">
      <c r="A25" s="32">
        <v>30040012</v>
      </c>
      <c r="B25" s="1">
        <v>300400</v>
      </c>
      <c r="C25" s="1" t="s">
        <v>61</v>
      </c>
      <c r="D25" s="1">
        <v>300400023</v>
      </c>
      <c r="E25" s="1">
        <v>12</v>
      </c>
      <c r="F25" s="32" t="s">
        <v>62</v>
      </c>
      <c r="G25" s="5" t="s">
        <v>63</v>
      </c>
      <c r="H25" s="1">
        <v>180000</v>
      </c>
      <c r="I25" s="32">
        <v>16008</v>
      </c>
      <c r="J25" s="1">
        <v>10000</v>
      </c>
      <c r="K25" s="32">
        <v>4</v>
      </c>
      <c r="L25" s="1">
        <v>4</v>
      </c>
      <c r="M25" s="14">
        <v>300</v>
      </c>
      <c r="N25" s="14">
        <v>10000</v>
      </c>
      <c r="O25" s="37">
        <v>13</v>
      </c>
      <c r="P25" s="47" t="s">
        <v>64</v>
      </c>
      <c r="Q25" s="1" t="s">
        <v>71</v>
      </c>
      <c r="R25" s="34" t="s">
        <v>56</v>
      </c>
      <c r="S25" s="34" t="s">
        <v>72</v>
      </c>
      <c r="T25" s="36">
        <v>1980000</v>
      </c>
      <c r="U25" s="31">
        <f t="shared" ref="U25:U31" si="3">U24*10</f>
        <v>0</v>
      </c>
    </row>
    <row r="26" spans="1:21">
      <c r="A26" s="32">
        <v>30040110</v>
      </c>
      <c r="B26" s="1">
        <v>300401</v>
      </c>
      <c r="C26" s="1" t="s">
        <v>66</v>
      </c>
      <c r="D26" s="32">
        <v>300401001</v>
      </c>
      <c r="E26" s="1">
        <v>1</v>
      </c>
      <c r="F26" s="32" t="s">
        <v>67</v>
      </c>
      <c r="G26" s="5" t="s">
        <v>63</v>
      </c>
      <c r="H26" s="1">
        <v>180000</v>
      </c>
      <c r="I26" s="32">
        <v>16008</v>
      </c>
      <c r="J26" s="1">
        <v>1000</v>
      </c>
      <c r="K26" s="32">
        <v>4</v>
      </c>
      <c r="L26" s="1">
        <v>4</v>
      </c>
      <c r="M26" s="14">
        <v>300</v>
      </c>
      <c r="N26" s="14">
        <v>10000</v>
      </c>
      <c r="O26" s="37">
        <v>13</v>
      </c>
      <c r="P26" s="47" t="s">
        <v>64</v>
      </c>
      <c r="Q26" s="1" t="s">
        <v>71</v>
      </c>
      <c r="R26" s="34" t="s">
        <v>53</v>
      </c>
      <c r="S26" s="34" t="s">
        <v>72</v>
      </c>
      <c r="T26" s="36">
        <v>1980000</v>
      </c>
      <c r="U26" s="31">
        <v>0</v>
      </c>
    </row>
    <row r="27" spans="1:21">
      <c r="A27" s="32">
        <v>30040111</v>
      </c>
      <c r="B27" s="1">
        <v>300401</v>
      </c>
      <c r="C27" s="1" t="s">
        <v>66</v>
      </c>
      <c r="D27" s="32">
        <v>300401001</v>
      </c>
      <c r="E27" s="1">
        <v>2</v>
      </c>
      <c r="F27" s="32" t="s">
        <v>67</v>
      </c>
      <c r="G27" s="5" t="s">
        <v>63</v>
      </c>
      <c r="H27" s="1">
        <v>180000</v>
      </c>
      <c r="I27" s="32">
        <v>16008</v>
      </c>
      <c r="J27" s="1">
        <v>10000</v>
      </c>
      <c r="K27" s="32">
        <v>4</v>
      </c>
      <c r="L27" s="1">
        <v>4</v>
      </c>
      <c r="M27" s="14">
        <v>300</v>
      </c>
      <c r="N27" s="14">
        <v>10000</v>
      </c>
      <c r="O27" s="37">
        <v>13</v>
      </c>
      <c r="P27" s="47" t="s">
        <v>64</v>
      </c>
      <c r="Q27" s="1" t="s">
        <v>71</v>
      </c>
      <c r="R27" s="34" t="s">
        <v>55</v>
      </c>
      <c r="S27" s="34" t="s">
        <v>72</v>
      </c>
      <c r="T27" s="36">
        <v>1980000</v>
      </c>
      <c r="U27" s="31">
        <v>0</v>
      </c>
    </row>
    <row r="28" spans="1:21">
      <c r="A28" s="32">
        <v>30040112</v>
      </c>
      <c r="B28" s="1">
        <v>300401</v>
      </c>
      <c r="C28" s="1" t="s">
        <v>66</v>
      </c>
      <c r="D28" s="32">
        <v>300401001</v>
      </c>
      <c r="E28" s="1">
        <v>3</v>
      </c>
      <c r="F28" s="32" t="s">
        <v>67</v>
      </c>
      <c r="G28" s="5" t="s">
        <v>63</v>
      </c>
      <c r="H28" s="1">
        <v>180000</v>
      </c>
      <c r="I28" s="32">
        <v>16008</v>
      </c>
      <c r="J28" s="1">
        <v>100000</v>
      </c>
      <c r="K28" s="32">
        <v>4</v>
      </c>
      <c r="L28" s="1">
        <v>4</v>
      </c>
      <c r="M28" s="14">
        <v>300</v>
      </c>
      <c r="N28" s="14">
        <v>10000</v>
      </c>
      <c r="O28" s="37">
        <v>13</v>
      </c>
      <c r="P28" s="47" t="s">
        <v>64</v>
      </c>
      <c r="Q28" s="1" t="s">
        <v>71</v>
      </c>
      <c r="R28" s="34" t="s">
        <v>56</v>
      </c>
      <c r="S28" s="34" t="s">
        <v>72</v>
      </c>
      <c r="T28" s="36">
        <v>1980000</v>
      </c>
      <c r="U28" s="31">
        <f t="shared" si="3"/>
        <v>0</v>
      </c>
    </row>
    <row r="29" s="2" customFormat="1" spans="1:21">
      <c r="A29" s="38">
        <v>30040231</v>
      </c>
      <c r="B29" s="2">
        <v>300402</v>
      </c>
      <c r="C29" s="2" t="s">
        <v>73</v>
      </c>
      <c r="D29" s="38">
        <v>300402001</v>
      </c>
      <c r="E29" s="2">
        <v>31</v>
      </c>
      <c r="F29" s="39" t="s">
        <v>74</v>
      </c>
      <c r="G29" s="40" t="s">
        <v>63</v>
      </c>
      <c r="H29" s="41">
        <v>180000</v>
      </c>
      <c r="I29" s="41">
        <v>16008</v>
      </c>
      <c r="J29" s="41">
        <v>100</v>
      </c>
      <c r="K29" s="41">
        <v>4</v>
      </c>
      <c r="L29" s="41">
        <v>4</v>
      </c>
      <c r="M29" s="2">
        <v>300</v>
      </c>
      <c r="N29" s="2">
        <v>10000</v>
      </c>
      <c r="O29" s="2">
        <v>13</v>
      </c>
      <c r="P29" s="48" t="s">
        <v>64</v>
      </c>
      <c r="Q29" s="2" t="s">
        <v>65</v>
      </c>
      <c r="R29" s="43" t="s">
        <v>53</v>
      </c>
      <c r="S29" s="2">
        <v>0</v>
      </c>
      <c r="T29" s="44">
        <v>1970000</v>
      </c>
      <c r="U29" s="45">
        <f>100*100000</f>
        <v>10000000</v>
      </c>
    </row>
    <row r="30" s="2" customFormat="1" spans="1:21">
      <c r="A30" s="38">
        <v>30040232</v>
      </c>
      <c r="B30" s="2">
        <v>300402</v>
      </c>
      <c r="C30" s="2" t="s">
        <v>73</v>
      </c>
      <c r="D30" s="38">
        <v>300402001</v>
      </c>
      <c r="E30" s="2">
        <v>32</v>
      </c>
      <c r="F30" s="39" t="s">
        <v>74</v>
      </c>
      <c r="G30" s="40" t="s">
        <v>63</v>
      </c>
      <c r="H30" s="41">
        <v>180000</v>
      </c>
      <c r="I30" s="41">
        <v>16008</v>
      </c>
      <c r="J30" s="41">
        <v>1000</v>
      </c>
      <c r="K30" s="41">
        <v>4</v>
      </c>
      <c r="L30" s="41">
        <v>4</v>
      </c>
      <c r="M30" s="2">
        <v>300</v>
      </c>
      <c r="N30" s="2">
        <v>10000</v>
      </c>
      <c r="O30" s="2">
        <v>13</v>
      </c>
      <c r="P30" s="48" t="s">
        <v>64</v>
      </c>
      <c r="Q30" s="2" t="s">
        <v>65</v>
      </c>
      <c r="R30" s="43" t="s">
        <v>55</v>
      </c>
      <c r="S30" s="2">
        <v>0</v>
      </c>
      <c r="T30" s="44">
        <v>1970000</v>
      </c>
      <c r="U30" s="45">
        <f t="shared" si="3"/>
        <v>100000000</v>
      </c>
    </row>
    <row r="31" s="2" customFormat="1" spans="1:21">
      <c r="A31" s="38">
        <v>30040233</v>
      </c>
      <c r="B31" s="2">
        <v>300402</v>
      </c>
      <c r="C31" s="2" t="s">
        <v>73</v>
      </c>
      <c r="D31" s="38">
        <v>300402001</v>
      </c>
      <c r="E31" s="2">
        <v>33</v>
      </c>
      <c r="F31" s="39" t="s">
        <v>74</v>
      </c>
      <c r="G31" s="40" t="s">
        <v>63</v>
      </c>
      <c r="H31" s="41">
        <v>180000</v>
      </c>
      <c r="I31" s="41">
        <v>16008</v>
      </c>
      <c r="J31" s="41">
        <v>10000</v>
      </c>
      <c r="K31" s="41">
        <v>4</v>
      </c>
      <c r="L31" s="41">
        <v>4</v>
      </c>
      <c r="M31" s="2">
        <v>300</v>
      </c>
      <c r="N31" s="2">
        <v>10000</v>
      </c>
      <c r="O31" s="2">
        <v>13</v>
      </c>
      <c r="P31" s="48" t="s">
        <v>64</v>
      </c>
      <c r="Q31" s="2" t="s">
        <v>65</v>
      </c>
      <c r="R31" s="43" t="s">
        <v>56</v>
      </c>
      <c r="S31" s="2">
        <v>0</v>
      </c>
      <c r="T31" s="44">
        <v>1970000</v>
      </c>
      <c r="U31" s="45">
        <f t="shared" si="3"/>
        <v>1000000000</v>
      </c>
    </row>
    <row r="35" spans="21:21">
      <c r="U35" s="46"/>
    </row>
    <row r="36" spans="21:21">
      <c r="U36" s="46"/>
    </row>
    <row r="37" spans="21:21">
      <c r="U37" s="46"/>
    </row>
    <row r="38" spans="21:21">
      <c r="U38" s="46"/>
    </row>
    <row r="39" spans="21:21">
      <c r="U39" s="46"/>
    </row>
    <row r="40" spans="21:21">
      <c r="U40" s="46"/>
    </row>
    <row r="41" spans="21:21">
      <c r="U41" s="46"/>
    </row>
    <row r="42" spans="21:21">
      <c r="U42" s="46"/>
    </row>
    <row r="43" spans="21:21">
      <c r="U43" s="46"/>
    </row>
    <row r="44" spans="21:21">
      <c r="U44" s="46"/>
    </row>
    <row r="45" spans="21:21">
      <c r="U45" s="46"/>
    </row>
    <row r="46" spans="21:21">
      <c r="U46" s="46"/>
    </row>
    <row r="47" spans="21:21">
      <c r="U47" s="46"/>
    </row>
    <row r="48" spans="21:21">
      <c r="U48" s="46"/>
    </row>
    <row r="49" spans="21:21">
      <c r="U49" s="46"/>
    </row>
    <row r="50" spans="21:21">
      <c r="U50" s="46"/>
    </row>
    <row r="51" spans="21:21">
      <c r="U51" s="46"/>
    </row>
    <row r="52" spans="21:21">
      <c r="U52" s="46"/>
    </row>
    <row r="53" spans="21:21">
      <c r="U53" s="46"/>
    </row>
    <row r="54" spans="21:21">
      <c r="U54" s="46"/>
    </row>
    <row r="55" spans="21:21">
      <c r="U55" s="46"/>
    </row>
    <row r="56" spans="21:21">
      <c r="U56" s="46"/>
    </row>
    <row r="57" spans="21:21">
      <c r="U57" s="46"/>
    </row>
    <row r="58" spans="21:21">
      <c r="U58" s="46"/>
    </row>
    <row r="59" spans="21:21">
      <c r="U59" s="46"/>
    </row>
    <row r="60" spans="21:21">
      <c r="U60" s="46"/>
    </row>
    <row r="61" spans="21:21">
      <c r="U61" s="46"/>
    </row>
  </sheetData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Room_Chess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随风</cp:lastModifiedBy>
  <dcterms:created xsi:type="dcterms:W3CDTF">2015-06-05T18:19:00Z</dcterms:created>
  <dcterms:modified xsi:type="dcterms:W3CDTF">2026-07-29T06:44:45Z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