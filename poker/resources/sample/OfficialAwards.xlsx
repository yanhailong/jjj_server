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初级转盘
2. 中级转盘
3. 高级转盘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有效下注
2. 充值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<sst xmlns="http://schemas.openxmlformats.org/spreadsheetml/2006/main" count="91" uniqueCount="48">
  <si>
    <t>序列ID</t>
  </si>
  <si>
    <t>转盘类型</t>
  </si>
  <si>
    <t>统计类型</t>
  </si>
  <si>
    <t>奖励</t>
  </si>
  <si>
    <t>奖励显示图标</t>
  </si>
  <si>
    <t>中奖概率(万分比)</t>
  </si>
  <si>
    <t>平均中奖金额</t>
  </si>
  <si>
    <t>int</t>
  </si>
  <si>
    <t>list&lt;int&gt;{_}</t>
  </si>
  <si>
    <t>string</t>
  </si>
  <si>
    <t>id</t>
  </si>
  <si>
    <t>turntableType</t>
  </si>
  <si>
    <t>calculationType</t>
  </si>
  <si>
    <t>getitem</t>
  </si>
  <si>
    <t>showicon</t>
  </si>
  <si>
    <t>probability</t>
  </si>
  <si>
    <t>1990000_10000</t>
  </si>
  <si>
    <t>gfpj_props_1.png</t>
  </si>
  <si>
    <t>1990000_30000</t>
  </si>
  <si>
    <t>gfpj_props_3.png</t>
  </si>
  <si>
    <t>1990000_20000</t>
  </si>
  <si>
    <t>1990000_50000</t>
  </si>
  <si>
    <t>1990000_80000</t>
  </si>
  <si>
    <t>gfpj_props_5.png</t>
  </si>
  <si>
    <t>1990000_40000</t>
  </si>
  <si>
    <t>1990000_100000</t>
  </si>
  <si>
    <t>gfpj_props_2.png</t>
  </si>
  <si>
    <t>1990000_200000</t>
  </si>
  <si>
    <t>gfpj_props_4.png</t>
  </si>
  <si>
    <t>1990000_120000</t>
  </si>
  <si>
    <t>gfpj_props_6.png</t>
  </si>
  <si>
    <t>1990000_90000</t>
  </si>
  <si>
    <t>1990000_400000</t>
  </si>
  <si>
    <t>gfpj_props_7.png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</si>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</sst>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3" fillId="2" borderId="0" xfId="0" applyNumberFormat="1" applyFont="1" applyFill="1" applyAlignment="1" applyProtection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2" fillId="0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tabSelected="1" topLeftCell="A8" workbookViewId="0">
      <selection activeCell="L30" sqref="L30"/>
    </sheetView>
  </sheetViews>
  <sheetFormatPr defaultColWidth="9" defaultRowHeight="16.5"/>
  <cols>
    <col min="1" max="1" width="7" style="3" customWidth="1"/>
    <col min="2" max="2" width="14.75" style="3" customWidth="1"/>
    <col min="3" max="3" width="16.5" style="3" customWidth="1"/>
    <col min="4" max="4" width="18.875" style="3" customWidth="1"/>
    <col min="5" max="5" width="12.875" style="3" customWidth="1"/>
    <col min="6" max="6" width="16.375" style="3" customWidth="1"/>
    <col min="7" max="7" width="23.375" style="3" customWidth="1"/>
    <col min="8" max="8" width="9.25" style="3" customWidth="1"/>
    <col min="9" max="16384" width="9" style="3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3" t="s">
        <v>6</v>
      </c>
    </row>
    <row r="2" spans="1:6">
      <c r="A2" s="4" t="s">
        <v>7</v>
      </c>
      <c r="B2" s="4" t="s">
        <v>7</v>
      </c>
      <c r="C2" s="4" t="s">
        <v>7</v>
      </c>
      <c r="D2" s="6" t="s">
        <v>8</v>
      </c>
      <c r="E2" s="7" t="s">
        <v>9</v>
      </c>
      <c r="F2" s="5" t="s">
        <v>7</v>
      </c>
    </row>
    <row r="3" spans="1:6">
      <c r="A3" s="4" t="s">
        <v>10</v>
      </c>
      <c r="B3" s="4" t="s">
        <v>11</v>
      </c>
      <c r="C3" s="4" t="s">
        <v>12</v>
      </c>
      <c r="D3" s="6" t="s">
        <v>13</v>
      </c>
      <c r="E3" s="7" t="s">
        <v>14</v>
      </c>
      <c r="F3" s="5" t="s">
        <v>15</v>
      </c>
    </row>
    <row r="4" spans="1:6">
      <c r="A4" s="4"/>
      <c r="B4" s="4"/>
      <c r="C4" s="4"/>
      <c r="D4" s="4"/>
      <c r="E4" s="4"/>
      <c r="F4" s="5"/>
    </row>
    <row r="5" s="1" customFormat="1" spans="1:9">
      <c r="A5" s="8">
        <v>101</v>
      </c>
      <c r="B5" s="8">
        <v>1</v>
      </c>
      <c r="C5" s="8">
        <v>1</v>
      </c>
      <c r="D5" s="8" t="s">
        <v>16</v>
      </c>
      <c r="E5" s="8" t="s">
        <v>17</v>
      </c>
      <c r="F5" s="8">
        <v>1600</v>
      </c>
      <c r="G5" s="1">
        <v>10000</v>
      </c>
      <c r="H5" s="1">
        <f>F5/SUMIF(B:B,B5,F:F)</f>
        <v>0.16</v>
      </c>
      <c r="I5" s="1">
        <f>H5*G5</f>
        <v>1600</v>
      </c>
    </row>
    <row r="6" s="1" customFormat="1" spans="1:9">
      <c r="A6" s="8">
        <v>102</v>
      </c>
      <c r="B6" s="8">
        <v>1</v>
      </c>
      <c r="C6" s="8">
        <v>1</v>
      </c>
      <c r="D6" s="8" t="s">
        <v>18</v>
      </c>
      <c r="E6" s="8" t="s">
        <v>19</v>
      </c>
      <c r="F6" s="8">
        <v>1000</v>
      </c>
      <c r="G6" s="9">
        <v>30000</v>
      </c>
      <c r="H6" s="1">
        <f t="shared" ref="H6:H16" si="0">F6/SUMIF(B:B,B6,F:F)</f>
        <v>0.1</v>
      </c>
      <c r="I6" s="1">
        <f t="shared" ref="I6:I40" si="1">H6*G6</f>
        <v>3000</v>
      </c>
    </row>
    <row r="7" s="1" customFormat="1" spans="1:9">
      <c r="A7" s="8">
        <v>103</v>
      </c>
      <c r="B7" s="8">
        <v>1</v>
      </c>
      <c r="C7" s="8">
        <v>1</v>
      </c>
      <c r="D7" s="8" t="s">
        <v>20</v>
      </c>
      <c r="E7" s="8" t="s">
        <v>17</v>
      </c>
      <c r="F7" s="8">
        <v>1300</v>
      </c>
      <c r="G7" s="9">
        <v>20000</v>
      </c>
      <c r="H7" s="1">
        <f t="shared" si="0"/>
        <v>0.13</v>
      </c>
      <c r="I7" s="1">
        <f t="shared" si="1"/>
        <v>2600</v>
      </c>
    </row>
    <row r="8" s="2" customFormat="1" spans="1:9">
      <c r="A8" s="8">
        <v>104</v>
      </c>
      <c r="B8" s="8">
        <v>1</v>
      </c>
      <c r="C8" s="8">
        <v>1</v>
      </c>
      <c r="D8" s="8" t="s">
        <v>21</v>
      </c>
      <c r="E8" s="8" t="s">
        <v>19</v>
      </c>
      <c r="F8" s="8">
        <v>1000</v>
      </c>
      <c r="G8" s="10">
        <v>50000</v>
      </c>
      <c r="H8" s="1">
        <f t="shared" si="0"/>
        <v>0.1</v>
      </c>
      <c r="I8" s="1">
        <f t="shared" si="1"/>
        <v>5000</v>
      </c>
    </row>
    <row r="9" s="2" customFormat="1" spans="1:9">
      <c r="A9" s="8">
        <v>105</v>
      </c>
      <c r="B9" s="8">
        <v>1</v>
      </c>
      <c r="C9" s="8">
        <v>1</v>
      </c>
      <c r="D9" s="8" t="s">
        <v>22</v>
      </c>
      <c r="E9" s="8" t="s">
        <v>23</v>
      </c>
      <c r="F9" s="8">
        <v>900</v>
      </c>
      <c r="G9" s="10">
        <v>80000</v>
      </c>
      <c r="H9" s="1">
        <f t="shared" si="0"/>
        <v>0.09</v>
      </c>
      <c r="I9" s="1">
        <f t="shared" si="1"/>
        <v>7200</v>
      </c>
    </row>
    <row r="10" s="2" customFormat="1" spans="1:9">
      <c r="A10" s="8">
        <v>106</v>
      </c>
      <c r="B10" s="8">
        <v>1</v>
      </c>
      <c r="C10" s="8">
        <v>1</v>
      </c>
      <c r="D10" s="8" t="s">
        <v>24</v>
      </c>
      <c r="E10" s="8" t="s">
        <v>19</v>
      </c>
      <c r="F10" s="8">
        <v>1000</v>
      </c>
      <c r="G10" s="10">
        <v>40000</v>
      </c>
      <c r="H10" s="1">
        <f t="shared" si="0"/>
        <v>0.1</v>
      </c>
      <c r="I10" s="1">
        <f t="shared" si="1"/>
        <v>4000</v>
      </c>
    </row>
    <row r="11" s="2" customFormat="1" spans="1:9">
      <c r="A11" s="8">
        <v>107</v>
      </c>
      <c r="B11" s="8">
        <v>1</v>
      </c>
      <c r="C11" s="8">
        <v>1</v>
      </c>
      <c r="D11" s="8" t="s">
        <v>25</v>
      </c>
      <c r="E11" s="8" t="s">
        <v>26</v>
      </c>
      <c r="F11" s="8">
        <v>1200</v>
      </c>
      <c r="G11" s="10">
        <v>100000</v>
      </c>
      <c r="H11" s="1">
        <f t="shared" si="0"/>
        <v>0.12</v>
      </c>
      <c r="I11" s="1">
        <f t="shared" si="1"/>
        <v>12000</v>
      </c>
    </row>
    <row r="12" s="2" customFormat="1" spans="1:9">
      <c r="A12" s="8">
        <v>108</v>
      </c>
      <c r="B12" s="8">
        <v>1</v>
      </c>
      <c r="C12" s="8">
        <v>1</v>
      </c>
      <c r="D12" s="8" t="s">
        <v>27</v>
      </c>
      <c r="E12" s="8" t="s">
        <v>28</v>
      </c>
      <c r="F12" s="8">
        <v>300</v>
      </c>
      <c r="G12" s="10">
        <v>200000</v>
      </c>
      <c r="H12" s="1">
        <f t="shared" si="0"/>
        <v>0.03</v>
      </c>
      <c r="I12" s="1">
        <f t="shared" si="1"/>
        <v>6000</v>
      </c>
    </row>
    <row r="13" s="2" customFormat="1" spans="1:9">
      <c r="A13" s="8">
        <v>109</v>
      </c>
      <c r="B13" s="8">
        <v>1</v>
      </c>
      <c r="C13" s="8">
        <v>1</v>
      </c>
      <c r="D13" s="8" t="s">
        <v>29</v>
      </c>
      <c r="E13" s="8" t="s">
        <v>30</v>
      </c>
      <c r="F13" s="8">
        <v>600</v>
      </c>
      <c r="G13" s="10">
        <v>120000</v>
      </c>
      <c r="H13" s="1">
        <f t="shared" si="0"/>
        <v>0.06</v>
      </c>
      <c r="I13" s="1">
        <f t="shared" si="1"/>
        <v>7200</v>
      </c>
    </row>
    <row r="14" s="2" customFormat="1" spans="1:9">
      <c r="A14" s="8">
        <v>110</v>
      </c>
      <c r="B14" s="8">
        <v>1</v>
      </c>
      <c r="C14" s="8">
        <v>1</v>
      </c>
      <c r="D14" s="8" t="s">
        <v>31</v>
      </c>
      <c r="E14" s="8" t="s">
        <v>23</v>
      </c>
      <c r="F14" s="8">
        <v>800</v>
      </c>
      <c r="G14" s="10">
        <v>90000</v>
      </c>
      <c r="H14" s="1">
        <f t="shared" si="0"/>
        <v>0.08</v>
      </c>
      <c r="I14" s="1">
        <f t="shared" si="1"/>
        <v>7200</v>
      </c>
    </row>
    <row r="15" s="2" customFormat="1" spans="1:9">
      <c r="A15" s="8">
        <v>111</v>
      </c>
      <c r="B15" s="8">
        <v>1</v>
      </c>
      <c r="C15" s="8">
        <v>1</v>
      </c>
      <c r="D15" s="8" t="s">
        <v>32</v>
      </c>
      <c r="E15" s="8" t="s">
        <v>33</v>
      </c>
      <c r="F15" s="8">
        <v>200</v>
      </c>
      <c r="G15" s="10">
        <v>400000</v>
      </c>
      <c r="H15" s="1">
        <f t="shared" si="0"/>
        <v>0.02</v>
      </c>
      <c r="I15" s="1">
        <f t="shared" si="1"/>
        <v>8000</v>
      </c>
    </row>
    <row r="16" s="2" customFormat="1" spans="1:9">
      <c r="A16" s="8">
        <v>112</v>
      </c>
      <c r="B16" s="8">
        <v>1</v>
      </c>
      <c r="C16" s="8">
        <v>1</v>
      </c>
      <c r="D16" s="8" t="s">
        <v>34</v>
      </c>
      <c r="E16" s="8" t="s">
        <v>33</v>
      </c>
      <c r="F16" s="8">
        <v>100</v>
      </c>
      <c r="G16" s="10">
        <v>800000</v>
      </c>
      <c r="H16" s="1">
        <f t="shared" si="0"/>
        <v>0.01</v>
      </c>
      <c r="I16" s="1">
        <f t="shared" si="1"/>
        <v>8000</v>
      </c>
    </row>
    <row r="17" s="1" customFormat="1" spans="1:9">
      <c r="A17" s="11">
        <v>201</v>
      </c>
      <c r="B17" s="11">
        <v>2</v>
      </c>
      <c r="C17" s="11">
        <v>1</v>
      </c>
      <c r="D17" s="11" t="s">
        <v>21</v>
      </c>
      <c r="E17" s="8" t="s">
        <v>17</v>
      </c>
      <c r="F17" s="11">
        <v>1600</v>
      </c>
      <c r="G17" s="9">
        <v>50000</v>
      </c>
      <c r="H17" s="1">
        <f t="shared" ref="H17:H40" si="2">F17/SUMIF(B:B,B17,F:F)</f>
        <v>0.16</v>
      </c>
      <c r="I17" s="1">
        <f t="shared" si="1"/>
        <v>8000</v>
      </c>
    </row>
    <row r="18" s="1" customFormat="1" spans="1:9">
      <c r="A18" s="11">
        <v>202</v>
      </c>
      <c r="B18" s="11">
        <v>2</v>
      </c>
      <c r="C18" s="11">
        <v>1</v>
      </c>
      <c r="D18" s="11" t="s">
        <v>35</v>
      </c>
      <c r="E18" s="8" t="s">
        <v>19</v>
      </c>
      <c r="F18" s="11">
        <v>1000</v>
      </c>
      <c r="G18" s="9">
        <v>60000</v>
      </c>
      <c r="H18" s="1">
        <f t="shared" si="2"/>
        <v>0.1</v>
      </c>
      <c r="I18" s="1">
        <f t="shared" si="1"/>
        <v>6000</v>
      </c>
    </row>
    <row r="19" s="1" customFormat="1" spans="1:9">
      <c r="A19" s="11">
        <v>203</v>
      </c>
      <c r="B19" s="11">
        <v>2</v>
      </c>
      <c r="C19" s="11">
        <v>1</v>
      </c>
      <c r="D19" s="11" t="s">
        <v>22</v>
      </c>
      <c r="E19" s="8" t="s">
        <v>17</v>
      </c>
      <c r="F19" s="11">
        <v>1300</v>
      </c>
      <c r="G19" s="9">
        <v>80000</v>
      </c>
      <c r="H19" s="1">
        <f t="shared" si="2"/>
        <v>0.13</v>
      </c>
      <c r="I19" s="1">
        <f t="shared" si="1"/>
        <v>10400</v>
      </c>
    </row>
    <row r="20" s="2" customFormat="1" spans="1:9">
      <c r="A20" s="11">
        <v>204</v>
      </c>
      <c r="B20" s="11">
        <v>2</v>
      </c>
      <c r="C20" s="11">
        <v>1</v>
      </c>
      <c r="D20" s="11" t="s">
        <v>25</v>
      </c>
      <c r="E20" s="8" t="s">
        <v>19</v>
      </c>
      <c r="F20" s="11">
        <v>1000</v>
      </c>
      <c r="G20" s="10">
        <v>100000</v>
      </c>
      <c r="H20" s="1">
        <f t="shared" si="2"/>
        <v>0.1</v>
      </c>
      <c r="I20" s="1">
        <f t="shared" si="1"/>
        <v>10000</v>
      </c>
    </row>
    <row r="21" s="2" customFormat="1" spans="1:9">
      <c r="A21" s="11">
        <v>205</v>
      </c>
      <c r="B21" s="11">
        <v>2</v>
      </c>
      <c r="C21" s="11">
        <v>1</v>
      </c>
      <c r="D21" s="11" t="s">
        <v>36</v>
      </c>
      <c r="E21" s="8" t="s">
        <v>23</v>
      </c>
      <c r="F21" s="11">
        <v>900</v>
      </c>
      <c r="G21" s="10">
        <v>160000</v>
      </c>
      <c r="H21" s="1">
        <f t="shared" si="2"/>
        <v>0.09</v>
      </c>
      <c r="I21" s="1">
        <f t="shared" si="1"/>
        <v>14400</v>
      </c>
    </row>
    <row r="22" s="2" customFormat="1" spans="1:9">
      <c r="A22" s="11">
        <v>206</v>
      </c>
      <c r="B22" s="11">
        <v>2</v>
      </c>
      <c r="C22" s="11">
        <v>1</v>
      </c>
      <c r="D22" s="11" t="s">
        <v>22</v>
      </c>
      <c r="E22" s="8" t="s">
        <v>19</v>
      </c>
      <c r="F22" s="11">
        <v>1000</v>
      </c>
      <c r="G22" s="10">
        <v>80000</v>
      </c>
      <c r="H22" s="1">
        <f t="shared" si="2"/>
        <v>0.1</v>
      </c>
      <c r="I22" s="1">
        <f t="shared" si="1"/>
        <v>8000</v>
      </c>
    </row>
    <row r="23" s="2" customFormat="1" spans="1:9">
      <c r="A23" s="11">
        <v>207</v>
      </c>
      <c r="B23" s="11">
        <v>2</v>
      </c>
      <c r="C23" s="11">
        <v>1</v>
      </c>
      <c r="D23" s="11" t="s">
        <v>27</v>
      </c>
      <c r="E23" s="8" t="s">
        <v>26</v>
      </c>
      <c r="F23" s="11">
        <v>1200</v>
      </c>
      <c r="G23" s="10">
        <v>200000</v>
      </c>
      <c r="H23" s="1">
        <f t="shared" si="2"/>
        <v>0.12</v>
      </c>
      <c r="I23" s="1">
        <f t="shared" si="1"/>
        <v>24000</v>
      </c>
    </row>
    <row r="24" s="2" customFormat="1" spans="1:9">
      <c r="A24" s="11">
        <v>208</v>
      </c>
      <c r="B24" s="11">
        <v>2</v>
      </c>
      <c r="C24" s="11">
        <v>1</v>
      </c>
      <c r="D24" s="11" t="s">
        <v>32</v>
      </c>
      <c r="E24" s="8" t="s">
        <v>28</v>
      </c>
      <c r="F24" s="11">
        <v>300</v>
      </c>
      <c r="G24" s="10">
        <v>400000</v>
      </c>
      <c r="H24" s="1">
        <f t="shared" si="2"/>
        <v>0.03</v>
      </c>
      <c r="I24" s="1">
        <f t="shared" si="1"/>
        <v>12000</v>
      </c>
    </row>
    <row r="25" s="2" customFormat="1" spans="1:9">
      <c r="A25" s="11">
        <v>209</v>
      </c>
      <c r="B25" s="11">
        <v>2</v>
      </c>
      <c r="C25" s="11">
        <v>1</v>
      </c>
      <c r="D25" s="11" t="s">
        <v>37</v>
      </c>
      <c r="E25" s="8" t="s">
        <v>30</v>
      </c>
      <c r="F25" s="11">
        <v>600</v>
      </c>
      <c r="G25" s="10">
        <v>240000</v>
      </c>
      <c r="H25" s="1">
        <f t="shared" si="2"/>
        <v>0.06</v>
      </c>
      <c r="I25" s="1">
        <f t="shared" si="1"/>
        <v>14400</v>
      </c>
    </row>
    <row r="26" s="2" customFormat="1" spans="1:9">
      <c r="A26" s="11">
        <v>210</v>
      </c>
      <c r="B26" s="11">
        <v>2</v>
      </c>
      <c r="C26" s="11">
        <v>1</v>
      </c>
      <c r="D26" s="11" t="s">
        <v>38</v>
      </c>
      <c r="E26" s="8" t="s">
        <v>23</v>
      </c>
      <c r="F26" s="11">
        <v>800</v>
      </c>
      <c r="G26" s="10">
        <v>180000</v>
      </c>
      <c r="H26" s="1">
        <f t="shared" si="2"/>
        <v>0.08</v>
      </c>
      <c r="I26" s="1">
        <f t="shared" si="1"/>
        <v>14400</v>
      </c>
    </row>
    <row r="27" s="2" customFormat="1" spans="1:9">
      <c r="A27" s="11">
        <v>211</v>
      </c>
      <c r="B27" s="11">
        <v>2</v>
      </c>
      <c r="C27" s="11">
        <v>1</v>
      </c>
      <c r="D27" s="11" t="s">
        <v>34</v>
      </c>
      <c r="E27" s="8" t="s">
        <v>33</v>
      </c>
      <c r="F27" s="11">
        <v>200</v>
      </c>
      <c r="G27" s="10">
        <v>800000</v>
      </c>
      <c r="H27" s="1">
        <f t="shared" si="2"/>
        <v>0.02</v>
      </c>
      <c r="I27" s="1">
        <f t="shared" si="1"/>
        <v>16000</v>
      </c>
    </row>
    <row r="28" s="2" customFormat="1" spans="1:9">
      <c r="A28" s="11">
        <v>212</v>
      </c>
      <c r="B28" s="11">
        <v>2</v>
      </c>
      <c r="C28" s="11">
        <v>1</v>
      </c>
      <c r="D28" s="11" t="s">
        <v>39</v>
      </c>
      <c r="E28" s="8" t="s">
        <v>33</v>
      </c>
      <c r="F28" s="11">
        <v>100</v>
      </c>
      <c r="G28" s="10">
        <v>1600000</v>
      </c>
      <c r="H28" s="1">
        <f t="shared" si="2"/>
        <v>0.01</v>
      </c>
      <c r="I28" s="1">
        <f t="shared" si="1"/>
        <v>16000</v>
      </c>
    </row>
    <row r="29" spans="1:9">
      <c r="A29" s="12">
        <v>301</v>
      </c>
      <c r="B29" s="12">
        <v>3</v>
      </c>
      <c r="C29" s="12">
        <v>1</v>
      </c>
      <c r="D29" s="12" t="s">
        <v>25</v>
      </c>
      <c r="E29" s="8" t="s">
        <v>17</v>
      </c>
      <c r="F29" s="12">
        <v>1600</v>
      </c>
      <c r="G29" s="13">
        <v>100000</v>
      </c>
      <c r="H29" s="1">
        <f t="shared" si="2"/>
        <v>0.16</v>
      </c>
      <c r="I29" s="1">
        <f t="shared" si="1"/>
        <v>16000</v>
      </c>
    </row>
    <row r="30" spans="1:9">
      <c r="A30" s="12">
        <v>302</v>
      </c>
      <c r="B30" s="12">
        <v>3</v>
      </c>
      <c r="C30" s="12">
        <v>1</v>
      </c>
      <c r="D30" s="12" t="s">
        <v>40</v>
      </c>
      <c r="E30" s="8" t="s">
        <v>19</v>
      </c>
      <c r="F30" s="12">
        <v>1000</v>
      </c>
      <c r="G30" s="13">
        <v>300000</v>
      </c>
      <c r="H30" s="1">
        <f t="shared" si="2"/>
        <v>0.1</v>
      </c>
      <c r="I30" s="1">
        <f t="shared" si="1"/>
        <v>30000</v>
      </c>
    </row>
    <row r="31" spans="1:9">
      <c r="A31" s="12">
        <v>303</v>
      </c>
      <c r="B31" s="12">
        <v>3</v>
      </c>
      <c r="C31" s="12">
        <v>1</v>
      </c>
      <c r="D31" s="12" t="s">
        <v>27</v>
      </c>
      <c r="E31" s="8" t="s">
        <v>17</v>
      </c>
      <c r="F31" s="12">
        <v>1300</v>
      </c>
      <c r="G31" s="13">
        <v>200000</v>
      </c>
      <c r="H31" s="1">
        <f t="shared" si="2"/>
        <v>0.13</v>
      </c>
      <c r="I31" s="1">
        <f t="shared" si="1"/>
        <v>26000</v>
      </c>
    </row>
    <row r="32" spans="1:9">
      <c r="A32" s="12">
        <v>304</v>
      </c>
      <c r="B32" s="12">
        <v>3</v>
      </c>
      <c r="C32" s="12">
        <v>1</v>
      </c>
      <c r="D32" s="12" t="s">
        <v>41</v>
      </c>
      <c r="E32" s="8" t="s">
        <v>19</v>
      </c>
      <c r="F32" s="12">
        <v>1000</v>
      </c>
      <c r="G32" s="13">
        <v>500000</v>
      </c>
      <c r="H32" s="1">
        <f t="shared" si="2"/>
        <v>0.1</v>
      </c>
      <c r="I32" s="1">
        <f t="shared" si="1"/>
        <v>50000</v>
      </c>
    </row>
    <row r="33" spans="1:9">
      <c r="A33" s="12">
        <v>305</v>
      </c>
      <c r="B33" s="12">
        <v>3</v>
      </c>
      <c r="C33" s="12">
        <v>1</v>
      </c>
      <c r="D33" s="12" t="s">
        <v>34</v>
      </c>
      <c r="E33" s="8" t="s">
        <v>23</v>
      </c>
      <c r="F33" s="12">
        <v>900</v>
      </c>
      <c r="G33" s="13">
        <v>800000</v>
      </c>
      <c r="H33" s="1">
        <f t="shared" si="2"/>
        <v>0.09</v>
      </c>
      <c r="I33" s="1">
        <f t="shared" si="1"/>
        <v>72000</v>
      </c>
    </row>
    <row r="34" spans="1:9">
      <c r="A34" s="12">
        <v>306</v>
      </c>
      <c r="B34" s="12">
        <v>3</v>
      </c>
      <c r="C34" s="12">
        <v>1</v>
      </c>
      <c r="D34" s="12" t="s">
        <v>32</v>
      </c>
      <c r="E34" s="8" t="s">
        <v>19</v>
      </c>
      <c r="F34" s="12">
        <v>1000</v>
      </c>
      <c r="G34" s="13">
        <v>400000</v>
      </c>
      <c r="H34" s="1">
        <f t="shared" si="2"/>
        <v>0.1</v>
      </c>
      <c r="I34" s="1">
        <f t="shared" si="1"/>
        <v>40000</v>
      </c>
    </row>
    <row r="35" spans="1:9">
      <c r="A35" s="12">
        <v>307</v>
      </c>
      <c r="B35" s="12">
        <v>3</v>
      </c>
      <c r="C35" s="12">
        <v>1</v>
      </c>
      <c r="D35" s="12" t="s">
        <v>42</v>
      </c>
      <c r="E35" s="8" t="s">
        <v>26</v>
      </c>
      <c r="F35" s="12">
        <v>1200</v>
      </c>
      <c r="G35" s="13">
        <v>1000000</v>
      </c>
      <c r="H35" s="1">
        <f t="shared" si="2"/>
        <v>0.12</v>
      </c>
      <c r="I35" s="1">
        <f t="shared" si="1"/>
        <v>120000</v>
      </c>
    </row>
    <row r="36" spans="1:9">
      <c r="A36" s="12">
        <v>308</v>
      </c>
      <c r="B36" s="12">
        <v>3</v>
      </c>
      <c r="C36" s="12">
        <v>1</v>
      </c>
      <c r="D36" s="12" t="s">
        <v>43</v>
      </c>
      <c r="E36" s="8" t="s">
        <v>28</v>
      </c>
      <c r="F36" s="12">
        <v>300</v>
      </c>
      <c r="G36" s="13">
        <v>2000000</v>
      </c>
      <c r="H36" s="1">
        <f t="shared" si="2"/>
        <v>0.03</v>
      </c>
      <c r="I36" s="1">
        <f t="shared" si="1"/>
        <v>60000</v>
      </c>
    </row>
    <row r="37" spans="1:9">
      <c r="A37" s="12">
        <v>309</v>
      </c>
      <c r="B37" s="12">
        <v>3</v>
      </c>
      <c r="C37" s="12">
        <v>1</v>
      </c>
      <c r="D37" s="12" t="s">
        <v>44</v>
      </c>
      <c r="E37" s="8" t="s">
        <v>30</v>
      </c>
      <c r="F37" s="12">
        <v>600</v>
      </c>
      <c r="G37" s="13">
        <v>1200000</v>
      </c>
      <c r="H37" s="1">
        <f t="shared" si="2"/>
        <v>0.06</v>
      </c>
      <c r="I37" s="1">
        <f t="shared" si="1"/>
        <v>72000</v>
      </c>
    </row>
    <row r="38" spans="1:9">
      <c r="A38" s="12">
        <v>310</v>
      </c>
      <c r="B38" s="12">
        <v>3</v>
      </c>
      <c r="C38" s="12">
        <v>1</v>
      </c>
      <c r="D38" s="12" t="s">
        <v>45</v>
      </c>
      <c r="E38" s="8" t="s">
        <v>23</v>
      </c>
      <c r="F38" s="12">
        <v>800</v>
      </c>
      <c r="G38" s="13">
        <v>900000</v>
      </c>
      <c r="H38" s="1">
        <f t="shared" si="2"/>
        <v>0.08</v>
      </c>
      <c r="I38" s="1">
        <f t="shared" si="1"/>
        <v>72000</v>
      </c>
    </row>
    <row r="39" spans="1:9">
      <c r="A39" s="12">
        <v>311</v>
      </c>
      <c r="B39" s="12">
        <v>3</v>
      </c>
      <c r="C39" s="12">
        <v>1</v>
      </c>
      <c r="D39" s="12" t="s">
        <v>46</v>
      </c>
      <c r="E39" s="8" t="s">
        <v>33</v>
      </c>
      <c r="F39" s="12">
        <v>200</v>
      </c>
      <c r="G39" s="13">
        <v>4000000</v>
      </c>
      <c r="H39" s="1">
        <f t="shared" si="2"/>
        <v>0.02</v>
      </c>
      <c r="I39" s="1">
        <f t="shared" si="1"/>
        <v>80000</v>
      </c>
    </row>
    <row r="40" spans="1:9">
      <c r="A40" s="12">
        <v>312</v>
      </c>
      <c r="B40" s="12">
        <v>3</v>
      </c>
      <c r="C40" s="12">
        <v>1</v>
      </c>
      <c r="D40" s="12" t="s">
        <v>47</v>
      </c>
      <c r="E40" s="8" t="s">
        <v>33</v>
      </c>
      <c r="F40" s="12">
        <v>100</v>
      </c>
      <c r="G40" s="13">
        <v>8000000</v>
      </c>
      <c r="H40" s="1">
        <f t="shared" si="2"/>
        <v>0.01</v>
      </c>
      <c r="I40" s="1">
        <f t="shared" si="1"/>
        <v>80000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2025-08-25T03:06:00Z</dcterms:created>
  <dcterms:modified xsi:type="dcterms:W3CDTF">2025-09-24T02:10:03Z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