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hessJackStrate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<sst xmlns="http://schemas.openxmlformats.org/spreadsheetml/2006/main" count="248" uniqueCount="65">
  <si>
    <t>ID</t>
  </si>
  <si>
    <t>牌型</t>
  </si>
  <si>
    <t>是否有A</t>
  </si>
  <si>
    <t>牌值,A已1分记</t>
  </si>
  <si>
    <t>A已11分记</t>
  </si>
  <si>
    <t>行为权重1加倍2要牌3停牌4分牌概率</t>
  </si>
  <si>
    <t>加注-权重</t>
  </si>
  <si>
    <t>要牌-权重</t>
  </si>
  <si>
    <t>停牌-权重</t>
  </si>
  <si>
    <t>分牌万分比概率</t>
  </si>
  <si>
    <t>爆牌概率</t>
  </si>
  <si>
    <t>不爆牌</t>
  </si>
  <si>
    <t>int</t>
  </si>
  <si>
    <t>map&lt;int{_}int&gt;{|}</t>
  </si>
  <si>
    <t>id</t>
  </si>
  <si>
    <t>type</t>
  </si>
  <si>
    <t>value</t>
  </si>
  <si>
    <t>Strategy</t>
  </si>
  <si>
    <t>21点-无A时</t>
  </si>
  <si>
    <t>1_0|2_0|3_10000|4_0</t>
  </si>
  <si>
    <t>1_0</t>
  </si>
  <si>
    <t>2_0</t>
  </si>
  <si>
    <t>3_10000</t>
  </si>
  <si>
    <t>4_0</t>
  </si>
  <si>
    <t>1_1000|2_2000|3_8000|4_0</t>
  </si>
  <si>
    <t>1_1000</t>
  </si>
  <si>
    <t>2_2000</t>
  </si>
  <si>
    <t>3_8000</t>
  </si>
  <si>
    <t>1_1500|2_3000|3_7000|4_0</t>
  </si>
  <si>
    <t>1_1500</t>
  </si>
  <si>
    <t>2_3000</t>
  </si>
  <si>
    <t>3_7000</t>
  </si>
  <si>
    <t>1_2000|2_4000|3_6000|4_8000</t>
  </si>
  <si>
    <t>1_2000</t>
  </si>
  <si>
    <t>2_4000</t>
  </si>
  <si>
    <t>3_6000</t>
  </si>
  <si>
    <t>4_8000</t>
  </si>
  <si>
    <t>1_2500|2_5000|3_5000|4_9000</t>
  </si>
  <si>
    <t>1_2500</t>
  </si>
  <si>
    <t>2_5000</t>
  </si>
  <si>
    <t>3_5000</t>
  </si>
  <si>
    <t>4_9000</t>
  </si>
  <si>
    <t>1_2500|2_5000|3_5000|4_10000</t>
  </si>
  <si>
    <t>4_10000</t>
  </si>
  <si>
    <t>1_4250|2_8500|3_1500|4_10000</t>
  </si>
  <si>
    <t>1_4250</t>
  </si>
  <si>
    <t>2_8500</t>
  </si>
  <si>
    <t>3_1500</t>
  </si>
  <si>
    <t>1_0|2_10000|3_0|4_10000</t>
  </si>
  <si>
    <t>2_10000</t>
  </si>
  <si>
    <t>3_0</t>
  </si>
  <si>
    <t>1_0|2_10000|3_0|4_6000</t>
  </si>
  <si>
    <t>4_6000</t>
  </si>
  <si>
    <t>1_0|2_10000|3_0|4_8000</t>
  </si>
  <si>
    <t>21点-有A时，A记1分</t>
  </si>
  <si>
    <t>1_2000|2_4000|3_6000|4_0</t>
  </si>
  <si>
    <t>1_2500|2_5000|3_5000|4_0</t>
  </si>
  <si>
    <t>1_0|2_8500|3_1500|4_0</t>
  </si>
  <si>
    <t>1_0|2_10000|3_0|4_0</t>
  </si>
  <si>
    <t>1_0|2_500|3_9500|4_0</t>
  </si>
  <si>
    <t>2_500</t>
  </si>
  <si>
    <t>3_9500</t>
  </si>
  <si>
    <t>1_0|2_3000|3_7000|4_0</t>
  </si>
  <si>
    <t>1_0|2_4000|3_6000|4_0</t>
  </si>
  <si>
    <t>1_0|2_5000|3_5000|4_0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</si>
</sst>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tabSelected="1" zoomScale="70" zoomScaleNormal="70" workbookViewId="0">
      <selection activeCell="J2" sqref="J2:P2"/>
    </sheetView>
  </sheetViews>
  <sheetFormatPr defaultColWidth="9" defaultRowHeight="13.5"/>
  <cols>
    <col min="2" max="2" width="19.625" customWidth="1"/>
    <col min="4" max="4" width="15.25" customWidth="1"/>
    <col min="6" max="6" width="31.5" customWidth="1"/>
    <col min="16" max="18" width="15.3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K1" t="s">
        <v>6</v>
      </c>
      <c r="L1" t="s">
        <v>7</v>
      </c>
      <c r="M1" t="s">
        <v>8</v>
      </c>
      <c r="N1" t="s">
        <v>9</v>
      </c>
      <c r="P1" t="s">
        <v>10</v>
      </c>
      <c r="Q1" t="s">
        <v>11</v>
      </c>
      <c r="R1">
        <v>1</v>
      </c>
    </row>
    <row r="2" spans="1:6">
      <c r="A2" t="s">
        <v>12</v>
      </c>
      <c r="C2" t="s">
        <v>12</v>
      </c>
      <c r="D2" t="s">
        <v>12</v>
      </c>
      <c r="F2" s="1" t="s">
        <v>13</v>
      </c>
    </row>
    <row r="3" spans="1:6">
      <c r="A3" t="s">
        <v>14</v>
      </c>
      <c r="C3" t="s">
        <v>15</v>
      </c>
      <c r="D3" t="s">
        <v>16</v>
      </c>
      <c r="F3" t="s">
        <v>17</v>
      </c>
    </row>
    <row r="5" spans="1:18">
      <c r="A5" s="2">
        <f t="shared" ref="A5:A42" si="0">100000+C5*1000+D5</f>
        <v>121021</v>
      </c>
      <c r="B5" s="2" t="s">
        <v>18</v>
      </c>
      <c r="C5" s="2">
        <v>21</v>
      </c>
      <c r="D5" s="2">
        <v>21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>
        <v>0</v>
      </c>
      <c r="L5">
        <v>0</v>
      </c>
      <c r="M5">
        <v>10000</v>
      </c>
      <c r="N5">
        <v>0</v>
      </c>
      <c r="P5">
        <v>1</v>
      </c>
      <c r="Q5">
        <v>0</v>
      </c>
      <c r="R5">
        <v>10000</v>
      </c>
    </row>
    <row r="6" spans="1:18">
      <c r="A6" s="2">
        <f t="shared" si="0"/>
        <v>121020</v>
      </c>
      <c r="B6" s="2" t="s">
        <v>18</v>
      </c>
      <c r="C6" s="2">
        <v>21</v>
      </c>
      <c r="D6" s="2">
        <f t="shared" ref="D6:D22" si="1">D5-1</f>
        <v>20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>
        <v>0</v>
      </c>
      <c r="L6">
        <v>0</v>
      </c>
      <c r="M6">
        <v>10000</v>
      </c>
      <c r="N6">
        <v>0</v>
      </c>
      <c r="O6">
        <v>1000</v>
      </c>
      <c r="P6">
        <v>0.923076923076923</v>
      </c>
      <c r="Q6">
        <v>0.0769230769230769</v>
      </c>
      <c r="R6">
        <v>9000</v>
      </c>
    </row>
    <row r="7" spans="1:18">
      <c r="A7" s="2">
        <f t="shared" si="0"/>
        <v>121019</v>
      </c>
      <c r="B7" s="2" t="s">
        <v>18</v>
      </c>
      <c r="C7" s="2">
        <v>21</v>
      </c>
      <c r="D7" s="2">
        <f t="shared" si="1"/>
        <v>19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>
        <v>0</v>
      </c>
      <c r="L7">
        <v>0</v>
      </c>
      <c r="M7">
        <v>10000</v>
      </c>
      <c r="N7">
        <v>0</v>
      </c>
      <c r="O7">
        <v>2000</v>
      </c>
      <c r="P7">
        <v>0.846153846153846</v>
      </c>
      <c r="Q7">
        <v>0.153846153846154</v>
      </c>
      <c r="R7">
        <v>8000</v>
      </c>
    </row>
    <row r="8" spans="1:18">
      <c r="A8" s="2">
        <f t="shared" si="0"/>
        <v>121018</v>
      </c>
      <c r="B8" s="2" t="s">
        <v>18</v>
      </c>
      <c r="C8" s="2">
        <v>21</v>
      </c>
      <c r="D8" s="2">
        <f t="shared" si="1"/>
        <v>18</v>
      </c>
      <c r="F8" t="s">
        <v>24</v>
      </c>
      <c r="G8" t="s">
        <v>25</v>
      </c>
      <c r="H8" t="s">
        <v>26</v>
      </c>
      <c r="I8" t="s">
        <v>27</v>
      </c>
      <c r="J8" t="s">
        <v>23</v>
      </c>
      <c r="K8">
        <v>1000</v>
      </c>
      <c r="L8">
        <v>2000</v>
      </c>
      <c r="M8">
        <v>8000</v>
      </c>
      <c r="N8">
        <v>0</v>
      </c>
      <c r="P8">
        <v>0.769230769230769</v>
      </c>
      <c r="Q8">
        <v>0.230769230769231</v>
      </c>
      <c r="R8">
        <v>8000</v>
      </c>
    </row>
    <row r="9" spans="1:18">
      <c r="A9" s="2">
        <f t="shared" si="0"/>
        <v>121017</v>
      </c>
      <c r="B9" s="2" t="s">
        <v>18</v>
      </c>
      <c r="C9" s="2">
        <v>21</v>
      </c>
      <c r="D9" s="2">
        <f t="shared" si="1"/>
        <v>17</v>
      </c>
      <c r="F9" t="s">
        <v>28</v>
      </c>
      <c r="G9" t="s">
        <v>29</v>
      </c>
      <c r="H9" t="s">
        <v>30</v>
      </c>
      <c r="I9" t="s">
        <v>31</v>
      </c>
      <c r="J9" t="s">
        <v>23</v>
      </c>
      <c r="K9">
        <v>1500</v>
      </c>
      <c r="L9">
        <v>3000</v>
      </c>
      <c r="M9">
        <v>7000</v>
      </c>
      <c r="N9">
        <v>0</v>
      </c>
      <c r="P9">
        <v>0.692307692307692</v>
      </c>
      <c r="Q9">
        <v>0.307692307692308</v>
      </c>
      <c r="R9">
        <v>7000</v>
      </c>
    </row>
    <row r="10" spans="1:18">
      <c r="A10" s="2">
        <f t="shared" si="0"/>
        <v>121016</v>
      </c>
      <c r="B10" s="2" t="s">
        <v>18</v>
      </c>
      <c r="C10" s="2">
        <v>21</v>
      </c>
      <c r="D10" s="2">
        <f t="shared" si="1"/>
        <v>16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>
        <v>2000</v>
      </c>
      <c r="L10">
        <v>4000</v>
      </c>
      <c r="M10">
        <v>6000</v>
      </c>
      <c r="N10">
        <v>8000</v>
      </c>
      <c r="P10">
        <v>0.615384615384615</v>
      </c>
      <c r="Q10">
        <v>0.384615384615385</v>
      </c>
      <c r="R10">
        <v>6000</v>
      </c>
    </row>
    <row r="11" spans="1:18">
      <c r="A11" s="2">
        <f t="shared" si="0"/>
        <v>121015</v>
      </c>
      <c r="B11" s="2" t="s">
        <v>18</v>
      </c>
      <c r="C11" s="2">
        <v>21</v>
      </c>
      <c r="D11" s="2">
        <f t="shared" si="1"/>
        <v>15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>
        <v>2500</v>
      </c>
      <c r="L11">
        <v>5000</v>
      </c>
      <c r="M11">
        <v>5000</v>
      </c>
      <c r="N11">
        <v>9000</v>
      </c>
      <c r="P11">
        <v>0.538461538461538</v>
      </c>
      <c r="Q11">
        <v>0.461538461538462</v>
      </c>
      <c r="R11">
        <v>5000</v>
      </c>
    </row>
    <row r="12" spans="1:18">
      <c r="A12" s="2">
        <f t="shared" si="0"/>
        <v>121014</v>
      </c>
      <c r="B12" s="2" t="s">
        <v>18</v>
      </c>
      <c r="C12" s="2">
        <v>21</v>
      </c>
      <c r="D12" s="2">
        <f t="shared" si="1"/>
        <v>14</v>
      </c>
      <c r="F12" t="s">
        <v>42</v>
      </c>
      <c r="G12" t="s">
        <v>38</v>
      </c>
      <c r="H12" t="s">
        <v>39</v>
      </c>
      <c r="I12" t="s">
        <v>40</v>
      </c>
      <c r="J12" t="s">
        <v>43</v>
      </c>
      <c r="K12">
        <v>2500</v>
      </c>
      <c r="L12">
        <v>5000</v>
      </c>
      <c r="M12">
        <v>5000</v>
      </c>
      <c r="N12">
        <v>10000</v>
      </c>
      <c r="P12">
        <v>0.461538461538462</v>
      </c>
      <c r="Q12">
        <v>0.538461538461538</v>
      </c>
      <c r="R12">
        <v>5000</v>
      </c>
    </row>
    <row r="13" spans="1:18">
      <c r="A13" s="2">
        <f t="shared" si="0"/>
        <v>121013</v>
      </c>
      <c r="B13" s="2" t="s">
        <v>18</v>
      </c>
      <c r="C13" s="2">
        <v>21</v>
      </c>
      <c r="D13" s="2">
        <f t="shared" si="1"/>
        <v>13</v>
      </c>
      <c r="F13" t="s">
        <v>44</v>
      </c>
      <c r="G13" t="s">
        <v>45</v>
      </c>
      <c r="H13" t="s">
        <v>46</v>
      </c>
      <c r="I13" t="s">
        <v>47</v>
      </c>
      <c r="J13" t="s">
        <v>43</v>
      </c>
      <c r="K13">
        <v>4250</v>
      </c>
      <c r="L13">
        <v>8500</v>
      </c>
      <c r="M13">
        <v>1500</v>
      </c>
      <c r="N13">
        <v>10000</v>
      </c>
      <c r="O13">
        <v>-2500</v>
      </c>
      <c r="P13">
        <v>0.384615384615385</v>
      </c>
      <c r="Q13">
        <v>0.615384615384615</v>
      </c>
      <c r="R13">
        <v>4000</v>
      </c>
    </row>
    <row r="14" spans="1:18">
      <c r="A14" s="2">
        <f t="shared" si="0"/>
        <v>121012</v>
      </c>
      <c r="B14" s="2" t="s">
        <v>18</v>
      </c>
      <c r="C14" s="2">
        <v>21</v>
      </c>
      <c r="D14" s="2">
        <f t="shared" si="1"/>
        <v>12</v>
      </c>
      <c r="F14" t="s">
        <v>48</v>
      </c>
      <c r="G14" t="s">
        <v>20</v>
      </c>
      <c r="H14" t="s">
        <v>49</v>
      </c>
      <c r="I14" t="s">
        <v>50</v>
      </c>
      <c r="J14" t="s">
        <v>43</v>
      </c>
      <c r="K14">
        <v>0</v>
      </c>
      <c r="L14">
        <v>10000</v>
      </c>
      <c r="M14">
        <v>0</v>
      </c>
      <c r="N14">
        <v>10000</v>
      </c>
      <c r="O14">
        <v>-3000</v>
      </c>
      <c r="P14">
        <v>0.307692307692308</v>
      </c>
      <c r="Q14">
        <v>0.692307692307692</v>
      </c>
      <c r="R14">
        <v>2000</v>
      </c>
    </row>
    <row r="15" spans="1:17">
      <c r="A15" s="2">
        <f t="shared" si="0"/>
        <v>121011</v>
      </c>
      <c r="B15" s="2" t="s">
        <v>18</v>
      </c>
      <c r="C15" s="2">
        <v>21</v>
      </c>
      <c r="D15" s="2">
        <f t="shared" si="1"/>
        <v>11</v>
      </c>
      <c r="F15" t="s">
        <v>48</v>
      </c>
      <c r="G15" t="s">
        <v>20</v>
      </c>
      <c r="H15" t="s">
        <v>49</v>
      </c>
      <c r="I15" t="s">
        <v>50</v>
      </c>
      <c r="J15" t="s">
        <v>43</v>
      </c>
      <c r="K15">
        <v>0</v>
      </c>
      <c r="L15">
        <v>10000</v>
      </c>
      <c r="M15">
        <v>0</v>
      </c>
      <c r="N15">
        <v>10000</v>
      </c>
      <c r="P15">
        <v>0</v>
      </c>
      <c r="Q15">
        <v>1</v>
      </c>
    </row>
    <row r="16" spans="1:17">
      <c r="A16" s="2">
        <f t="shared" si="0"/>
        <v>121010</v>
      </c>
      <c r="B16" s="2" t="s">
        <v>18</v>
      </c>
      <c r="C16" s="2">
        <v>21</v>
      </c>
      <c r="D16" s="2">
        <f t="shared" si="1"/>
        <v>10</v>
      </c>
      <c r="F16" t="s">
        <v>51</v>
      </c>
      <c r="G16" t="s">
        <v>20</v>
      </c>
      <c r="H16" t="s">
        <v>49</v>
      </c>
      <c r="I16" t="s">
        <v>50</v>
      </c>
      <c r="J16" t="s">
        <v>52</v>
      </c>
      <c r="K16">
        <v>0</v>
      </c>
      <c r="L16">
        <v>10000</v>
      </c>
      <c r="M16">
        <v>0</v>
      </c>
      <c r="N16">
        <v>6000</v>
      </c>
      <c r="P16">
        <v>0</v>
      </c>
      <c r="Q16">
        <v>1</v>
      </c>
    </row>
    <row r="17" spans="1:17">
      <c r="A17" s="2">
        <f t="shared" si="0"/>
        <v>121009</v>
      </c>
      <c r="B17" s="2" t="s">
        <v>18</v>
      </c>
      <c r="C17" s="2">
        <v>21</v>
      </c>
      <c r="D17" s="2">
        <f t="shared" si="1"/>
        <v>9</v>
      </c>
      <c r="F17" t="s">
        <v>51</v>
      </c>
      <c r="G17" t="s">
        <v>20</v>
      </c>
      <c r="H17" t="s">
        <v>49</v>
      </c>
      <c r="I17" t="s">
        <v>50</v>
      </c>
      <c r="J17" t="s">
        <v>52</v>
      </c>
      <c r="K17">
        <v>0</v>
      </c>
      <c r="L17">
        <v>10000</v>
      </c>
      <c r="M17">
        <v>0</v>
      </c>
      <c r="N17">
        <v>6000</v>
      </c>
      <c r="P17">
        <v>0</v>
      </c>
      <c r="Q17">
        <v>1</v>
      </c>
    </row>
    <row r="18" spans="1:17">
      <c r="A18" s="2">
        <f t="shared" si="0"/>
        <v>121008</v>
      </c>
      <c r="B18" s="2" t="s">
        <v>18</v>
      </c>
      <c r="C18" s="2">
        <v>21</v>
      </c>
      <c r="D18" s="2">
        <f t="shared" si="1"/>
        <v>8</v>
      </c>
      <c r="F18" t="s">
        <v>51</v>
      </c>
      <c r="G18" t="s">
        <v>20</v>
      </c>
      <c r="H18" t="s">
        <v>49</v>
      </c>
      <c r="I18" t="s">
        <v>50</v>
      </c>
      <c r="J18" t="s">
        <v>52</v>
      </c>
      <c r="K18">
        <v>0</v>
      </c>
      <c r="L18">
        <v>10000</v>
      </c>
      <c r="M18">
        <v>0</v>
      </c>
      <c r="N18">
        <v>6000</v>
      </c>
      <c r="P18">
        <v>0</v>
      </c>
      <c r="Q18">
        <v>1</v>
      </c>
    </row>
    <row r="19" spans="1:17">
      <c r="A19" s="2">
        <f t="shared" si="0"/>
        <v>121007</v>
      </c>
      <c r="B19" s="2" t="s">
        <v>18</v>
      </c>
      <c r="C19" s="2">
        <v>21</v>
      </c>
      <c r="D19" s="2">
        <f t="shared" si="1"/>
        <v>7</v>
      </c>
      <c r="F19" t="s">
        <v>51</v>
      </c>
      <c r="G19" t="s">
        <v>20</v>
      </c>
      <c r="H19" t="s">
        <v>49</v>
      </c>
      <c r="I19" t="s">
        <v>50</v>
      </c>
      <c r="J19" t="s">
        <v>52</v>
      </c>
      <c r="K19">
        <v>0</v>
      </c>
      <c r="L19">
        <v>10000</v>
      </c>
      <c r="M19">
        <v>0</v>
      </c>
      <c r="N19">
        <v>6000</v>
      </c>
      <c r="P19">
        <v>0</v>
      </c>
      <c r="Q19">
        <v>1</v>
      </c>
    </row>
    <row r="20" spans="1:17">
      <c r="A20" s="2">
        <f t="shared" si="0"/>
        <v>121006</v>
      </c>
      <c r="B20" s="2" t="s">
        <v>18</v>
      </c>
      <c r="C20" s="2">
        <v>21</v>
      </c>
      <c r="D20" s="2">
        <f t="shared" si="1"/>
        <v>6</v>
      </c>
      <c r="F20" t="s">
        <v>53</v>
      </c>
      <c r="G20" t="s">
        <v>20</v>
      </c>
      <c r="H20" t="s">
        <v>49</v>
      </c>
      <c r="I20" t="s">
        <v>50</v>
      </c>
      <c r="J20" t="s">
        <v>36</v>
      </c>
      <c r="K20">
        <v>0</v>
      </c>
      <c r="L20">
        <v>10000</v>
      </c>
      <c r="M20">
        <v>0</v>
      </c>
      <c r="N20">
        <v>8000</v>
      </c>
      <c r="P20">
        <v>0</v>
      </c>
      <c r="Q20">
        <v>1</v>
      </c>
    </row>
    <row r="21" spans="1:17">
      <c r="A21" s="2">
        <f t="shared" si="0"/>
        <v>121005</v>
      </c>
      <c r="B21" s="2" t="s">
        <v>18</v>
      </c>
      <c r="C21" s="2">
        <v>21</v>
      </c>
      <c r="D21" s="2">
        <f t="shared" si="1"/>
        <v>5</v>
      </c>
      <c r="F21" t="s">
        <v>53</v>
      </c>
      <c r="G21" t="s">
        <v>20</v>
      </c>
      <c r="H21" t="s">
        <v>49</v>
      </c>
      <c r="I21" t="s">
        <v>50</v>
      </c>
      <c r="J21" t="s">
        <v>36</v>
      </c>
      <c r="K21">
        <v>0</v>
      </c>
      <c r="L21">
        <v>10000</v>
      </c>
      <c r="M21">
        <v>0</v>
      </c>
      <c r="N21">
        <v>8000</v>
      </c>
      <c r="P21">
        <v>0</v>
      </c>
      <c r="Q21">
        <v>1</v>
      </c>
    </row>
    <row r="22" spans="1:17">
      <c r="A22" s="2">
        <f t="shared" si="0"/>
        <v>121004</v>
      </c>
      <c r="B22" s="2" t="s">
        <v>18</v>
      </c>
      <c r="C22" s="2">
        <v>21</v>
      </c>
      <c r="D22" s="2">
        <f t="shared" si="1"/>
        <v>4</v>
      </c>
      <c r="F22" t="s">
        <v>48</v>
      </c>
      <c r="G22" t="s">
        <v>20</v>
      </c>
      <c r="H22" t="s">
        <v>49</v>
      </c>
      <c r="I22" t="s">
        <v>50</v>
      </c>
      <c r="J22" t="s">
        <v>43</v>
      </c>
      <c r="K22">
        <v>0</v>
      </c>
      <c r="L22">
        <v>10000</v>
      </c>
      <c r="M22">
        <v>0</v>
      </c>
      <c r="N22">
        <v>10000</v>
      </c>
      <c r="P22">
        <v>0</v>
      </c>
      <c r="Q22">
        <v>1</v>
      </c>
    </row>
    <row r="23" spans="1:18">
      <c r="A23" s="2">
        <f t="shared" si="0"/>
        <v>122021</v>
      </c>
      <c r="B23" s="2" t="s">
        <v>54</v>
      </c>
      <c r="C23" s="2">
        <v>22</v>
      </c>
      <c r="D23" s="2">
        <v>21</v>
      </c>
      <c r="E23">
        <v>31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K23">
        <v>0</v>
      </c>
      <c r="L23">
        <v>0</v>
      </c>
      <c r="M23">
        <v>10000</v>
      </c>
      <c r="N23">
        <v>0</v>
      </c>
      <c r="P23">
        <v>1</v>
      </c>
      <c r="Q23">
        <v>0</v>
      </c>
      <c r="R23">
        <v>1.76923076923077</v>
      </c>
    </row>
    <row r="24" spans="1:18">
      <c r="A24" s="2">
        <f t="shared" si="0"/>
        <v>122020</v>
      </c>
      <c r="B24" s="2" t="s">
        <v>54</v>
      </c>
      <c r="C24" s="2">
        <v>22</v>
      </c>
      <c r="D24" s="2">
        <f t="shared" ref="D24:D42" si="2">D23-1</f>
        <v>20</v>
      </c>
      <c r="E24">
        <v>30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>
        <v>0</v>
      </c>
      <c r="L24">
        <v>0</v>
      </c>
      <c r="M24">
        <v>10000</v>
      </c>
      <c r="N24">
        <v>0</v>
      </c>
      <c r="O24">
        <v>1000</v>
      </c>
      <c r="P24">
        <v>0.923076923076923</v>
      </c>
      <c r="Q24">
        <v>0.0769230769230769</v>
      </c>
      <c r="R24">
        <v>1.69230769230769</v>
      </c>
    </row>
    <row r="25" spans="1:18">
      <c r="A25" s="2">
        <f t="shared" si="0"/>
        <v>122019</v>
      </c>
      <c r="B25" s="2" t="s">
        <v>54</v>
      </c>
      <c r="C25" s="2">
        <v>22</v>
      </c>
      <c r="D25" s="2">
        <f t="shared" si="2"/>
        <v>19</v>
      </c>
      <c r="E25">
        <v>29</v>
      </c>
      <c r="F25" t="s">
        <v>19</v>
      </c>
      <c r="G25" t="s">
        <v>20</v>
      </c>
      <c r="H25" t="s">
        <v>21</v>
      </c>
      <c r="I25" t="s">
        <v>22</v>
      </c>
      <c r="J25" t="s">
        <v>23</v>
      </c>
      <c r="K25">
        <v>0</v>
      </c>
      <c r="L25">
        <v>0</v>
      </c>
      <c r="M25">
        <v>10000</v>
      </c>
      <c r="N25">
        <v>0</v>
      </c>
      <c r="O25">
        <v>2000</v>
      </c>
      <c r="P25">
        <v>0.846153846153846</v>
      </c>
      <c r="Q25">
        <v>0.153846153846154</v>
      </c>
      <c r="R25">
        <v>1.61538461538462</v>
      </c>
    </row>
    <row r="26" spans="1:18">
      <c r="A26" s="2">
        <f t="shared" si="0"/>
        <v>122018</v>
      </c>
      <c r="B26" s="2" t="s">
        <v>54</v>
      </c>
      <c r="C26" s="2">
        <v>22</v>
      </c>
      <c r="D26" s="2">
        <f t="shared" si="2"/>
        <v>18</v>
      </c>
      <c r="E26">
        <v>28</v>
      </c>
      <c r="F26" t="s">
        <v>24</v>
      </c>
      <c r="G26" t="s">
        <v>25</v>
      </c>
      <c r="H26" t="s">
        <v>26</v>
      </c>
      <c r="I26" t="s">
        <v>27</v>
      </c>
      <c r="J26" t="s">
        <v>23</v>
      </c>
      <c r="K26">
        <v>1000</v>
      </c>
      <c r="L26">
        <v>2000</v>
      </c>
      <c r="M26">
        <v>8000</v>
      </c>
      <c r="N26">
        <v>0</v>
      </c>
      <c r="P26">
        <v>0.769230769230769</v>
      </c>
      <c r="Q26">
        <v>0.230769230769231</v>
      </c>
      <c r="R26">
        <v>1.53846153846154</v>
      </c>
    </row>
    <row r="27" spans="1:18">
      <c r="A27" s="2">
        <f t="shared" si="0"/>
        <v>122017</v>
      </c>
      <c r="B27" s="2" t="s">
        <v>54</v>
      </c>
      <c r="C27" s="2">
        <v>22</v>
      </c>
      <c r="D27" s="2">
        <f t="shared" si="2"/>
        <v>17</v>
      </c>
      <c r="E27">
        <v>27</v>
      </c>
      <c r="F27" t="s">
        <v>28</v>
      </c>
      <c r="G27" t="s">
        <v>29</v>
      </c>
      <c r="H27" t="s">
        <v>30</v>
      </c>
      <c r="I27" t="s">
        <v>31</v>
      </c>
      <c r="J27" t="s">
        <v>23</v>
      </c>
      <c r="K27">
        <v>1500</v>
      </c>
      <c r="L27">
        <v>3000</v>
      </c>
      <c r="M27">
        <v>7000</v>
      </c>
      <c r="N27">
        <v>0</v>
      </c>
      <c r="P27">
        <v>0.692307692307692</v>
      </c>
      <c r="Q27">
        <v>0.307692307692308</v>
      </c>
      <c r="R27">
        <v>1.46153846153846</v>
      </c>
    </row>
    <row r="28" spans="1:18">
      <c r="A28" s="2">
        <f t="shared" si="0"/>
        <v>122016</v>
      </c>
      <c r="B28" s="2" t="s">
        <v>54</v>
      </c>
      <c r="C28" s="2">
        <v>22</v>
      </c>
      <c r="D28" s="2">
        <f t="shared" si="2"/>
        <v>16</v>
      </c>
      <c r="E28">
        <v>26</v>
      </c>
      <c r="F28" t="s">
        <v>55</v>
      </c>
      <c r="G28" t="s">
        <v>33</v>
      </c>
      <c r="H28" t="s">
        <v>34</v>
      </c>
      <c r="I28" t="s">
        <v>35</v>
      </c>
      <c r="J28" t="s">
        <v>23</v>
      </c>
      <c r="K28">
        <v>2000</v>
      </c>
      <c r="L28">
        <v>4000</v>
      </c>
      <c r="M28">
        <v>6000</v>
      </c>
      <c r="N28">
        <v>0</v>
      </c>
      <c r="P28">
        <v>0.615384615384615</v>
      </c>
      <c r="Q28">
        <v>0.384615384615385</v>
      </c>
      <c r="R28">
        <v>1.38461538461538</v>
      </c>
    </row>
    <row r="29" spans="1:18">
      <c r="A29" s="2">
        <f t="shared" si="0"/>
        <v>122015</v>
      </c>
      <c r="B29" s="2" t="s">
        <v>54</v>
      </c>
      <c r="C29" s="2">
        <v>22</v>
      </c>
      <c r="D29" s="2">
        <f t="shared" si="2"/>
        <v>15</v>
      </c>
      <c r="E29">
        <v>25</v>
      </c>
      <c r="F29" t="s">
        <v>56</v>
      </c>
      <c r="G29" t="s">
        <v>38</v>
      </c>
      <c r="H29" t="s">
        <v>39</v>
      </c>
      <c r="I29" t="s">
        <v>40</v>
      </c>
      <c r="J29" t="s">
        <v>23</v>
      </c>
      <c r="K29">
        <v>2500</v>
      </c>
      <c r="L29">
        <v>5000</v>
      </c>
      <c r="M29">
        <v>5000</v>
      </c>
      <c r="N29">
        <v>0</v>
      </c>
      <c r="P29">
        <v>0.538461538461538</v>
      </c>
      <c r="Q29">
        <v>0.461538461538462</v>
      </c>
      <c r="R29">
        <v>1.30769230769231</v>
      </c>
    </row>
    <row r="30" spans="1:18">
      <c r="A30" s="2">
        <f t="shared" si="0"/>
        <v>122014</v>
      </c>
      <c r="B30" s="2" t="s">
        <v>54</v>
      </c>
      <c r="C30" s="2">
        <v>22</v>
      </c>
      <c r="D30" s="2">
        <f t="shared" si="2"/>
        <v>14</v>
      </c>
      <c r="E30">
        <v>24</v>
      </c>
      <c r="F30" t="s">
        <v>56</v>
      </c>
      <c r="G30" t="s">
        <v>38</v>
      </c>
      <c r="H30" t="s">
        <v>39</v>
      </c>
      <c r="I30" t="s">
        <v>40</v>
      </c>
      <c r="J30" t="s">
        <v>23</v>
      </c>
      <c r="K30">
        <v>2500</v>
      </c>
      <c r="L30">
        <v>5000</v>
      </c>
      <c r="M30">
        <v>5000</v>
      </c>
      <c r="N30">
        <v>0</v>
      </c>
      <c r="P30">
        <v>0.461538461538462</v>
      </c>
      <c r="Q30">
        <v>0.538461538461538</v>
      </c>
      <c r="R30">
        <v>1.23076923076923</v>
      </c>
    </row>
    <row r="31" spans="1:18">
      <c r="A31" s="2">
        <f t="shared" si="0"/>
        <v>122013</v>
      </c>
      <c r="B31" s="2" t="s">
        <v>54</v>
      </c>
      <c r="C31" s="2">
        <v>22</v>
      </c>
      <c r="D31" s="2">
        <f t="shared" si="2"/>
        <v>13</v>
      </c>
      <c r="E31">
        <v>23</v>
      </c>
      <c r="F31" t="s">
        <v>57</v>
      </c>
      <c r="G31" t="s">
        <v>20</v>
      </c>
      <c r="H31" t="s">
        <v>46</v>
      </c>
      <c r="I31" t="s">
        <v>47</v>
      </c>
      <c r="J31" t="s">
        <v>23</v>
      </c>
      <c r="K31">
        <v>0</v>
      </c>
      <c r="L31">
        <v>8500</v>
      </c>
      <c r="M31">
        <v>1500</v>
      </c>
      <c r="N31">
        <v>0</v>
      </c>
      <c r="O31">
        <v>-2500</v>
      </c>
      <c r="P31">
        <v>0.384615384615385</v>
      </c>
      <c r="Q31">
        <v>0.615384615384615</v>
      </c>
      <c r="R31">
        <v>1.15384615384615</v>
      </c>
    </row>
    <row r="32" spans="1:18">
      <c r="A32" s="2">
        <f t="shared" si="0"/>
        <v>122012</v>
      </c>
      <c r="B32" s="2" t="s">
        <v>54</v>
      </c>
      <c r="C32" s="2">
        <v>22</v>
      </c>
      <c r="D32" s="2">
        <f t="shared" si="2"/>
        <v>12</v>
      </c>
      <c r="E32">
        <v>22</v>
      </c>
      <c r="F32" t="s">
        <v>58</v>
      </c>
      <c r="G32" t="s">
        <v>20</v>
      </c>
      <c r="H32" t="s">
        <v>49</v>
      </c>
      <c r="I32" t="s">
        <v>50</v>
      </c>
      <c r="J32" t="s">
        <v>23</v>
      </c>
      <c r="K32">
        <v>0</v>
      </c>
      <c r="L32">
        <v>10000</v>
      </c>
      <c r="M32">
        <v>0</v>
      </c>
      <c r="N32">
        <v>0</v>
      </c>
      <c r="O32">
        <v>-3000</v>
      </c>
      <c r="P32">
        <v>0.307692307692308</v>
      </c>
      <c r="Q32">
        <v>0.692307692307692</v>
      </c>
      <c r="R32">
        <v>1.07692307692308</v>
      </c>
    </row>
    <row r="33" spans="1:18">
      <c r="A33" s="2">
        <f t="shared" si="0"/>
        <v>122011</v>
      </c>
      <c r="B33" s="2" t="s">
        <v>54</v>
      </c>
      <c r="C33" s="2">
        <v>22</v>
      </c>
      <c r="D33" s="2">
        <f t="shared" si="2"/>
        <v>11</v>
      </c>
      <c r="E33">
        <v>21</v>
      </c>
      <c r="F33" t="s">
        <v>19</v>
      </c>
      <c r="G33" t="s">
        <v>20</v>
      </c>
      <c r="H33" t="s">
        <v>21</v>
      </c>
      <c r="I33" t="s">
        <v>22</v>
      </c>
      <c r="J33" t="s">
        <v>23</v>
      </c>
      <c r="K33">
        <v>0</v>
      </c>
      <c r="L33">
        <v>0</v>
      </c>
      <c r="M33">
        <v>10000</v>
      </c>
      <c r="N33">
        <v>0</v>
      </c>
      <c r="P33">
        <v>0</v>
      </c>
      <c r="Q33">
        <v>0</v>
      </c>
      <c r="R33">
        <v>1</v>
      </c>
    </row>
    <row r="34" spans="1:18">
      <c r="A34" s="2">
        <f t="shared" si="0"/>
        <v>122010</v>
      </c>
      <c r="B34" s="2" t="s">
        <v>54</v>
      </c>
      <c r="C34" s="2">
        <v>22</v>
      </c>
      <c r="D34" s="2">
        <f t="shared" si="2"/>
        <v>10</v>
      </c>
      <c r="E34">
        <v>20</v>
      </c>
      <c r="F34" t="s">
        <v>19</v>
      </c>
      <c r="G34" t="s">
        <v>20</v>
      </c>
      <c r="H34" t="s">
        <v>21</v>
      </c>
      <c r="I34" t="s">
        <v>22</v>
      </c>
      <c r="J34" t="s">
        <v>23</v>
      </c>
      <c r="K34">
        <v>0</v>
      </c>
      <c r="L34">
        <v>0</v>
      </c>
      <c r="M34">
        <v>10000</v>
      </c>
      <c r="N34">
        <v>0</v>
      </c>
      <c r="O34">
        <v>1000</v>
      </c>
      <c r="P34">
        <v>0</v>
      </c>
      <c r="Q34">
        <v>0.0769230769230769</v>
      </c>
      <c r="R34">
        <v>0.923076923076923</v>
      </c>
    </row>
    <row r="35" spans="1:18">
      <c r="A35" s="2">
        <f t="shared" si="0"/>
        <v>122009</v>
      </c>
      <c r="B35" s="2" t="s">
        <v>54</v>
      </c>
      <c r="C35" s="2">
        <v>22</v>
      </c>
      <c r="D35" s="2">
        <f t="shared" si="2"/>
        <v>9</v>
      </c>
      <c r="E35">
        <v>19</v>
      </c>
      <c r="F35" t="s">
        <v>19</v>
      </c>
      <c r="G35" t="s">
        <v>20</v>
      </c>
      <c r="H35" t="s">
        <v>21</v>
      </c>
      <c r="I35" t="s">
        <v>22</v>
      </c>
      <c r="J35" t="s">
        <v>23</v>
      </c>
      <c r="K35">
        <v>0</v>
      </c>
      <c r="L35">
        <v>0</v>
      </c>
      <c r="M35">
        <v>10000</v>
      </c>
      <c r="N35">
        <v>0</v>
      </c>
      <c r="O35">
        <v>2000</v>
      </c>
      <c r="P35">
        <v>0</v>
      </c>
      <c r="Q35">
        <v>0.153846153846154</v>
      </c>
      <c r="R35">
        <v>0.846153846153846</v>
      </c>
    </row>
    <row r="36" spans="1:18">
      <c r="A36" s="2">
        <f t="shared" si="0"/>
        <v>122008</v>
      </c>
      <c r="B36" s="2" t="s">
        <v>54</v>
      </c>
      <c r="C36" s="2">
        <v>22</v>
      </c>
      <c r="D36" s="2">
        <f t="shared" si="2"/>
        <v>8</v>
      </c>
      <c r="E36">
        <v>18</v>
      </c>
      <c r="F36" t="s">
        <v>59</v>
      </c>
      <c r="G36" t="s">
        <v>20</v>
      </c>
      <c r="H36" t="s">
        <v>60</v>
      </c>
      <c r="I36" t="s">
        <v>61</v>
      </c>
      <c r="J36" t="s">
        <v>23</v>
      </c>
      <c r="K36">
        <v>0</v>
      </c>
      <c r="L36">
        <v>500</v>
      </c>
      <c r="M36">
        <v>9500</v>
      </c>
      <c r="N36">
        <v>0</v>
      </c>
      <c r="O36">
        <v>1500</v>
      </c>
      <c r="P36">
        <v>0</v>
      </c>
      <c r="Q36">
        <v>0.230769230769231</v>
      </c>
      <c r="R36">
        <v>0.769230769230769</v>
      </c>
    </row>
    <row r="37" spans="1:18">
      <c r="A37" s="2">
        <f t="shared" si="0"/>
        <v>122007</v>
      </c>
      <c r="B37" s="2" t="s">
        <v>54</v>
      </c>
      <c r="C37" s="2">
        <v>22</v>
      </c>
      <c r="D37" s="2">
        <f t="shared" si="2"/>
        <v>7</v>
      </c>
      <c r="E37">
        <v>17</v>
      </c>
      <c r="F37" t="s">
        <v>62</v>
      </c>
      <c r="G37" t="s">
        <v>20</v>
      </c>
      <c r="H37" t="s">
        <v>30</v>
      </c>
      <c r="I37" t="s">
        <v>31</v>
      </c>
      <c r="J37" t="s">
        <v>23</v>
      </c>
      <c r="K37">
        <v>0</v>
      </c>
      <c r="L37">
        <v>3000</v>
      </c>
      <c r="M37">
        <v>7000</v>
      </c>
      <c r="N37">
        <v>0</v>
      </c>
      <c r="P37">
        <v>0</v>
      </c>
      <c r="Q37">
        <v>0.307692307692308</v>
      </c>
      <c r="R37">
        <v>0.692307692307692</v>
      </c>
    </row>
    <row r="38" spans="1:18">
      <c r="A38" s="2">
        <f t="shared" si="0"/>
        <v>122006</v>
      </c>
      <c r="B38" s="2" t="s">
        <v>54</v>
      </c>
      <c r="C38" s="2">
        <v>22</v>
      </c>
      <c r="D38" s="2">
        <f t="shared" si="2"/>
        <v>6</v>
      </c>
      <c r="E38">
        <v>16</v>
      </c>
      <c r="F38" t="s">
        <v>63</v>
      </c>
      <c r="G38" t="s">
        <v>20</v>
      </c>
      <c r="H38" t="s">
        <v>34</v>
      </c>
      <c r="I38" t="s">
        <v>35</v>
      </c>
      <c r="J38" t="s">
        <v>23</v>
      </c>
      <c r="K38">
        <v>0</v>
      </c>
      <c r="L38">
        <v>4000</v>
      </c>
      <c r="M38">
        <v>6000</v>
      </c>
      <c r="N38">
        <v>0</v>
      </c>
      <c r="P38">
        <v>0</v>
      </c>
      <c r="Q38">
        <v>0.384615384615385</v>
      </c>
      <c r="R38">
        <v>0.615384615384615</v>
      </c>
    </row>
    <row r="39" spans="1:18">
      <c r="A39" s="2">
        <f t="shared" si="0"/>
        <v>122005</v>
      </c>
      <c r="B39" s="2" t="s">
        <v>54</v>
      </c>
      <c r="C39" s="2">
        <v>22</v>
      </c>
      <c r="D39" s="2">
        <f t="shared" si="2"/>
        <v>5</v>
      </c>
      <c r="E39">
        <v>15</v>
      </c>
      <c r="F39" t="s">
        <v>64</v>
      </c>
      <c r="G39" t="s">
        <v>20</v>
      </c>
      <c r="H39" t="s">
        <v>39</v>
      </c>
      <c r="I39" t="s">
        <v>40</v>
      </c>
      <c r="J39" t="s">
        <v>23</v>
      </c>
      <c r="K39">
        <v>0</v>
      </c>
      <c r="L39">
        <v>5000</v>
      </c>
      <c r="M39">
        <v>5000</v>
      </c>
      <c r="N39">
        <v>0</v>
      </c>
      <c r="P39">
        <v>0</v>
      </c>
      <c r="Q39">
        <v>0.461538461538462</v>
      </c>
      <c r="R39">
        <v>0.538461538461538</v>
      </c>
    </row>
    <row r="40" spans="1:18">
      <c r="A40" s="2">
        <f t="shared" si="0"/>
        <v>122004</v>
      </c>
      <c r="B40" s="2" t="s">
        <v>54</v>
      </c>
      <c r="C40" s="2">
        <v>22</v>
      </c>
      <c r="D40" s="2">
        <f t="shared" si="2"/>
        <v>4</v>
      </c>
      <c r="E40">
        <v>14</v>
      </c>
      <c r="F40" t="s">
        <v>64</v>
      </c>
      <c r="G40" t="s">
        <v>20</v>
      </c>
      <c r="H40" t="s">
        <v>39</v>
      </c>
      <c r="I40" t="s">
        <v>40</v>
      </c>
      <c r="J40" t="s">
        <v>23</v>
      </c>
      <c r="K40">
        <v>0</v>
      </c>
      <c r="L40">
        <v>5000</v>
      </c>
      <c r="M40">
        <v>5000</v>
      </c>
      <c r="N40">
        <v>0</v>
      </c>
      <c r="P40">
        <v>0</v>
      </c>
      <c r="Q40">
        <v>0.538461538461538</v>
      </c>
      <c r="R40">
        <v>0.461538461538462</v>
      </c>
    </row>
    <row r="41" spans="1:18">
      <c r="A41" s="2">
        <f t="shared" si="0"/>
        <v>122003</v>
      </c>
      <c r="B41" s="2" t="s">
        <v>54</v>
      </c>
      <c r="C41" s="2">
        <v>22</v>
      </c>
      <c r="D41" s="2">
        <f t="shared" si="2"/>
        <v>3</v>
      </c>
      <c r="E41">
        <v>13</v>
      </c>
      <c r="F41" t="s">
        <v>57</v>
      </c>
      <c r="G41" t="s">
        <v>20</v>
      </c>
      <c r="H41" t="s">
        <v>46</v>
      </c>
      <c r="I41" t="s">
        <v>47</v>
      </c>
      <c r="J41" t="s">
        <v>23</v>
      </c>
      <c r="K41">
        <v>0</v>
      </c>
      <c r="L41">
        <v>8500</v>
      </c>
      <c r="M41">
        <v>1500</v>
      </c>
      <c r="N41">
        <v>0</v>
      </c>
      <c r="O41">
        <v>-2500</v>
      </c>
      <c r="P41">
        <v>0</v>
      </c>
      <c r="Q41">
        <v>0.615384615384615</v>
      </c>
      <c r="R41">
        <v>0.384615384615385</v>
      </c>
    </row>
    <row r="42" spans="1:18">
      <c r="A42" s="2">
        <f t="shared" si="0"/>
        <v>122002</v>
      </c>
      <c r="B42" s="2" t="s">
        <v>54</v>
      </c>
      <c r="C42" s="2">
        <v>22</v>
      </c>
      <c r="D42" s="2">
        <f t="shared" si="2"/>
        <v>2</v>
      </c>
      <c r="E42">
        <v>12</v>
      </c>
      <c r="F42" t="s">
        <v>48</v>
      </c>
      <c r="G42" t="s">
        <v>20</v>
      </c>
      <c r="H42" t="s">
        <v>49</v>
      </c>
      <c r="I42" t="s">
        <v>50</v>
      </c>
      <c r="J42" t="s">
        <v>43</v>
      </c>
      <c r="K42">
        <v>0</v>
      </c>
      <c r="L42">
        <v>10000</v>
      </c>
      <c r="M42">
        <v>0</v>
      </c>
      <c r="N42">
        <v>10000</v>
      </c>
      <c r="O42">
        <v>-3000</v>
      </c>
      <c r="P42">
        <v>0</v>
      </c>
      <c r="Q42">
        <v>0.692307692307692</v>
      </c>
      <c r="R42">
        <v>0.307692307692308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chessJackStrategy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2023-05-12T11:15:00Z</dcterms:created>
  <dcterms:modified xsi:type="dcterms:W3CDTF">2025-09-24T10:40:55Z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848744AA7B0C4781833BB83F7EC8AA63_12</vt:lpwstr>
  </property>
</Properties>
</file>