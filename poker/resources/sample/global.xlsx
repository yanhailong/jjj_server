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<sst xmlns="http://schemas.openxmlformats.org/spreadsheetml/2006/main" count="136" uniqueCount="129">
  <si>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</si>
  <si>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</si>
  <si>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</si>
  <si>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</si>
  <si>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</si>
  <si>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</si>
  <si>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</si>
  <si>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</si>
  <si>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</si>
  <si>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</si>
  <si>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</si>
  <si>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</si>
  <si>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</si>
  <si>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</si>
  <si>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</si>
  <si>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</si>
  <si>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</si>
  <si>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</si>
  <si>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</si>
  <si>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</si>
  <si>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</si>
  <si>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</si>
  <si>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</si>
  <si>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</si>
  <si>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</si>
  <si>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</si>
  <si>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</si>
  <si>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</si>
  <si>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</si>
  <si>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</si>
  <si>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</si>
  <si>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</si>
  <si>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</si>
  <si>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</si>
  <si>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</si>
  <si>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</si>
  <si>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</si>
  <si>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</si>
  <si>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</si>
  <si>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</si>
  <si>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</si>
  <si>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</si>
  <si>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</si>
  <si>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</si>
  <si>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</si>
  <si>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</si>
  <si>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</si>
  <si>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</si>
  <si>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</si>
  <si>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</si>
  <si>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</si>
  <si>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</si>
  <si>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</si>
  <si>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</si>
  <si>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</si>
  <si>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</si>
  <si>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</si>
  <si>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</si>
  <si>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</si>
  <si>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</si>
  <si>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</si>
  <si>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</si>
  <si>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</si>
  <si>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</si>
  <si>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</si>
  <si>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</si>
  <si>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</si>
  <si>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</si>
  <si>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</si>
  <si>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</si>
  <si>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</si>
  <si>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</si>
  <si>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</si>
  <si>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</si>
  <si>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</si>
  <si>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290000_1</t>
  </si>
  <si>
    <t>官方派奖：转盘1次数_转盘2次数_转盘3次数（真人抽奖后机器人跟着的抽奖次数，填10，表示玩家抽1次，机器人抽10次）</t>
  </si>
  <si>
    <t>9_1_5</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</si>
  <si>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</si>
  <si>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</si>
  <si>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</si>
  <si>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</si>
  <si>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</si>
  <si>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</si>
  <si>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</si>
  <si>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</si>
  <si>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</si>
  <si>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</si>
  <si>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</si>
  <si>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</si>
  <si>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</si>
  <si>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</si>
  <si>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</si>
  <si>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</si>
  <si>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</si>
  <si>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积分大奖：占用榜单的机器人条件，触发的倒计时，单位秒【倒计时下限_倒计时上限_最小增长积分_前X名用机器人占榜】</t>
  </si>
  <si>
    <t>1500_2100_50_300</t>
  </si>
  <si>
    <t>积分大奖: 【日榜排行榜显示人数_周榜排行榜显示人数_月榜排行榜显示人数】</t>
  </si>
  <si>
    <t>300_300_300</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</si>
  <si>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</si>
  <si>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</si>
  <si>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</si>
  <si>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</si>
  <si>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</si>
  <si>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</si>
  <si>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</si>
  <si>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</si>
  <si>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</si>
  <si>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</si>
  <si>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</si>
  <si>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</si>
  <si>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</si>
  <si>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</si>
  <si>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</si>
  <si>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</si>
  <si>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</si>
  <si>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</si>
  <si>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1990000_6000000</t>
  </si>
  <si>
    <t>推广分享：有效用户达标条件（有效下注累计_数值|累计充值_数值）</t>
  </si>
  <si>
    <t>12007_2000000|11002_100000_0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</si>
  <si>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</si>
  <si>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</si>
  <si>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</si>
  <si>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</si>
  <si>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</si>
  <si>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</si>
  <si>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</si>
  <si>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</si>
  <si>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VND</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</si>
</sst>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0">
    <font>
      <sz val="11"/>
      <color theme="1"/>
      <name val="等线"/>
      <charset val="134"/>
      <scheme val="minor"/>
    </font>
    <font>
      <sz val="11"/>
      <color theme="1"/>
      <name val="微软雅黑"/>
      <charset val="134"/>
    </font>
    <font>
      <sz val="11"/>
      <color theme="0" tint="-0.25"/>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sz val="11"/>
      <color theme="0" tint="-0.25"/>
      <name val="Times New Roman"/>
      <charset val="134"/>
    </font>
    <font>
      <sz val="10.5"/>
      <color theme="0" tint="-0.25"/>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4" borderId="2"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3" applyNumberFormat="0" applyFill="0" applyAlignment="0" applyProtection="0">
      <alignment vertical="center"/>
    </xf>
    <xf numFmtId="0" fontId="15" fillId="0" borderId="3" applyNumberFormat="0" applyFill="0" applyAlignment="0" applyProtection="0">
      <alignment vertical="center"/>
    </xf>
    <xf numFmtId="0" fontId="16" fillId="0" borderId="4" applyNumberFormat="0" applyFill="0" applyAlignment="0" applyProtection="0">
      <alignment vertical="center"/>
    </xf>
    <xf numFmtId="0" fontId="16" fillId="0" borderId="0" applyNumberFormat="0" applyFill="0" applyBorder="0" applyAlignment="0" applyProtection="0">
      <alignment vertical="center"/>
    </xf>
    <xf numFmtId="0" fontId="17" fillId="5" borderId="5" applyNumberFormat="0" applyAlignment="0" applyProtection="0">
      <alignment vertical="center"/>
    </xf>
    <xf numFmtId="0" fontId="18" fillId="6" borderId="6" applyNumberFormat="0" applyAlignment="0" applyProtection="0">
      <alignment vertical="center"/>
    </xf>
    <xf numFmtId="0" fontId="19" fillId="6" borderId="5" applyNumberFormat="0" applyAlignment="0" applyProtection="0">
      <alignment vertical="center"/>
    </xf>
    <xf numFmtId="0" fontId="20" fillId="7" borderId="7" applyNumberFormat="0" applyAlignment="0" applyProtection="0">
      <alignment vertical="center"/>
    </xf>
    <xf numFmtId="0" fontId="21" fillId="0" borderId="8" applyNumberFormat="0" applyFill="0" applyAlignment="0" applyProtection="0">
      <alignment vertical="center"/>
    </xf>
    <xf numFmtId="0" fontId="22" fillId="0" borderId="9" applyNumberFormat="0" applyFill="0" applyAlignment="0" applyProtection="0">
      <alignment vertical="center"/>
    </xf>
    <xf numFmtId="0" fontId="23" fillId="8" borderId="0" applyNumberFormat="0" applyBorder="0" applyAlignment="0" applyProtection="0">
      <alignment vertical="center"/>
    </xf>
    <xf numFmtId="0" fontId="24" fillId="9" borderId="0" applyNumberFormat="0" applyBorder="0" applyAlignment="0" applyProtection="0">
      <alignment vertical="center"/>
    </xf>
    <xf numFmtId="0" fontId="25" fillId="10" borderId="0" applyNumberFormat="0" applyBorder="0" applyAlignment="0" applyProtection="0">
      <alignment vertical="center"/>
    </xf>
    <xf numFmtId="0" fontId="26" fillId="11" borderId="0" applyNumberFormat="0" applyBorder="0" applyAlignment="0" applyProtection="0">
      <alignment vertical="center"/>
    </xf>
    <xf numFmtId="0" fontId="27" fillId="12" borderId="0" applyNumberFormat="0" applyBorder="0" applyAlignment="0" applyProtection="0">
      <alignment vertical="center"/>
    </xf>
    <xf numFmtId="0" fontId="27" fillId="13" borderId="0" applyNumberFormat="0" applyBorder="0" applyAlignment="0" applyProtection="0">
      <alignment vertical="center"/>
    </xf>
    <xf numFmtId="0" fontId="26" fillId="14" borderId="0" applyNumberFormat="0" applyBorder="0" applyAlignment="0" applyProtection="0">
      <alignment vertical="center"/>
    </xf>
    <xf numFmtId="0" fontId="26" fillId="15" borderId="0" applyNumberFormat="0" applyBorder="0" applyAlignment="0" applyProtection="0">
      <alignment vertical="center"/>
    </xf>
    <xf numFmtId="0" fontId="27" fillId="16" borderId="0" applyNumberFormat="0" applyBorder="0" applyAlignment="0" applyProtection="0">
      <alignment vertical="center"/>
    </xf>
    <xf numFmtId="0" fontId="27"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7" fillId="20" borderId="0" applyNumberFormat="0" applyBorder="0" applyAlignment="0" applyProtection="0">
      <alignment vertical="center"/>
    </xf>
    <xf numFmtId="0" fontId="27"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7" fillId="24" borderId="0" applyNumberFormat="0" applyBorder="0" applyAlignment="0" applyProtection="0">
      <alignment vertical="center"/>
    </xf>
    <xf numFmtId="0" fontId="27"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7" fillId="28" borderId="0" applyNumberFormat="0" applyBorder="0" applyAlignment="0" applyProtection="0">
      <alignment vertical="center"/>
    </xf>
    <xf numFmtId="0" fontId="27"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7" fillId="32" borderId="0" applyNumberFormat="0" applyBorder="0" applyAlignment="0" applyProtection="0">
      <alignment vertical="center"/>
    </xf>
    <xf numFmtId="0" fontId="27" fillId="33" borderId="0" applyNumberFormat="0" applyBorder="0" applyAlignment="0" applyProtection="0">
      <alignment vertical="center"/>
    </xf>
    <xf numFmtId="0" fontId="26" fillId="34" borderId="0" applyNumberFormat="0" applyBorder="0" applyAlignment="0" applyProtection="0">
      <alignment vertical="center"/>
    </xf>
  </cellStyleXfs>
  <cellXfs count="27">
    <xf numFmtId="0" fontId="0" fillId="0" borderId="0" xfId="0"/>
    <xf numFmtId="0" fontId="1" fillId="0" borderId="0" xfId="0" applyFont="1"/>
    <xf numFmtId="0" fontId="2" fillId="0" borderId="0" xfId="0" applyFont="1"/>
    <xf numFmtId="0" fontId="3"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0" borderId="0" xfId="0" applyFont="1"/>
    <xf numFmtId="0" fontId="1" fillId="0" borderId="0" xfId="0" applyFont="1" applyAlignment="1">
      <alignment horizontal="left"/>
    </xf>
    <xf numFmtId="0" fontId="2" fillId="2" borderId="0" xfId="0" applyFont="1" applyFill="1"/>
    <xf numFmtId="0" fontId="5" fillId="0" borderId="0" xfId="0" applyFont="1"/>
    <xf numFmtId="0" fontId="1" fillId="2" borderId="0" xfId="0" applyFont="1" applyFill="1"/>
    <xf numFmtId="0" fontId="3" fillId="2" borderId="0" xfId="0" applyFont="1" applyFill="1"/>
    <xf numFmtId="176" fontId="1" fillId="0" borderId="0" xfId="0" applyNumberFormat="1" applyFont="1"/>
    <xf numFmtId="9" fontId="1" fillId="0" borderId="0" xfId="0" applyNumberFormat="1" applyFont="1"/>
    <xf numFmtId="0" fontId="1" fillId="3" borderId="0" xfId="0" applyFont="1" applyFill="1"/>
    <xf numFmtId="0" fontId="7" fillId="0" borderId="0" xfId="0" applyFont="1"/>
    <xf numFmtId="0" fontId="8" fillId="0" borderId="0" xfId="0" applyFont="1"/>
    <xf numFmtId="0" fontId="9" fillId="0" borderId="0" xfId="6" applyAlignment="1"/>
    <xf numFmtId="0" fontId="6" fillId="0" borderId="0" xfId="0" applyFont="1" applyFill="1" applyAlignment="1"/>
    <xf numFmtId="0" fontId="5" fillId="0" borderId="0" xfId="0" applyFont="1" applyFill="1" applyAlignment="1"/>
    <xf numFmtId="0" fontId="1" fillId="0" borderId="1" xfId="0" applyFont="1" applyBorder="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8"/>
  <sheetViews>
    <sheetView tabSelected="1" zoomScale="85" zoomScaleNormal="85" workbookViewId="0">
      <pane ySplit="3" topLeftCell="A16" activePane="bottomLeft" state="frozen"/>
      <selection/>
      <selection pane="bottomLeft" activeCell="C38" sqref="C38"/>
    </sheetView>
  </sheetViews>
  <sheetFormatPr defaultColWidth="9" defaultRowHeight="16.5"/>
  <cols>
    <col min="1" max="1" width="9" style="1"/>
    <col min="2" max="2" width="88.9666666666667" style="1" customWidth="1"/>
    <col min="3" max="4" width="28.3833333333333" style="1" customWidth="1"/>
    <col min="5" max="5" width="11.5" style="1" customWidth="1"/>
    <col min="6" max="6" width="9.625" style="1" customWidth="1"/>
    <col min="7" max="7" width="23.375" style="1" customWidth="1"/>
    <col min="8" max="8" width="12.75" style="1"/>
    <col min="9" max="9" width="14.125" style="1"/>
    <col min="10" max="10" width="11.5" style="1"/>
    <col min="11" max="11" width="9" style="1"/>
    <col min="12" max="12" width="12.875" style="1"/>
    <col min="13" max="13" width="9" style="1"/>
    <col min="14" max="17" width="10.375" style="1"/>
    <col min="18" max="18" width="9.25" style="1"/>
    <col min="19" max="16384" width="9" style="1"/>
  </cols>
  <sheetData>
    <row r="1" spans="1:7">
      <c r="A1" s="4" t="s">
        <v>0</v>
      </c>
      <c r="B1" s="5"/>
      <c r="C1" s="5" t="s">
        <v>1</v>
      </c>
      <c r="D1" s="5" t="s">
        <v>2</v>
      </c>
      <c r="E1" s="5" t="s">
        <v>3</v>
      </c>
      <c r="F1" s="5" t="s">
        <v>4</v>
      </c>
      <c r="G1" s="5" t="s">
        <v>5</v>
      </c>
    </row>
    <row r="2" spans="1:7">
      <c r="A2" s="6" t="s">
        <v>6</v>
      </c>
      <c r="B2" s="5"/>
      <c r="C2" s="5" t="s">
        <v>7</v>
      </c>
      <c r="D2" s="7" t="s">
        <v>6</v>
      </c>
      <c r="E2" s="1" t="s">
        <v>8</v>
      </c>
      <c r="F2" s="5" t="s">
        <v>9</v>
      </c>
      <c r="G2" s="5"/>
    </row>
    <row r="3" spans="1:7">
      <c r="A3" s="4" t="s">
        <v>10</v>
      </c>
      <c r="B3" s="5"/>
      <c r="C3" s="5" t="s">
        <v>11</v>
      </c>
      <c r="D3" s="1" t="s">
        <v>12</v>
      </c>
      <c r="E3" s="1" t="s">
        <v>13</v>
      </c>
      <c r="F3" s="1" t="s">
        <v>14</v>
      </c>
      <c r="G3" s="5"/>
    </row>
    <row r="4" spans="1:7">
      <c r="A4" s="8"/>
      <c r="B4" s="7"/>
      <c r="C4" s="7"/>
      <c r="G4" s="7"/>
    </row>
    <row r="5" spans="1:7">
      <c r="A5" s="1">
        <v>1</v>
      </c>
      <c r="B5" s="7" t="s">
        <v>15</v>
      </c>
      <c r="D5" s="7">
        <v>999</v>
      </c>
      <c r="E5" s="7"/>
      <c r="F5" s="7"/>
      <c r="G5" s="7"/>
    </row>
    <row r="6" spans="1:7">
      <c r="A6" s="1">
        <v>2</v>
      </c>
      <c r="B6" s="7" t="s">
        <v>16</v>
      </c>
      <c r="D6" s="9">
        <v>30000</v>
      </c>
      <c r="E6" s="7"/>
      <c r="F6" s="7"/>
      <c r="G6" s="7" t="s">
        <v>17</v>
      </c>
    </row>
    <row r="7" spans="1:7">
      <c r="A7" s="1">
        <v>3</v>
      </c>
      <c r="B7" s="7" t="s">
        <v>18</v>
      </c>
      <c r="D7" s="7">
        <v>10000</v>
      </c>
      <c r="E7" s="7"/>
      <c r="F7" s="7"/>
      <c r="G7" s="7" t="s">
        <v>17</v>
      </c>
    </row>
    <row r="8" spans="1:7">
      <c r="A8" s="1">
        <v>4</v>
      </c>
      <c r="B8" s="7" t="s">
        <v>19</v>
      </c>
      <c r="C8" s="7">
        <v>100</v>
      </c>
      <c r="D8" s="7"/>
      <c r="E8" s="7"/>
      <c r="F8" s="7"/>
      <c r="G8" s="7" t="s">
        <v>20</v>
      </c>
    </row>
    <row r="9" spans="1:7">
      <c r="A9" s="1">
        <v>5</v>
      </c>
      <c r="B9" s="1" t="s">
        <v>21</v>
      </c>
      <c r="C9" s="1">
        <v>4</v>
      </c>
      <c r="G9" s="1" t="s">
        <v>22</v>
      </c>
    </row>
    <row r="10" spans="1:7">
      <c r="A10" s="1">
        <v>6</v>
      </c>
      <c r="B10" s="7" t="s">
        <v>23</v>
      </c>
      <c r="C10" s="27" t="s">
        <v>24</v>
      </c>
      <c r="D10" s="10"/>
      <c r="E10" s="7"/>
      <c r="F10" s="7"/>
      <c r="G10" s="1" t="s">
        <v>25</v>
      </c>
    </row>
    <row r="11" spans="1:7">
      <c r="A11" s="1">
        <v>7</v>
      </c>
      <c r="B11" s="7" t="s">
        <v>26</v>
      </c>
      <c r="C11" s="28" t="s">
        <v>27</v>
      </c>
      <c r="D11" s="7"/>
      <c r="E11" s="7"/>
      <c r="F11" s="7"/>
      <c r="G11" s="1" t="s">
        <v>25</v>
      </c>
    </row>
    <row r="12" spans="1:7">
      <c r="A12" s="1">
        <v>8</v>
      </c>
      <c r="B12" s="7" t="s">
        <v>28</v>
      </c>
      <c r="C12" s="28" t="s">
        <v>29</v>
      </c>
      <c r="D12" s="7"/>
      <c r="E12" s="7"/>
      <c r="F12" s="7"/>
      <c r="G12" s="1" t="s">
        <v>25</v>
      </c>
    </row>
    <row r="13" spans="1:7">
      <c r="A13" s="1">
        <v>9</v>
      </c>
      <c r="B13" s="7" t="s">
        <v>30</v>
      </c>
      <c r="C13" s="28" t="s">
        <v>31</v>
      </c>
      <c r="D13" s="7"/>
      <c r="E13" s="7"/>
      <c r="F13" s="7"/>
      <c r="G13" s="1" t="s">
        <v>25</v>
      </c>
    </row>
    <row r="14" spans="1:7">
      <c r="A14" s="1">
        <v>10</v>
      </c>
      <c r="B14" s="7" t="s">
        <v>32</v>
      </c>
      <c r="C14" s="28" t="s">
        <v>33</v>
      </c>
      <c r="D14" s="7"/>
      <c r="E14" s="7"/>
      <c r="F14" s="7"/>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11"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2"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3"/>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s="2" customFormat="1" spans="1:23">
      <c r="A34" s="14">
        <v>30</v>
      </c>
      <c r="B34" s="14" t="s">
        <v>65</v>
      </c>
      <c r="C34" s="2" t="s">
        <v>66</v>
      </c>
    </row>
    <row r="35" s="2" customFormat="1" spans="1:23">
      <c r="A35" s="14">
        <v>31</v>
      </c>
      <c r="B35" s="14" t="s">
        <v>67</v>
      </c>
      <c r="E35" s="15">
        <v>372460972.440945</v>
      </c>
      <c r="G35" s="2" t="s">
        <v>68</v>
      </c>
      <c r="H35" s="15">
        <v>8692.20472440945</v>
      </c>
      <c r="I35" s="2" t="s">
        <v>69</v>
      </c>
      <c r="J35" s="2">
        <v>1</v>
      </c>
      <c r="K35" s="2" t="s">
        <v>70</v>
      </c>
      <c r="L35" s="2">
        <f>J35*24*60*60*1000</f>
        <v>86400000</v>
      </c>
      <c r="M35" s="2" t="s">
        <v>71</v>
      </c>
    </row>
    <row r="36" spans="1:23">
      <c r="A36" s="14">
        <v>32</v>
      </c>
      <c r="B36" s="14" t="s">
        <v>72</v>
      </c>
      <c r="C36" s="2" t="s">
        <v>73</v>
      </c>
    </row>
    <row r="37" spans="1:23">
      <c r="A37" s="16">
        <v>33</v>
      </c>
      <c r="B37" s="16" t="s">
        <v>74</v>
      </c>
      <c r="C37" s="15" t="s">
        <v>75</v>
      </c>
    </row>
    <row r="38" s="3" customFormat="1" spans="1:23">
      <c r="A38" s="17">
        <v>34</v>
      </c>
      <c r="B38" s="17" t="s">
        <v>76</v>
      </c>
      <c r="C38" s="3" t="s">
        <v>77</v>
      </c>
      <c r="D38" s="3"/>
      <c r="G38" s="3" t="s">
        <v>78</v>
      </c>
      <c r="H38" s="3">
        <v>90</v>
      </c>
    </row>
    <row r="39" spans="1:23">
      <c r="A39" s="16">
        <v>35</v>
      </c>
      <c r="B39" s="16" t="s">
        <v>79</v>
      </c>
      <c r="C39" s="1" t="s">
        <v>80</v>
      </c>
      <c r="G39" s="1" t="s">
        <v>81</v>
      </c>
      <c r="H39" s="18">
        <f>ROUND(L35/(E35*H38/100/H35),0)</f>
        <v>2240</v>
      </c>
      <c r="I39" s="1" t="s">
        <v>71</v>
      </c>
      <c r="J39" s="1" t="s">
        <v>82</v>
      </c>
      <c r="K39" s="19" t="s">
        <v>83</v>
      </c>
      <c r="L39" s="19">
        <v>0.25</v>
      </c>
      <c r="M39" s="1" t="s">
        <v>84</v>
      </c>
      <c r="N39" s="1">
        <f>ROUND(P39*(1+2*L39),0)</f>
        <v>3360</v>
      </c>
      <c r="O39" s="1">
        <f>ROUND(P39*(1+1*L39),0)</f>
        <v>2800</v>
      </c>
      <c r="P39" s="1">
        <f>H39</f>
        <v>2240</v>
      </c>
      <c r="Q39" s="1">
        <f>ROUND(P39*(1-1*L39),0)</f>
        <v>1680</v>
      </c>
      <c r="R39" s="1">
        <f>ROUND(P39*(1-2*L39),0)</f>
        <v>1120</v>
      </c>
      <c r="S39" s="1" t="str">
        <f>_xlfn.TEXTJOIN("_",TRUE,N39,1000)</f>
        <v>3360_1000</v>
      </c>
      <c r="T39" s="1" t="str">
        <f>_xlfn.TEXTJOIN("_",TRUE,O39,1000)</f>
        <v>2800_1000</v>
      </c>
      <c r="U39" s="1" t="str">
        <f>_xlfn.TEXTJOIN("_",TRUE,P39,1000)</f>
        <v>2240_1000</v>
      </c>
      <c r="V39" s="1" t="str">
        <f>_xlfn.TEXTJOIN("_",TRUE,Q39,1000)</f>
        <v>1680_1000</v>
      </c>
      <c r="W39" s="1" t="str">
        <f>_xlfn.TEXTJOIN("_",TRUE,R39,1000)</f>
        <v>1120_1000</v>
      </c>
    </row>
    <row r="40" spans="1:23">
      <c r="A40" s="20">
        <v>40</v>
      </c>
      <c r="B40" s="20" t="s">
        <v>85</v>
      </c>
      <c r="D40" s="15">
        <v>88</v>
      </c>
    </row>
    <row r="41" spans="1:23">
      <c r="A41" s="20">
        <v>41</v>
      </c>
      <c r="B41" s="20" t="s">
        <v>86</v>
      </c>
      <c r="D41" s="15">
        <v>1200</v>
      </c>
    </row>
    <row r="42" spans="1:23">
      <c r="A42" s="20">
        <v>42</v>
      </c>
      <c r="B42" s="20" t="s">
        <v>87</v>
      </c>
      <c r="D42" s="15">
        <v>36000</v>
      </c>
    </row>
    <row r="43" spans="1:23">
      <c r="A43" s="20">
        <v>43</v>
      </c>
      <c r="B43" s="20" t="s">
        <v>88</v>
      </c>
      <c r="D43" s="15">
        <v>1</v>
      </c>
    </row>
    <row r="44" spans="1:23">
      <c r="A44" s="20">
        <v>44</v>
      </c>
      <c r="B44" s="1" t="s">
        <v>89</v>
      </c>
      <c r="D44" s="15">
        <v>290000</v>
      </c>
    </row>
    <row r="45" spans="1:23">
      <c r="A45" s="20">
        <v>45</v>
      </c>
      <c r="B45" s="1" t="s">
        <v>90</v>
      </c>
      <c r="C45" s="15" t="s">
        <v>91</v>
      </c>
    </row>
    <row r="46" spans="1:23">
      <c r="A46" s="1">
        <v>46</v>
      </c>
      <c r="B46" s="1" t="s">
        <v>92</v>
      </c>
      <c r="C46" s="15" t="s">
        <v>93</v>
      </c>
    </row>
    <row r="47" spans="1:23">
      <c r="A47" s="1">
        <v>47</v>
      </c>
      <c r="B47" s="1" t="s">
        <v>94</v>
      </c>
      <c r="D47" s="1">
        <v>3</v>
      </c>
    </row>
    <row r="48" spans="1:23">
      <c r="A48" s="1">
        <v>48</v>
      </c>
      <c r="B48" s="1" t="s">
        <v>95</v>
      </c>
      <c r="C48" s="1" t="s">
        <v>96</v>
      </c>
    </row>
    <row r="49" spans="1:4">
      <c r="A49" s="1">
        <v>49</v>
      </c>
      <c r="B49" s="1" t="s">
        <v>97</v>
      </c>
      <c r="C49" s="1" t="s">
        <v>98</v>
      </c>
    </row>
    <row r="50" spans="1:4">
      <c r="A50" s="1">
        <v>50</v>
      </c>
      <c r="B50" s="1" t="s">
        <v>99</v>
      </c>
      <c r="C50" s="15"/>
    </row>
    <row r="51" s="2" customFormat="1" spans="1:4">
      <c r="A51" s="2">
        <v>51</v>
      </c>
      <c r="B51" s="2" t="s">
        <v>100</v>
      </c>
      <c r="C51" s="21" t="s">
        <v>101</v>
      </c>
    </row>
    <row r="52" spans="1:4">
      <c r="A52" s="1">
        <v>52</v>
      </c>
      <c r="B52" s="1" t="s">
        <v>102</v>
      </c>
      <c r="D52" s="12">
        <v>1</v>
      </c>
    </row>
    <row r="53" spans="1:4">
      <c r="A53" s="1">
        <v>53</v>
      </c>
      <c r="B53" s="1" t="s">
        <v>103</v>
      </c>
      <c r="D53" s="12">
        <v>1</v>
      </c>
    </row>
    <row r="54" spans="1:4">
      <c r="A54" s="1">
        <v>54</v>
      </c>
      <c r="B54" s="1" t="s">
        <v>104</v>
      </c>
      <c r="D54" s="1">
        <v>0</v>
      </c>
    </row>
    <row r="55" customFormat="1" spans="1:4">
      <c r="A55" s="1">
        <v>55</v>
      </c>
      <c r="B55" s="1" t="s">
        <v>105</v>
      </c>
      <c r="C55" s="1"/>
      <c r="D55" s="1">
        <v>60</v>
      </c>
    </row>
    <row r="56" spans="1:4">
      <c r="A56" s="1">
        <v>56</v>
      </c>
      <c r="B56" s="1" t="s">
        <v>106</v>
      </c>
      <c r="C56" s="1" t="s">
        <v>107</v>
      </c>
    </row>
    <row r="57" s="2" customFormat="1" spans="1:4">
      <c r="A57" s="2">
        <v>60</v>
      </c>
      <c r="B57" s="2" t="s">
        <v>108</v>
      </c>
      <c r="C57" s="22" t="s">
        <v>109</v>
      </c>
    </row>
    <row r="58" spans="1:4">
      <c r="A58" s="1">
        <v>61</v>
      </c>
      <c r="B58" s="1" t="s">
        <v>110</v>
      </c>
      <c r="C58" s="23" t="s">
        <v>111</v>
      </c>
    </row>
    <row r="59" spans="1:4">
      <c r="A59" s="1">
        <v>62</v>
      </c>
      <c r="B59" s="1" t="s">
        <v>112</v>
      </c>
      <c r="C59" s="24" t="s">
        <v>113</v>
      </c>
    </row>
    <row r="60" spans="1:4">
      <c r="A60" s="1">
        <v>63</v>
      </c>
      <c r="B60" s="1" t="s">
        <v>114</v>
      </c>
      <c r="C60" s="1" t="s">
        <v>115</v>
      </c>
    </row>
    <row r="61" spans="1:4">
      <c r="A61" s="1">
        <v>64</v>
      </c>
      <c r="B61" s="1" t="s">
        <v>116</v>
      </c>
      <c r="C61" s="15" t="s">
        <v>117</v>
      </c>
    </row>
    <row r="62" spans="1:4">
      <c r="A62" s="1">
        <v>65</v>
      </c>
      <c r="B62" s="1" t="s">
        <v>118</v>
      </c>
      <c r="C62" s="15" t="s">
        <v>119</v>
      </c>
    </row>
    <row r="63" spans="1:4">
      <c r="A63" s="1">
        <v>70</v>
      </c>
      <c r="B63" s="1" t="s">
        <v>120</v>
      </c>
      <c r="C63" s="25" t="s">
        <v>121</v>
      </c>
      <c r="D63" s="25"/>
    </row>
    <row r="64" spans="1:4">
      <c r="A64" s="1">
        <v>71</v>
      </c>
      <c r="B64" s="1" t="s">
        <v>122</v>
      </c>
      <c r="C64" s="25"/>
      <c r="D64" s="25">
        <v>5000</v>
      </c>
    </row>
    <row r="65" spans="1:20">
      <c r="A65" s="1">
        <v>72</v>
      </c>
      <c r="B65" s="1" t="s">
        <v>123</v>
      </c>
      <c r="C65" s="15" t="s">
        <v>124</v>
      </c>
    </row>
    <row r="66" spans="1:20">
      <c r="A66" s="26">
        <v>80</v>
      </c>
      <c r="B66" s="26" t="s">
        <v>125</v>
      </c>
      <c r="C66" s="26"/>
      <c r="D66" s="26">
        <v>259200</v>
      </c>
      <c r="E66" s="6"/>
      <c r="F66" s="6"/>
      <c r="G66" s="6"/>
      <c r="H66" s="6"/>
      <c r="I66" s="6"/>
      <c r="J66" s="6"/>
      <c r="K66" s="6"/>
      <c r="L66" s="6"/>
      <c r="M66" s="6"/>
      <c r="N66" s="6"/>
      <c r="O66" s="6"/>
      <c r="P66" s="6"/>
      <c r="Q66" s="6"/>
      <c r="R66" s="6"/>
      <c r="S66" s="6"/>
      <c r="T66" s="6"/>
    </row>
    <row r="67" spans="1:20">
      <c r="A67" s="1">
        <v>90</v>
      </c>
      <c r="B67" s="1" t="s">
        <v>126</v>
      </c>
      <c r="D67" s="1">
        <v>1000000</v>
      </c>
    </row>
    <row r="68" spans="1:20">
      <c r="A68" s="1">
        <v>100</v>
      </c>
      <c r="B68" s="1" t="s">
        <v>127</v>
      </c>
      <c r="C68" s="1" t="s">
        <v>128</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2026-01-05T03:27:20Z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