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<sst xmlns="http://schemas.openxmlformats.org/spreadsheetml/2006/main" count="172" uniqueCount="164">
  <si>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</si>
  <si>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</si>
  <si>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</si>
  <si>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</si>
  <si>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</si>
  <si>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</si>
  <si>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</si>
  <si>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</si>
  <si>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</si>
  <si>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</si>
  <si>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</si>
  <si>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</si>
  <si>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</si>
  <si>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</si>
  <si>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</si>
  <si>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</si>
  <si>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</si>
  <si>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</si>
  <si>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</si>
  <si>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</si>
  <si>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</si>
  <si>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</si>
  <si>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</si>
  <si>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</si>
  <si>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</si>
  <si>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</si>
  <si>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</si>
  <si>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</si>
  <si>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</si>
  <si>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</si>
  <si>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</si>
  <si>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</si>
  <si>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</si>
  <si>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</si>
  <si>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</si>
  <si>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</si>
  <si>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</si>
  <si>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</si>
  <si>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</si>
  <si>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</si>
  <si>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</si>
  <si>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</si>
  <si>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</si>
  <si>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</si>
  <si>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</si>
  <si>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</si>
  <si>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</si>
  <si>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</si>
  <si>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</si>
  <si>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</si>
  <si>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</si>
  <si>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</si>
  <si>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</si>
  <si>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</si>
  <si>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</si>
  <si>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</si>
  <si>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</si>
  <si>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</si>
  <si>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</si>
  <si>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</si>
  <si>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</si>
  <si>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</si>
  <si>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</si>
  <si>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</si>
  <si>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</si>
  <si>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</si>
  <si>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</si>
  <si>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</si>
  <si>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</si>
  <si>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</si>
  <si>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</si>
  <si>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</si>
  <si>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</si>
  <si>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</si>
  <si>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</si>
  <si>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</si>
  <si>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</si>
  <si>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</si>
  <si>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</si>
  <si>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</si>
  <si>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</si>
  <si>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</si>
  <si>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</si>
  <si>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</si>
  <si>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</si>
  <si>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</si>
  <si>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</si>
  <si>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</si>
  <si>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</si>
  <si>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</si>
  <si>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</si>
  <si>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</si>
  <si>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</si>
  <si>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</si>
  <si>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</si>
  <si>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</si>
  <si>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</si>
  <si>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</si>
  <si>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</si>
  <si>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</si>
  <si>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</si>
  <si>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</si>
  <si>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</si>
  <si>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</si>
  <si>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</si>
  <si>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</si>
  <si>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</si>
  <si>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</si>
  <si>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</si>
  <si>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</si>
  <si>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</si>
  <si>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</si>
  <si>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</si>
  <si>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</si>
  <si>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</si>
  <si>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</si>
  <si>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</si>
  <si>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</si>
  <si>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</si>
  <si>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</si>
  <si>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</si>
  <si>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</si>
  <si>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</si>
  <si>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</si>
  <si>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</si>
  <si>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</si>
  <si>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</si>
  <si>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</si>
  <si>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</si>
  <si>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</si>
  <si>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</si>
  <si>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</si>
  <si>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</si>
  <si>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</si>
  <si>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</si>
  <si>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</si>
  <si>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</si>
  <si>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</si>
  <si>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</si>
  <si>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</si>
  <si>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</si>
  <si>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</si>
  <si>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</si>
  <si>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</si>
  <si>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</si>
  <si>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</si>
  <si>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</si>
  <si>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</si>
  <si>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</si>
  <si>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</si>
  <si>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</si>
  <si>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</si>
  <si>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</si>
  <si>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</si>
  <si>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</si>
  <si>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</si>
  <si>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</si>
  <si>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</si>
  <si>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</si>
  <si>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</si>
  <si>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奖励：广告收益倍数</t>
  </si>
  <si>
    <t>斗仙牌复活游戏所需钻石金额以及复活后赠送金币金额</t>
  </si>
  <si>
    <t>300800,1980000_20|1990000_10000</t>
  </si>
  <si>
    <t>游戏id,复活所需要的钻石_数量|赠送的金币_数量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</si>
</sst>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applyFill="1" applyAlignment="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9"/>
  <sheetViews>
    <sheetView tabSelected="1" zoomScale="85" zoomScaleNormal="85" workbookViewId="0">
      <pane ySplit="3" topLeftCell="A60" activePane="bottomLeft" state="frozen"/>
      <selection/>
      <selection pane="bottomLeft" activeCell="B91" sqref="B91"/>
    </sheetView>
  </sheetViews>
  <sheetFormatPr defaultColWidth="9" defaultRowHeight="16.5"/>
  <cols>
    <col min="1" max="1" width="9" style="9"/>
    <col min="2" max="2" width="134.125" style="9" customWidth="1"/>
    <col min="3" max="3" width="36.5" style="9" customWidth="1"/>
    <col min="4" max="4" width="28.375" style="9" customWidth="1"/>
    <col min="5" max="5" width="11.5" style="9" customWidth="1"/>
    <col min="6" max="6" width="9.625" style="9" customWidth="1"/>
    <col min="7" max="7" width="23.375" style="9" customWidth="1"/>
    <col min="8" max="8" width="12.75" style="9"/>
    <col min="9" max="10" width="14.125" style="9"/>
    <col min="11" max="11" width="9" style="9"/>
    <col min="12" max="12" width="12.875" style="9"/>
    <col min="13" max="13" width="9" style="9"/>
    <col min="14" max="17" width="10.375" style="9"/>
    <col min="18" max="18" width="9.25" style="9"/>
    <col min="19" max="16384" width="9" style="9"/>
  </cols>
  <sheetData>
    <row r="1" spans="1:7">
      <c r="A1" s="10" t="s">
        <v>0</v>
      </c>
      <c r="B1" s="11"/>
      <c r="C1" s="11" t="s">
        <v>1</v>
      </c>
      <c r="D1" s="11" t="s">
        <v>2</v>
      </c>
      <c r="E1" s="11" t="s">
        <v>3</v>
      </c>
      <c r="F1" s="11" t="s">
        <v>4</v>
      </c>
      <c r="G1" s="11" t="s">
        <v>5</v>
      </c>
    </row>
    <row r="2" spans="1:7">
      <c r="A2" s="12" t="s">
        <v>6</v>
      </c>
      <c r="B2" s="11"/>
      <c r="C2" s="11" t="s">
        <v>7</v>
      </c>
      <c r="D2" s="13" t="s">
        <v>6</v>
      </c>
      <c r="E2" s="9" t="s">
        <v>8</v>
      </c>
      <c r="F2" s="11" t="s">
        <v>9</v>
      </c>
      <c r="G2" s="11"/>
    </row>
    <row r="3" spans="1:7">
      <c r="A3" s="10" t="s">
        <v>10</v>
      </c>
      <c r="B3" s="11"/>
      <c r="C3" s="11" t="s">
        <v>11</v>
      </c>
      <c r="D3" s="9" t="s">
        <v>12</v>
      </c>
      <c r="E3" s="9" t="s">
        <v>13</v>
      </c>
      <c r="F3" s="9" t="s">
        <v>14</v>
      </c>
      <c r="G3" s="11"/>
    </row>
    <row r="4" spans="1:7">
      <c r="A4" s="14"/>
      <c r="B4" s="13"/>
      <c r="C4" s="13"/>
      <c r="G4" s="13"/>
    </row>
    <row r="5" spans="1:7">
      <c r="A5" s="9">
        <v>1</v>
      </c>
      <c r="B5" s="13" t="s">
        <v>15</v>
      </c>
      <c r="D5" s="13">
        <v>999</v>
      </c>
      <c r="E5" s="13"/>
      <c r="F5" s="13"/>
      <c r="G5" s="13"/>
    </row>
    <row r="6" spans="1:7">
      <c r="A6" s="9">
        <v>2</v>
      </c>
      <c r="B6" s="13" t="s">
        <v>16</v>
      </c>
      <c r="D6" s="15">
        <v>10000</v>
      </c>
      <c r="E6" s="13"/>
      <c r="F6" s="13"/>
      <c r="G6" s="13" t="s">
        <v>17</v>
      </c>
    </row>
    <row r="7" spans="1:7">
      <c r="A7" s="9">
        <v>3</v>
      </c>
      <c r="B7" s="13" t="s">
        <v>18</v>
      </c>
      <c r="D7" s="13">
        <v>10000</v>
      </c>
      <c r="E7" s="13"/>
      <c r="F7" s="13"/>
      <c r="G7" s="13" t="s">
        <v>17</v>
      </c>
    </row>
    <row r="8" spans="1:7">
      <c r="A8" s="9">
        <v>4</v>
      </c>
      <c r="B8" s="13" t="s">
        <v>19</v>
      </c>
      <c r="C8" s="13">
        <v>100</v>
      </c>
      <c r="D8" s="13"/>
      <c r="E8" s="13"/>
      <c r="F8" s="13"/>
      <c r="G8" s="13" t="s">
        <v>20</v>
      </c>
    </row>
    <row r="9" spans="1:7">
      <c r="A9" s="9">
        <v>5</v>
      </c>
      <c r="B9" s="9" t="s">
        <v>21</v>
      </c>
      <c r="C9" s="9">
        <v>4</v>
      </c>
      <c r="G9" s="9" t="s">
        <v>22</v>
      </c>
    </row>
    <row r="10" spans="1:7">
      <c r="A10" s="9">
        <v>6</v>
      </c>
      <c r="B10" s="13" t="s">
        <v>23</v>
      </c>
      <c r="C10" s="39" t="s">
        <v>24</v>
      </c>
      <c r="D10" s="16"/>
      <c r="E10" s="13"/>
      <c r="F10" s="13"/>
      <c r="G10" s="9" t="s">
        <v>25</v>
      </c>
    </row>
    <row r="11" spans="1:7">
      <c r="A11" s="9">
        <v>7</v>
      </c>
      <c r="B11" s="13" t="s">
        <v>26</v>
      </c>
      <c r="C11" s="40" t="s">
        <v>27</v>
      </c>
      <c r="D11" s="13"/>
      <c r="E11" s="13"/>
      <c r="F11" s="13"/>
      <c r="G11" s="9" t="s">
        <v>25</v>
      </c>
    </row>
    <row r="12" spans="1:7">
      <c r="A12" s="9">
        <v>8</v>
      </c>
      <c r="B12" s="13" t="s">
        <v>28</v>
      </c>
      <c r="C12" s="40" t="s">
        <v>29</v>
      </c>
      <c r="D12" s="13"/>
      <c r="E12" s="13"/>
      <c r="F12" s="13"/>
      <c r="G12" s="9" t="s">
        <v>25</v>
      </c>
    </row>
    <row r="13" spans="1:7">
      <c r="A13" s="9">
        <v>9</v>
      </c>
      <c r="B13" s="13" t="s">
        <v>30</v>
      </c>
      <c r="C13" s="40" t="s">
        <v>31</v>
      </c>
      <c r="D13" s="13"/>
      <c r="E13" s="13"/>
      <c r="F13" s="13"/>
      <c r="G13" s="9" t="s">
        <v>25</v>
      </c>
    </row>
    <row r="14" spans="1:7">
      <c r="A14" s="9">
        <v>10</v>
      </c>
      <c r="B14" s="13" t="s">
        <v>32</v>
      </c>
      <c r="C14" s="40" t="s">
        <v>33</v>
      </c>
      <c r="D14" s="13"/>
      <c r="E14" s="13"/>
      <c r="F14" s="13"/>
      <c r="G14" s="9" t="s">
        <v>25</v>
      </c>
    </row>
    <row r="15" spans="1:7">
      <c r="A15" s="9">
        <v>11</v>
      </c>
      <c r="B15" s="9" t="s">
        <v>34</v>
      </c>
      <c r="D15" s="9">
        <f>2*3*5*3</f>
        <v>90</v>
      </c>
    </row>
    <row r="16" spans="1:7">
      <c r="A16" s="9">
        <v>12</v>
      </c>
      <c r="B16" s="9" t="s">
        <v>35</v>
      </c>
      <c r="D16" s="9">
        <v>3333</v>
      </c>
      <c r="G16" s="9" t="s">
        <v>36</v>
      </c>
    </row>
    <row r="17" spans="1:12">
      <c r="A17" s="9">
        <v>13</v>
      </c>
      <c r="B17" s="9" t="s">
        <v>37</v>
      </c>
      <c r="D17" s="9">
        <v>1</v>
      </c>
    </row>
    <row r="18" spans="1:12">
      <c r="A18" s="9">
        <v>14</v>
      </c>
      <c r="B18" s="9" t="s">
        <v>38</v>
      </c>
      <c r="C18" s="17" t="s">
        <v>39</v>
      </c>
      <c r="G18" s="9" t="s">
        <v>40</v>
      </c>
    </row>
    <row r="19" spans="1:12">
      <c r="A19" s="9">
        <v>15</v>
      </c>
      <c r="B19" s="9" t="s">
        <v>41</v>
      </c>
      <c r="D19" s="9">
        <v>5</v>
      </c>
    </row>
    <row r="20" spans="1:12">
      <c r="A20" s="9">
        <v>16</v>
      </c>
      <c r="B20" s="9" t="s">
        <v>42</v>
      </c>
      <c r="D20" s="9">
        <v>10</v>
      </c>
    </row>
    <row r="21" spans="1:12">
      <c r="A21" s="9">
        <v>17</v>
      </c>
      <c r="B21" s="9" t="s">
        <v>43</v>
      </c>
      <c r="C21" s="9" t="s">
        <v>44</v>
      </c>
      <c r="G21" s="9" t="s">
        <v>45</v>
      </c>
    </row>
    <row r="22" spans="1:12">
      <c r="A22" s="9">
        <v>18</v>
      </c>
      <c r="B22" s="9" t="s">
        <v>46</v>
      </c>
      <c r="D22" s="9">
        <f>7*24*60*60</f>
        <v>604800</v>
      </c>
    </row>
    <row r="23" spans="1:12">
      <c r="A23" s="9">
        <v>19</v>
      </c>
      <c r="B23" s="9" t="s">
        <v>47</v>
      </c>
      <c r="C23" s="9" t="s">
        <v>48</v>
      </c>
      <c r="G23" s="9" t="s">
        <v>49</v>
      </c>
      <c r="L23" s="9">
        <f>60*24*30</f>
        <v>43200</v>
      </c>
    </row>
    <row r="24" spans="1:12">
      <c r="A24" s="9">
        <v>20</v>
      </c>
      <c r="B24" s="9" t="s">
        <v>50</v>
      </c>
      <c r="D24" s="9">
        <v>10</v>
      </c>
    </row>
    <row r="25" s="1" customFormat="1" spans="1:12">
      <c r="A25" s="1">
        <v>21</v>
      </c>
      <c r="B25" s="1" t="s">
        <v>51</v>
      </c>
      <c r="C25" s="18"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9">
        <v>26</v>
      </c>
      <c r="B30" s="9" t="s">
        <v>61</v>
      </c>
      <c r="C30" s="19"/>
      <c r="D30" s="9">
        <v>100</v>
      </c>
    </row>
    <row r="31" spans="1:12">
      <c r="A31" s="9">
        <v>27</v>
      </c>
      <c r="B31" s="9" t="s">
        <v>62</v>
      </c>
      <c r="D31" s="9">
        <v>10000</v>
      </c>
      <c r="G31" s="9" t="s">
        <v>63</v>
      </c>
    </row>
    <row r="32" spans="1:12">
      <c r="A32" s="9">
        <v>28</v>
      </c>
      <c r="B32" s="9" t="s">
        <v>64</v>
      </c>
      <c r="C32" s="9" t="s">
        <v>65</v>
      </c>
    </row>
    <row r="33" spans="1:23">
      <c r="A33" s="9">
        <v>29</v>
      </c>
      <c r="B33" s="9" t="s">
        <v>66</v>
      </c>
      <c r="D33" s="9">
        <v>10</v>
      </c>
    </row>
    <row r="34" s="2" customFormat="1" spans="1:23">
      <c r="A34" s="20">
        <v>30</v>
      </c>
      <c r="B34" s="20" t="s">
        <v>67</v>
      </c>
      <c r="C34" s="2" t="s">
        <v>68</v>
      </c>
    </row>
    <row r="35" s="2" customFormat="1" spans="1:23">
      <c r="A35" s="20">
        <v>31</v>
      </c>
      <c r="B35" s="20" t="s">
        <v>69</v>
      </c>
      <c r="E35" s="21">
        <v>372460972.440945</v>
      </c>
      <c r="G35" s="2" t="s">
        <v>70</v>
      </c>
      <c r="H35" s="21">
        <v>8692.20472440945</v>
      </c>
      <c r="I35" s="2" t="s">
        <v>71</v>
      </c>
      <c r="J35" s="2">
        <v>1</v>
      </c>
      <c r="K35" s="2" t="s">
        <v>72</v>
      </c>
      <c r="L35" s="2">
        <f>J35*24*60*60*1000</f>
        <v>86400000</v>
      </c>
      <c r="M35" s="2" t="s">
        <v>73</v>
      </c>
    </row>
    <row r="36" spans="1:23">
      <c r="A36" s="20">
        <v>32</v>
      </c>
      <c r="B36" s="20" t="s">
        <v>74</v>
      </c>
      <c r="C36" s="2" t="s">
        <v>75</v>
      </c>
    </row>
    <row r="37" spans="1:23">
      <c r="A37" s="22">
        <v>33</v>
      </c>
      <c r="B37" s="22" t="s">
        <v>76</v>
      </c>
      <c r="C37" s="23" t="s">
        <v>77</v>
      </c>
    </row>
    <row r="38" s="3" customFormat="1" spans="1:23">
      <c r="A38" s="24">
        <v>34</v>
      </c>
      <c r="B38" s="24" t="s">
        <v>78</v>
      </c>
      <c r="C38" s="3" t="s">
        <v>79</v>
      </c>
      <c r="G38" s="3" t="s">
        <v>80</v>
      </c>
      <c r="H38" s="3">
        <v>90</v>
      </c>
    </row>
    <row r="39" spans="1:23">
      <c r="A39" s="22">
        <v>35</v>
      </c>
      <c r="B39" s="22" t="s">
        <v>81</v>
      </c>
      <c r="C39" s="9" t="s">
        <v>82</v>
      </c>
      <c r="G39" s="9" t="s">
        <v>83</v>
      </c>
      <c r="H39" s="25">
        <f>ROUND(L35/(E35*H38/100/H35),0)</f>
        <v>2240</v>
      </c>
      <c r="I39" s="9" t="s">
        <v>73</v>
      </c>
      <c r="J39" s="9" t="s">
        <v>84</v>
      </c>
      <c r="K39" s="26" t="s">
        <v>85</v>
      </c>
      <c r="L39" s="26">
        <v>0.25</v>
      </c>
      <c r="M39" s="9" t="s">
        <v>86</v>
      </c>
      <c r="N39" s="9">
        <f>ROUND(P39*(1+2*L39),0)</f>
        <v>3360</v>
      </c>
      <c r="O39" s="9">
        <f>ROUND(P39*(1+1*L39),0)</f>
        <v>2800</v>
      </c>
      <c r="P39" s="9">
        <f>H39</f>
        <v>2240</v>
      </c>
      <c r="Q39" s="9">
        <f>ROUND(P39*(1-1*L39),0)</f>
        <v>1680</v>
      </c>
      <c r="R39" s="9">
        <f>ROUND(P39*(1-2*L39),0)</f>
        <v>1120</v>
      </c>
      <c r="S39" s="9" t="str">
        <f>_xlfn.TEXTJOIN("_",TRUE,N39,1000)</f>
        <v>3360_1000</v>
      </c>
      <c r="T39" s="9" t="str">
        <f>_xlfn.TEXTJOIN("_",TRUE,O39,1000)</f>
        <v>2800_1000</v>
      </c>
      <c r="U39" s="9" t="str">
        <f>_xlfn.TEXTJOIN("_",TRUE,P39,1000)</f>
        <v>2240_1000</v>
      </c>
      <c r="V39" s="9" t="str">
        <f>_xlfn.TEXTJOIN("_",TRUE,Q39,1000)</f>
        <v>1680_1000</v>
      </c>
      <c r="W39" s="9" t="str">
        <f>_xlfn.TEXTJOIN("_",TRUE,R39,1000)</f>
        <v>1120_1000</v>
      </c>
    </row>
    <row r="40" s="4" customFormat="1" spans="1:23">
      <c r="A40" s="4">
        <v>40</v>
      </c>
      <c r="B40" s="4" t="s">
        <v>87</v>
      </c>
      <c r="D40" s="27">
        <v>88</v>
      </c>
    </row>
    <row r="41" s="4" customFormat="1" spans="1:23">
      <c r="A41" s="4">
        <v>41</v>
      </c>
      <c r="B41" s="4" t="s">
        <v>88</v>
      </c>
      <c r="D41" s="27">
        <v>600</v>
      </c>
    </row>
    <row r="42" s="4" customFormat="1" spans="1:23">
      <c r="A42" s="4">
        <v>42</v>
      </c>
      <c r="B42" s="4" t="s">
        <v>89</v>
      </c>
      <c r="D42" s="27">
        <v>18000</v>
      </c>
    </row>
    <row r="43" s="4" customFormat="1" spans="1:23">
      <c r="A43" s="4">
        <v>43</v>
      </c>
      <c r="B43" s="4" t="s">
        <v>90</v>
      </c>
      <c r="D43" s="27">
        <v>1</v>
      </c>
    </row>
    <row r="44" s="4" customFormat="1" spans="1:23">
      <c r="A44" s="4">
        <v>44</v>
      </c>
      <c r="B44" s="4" t="s">
        <v>91</v>
      </c>
      <c r="D44" s="27">
        <v>10</v>
      </c>
    </row>
    <row r="45" s="4" customFormat="1" spans="1:23">
      <c r="A45" s="4">
        <v>45</v>
      </c>
      <c r="B45" s="4" t="s">
        <v>92</v>
      </c>
      <c r="C45" s="27" t="s">
        <v>93</v>
      </c>
    </row>
    <row r="46" s="5" customFormat="1" spans="1:23">
      <c r="A46" s="5">
        <v>46</v>
      </c>
      <c r="B46" s="5" t="s">
        <v>94</v>
      </c>
      <c r="C46" s="28"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9">
        <v>50</v>
      </c>
      <c r="B50" s="9" t="s">
        <v>105</v>
      </c>
      <c r="C50" s="29" t="s">
        <v>106</v>
      </c>
      <c r="I50" s="9">
        <v>600</v>
      </c>
    </row>
    <row r="51" s="2" customFormat="1" spans="1:9">
      <c r="A51" s="2">
        <v>51</v>
      </c>
      <c r="B51" s="2" t="s">
        <v>107</v>
      </c>
      <c r="C51" s="30" t="s">
        <v>108</v>
      </c>
      <c r="I51" s="2">
        <v>1200</v>
      </c>
    </row>
    <row r="52" s="5" customFormat="1" spans="1:9">
      <c r="A52" s="5">
        <v>52</v>
      </c>
      <c r="B52" s="5" t="s">
        <v>109</v>
      </c>
      <c r="D52" s="31">
        <v>30000</v>
      </c>
    </row>
    <row r="53" s="6" customFormat="1" spans="1:9">
      <c r="A53" s="6">
        <v>53</v>
      </c>
      <c r="B53" s="6" t="s">
        <v>110</v>
      </c>
      <c r="D53" s="32">
        <v>30000</v>
      </c>
    </row>
    <row r="54" s="5" customFormat="1" spans="1:9">
      <c r="A54" s="5">
        <v>54</v>
      </c>
      <c r="B54" s="5" t="s">
        <v>111</v>
      </c>
      <c r="D54" s="5">
        <v>0</v>
      </c>
    </row>
    <row r="55" customFormat="1" spans="1:9">
      <c r="A55" s="9">
        <v>55</v>
      </c>
      <c r="B55" s="9" t="s">
        <v>112</v>
      </c>
      <c r="C55" s="9"/>
      <c r="D55" s="9">
        <v>60</v>
      </c>
    </row>
    <row r="56" s="5" customFormat="1" spans="1:9">
      <c r="A56" s="5">
        <v>56</v>
      </c>
      <c r="B56" s="5" t="s">
        <v>113</v>
      </c>
      <c r="C56" s="5" t="s">
        <v>114</v>
      </c>
    </row>
    <row r="57" s="2" customFormat="1" spans="1:9">
      <c r="A57" s="2">
        <v>60</v>
      </c>
      <c r="B57" s="2" t="s">
        <v>115</v>
      </c>
      <c r="C57" s="33" t="s">
        <v>116</v>
      </c>
    </row>
    <row r="58" spans="1:9">
      <c r="A58" s="9">
        <v>61</v>
      </c>
      <c r="B58" s="9" t="s">
        <v>117</v>
      </c>
      <c r="C58" s="34" t="s">
        <v>118</v>
      </c>
    </row>
    <row r="59" s="6" customFormat="1" spans="1:9">
      <c r="A59" s="6">
        <v>62</v>
      </c>
      <c r="B59" s="6" t="s">
        <v>119</v>
      </c>
      <c r="C59" s="32" t="s">
        <v>120</v>
      </c>
    </row>
    <row r="60" s="6" customFormat="1" spans="1:9">
      <c r="A60" s="6">
        <v>63</v>
      </c>
      <c r="B60" s="6" t="s">
        <v>121</v>
      </c>
      <c r="C60" s="6" t="s">
        <v>122</v>
      </c>
    </row>
    <row r="61" s="6" customFormat="1" spans="1:9">
      <c r="A61" s="6">
        <v>64</v>
      </c>
      <c r="B61" s="6" t="s">
        <v>123</v>
      </c>
      <c r="C61" s="35" t="s">
        <v>124</v>
      </c>
    </row>
    <row r="62" s="6" customFormat="1" spans="1:9">
      <c r="A62" s="6">
        <v>65</v>
      </c>
      <c r="B62" s="6" t="s">
        <v>125</v>
      </c>
      <c r="C62" s="35" t="s">
        <v>126</v>
      </c>
    </row>
    <row r="63" s="7" customFormat="1" spans="1:9">
      <c r="A63" s="7">
        <v>70</v>
      </c>
      <c r="B63" s="7" t="s">
        <v>127</v>
      </c>
      <c r="C63" s="36" t="s">
        <v>128</v>
      </c>
      <c r="D63" s="36"/>
    </row>
    <row r="64" s="7" customFormat="1" spans="1:9">
      <c r="A64" s="7">
        <v>71</v>
      </c>
      <c r="B64" s="7" t="s">
        <v>129</v>
      </c>
      <c r="C64" s="36"/>
      <c r="D64" s="36">
        <v>5000</v>
      </c>
    </row>
    <row r="65" s="7" customFormat="1" spans="1:20">
      <c r="A65" s="7">
        <v>72</v>
      </c>
      <c r="B65" s="7" t="s">
        <v>130</v>
      </c>
      <c r="C65" s="36" t="s">
        <v>131</v>
      </c>
    </row>
    <row r="66" spans="1:20">
      <c r="A66" s="37">
        <v>80</v>
      </c>
      <c r="B66" s="37" t="s">
        <v>132</v>
      </c>
      <c r="C66" s="37"/>
      <c r="D66" s="37">
        <v>259200</v>
      </c>
      <c r="E66" s="12"/>
      <c r="F66" s="12"/>
      <c r="G66" s="12"/>
      <c r="H66" s="12"/>
      <c r="I66" s="12"/>
      <c r="J66" s="12"/>
      <c r="K66" s="12"/>
      <c r="L66" s="12"/>
      <c r="M66" s="12"/>
      <c r="N66" s="12"/>
      <c r="O66" s="12"/>
      <c r="P66" s="12"/>
      <c r="Q66" s="12"/>
      <c r="R66" s="12"/>
      <c r="S66" s="12"/>
      <c r="T66" s="12"/>
    </row>
    <row r="67" s="1" customFormat="1" spans="1:20">
      <c r="A67" s="1">
        <v>90</v>
      </c>
      <c r="B67" s="1" t="s">
        <v>133</v>
      </c>
      <c r="D67" s="1">
        <v>150000</v>
      </c>
    </row>
    <row r="68" spans="1:20">
      <c r="A68" s="9">
        <v>100</v>
      </c>
      <c r="B68" s="9" t="s">
        <v>134</v>
      </c>
      <c r="C68" s="9" t="s">
        <v>135</v>
      </c>
    </row>
    <row r="69" spans="1:20">
      <c r="A69" s="9">
        <v>101</v>
      </c>
      <c r="B69" s="9" t="s">
        <v>136</v>
      </c>
      <c r="C69" s="9" t="s">
        <v>137</v>
      </c>
    </row>
    <row r="70" spans="1:20">
      <c r="A70" s="9">
        <v>102</v>
      </c>
      <c r="B70" s="9" t="s">
        <v>138</v>
      </c>
      <c r="D70" s="38">
        <v>1022503</v>
      </c>
    </row>
    <row r="71" s="4" customFormat="1" spans="1:20">
      <c r="A71" s="4">
        <v>110</v>
      </c>
      <c r="B71" s="4" t="s">
        <v>139</v>
      </c>
      <c r="D71" s="27">
        <v>4200</v>
      </c>
    </row>
    <row r="72" spans="1:20">
      <c r="A72" s="9">
        <v>111</v>
      </c>
      <c r="B72" s="9" t="s">
        <v>140</v>
      </c>
      <c r="D72" s="9">
        <v>500</v>
      </c>
    </row>
    <row r="73" spans="1:20">
      <c r="A73" s="9">
        <v>112</v>
      </c>
      <c r="B73" s="9" t="s">
        <v>141</v>
      </c>
      <c r="D73" s="9">
        <v>300000</v>
      </c>
    </row>
    <row r="74" spans="1:20">
      <c r="A74" s="9">
        <v>113</v>
      </c>
      <c r="B74" s="9" t="s">
        <v>142</v>
      </c>
      <c r="C74" s="9" t="s">
        <v>143</v>
      </c>
    </row>
    <row r="75" spans="1:20">
      <c r="A75" s="9">
        <v>114</v>
      </c>
      <c r="B75" s="9" t="s">
        <v>144</v>
      </c>
      <c r="D75" s="9">
        <v>168</v>
      </c>
    </row>
    <row r="76" customFormat="1" spans="1:20">
      <c r="A76" s="9">
        <v>120</v>
      </c>
      <c r="B76" s="9" t="s">
        <v>145</v>
      </c>
      <c r="C76" s="9"/>
      <c r="D76" s="9">
        <v>5</v>
      </c>
      <c r="E76" s="9"/>
      <c r="F76" s="9"/>
      <c r="G76" s="9"/>
      <c r="H76" s="9"/>
      <c r="I76" s="9"/>
      <c r="J76" s="9"/>
      <c r="K76" s="9"/>
      <c r="L76" s="9"/>
      <c r="M76" s="9"/>
      <c r="N76" s="9"/>
      <c r="O76" s="9"/>
      <c r="P76" s="9"/>
      <c r="Q76" s="9"/>
      <c r="R76" s="9"/>
    </row>
    <row r="77" customFormat="1" spans="1:20">
      <c r="A77" s="9">
        <v>121</v>
      </c>
      <c r="B77" s="9" t="s">
        <v>146</v>
      </c>
      <c r="C77" s="9"/>
      <c r="D77" s="9">
        <v>-1</v>
      </c>
      <c r="E77" s="9"/>
      <c r="F77" s="9"/>
      <c r="G77" s="9"/>
      <c r="H77" s="9"/>
      <c r="I77" s="9"/>
      <c r="J77" s="9"/>
      <c r="K77" s="9"/>
      <c r="L77" s="9"/>
      <c r="M77" s="9"/>
      <c r="N77" s="9"/>
      <c r="O77" s="9"/>
      <c r="P77" s="9"/>
      <c r="Q77" s="9"/>
      <c r="R77" s="9"/>
    </row>
    <row r="78" customFormat="1" spans="1:20">
      <c r="A78" s="9">
        <v>122</v>
      </c>
      <c r="B78" s="9" t="s">
        <v>147</v>
      </c>
      <c r="C78" s="9"/>
      <c r="D78" s="9">
        <v>99</v>
      </c>
      <c r="E78" s="9"/>
      <c r="F78" s="9"/>
      <c r="G78" s="9"/>
      <c r="H78" s="9"/>
      <c r="I78" s="9"/>
      <c r="J78" s="9"/>
      <c r="K78" s="9"/>
      <c r="L78" s="9"/>
      <c r="M78" s="9"/>
      <c r="N78" s="9"/>
      <c r="O78" s="9"/>
      <c r="P78" s="9"/>
      <c r="Q78" s="9"/>
      <c r="R78" s="9"/>
    </row>
    <row r="79" customFormat="1" spans="1:20">
      <c r="A79" s="9">
        <v>123</v>
      </c>
      <c r="B79" s="9" t="s">
        <v>148</v>
      </c>
      <c r="C79" s="9"/>
      <c r="D79" s="9">
        <v>30000</v>
      </c>
      <c r="E79" s="9"/>
      <c r="F79" s="9"/>
      <c r="G79" s="9"/>
      <c r="H79" s="9"/>
      <c r="I79" s="9"/>
      <c r="J79" s="9"/>
      <c r="K79" s="9"/>
      <c r="L79" s="9"/>
      <c r="M79" s="9"/>
      <c r="N79" s="9"/>
      <c r="O79" s="9"/>
      <c r="P79" s="9"/>
      <c r="Q79" s="9"/>
      <c r="R79" s="9"/>
    </row>
    <row r="80" spans="1:20">
      <c r="A80" s="9">
        <v>124</v>
      </c>
      <c r="B80" s="9" t="s">
        <v>149</v>
      </c>
      <c r="D80" s="9">
        <v>10</v>
      </c>
    </row>
    <row r="81" spans="1:7">
      <c r="A81" s="9">
        <v>125</v>
      </c>
      <c r="B81" s="9" t="s">
        <v>150</v>
      </c>
      <c r="C81" s="9" t="s">
        <v>151</v>
      </c>
    </row>
    <row r="82" spans="1:7">
      <c r="A82" s="9">
        <v>126</v>
      </c>
      <c r="B82" s="9" t="s">
        <v>152</v>
      </c>
      <c r="D82" s="9">
        <v>20000</v>
      </c>
      <c r="F82" s="9" t="b">
        <v>1</v>
      </c>
    </row>
    <row r="83" spans="1:7">
      <c r="A83" s="9">
        <v>127</v>
      </c>
      <c r="B83" s="9" t="s">
        <v>153</v>
      </c>
      <c r="C83" s="9" t="s">
        <v>154</v>
      </c>
    </row>
    <row r="84" spans="1:7">
      <c r="A84" s="9">
        <v>128</v>
      </c>
      <c r="B84" s="9" t="s">
        <v>155</v>
      </c>
      <c r="C84" s="9" t="s">
        <v>156</v>
      </c>
    </row>
    <row r="85" spans="1:7">
      <c r="A85" s="9">
        <v>129</v>
      </c>
      <c r="B85" s="9" t="s">
        <v>157</v>
      </c>
      <c r="D85" s="9">
        <v>100000</v>
      </c>
    </row>
    <row r="86" spans="1:7">
      <c r="A86" s="9">
        <v>130</v>
      </c>
      <c r="B86" s="9" t="s">
        <v>158</v>
      </c>
      <c r="D86" s="9">
        <v>72</v>
      </c>
    </row>
    <row r="87" spans="1:7">
      <c r="A87" s="9">
        <v>131</v>
      </c>
      <c r="B87" s="9" t="s">
        <v>159</v>
      </c>
      <c r="C87" s="9" t="s">
        <v>131</v>
      </c>
    </row>
    <row r="88" spans="1:7">
      <c r="A88" s="9">
        <v>135</v>
      </c>
      <c r="B88" s="9" t="s">
        <v>160</v>
      </c>
      <c r="D88" s="9">
        <v>2</v>
      </c>
    </row>
    <row r="89" s="8" customFormat="1" spans="1:7">
      <c r="A89" s="8">
        <v>270</v>
      </c>
      <c r="B89" s="8" t="s">
        <v>161</v>
      </c>
      <c r="C89" s="8" t="s">
        <v>162</v>
      </c>
      <c r="G89" s="8" t="s">
        <v>163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2026-07-14T08:55:40Z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