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 Slot 电子拉霸
2： 百人押注
3： 激情对战
4:  快捷小游戏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I1" authorId="0">
      <text>
        <r>
          <rPr>
            <sz val="9"/>
            <rFont val="宋体"/>
            <charset val="134"/>
          </rPr>
          <t>最小准入金币</t>
        </r>
      </text>
    </comment>
    <comment ref="J1" authorId="0">
      <text>
        <r>
          <rPr>
            <sz val="9"/>
            <rFont val="宋体"/>
            <charset val="134"/>
          </rPr>
          <t>-1 表示无上限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<sst xmlns="http://schemas.openxmlformats.org/spreadsheetml/2006/main" count="817" uniqueCount="112">
  <si>
    <t>sid</t>
  </si>
  <si>
    <t>游戏ID</t>
  </si>
  <si>
    <t>游戏分类</t>
  </si>
  <si>
    <t>说明</t>
  </si>
  <si>
    <t>多语言表ID</t>
  </si>
  <si>
    <t>客户端用的游戏名称</t>
  </si>
  <si>
    <t>最小准入</t>
  </si>
  <si>
    <t>最大准入分数</t>
  </si>
  <si>
    <t>角色等级限制</t>
  </si>
  <si>
    <t>房间最大人数:达到X人时创建新房间</t>
  </si>
  <si>
    <t>最少保留房间数量：无人后间隔X秒删除</t>
  </si>
  <si>
    <t>倍场显示默认押注</t>
  </si>
  <si>
    <t>交易项目ID</t>
  </si>
  <si>
    <t>int</t>
  </si>
  <si>
    <t>string</t>
  </si>
  <si>
    <t>list&lt;int&gt;{:}</t>
  </si>
  <si>
    <t>id</t>
  </si>
  <si>
    <t>gameID</t>
  </si>
  <si>
    <t>gameType</t>
  </si>
  <si>
    <t>nameid</t>
  </si>
  <si>
    <t>gameName</t>
  </si>
  <si>
    <t>roomType</t>
  </si>
  <si>
    <t>enterLimit</t>
  </si>
  <si>
    <t>enterMax</t>
  </si>
  <si>
    <t>playerLvLimit</t>
  </si>
  <si>
    <t>participants_max</t>
  </si>
  <si>
    <t>roomDeletion_Solution</t>
  </si>
  <si>
    <t>betShow</t>
  </si>
  <si>
    <t>transactionItemId</t>
  </si>
  <si>
    <t>client</t>
  </si>
  <si>
    <t>金礦大亨</t>
  </si>
  <si>
    <t>USDollarExpress</t>
  </si>
  <si>
    <t>基础场</t>
  </si>
  <si>
    <t>100:90</t>
  </si>
  <si>
    <t>1:3600</t>
  </si>
  <si>
    <t>中级场</t>
  </si>
  <si>
    <t>高级场</t>
  </si>
  <si>
    <t>超级明星</t>
  </si>
  <si>
    <t>SuperStar</t>
  </si>
  <si>
    <t>麻将胡了</t>
  </si>
  <si>
    <t>MahjongWays</t>
  </si>
  <si>
    <t>财神</t>
  </si>
  <si>
    <t>Godofwealth</t>
  </si>
  <si>
    <t>埃及艳后</t>
  </si>
  <si>
    <t>Cleopatra</t>
  </si>
  <si>
    <t>财富银行</t>
  </si>
  <si>
    <t>WealthBank</t>
  </si>
  <si>
    <t>雷神</t>
  </si>
  <si>
    <t>Thor</t>
  </si>
  <si>
    <t>圣诞狂欢夜</t>
  </si>
  <si>
    <t>DazeBeforeChristmas</t>
  </si>
  <si>
    <t>杰克船长</t>
  </si>
  <si>
    <t>CaptainJack</t>
  </si>
  <si>
    <t>篮球巨星</t>
  </si>
  <si>
    <t>BasketballSuperstar</t>
  </si>
  <si>
    <t>寒冰王座</t>
  </si>
  <si>
    <t>FrozenThrone</t>
  </si>
  <si>
    <t>蒸汽时代</t>
  </si>
  <si>
    <t>AgeSteam</t>
  </si>
  <si>
    <t>神马飞扬</t>
  </si>
  <si>
    <t>PegasusUnleashed</t>
  </si>
  <si>
    <t>金蛇招财</t>
  </si>
  <si>
    <t>GoldenSnakeWealth</t>
  </si>
  <si>
    <t>金钱兔</t>
  </si>
  <si>
    <t>FortuneRabbit</t>
  </si>
  <si>
    <t>宙斯vs哈迪斯</t>
  </si>
  <si>
    <t>ZeusVsHades</t>
  </si>
  <si>
    <t>鼠鼠福福</t>
  </si>
  <si>
    <t>BlessMouse</t>
  </si>
  <si>
    <t>虎虎生财</t>
  </si>
  <si>
    <t>FortuneTiger</t>
  </si>
  <si>
    <t>恶魔之子</t>
  </si>
  <si>
    <t>SonOfDemon</t>
  </si>
  <si>
    <t>潘金莲</t>
  </si>
  <si>
    <t>PanJinLian</t>
  </si>
  <si>
    <t>紅黑大戰</t>
  </si>
  <si>
    <t>RoyalWar</t>
  </si>
  <si>
    <t>龍虎鬥</t>
  </si>
  <si>
    <t>DragonTigerFight</t>
  </si>
  <si>
    <t>飛禽走獸</t>
  </si>
  <si>
    <t>BirdsAnimals</t>
  </si>
  <si>
    <t>豪車俱樂部</t>
  </si>
  <si>
    <t>CarLogo</t>
  </si>
  <si>
    <t>百家樂</t>
  </si>
  <si>
    <t>Baccarat</t>
  </si>
  <si>
    <t>4:3600</t>
  </si>
  <si>
    <t>骰子</t>
  </si>
  <si>
    <t>SicBo</t>
  </si>
  <si>
    <t>越南色碟</t>
  </si>
  <si>
    <t>VietnamChess</t>
  </si>
  <si>
    <t>大小骰子</t>
  </si>
  <si>
    <t>DicePointsSumSize</t>
  </si>
  <si>
    <t>魚蝦蟹</t>
  </si>
  <si>
    <t>FishPrawnCrab</t>
  </si>
  <si>
    <t>21點</t>
  </si>
  <si>
    <t>BlackJack</t>
  </si>
  <si>
    <t>5:5</t>
  </si>
  <si>
    <t>2:0</t>
  </si>
  <si>
    <t>德州</t>
  </si>
  <si>
    <t>TexasHoldem</t>
  </si>
  <si>
    <t>9:9</t>
  </si>
  <si>
    <t>南方前进</t>
  </si>
  <si>
    <t>TienLenMienNam</t>
  </si>
  <si>
    <t>4:4</t>
  </si>
  <si>
    <t>0:0</t>
  </si>
  <si>
    <t>俄罗斯轮盘</t>
  </si>
  <si>
    <t>RussianRoulette</t>
  </si>
  <si>
    <t>房间场-初级</t>
  </si>
  <si>
    <t>10:999</t>
  </si>
  <si>
    <t>房间场-中级</t>
  </si>
  <si>
    <t>房间场-高级</t>
  </si>
  <si>
    <t>9:999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</si>
</sst>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2" borderId="0" xfId="56" applyFont="1" applyFill="1" applyAlignment="1">
      <alignment horizontal="left" vertical="center"/>
    </xf>
    <xf numFmtId="0" fontId="2" fillId="2" borderId="0" xfId="56" applyFont="1" applyFill="1" applyAlignment="1">
      <alignment horizontal="center" vertical="center"/>
    </xf>
    <xf numFmtId="0" fontId="3" fillId="3" borderId="0" xfId="56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0" fontId="0" fillId="0" borderId="0" xfId="0" applyNumberFormat="1" applyFill="1" applyAlignment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right" vertical="center"/>
    </xf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1" fillId="7" borderId="0" xfId="0" applyNumberFormat="1" applyFont="1" applyFill="1" applyBorder="1" applyAlignment="1" applyProtection="1">
      <alignment horizontal="center"/>
      <protection locked="0"/>
    </xf>
    <xf numFmtId="0" fontId="0" fillId="6" borderId="0" xfId="0" applyNumberFormat="1" applyFill="1" applyAlignment="1">
      <alignment horizontal="left" vertical="center"/>
    </xf>
    <xf numFmtId="20" fontId="0" fillId="0" borderId="0" xfId="0" applyNumberFormat="1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"/>
  <sheetViews>
    <sheetView tabSelected="1" zoomScale="85" zoomScaleNormal="85" workbookViewId="0">
      <pane ySplit="4" topLeftCell="A76" activePane="bottomLeft" state="frozen"/>
      <selection/>
      <selection pane="bottomLeft" activeCell="L1" sqref="L1"/>
    </sheetView>
  </sheetViews>
  <sheetFormatPr defaultColWidth="9" defaultRowHeight="16.5"/>
  <cols>
    <col min="1" max="1" width="10.375" style="1"/>
    <col min="2" max="3" width="9.375" style="1"/>
    <col min="4" max="4" width="10.875" style="1" customWidth="1"/>
    <col min="5" max="5" width="11.625" style="1"/>
    <col min="6" max="6" width="19.125" style="1" customWidth="1"/>
    <col min="7" max="7" width="12" style="1" customWidth="1"/>
    <col min="8" max="8" width="9" style="1"/>
    <col min="9" max="9" width="9.375" style="2"/>
    <col min="10" max="10" width="11.25" style="1" customWidth="1"/>
    <col min="11" max="11" width="13.2333333333333" style="1" customWidth="1"/>
    <col min="12" max="12" width="17.05" style="3" customWidth="1"/>
    <col min="13" max="13" width="24.1166666666667" style="1" customWidth="1"/>
    <col min="14" max="14" width="17.125" customWidth="1"/>
    <col min="15" max="15" width="21.025" style="4" customWidth="1"/>
    <col min="16" max="16" width="9" style="1"/>
    <col min="17" max="17" width="27.875" style="1" customWidth="1"/>
    <col min="18" max="18" width="9" style="1"/>
    <col min="19" max="19" width="17.375" style="2" customWidth="1"/>
    <col min="20" max="16384" width="9" style="1"/>
  </cols>
  <sheetData>
    <row r="1" spans="1: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3</v>
      </c>
      <c r="I1" s="6" t="s">
        <v>6</v>
      </c>
      <c r="J1" s="7" t="s">
        <v>7</v>
      </c>
      <c r="K1" s="7" t="s">
        <v>8</v>
      </c>
      <c r="L1" s="3" t="s">
        <v>9</v>
      </c>
      <c r="M1" s="1" t="s">
        <v>10</v>
      </c>
      <c r="N1" t="s">
        <v>11</v>
      </c>
      <c r="O1" s="8" t="s">
        <v>12</v>
      </c>
    </row>
    <row r="2" spans="1:15">
      <c r="A2" s="9" t="s">
        <v>13</v>
      </c>
      <c r="B2" s="10" t="s">
        <v>13</v>
      </c>
      <c r="C2" s="10" t="s">
        <v>13</v>
      </c>
      <c r="D2" s="10"/>
      <c r="E2" s="11" t="s">
        <v>13</v>
      </c>
      <c r="F2" s="12" t="s">
        <v>14</v>
      </c>
      <c r="G2" s="10"/>
      <c r="H2" s="13" t="s">
        <v>13</v>
      </c>
      <c r="I2" s="13" t="s">
        <v>13</v>
      </c>
      <c r="J2" s="13" t="s">
        <v>13</v>
      </c>
      <c r="K2" s="13" t="s">
        <v>13</v>
      </c>
      <c r="L2" s="3" t="s">
        <v>14</v>
      </c>
      <c r="M2" s="1" t="s">
        <v>15</v>
      </c>
      <c r="N2" s="13" t="s">
        <v>13</v>
      </c>
      <c r="O2" s="4" t="s">
        <v>13</v>
      </c>
    </row>
    <row r="3" spans="1:15">
      <c r="A3" s="5" t="s">
        <v>16</v>
      </c>
      <c r="B3" s="1" t="s">
        <v>17</v>
      </c>
      <c r="C3" s="1" t="s">
        <v>18</v>
      </c>
      <c r="E3" s="1" t="s">
        <v>19</v>
      </c>
      <c r="F3" s="1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3" t="s">
        <v>25</v>
      </c>
      <c r="M3" s="1" t="s">
        <v>26</v>
      </c>
      <c r="N3" s="13" t="s">
        <v>27</v>
      </c>
      <c r="O3" s="4" t="s">
        <v>28</v>
      </c>
    </row>
    <row r="4" ht="14.25" spans="1:15">
      <c r="F4" s="1" t="s">
        <v>29</v>
      </c>
      <c r="O4" s="1"/>
    </row>
    <row r="5" spans="1:15">
      <c r="A5" s="1">
        <v>1001001</v>
      </c>
      <c r="B5" s="14">
        <v>100100</v>
      </c>
      <c r="C5" s="14">
        <v>1</v>
      </c>
      <c r="D5" s="14" t="s">
        <v>30</v>
      </c>
      <c r="E5" s="15">
        <v>100100026</v>
      </c>
      <c r="F5" s="15" t="s">
        <v>31</v>
      </c>
      <c r="G5" s="1" t="s">
        <v>32</v>
      </c>
      <c r="H5" s="1">
        <v>1</v>
      </c>
      <c r="I5" s="2">
        <v>0</v>
      </c>
      <c r="J5" s="1">
        <v>-1</v>
      </c>
      <c r="K5" s="1">
        <v>0</v>
      </c>
      <c r="L5" s="3" t="s">
        <v>33</v>
      </c>
      <c r="M5" s="31" t="s">
        <v>34</v>
      </c>
      <c r="N5">
        <v>1000</v>
      </c>
      <c r="O5" s="17">
        <v>1990000</v>
      </c>
    </row>
    <row r="6" spans="1:15">
      <c r="A6" s="1">
        <v>1001002</v>
      </c>
      <c r="B6" s="14">
        <v>100100</v>
      </c>
      <c r="C6" s="14">
        <v>1</v>
      </c>
      <c r="D6" s="14" t="s">
        <v>30</v>
      </c>
      <c r="E6" s="15">
        <v>100100026</v>
      </c>
      <c r="F6" s="15" t="s">
        <v>31</v>
      </c>
      <c r="G6" s="1" t="s">
        <v>35</v>
      </c>
      <c r="H6" s="1">
        <v>2</v>
      </c>
      <c r="I6" s="2">
        <v>10000</v>
      </c>
      <c r="J6" s="1">
        <v>-1</v>
      </c>
      <c r="K6" s="1">
        <v>0</v>
      </c>
      <c r="L6" s="3" t="s">
        <v>33</v>
      </c>
      <c r="M6" s="31" t="s">
        <v>34</v>
      </c>
      <c r="N6">
        <v>10000</v>
      </c>
      <c r="O6" s="17">
        <v>1990000</v>
      </c>
    </row>
    <row r="7" spans="1:15">
      <c r="A7" s="1">
        <v>1001003</v>
      </c>
      <c r="B7" s="14">
        <v>100100</v>
      </c>
      <c r="C7" s="14">
        <v>1</v>
      </c>
      <c r="D7" s="14" t="s">
        <v>30</v>
      </c>
      <c r="E7" s="15">
        <v>100100026</v>
      </c>
      <c r="F7" s="15" t="s">
        <v>31</v>
      </c>
      <c r="G7" s="1" t="s">
        <v>36</v>
      </c>
      <c r="H7" s="1">
        <v>3</v>
      </c>
      <c r="I7" s="2">
        <v>100000</v>
      </c>
      <c r="J7" s="1">
        <v>-1</v>
      </c>
      <c r="K7" s="1">
        <v>0</v>
      </c>
      <c r="L7" s="3" t="s">
        <v>33</v>
      </c>
      <c r="M7" s="31" t="s">
        <v>34</v>
      </c>
      <c r="N7">
        <v>100000</v>
      </c>
      <c r="O7" s="17">
        <v>1990000</v>
      </c>
    </row>
    <row r="8" spans="1:15">
      <c r="A8" s="1">
        <v>1003001</v>
      </c>
      <c r="B8" s="14">
        <v>100300</v>
      </c>
      <c r="C8" s="14">
        <v>1</v>
      </c>
      <c r="D8" s="14" t="s">
        <v>37</v>
      </c>
      <c r="E8" s="15">
        <v>100300001</v>
      </c>
      <c r="F8" s="15" t="s">
        <v>38</v>
      </c>
      <c r="G8" s="1" t="s">
        <v>32</v>
      </c>
      <c r="H8" s="1">
        <v>1</v>
      </c>
      <c r="I8" s="2">
        <v>0</v>
      </c>
      <c r="J8" s="1">
        <v>-1</v>
      </c>
      <c r="K8" s="1">
        <v>0</v>
      </c>
      <c r="L8" s="3" t="s">
        <v>33</v>
      </c>
      <c r="M8" s="31" t="s">
        <v>34</v>
      </c>
      <c r="N8">
        <v>1000</v>
      </c>
      <c r="O8" s="17">
        <v>1990000</v>
      </c>
    </row>
    <row r="9" spans="1:15">
      <c r="A9" s="1">
        <v>1003002</v>
      </c>
      <c r="B9" s="14">
        <v>100300</v>
      </c>
      <c r="C9" s="14">
        <v>1</v>
      </c>
      <c r="D9" s="14" t="s">
        <v>37</v>
      </c>
      <c r="E9" s="15">
        <v>100300001</v>
      </c>
      <c r="F9" s="15" t="s">
        <v>38</v>
      </c>
      <c r="G9" s="1" t="s">
        <v>35</v>
      </c>
      <c r="H9" s="1">
        <v>2</v>
      </c>
      <c r="I9" s="2">
        <v>10000</v>
      </c>
      <c r="J9" s="1">
        <v>-1</v>
      </c>
      <c r="K9" s="1">
        <v>0</v>
      </c>
      <c r="L9" s="3" t="s">
        <v>33</v>
      </c>
      <c r="M9" s="31" t="s">
        <v>34</v>
      </c>
      <c r="N9">
        <v>10000</v>
      </c>
      <c r="O9" s="17">
        <v>1990000</v>
      </c>
    </row>
    <row r="10" spans="1:15">
      <c r="A10" s="1">
        <v>1003003</v>
      </c>
      <c r="B10" s="14">
        <v>100300</v>
      </c>
      <c r="C10" s="14">
        <v>1</v>
      </c>
      <c r="D10" s="14" t="s">
        <v>37</v>
      </c>
      <c r="E10" s="15">
        <v>100300001</v>
      </c>
      <c r="F10" s="15" t="s">
        <v>38</v>
      </c>
      <c r="G10" s="1" t="s">
        <v>36</v>
      </c>
      <c r="H10" s="1">
        <v>3</v>
      </c>
      <c r="I10" s="2">
        <v>100000</v>
      </c>
      <c r="J10" s="1">
        <v>-1</v>
      </c>
      <c r="K10" s="1">
        <v>0</v>
      </c>
      <c r="L10" s="3" t="s">
        <v>33</v>
      </c>
      <c r="M10" s="31" t="s">
        <v>34</v>
      </c>
      <c r="N10">
        <v>100000</v>
      </c>
      <c r="O10" s="17">
        <v>1990000</v>
      </c>
    </row>
    <row r="11" spans="1:15">
      <c r="A11" s="1">
        <v>1007001</v>
      </c>
      <c r="B11" s="14">
        <v>100700</v>
      </c>
      <c r="C11" s="14">
        <v>1</v>
      </c>
      <c r="D11" s="14" t="s">
        <v>39</v>
      </c>
      <c r="E11" s="15">
        <v>100700001</v>
      </c>
      <c r="F11" s="15" t="s">
        <v>40</v>
      </c>
      <c r="G11" s="1" t="s">
        <v>32</v>
      </c>
      <c r="H11" s="1">
        <v>1</v>
      </c>
      <c r="I11" s="2">
        <v>0</v>
      </c>
      <c r="J11" s="1">
        <v>-1</v>
      </c>
      <c r="K11" s="1">
        <v>0</v>
      </c>
      <c r="L11" s="3" t="s">
        <v>33</v>
      </c>
      <c r="M11" s="31" t="s">
        <v>34</v>
      </c>
      <c r="N11">
        <v>1000</v>
      </c>
      <c r="O11" s="17">
        <v>1990000</v>
      </c>
    </row>
    <row r="12" spans="1:15">
      <c r="A12" s="1">
        <v>1007002</v>
      </c>
      <c r="B12" s="14">
        <v>100700</v>
      </c>
      <c r="C12" s="14">
        <v>1</v>
      </c>
      <c r="D12" s="14" t="s">
        <v>39</v>
      </c>
      <c r="E12" s="15">
        <v>100700001</v>
      </c>
      <c r="F12" s="15" t="s">
        <v>40</v>
      </c>
      <c r="G12" s="1" t="s">
        <v>35</v>
      </c>
      <c r="H12" s="1">
        <v>2</v>
      </c>
      <c r="I12" s="2">
        <v>10000</v>
      </c>
      <c r="J12" s="1">
        <v>-1</v>
      </c>
      <c r="K12" s="1">
        <v>0</v>
      </c>
      <c r="L12" s="3" t="s">
        <v>33</v>
      </c>
      <c r="M12" s="31" t="s">
        <v>34</v>
      </c>
      <c r="N12">
        <v>10000</v>
      </c>
      <c r="O12" s="17">
        <v>1990000</v>
      </c>
    </row>
    <row r="13" spans="1:15">
      <c r="A13" s="1">
        <v>1007003</v>
      </c>
      <c r="B13" s="14">
        <v>100700</v>
      </c>
      <c r="C13" s="14">
        <v>1</v>
      </c>
      <c r="D13" s="14" t="s">
        <v>39</v>
      </c>
      <c r="E13" s="15">
        <v>100700001</v>
      </c>
      <c r="F13" s="15" t="s">
        <v>40</v>
      </c>
      <c r="G13" s="1" t="s">
        <v>36</v>
      </c>
      <c r="H13" s="1">
        <v>3</v>
      </c>
      <c r="I13" s="2">
        <v>100000</v>
      </c>
      <c r="J13" s="1">
        <v>-1</v>
      </c>
      <c r="K13" s="1">
        <v>0</v>
      </c>
      <c r="L13" s="3" t="s">
        <v>33</v>
      </c>
      <c r="M13" s="31" t="s">
        <v>34</v>
      </c>
      <c r="N13">
        <v>100000</v>
      </c>
      <c r="O13" s="17">
        <v>1990000</v>
      </c>
    </row>
    <row r="14" spans="1:15">
      <c r="A14" s="1">
        <v>1012001</v>
      </c>
      <c r="B14" s="14">
        <v>101200</v>
      </c>
      <c r="C14" s="14">
        <v>1</v>
      </c>
      <c r="D14" s="14" t="s">
        <v>41</v>
      </c>
      <c r="E14" s="15">
        <v>101200001</v>
      </c>
      <c r="F14" s="15" t="s">
        <v>42</v>
      </c>
      <c r="G14" s="1" t="s">
        <v>32</v>
      </c>
      <c r="H14" s="1">
        <v>1</v>
      </c>
      <c r="I14" s="2">
        <v>0</v>
      </c>
      <c r="J14" s="1">
        <v>-1</v>
      </c>
      <c r="K14" s="1">
        <v>0</v>
      </c>
      <c r="L14" s="3" t="s">
        <v>33</v>
      </c>
      <c r="M14" s="31" t="s">
        <v>34</v>
      </c>
      <c r="N14">
        <v>120</v>
      </c>
      <c r="O14" s="17">
        <v>1990000</v>
      </c>
    </row>
    <row r="15" spans="1:15">
      <c r="A15" s="1">
        <v>1012002</v>
      </c>
      <c r="B15" s="14">
        <v>101200</v>
      </c>
      <c r="C15" s="14">
        <v>1</v>
      </c>
      <c r="D15" s="14" t="s">
        <v>41</v>
      </c>
      <c r="E15" s="15">
        <v>101200001</v>
      </c>
      <c r="F15" s="15" t="s">
        <v>42</v>
      </c>
      <c r="G15" s="1" t="s">
        <v>35</v>
      </c>
      <c r="H15" s="1">
        <v>2</v>
      </c>
      <c r="I15" s="2">
        <v>15000</v>
      </c>
      <c r="J15" s="1">
        <v>-1</v>
      </c>
      <c r="K15" s="1">
        <v>0</v>
      </c>
      <c r="L15" s="3" t="s">
        <v>33</v>
      </c>
      <c r="M15" s="31" t="s">
        <v>34</v>
      </c>
      <c r="N15">
        <v>15000</v>
      </c>
      <c r="O15" s="17">
        <v>1990000</v>
      </c>
    </row>
    <row r="16" spans="1:15">
      <c r="A16" s="1">
        <v>1012003</v>
      </c>
      <c r="B16" s="14">
        <v>101200</v>
      </c>
      <c r="C16" s="14">
        <v>1</v>
      </c>
      <c r="D16" s="14" t="s">
        <v>41</v>
      </c>
      <c r="E16" s="15">
        <v>101200001</v>
      </c>
      <c r="F16" s="15" t="s">
        <v>42</v>
      </c>
      <c r="G16" s="1" t="s">
        <v>36</v>
      </c>
      <c r="H16" s="1">
        <v>3</v>
      </c>
      <c r="I16" s="2">
        <v>150000</v>
      </c>
      <c r="J16" s="1">
        <v>-1</v>
      </c>
      <c r="K16" s="1">
        <v>0</v>
      </c>
      <c r="L16" s="3" t="s">
        <v>33</v>
      </c>
      <c r="M16" s="31" t="s">
        <v>34</v>
      </c>
      <c r="N16">
        <v>150000</v>
      </c>
      <c r="O16" s="17">
        <v>1990000</v>
      </c>
    </row>
    <row r="17" spans="1:15">
      <c r="A17" s="1">
        <v>1014001</v>
      </c>
      <c r="B17" s="14">
        <v>101400</v>
      </c>
      <c r="C17" s="14">
        <v>1</v>
      </c>
      <c r="D17" s="14" t="s">
        <v>43</v>
      </c>
      <c r="E17" s="15">
        <v>101400001</v>
      </c>
      <c r="F17" s="15" t="s">
        <v>44</v>
      </c>
      <c r="G17" s="1" t="s">
        <v>32</v>
      </c>
      <c r="H17" s="1">
        <v>1</v>
      </c>
      <c r="I17" s="2">
        <v>0</v>
      </c>
      <c r="J17" s="1">
        <v>-1</v>
      </c>
      <c r="K17" s="1">
        <v>0</v>
      </c>
      <c r="L17" s="3" t="s">
        <v>33</v>
      </c>
      <c r="M17" s="31" t="s">
        <v>34</v>
      </c>
      <c r="N17">
        <v>1000</v>
      </c>
      <c r="O17" s="17">
        <v>1990000</v>
      </c>
    </row>
    <row r="18" spans="1:15">
      <c r="A18" s="1">
        <v>1014002</v>
      </c>
      <c r="B18" s="14">
        <v>101400</v>
      </c>
      <c r="C18" s="14">
        <v>1</v>
      </c>
      <c r="D18" s="14" t="s">
        <v>43</v>
      </c>
      <c r="E18" s="15">
        <v>101400001</v>
      </c>
      <c r="F18" s="15" t="s">
        <v>44</v>
      </c>
      <c r="G18" s="1" t="s">
        <v>35</v>
      </c>
      <c r="H18" s="1">
        <v>2</v>
      </c>
      <c r="I18" s="2">
        <v>10000</v>
      </c>
      <c r="J18" s="1">
        <v>-1</v>
      </c>
      <c r="K18" s="1">
        <v>0</v>
      </c>
      <c r="L18" s="3" t="s">
        <v>33</v>
      </c>
      <c r="M18" s="31" t="s">
        <v>34</v>
      </c>
      <c r="N18">
        <v>10000</v>
      </c>
      <c r="O18" s="17">
        <v>1990000</v>
      </c>
    </row>
    <row r="19" spans="1:15">
      <c r="A19" s="1">
        <v>1014003</v>
      </c>
      <c r="B19" s="14">
        <v>101400</v>
      </c>
      <c r="C19" s="14">
        <v>1</v>
      </c>
      <c r="D19" s="14" t="s">
        <v>43</v>
      </c>
      <c r="E19" s="15">
        <v>101400001</v>
      </c>
      <c r="F19" s="15" t="s">
        <v>44</v>
      </c>
      <c r="G19" s="1" t="s">
        <v>36</v>
      </c>
      <c r="H19" s="1">
        <v>3</v>
      </c>
      <c r="I19" s="2">
        <v>100000</v>
      </c>
      <c r="J19" s="1">
        <v>-1</v>
      </c>
      <c r="K19" s="1">
        <v>0</v>
      </c>
      <c r="L19" s="3" t="s">
        <v>33</v>
      </c>
      <c r="M19" s="31" t="s">
        <v>34</v>
      </c>
      <c r="N19">
        <v>100000</v>
      </c>
      <c r="O19" s="17">
        <v>1990000</v>
      </c>
    </row>
    <row r="20" spans="1:15">
      <c r="A20" s="1">
        <v>1024001</v>
      </c>
      <c r="B20" s="14">
        <v>102400</v>
      </c>
      <c r="C20" s="14">
        <v>1</v>
      </c>
      <c r="D20" s="14" t="s">
        <v>45</v>
      </c>
      <c r="E20" s="15">
        <v>102400026</v>
      </c>
      <c r="F20" s="15" t="s">
        <v>46</v>
      </c>
      <c r="G20" s="1" t="s">
        <v>32</v>
      </c>
      <c r="H20" s="1">
        <v>1</v>
      </c>
      <c r="I20" s="2">
        <v>0</v>
      </c>
      <c r="J20" s="1">
        <v>-1</v>
      </c>
      <c r="K20" s="1">
        <v>0</v>
      </c>
      <c r="L20" s="3" t="s">
        <v>33</v>
      </c>
      <c r="M20" s="31" t="s">
        <v>34</v>
      </c>
      <c r="N20">
        <v>100</v>
      </c>
      <c r="O20" s="17">
        <v>1990000</v>
      </c>
    </row>
    <row r="21" spans="1:15">
      <c r="A21" s="1">
        <v>1024002</v>
      </c>
      <c r="B21" s="14">
        <v>102400</v>
      </c>
      <c r="C21" s="14">
        <v>1</v>
      </c>
      <c r="D21" s="14" t="s">
        <v>45</v>
      </c>
      <c r="E21" s="15">
        <v>102400026</v>
      </c>
      <c r="F21" s="15" t="s">
        <v>46</v>
      </c>
      <c r="G21" s="1" t="s">
        <v>35</v>
      </c>
      <c r="H21" s="1">
        <v>2</v>
      </c>
      <c r="I21" s="2">
        <v>10000</v>
      </c>
      <c r="J21" s="1">
        <v>-1</v>
      </c>
      <c r="K21" s="1">
        <v>0</v>
      </c>
      <c r="L21" s="3" t="s">
        <v>33</v>
      </c>
      <c r="M21" s="31" t="s">
        <v>34</v>
      </c>
      <c r="N21">
        <v>10000</v>
      </c>
      <c r="O21" s="17">
        <v>1990000</v>
      </c>
    </row>
    <row r="22" spans="1:15">
      <c r="A22" s="1">
        <v>1024003</v>
      </c>
      <c r="B22" s="14">
        <v>102400</v>
      </c>
      <c r="C22" s="14">
        <v>1</v>
      </c>
      <c r="D22" s="14" t="s">
        <v>45</v>
      </c>
      <c r="E22" s="15">
        <v>102400026</v>
      </c>
      <c r="F22" s="15" t="s">
        <v>46</v>
      </c>
      <c r="G22" s="1" t="s">
        <v>36</v>
      </c>
      <c r="H22" s="1">
        <v>3</v>
      </c>
      <c r="I22" s="2">
        <v>100000</v>
      </c>
      <c r="J22" s="1">
        <v>-1</v>
      </c>
      <c r="K22" s="1">
        <v>0</v>
      </c>
      <c r="L22" s="3" t="s">
        <v>33</v>
      </c>
      <c r="M22" s="31" t="s">
        <v>34</v>
      </c>
      <c r="N22">
        <v>100000</v>
      </c>
      <c r="O22" s="17">
        <v>1990000</v>
      </c>
    </row>
    <row r="23" spans="1:15">
      <c r="A23" s="1">
        <v>1022001</v>
      </c>
      <c r="B23" s="14">
        <v>102200</v>
      </c>
      <c r="C23" s="14">
        <v>1</v>
      </c>
      <c r="D23" s="14" t="s">
        <v>47</v>
      </c>
      <c r="E23" s="15">
        <v>102200001</v>
      </c>
      <c r="F23" s="15" t="s">
        <v>48</v>
      </c>
      <c r="G23" s="1" t="s">
        <v>32</v>
      </c>
      <c r="H23" s="1">
        <v>1</v>
      </c>
      <c r="I23" s="2">
        <v>0</v>
      </c>
      <c r="J23" s="1">
        <v>-1</v>
      </c>
      <c r="K23" s="1">
        <v>0</v>
      </c>
      <c r="L23" s="3" t="s">
        <v>33</v>
      </c>
      <c r="M23" s="31" t="s">
        <v>34</v>
      </c>
      <c r="N23">
        <v>1250</v>
      </c>
      <c r="O23" s="17">
        <v>1990000</v>
      </c>
    </row>
    <row r="24" spans="1:15">
      <c r="A24" s="1">
        <v>1022002</v>
      </c>
      <c r="B24" s="14">
        <v>102200</v>
      </c>
      <c r="C24" s="14">
        <v>1</v>
      </c>
      <c r="D24" s="14" t="s">
        <v>47</v>
      </c>
      <c r="E24" s="15">
        <v>102200001</v>
      </c>
      <c r="F24" s="15" t="s">
        <v>48</v>
      </c>
      <c r="G24" s="1" t="s">
        <v>35</v>
      </c>
      <c r="H24" s="1">
        <v>2</v>
      </c>
      <c r="I24" s="2">
        <v>12500</v>
      </c>
      <c r="J24" s="1">
        <v>-1</v>
      </c>
      <c r="K24" s="1">
        <v>0</v>
      </c>
      <c r="L24" s="3" t="s">
        <v>33</v>
      </c>
      <c r="M24" s="31" t="s">
        <v>34</v>
      </c>
      <c r="N24">
        <v>12500</v>
      </c>
      <c r="O24" s="17">
        <v>1990000</v>
      </c>
    </row>
    <row r="25" spans="1:15">
      <c r="A25" s="1">
        <v>1022003</v>
      </c>
      <c r="B25" s="14">
        <v>102200</v>
      </c>
      <c r="C25" s="14">
        <v>1</v>
      </c>
      <c r="D25" s="14" t="s">
        <v>47</v>
      </c>
      <c r="E25" s="15">
        <v>102200001</v>
      </c>
      <c r="F25" s="15" t="s">
        <v>48</v>
      </c>
      <c r="G25" s="1" t="s">
        <v>36</v>
      </c>
      <c r="H25" s="1">
        <v>3</v>
      </c>
      <c r="I25" s="2">
        <v>125000</v>
      </c>
      <c r="J25" s="1">
        <v>-1</v>
      </c>
      <c r="K25" s="1">
        <v>0</v>
      </c>
      <c r="L25" s="3" t="s">
        <v>33</v>
      </c>
      <c r="M25" s="31" t="s">
        <v>34</v>
      </c>
      <c r="N25">
        <v>125000</v>
      </c>
      <c r="O25" s="17">
        <v>1990000</v>
      </c>
    </row>
    <row r="26" spans="1:15">
      <c r="A26" s="1">
        <v>1017001</v>
      </c>
      <c r="B26" s="14">
        <v>101700</v>
      </c>
      <c r="C26" s="14">
        <v>1</v>
      </c>
      <c r="D26" s="14" t="s">
        <v>49</v>
      </c>
      <c r="E26" s="15">
        <v>101700001</v>
      </c>
      <c r="F26" s="15" t="s">
        <v>50</v>
      </c>
      <c r="G26" s="1" t="s">
        <v>32</v>
      </c>
      <c r="H26" s="1">
        <v>1</v>
      </c>
      <c r="I26" s="2">
        <v>0</v>
      </c>
      <c r="J26" s="1">
        <v>-1</v>
      </c>
      <c r="K26" s="1">
        <v>0</v>
      </c>
      <c r="L26" s="3" t="s">
        <v>33</v>
      </c>
      <c r="M26" s="31" t="s">
        <v>34</v>
      </c>
      <c r="N26">
        <v>1000</v>
      </c>
      <c r="O26" s="17">
        <v>1990000</v>
      </c>
    </row>
    <row r="27" spans="1:15">
      <c r="A27" s="1">
        <v>1017002</v>
      </c>
      <c r="B27" s="14">
        <v>101700</v>
      </c>
      <c r="C27" s="14">
        <v>1</v>
      </c>
      <c r="D27" s="14" t="s">
        <v>49</v>
      </c>
      <c r="E27" s="15">
        <v>101700001</v>
      </c>
      <c r="F27" s="15" t="s">
        <v>50</v>
      </c>
      <c r="G27" s="1" t="s">
        <v>35</v>
      </c>
      <c r="H27" s="1">
        <v>2</v>
      </c>
      <c r="I27" s="2">
        <v>10000</v>
      </c>
      <c r="J27" s="1">
        <v>-1</v>
      </c>
      <c r="K27" s="1">
        <v>0</v>
      </c>
      <c r="L27" s="3" t="s">
        <v>33</v>
      </c>
      <c r="M27" s="31" t="s">
        <v>34</v>
      </c>
      <c r="N27">
        <v>10000</v>
      </c>
      <c r="O27" s="17">
        <v>1990000</v>
      </c>
    </row>
    <row r="28" spans="1:15">
      <c r="A28" s="1">
        <v>1017003</v>
      </c>
      <c r="B28" s="14">
        <v>101700</v>
      </c>
      <c r="C28" s="14">
        <v>1</v>
      </c>
      <c r="D28" s="14" t="s">
        <v>49</v>
      </c>
      <c r="E28" s="15">
        <v>101700001</v>
      </c>
      <c r="F28" s="15" t="s">
        <v>50</v>
      </c>
      <c r="G28" s="1" t="s">
        <v>36</v>
      </c>
      <c r="H28" s="1">
        <v>3</v>
      </c>
      <c r="I28" s="2">
        <v>100000</v>
      </c>
      <c r="J28" s="1">
        <v>-1</v>
      </c>
      <c r="K28" s="1">
        <v>0</v>
      </c>
      <c r="L28" s="3" t="s">
        <v>33</v>
      </c>
      <c r="M28" s="31" t="s">
        <v>34</v>
      </c>
      <c r="N28">
        <v>100000</v>
      </c>
      <c r="O28" s="17">
        <v>1990000</v>
      </c>
    </row>
    <row r="29" spans="1:15">
      <c r="A29" s="1">
        <v>1021001</v>
      </c>
      <c r="B29" s="14">
        <v>102100</v>
      </c>
      <c r="C29" s="14">
        <v>1</v>
      </c>
      <c r="D29" s="14" t="s">
        <v>51</v>
      </c>
      <c r="E29" s="15">
        <v>102100001</v>
      </c>
      <c r="F29" s="18" t="s">
        <v>52</v>
      </c>
      <c r="G29" s="1" t="s">
        <v>32</v>
      </c>
      <c r="H29" s="1">
        <v>1</v>
      </c>
      <c r="I29" s="2">
        <v>0</v>
      </c>
      <c r="J29" s="1">
        <v>-1</v>
      </c>
      <c r="K29" s="1">
        <v>0</v>
      </c>
      <c r="L29" s="3" t="s">
        <v>33</v>
      </c>
      <c r="M29" s="31" t="s">
        <v>34</v>
      </c>
      <c r="N29">
        <v>1000</v>
      </c>
      <c r="O29" s="17">
        <v>1990000</v>
      </c>
    </row>
    <row r="30" spans="1:15">
      <c r="A30" s="1">
        <v>1021002</v>
      </c>
      <c r="B30" s="14">
        <v>102100</v>
      </c>
      <c r="C30" s="14">
        <v>1</v>
      </c>
      <c r="D30" s="14" t="s">
        <v>51</v>
      </c>
      <c r="E30" s="15">
        <v>102100001</v>
      </c>
      <c r="F30" s="18" t="s">
        <v>52</v>
      </c>
      <c r="G30" s="1" t="s">
        <v>35</v>
      </c>
      <c r="H30" s="1">
        <v>2</v>
      </c>
      <c r="I30" s="2">
        <v>10000</v>
      </c>
      <c r="J30" s="1">
        <v>-1</v>
      </c>
      <c r="K30" s="1">
        <v>0</v>
      </c>
      <c r="L30" s="3" t="s">
        <v>33</v>
      </c>
      <c r="M30" s="31" t="s">
        <v>34</v>
      </c>
      <c r="N30">
        <v>10000</v>
      </c>
      <c r="O30" s="17">
        <v>1990000</v>
      </c>
    </row>
    <row r="31" spans="1:15">
      <c r="A31" s="1">
        <v>1021003</v>
      </c>
      <c r="B31" s="14">
        <v>102100</v>
      </c>
      <c r="C31" s="14">
        <v>1</v>
      </c>
      <c r="D31" s="14" t="s">
        <v>51</v>
      </c>
      <c r="E31" s="15">
        <v>102100001</v>
      </c>
      <c r="F31" s="18" t="s">
        <v>52</v>
      </c>
      <c r="G31" s="1" t="s">
        <v>36</v>
      </c>
      <c r="H31" s="1">
        <v>3</v>
      </c>
      <c r="I31" s="2">
        <v>100000</v>
      </c>
      <c r="J31" s="1">
        <v>-1</v>
      </c>
      <c r="K31" s="1">
        <v>0</v>
      </c>
      <c r="L31" s="3" t="s">
        <v>33</v>
      </c>
      <c r="M31" s="31" t="s">
        <v>34</v>
      </c>
      <c r="N31">
        <v>100000</v>
      </c>
      <c r="O31" s="17">
        <v>1990000</v>
      </c>
    </row>
    <row r="32" spans="1:15">
      <c r="A32" s="1">
        <f t="shared" ref="A32:A58" si="0">B32*10+H32</f>
        <v>1018001</v>
      </c>
      <c r="B32" s="18">
        <v>101800</v>
      </c>
      <c r="C32" s="18">
        <v>1</v>
      </c>
      <c r="D32" s="18" t="s">
        <v>53</v>
      </c>
      <c r="E32" s="18">
        <v>101800001</v>
      </c>
      <c r="F32" s="18" t="s">
        <v>54</v>
      </c>
      <c r="G32" s="1" t="s">
        <v>32</v>
      </c>
      <c r="H32" s="19">
        <v>1</v>
      </c>
      <c r="I32" s="2">
        <v>0</v>
      </c>
      <c r="J32" s="19">
        <v>-1</v>
      </c>
      <c r="K32" s="19">
        <v>0</v>
      </c>
      <c r="L32" s="3" t="s">
        <v>33</v>
      </c>
      <c r="M32" s="31" t="s">
        <v>34</v>
      </c>
      <c r="N32">
        <v>1000</v>
      </c>
      <c r="O32" s="17">
        <v>1990000</v>
      </c>
    </row>
    <row r="33" spans="1:15">
      <c r="A33" s="1">
        <f t="shared" si="0"/>
        <v>1018002</v>
      </c>
      <c r="B33" s="18">
        <v>101800</v>
      </c>
      <c r="C33" s="18">
        <v>1</v>
      </c>
      <c r="D33" s="18" t="s">
        <v>53</v>
      </c>
      <c r="E33" s="18">
        <v>101800001</v>
      </c>
      <c r="F33" s="18" t="s">
        <v>54</v>
      </c>
      <c r="G33" s="1" t="s">
        <v>35</v>
      </c>
      <c r="H33" s="19">
        <v>2</v>
      </c>
      <c r="I33" s="2">
        <v>10000</v>
      </c>
      <c r="J33" s="19">
        <v>-1</v>
      </c>
      <c r="K33" s="19">
        <v>0</v>
      </c>
      <c r="L33" s="3" t="s">
        <v>33</v>
      </c>
      <c r="M33" s="31" t="s">
        <v>34</v>
      </c>
      <c r="N33">
        <v>10000</v>
      </c>
      <c r="O33" s="17">
        <v>1990000</v>
      </c>
    </row>
    <row r="34" spans="1:15">
      <c r="A34" s="1">
        <f t="shared" si="0"/>
        <v>1018003</v>
      </c>
      <c r="B34" s="18">
        <v>101800</v>
      </c>
      <c r="C34" s="18">
        <v>1</v>
      </c>
      <c r="D34" s="18" t="s">
        <v>53</v>
      </c>
      <c r="E34" s="18">
        <v>101800001</v>
      </c>
      <c r="F34" s="18" t="s">
        <v>54</v>
      </c>
      <c r="G34" s="1" t="s">
        <v>36</v>
      </c>
      <c r="H34" s="19">
        <v>3</v>
      </c>
      <c r="I34" s="2">
        <v>100000</v>
      </c>
      <c r="J34" s="19">
        <v>-1</v>
      </c>
      <c r="K34" s="19">
        <v>0</v>
      </c>
      <c r="L34" s="3" t="s">
        <v>33</v>
      </c>
      <c r="M34" s="31" t="s">
        <v>34</v>
      </c>
      <c r="N34">
        <v>100000</v>
      </c>
      <c r="O34" s="17">
        <v>1990000</v>
      </c>
    </row>
    <row r="35" spans="1:15">
      <c r="A35" s="1">
        <f t="shared" si="0"/>
        <v>1025001</v>
      </c>
      <c r="B35" s="18">
        <v>102500</v>
      </c>
      <c r="C35" s="18">
        <v>1</v>
      </c>
      <c r="D35" s="18" t="s">
        <v>55</v>
      </c>
      <c r="E35" s="18">
        <v>102500001</v>
      </c>
      <c r="F35" s="18" t="s">
        <v>56</v>
      </c>
      <c r="G35" s="1" t="s">
        <v>32</v>
      </c>
      <c r="H35" s="19">
        <v>1</v>
      </c>
      <c r="I35" s="2">
        <v>0</v>
      </c>
      <c r="J35" s="19">
        <v>-1</v>
      </c>
      <c r="K35" s="19">
        <v>0</v>
      </c>
      <c r="L35" s="3" t="s">
        <v>33</v>
      </c>
      <c r="M35" s="31" t="s">
        <v>34</v>
      </c>
      <c r="N35">
        <v>1000</v>
      </c>
      <c r="O35" s="17">
        <v>1990000</v>
      </c>
    </row>
    <row r="36" spans="1:15">
      <c r="A36" s="1">
        <f t="shared" si="0"/>
        <v>1025002</v>
      </c>
      <c r="B36" s="18">
        <v>102500</v>
      </c>
      <c r="C36" s="18">
        <v>1</v>
      </c>
      <c r="D36" s="18" t="s">
        <v>55</v>
      </c>
      <c r="E36" s="18">
        <v>102500001</v>
      </c>
      <c r="F36" s="18" t="s">
        <v>56</v>
      </c>
      <c r="G36" s="1" t="s">
        <v>35</v>
      </c>
      <c r="H36" s="19">
        <v>2</v>
      </c>
      <c r="I36" s="2">
        <v>10000</v>
      </c>
      <c r="J36" s="19">
        <v>-1</v>
      </c>
      <c r="K36" s="19">
        <v>0</v>
      </c>
      <c r="L36" s="3" t="s">
        <v>33</v>
      </c>
      <c r="M36" s="31" t="s">
        <v>34</v>
      </c>
      <c r="N36">
        <v>10000</v>
      </c>
      <c r="O36" s="17">
        <v>1990000</v>
      </c>
    </row>
    <row r="37" spans="1:15">
      <c r="A37" s="1">
        <f t="shared" si="0"/>
        <v>1025003</v>
      </c>
      <c r="B37" s="18">
        <v>102500</v>
      </c>
      <c r="C37" s="18">
        <v>1</v>
      </c>
      <c r="D37" s="18" t="s">
        <v>55</v>
      </c>
      <c r="E37" s="18">
        <v>102500001</v>
      </c>
      <c r="F37" s="18" t="s">
        <v>56</v>
      </c>
      <c r="G37" s="1" t="s">
        <v>36</v>
      </c>
      <c r="H37" s="19">
        <v>3</v>
      </c>
      <c r="I37" s="2">
        <v>100000</v>
      </c>
      <c r="J37" s="19">
        <v>-1</v>
      </c>
      <c r="K37" s="19">
        <v>0</v>
      </c>
      <c r="L37" s="3" t="s">
        <v>33</v>
      </c>
      <c r="M37" s="31" t="s">
        <v>34</v>
      </c>
      <c r="N37">
        <v>100000</v>
      </c>
      <c r="O37" s="17">
        <v>1990000</v>
      </c>
    </row>
    <row r="38" spans="1:15">
      <c r="A38" s="1">
        <f t="shared" si="0"/>
        <v>1023001</v>
      </c>
      <c r="B38" s="14">
        <v>102300</v>
      </c>
      <c r="C38" s="14">
        <v>1</v>
      </c>
      <c r="D38" s="14" t="s">
        <v>57</v>
      </c>
      <c r="E38" s="15">
        <v>102300001</v>
      </c>
      <c r="F38" s="15" t="s">
        <v>58</v>
      </c>
      <c r="G38" s="1" t="s">
        <v>32</v>
      </c>
      <c r="H38" s="1">
        <v>1</v>
      </c>
      <c r="I38" s="2">
        <v>0</v>
      </c>
      <c r="J38" s="19">
        <v>-1</v>
      </c>
      <c r="K38" s="19">
        <v>0</v>
      </c>
      <c r="L38" s="3" t="s">
        <v>33</v>
      </c>
      <c r="M38" s="31" t="s">
        <v>34</v>
      </c>
      <c r="N38">
        <v>1000</v>
      </c>
      <c r="O38" s="17">
        <v>1990000</v>
      </c>
    </row>
    <row r="39" spans="1:15">
      <c r="A39" s="1">
        <f t="shared" si="0"/>
        <v>1023002</v>
      </c>
      <c r="B39" s="14">
        <v>102300</v>
      </c>
      <c r="C39" s="14">
        <v>1</v>
      </c>
      <c r="D39" s="14" t="s">
        <v>57</v>
      </c>
      <c r="E39" s="15">
        <v>102300001</v>
      </c>
      <c r="F39" s="15" t="s">
        <v>58</v>
      </c>
      <c r="G39" s="1" t="s">
        <v>35</v>
      </c>
      <c r="H39" s="1">
        <v>2</v>
      </c>
      <c r="I39" s="2">
        <v>10000</v>
      </c>
      <c r="J39" s="19">
        <v>-1</v>
      </c>
      <c r="K39" s="19">
        <v>0</v>
      </c>
      <c r="L39" s="3" t="s">
        <v>33</v>
      </c>
      <c r="M39" s="31" t="s">
        <v>34</v>
      </c>
      <c r="N39">
        <v>10000</v>
      </c>
      <c r="O39" s="17">
        <v>1990000</v>
      </c>
    </row>
    <row r="40" spans="1:15">
      <c r="A40" s="1">
        <f t="shared" si="0"/>
        <v>1023003</v>
      </c>
      <c r="B40" s="14">
        <v>102300</v>
      </c>
      <c r="C40" s="14">
        <v>1</v>
      </c>
      <c r="D40" s="14" t="s">
        <v>57</v>
      </c>
      <c r="E40" s="15">
        <v>102300001</v>
      </c>
      <c r="F40" s="15" t="s">
        <v>58</v>
      </c>
      <c r="G40" s="1" t="s">
        <v>36</v>
      </c>
      <c r="H40" s="1">
        <v>3</v>
      </c>
      <c r="I40" s="2">
        <v>100000</v>
      </c>
      <c r="J40" s="19">
        <v>-1</v>
      </c>
      <c r="K40" s="19">
        <v>0</v>
      </c>
      <c r="L40" s="3" t="s">
        <v>33</v>
      </c>
      <c r="M40" s="31" t="s">
        <v>34</v>
      </c>
      <c r="N40">
        <v>100000</v>
      </c>
      <c r="O40" s="17">
        <v>1990000</v>
      </c>
    </row>
    <row r="41" spans="1:15">
      <c r="A41" s="1">
        <v>1034001</v>
      </c>
      <c r="B41" s="14">
        <v>103400</v>
      </c>
      <c r="C41" s="14">
        <v>1</v>
      </c>
      <c r="D41" s="14" t="s">
        <v>59</v>
      </c>
      <c r="E41" s="15">
        <v>103000001</v>
      </c>
      <c r="F41" s="20" t="s">
        <v>60</v>
      </c>
      <c r="G41" s="1" t="s">
        <v>32</v>
      </c>
      <c r="H41" s="1">
        <v>1</v>
      </c>
      <c r="I41" s="2">
        <v>0</v>
      </c>
      <c r="J41" s="19">
        <v>-1</v>
      </c>
      <c r="K41" s="19">
        <v>0</v>
      </c>
      <c r="L41" s="3" t="s">
        <v>33</v>
      </c>
      <c r="M41" s="31" t="s">
        <v>34</v>
      </c>
      <c r="N41">
        <v>100</v>
      </c>
      <c r="O41" s="17">
        <v>1990000</v>
      </c>
    </row>
    <row r="42" spans="1:15">
      <c r="A42" s="1">
        <f t="shared" si="0"/>
        <v>1034002</v>
      </c>
      <c r="B42" s="14">
        <v>103400</v>
      </c>
      <c r="C42" s="14">
        <v>1</v>
      </c>
      <c r="D42" s="14" t="s">
        <v>59</v>
      </c>
      <c r="E42" s="15">
        <v>103000001</v>
      </c>
      <c r="F42" s="20" t="s">
        <v>60</v>
      </c>
      <c r="G42" s="1" t="s">
        <v>35</v>
      </c>
      <c r="H42" s="1">
        <v>2</v>
      </c>
      <c r="I42" s="2">
        <v>10000</v>
      </c>
      <c r="J42" s="19">
        <v>-1</v>
      </c>
      <c r="K42" s="19">
        <v>0</v>
      </c>
      <c r="L42" s="3" t="s">
        <v>33</v>
      </c>
      <c r="M42" s="31" t="s">
        <v>34</v>
      </c>
      <c r="N42">
        <v>10000</v>
      </c>
      <c r="O42" s="17">
        <v>1990000</v>
      </c>
    </row>
    <row r="43" spans="1:15">
      <c r="A43" s="1">
        <f t="shared" si="0"/>
        <v>1034003</v>
      </c>
      <c r="B43" s="14">
        <v>103400</v>
      </c>
      <c r="C43" s="14">
        <v>1</v>
      </c>
      <c r="D43" s="14" t="s">
        <v>59</v>
      </c>
      <c r="E43" s="15">
        <v>103000001</v>
      </c>
      <c r="F43" s="20" t="s">
        <v>60</v>
      </c>
      <c r="G43" s="1" t="s">
        <v>36</v>
      </c>
      <c r="H43" s="1">
        <v>3</v>
      </c>
      <c r="I43" s="2">
        <v>100000</v>
      </c>
      <c r="J43" s="19">
        <v>-1</v>
      </c>
      <c r="K43" s="19">
        <v>0</v>
      </c>
      <c r="L43" s="3" t="s">
        <v>33</v>
      </c>
      <c r="M43" s="31" t="s">
        <v>34</v>
      </c>
      <c r="N43">
        <v>100000</v>
      </c>
      <c r="O43" s="17">
        <v>1990000</v>
      </c>
    </row>
    <row r="44" spans="1:15">
      <c r="A44" s="1">
        <f t="shared" si="0"/>
        <v>1035001</v>
      </c>
      <c r="B44" s="14">
        <v>103500</v>
      </c>
      <c r="C44" s="14">
        <v>1</v>
      </c>
      <c r="D44" s="14" t="s">
        <v>61</v>
      </c>
      <c r="E44" s="15">
        <v>102900001</v>
      </c>
      <c r="F44" s="15" t="s">
        <v>62</v>
      </c>
      <c r="G44" s="1" t="s">
        <v>32</v>
      </c>
      <c r="H44" s="1">
        <v>1</v>
      </c>
      <c r="I44" s="2">
        <v>0</v>
      </c>
      <c r="J44" s="19">
        <v>-1</v>
      </c>
      <c r="K44" s="19">
        <v>0</v>
      </c>
      <c r="L44" s="3" t="s">
        <v>33</v>
      </c>
      <c r="M44" s="31" t="s">
        <v>34</v>
      </c>
      <c r="N44">
        <v>1000</v>
      </c>
      <c r="O44" s="17">
        <v>1990000</v>
      </c>
    </row>
    <row r="45" spans="1:15">
      <c r="A45" s="1">
        <f t="shared" si="0"/>
        <v>1035002</v>
      </c>
      <c r="B45" s="14">
        <v>103500</v>
      </c>
      <c r="C45" s="14">
        <v>1</v>
      </c>
      <c r="D45" s="14" t="s">
        <v>61</v>
      </c>
      <c r="E45" s="15">
        <v>102900001</v>
      </c>
      <c r="F45" s="15" t="s">
        <v>62</v>
      </c>
      <c r="G45" s="1" t="s">
        <v>35</v>
      </c>
      <c r="H45" s="1">
        <v>2</v>
      </c>
      <c r="I45" s="2">
        <v>10000</v>
      </c>
      <c r="J45" s="19">
        <v>-1</v>
      </c>
      <c r="K45" s="19">
        <v>0</v>
      </c>
      <c r="L45" s="3" t="s">
        <v>33</v>
      </c>
      <c r="M45" s="31" t="s">
        <v>34</v>
      </c>
      <c r="N45">
        <v>10000</v>
      </c>
      <c r="O45" s="17">
        <v>1990000</v>
      </c>
    </row>
    <row r="46" spans="1:15">
      <c r="A46" s="1">
        <f t="shared" si="0"/>
        <v>1035003</v>
      </c>
      <c r="B46" s="14">
        <v>103500</v>
      </c>
      <c r="C46" s="14">
        <v>1</v>
      </c>
      <c r="D46" s="14" t="s">
        <v>61</v>
      </c>
      <c r="E46" s="15">
        <v>102900001</v>
      </c>
      <c r="F46" s="15" t="s">
        <v>62</v>
      </c>
      <c r="G46" s="1" t="s">
        <v>36</v>
      </c>
      <c r="H46" s="1">
        <v>3</v>
      </c>
      <c r="I46" s="2">
        <v>100000</v>
      </c>
      <c r="J46" s="19">
        <v>-1</v>
      </c>
      <c r="K46" s="19">
        <v>0</v>
      </c>
      <c r="L46" s="3" t="s">
        <v>33</v>
      </c>
      <c r="M46" s="31" t="s">
        <v>34</v>
      </c>
      <c r="N46">
        <v>100000</v>
      </c>
      <c r="O46" s="17">
        <v>1990000</v>
      </c>
    </row>
    <row r="47" spans="1:15">
      <c r="A47" s="1">
        <f t="shared" si="0"/>
        <v>1035011</v>
      </c>
      <c r="B47" s="14">
        <v>103501</v>
      </c>
      <c r="C47" s="14">
        <v>1</v>
      </c>
      <c r="D47" s="14" t="s">
        <v>63</v>
      </c>
      <c r="E47" s="15">
        <v>103501001</v>
      </c>
      <c r="F47" s="15" t="s">
        <v>64</v>
      </c>
      <c r="G47" s="1" t="s">
        <v>32</v>
      </c>
      <c r="H47" s="1">
        <v>1</v>
      </c>
      <c r="I47" s="2">
        <v>0</v>
      </c>
      <c r="J47" s="19">
        <v>-1</v>
      </c>
      <c r="K47" s="1">
        <v>0</v>
      </c>
      <c r="L47" s="3" t="s">
        <v>33</v>
      </c>
      <c r="M47" s="31" t="s">
        <v>34</v>
      </c>
      <c r="N47">
        <v>1000</v>
      </c>
      <c r="O47" s="17">
        <v>1990000</v>
      </c>
    </row>
    <row r="48" spans="1:15">
      <c r="A48" s="1">
        <f t="shared" si="0"/>
        <v>1035012</v>
      </c>
      <c r="B48" s="14">
        <v>103501</v>
      </c>
      <c r="C48" s="14">
        <v>1</v>
      </c>
      <c r="D48" s="14" t="s">
        <v>63</v>
      </c>
      <c r="E48" s="15">
        <v>103501001</v>
      </c>
      <c r="F48" s="15" t="s">
        <v>64</v>
      </c>
      <c r="G48" s="1" t="s">
        <v>35</v>
      </c>
      <c r="H48" s="1">
        <v>2</v>
      </c>
      <c r="I48" s="2">
        <v>10000</v>
      </c>
      <c r="J48" s="19">
        <v>-1</v>
      </c>
      <c r="K48" s="1">
        <v>0</v>
      </c>
      <c r="L48" s="3" t="s">
        <v>33</v>
      </c>
      <c r="M48" s="31" t="s">
        <v>34</v>
      </c>
      <c r="N48">
        <v>10000</v>
      </c>
      <c r="O48" s="17">
        <v>1990000</v>
      </c>
    </row>
    <row r="49" spans="1:15">
      <c r="A49" s="1">
        <f t="shared" si="0"/>
        <v>1035013</v>
      </c>
      <c r="B49" s="14">
        <v>103501</v>
      </c>
      <c r="C49" s="14">
        <v>1</v>
      </c>
      <c r="D49" s="14" t="s">
        <v>63</v>
      </c>
      <c r="E49" s="15">
        <v>103501001</v>
      </c>
      <c r="F49" s="15" t="s">
        <v>64</v>
      </c>
      <c r="G49" s="1" t="s">
        <v>36</v>
      </c>
      <c r="H49" s="1">
        <v>3</v>
      </c>
      <c r="I49" s="2">
        <v>100000</v>
      </c>
      <c r="J49" s="19">
        <v>-1</v>
      </c>
      <c r="K49" s="1">
        <v>0</v>
      </c>
      <c r="L49" s="3" t="s">
        <v>33</v>
      </c>
      <c r="M49" s="31" t="s">
        <v>34</v>
      </c>
      <c r="N49">
        <v>100000</v>
      </c>
      <c r="O49" s="17">
        <v>1990000</v>
      </c>
    </row>
    <row r="50" spans="1:15">
      <c r="A50" s="1">
        <f t="shared" si="0"/>
        <v>1020001</v>
      </c>
      <c r="B50" s="14">
        <v>102000</v>
      </c>
      <c r="C50" s="14">
        <v>1</v>
      </c>
      <c r="D50" s="14" t="s">
        <v>65</v>
      </c>
      <c r="E50" s="15">
        <v>102000001</v>
      </c>
      <c r="F50" s="15" t="s">
        <v>66</v>
      </c>
      <c r="G50" s="1" t="s">
        <v>32</v>
      </c>
      <c r="H50" s="1">
        <v>1</v>
      </c>
      <c r="I50" s="2">
        <v>0</v>
      </c>
      <c r="J50" s="19">
        <v>-1</v>
      </c>
      <c r="K50" s="1">
        <v>0</v>
      </c>
      <c r="L50" s="3" t="s">
        <v>33</v>
      </c>
      <c r="M50" s="31" t="s">
        <v>34</v>
      </c>
      <c r="N50">
        <v>1125</v>
      </c>
      <c r="O50" s="17">
        <v>1990000</v>
      </c>
    </row>
    <row r="51" spans="1:15">
      <c r="A51" s="1">
        <f t="shared" si="0"/>
        <v>1020002</v>
      </c>
      <c r="B51" s="14">
        <v>102000</v>
      </c>
      <c r="C51" s="14">
        <v>1</v>
      </c>
      <c r="D51" s="14" t="s">
        <v>65</v>
      </c>
      <c r="E51" s="15">
        <v>102000001</v>
      </c>
      <c r="F51" s="15" t="s">
        <v>66</v>
      </c>
      <c r="G51" s="1" t="s">
        <v>35</v>
      </c>
      <c r="H51" s="1">
        <v>2</v>
      </c>
      <c r="I51" s="2">
        <v>10000</v>
      </c>
      <c r="J51" s="19">
        <v>-1</v>
      </c>
      <c r="K51" s="1">
        <v>0</v>
      </c>
      <c r="L51" s="3" t="s">
        <v>33</v>
      </c>
      <c r="M51" s="31" t="s">
        <v>34</v>
      </c>
      <c r="N51">
        <v>11250</v>
      </c>
      <c r="O51" s="17">
        <v>1990000</v>
      </c>
    </row>
    <row r="52" spans="1:15">
      <c r="A52" s="1">
        <f t="shared" si="0"/>
        <v>1020003</v>
      </c>
      <c r="B52" s="14">
        <v>102000</v>
      </c>
      <c r="C52" s="14">
        <v>1</v>
      </c>
      <c r="D52" s="14" t="s">
        <v>65</v>
      </c>
      <c r="E52" s="15">
        <v>102000001</v>
      </c>
      <c r="F52" s="15" t="s">
        <v>66</v>
      </c>
      <c r="G52" s="1" t="s">
        <v>36</v>
      </c>
      <c r="H52" s="1">
        <v>3</v>
      </c>
      <c r="I52" s="2">
        <v>100000</v>
      </c>
      <c r="J52" s="19">
        <v>-1</v>
      </c>
      <c r="K52" s="1">
        <v>0</v>
      </c>
      <c r="L52" s="3" t="s">
        <v>33</v>
      </c>
      <c r="M52" s="31" t="s">
        <v>34</v>
      </c>
      <c r="N52">
        <v>112500</v>
      </c>
      <c r="O52" s="17">
        <v>1990000</v>
      </c>
    </row>
    <row r="53" spans="1:15">
      <c r="A53" s="1">
        <f t="shared" si="0"/>
        <v>1036001</v>
      </c>
      <c r="B53" s="14">
        <v>103600</v>
      </c>
      <c r="C53" s="14">
        <v>1</v>
      </c>
      <c r="D53" s="14" t="s">
        <v>67</v>
      </c>
      <c r="E53" s="15">
        <v>103600001</v>
      </c>
      <c r="F53" s="15" t="s">
        <v>68</v>
      </c>
      <c r="G53" s="1" t="s">
        <v>32</v>
      </c>
      <c r="H53" s="1">
        <v>1</v>
      </c>
      <c r="I53" s="2">
        <v>0</v>
      </c>
      <c r="J53" s="19">
        <v>-1</v>
      </c>
      <c r="K53" s="1">
        <v>0</v>
      </c>
      <c r="L53" s="3" t="s">
        <v>33</v>
      </c>
      <c r="M53" s="31" t="s">
        <v>34</v>
      </c>
      <c r="N53">
        <v>1000</v>
      </c>
      <c r="O53" s="17">
        <v>1990000</v>
      </c>
    </row>
    <row r="54" spans="1:15">
      <c r="A54" s="1">
        <f t="shared" si="0"/>
        <v>1036002</v>
      </c>
      <c r="B54" s="14">
        <v>103600</v>
      </c>
      <c r="C54" s="14">
        <v>1</v>
      </c>
      <c r="D54" s="14" t="s">
        <v>67</v>
      </c>
      <c r="E54" s="15">
        <v>103600001</v>
      </c>
      <c r="F54" s="15" t="s">
        <v>68</v>
      </c>
      <c r="G54" s="1" t="s">
        <v>35</v>
      </c>
      <c r="H54" s="1">
        <v>2</v>
      </c>
      <c r="I54" s="2">
        <v>10000</v>
      </c>
      <c r="J54" s="19">
        <v>-1</v>
      </c>
      <c r="K54" s="1">
        <v>0</v>
      </c>
      <c r="L54" s="3" t="s">
        <v>33</v>
      </c>
      <c r="M54" s="31" t="s">
        <v>34</v>
      </c>
      <c r="N54">
        <v>10000</v>
      </c>
      <c r="O54" s="17">
        <v>1990000</v>
      </c>
    </row>
    <row r="55" spans="1:15">
      <c r="A55" s="1">
        <f t="shared" si="0"/>
        <v>1036003</v>
      </c>
      <c r="B55" s="14">
        <v>103600</v>
      </c>
      <c r="C55" s="14">
        <v>1</v>
      </c>
      <c r="D55" s="14" t="s">
        <v>67</v>
      </c>
      <c r="E55" s="15">
        <v>103600001</v>
      </c>
      <c r="F55" s="15" t="s">
        <v>68</v>
      </c>
      <c r="G55" s="1" t="s">
        <v>36</v>
      </c>
      <c r="H55" s="1">
        <v>3</v>
      </c>
      <c r="I55" s="2">
        <v>100000</v>
      </c>
      <c r="J55" s="19">
        <v>-1</v>
      </c>
      <c r="K55" s="1">
        <v>0</v>
      </c>
      <c r="L55" s="3" t="s">
        <v>33</v>
      </c>
      <c r="M55" s="31" t="s">
        <v>34</v>
      </c>
      <c r="N55">
        <v>100000</v>
      </c>
      <c r="O55" s="17">
        <v>1990000</v>
      </c>
    </row>
    <row r="56" spans="1:15">
      <c r="A56" s="1">
        <v>1034011</v>
      </c>
      <c r="B56" s="14">
        <v>103401</v>
      </c>
      <c r="C56" s="14">
        <v>1</v>
      </c>
      <c r="D56" s="14" t="s">
        <v>69</v>
      </c>
      <c r="E56" s="15">
        <v>103400001</v>
      </c>
      <c r="F56" s="15" t="s">
        <v>70</v>
      </c>
      <c r="G56" s="1" t="s">
        <v>32</v>
      </c>
      <c r="H56" s="1">
        <v>1</v>
      </c>
      <c r="I56" s="2">
        <v>0</v>
      </c>
      <c r="J56" s="19">
        <v>-1</v>
      </c>
      <c r="K56" s="1">
        <v>0</v>
      </c>
      <c r="L56" s="3" t="s">
        <v>33</v>
      </c>
      <c r="M56" s="31" t="s">
        <v>34</v>
      </c>
      <c r="N56">
        <v>1000</v>
      </c>
      <c r="O56" s="17">
        <v>1990000</v>
      </c>
    </row>
    <row r="57" spans="1:15">
      <c r="A57" s="1">
        <v>1034012</v>
      </c>
      <c r="B57" s="14">
        <v>103401</v>
      </c>
      <c r="C57" s="14">
        <v>1</v>
      </c>
      <c r="D57" s="14" t="s">
        <v>69</v>
      </c>
      <c r="E57" s="15">
        <v>103400001</v>
      </c>
      <c r="F57" s="15" t="s">
        <v>70</v>
      </c>
      <c r="G57" s="1" t="s">
        <v>35</v>
      </c>
      <c r="H57" s="1">
        <v>2</v>
      </c>
      <c r="I57" s="2">
        <v>10000</v>
      </c>
      <c r="J57" s="19">
        <v>-1</v>
      </c>
      <c r="K57" s="1">
        <v>0</v>
      </c>
      <c r="L57" s="3" t="s">
        <v>33</v>
      </c>
      <c r="M57" s="31" t="s">
        <v>34</v>
      </c>
      <c r="N57">
        <v>10000</v>
      </c>
      <c r="O57" s="17">
        <v>1990000</v>
      </c>
    </row>
    <row r="58" spans="1:15">
      <c r="A58" s="1">
        <v>1034013</v>
      </c>
      <c r="B58" s="14">
        <v>103401</v>
      </c>
      <c r="C58" s="14">
        <v>1</v>
      </c>
      <c r="D58" s="14" t="s">
        <v>69</v>
      </c>
      <c r="E58" s="15">
        <v>103400001</v>
      </c>
      <c r="F58" s="15" t="s">
        <v>70</v>
      </c>
      <c r="G58" s="1" t="s">
        <v>36</v>
      </c>
      <c r="H58" s="1">
        <v>3</v>
      </c>
      <c r="I58" s="2">
        <v>100000</v>
      </c>
      <c r="J58" s="19">
        <v>-1</v>
      </c>
      <c r="K58" s="1">
        <v>0</v>
      </c>
      <c r="L58" s="3" t="s">
        <v>33</v>
      </c>
      <c r="M58" s="31" t="s">
        <v>34</v>
      </c>
      <c r="N58">
        <v>100000</v>
      </c>
      <c r="O58" s="17">
        <v>1990000</v>
      </c>
    </row>
    <row r="59" spans="1:15">
      <c r="A59" s="1">
        <v>1038001</v>
      </c>
      <c r="B59" s="14">
        <v>103800</v>
      </c>
      <c r="C59" s="14">
        <v>1</v>
      </c>
      <c r="D59" s="14" t="s">
        <v>71</v>
      </c>
      <c r="E59" s="15">
        <v>103800001</v>
      </c>
      <c r="F59" s="15" t="s">
        <v>72</v>
      </c>
      <c r="G59" s="1" t="s">
        <v>32</v>
      </c>
      <c r="H59" s="1">
        <v>1</v>
      </c>
      <c r="I59" s="2">
        <v>0</v>
      </c>
      <c r="J59" s="19">
        <v>-1</v>
      </c>
      <c r="K59" s="1">
        <v>0</v>
      </c>
      <c r="L59" s="3" t="s">
        <v>33</v>
      </c>
      <c r="M59" s="31" t="s">
        <v>34</v>
      </c>
      <c r="N59">
        <v>2000</v>
      </c>
      <c r="O59" s="17">
        <v>1990000</v>
      </c>
    </row>
    <row r="60" spans="1:15">
      <c r="A60" s="1">
        <v>1038002</v>
      </c>
      <c r="B60" s="14">
        <v>103800</v>
      </c>
      <c r="C60" s="14">
        <v>1</v>
      </c>
      <c r="D60" s="14" t="s">
        <v>71</v>
      </c>
      <c r="E60" s="15">
        <v>103800001</v>
      </c>
      <c r="F60" s="15" t="s">
        <v>72</v>
      </c>
      <c r="G60" s="1" t="s">
        <v>35</v>
      </c>
      <c r="H60" s="1">
        <v>2</v>
      </c>
      <c r="I60" s="2">
        <v>20000</v>
      </c>
      <c r="J60" s="19">
        <v>-1</v>
      </c>
      <c r="K60" s="1">
        <v>0</v>
      </c>
      <c r="L60" s="3" t="s">
        <v>33</v>
      </c>
      <c r="M60" s="31" t="s">
        <v>34</v>
      </c>
      <c r="N60">
        <v>20000</v>
      </c>
      <c r="O60" s="17">
        <v>1990000</v>
      </c>
    </row>
    <row r="61" spans="1:15">
      <c r="A61" s="1">
        <v>1038003</v>
      </c>
      <c r="B61" s="14">
        <v>103800</v>
      </c>
      <c r="C61" s="14">
        <v>1</v>
      </c>
      <c r="D61" s="14" t="s">
        <v>71</v>
      </c>
      <c r="E61" s="15">
        <v>103800001</v>
      </c>
      <c r="F61" s="15" t="s">
        <v>72</v>
      </c>
      <c r="G61" s="1" t="s">
        <v>36</v>
      </c>
      <c r="H61" s="1">
        <v>3</v>
      </c>
      <c r="I61" s="2">
        <v>200000</v>
      </c>
      <c r="J61" s="19">
        <v>-1</v>
      </c>
      <c r="K61" s="1">
        <v>0</v>
      </c>
      <c r="L61" s="3" t="s">
        <v>33</v>
      </c>
      <c r="M61" s="31" t="s">
        <v>34</v>
      </c>
      <c r="N61">
        <v>200000</v>
      </c>
      <c r="O61" s="17">
        <v>1990000</v>
      </c>
    </row>
    <row r="62" spans="1:15">
      <c r="A62" s="1">
        <v>1040001</v>
      </c>
      <c r="B62" s="14">
        <v>104000</v>
      </c>
      <c r="C62" s="14">
        <v>1</v>
      </c>
      <c r="D62" s="14" t="s">
        <v>73</v>
      </c>
      <c r="E62" s="15">
        <v>104000001</v>
      </c>
      <c r="F62" s="21" t="s">
        <v>74</v>
      </c>
      <c r="G62" s="1" t="s">
        <v>32</v>
      </c>
      <c r="H62" s="1">
        <v>1</v>
      </c>
      <c r="I62" s="2">
        <v>0</v>
      </c>
      <c r="J62" s="19">
        <v>-1</v>
      </c>
      <c r="K62" s="1">
        <v>0</v>
      </c>
      <c r="L62" s="3" t="s">
        <v>33</v>
      </c>
      <c r="M62" s="31" t="s">
        <v>34</v>
      </c>
      <c r="N62">
        <v>1000</v>
      </c>
      <c r="O62" s="17">
        <v>1990000</v>
      </c>
    </row>
    <row r="63" spans="1:15">
      <c r="A63" s="1">
        <v>1040002</v>
      </c>
      <c r="B63" s="14">
        <v>104000</v>
      </c>
      <c r="C63" s="14">
        <v>1</v>
      </c>
      <c r="D63" s="14" t="s">
        <v>73</v>
      </c>
      <c r="E63" s="15">
        <v>104000001</v>
      </c>
      <c r="F63" s="21" t="s">
        <v>74</v>
      </c>
      <c r="G63" s="1" t="s">
        <v>35</v>
      </c>
      <c r="H63" s="1">
        <v>2</v>
      </c>
      <c r="I63" s="2">
        <v>10000</v>
      </c>
      <c r="J63" s="19">
        <v>-1</v>
      </c>
      <c r="K63" s="1">
        <v>0</v>
      </c>
      <c r="L63" s="3" t="s">
        <v>33</v>
      </c>
      <c r="M63" s="31" t="s">
        <v>34</v>
      </c>
      <c r="N63">
        <v>10000</v>
      </c>
      <c r="O63" s="17">
        <v>1990000</v>
      </c>
    </row>
    <row r="64" spans="1:15">
      <c r="A64" s="1">
        <v>1040003</v>
      </c>
      <c r="B64" s="14">
        <v>104000</v>
      </c>
      <c r="C64" s="14">
        <v>1</v>
      </c>
      <c r="D64" s="14" t="s">
        <v>73</v>
      </c>
      <c r="E64" s="15">
        <v>104000001</v>
      </c>
      <c r="F64" s="21" t="s">
        <v>74</v>
      </c>
      <c r="G64" s="1" t="s">
        <v>36</v>
      </c>
      <c r="H64" s="1">
        <v>3</v>
      </c>
      <c r="I64" s="2">
        <v>100000</v>
      </c>
      <c r="J64" s="19">
        <v>-1</v>
      </c>
      <c r="K64" s="1">
        <v>0</v>
      </c>
      <c r="L64" s="3" t="s">
        <v>33</v>
      </c>
      <c r="M64" s="31" t="s">
        <v>34</v>
      </c>
      <c r="N64">
        <v>100000</v>
      </c>
      <c r="O64" s="17">
        <v>1990000</v>
      </c>
    </row>
    <row r="65" spans="1:19">
      <c r="A65" s="1">
        <v>2001001</v>
      </c>
      <c r="B65" s="14">
        <v>200100</v>
      </c>
      <c r="C65" s="14">
        <v>2</v>
      </c>
      <c r="D65" s="14" t="s">
        <v>75</v>
      </c>
      <c r="E65" s="15">
        <v>200100038</v>
      </c>
      <c r="F65" s="15" t="s">
        <v>76</v>
      </c>
      <c r="G65" s="1" t="s">
        <v>32</v>
      </c>
      <c r="H65" s="1">
        <v>1</v>
      </c>
      <c r="I65" s="2">
        <v>0</v>
      </c>
      <c r="J65" s="1">
        <v>-1</v>
      </c>
      <c r="K65" s="1">
        <v>0</v>
      </c>
      <c r="L65" s="3" t="s">
        <v>33</v>
      </c>
      <c r="M65" s="31" t="s">
        <v>34</v>
      </c>
      <c r="N65">
        <v>1000</v>
      </c>
      <c r="O65" s="17">
        <v>1990000</v>
      </c>
    </row>
    <row r="66" spans="1:19">
      <c r="A66" s="1">
        <v>2001002</v>
      </c>
      <c r="B66" s="14">
        <v>200100</v>
      </c>
      <c r="C66" s="14">
        <v>2</v>
      </c>
      <c r="D66" s="14" t="s">
        <v>75</v>
      </c>
      <c r="E66" s="15">
        <v>200100038</v>
      </c>
      <c r="F66" s="15" t="s">
        <v>76</v>
      </c>
      <c r="G66" s="1" t="s">
        <v>35</v>
      </c>
      <c r="H66" s="1">
        <v>2</v>
      </c>
      <c r="I66" s="2">
        <v>10000</v>
      </c>
      <c r="J66" s="1">
        <v>-1</v>
      </c>
      <c r="K66" s="1">
        <v>0</v>
      </c>
      <c r="L66" s="3" t="s">
        <v>33</v>
      </c>
      <c r="M66" s="31" t="s">
        <v>34</v>
      </c>
      <c r="N66">
        <v>10000</v>
      </c>
      <c r="O66" s="17">
        <v>1990000</v>
      </c>
    </row>
    <row r="67" spans="1:19">
      <c r="A67" s="1">
        <v>2001003</v>
      </c>
      <c r="B67" s="14">
        <v>200100</v>
      </c>
      <c r="C67" s="14">
        <v>2</v>
      </c>
      <c r="D67" s="14" t="s">
        <v>75</v>
      </c>
      <c r="E67" s="15">
        <v>200100038</v>
      </c>
      <c r="F67" s="15" t="s">
        <v>76</v>
      </c>
      <c r="G67" s="1" t="s">
        <v>36</v>
      </c>
      <c r="H67" s="1">
        <v>3</v>
      </c>
      <c r="I67" s="2">
        <v>100000</v>
      </c>
      <c r="J67" s="1">
        <v>-1</v>
      </c>
      <c r="K67" s="1">
        <v>0</v>
      </c>
      <c r="L67" s="3" t="s">
        <v>33</v>
      </c>
      <c r="M67" s="31" t="s">
        <v>34</v>
      </c>
      <c r="N67">
        <v>100000</v>
      </c>
      <c r="O67" s="17">
        <v>1990000</v>
      </c>
      <c r="Q67"/>
    </row>
    <row r="68" spans="1:19">
      <c r="A68" s="1">
        <v>2001011</v>
      </c>
      <c r="B68" s="14">
        <v>200101</v>
      </c>
      <c r="C68" s="14">
        <v>2</v>
      </c>
      <c r="D68" s="14" t="s">
        <v>77</v>
      </c>
      <c r="E68" s="15">
        <v>200101001</v>
      </c>
      <c r="F68" s="15" t="s">
        <v>78</v>
      </c>
      <c r="G68" s="1" t="s">
        <v>32</v>
      </c>
      <c r="H68" s="1">
        <v>1</v>
      </c>
      <c r="I68" s="2">
        <v>0</v>
      </c>
      <c r="J68" s="1">
        <v>-1</v>
      </c>
      <c r="K68" s="1">
        <v>0</v>
      </c>
      <c r="L68" s="3" t="s">
        <v>33</v>
      </c>
      <c r="M68" s="31" t="s">
        <v>34</v>
      </c>
      <c r="N68">
        <v>1000</v>
      </c>
      <c r="O68" s="17">
        <v>1990000</v>
      </c>
    </row>
    <row r="69" s="1" customFormat="1" spans="1:19">
      <c r="A69" s="1">
        <v>2001012</v>
      </c>
      <c r="B69" s="14">
        <v>200101</v>
      </c>
      <c r="C69" s="14">
        <v>2</v>
      </c>
      <c r="D69" s="14" t="s">
        <v>77</v>
      </c>
      <c r="E69" s="15">
        <v>200101001</v>
      </c>
      <c r="F69" s="15" t="s">
        <v>78</v>
      </c>
      <c r="G69" s="1" t="s">
        <v>35</v>
      </c>
      <c r="H69" s="1">
        <v>2</v>
      </c>
      <c r="I69" s="2">
        <v>10000</v>
      </c>
      <c r="J69" s="1">
        <v>-1</v>
      </c>
      <c r="K69" s="1">
        <v>0</v>
      </c>
      <c r="L69" s="3" t="s">
        <v>33</v>
      </c>
      <c r="M69" s="31" t="s">
        <v>34</v>
      </c>
      <c r="N69">
        <v>10000</v>
      </c>
      <c r="O69" s="17">
        <v>1990000</v>
      </c>
    </row>
    <row r="70" s="1" customFormat="1" spans="1:19">
      <c r="A70" s="1">
        <v>2001013</v>
      </c>
      <c r="B70" s="14">
        <v>200101</v>
      </c>
      <c r="C70" s="14">
        <v>2</v>
      </c>
      <c r="D70" s="14" t="s">
        <v>77</v>
      </c>
      <c r="E70" s="15">
        <v>200101001</v>
      </c>
      <c r="F70" s="15" t="s">
        <v>78</v>
      </c>
      <c r="G70" s="1" t="s">
        <v>36</v>
      </c>
      <c r="H70" s="1">
        <v>3</v>
      </c>
      <c r="I70" s="2">
        <v>100000</v>
      </c>
      <c r="J70" s="1">
        <v>-1</v>
      </c>
      <c r="K70" s="1">
        <v>0</v>
      </c>
      <c r="L70" s="3" t="s">
        <v>33</v>
      </c>
      <c r="M70" s="31" t="s">
        <v>34</v>
      </c>
      <c r="N70">
        <v>100000</v>
      </c>
      <c r="O70" s="17">
        <v>1990000</v>
      </c>
    </row>
    <row r="71" spans="1:19">
      <c r="A71" s="1">
        <v>2003001</v>
      </c>
      <c r="B71" s="14">
        <v>200300</v>
      </c>
      <c r="C71" s="14">
        <v>2</v>
      </c>
      <c r="D71" s="14" t="s">
        <v>79</v>
      </c>
      <c r="E71" s="15">
        <v>200300001</v>
      </c>
      <c r="F71" s="15" t="s">
        <v>80</v>
      </c>
      <c r="G71" s="1" t="s">
        <v>32</v>
      </c>
      <c r="H71" s="1">
        <v>1</v>
      </c>
      <c r="I71" s="2">
        <v>0</v>
      </c>
      <c r="J71" s="1">
        <v>-1</v>
      </c>
      <c r="K71" s="1">
        <v>0</v>
      </c>
      <c r="L71" s="3" t="s">
        <v>33</v>
      </c>
      <c r="M71" s="31" t="s">
        <v>34</v>
      </c>
      <c r="N71">
        <v>1000</v>
      </c>
      <c r="O71" s="17">
        <v>1990000</v>
      </c>
    </row>
    <row r="72" s="1" customFormat="1" spans="1:19">
      <c r="A72" s="1">
        <v>2003002</v>
      </c>
      <c r="B72" s="14">
        <v>200300</v>
      </c>
      <c r="C72" s="14">
        <v>2</v>
      </c>
      <c r="D72" s="14" t="s">
        <v>79</v>
      </c>
      <c r="E72" s="15">
        <v>200300001</v>
      </c>
      <c r="F72" s="15" t="s">
        <v>80</v>
      </c>
      <c r="G72" s="1" t="s">
        <v>35</v>
      </c>
      <c r="H72" s="1">
        <v>2</v>
      </c>
      <c r="I72" s="2">
        <v>10000</v>
      </c>
      <c r="J72" s="1">
        <v>-1</v>
      </c>
      <c r="K72" s="1">
        <v>0</v>
      </c>
      <c r="L72" s="3" t="s">
        <v>33</v>
      </c>
      <c r="M72" s="31" t="s">
        <v>34</v>
      </c>
      <c r="N72">
        <v>10000</v>
      </c>
      <c r="O72" s="17">
        <v>1990000</v>
      </c>
      <c r="Q72" s="2"/>
      <c r="R72" s="14"/>
      <c r="S72" s="2"/>
    </row>
    <row r="73" s="1" customFormat="1" spans="1:19">
      <c r="A73" s="1">
        <v>2003003</v>
      </c>
      <c r="B73" s="14">
        <v>200300</v>
      </c>
      <c r="C73" s="14">
        <v>2</v>
      </c>
      <c r="D73" s="14" t="s">
        <v>79</v>
      </c>
      <c r="E73" s="15">
        <v>200300001</v>
      </c>
      <c r="F73" s="15" t="s">
        <v>80</v>
      </c>
      <c r="G73" s="1" t="s">
        <v>36</v>
      </c>
      <c r="H73" s="1">
        <v>3</v>
      </c>
      <c r="I73" s="2">
        <v>100000</v>
      </c>
      <c r="J73" s="1">
        <v>-1</v>
      </c>
      <c r="K73" s="1">
        <v>0</v>
      </c>
      <c r="L73" s="3" t="s">
        <v>33</v>
      </c>
      <c r="M73" s="31" t="s">
        <v>34</v>
      </c>
      <c r="N73">
        <v>100000</v>
      </c>
      <c r="O73" s="17">
        <v>1990000</v>
      </c>
      <c r="Q73" s="2"/>
      <c r="R73" s="22"/>
      <c r="S73" s="22"/>
    </row>
    <row r="74" spans="1:19">
      <c r="A74" s="1">
        <v>2004001</v>
      </c>
      <c r="B74" s="14">
        <v>200400</v>
      </c>
      <c r="C74" s="14">
        <v>2</v>
      </c>
      <c r="D74" s="22" t="s">
        <v>81</v>
      </c>
      <c r="E74" s="15">
        <v>200400009</v>
      </c>
      <c r="F74" s="15" t="s">
        <v>82</v>
      </c>
      <c r="G74" s="1" t="s">
        <v>32</v>
      </c>
      <c r="H74" s="1">
        <v>1</v>
      </c>
      <c r="I74" s="2">
        <v>0</v>
      </c>
      <c r="J74" s="1">
        <v>-1</v>
      </c>
      <c r="K74" s="1">
        <v>0</v>
      </c>
      <c r="L74" s="3" t="s">
        <v>33</v>
      </c>
      <c r="M74" s="31" t="s">
        <v>34</v>
      </c>
      <c r="N74">
        <v>1000</v>
      </c>
      <c r="O74" s="17">
        <v>1990000</v>
      </c>
      <c r="Q74" s="2"/>
      <c r="R74" s="22"/>
      <c r="S74" s="22"/>
    </row>
    <row r="75" s="1" customFormat="1" spans="1:19">
      <c r="A75" s="1">
        <v>2004002</v>
      </c>
      <c r="B75" s="14">
        <v>200400</v>
      </c>
      <c r="C75" s="14">
        <v>2</v>
      </c>
      <c r="D75" s="22" t="s">
        <v>81</v>
      </c>
      <c r="E75" s="15">
        <v>200400009</v>
      </c>
      <c r="F75" s="15" t="s">
        <v>82</v>
      </c>
      <c r="G75" s="1" t="s">
        <v>35</v>
      </c>
      <c r="H75" s="1">
        <v>2</v>
      </c>
      <c r="I75" s="2">
        <v>10000</v>
      </c>
      <c r="J75" s="1">
        <v>-1</v>
      </c>
      <c r="K75" s="1">
        <v>0</v>
      </c>
      <c r="L75" s="3" t="s">
        <v>33</v>
      </c>
      <c r="M75" s="31" t="s">
        <v>34</v>
      </c>
      <c r="N75">
        <v>10000</v>
      </c>
      <c r="O75" s="17">
        <v>1990000</v>
      </c>
      <c r="Q75" s="2"/>
      <c r="R75" s="22"/>
      <c r="S75" s="22"/>
    </row>
    <row r="76" s="1" customFormat="1" spans="1:19">
      <c r="A76" s="1">
        <v>2004003</v>
      </c>
      <c r="B76" s="14">
        <v>200400</v>
      </c>
      <c r="C76" s="14">
        <v>2</v>
      </c>
      <c r="D76" s="22" t="s">
        <v>81</v>
      </c>
      <c r="E76" s="15">
        <v>200400009</v>
      </c>
      <c r="F76" s="15" t="s">
        <v>82</v>
      </c>
      <c r="G76" s="1" t="s">
        <v>36</v>
      </c>
      <c r="H76" s="1">
        <v>3</v>
      </c>
      <c r="I76" s="2">
        <v>100000</v>
      </c>
      <c r="J76" s="1">
        <v>-1</v>
      </c>
      <c r="K76" s="1">
        <v>0</v>
      </c>
      <c r="L76" s="3" t="s">
        <v>33</v>
      </c>
      <c r="M76" s="31" t="s">
        <v>34</v>
      </c>
      <c r="N76">
        <v>100000</v>
      </c>
      <c r="O76" s="17">
        <v>1990000</v>
      </c>
      <c r="Q76" s="2"/>
      <c r="R76" s="22"/>
      <c r="S76" s="22"/>
    </row>
    <row r="77" spans="1:19">
      <c r="A77" s="1">
        <v>2005001</v>
      </c>
      <c r="B77" s="14">
        <v>200500</v>
      </c>
      <c r="C77" s="14">
        <v>2</v>
      </c>
      <c r="D77" s="14" t="s">
        <v>83</v>
      </c>
      <c r="E77" s="15">
        <v>200500025</v>
      </c>
      <c r="F77" s="15" t="s">
        <v>84</v>
      </c>
      <c r="G77" s="1" t="s">
        <v>32</v>
      </c>
      <c r="H77" s="1">
        <v>1</v>
      </c>
      <c r="I77" s="2">
        <v>0</v>
      </c>
      <c r="J77" s="1">
        <v>-1</v>
      </c>
      <c r="K77" s="1">
        <v>0</v>
      </c>
      <c r="L77" s="3" t="s">
        <v>33</v>
      </c>
      <c r="M77" s="31" t="s">
        <v>85</v>
      </c>
      <c r="N77">
        <v>1000</v>
      </c>
      <c r="O77" s="17">
        <v>1990000</v>
      </c>
      <c r="Q77" s="2"/>
      <c r="R77" s="22"/>
      <c r="S77" s="22"/>
    </row>
    <row r="78" spans="1:19">
      <c r="A78" s="1">
        <v>2005002</v>
      </c>
      <c r="B78" s="14">
        <v>200500</v>
      </c>
      <c r="C78" s="14">
        <v>2</v>
      </c>
      <c r="D78" s="14" t="s">
        <v>83</v>
      </c>
      <c r="E78" s="15">
        <v>200500025</v>
      </c>
      <c r="F78" s="15" t="s">
        <v>84</v>
      </c>
      <c r="G78" s="1" t="s">
        <v>35</v>
      </c>
      <c r="H78" s="1">
        <v>2</v>
      </c>
      <c r="I78" s="2">
        <v>10000</v>
      </c>
      <c r="J78" s="1">
        <v>-1</v>
      </c>
      <c r="K78" s="1">
        <v>0</v>
      </c>
      <c r="L78" s="3" t="s">
        <v>33</v>
      </c>
      <c r="M78" s="31" t="s">
        <v>85</v>
      </c>
      <c r="N78">
        <v>10000</v>
      </c>
      <c r="O78" s="17">
        <v>1990000</v>
      </c>
      <c r="Q78" s="2"/>
      <c r="R78" s="22"/>
      <c r="S78" s="22"/>
    </row>
    <row r="79" spans="1:19">
      <c r="A79" s="1">
        <v>2005003</v>
      </c>
      <c r="B79" s="14">
        <v>200500</v>
      </c>
      <c r="C79" s="14">
        <v>2</v>
      </c>
      <c r="D79" s="14" t="s">
        <v>83</v>
      </c>
      <c r="E79" s="15">
        <v>200500025</v>
      </c>
      <c r="F79" s="15" t="s">
        <v>84</v>
      </c>
      <c r="G79" s="1" t="s">
        <v>36</v>
      </c>
      <c r="H79" s="1">
        <v>3</v>
      </c>
      <c r="I79" s="2">
        <v>100000</v>
      </c>
      <c r="J79" s="1">
        <v>-1</v>
      </c>
      <c r="K79" s="1">
        <v>0</v>
      </c>
      <c r="L79" s="3" t="s">
        <v>33</v>
      </c>
      <c r="M79" s="31" t="s">
        <v>85</v>
      </c>
      <c r="N79">
        <v>100000</v>
      </c>
      <c r="O79" s="17">
        <v>1990000</v>
      </c>
      <c r="Q79" s="2"/>
      <c r="R79" s="22"/>
      <c r="S79" s="22"/>
    </row>
    <row r="80" spans="1:19">
      <c r="A80" s="1">
        <v>2006001</v>
      </c>
      <c r="B80" s="14">
        <v>200600</v>
      </c>
      <c r="C80" s="14">
        <v>2</v>
      </c>
      <c r="D80" s="15" t="s">
        <v>86</v>
      </c>
      <c r="E80" s="15">
        <v>200600001</v>
      </c>
      <c r="F80" s="15" t="s">
        <v>87</v>
      </c>
      <c r="G80" s="1" t="s">
        <v>32</v>
      </c>
      <c r="H80" s="1">
        <v>1</v>
      </c>
      <c r="I80" s="2">
        <v>0</v>
      </c>
      <c r="J80" s="1">
        <v>-1</v>
      </c>
      <c r="K80" s="1">
        <v>0</v>
      </c>
      <c r="L80" s="3" t="s">
        <v>33</v>
      </c>
      <c r="M80" s="31" t="s">
        <v>34</v>
      </c>
      <c r="N80">
        <v>1000</v>
      </c>
      <c r="O80" s="17">
        <v>1990000</v>
      </c>
      <c r="Q80" s="2"/>
      <c r="R80" s="22"/>
      <c r="S80" s="22"/>
    </row>
    <row r="81" s="1" customFormat="1" spans="1:19">
      <c r="A81" s="1">
        <v>2006002</v>
      </c>
      <c r="B81" s="14">
        <v>200600</v>
      </c>
      <c r="C81" s="14">
        <v>2</v>
      </c>
      <c r="D81" s="15" t="s">
        <v>86</v>
      </c>
      <c r="E81" s="15">
        <v>200600001</v>
      </c>
      <c r="F81" s="15" t="s">
        <v>87</v>
      </c>
      <c r="G81" s="1" t="s">
        <v>35</v>
      </c>
      <c r="H81" s="1">
        <v>2</v>
      </c>
      <c r="I81" s="2">
        <v>10000</v>
      </c>
      <c r="J81" s="1">
        <v>-1</v>
      </c>
      <c r="K81" s="1">
        <v>0</v>
      </c>
      <c r="L81" s="3" t="s">
        <v>33</v>
      </c>
      <c r="M81" s="31" t="s">
        <v>34</v>
      </c>
      <c r="N81">
        <v>10000</v>
      </c>
      <c r="O81" s="17">
        <v>1990000</v>
      </c>
      <c r="Q81" s="2"/>
      <c r="R81" s="22"/>
      <c r="S81" s="22"/>
    </row>
    <row r="82" s="1" customFormat="1" spans="1:19">
      <c r="A82" s="1">
        <v>2006003</v>
      </c>
      <c r="B82" s="14">
        <v>200600</v>
      </c>
      <c r="C82" s="14">
        <v>2</v>
      </c>
      <c r="D82" s="15" t="s">
        <v>86</v>
      </c>
      <c r="E82" s="15">
        <v>200600001</v>
      </c>
      <c r="F82" s="15" t="s">
        <v>87</v>
      </c>
      <c r="G82" s="1" t="s">
        <v>36</v>
      </c>
      <c r="H82" s="1">
        <v>3</v>
      </c>
      <c r="I82" s="2">
        <v>100000</v>
      </c>
      <c r="J82" s="1">
        <v>-1</v>
      </c>
      <c r="K82" s="1">
        <v>0</v>
      </c>
      <c r="L82" s="3" t="s">
        <v>33</v>
      </c>
      <c r="M82" s="31" t="s">
        <v>34</v>
      </c>
      <c r="N82">
        <v>100000</v>
      </c>
      <c r="O82" s="17">
        <v>1990000</v>
      </c>
      <c r="Q82" s="2"/>
      <c r="R82"/>
      <c r="S82" s="22"/>
    </row>
    <row r="83" spans="1:19">
      <c r="A83" s="1">
        <v>2007001</v>
      </c>
      <c r="B83" s="14">
        <v>200700</v>
      </c>
      <c r="C83" s="14">
        <v>2</v>
      </c>
      <c r="D83" s="14" t="s">
        <v>88</v>
      </c>
      <c r="E83" s="15">
        <v>200700001</v>
      </c>
      <c r="F83" s="15" t="s">
        <v>89</v>
      </c>
      <c r="G83" s="1" t="s">
        <v>32</v>
      </c>
      <c r="H83" s="1">
        <v>1</v>
      </c>
      <c r="I83" s="2">
        <v>0</v>
      </c>
      <c r="J83" s="1">
        <v>-1</v>
      </c>
      <c r="K83" s="1">
        <v>0</v>
      </c>
      <c r="L83" s="3" t="s">
        <v>33</v>
      </c>
      <c r="M83" s="31" t="s">
        <v>34</v>
      </c>
      <c r="N83">
        <v>1000</v>
      </c>
      <c r="O83" s="17">
        <v>1990000</v>
      </c>
      <c r="Q83" s="2"/>
      <c r="R83" s="22"/>
      <c r="S83" s="22"/>
    </row>
    <row r="84" s="1" customFormat="1" spans="1:19">
      <c r="A84" s="1">
        <v>2007002</v>
      </c>
      <c r="B84" s="14">
        <v>200700</v>
      </c>
      <c r="C84" s="14">
        <v>2</v>
      </c>
      <c r="D84" s="14" t="s">
        <v>88</v>
      </c>
      <c r="E84" s="15">
        <v>200700001</v>
      </c>
      <c r="F84" s="15" t="s">
        <v>89</v>
      </c>
      <c r="G84" s="1" t="s">
        <v>35</v>
      </c>
      <c r="H84" s="1">
        <v>2</v>
      </c>
      <c r="I84" s="2">
        <v>10000</v>
      </c>
      <c r="J84" s="1">
        <v>-1</v>
      </c>
      <c r="K84" s="1">
        <v>0</v>
      </c>
      <c r="L84" s="3" t="s">
        <v>33</v>
      </c>
      <c r="M84" s="31" t="s">
        <v>34</v>
      </c>
      <c r="N84">
        <v>10000</v>
      </c>
      <c r="O84" s="17">
        <v>1990000</v>
      </c>
      <c r="Q84" s="2"/>
      <c r="R84" s="22"/>
      <c r="S84" s="22"/>
    </row>
    <row r="85" s="1" customFormat="1" spans="1:19">
      <c r="A85" s="1">
        <v>2007003</v>
      </c>
      <c r="B85" s="14">
        <v>200700</v>
      </c>
      <c r="C85" s="14">
        <v>2</v>
      </c>
      <c r="D85" s="14" t="s">
        <v>88</v>
      </c>
      <c r="E85" s="15">
        <v>200700001</v>
      </c>
      <c r="F85" s="15" t="s">
        <v>89</v>
      </c>
      <c r="G85" s="1" t="s">
        <v>36</v>
      </c>
      <c r="H85" s="1">
        <v>3</v>
      </c>
      <c r="I85" s="2">
        <v>100000</v>
      </c>
      <c r="J85" s="1">
        <v>-1</v>
      </c>
      <c r="K85" s="1">
        <v>0</v>
      </c>
      <c r="L85" s="3" t="s">
        <v>33</v>
      </c>
      <c r="M85" s="31" t="s">
        <v>34</v>
      </c>
      <c r="N85">
        <v>100000</v>
      </c>
      <c r="O85" s="17">
        <v>1990000</v>
      </c>
      <c r="S85" s="2"/>
    </row>
    <row r="86" s="1" customFormat="1" spans="1:19">
      <c r="A86" s="1">
        <v>2008001</v>
      </c>
      <c r="B86" s="14">
        <v>200800</v>
      </c>
      <c r="C86" s="14">
        <v>2</v>
      </c>
      <c r="D86" s="15" t="s">
        <v>90</v>
      </c>
      <c r="E86" s="15">
        <v>200800001</v>
      </c>
      <c r="F86" s="15" t="s">
        <v>91</v>
      </c>
      <c r="G86" s="1" t="s">
        <v>32</v>
      </c>
      <c r="H86" s="1">
        <v>1</v>
      </c>
      <c r="I86" s="2">
        <v>0</v>
      </c>
      <c r="J86" s="1">
        <v>-1</v>
      </c>
      <c r="K86" s="1">
        <v>0</v>
      </c>
      <c r="L86" s="3" t="s">
        <v>33</v>
      </c>
      <c r="M86" s="31" t="s">
        <v>34</v>
      </c>
      <c r="N86">
        <v>1000</v>
      </c>
      <c r="O86" s="17">
        <v>1990000</v>
      </c>
      <c r="S86" s="2"/>
    </row>
    <row r="87" s="1" customFormat="1" spans="1:19">
      <c r="A87" s="1">
        <v>2008002</v>
      </c>
      <c r="B87" s="14">
        <v>200800</v>
      </c>
      <c r="C87" s="14">
        <v>2</v>
      </c>
      <c r="D87" s="15" t="s">
        <v>90</v>
      </c>
      <c r="E87" s="15">
        <v>200800001</v>
      </c>
      <c r="F87" s="15" t="s">
        <v>91</v>
      </c>
      <c r="G87" s="1" t="s">
        <v>35</v>
      </c>
      <c r="H87" s="1">
        <v>2</v>
      </c>
      <c r="I87" s="2">
        <v>10000</v>
      </c>
      <c r="J87" s="1">
        <v>-1</v>
      </c>
      <c r="K87" s="1">
        <v>0</v>
      </c>
      <c r="L87" s="3" t="s">
        <v>33</v>
      </c>
      <c r="M87" s="31" t="s">
        <v>34</v>
      </c>
      <c r="N87">
        <v>10000</v>
      </c>
      <c r="O87" s="17">
        <v>1990000</v>
      </c>
      <c r="S87" s="2"/>
    </row>
    <row r="88" s="1" customFormat="1" spans="1:19">
      <c r="A88" s="1">
        <v>2008003</v>
      </c>
      <c r="B88" s="14">
        <v>200800</v>
      </c>
      <c r="C88" s="14">
        <v>2</v>
      </c>
      <c r="D88" s="15" t="s">
        <v>90</v>
      </c>
      <c r="E88" s="15">
        <v>200800001</v>
      </c>
      <c r="F88" s="15" t="s">
        <v>91</v>
      </c>
      <c r="G88" s="1" t="s">
        <v>36</v>
      </c>
      <c r="H88" s="1">
        <v>3</v>
      </c>
      <c r="I88" s="2">
        <v>100000</v>
      </c>
      <c r="J88" s="1">
        <v>-1</v>
      </c>
      <c r="K88" s="1">
        <v>0</v>
      </c>
      <c r="L88" s="3" t="s">
        <v>33</v>
      </c>
      <c r="M88" s="31" t="s">
        <v>34</v>
      </c>
      <c r="N88">
        <v>100000</v>
      </c>
      <c r="O88" s="17">
        <v>1990000</v>
      </c>
      <c r="S88" s="2"/>
    </row>
    <row r="89" spans="1:19">
      <c r="A89" s="1">
        <v>2009001</v>
      </c>
      <c r="B89" s="23">
        <v>200900</v>
      </c>
      <c r="C89" s="14">
        <v>2</v>
      </c>
      <c r="D89" s="23" t="s">
        <v>92</v>
      </c>
      <c r="E89" s="15">
        <v>200900001</v>
      </c>
      <c r="F89" s="15" t="s">
        <v>93</v>
      </c>
      <c r="G89" s="1" t="s">
        <v>32</v>
      </c>
      <c r="H89" s="1">
        <v>1</v>
      </c>
      <c r="I89" s="2">
        <v>0</v>
      </c>
      <c r="J89" s="1">
        <v>-1</v>
      </c>
      <c r="K89" s="1">
        <v>0</v>
      </c>
      <c r="L89" s="3" t="s">
        <v>33</v>
      </c>
      <c r="M89" s="31" t="s">
        <v>34</v>
      </c>
      <c r="N89">
        <v>1000</v>
      </c>
      <c r="O89" s="17">
        <v>1990000</v>
      </c>
    </row>
    <row r="90" spans="1:19">
      <c r="A90" s="1">
        <v>2009002</v>
      </c>
      <c r="B90" s="14">
        <v>200900</v>
      </c>
      <c r="C90" s="14">
        <v>2</v>
      </c>
      <c r="D90" s="14" t="s">
        <v>92</v>
      </c>
      <c r="E90" s="15">
        <v>200900001</v>
      </c>
      <c r="F90" s="15" t="s">
        <v>93</v>
      </c>
      <c r="G90" s="1" t="s">
        <v>35</v>
      </c>
      <c r="H90" s="1">
        <v>2</v>
      </c>
      <c r="I90" s="2">
        <v>10000</v>
      </c>
      <c r="J90" s="1">
        <v>-1</v>
      </c>
      <c r="K90" s="1">
        <v>0</v>
      </c>
      <c r="L90" s="3" t="s">
        <v>33</v>
      </c>
      <c r="M90" s="31" t="s">
        <v>34</v>
      </c>
      <c r="N90">
        <v>10000</v>
      </c>
      <c r="O90" s="17">
        <v>1990000</v>
      </c>
    </row>
    <row r="91" spans="1:19">
      <c r="A91" s="1">
        <v>2009003</v>
      </c>
      <c r="B91" s="14">
        <v>200900</v>
      </c>
      <c r="C91" s="14">
        <v>2</v>
      </c>
      <c r="D91" s="14" t="s">
        <v>92</v>
      </c>
      <c r="E91" s="15">
        <v>200900001</v>
      </c>
      <c r="F91" s="15" t="s">
        <v>93</v>
      </c>
      <c r="G91" s="1" t="s">
        <v>36</v>
      </c>
      <c r="H91" s="1">
        <v>3</v>
      </c>
      <c r="I91" s="2">
        <v>100000</v>
      </c>
      <c r="J91" s="1">
        <v>-1</v>
      </c>
      <c r="K91" s="1">
        <v>0</v>
      </c>
      <c r="L91" s="3" t="s">
        <v>33</v>
      </c>
      <c r="M91" s="31" t="s">
        <v>34</v>
      </c>
      <c r="N91">
        <v>100000</v>
      </c>
      <c r="O91" s="17">
        <v>1990000</v>
      </c>
    </row>
    <row r="92" spans="1:19">
      <c r="A92" s="1">
        <v>3001001</v>
      </c>
      <c r="B92" s="14">
        <v>300100</v>
      </c>
      <c r="C92" s="14">
        <v>3</v>
      </c>
      <c r="D92" s="14" t="s">
        <v>94</v>
      </c>
      <c r="E92" s="15">
        <v>300100001</v>
      </c>
      <c r="F92" s="15" t="s">
        <v>95</v>
      </c>
      <c r="G92" s="1" t="s">
        <v>32</v>
      </c>
      <c r="H92" s="1">
        <v>1</v>
      </c>
      <c r="I92" s="2">
        <v>0</v>
      </c>
      <c r="J92" s="1">
        <v>-1</v>
      </c>
      <c r="K92" s="1">
        <v>0</v>
      </c>
      <c r="L92" s="3" t="s">
        <v>96</v>
      </c>
      <c r="M92" s="31" t="s">
        <v>97</v>
      </c>
      <c r="N92">
        <v>1000</v>
      </c>
      <c r="O92" s="17">
        <v>1990000</v>
      </c>
    </row>
    <row r="93" s="1" customFormat="1" spans="1:19">
      <c r="A93" s="1">
        <v>3001002</v>
      </c>
      <c r="B93" s="14">
        <v>300100</v>
      </c>
      <c r="C93" s="14">
        <v>3</v>
      </c>
      <c r="D93" s="14" t="s">
        <v>94</v>
      </c>
      <c r="E93" s="15">
        <v>300100001</v>
      </c>
      <c r="F93" s="15" t="s">
        <v>95</v>
      </c>
      <c r="G93" s="1" t="s">
        <v>35</v>
      </c>
      <c r="H93" s="1">
        <v>2</v>
      </c>
      <c r="I93" s="2">
        <v>10000</v>
      </c>
      <c r="J93" s="1">
        <v>-1</v>
      </c>
      <c r="K93" s="1">
        <v>0</v>
      </c>
      <c r="L93" s="3" t="s">
        <v>96</v>
      </c>
      <c r="M93" s="31" t="s">
        <v>97</v>
      </c>
      <c r="N93">
        <v>10000</v>
      </c>
      <c r="O93" s="17">
        <v>1990000</v>
      </c>
      <c r="S93" s="2"/>
    </row>
    <row r="94" s="1" customFormat="1" spans="1:19">
      <c r="A94" s="1">
        <v>3001003</v>
      </c>
      <c r="B94" s="14">
        <v>300100</v>
      </c>
      <c r="C94" s="14">
        <v>3</v>
      </c>
      <c r="D94" s="14" t="s">
        <v>94</v>
      </c>
      <c r="E94" s="15">
        <v>300100001</v>
      </c>
      <c r="F94" s="15" t="s">
        <v>95</v>
      </c>
      <c r="G94" s="1" t="s">
        <v>36</v>
      </c>
      <c r="H94" s="1">
        <v>3</v>
      </c>
      <c r="I94" s="2">
        <v>100000</v>
      </c>
      <c r="J94" s="1">
        <v>-1</v>
      </c>
      <c r="K94" s="1">
        <v>0</v>
      </c>
      <c r="L94" s="3" t="s">
        <v>96</v>
      </c>
      <c r="M94" s="31" t="s">
        <v>97</v>
      </c>
      <c r="N94">
        <v>100000</v>
      </c>
      <c r="O94" s="17">
        <v>1990000</v>
      </c>
      <c r="S94" s="2"/>
    </row>
    <row r="95" s="1" customFormat="1" spans="1:19">
      <c r="A95" s="1">
        <v>3002001</v>
      </c>
      <c r="B95" s="14">
        <v>300200</v>
      </c>
      <c r="C95" s="14">
        <v>3</v>
      </c>
      <c r="D95" s="14" t="s">
        <v>98</v>
      </c>
      <c r="E95" s="15">
        <v>300200006</v>
      </c>
      <c r="F95" s="15" t="s">
        <v>99</v>
      </c>
      <c r="G95" s="1" t="s">
        <v>32</v>
      </c>
      <c r="H95" s="1">
        <v>1</v>
      </c>
      <c r="I95" s="2">
        <v>1000</v>
      </c>
      <c r="J95" s="1">
        <v>-1</v>
      </c>
      <c r="K95" s="1">
        <v>0</v>
      </c>
      <c r="L95" s="3" t="s">
        <v>100</v>
      </c>
      <c r="M95" s="31" t="s">
        <v>97</v>
      </c>
      <c r="N95" s="24">
        <v>1000</v>
      </c>
      <c r="O95" s="17">
        <v>1990000</v>
      </c>
      <c r="S95" s="2"/>
    </row>
    <row r="96" s="1" customFormat="1" spans="1:19">
      <c r="A96" s="1">
        <v>3002002</v>
      </c>
      <c r="B96" s="14">
        <v>300200</v>
      </c>
      <c r="C96" s="14">
        <v>3</v>
      </c>
      <c r="D96" s="14" t="s">
        <v>98</v>
      </c>
      <c r="E96" s="15">
        <v>300200006</v>
      </c>
      <c r="F96" s="15" t="s">
        <v>99</v>
      </c>
      <c r="G96" s="1" t="s">
        <v>35</v>
      </c>
      <c r="H96" s="1">
        <v>2</v>
      </c>
      <c r="I96" s="2">
        <v>10000</v>
      </c>
      <c r="J96" s="1">
        <v>-1</v>
      </c>
      <c r="K96" s="1">
        <v>0</v>
      </c>
      <c r="L96" s="3" t="s">
        <v>100</v>
      </c>
      <c r="M96" s="31" t="s">
        <v>97</v>
      </c>
      <c r="N96" s="24">
        <v>10000</v>
      </c>
      <c r="O96" s="17">
        <v>1990000</v>
      </c>
      <c r="S96" s="2"/>
    </row>
    <row r="97" s="1" customFormat="1" spans="1:19">
      <c r="A97" s="1">
        <v>3002003</v>
      </c>
      <c r="B97" s="14">
        <v>300200</v>
      </c>
      <c r="C97" s="14">
        <v>3</v>
      </c>
      <c r="D97" s="14" t="s">
        <v>98</v>
      </c>
      <c r="E97" s="15">
        <v>300200006</v>
      </c>
      <c r="F97" s="15" t="s">
        <v>99</v>
      </c>
      <c r="G97" s="1" t="s">
        <v>36</v>
      </c>
      <c r="H97" s="1">
        <v>3</v>
      </c>
      <c r="I97" s="2">
        <v>100000</v>
      </c>
      <c r="J97" s="1">
        <v>-1</v>
      </c>
      <c r="K97" s="1">
        <v>0</v>
      </c>
      <c r="L97" s="3" t="s">
        <v>100</v>
      </c>
      <c r="M97" s="31" t="s">
        <v>97</v>
      </c>
      <c r="N97" s="24">
        <v>100000</v>
      </c>
      <c r="O97" s="17">
        <v>1990000</v>
      </c>
      <c r="S97" s="2"/>
    </row>
    <row r="98" s="1" customFormat="1" spans="1:19">
      <c r="A98" s="1">
        <v>3004001</v>
      </c>
      <c r="B98" s="14">
        <v>300400</v>
      </c>
      <c r="C98" s="1">
        <v>3</v>
      </c>
      <c r="D98" s="14" t="s">
        <v>101</v>
      </c>
      <c r="E98" s="15">
        <v>300400023</v>
      </c>
      <c r="F98" s="25" t="s">
        <v>102</v>
      </c>
      <c r="G98" s="1" t="s">
        <v>32</v>
      </c>
      <c r="H98" s="1">
        <v>1</v>
      </c>
      <c r="I98" s="26">
        <f>N98*52</f>
        <v>5200</v>
      </c>
      <c r="J98" s="1">
        <v>-1</v>
      </c>
      <c r="K98" s="1">
        <v>0</v>
      </c>
      <c r="L98" s="3" t="s">
        <v>103</v>
      </c>
      <c r="M98" s="31" t="s">
        <v>104</v>
      </c>
      <c r="N98" s="26">
        <v>100</v>
      </c>
      <c r="O98" s="17">
        <v>1990000</v>
      </c>
      <c r="S98" s="2"/>
    </row>
    <row r="99" s="1" customFormat="1" spans="1:19">
      <c r="A99" s="1">
        <v>3004002</v>
      </c>
      <c r="B99" s="14">
        <v>300400</v>
      </c>
      <c r="C99" s="14">
        <v>3</v>
      </c>
      <c r="D99" s="14" t="s">
        <v>101</v>
      </c>
      <c r="E99" s="15">
        <v>300400023</v>
      </c>
      <c r="F99" s="25" t="s">
        <v>102</v>
      </c>
      <c r="G99" s="1" t="s">
        <v>35</v>
      </c>
      <c r="H99" s="1">
        <v>2</v>
      </c>
      <c r="I99" s="26">
        <f>N99*52</f>
        <v>52000</v>
      </c>
      <c r="J99" s="1">
        <v>-1</v>
      </c>
      <c r="K99" s="1">
        <v>0</v>
      </c>
      <c r="L99" s="3" t="s">
        <v>103</v>
      </c>
      <c r="M99" s="31" t="s">
        <v>104</v>
      </c>
      <c r="N99" s="26">
        <v>1000</v>
      </c>
      <c r="O99" s="17">
        <v>1990000</v>
      </c>
      <c r="S99" s="2"/>
    </row>
    <row r="100" s="1" customFormat="1" spans="1:19">
      <c r="A100" s="1">
        <v>3004003</v>
      </c>
      <c r="B100" s="14">
        <v>300400</v>
      </c>
      <c r="C100" s="14">
        <v>3</v>
      </c>
      <c r="D100" s="14" t="s">
        <v>101</v>
      </c>
      <c r="E100" s="15">
        <v>300400023</v>
      </c>
      <c r="F100" s="25" t="s">
        <v>102</v>
      </c>
      <c r="G100" s="1" t="s">
        <v>36</v>
      </c>
      <c r="H100" s="1">
        <v>3</v>
      </c>
      <c r="I100" s="26">
        <f>N100*52</f>
        <v>520000</v>
      </c>
      <c r="J100" s="1">
        <v>-1</v>
      </c>
      <c r="K100" s="1">
        <v>0</v>
      </c>
      <c r="L100" s="3" t="s">
        <v>103</v>
      </c>
      <c r="M100" s="31" t="s">
        <v>104</v>
      </c>
      <c r="N100" s="26">
        <v>10000</v>
      </c>
      <c r="O100" s="17">
        <v>1990000</v>
      </c>
      <c r="S100" s="2"/>
    </row>
    <row r="101" s="1" customFormat="1" spans="1:19">
      <c r="A101" s="1">
        <v>2012001</v>
      </c>
      <c r="B101" s="14">
        <v>201200</v>
      </c>
      <c r="C101" s="14">
        <v>2</v>
      </c>
      <c r="D101" s="14" t="s">
        <v>105</v>
      </c>
      <c r="E101" s="15">
        <v>201200001</v>
      </c>
      <c r="F101" s="25" t="s">
        <v>106</v>
      </c>
      <c r="G101" s="1" t="s">
        <v>32</v>
      </c>
      <c r="H101" s="1">
        <v>1</v>
      </c>
      <c r="I101" s="2">
        <v>0</v>
      </c>
      <c r="J101" s="1">
        <v>-1</v>
      </c>
      <c r="K101" s="1">
        <v>0</v>
      </c>
      <c r="L101" s="3" t="s">
        <v>33</v>
      </c>
      <c r="M101" s="31" t="s">
        <v>85</v>
      </c>
      <c r="N101">
        <v>1000</v>
      </c>
      <c r="O101" s="17">
        <v>1990000</v>
      </c>
      <c r="S101" s="2"/>
    </row>
    <row r="102" s="1" customFormat="1" spans="1:19">
      <c r="A102" s="1">
        <v>2012002</v>
      </c>
      <c r="B102" s="14">
        <v>201200</v>
      </c>
      <c r="C102" s="14">
        <v>2</v>
      </c>
      <c r="D102" s="14" t="s">
        <v>105</v>
      </c>
      <c r="E102" s="15">
        <v>201200001</v>
      </c>
      <c r="F102" s="25" t="s">
        <v>106</v>
      </c>
      <c r="G102" s="1" t="s">
        <v>35</v>
      </c>
      <c r="H102" s="1">
        <v>2</v>
      </c>
      <c r="I102" s="2">
        <v>10000</v>
      </c>
      <c r="J102" s="1">
        <v>-1</v>
      </c>
      <c r="K102" s="1">
        <v>0</v>
      </c>
      <c r="L102" s="3" t="s">
        <v>33</v>
      </c>
      <c r="M102" s="31" t="s">
        <v>85</v>
      </c>
      <c r="N102">
        <v>10000</v>
      </c>
      <c r="O102" s="17">
        <v>1990000</v>
      </c>
      <c r="S102" s="2"/>
    </row>
    <row r="103" s="1" customFormat="1" spans="1:19">
      <c r="A103" s="1">
        <v>2012003</v>
      </c>
      <c r="B103" s="14">
        <v>201200</v>
      </c>
      <c r="C103" s="14">
        <v>2</v>
      </c>
      <c r="D103" s="14" t="s">
        <v>105</v>
      </c>
      <c r="E103" s="15">
        <v>201200001</v>
      </c>
      <c r="F103" s="25" t="s">
        <v>106</v>
      </c>
      <c r="G103" s="1" t="s">
        <v>36</v>
      </c>
      <c r="H103" s="1">
        <v>3</v>
      </c>
      <c r="I103" s="2">
        <v>100000</v>
      </c>
      <c r="J103" s="1">
        <v>-1</v>
      </c>
      <c r="K103" s="1">
        <v>0</v>
      </c>
      <c r="L103" s="3" t="s">
        <v>33</v>
      </c>
      <c r="M103" s="31" t="s">
        <v>85</v>
      </c>
      <c r="N103">
        <v>100000</v>
      </c>
      <c r="O103" s="17">
        <v>1990000</v>
      </c>
      <c r="S103" s="2"/>
    </row>
    <row r="104" s="1" customFormat="1" spans="1:19">
      <c r="A104" s="1">
        <v>20010010</v>
      </c>
      <c r="B104" s="18">
        <v>200100</v>
      </c>
      <c r="C104" s="18">
        <v>2</v>
      </c>
      <c r="D104" s="18" t="s">
        <v>75</v>
      </c>
      <c r="E104" s="18">
        <v>200100038</v>
      </c>
      <c r="F104" s="18" t="s">
        <v>76</v>
      </c>
      <c r="G104" s="19" t="s">
        <v>107</v>
      </c>
      <c r="H104" s="19">
        <v>10</v>
      </c>
      <c r="I104" s="27">
        <v>0</v>
      </c>
      <c r="J104" s="19">
        <v>-1</v>
      </c>
      <c r="K104" s="19">
        <v>0</v>
      </c>
      <c r="L104" s="28" t="s">
        <v>108</v>
      </c>
      <c r="M104" s="19">
        <v>0</v>
      </c>
      <c r="N104">
        <v>1000</v>
      </c>
      <c r="O104" s="29">
        <v>1980000</v>
      </c>
      <c r="S104" s="2"/>
    </row>
    <row r="105" s="1" customFormat="1" spans="1:19">
      <c r="A105" s="1">
        <v>20010011</v>
      </c>
      <c r="B105" s="18">
        <v>200100</v>
      </c>
      <c r="C105" s="18">
        <v>2</v>
      </c>
      <c r="D105" s="18" t="s">
        <v>75</v>
      </c>
      <c r="E105" s="18">
        <v>200100038</v>
      </c>
      <c r="F105" s="18" t="s">
        <v>76</v>
      </c>
      <c r="G105" s="19" t="s">
        <v>109</v>
      </c>
      <c r="H105" s="19">
        <v>11</v>
      </c>
      <c r="I105" s="27">
        <v>0</v>
      </c>
      <c r="J105" s="19">
        <v>-1</v>
      </c>
      <c r="K105" s="19">
        <v>0</v>
      </c>
      <c r="L105" s="28" t="s">
        <v>108</v>
      </c>
      <c r="M105" s="19">
        <v>0</v>
      </c>
      <c r="N105">
        <v>10000</v>
      </c>
      <c r="O105" s="29">
        <v>1980000</v>
      </c>
      <c r="S105" s="2"/>
    </row>
    <row r="106" s="1" customFormat="1" spans="1:19">
      <c r="A106" s="1">
        <v>20010012</v>
      </c>
      <c r="B106" s="18">
        <v>200100</v>
      </c>
      <c r="C106" s="18">
        <v>2</v>
      </c>
      <c r="D106" s="18" t="s">
        <v>75</v>
      </c>
      <c r="E106" s="18">
        <v>200100038</v>
      </c>
      <c r="F106" s="18" t="s">
        <v>76</v>
      </c>
      <c r="G106" s="19" t="s">
        <v>110</v>
      </c>
      <c r="H106" s="19">
        <v>12</v>
      </c>
      <c r="I106" s="27">
        <v>0</v>
      </c>
      <c r="J106" s="19">
        <v>-1</v>
      </c>
      <c r="K106" s="19">
        <v>0</v>
      </c>
      <c r="L106" s="28" t="s">
        <v>108</v>
      </c>
      <c r="M106" s="19">
        <v>0</v>
      </c>
      <c r="N106">
        <v>100000</v>
      </c>
      <c r="O106" s="29">
        <v>1980000</v>
      </c>
      <c r="S106" s="2"/>
    </row>
    <row r="107" s="1" customFormat="1" spans="1:19">
      <c r="A107" s="1">
        <v>20010110</v>
      </c>
      <c r="B107" s="18">
        <v>200101</v>
      </c>
      <c r="C107" s="18">
        <v>2</v>
      </c>
      <c r="D107" s="18" t="s">
        <v>77</v>
      </c>
      <c r="E107" s="18">
        <v>200101001</v>
      </c>
      <c r="F107" s="18" t="s">
        <v>78</v>
      </c>
      <c r="G107" s="19" t="s">
        <v>107</v>
      </c>
      <c r="H107" s="19">
        <v>10</v>
      </c>
      <c r="I107" s="27">
        <v>0</v>
      </c>
      <c r="J107" s="19">
        <v>-1</v>
      </c>
      <c r="K107" s="19">
        <v>0</v>
      </c>
      <c r="L107" s="28" t="s">
        <v>108</v>
      </c>
      <c r="M107" s="19">
        <v>0</v>
      </c>
      <c r="N107">
        <v>1000</v>
      </c>
      <c r="O107" s="29">
        <v>1980000</v>
      </c>
      <c r="S107" s="2"/>
    </row>
    <row r="108" s="1" customFormat="1" spans="1:19">
      <c r="A108" s="1">
        <v>20010111</v>
      </c>
      <c r="B108" s="18">
        <v>200101</v>
      </c>
      <c r="C108" s="18">
        <v>2</v>
      </c>
      <c r="D108" s="18" t="s">
        <v>77</v>
      </c>
      <c r="E108" s="18">
        <v>200101001</v>
      </c>
      <c r="F108" s="18" t="s">
        <v>78</v>
      </c>
      <c r="G108" s="19" t="s">
        <v>109</v>
      </c>
      <c r="H108" s="19">
        <v>11</v>
      </c>
      <c r="I108" s="27">
        <v>0</v>
      </c>
      <c r="J108" s="19">
        <v>-1</v>
      </c>
      <c r="K108" s="19">
        <v>0</v>
      </c>
      <c r="L108" s="28" t="s">
        <v>108</v>
      </c>
      <c r="M108" s="19">
        <v>0</v>
      </c>
      <c r="N108">
        <v>10000</v>
      </c>
      <c r="O108" s="29">
        <v>1980000</v>
      </c>
      <c r="S108" s="2"/>
    </row>
    <row r="109" s="1" customFormat="1" spans="1:19">
      <c r="A109" s="1">
        <v>20010112</v>
      </c>
      <c r="B109" s="18">
        <v>200101</v>
      </c>
      <c r="C109" s="18">
        <v>2</v>
      </c>
      <c r="D109" s="18" t="s">
        <v>77</v>
      </c>
      <c r="E109" s="18">
        <v>200101001</v>
      </c>
      <c r="F109" s="18" t="s">
        <v>78</v>
      </c>
      <c r="G109" s="19" t="s">
        <v>110</v>
      </c>
      <c r="H109" s="19">
        <v>12</v>
      </c>
      <c r="I109" s="27">
        <v>0</v>
      </c>
      <c r="J109" s="19">
        <v>-1</v>
      </c>
      <c r="K109" s="19">
        <v>0</v>
      </c>
      <c r="L109" s="28" t="s">
        <v>108</v>
      </c>
      <c r="M109" s="19">
        <v>0</v>
      </c>
      <c r="N109">
        <v>100000</v>
      </c>
      <c r="O109" s="29">
        <v>1980000</v>
      </c>
      <c r="S109" s="2"/>
    </row>
    <row r="110" s="1" customFormat="1" spans="1:19">
      <c r="A110" s="1">
        <v>20030010</v>
      </c>
      <c r="B110" s="18">
        <v>200300</v>
      </c>
      <c r="C110" s="18">
        <v>2</v>
      </c>
      <c r="D110" s="18" t="s">
        <v>79</v>
      </c>
      <c r="E110" s="18">
        <v>200300001</v>
      </c>
      <c r="F110" s="18" t="s">
        <v>80</v>
      </c>
      <c r="G110" s="19" t="s">
        <v>107</v>
      </c>
      <c r="H110" s="19">
        <v>10</v>
      </c>
      <c r="I110" s="27">
        <v>0</v>
      </c>
      <c r="J110" s="19">
        <v>-1</v>
      </c>
      <c r="K110" s="19">
        <v>0</v>
      </c>
      <c r="L110" s="28" t="s">
        <v>108</v>
      </c>
      <c r="M110" s="19">
        <v>0</v>
      </c>
      <c r="N110">
        <v>1000</v>
      </c>
      <c r="O110" s="29">
        <v>1980000</v>
      </c>
      <c r="S110" s="2"/>
    </row>
    <row r="111" s="1" customFormat="1" spans="1:19">
      <c r="A111" s="1">
        <v>20030011</v>
      </c>
      <c r="B111" s="18">
        <v>200300</v>
      </c>
      <c r="C111" s="18">
        <v>2</v>
      </c>
      <c r="D111" s="18" t="s">
        <v>79</v>
      </c>
      <c r="E111" s="18">
        <v>200300001</v>
      </c>
      <c r="F111" s="18" t="s">
        <v>80</v>
      </c>
      <c r="G111" s="19" t="s">
        <v>109</v>
      </c>
      <c r="H111" s="19">
        <v>11</v>
      </c>
      <c r="I111" s="27">
        <v>0</v>
      </c>
      <c r="J111" s="19">
        <v>-1</v>
      </c>
      <c r="K111" s="19">
        <v>0</v>
      </c>
      <c r="L111" s="28" t="s">
        <v>108</v>
      </c>
      <c r="M111" s="19">
        <v>0</v>
      </c>
      <c r="N111">
        <v>10000</v>
      </c>
      <c r="O111" s="29">
        <v>1980000</v>
      </c>
      <c r="S111" s="2"/>
    </row>
    <row r="112" s="1" customFormat="1" spans="1:19">
      <c r="A112" s="1">
        <v>20030012</v>
      </c>
      <c r="B112" s="18">
        <v>200300</v>
      </c>
      <c r="C112" s="18">
        <v>2</v>
      </c>
      <c r="D112" s="18" t="s">
        <v>79</v>
      </c>
      <c r="E112" s="18">
        <v>200300001</v>
      </c>
      <c r="F112" s="18" t="s">
        <v>80</v>
      </c>
      <c r="G112" s="19" t="s">
        <v>110</v>
      </c>
      <c r="H112" s="19">
        <v>12</v>
      </c>
      <c r="I112" s="27">
        <v>0</v>
      </c>
      <c r="J112" s="19">
        <v>-1</v>
      </c>
      <c r="K112" s="19">
        <v>0</v>
      </c>
      <c r="L112" s="28" t="s">
        <v>108</v>
      </c>
      <c r="M112" s="19">
        <v>0</v>
      </c>
      <c r="N112">
        <v>100000</v>
      </c>
      <c r="O112" s="29">
        <v>1980000</v>
      </c>
      <c r="S112" s="2"/>
    </row>
    <row r="113" s="1" customFormat="1" spans="1:19">
      <c r="A113" s="1">
        <v>20040010</v>
      </c>
      <c r="B113" s="18">
        <v>200400</v>
      </c>
      <c r="C113" s="18">
        <v>2</v>
      </c>
      <c r="D113" s="30" t="s">
        <v>81</v>
      </c>
      <c r="E113" s="18">
        <v>200400009</v>
      </c>
      <c r="F113" s="18" t="s">
        <v>82</v>
      </c>
      <c r="G113" s="19" t="s">
        <v>107</v>
      </c>
      <c r="H113" s="19">
        <v>10</v>
      </c>
      <c r="I113" s="27">
        <v>0</v>
      </c>
      <c r="J113" s="19">
        <v>-1</v>
      </c>
      <c r="K113" s="19">
        <v>0</v>
      </c>
      <c r="L113" s="28" t="s">
        <v>108</v>
      </c>
      <c r="M113" s="19">
        <v>0</v>
      </c>
      <c r="N113">
        <v>1000</v>
      </c>
      <c r="O113" s="29">
        <v>1980000</v>
      </c>
      <c r="S113" s="2"/>
    </row>
    <row r="114" s="1" customFormat="1" spans="1:19">
      <c r="A114" s="1">
        <v>20040011</v>
      </c>
      <c r="B114" s="18">
        <v>200400</v>
      </c>
      <c r="C114" s="18">
        <v>2</v>
      </c>
      <c r="D114" s="30" t="s">
        <v>81</v>
      </c>
      <c r="E114" s="18">
        <v>200400009</v>
      </c>
      <c r="F114" s="18" t="s">
        <v>82</v>
      </c>
      <c r="G114" s="19" t="s">
        <v>109</v>
      </c>
      <c r="H114" s="19">
        <v>11</v>
      </c>
      <c r="I114" s="27">
        <v>0</v>
      </c>
      <c r="J114" s="19">
        <v>-1</v>
      </c>
      <c r="K114" s="19">
        <v>0</v>
      </c>
      <c r="L114" s="28" t="s">
        <v>108</v>
      </c>
      <c r="M114" s="19">
        <v>0</v>
      </c>
      <c r="N114">
        <v>10000</v>
      </c>
      <c r="O114" s="29">
        <v>1980000</v>
      </c>
      <c r="S114" s="2"/>
    </row>
    <row r="115" s="1" customFormat="1" spans="1:19">
      <c r="A115" s="1">
        <v>20040012</v>
      </c>
      <c r="B115" s="18">
        <v>200400</v>
      </c>
      <c r="C115" s="18">
        <v>2</v>
      </c>
      <c r="D115" s="30" t="s">
        <v>81</v>
      </c>
      <c r="E115" s="18">
        <v>200400009</v>
      </c>
      <c r="F115" s="18" t="s">
        <v>82</v>
      </c>
      <c r="G115" s="19" t="s">
        <v>110</v>
      </c>
      <c r="H115" s="19">
        <v>12</v>
      </c>
      <c r="I115" s="27">
        <v>0</v>
      </c>
      <c r="J115" s="19">
        <v>-1</v>
      </c>
      <c r="K115" s="19">
        <v>0</v>
      </c>
      <c r="L115" s="28" t="s">
        <v>108</v>
      </c>
      <c r="M115" s="19">
        <v>0</v>
      </c>
      <c r="N115">
        <v>100000</v>
      </c>
      <c r="O115" s="29">
        <v>1980000</v>
      </c>
      <c r="S115" s="2"/>
    </row>
    <row r="116" s="1" customFormat="1" spans="1:19">
      <c r="A116" s="1">
        <v>20050010</v>
      </c>
      <c r="B116" s="18">
        <v>200500</v>
      </c>
      <c r="C116" s="18">
        <v>2</v>
      </c>
      <c r="D116" s="18" t="s">
        <v>83</v>
      </c>
      <c r="E116" s="18">
        <v>200500025</v>
      </c>
      <c r="F116" s="18" t="s">
        <v>84</v>
      </c>
      <c r="G116" s="19" t="s">
        <v>107</v>
      </c>
      <c r="H116" s="19">
        <v>10</v>
      </c>
      <c r="I116" s="27">
        <v>0</v>
      </c>
      <c r="J116" s="19">
        <v>-1</v>
      </c>
      <c r="K116" s="19">
        <v>0</v>
      </c>
      <c r="L116" s="28" t="s">
        <v>108</v>
      </c>
      <c r="M116" s="19">
        <v>0</v>
      </c>
      <c r="N116">
        <v>1000</v>
      </c>
      <c r="O116" s="29">
        <v>1980000</v>
      </c>
      <c r="S116" s="2"/>
    </row>
    <row r="117" s="1" customFormat="1" spans="1:19">
      <c r="A117" s="1">
        <v>20050011</v>
      </c>
      <c r="B117" s="18">
        <v>200500</v>
      </c>
      <c r="C117" s="18">
        <v>2</v>
      </c>
      <c r="D117" s="18" t="s">
        <v>83</v>
      </c>
      <c r="E117" s="18">
        <v>200500025</v>
      </c>
      <c r="F117" s="18" t="s">
        <v>84</v>
      </c>
      <c r="G117" s="19" t="s">
        <v>109</v>
      </c>
      <c r="H117" s="19">
        <v>11</v>
      </c>
      <c r="I117" s="27">
        <v>0</v>
      </c>
      <c r="J117" s="19">
        <v>-1</v>
      </c>
      <c r="K117" s="19">
        <v>0</v>
      </c>
      <c r="L117" s="28" t="s">
        <v>108</v>
      </c>
      <c r="M117" s="19">
        <v>0</v>
      </c>
      <c r="N117">
        <v>10000</v>
      </c>
      <c r="O117" s="29">
        <v>1980000</v>
      </c>
      <c r="S117" s="2"/>
    </row>
    <row r="118" s="1" customFormat="1" spans="1:19">
      <c r="A118" s="1">
        <v>20050012</v>
      </c>
      <c r="B118" s="18">
        <v>200500</v>
      </c>
      <c r="C118" s="18">
        <v>2</v>
      </c>
      <c r="D118" s="18" t="s">
        <v>83</v>
      </c>
      <c r="E118" s="18">
        <v>200500025</v>
      </c>
      <c r="F118" s="18" t="s">
        <v>84</v>
      </c>
      <c r="G118" s="19" t="s">
        <v>110</v>
      </c>
      <c r="H118" s="19">
        <v>12</v>
      </c>
      <c r="I118" s="27">
        <v>0</v>
      </c>
      <c r="J118" s="19">
        <v>-1</v>
      </c>
      <c r="K118" s="19">
        <v>0</v>
      </c>
      <c r="L118" s="28" t="s">
        <v>108</v>
      </c>
      <c r="M118" s="19">
        <v>0</v>
      </c>
      <c r="N118">
        <v>100000</v>
      </c>
      <c r="O118" s="29">
        <v>1980000</v>
      </c>
      <c r="S118" s="2"/>
    </row>
    <row r="119" spans="1:19">
      <c r="A119" s="1">
        <v>20060010</v>
      </c>
      <c r="B119" s="18">
        <v>200600</v>
      </c>
      <c r="C119" s="18">
        <v>2</v>
      </c>
      <c r="D119" s="18" t="s">
        <v>86</v>
      </c>
      <c r="E119" s="18">
        <v>200600001</v>
      </c>
      <c r="F119" s="18" t="s">
        <v>87</v>
      </c>
      <c r="G119" s="19" t="s">
        <v>107</v>
      </c>
      <c r="H119" s="19">
        <v>10</v>
      </c>
      <c r="I119" s="27">
        <v>0</v>
      </c>
      <c r="J119" s="19">
        <v>-1</v>
      </c>
      <c r="K119" s="19">
        <v>0</v>
      </c>
      <c r="L119" s="28" t="s">
        <v>108</v>
      </c>
      <c r="M119" s="19">
        <v>0</v>
      </c>
      <c r="N119">
        <v>1000</v>
      </c>
      <c r="O119" s="29">
        <v>1980000</v>
      </c>
    </row>
    <row r="120" spans="1:19">
      <c r="A120" s="1">
        <v>20060011</v>
      </c>
      <c r="B120" s="18">
        <v>200600</v>
      </c>
      <c r="C120" s="18">
        <v>2</v>
      </c>
      <c r="D120" s="18" t="s">
        <v>86</v>
      </c>
      <c r="E120" s="18">
        <v>200600001</v>
      </c>
      <c r="F120" s="18" t="s">
        <v>87</v>
      </c>
      <c r="G120" s="19" t="s">
        <v>109</v>
      </c>
      <c r="H120" s="19">
        <v>11</v>
      </c>
      <c r="I120" s="27">
        <v>0</v>
      </c>
      <c r="J120" s="19">
        <v>-1</v>
      </c>
      <c r="K120" s="19">
        <v>0</v>
      </c>
      <c r="L120" s="28" t="s">
        <v>108</v>
      </c>
      <c r="M120" s="19">
        <v>0</v>
      </c>
      <c r="N120">
        <v>10000</v>
      </c>
      <c r="O120" s="29">
        <v>1980000</v>
      </c>
    </row>
    <row r="121" spans="1:19">
      <c r="A121" s="1">
        <v>20060012</v>
      </c>
      <c r="B121" s="18">
        <v>200600</v>
      </c>
      <c r="C121" s="18">
        <v>2</v>
      </c>
      <c r="D121" s="18" t="s">
        <v>86</v>
      </c>
      <c r="E121" s="18">
        <v>200600001</v>
      </c>
      <c r="F121" s="18" t="s">
        <v>87</v>
      </c>
      <c r="G121" s="19" t="s">
        <v>110</v>
      </c>
      <c r="H121" s="19">
        <v>12</v>
      </c>
      <c r="I121" s="27">
        <v>0</v>
      </c>
      <c r="J121" s="19">
        <v>-1</v>
      </c>
      <c r="K121" s="19">
        <v>0</v>
      </c>
      <c r="L121" s="28" t="s">
        <v>108</v>
      </c>
      <c r="M121" s="19">
        <v>0</v>
      </c>
      <c r="N121">
        <v>100000</v>
      </c>
      <c r="O121" s="29">
        <v>1980000</v>
      </c>
    </row>
    <row r="122" spans="1:19">
      <c r="A122" s="1">
        <v>20070010</v>
      </c>
      <c r="B122" s="18">
        <v>200700</v>
      </c>
      <c r="C122" s="18">
        <v>2</v>
      </c>
      <c r="D122" s="18" t="s">
        <v>88</v>
      </c>
      <c r="E122" s="18">
        <v>200700001</v>
      </c>
      <c r="F122" s="18" t="s">
        <v>89</v>
      </c>
      <c r="G122" s="19" t="s">
        <v>107</v>
      </c>
      <c r="H122" s="19">
        <v>10</v>
      </c>
      <c r="I122" s="27">
        <v>0</v>
      </c>
      <c r="J122" s="19">
        <v>-1</v>
      </c>
      <c r="K122" s="19">
        <v>0</v>
      </c>
      <c r="L122" s="28" t="s">
        <v>108</v>
      </c>
      <c r="M122" s="19">
        <v>0</v>
      </c>
      <c r="N122">
        <v>1000</v>
      </c>
      <c r="O122" s="29">
        <v>1980000</v>
      </c>
    </row>
    <row r="123" spans="1:19">
      <c r="A123" s="1">
        <v>20070011</v>
      </c>
      <c r="B123" s="18">
        <v>200700</v>
      </c>
      <c r="C123" s="18">
        <v>2</v>
      </c>
      <c r="D123" s="18" t="s">
        <v>88</v>
      </c>
      <c r="E123" s="18">
        <v>200700001</v>
      </c>
      <c r="F123" s="18" t="s">
        <v>89</v>
      </c>
      <c r="G123" s="19" t="s">
        <v>109</v>
      </c>
      <c r="H123" s="19">
        <v>11</v>
      </c>
      <c r="I123" s="27">
        <v>0</v>
      </c>
      <c r="J123" s="19">
        <v>-1</v>
      </c>
      <c r="K123" s="19">
        <v>0</v>
      </c>
      <c r="L123" s="28" t="s">
        <v>108</v>
      </c>
      <c r="M123" s="19">
        <v>0</v>
      </c>
      <c r="N123">
        <v>10000</v>
      </c>
      <c r="O123" s="29">
        <v>1980000</v>
      </c>
    </row>
    <row r="124" spans="1:19">
      <c r="A124" s="1">
        <v>20070012</v>
      </c>
      <c r="B124" s="18">
        <v>200700</v>
      </c>
      <c r="C124" s="18">
        <v>2</v>
      </c>
      <c r="D124" s="18" t="s">
        <v>88</v>
      </c>
      <c r="E124" s="18">
        <v>200700001</v>
      </c>
      <c r="F124" s="18" t="s">
        <v>89</v>
      </c>
      <c r="G124" s="19" t="s">
        <v>110</v>
      </c>
      <c r="H124" s="19">
        <v>12</v>
      </c>
      <c r="I124" s="27">
        <v>0</v>
      </c>
      <c r="J124" s="19">
        <v>-1</v>
      </c>
      <c r="K124" s="19">
        <v>0</v>
      </c>
      <c r="L124" s="28" t="s">
        <v>108</v>
      </c>
      <c r="M124" s="19">
        <v>0</v>
      </c>
      <c r="N124">
        <v>100000</v>
      </c>
      <c r="O124" s="29">
        <v>1980000</v>
      </c>
    </row>
    <row r="125" spans="1:19">
      <c r="A125" s="1">
        <v>20080010</v>
      </c>
      <c r="B125" s="18">
        <v>200800</v>
      </c>
      <c r="C125" s="18">
        <v>2</v>
      </c>
      <c r="D125" s="18" t="s">
        <v>90</v>
      </c>
      <c r="E125" s="18">
        <v>200800001</v>
      </c>
      <c r="F125" s="18" t="s">
        <v>91</v>
      </c>
      <c r="G125" s="19" t="s">
        <v>107</v>
      </c>
      <c r="H125" s="19">
        <v>10</v>
      </c>
      <c r="I125" s="27">
        <v>0</v>
      </c>
      <c r="J125" s="19">
        <v>-1</v>
      </c>
      <c r="K125" s="19">
        <v>0</v>
      </c>
      <c r="L125" s="28" t="s">
        <v>108</v>
      </c>
      <c r="M125" s="19">
        <v>0</v>
      </c>
      <c r="N125">
        <v>1000</v>
      </c>
      <c r="O125" s="29">
        <v>1980000</v>
      </c>
    </row>
    <row r="126" spans="1:19">
      <c r="A126" s="1">
        <v>20080011</v>
      </c>
      <c r="B126" s="18">
        <v>200800</v>
      </c>
      <c r="C126" s="18">
        <v>2</v>
      </c>
      <c r="D126" s="18" t="s">
        <v>90</v>
      </c>
      <c r="E126" s="18">
        <v>200800001</v>
      </c>
      <c r="F126" s="18" t="s">
        <v>91</v>
      </c>
      <c r="G126" s="19" t="s">
        <v>109</v>
      </c>
      <c r="H126" s="19">
        <v>11</v>
      </c>
      <c r="I126" s="27">
        <v>0</v>
      </c>
      <c r="J126" s="19">
        <v>-1</v>
      </c>
      <c r="K126" s="19">
        <v>0</v>
      </c>
      <c r="L126" s="28" t="s">
        <v>108</v>
      </c>
      <c r="M126" s="19">
        <v>0</v>
      </c>
      <c r="N126">
        <v>10000</v>
      </c>
      <c r="O126" s="29">
        <v>1980000</v>
      </c>
    </row>
    <row r="127" spans="1:19">
      <c r="A127" s="1">
        <v>20080012</v>
      </c>
      <c r="B127" s="18">
        <v>200800</v>
      </c>
      <c r="C127" s="18">
        <v>2</v>
      </c>
      <c r="D127" s="18" t="s">
        <v>90</v>
      </c>
      <c r="E127" s="18">
        <v>200800001</v>
      </c>
      <c r="F127" s="18" t="s">
        <v>91</v>
      </c>
      <c r="G127" s="19" t="s">
        <v>110</v>
      </c>
      <c r="H127" s="19">
        <v>12</v>
      </c>
      <c r="I127" s="27">
        <v>0</v>
      </c>
      <c r="J127" s="19">
        <v>-1</v>
      </c>
      <c r="K127" s="19">
        <v>0</v>
      </c>
      <c r="L127" s="28" t="s">
        <v>108</v>
      </c>
      <c r="M127" s="19">
        <v>0</v>
      </c>
      <c r="N127">
        <v>100000</v>
      </c>
      <c r="O127" s="29">
        <v>1980000</v>
      </c>
    </row>
    <row r="128" spans="1:19">
      <c r="A128" s="1">
        <v>20090010</v>
      </c>
      <c r="B128" s="18">
        <v>200900</v>
      </c>
      <c r="C128" s="18">
        <v>2</v>
      </c>
      <c r="D128" s="18" t="s">
        <v>92</v>
      </c>
      <c r="E128" s="18">
        <v>200900001</v>
      </c>
      <c r="F128" s="18" t="s">
        <v>93</v>
      </c>
      <c r="G128" s="19" t="s">
        <v>107</v>
      </c>
      <c r="H128" s="19">
        <v>10</v>
      </c>
      <c r="I128" s="27">
        <v>0</v>
      </c>
      <c r="J128" s="19">
        <v>-1</v>
      </c>
      <c r="K128" s="19">
        <v>0</v>
      </c>
      <c r="L128" s="28" t="s">
        <v>108</v>
      </c>
      <c r="M128" s="19">
        <v>0</v>
      </c>
      <c r="N128">
        <v>1000</v>
      </c>
      <c r="O128" s="29">
        <v>1980000</v>
      </c>
    </row>
    <row r="129" spans="1:19">
      <c r="A129" s="1">
        <v>20090011</v>
      </c>
      <c r="B129" s="18">
        <v>200900</v>
      </c>
      <c r="C129" s="18">
        <v>2</v>
      </c>
      <c r="D129" s="18" t="s">
        <v>92</v>
      </c>
      <c r="E129" s="18">
        <v>200900001</v>
      </c>
      <c r="F129" s="18" t="s">
        <v>93</v>
      </c>
      <c r="G129" s="19" t="s">
        <v>109</v>
      </c>
      <c r="H129" s="19">
        <v>11</v>
      </c>
      <c r="I129" s="27">
        <v>0</v>
      </c>
      <c r="J129" s="19">
        <v>-1</v>
      </c>
      <c r="K129" s="19">
        <v>0</v>
      </c>
      <c r="L129" s="28" t="s">
        <v>108</v>
      </c>
      <c r="M129" s="19">
        <v>0</v>
      </c>
      <c r="N129">
        <v>10000</v>
      </c>
      <c r="O129" s="29">
        <v>1980000</v>
      </c>
    </row>
    <row r="130" spans="1:19">
      <c r="A130" s="1">
        <v>20090012</v>
      </c>
      <c r="B130" s="18">
        <v>200900</v>
      </c>
      <c r="C130" s="18">
        <v>2</v>
      </c>
      <c r="D130" s="18" t="s">
        <v>92</v>
      </c>
      <c r="E130" s="18">
        <v>200900001</v>
      </c>
      <c r="F130" s="18" t="s">
        <v>93</v>
      </c>
      <c r="G130" s="19" t="s">
        <v>110</v>
      </c>
      <c r="H130" s="19">
        <v>12</v>
      </c>
      <c r="I130" s="27">
        <v>0</v>
      </c>
      <c r="J130" s="19">
        <v>-1</v>
      </c>
      <c r="K130" s="19">
        <v>0</v>
      </c>
      <c r="L130" s="28" t="s">
        <v>108</v>
      </c>
      <c r="M130" s="19">
        <v>0</v>
      </c>
      <c r="N130">
        <v>100000</v>
      </c>
      <c r="O130" s="29">
        <v>1980000</v>
      </c>
    </row>
    <row r="131" s="1" customFormat="1" spans="1:19">
      <c r="A131" s="1">
        <v>30020010</v>
      </c>
      <c r="B131" s="18">
        <v>300200</v>
      </c>
      <c r="C131" s="18">
        <v>3</v>
      </c>
      <c r="D131" s="18" t="s">
        <v>98</v>
      </c>
      <c r="E131" s="18">
        <v>300200006</v>
      </c>
      <c r="F131" s="18" t="s">
        <v>99</v>
      </c>
      <c r="G131" s="19" t="s">
        <v>107</v>
      </c>
      <c r="H131" s="19">
        <v>10</v>
      </c>
      <c r="I131" s="27">
        <v>0</v>
      </c>
      <c r="J131" s="19">
        <v>-1</v>
      </c>
      <c r="K131" s="19">
        <v>0</v>
      </c>
      <c r="L131" s="3" t="s">
        <v>111</v>
      </c>
      <c r="M131" s="19">
        <v>0</v>
      </c>
      <c r="N131" s="24">
        <v>1000</v>
      </c>
      <c r="O131" s="29">
        <v>1980000</v>
      </c>
      <c r="S131" s="2"/>
    </row>
    <row r="132" s="1" customFormat="1" spans="1:19">
      <c r="A132" s="1">
        <v>30020011</v>
      </c>
      <c r="B132" s="18">
        <v>300200</v>
      </c>
      <c r="C132" s="18">
        <v>3</v>
      </c>
      <c r="D132" s="18" t="s">
        <v>98</v>
      </c>
      <c r="E132" s="18">
        <v>300200006</v>
      </c>
      <c r="F132" s="18" t="s">
        <v>99</v>
      </c>
      <c r="G132" s="19" t="s">
        <v>109</v>
      </c>
      <c r="H132" s="19">
        <v>11</v>
      </c>
      <c r="I132" s="27">
        <v>0</v>
      </c>
      <c r="J132" s="19">
        <v>-1</v>
      </c>
      <c r="K132" s="19">
        <v>0</v>
      </c>
      <c r="L132" s="3" t="s">
        <v>111</v>
      </c>
      <c r="M132" s="19">
        <v>0</v>
      </c>
      <c r="N132" s="24">
        <v>10000</v>
      </c>
      <c r="O132" s="29">
        <v>1980000</v>
      </c>
      <c r="S132" s="2"/>
    </row>
    <row r="133" s="1" customFormat="1" spans="1:19">
      <c r="A133" s="1">
        <v>30020012</v>
      </c>
      <c r="B133" s="18">
        <v>300200</v>
      </c>
      <c r="C133" s="18">
        <v>3</v>
      </c>
      <c r="D133" s="18" t="s">
        <v>98</v>
      </c>
      <c r="E133" s="18">
        <v>300200006</v>
      </c>
      <c r="F133" s="18" t="s">
        <v>99</v>
      </c>
      <c r="G133" s="19" t="s">
        <v>110</v>
      </c>
      <c r="H133" s="19">
        <v>12</v>
      </c>
      <c r="I133" s="27">
        <v>0</v>
      </c>
      <c r="J133" s="19">
        <v>-1</v>
      </c>
      <c r="K133" s="19">
        <v>0</v>
      </c>
      <c r="L133" s="3" t="s">
        <v>111</v>
      </c>
      <c r="M133" s="19">
        <v>0</v>
      </c>
      <c r="N133" s="24">
        <v>100000</v>
      </c>
      <c r="O133" s="29">
        <v>1980000</v>
      </c>
      <c r="S133" s="2"/>
    </row>
    <row r="134" spans="1:19">
      <c r="A134" s="1">
        <f>B134*100+H134</f>
        <v>10010010</v>
      </c>
      <c r="B134" s="18">
        <v>100100</v>
      </c>
      <c r="C134" s="18">
        <v>1</v>
      </c>
      <c r="D134" s="18" t="s">
        <v>30</v>
      </c>
      <c r="E134" s="18">
        <v>100100026</v>
      </c>
      <c r="F134" s="18" t="s">
        <v>31</v>
      </c>
      <c r="G134" s="19" t="s">
        <v>107</v>
      </c>
      <c r="H134" s="19">
        <v>10</v>
      </c>
      <c r="I134" s="27">
        <v>0</v>
      </c>
      <c r="J134" s="19">
        <v>-1</v>
      </c>
      <c r="K134" s="19">
        <v>0</v>
      </c>
      <c r="L134" s="28" t="s">
        <v>108</v>
      </c>
      <c r="M134" s="19">
        <v>0</v>
      </c>
      <c r="N134">
        <v>1000</v>
      </c>
      <c r="O134" s="29">
        <v>1980000</v>
      </c>
    </row>
    <row r="135" spans="1:19">
      <c r="A135" s="1">
        <f>B135*100+H135</f>
        <v>10010011</v>
      </c>
      <c r="B135" s="18">
        <v>100100</v>
      </c>
      <c r="C135" s="18">
        <v>1</v>
      </c>
      <c r="D135" s="18" t="str">
        <f t="shared" ref="D135:D139" si="1">D134</f>
        <v>金礦大亨</v>
      </c>
      <c r="E135" s="18">
        <v>100100026</v>
      </c>
      <c r="F135" s="18" t="s">
        <v>31</v>
      </c>
      <c r="G135" s="19" t="s">
        <v>109</v>
      </c>
      <c r="H135" s="19">
        <v>11</v>
      </c>
      <c r="I135" s="27">
        <v>0</v>
      </c>
      <c r="J135" s="19">
        <v>-1</v>
      </c>
      <c r="K135" s="19">
        <v>0</v>
      </c>
      <c r="L135" s="28" t="s">
        <v>108</v>
      </c>
      <c r="M135" s="19">
        <v>0</v>
      </c>
      <c r="N135">
        <v>10000</v>
      </c>
      <c r="O135" s="29">
        <v>1980000</v>
      </c>
    </row>
    <row r="136" spans="1:19">
      <c r="A136" s="1">
        <f>B136*100+H136</f>
        <v>10010012</v>
      </c>
      <c r="B136" s="18">
        <v>100100</v>
      </c>
      <c r="C136" s="18">
        <v>1</v>
      </c>
      <c r="D136" s="18" t="str">
        <f t="shared" si="1"/>
        <v>金礦大亨</v>
      </c>
      <c r="E136" s="18">
        <v>100100026</v>
      </c>
      <c r="F136" s="18" t="s">
        <v>31</v>
      </c>
      <c r="G136" s="19" t="s">
        <v>110</v>
      </c>
      <c r="H136" s="19">
        <v>12</v>
      </c>
      <c r="I136" s="27">
        <v>0</v>
      </c>
      <c r="J136" s="19">
        <v>-1</v>
      </c>
      <c r="K136" s="19">
        <v>0</v>
      </c>
      <c r="L136" s="28" t="s">
        <v>108</v>
      </c>
      <c r="M136" s="19">
        <v>0</v>
      </c>
      <c r="N136">
        <v>100000</v>
      </c>
      <c r="O136" s="29">
        <v>1980000</v>
      </c>
    </row>
    <row r="137" spans="1:19">
      <c r="A137" s="1">
        <f t="shared" ref="A137:A187" si="2">B137*100+H137</f>
        <v>10030010</v>
      </c>
      <c r="B137" s="18">
        <v>100300</v>
      </c>
      <c r="C137" s="18">
        <v>1</v>
      </c>
      <c r="D137" s="18" t="s">
        <v>37</v>
      </c>
      <c r="E137" s="18">
        <v>100300001</v>
      </c>
      <c r="F137" s="18" t="s">
        <v>38</v>
      </c>
      <c r="G137" s="19" t="s">
        <v>107</v>
      </c>
      <c r="H137" s="19">
        <v>10</v>
      </c>
      <c r="I137" s="27">
        <v>0</v>
      </c>
      <c r="J137" s="19">
        <v>-1</v>
      </c>
      <c r="K137" s="19">
        <v>0</v>
      </c>
      <c r="L137" s="28" t="s">
        <v>108</v>
      </c>
      <c r="M137" s="19">
        <v>0</v>
      </c>
      <c r="N137">
        <v>1000</v>
      </c>
      <c r="O137" s="29">
        <v>1980000</v>
      </c>
    </row>
    <row r="138" spans="1:19">
      <c r="A138" s="1">
        <f t="shared" si="2"/>
        <v>10030011</v>
      </c>
      <c r="B138" s="18">
        <v>100300</v>
      </c>
      <c r="C138" s="18">
        <v>1</v>
      </c>
      <c r="D138" s="18" t="str">
        <f t="shared" si="1"/>
        <v>超级明星</v>
      </c>
      <c r="E138" s="18">
        <v>100300001</v>
      </c>
      <c r="F138" s="18" t="str">
        <f t="shared" ref="F138:F142" si="3">F137</f>
        <v>SuperStar</v>
      </c>
      <c r="G138" s="19" t="s">
        <v>109</v>
      </c>
      <c r="H138" s="19">
        <v>11</v>
      </c>
      <c r="I138" s="27">
        <v>0</v>
      </c>
      <c r="J138" s="19">
        <v>-1</v>
      </c>
      <c r="K138" s="19">
        <v>0</v>
      </c>
      <c r="L138" s="28" t="s">
        <v>108</v>
      </c>
      <c r="M138" s="19">
        <v>0</v>
      </c>
      <c r="N138">
        <v>10000</v>
      </c>
      <c r="O138" s="29">
        <v>1980000</v>
      </c>
    </row>
    <row r="139" spans="1:19">
      <c r="A139" s="1">
        <f t="shared" si="2"/>
        <v>10030012</v>
      </c>
      <c r="B139" s="18">
        <v>100300</v>
      </c>
      <c r="C139" s="18">
        <v>1</v>
      </c>
      <c r="D139" s="18" t="str">
        <f t="shared" si="1"/>
        <v>超级明星</v>
      </c>
      <c r="E139" s="18">
        <v>100300001</v>
      </c>
      <c r="F139" s="18" t="str">
        <f t="shared" si="3"/>
        <v>SuperStar</v>
      </c>
      <c r="G139" s="19" t="s">
        <v>110</v>
      </c>
      <c r="H139" s="19">
        <v>12</v>
      </c>
      <c r="I139" s="27">
        <v>0</v>
      </c>
      <c r="J139" s="19">
        <v>-1</v>
      </c>
      <c r="K139" s="19">
        <v>0</v>
      </c>
      <c r="L139" s="28" t="s">
        <v>108</v>
      </c>
      <c r="M139" s="19">
        <v>0</v>
      </c>
      <c r="N139">
        <v>100000</v>
      </c>
      <c r="O139" s="29">
        <v>1980000</v>
      </c>
    </row>
    <row r="140" spans="1:19">
      <c r="A140" s="1">
        <f t="shared" si="2"/>
        <v>10070010</v>
      </c>
      <c r="B140" s="18">
        <v>100700</v>
      </c>
      <c r="C140" s="18">
        <v>1</v>
      </c>
      <c r="D140" s="18" t="s">
        <v>39</v>
      </c>
      <c r="E140" s="18">
        <v>100700001</v>
      </c>
      <c r="F140" s="18" t="s">
        <v>40</v>
      </c>
      <c r="G140" s="19" t="s">
        <v>107</v>
      </c>
      <c r="H140" s="19">
        <v>10</v>
      </c>
      <c r="I140" s="27">
        <v>0</v>
      </c>
      <c r="J140" s="19">
        <v>-1</v>
      </c>
      <c r="K140" s="19">
        <v>0</v>
      </c>
      <c r="L140" s="28" t="s">
        <v>108</v>
      </c>
      <c r="M140" s="19">
        <v>0</v>
      </c>
      <c r="N140">
        <v>1000</v>
      </c>
      <c r="O140" s="29">
        <v>1980000</v>
      </c>
    </row>
    <row r="141" spans="1:19">
      <c r="A141" s="1">
        <f t="shared" si="2"/>
        <v>10070011</v>
      </c>
      <c r="B141" s="18">
        <v>100700</v>
      </c>
      <c r="C141" s="18">
        <v>1</v>
      </c>
      <c r="D141" s="18" t="str">
        <f t="shared" ref="D141:D145" si="4">D140</f>
        <v>麻将胡了</v>
      </c>
      <c r="E141" s="18">
        <v>100700001</v>
      </c>
      <c r="F141" s="18" t="str">
        <f t="shared" si="3"/>
        <v>MahjongWays</v>
      </c>
      <c r="G141" s="19" t="s">
        <v>109</v>
      </c>
      <c r="H141" s="19">
        <v>11</v>
      </c>
      <c r="I141" s="27">
        <v>0</v>
      </c>
      <c r="J141" s="19">
        <v>-1</v>
      </c>
      <c r="K141" s="19">
        <v>0</v>
      </c>
      <c r="L141" s="28" t="s">
        <v>108</v>
      </c>
      <c r="M141" s="19">
        <v>0</v>
      </c>
      <c r="N141">
        <v>10000</v>
      </c>
      <c r="O141" s="29">
        <v>1980000</v>
      </c>
    </row>
    <row r="142" spans="1:19">
      <c r="A142" s="1">
        <f t="shared" si="2"/>
        <v>10070012</v>
      </c>
      <c r="B142" s="18">
        <v>100700</v>
      </c>
      <c r="C142" s="18">
        <v>1</v>
      </c>
      <c r="D142" s="18" t="str">
        <f t="shared" si="4"/>
        <v>麻将胡了</v>
      </c>
      <c r="E142" s="18">
        <v>100700001</v>
      </c>
      <c r="F142" s="18" t="str">
        <f t="shared" si="3"/>
        <v>MahjongWays</v>
      </c>
      <c r="G142" s="19" t="s">
        <v>110</v>
      </c>
      <c r="H142" s="19">
        <v>12</v>
      </c>
      <c r="I142" s="27">
        <v>0</v>
      </c>
      <c r="J142" s="19">
        <v>-1</v>
      </c>
      <c r="K142" s="19">
        <v>0</v>
      </c>
      <c r="L142" s="28" t="s">
        <v>108</v>
      </c>
      <c r="M142" s="19">
        <v>0</v>
      </c>
      <c r="N142">
        <v>100000</v>
      </c>
      <c r="O142" s="29">
        <v>1980000</v>
      </c>
    </row>
    <row r="143" spans="1:19">
      <c r="A143" s="1">
        <f t="shared" si="2"/>
        <v>10120010</v>
      </c>
      <c r="B143" s="18">
        <v>101200</v>
      </c>
      <c r="C143" s="18">
        <v>1</v>
      </c>
      <c r="D143" s="18" t="s">
        <v>41</v>
      </c>
      <c r="E143" s="18">
        <v>101200001</v>
      </c>
      <c r="F143" s="18" t="s">
        <v>42</v>
      </c>
      <c r="G143" s="19" t="s">
        <v>107</v>
      </c>
      <c r="H143" s="19">
        <v>10</v>
      </c>
      <c r="I143" s="27">
        <v>0</v>
      </c>
      <c r="J143" s="19">
        <v>-1</v>
      </c>
      <c r="K143" s="19">
        <v>0</v>
      </c>
      <c r="L143" s="28" t="s">
        <v>108</v>
      </c>
      <c r="M143" s="19">
        <v>0</v>
      </c>
      <c r="N143">
        <v>1000</v>
      </c>
      <c r="O143" s="29">
        <v>1980000</v>
      </c>
    </row>
    <row r="144" spans="1:19">
      <c r="A144" s="1">
        <f t="shared" si="2"/>
        <v>10120011</v>
      </c>
      <c r="B144" s="18">
        <v>101200</v>
      </c>
      <c r="C144" s="18">
        <v>1</v>
      </c>
      <c r="D144" s="18" t="str">
        <f t="shared" si="4"/>
        <v>财神</v>
      </c>
      <c r="E144" s="18">
        <v>101200001</v>
      </c>
      <c r="F144" s="18" t="str">
        <f t="shared" ref="F144:F148" si="5">F143</f>
        <v>Godofwealth</v>
      </c>
      <c r="G144" s="19" t="s">
        <v>109</v>
      </c>
      <c r="H144" s="19">
        <v>11</v>
      </c>
      <c r="I144" s="27">
        <v>0</v>
      </c>
      <c r="J144" s="19">
        <v>-1</v>
      </c>
      <c r="K144" s="19">
        <v>0</v>
      </c>
      <c r="L144" s="28" t="s">
        <v>108</v>
      </c>
      <c r="M144" s="19">
        <v>0</v>
      </c>
      <c r="N144">
        <v>10000</v>
      </c>
      <c r="O144" s="29">
        <v>1980000</v>
      </c>
    </row>
    <row r="145" spans="1:15">
      <c r="A145" s="1">
        <f t="shared" si="2"/>
        <v>10120012</v>
      </c>
      <c r="B145" s="18">
        <v>101200</v>
      </c>
      <c r="C145" s="18">
        <v>1</v>
      </c>
      <c r="D145" s="18" t="str">
        <f t="shared" si="4"/>
        <v>财神</v>
      </c>
      <c r="E145" s="18">
        <v>101200001</v>
      </c>
      <c r="F145" s="18" t="str">
        <f t="shared" si="5"/>
        <v>Godofwealth</v>
      </c>
      <c r="G145" s="19" t="s">
        <v>110</v>
      </c>
      <c r="H145" s="19">
        <v>12</v>
      </c>
      <c r="I145" s="27">
        <v>0</v>
      </c>
      <c r="J145" s="19">
        <v>-1</v>
      </c>
      <c r="K145" s="19">
        <v>0</v>
      </c>
      <c r="L145" s="28" t="s">
        <v>108</v>
      </c>
      <c r="M145" s="19">
        <v>0</v>
      </c>
      <c r="N145">
        <v>100000</v>
      </c>
      <c r="O145" s="29">
        <v>1980000</v>
      </c>
    </row>
    <row r="146" spans="1:15">
      <c r="A146" s="1">
        <f t="shared" si="2"/>
        <v>10140010</v>
      </c>
      <c r="B146" s="18">
        <v>101400</v>
      </c>
      <c r="C146" s="18">
        <v>1</v>
      </c>
      <c r="D146" s="18" t="s">
        <v>43</v>
      </c>
      <c r="E146" s="18">
        <v>101400001</v>
      </c>
      <c r="F146" s="18" t="s">
        <v>44</v>
      </c>
      <c r="G146" s="19" t="s">
        <v>107</v>
      </c>
      <c r="H146" s="19">
        <v>10</v>
      </c>
      <c r="I146" s="27">
        <v>0</v>
      </c>
      <c r="J146" s="19">
        <v>-1</v>
      </c>
      <c r="K146" s="19">
        <v>0</v>
      </c>
      <c r="L146" s="28" t="s">
        <v>108</v>
      </c>
      <c r="M146" s="19">
        <v>0</v>
      </c>
      <c r="N146">
        <v>1000</v>
      </c>
      <c r="O146" s="29">
        <v>1980000</v>
      </c>
    </row>
    <row r="147" spans="1:15">
      <c r="A147" s="1">
        <f t="shared" si="2"/>
        <v>10140011</v>
      </c>
      <c r="B147" s="18">
        <v>101400</v>
      </c>
      <c r="C147" s="18">
        <v>1</v>
      </c>
      <c r="D147" s="18" t="str">
        <f t="shared" ref="D147:D151" si="6">D146</f>
        <v>埃及艳后</v>
      </c>
      <c r="E147" s="18">
        <v>101400001</v>
      </c>
      <c r="F147" s="18" t="str">
        <f t="shared" si="5"/>
        <v>Cleopatra</v>
      </c>
      <c r="G147" s="19" t="s">
        <v>109</v>
      </c>
      <c r="H147" s="19">
        <v>11</v>
      </c>
      <c r="I147" s="27">
        <v>0</v>
      </c>
      <c r="J147" s="19">
        <v>-1</v>
      </c>
      <c r="K147" s="19">
        <v>0</v>
      </c>
      <c r="L147" s="28" t="s">
        <v>108</v>
      </c>
      <c r="M147" s="19">
        <v>0</v>
      </c>
      <c r="N147">
        <v>10000</v>
      </c>
      <c r="O147" s="29">
        <v>1980000</v>
      </c>
    </row>
    <row r="148" spans="1:15">
      <c r="A148" s="1">
        <f t="shared" si="2"/>
        <v>10140012</v>
      </c>
      <c r="B148" s="18">
        <v>101400</v>
      </c>
      <c r="C148" s="18">
        <v>1</v>
      </c>
      <c r="D148" s="18" t="str">
        <f t="shared" si="6"/>
        <v>埃及艳后</v>
      </c>
      <c r="E148" s="18">
        <v>101400001</v>
      </c>
      <c r="F148" s="18" t="str">
        <f t="shared" si="5"/>
        <v>Cleopatra</v>
      </c>
      <c r="G148" s="19" t="s">
        <v>110</v>
      </c>
      <c r="H148" s="19">
        <v>12</v>
      </c>
      <c r="I148" s="27">
        <v>0</v>
      </c>
      <c r="J148" s="19">
        <v>-1</v>
      </c>
      <c r="K148" s="19">
        <v>0</v>
      </c>
      <c r="L148" s="28" t="s">
        <v>108</v>
      </c>
      <c r="M148" s="19">
        <v>0</v>
      </c>
      <c r="N148">
        <v>100000</v>
      </c>
      <c r="O148" s="29">
        <v>1980000</v>
      </c>
    </row>
    <row r="149" spans="1:15">
      <c r="A149" s="1">
        <f t="shared" si="2"/>
        <v>10240010</v>
      </c>
      <c r="B149" s="18">
        <v>102400</v>
      </c>
      <c r="C149" s="18">
        <v>1</v>
      </c>
      <c r="D149" s="18" t="s">
        <v>45</v>
      </c>
      <c r="E149" s="18">
        <v>102400026</v>
      </c>
      <c r="F149" s="18" t="s">
        <v>46</v>
      </c>
      <c r="G149" s="19" t="s">
        <v>107</v>
      </c>
      <c r="H149" s="19">
        <v>10</v>
      </c>
      <c r="I149" s="27">
        <v>0</v>
      </c>
      <c r="J149" s="19">
        <v>-1</v>
      </c>
      <c r="K149" s="19">
        <v>0</v>
      </c>
      <c r="L149" s="28" t="s">
        <v>108</v>
      </c>
      <c r="M149" s="19">
        <v>0</v>
      </c>
      <c r="N149">
        <v>1000</v>
      </c>
      <c r="O149" s="29">
        <v>1980000</v>
      </c>
    </row>
    <row r="150" spans="1:15">
      <c r="A150" s="1">
        <f t="shared" si="2"/>
        <v>10240011</v>
      </c>
      <c r="B150" s="18">
        <v>102400</v>
      </c>
      <c r="C150" s="18">
        <v>1</v>
      </c>
      <c r="D150" s="18" t="str">
        <f t="shared" si="6"/>
        <v>财富银行</v>
      </c>
      <c r="E150" s="18">
        <v>102400026</v>
      </c>
      <c r="F150" s="18" t="s">
        <v>46</v>
      </c>
      <c r="G150" s="19" t="s">
        <v>109</v>
      </c>
      <c r="H150" s="19">
        <v>11</v>
      </c>
      <c r="I150" s="27">
        <v>0</v>
      </c>
      <c r="J150" s="19">
        <v>-1</v>
      </c>
      <c r="K150" s="19">
        <v>0</v>
      </c>
      <c r="L150" s="28" t="s">
        <v>108</v>
      </c>
      <c r="M150" s="19">
        <v>0</v>
      </c>
      <c r="N150">
        <v>10000</v>
      </c>
      <c r="O150" s="29">
        <v>1980000</v>
      </c>
    </row>
    <row r="151" spans="1:15">
      <c r="A151" s="1">
        <f t="shared" si="2"/>
        <v>10240012</v>
      </c>
      <c r="B151" s="18">
        <v>102400</v>
      </c>
      <c r="C151" s="18">
        <v>1</v>
      </c>
      <c r="D151" s="18" t="str">
        <f t="shared" si="6"/>
        <v>财富银行</v>
      </c>
      <c r="E151" s="18">
        <v>102400026</v>
      </c>
      <c r="F151" s="18" t="s">
        <v>46</v>
      </c>
      <c r="G151" s="19" t="s">
        <v>110</v>
      </c>
      <c r="H151" s="19">
        <v>12</v>
      </c>
      <c r="I151" s="27">
        <v>0</v>
      </c>
      <c r="J151" s="19">
        <v>-1</v>
      </c>
      <c r="K151" s="19">
        <v>0</v>
      </c>
      <c r="L151" s="28" t="s">
        <v>108</v>
      </c>
      <c r="M151" s="19">
        <v>0</v>
      </c>
      <c r="N151">
        <v>100000</v>
      </c>
      <c r="O151" s="29">
        <v>1980000</v>
      </c>
    </row>
    <row r="152" spans="1:15">
      <c r="A152" s="1">
        <f t="shared" si="2"/>
        <v>10220010</v>
      </c>
      <c r="B152" s="18">
        <v>102200</v>
      </c>
      <c r="C152" s="18">
        <v>1</v>
      </c>
      <c r="D152" s="18" t="s">
        <v>47</v>
      </c>
      <c r="E152" s="18">
        <v>102200001</v>
      </c>
      <c r="F152" s="18" t="s">
        <v>48</v>
      </c>
      <c r="G152" s="19" t="s">
        <v>107</v>
      </c>
      <c r="H152" s="19">
        <v>10</v>
      </c>
      <c r="I152" s="27">
        <v>0</v>
      </c>
      <c r="J152" s="19">
        <v>-1</v>
      </c>
      <c r="K152" s="19">
        <v>0</v>
      </c>
      <c r="L152" s="28" t="s">
        <v>108</v>
      </c>
      <c r="M152" s="19">
        <v>0</v>
      </c>
      <c r="N152">
        <v>1000</v>
      </c>
      <c r="O152" s="29">
        <v>1980000</v>
      </c>
    </row>
    <row r="153" spans="1:15">
      <c r="A153" s="1">
        <f t="shared" si="2"/>
        <v>10220011</v>
      </c>
      <c r="B153" s="18">
        <v>102200</v>
      </c>
      <c r="C153" s="18">
        <v>1</v>
      </c>
      <c r="D153" s="18" t="s">
        <v>47</v>
      </c>
      <c r="E153" s="18">
        <v>102200001</v>
      </c>
      <c r="F153" s="18" t="s">
        <v>48</v>
      </c>
      <c r="G153" s="19" t="s">
        <v>109</v>
      </c>
      <c r="H153" s="19">
        <v>11</v>
      </c>
      <c r="I153" s="27">
        <v>0</v>
      </c>
      <c r="J153" s="19">
        <v>-1</v>
      </c>
      <c r="K153" s="19">
        <v>0</v>
      </c>
      <c r="L153" s="28" t="s">
        <v>108</v>
      </c>
      <c r="M153" s="19">
        <v>0</v>
      </c>
      <c r="N153">
        <v>10000</v>
      </c>
      <c r="O153" s="29">
        <v>1980000</v>
      </c>
    </row>
    <row r="154" spans="1:15">
      <c r="A154" s="1">
        <f t="shared" si="2"/>
        <v>10220012</v>
      </c>
      <c r="B154" s="18">
        <v>102200</v>
      </c>
      <c r="C154" s="18">
        <v>1</v>
      </c>
      <c r="D154" s="18" t="s">
        <v>47</v>
      </c>
      <c r="E154" s="18">
        <v>102200001</v>
      </c>
      <c r="F154" s="18" t="s">
        <v>48</v>
      </c>
      <c r="G154" s="19" t="s">
        <v>110</v>
      </c>
      <c r="H154" s="19">
        <v>12</v>
      </c>
      <c r="I154" s="27">
        <v>0</v>
      </c>
      <c r="J154" s="19">
        <v>-1</v>
      </c>
      <c r="K154" s="19">
        <v>0</v>
      </c>
      <c r="L154" s="28" t="s">
        <v>108</v>
      </c>
      <c r="M154" s="19">
        <v>0</v>
      </c>
      <c r="N154">
        <v>100000</v>
      </c>
      <c r="O154" s="29">
        <v>1980000</v>
      </c>
    </row>
    <row r="155" spans="1:15">
      <c r="A155" s="1">
        <f t="shared" si="2"/>
        <v>10170010</v>
      </c>
      <c r="B155" s="18">
        <v>101700</v>
      </c>
      <c r="C155" s="18">
        <v>1</v>
      </c>
      <c r="D155" s="18" t="s">
        <v>49</v>
      </c>
      <c r="E155" s="18">
        <v>101700001</v>
      </c>
      <c r="F155" s="18" t="s">
        <v>50</v>
      </c>
      <c r="G155" s="19" t="s">
        <v>107</v>
      </c>
      <c r="H155" s="19">
        <v>10</v>
      </c>
      <c r="I155" s="27">
        <v>0</v>
      </c>
      <c r="J155" s="19">
        <v>-1</v>
      </c>
      <c r="K155" s="19">
        <v>0</v>
      </c>
      <c r="L155" s="28" t="s">
        <v>108</v>
      </c>
      <c r="M155" s="19">
        <v>0</v>
      </c>
      <c r="N155">
        <v>1000</v>
      </c>
      <c r="O155" s="29">
        <v>1980000</v>
      </c>
    </row>
    <row r="156" spans="1:15">
      <c r="A156" s="1">
        <f t="shared" si="2"/>
        <v>10170011</v>
      </c>
      <c r="B156" s="18">
        <v>101700</v>
      </c>
      <c r="C156" s="18">
        <v>1</v>
      </c>
      <c r="D156" s="18" t="s">
        <v>49</v>
      </c>
      <c r="E156" s="18">
        <v>101700001</v>
      </c>
      <c r="F156" s="18" t="s">
        <v>50</v>
      </c>
      <c r="G156" s="19" t="s">
        <v>109</v>
      </c>
      <c r="H156" s="19">
        <v>11</v>
      </c>
      <c r="I156" s="27">
        <v>0</v>
      </c>
      <c r="J156" s="19">
        <v>-1</v>
      </c>
      <c r="K156" s="19">
        <v>0</v>
      </c>
      <c r="L156" s="28" t="s">
        <v>108</v>
      </c>
      <c r="M156" s="19">
        <v>0</v>
      </c>
      <c r="N156">
        <v>10000</v>
      </c>
      <c r="O156" s="29">
        <v>1980000</v>
      </c>
    </row>
    <row r="157" spans="1:15">
      <c r="A157" s="1">
        <f t="shared" si="2"/>
        <v>10170012</v>
      </c>
      <c r="B157" s="18">
        <v>101700</v>
      </c>
      <c r="C157" s="18">
        <v>1</v>
      </c>
      <c r="D157" s="18" t="s">
        <v>49</v>
      </c>
      <c r="E157" s="18">
        <v>101700001</v>
      </c>
      <c r="F157" s="18" t="s">
        <v>50</v>
      </c>
      <c r="G157" s="19" t="s">
        <v>110</v>
      </c>
      <c r="H157" s="19">
        <v>12</v>
      </c>
      <c r="I157" s="27">
        <v>0</v>
      </c>
      <c r="J157" s="19">
        <v>-1</v>
      </c>
      <c r="K157" s="19">
        <v>0</v>
      </c>
      <c r="L157" s="28" t="s">
        <v>108</v>
      </c>
      <c r="M157" s="19">
        <v>0</v>
      </c>
      <c r="N157">
        <v>100000</v>
      </c>
      <c r="O157" s="29">
        <v>1980000</v>
      </c>
    </row>
    <row r="158" spans="1:15">
      <c r="A158" s="1">
        <f t="shared" si="2"/>
        <v>10210010</v>
      </c>
      <c r="B158" s="18">
        <v>102100</v>
      </c>
      <c r="C158" s="18">
        <v>1</v>
      </c>
      <c r="D158" s="18" t="s">
        <v>51</v>
      </c>
      <c r="E158" s="18">
        <v>102100001</v>
      </c>
      <c r="F158" s="18" t="s">
        <v>52</v>
      </c>
      <c r="G158" s="19" t="s">
        <v>107</v>
      </c>
      <c r="H158" s="19">
        <v>10</v>
      </c>
      <c r="I158" s="27">
        <v>0</v>
      </c>
      <c r="J158" s="19">
        <v>-1</v>
      </c>
      <c r="K158" s="19">
        <v>0</v>
      </c>
      <c r="L158" s="28" t="s">
        <v>108</v>
      </c>
      <c r="M158" s="19">
        <v>0</v>
      </c>
      <c r="N158">
        <v>1000</v>
      </c>
      <c r="O158" s="29">
        <v>1980000</v>
      </c>
    </row>
    <row r="159" spans="1:15">
      <c r="A159" s="1">
        <f t="shared" si="2"/>
        <v>10210011</v>
      </c>
      <c r="B159" s="18">
        <v>102100</v>
      </c>
      <c r="C159" s="18">
        <v>1</v>
      </c>
      <c r="D159" s="18" t="s">
        <v>51</v>
      </c>
      <c r="E159" s="18">
        <v>102100001</v>
      </c>
      <c r="F159" s="18" t="s">
        <v>52</v>
      </c>
      <c r="G159" s="19" t="s">
        <v>109</v>
      </c>
      <c r="H159" s="19">
        <v>11</v>
      </c>
      <c r="I159" s="27">
        <v>0</v>
      </c>
      <c r="J159" s="19">
        <v>-1</v>
      </c>
      <c r="K159" s="19">
        <v>0</v>
      </c>
      <c r="L159" s="28" t="s">
        <v>108</v>
      </c>
      <c r="M159" s="19">
        <v>0</v>
      </c>
      <c r="N159">
        <v>10000</v>
      </c>
      <c r="O159" s="29">
        <v>1980000</v>
      </c>
    </row>
    <row r="160" spans="1:15">
      <c r="A160" s="1">
        <f t="shared" si="2"/>
        <v>10210012</v>
      </c>
      <c r="B160" s="18">
        <v>102100</v>
      </c>
      <c r="C160" s="18">
        <v>1</v>
      </c>
      <c r="D160" s="18" t="s">
        <v>51</v>
      </c>
      <c r="E160" s="18">
        <v>102100001</v>
      </c>
      <c r="F160" s="18" t="s">
        <v>52</v>
      </c>
      <c r="G160" s="19" t="s">
        <v>110</v>
      </c>
      <c r="H160" s="19">
        <v>12</v>
      </c>
      <c r="I160" s="27">
        <v>0</v>
      </c>
      <c r="J160" s="19">
        <v>-1</v>
      </c>
      <c r="K160" s="19">
        <v>0</v>
      </c>
      <c r="L160" s="28" t="s">
        <v>108</v>
      </c>
      <c r="M160" s="19">
        <v>0</v>
      </c>
      <c r="N160">
        <v>100000</v>
      </c>
      <c r="O160" s="29">
        <v>1980000</v>
      </c>
    </row>
    <row r="161" spans="1:15">
      <c r="A161" s="1">
        <f t="shared" si="2"/>
        <v>10180010</v>
      </c>
      <c r="B161" s="18">
        <v>101800</v>
      </c>
      <c r="C161" s="18">
        <v>1</v>
      </c>
      <c r="D161" s="18" t="s">
        <v>53</v>
      </c>
      <c r="E161" s="18">
        <v>101800001</v>
      </c>
      <c r="F161" s="18" t="s">
        <v>54</v>
      </c>
      <c r="G161" s="19" t="s">
        <v>107</v>
      </c>
      <c r="H161" s="19">
        <v>10</v>
      </c>
      <c r="I161" s="27">
        <v>0</v>
      </c>
      <c r="J161" s="19">
        <v>-1</v>
      </c>
      <c r="K161" s="19">
        <v>0</v>
      </c>
      <c r="L161" s="28" t="s">
        <v>108</v>
      </c>
      <c r="M161" s="19">
        <v>0</v>
      </c>
      <c r="N161">
        <v>1000</v>
      </c>
      <c r="O161" s="29">
        <v>1980000</v>
      </c>
    </row>
    <row r="162" spans="1:15">
      <c r="A162" s="1">
        <f t="shared" si="2"/>
        <v>10180011</v>
      </c>
      <c r="B162" s="18">
        <v>101800</v>
      </c>
      <c r="C162" s="18">
        <v>1</v>
      </c>
      <c r="D162" s="18" t="s">
        <v>53</v>
      </c>
      <c r="E162" s="18">
        <v>101800001</v>
      </c>
      <c r="F162" s="18" t="s">
        <v>54</v>
      </c>
      <c r="G162" s="19" t="s">
        <v>109</v>
      </c>
      <c r="H162" s="19">
        <v>11</v>
      </c>
      <c r="I162" s="27">
        <v>0</v>
      </c>
      <c r="J162" s="19">
        <v>-1</v>
      </c>
      <c r="K162" s="19">
        <v>0</v>
      </c>
      <c r="L162" s="28" t="s">
        <v>108</v>
      </c>
      <c r="M162" s="19">
        <v>0</v>
      </c>
      <c r="N162">
        <v>10000</v>
      </c>
      <c r="O162" s="29">
        <v>1980000</v>
      </c>
    </row>
    <row r="163" spans="1:15">
      <c r="A163" s="1">
        <f t="shared" si="2"/>
        <v>10180012</v>
      </c>
      <c r="B163" s="18">
        <v>101800</v>
      </c>
      <c r="C163" s="18">
        <v>1</v>
      </c>
      <c r="D163" s="18" t="s">
        <v>53</v>
      </c>
      <c r="E163" s="18">
        <v>101800001</v>
      </c>
      <c r="F163" s="18" t="s">
        <v>54</v>
      </c>
      <c r="G163" s="19" t="s">
        <v>110</v>
      </c>
      <c r="H163" s="19">
        <v>12</v>
      </c>
      <c r="I163" s="27">
        <v>0</v>
      </c>
      <c r="J163" s="19">
        <v>-1</v>
      </c>
      <c r="K163" s="19">
        <v>0</v>
      </c>
      <c r="L163" s="28" t="s">
        <v>108</v>
      </c>
      <c r="M163" s="19">
        <v>0</v>
      </c>
      <c r="N163">
        <v>100000</v>
      </c>
      <c r="O163" s="29">
        <v>1980000</v>
      </c>
    </row>
    <row r="164" spans="1:15">
      <c r="A164" s="1">
        <f t="shared" si="2"/>
        <v>10250010</v>
      </c>
      <c r="B164" s="18">
        <v>102500</v>
      </c>
      <c r="C164" s="18">
        <v>1</v>
      </c>
      <c r="D164" s="18" t="s">
        <v>55</v>
      </c>
      <c r="E164" s="18">
        <v>102500001</v>
      </c>
      <c r="F164" s="18" t="s">
        <v>56</v>
      </c>
      <c r="G164" s="19" t="s">
        <v>107</v>
      </c>
      <c r="H164" s="19">
        <v>10</v>
      </c>
      <c r="I164" s="27">
        <v>0</v>
      </c>
      <c r="J164" s="19">
        <v>-1</v>
      </c>
      <c r="K164" s="19">
        <v>0</v>
      </c>
      <c r="L164" s="28" t="s">
        <v>108</v>
      </c>
      <c r="M164" s="19">
        <v>0</v>
      </c>
      <c r="N164">
        <v>1000</v>
      </c>
      <c r="O164" s="29">
        <v>1980000</v>
      </c>
    </row>
    <row r="165" spans="1:15">
      <c r="A165" s="1">
        <f t="shared" si="2"/>
        <v>10250011</v>
      </c>
      <c r="B165" s="18">
        <v>102500</v>
      </c>
      <c r="C165" s="18">
        <v>1</v>
      </c>
      <c r="D165" s="18" t="s">
        <v>55</v>
      </c>
      <c r="E165" s="18">
        <v>102500001</v>
      </c>
      <c r="F165" s="18" t="s">
        <v>56</v>
      </c>
      <c r="G165" s="19" t="s">
        <v>109</v>
      </c>
      <c r="H165" s="19">
        <v>11</v>
      </c>
      <c r="I165" s="27">
        <v>0</v>
      </c>
      <c r="J165" s="19">
        <v>-1</v>
      </c>
      <c r="K165" s="19">
        <v>0</v>
      </c>
      <c r="L165" s="28" t="s">
        <v>108</v>
      </c>
      <c r="M165" s="19">
        <v>0</v>
      </c>
      <c r="N165">
        <v>10000</v>
      </c>
      <c r="O165" s="29">
        <v>1980000</v>
      </c>
    </row>
    <row r="166" spans="1:15">
      <c r="A166" s="1">
        <f t="shared" si="2"/>
        <v>10250012</v>
      </c>
      <c r="B166" s="18">
        <v>102500</v>
      </c>
      <c r="C166" s="18">
        <v>1</v>
      </c>
      <c r="D166" s="18" t="s">
        <v>55</v>
      </c>
      <c r="E166" s="18">
        <v>102500001</v>
      </c>
      <c r="F166" s="18" t="s">
        <v>56</v>
      </c>
      <c r="G166" s="19" t="s">
        <v>110</v>
      </c>
      <c r="H166" s="19">
        <v>12</v>
      </c>
      <c r="I166" s="27">
        <v>0</v>
      </c>
      <c r="J166" s="19">
        <v>-1</v>
      </c>
      <c r="K166" s="19">
        <v>0</v>
      </c>
      <c r="L166" s="28" t="s">
        <v>108</v>
      </c>
      <c r="M166" s="19">
        <v>0</v>
      </c>
      <c r="N166">
        <v>100000</v>
      </c>
      <c r="O166" s="29">
        <v>1980000</v>
      </c>
    </row>
    <row r="167" spans="1:15">
      <c r="A167" s="1">
        <f t="shared" si="2"/>
        <v>10230010</v>
      </c>
      <c r="B167" s="18">
        <v>102300</v>
      </c>
      <c r="C167" s="18">
        <v>1</v>
      </c>
      <c r="D167" s="18" t="s">
        <v>57</v>
      </c>
      <c r="E167" s="18">
        <v>102300001</v>
      </c>
      <c r="F167" s="18" t="s">
        <v>58</v>
      </c>
      <c r="G167" s="19" t="s">
        <v>107</v>
      </c>
      <c r="H167" s="19">
        <v>10</v>
      </c>
      <c r="I167" s="27">
        <v>0</v>
      </c>
      <c r="J167" s="19">
        <v>-1</v>
      </c>
      <c r="K167" s="19">
        <v>0</v>
      </c>
      <c r="L167" s="28" t="s">
        <v>108</v>
      </c>
      <c r="M167" s="19">
        <v>0</v>
      </c>
      <c r="N167">
        <v>1000</v>
      </c>
      <c r="O167" s="29">
        <v>1980000</v>
      </c>
    </row>
    <row r="168" spans="1:15">
      <c r="A168" s="1">
        <f t="shared" si="2"/>
        <v>10230011</v>
      </c>
      <c r="B168" s="18">
        <v>102300</v>
      </c>
      <c r="C168" s="18">
        <v>1</v>
      </c>
      <c r="D168" s="18" t="s">
        <v>57</v>
      </c>
      <c r="E168" s="18">
        <v>102300001</v>
      </c>
      <c r="F168" s="18" t="s">
        <v>58</v>
      </c>
      <c r="G168" s="19" t="s">
        <v>109</v>
      </c>
      <c r="H168" s="19">
        <v>11</v>
      </c>
      <c r="I168" s="27">
        <v>0</v>
      </c>
      <c r="J168" s="19">
        <v>-1</v>
      </c>
      <c r="K168" s="19">
        <v>0</v>
      </c>
      <c r="L168" s="28" t="s">
        <v>108</v>
      </c>
      <c r="M168" s="19">
        <v>0</v>
      </c>
      <c r="N168">
        <v>10000</v>
      </c>
      <c r="O168" s="29">
        <v>1980000</v>
      </c>
    </row>
    <row r="169" spans="1:15">
      <c r="A169" s="1">
        <f t="shared" si="2"/>
        <v>10230012</v>
      </c>
      <c r="B169" s="18">
        <v>102300</v>
      </c>
      <c r="C169" s="18">
        <v>1</v>
      </c>
      <c r="D169" s="18" t="s">
        <v>57</v>
      </c>
      <c r="E169" s="18">
        <v>102300001</v>
      </c>
      <c r="F169" s="18" t="s">
        <v>58</v>
      </c>
      <c r="G169" s="19" t="s">
        <v>110</v>
      </c>
      <c r="H169" s="19">
        <v>12</v>
      </c>
      <c r="I169" s="27">
        <v>0</v>
      </c>
      <c r="J169" s="19">
        <v>-1</v>
      </c>
      <c r="K169" s="19">
        <v>0</v>
      </c>
      <c r="L169" s="28" t="s">
        <v>108</v>
      </c>
      <c r="M169" s="19">
        <v>0</v>
      </c>
      <c r="N169">
        <v>100000</v>
      </c>
      <c r="O169" s="29">
        <v>1980000</v>
      </c>
    </row>
    <row r="170" spans="1:15">
      <c r="A170" s="1">
        <f t="shared" si="2"/>
        <v>10340010</v>
      </c>
      <c r="B170" s="14">
        <v>103400</v>
      </c>
      <c r="C170" s="14">
        <v>1</v>
      </c>
      <c r="D170" s="14" t="s">
        <v>59</v>
      </c>
      <c r="E170" s="15">
        <v>103000001</v>
      </c>
      <c r="F170" s="15" t="s">
        <v>60</v>
      </c>
      <c r="G170" s="19" t="s">
        <v>107</v>
      </c>
      <c r="H170" s="1">
        <v>10</v>
      </c>
      <c r="I170" s="2">
        <v>0</v>
      </c>
      <c r="J170" s="19">
        <v>-1</v>
      </c>
      <c r="K170" s="19">
        <v>0</v>
      </c>
      <c r="L170" s="28" t="s">
        <v>108</v>
      </c>
      <c r="M170" s="19">
        <v>0</v>
      </c>
      <c r="N170">
        <v>1000</v>
      </c>
      <c r="O170" s="29">
        <v>1980000</v>
      </c>
    </row>
    <row r="171" spans="1:15">
      <c r="A171" s="1">
        <f t="shared" si="2"/>
        <v>10340011</v>
      </c>
      <c r="B171" s="14">
        <v>103400</v>
      </c>
      <c r="C171" s="14">
        <v>1</v>
      </c>
      <c r="D171" s="14" t="s">
        <v>59</v>
      </c>
      <c r="E171" s="15">
        <v>103000001</v>
      </c>
      <c r="F171" s="15" t="s">
        <v>60</v>
      </c>
      <c r="G171" s="19" t="s">
        <v>109</v>
      </c>
      <c r="H171" s="1">
        <v>11</v>
      </c>
      <c r="I171" s="2">
        <v>0</v>
      </c>
      <c r="J171" s="19">
        <v>-1</v>
      </c>
      <c r="K171" s="19">
        <v>0</v>
      </c>
      <c r="L171" s="28" t="s">
        <v>108</v>
      </c>
      <c r="M171" s="19">
        <v>0</v>
      </c>
      <c r="N171">
        <v>10000</v>
      </c>
      <c r="O171" s="29">
        <v>1980000</v>
      </c>
    </row>
    <row r="172" spans="1:15">
      <c r="A172" s="1">
        <f t="shared" si="2"/>
        <v>10340012</v>
      </c>
      <c r="B172" s="14">
        <v>103400</v>
      </c>
      <c r="C172" s="14">
        <v>1</v>
      </c>
      <c r="D172" s="14" t="s">
        <v>59</v>
      </c>
      <c r="E172" s="15">
        <v>103000001</v>
      </c>
      <c r="F172" s="15" t="s">
        <v>60</v>
      </c>
      <c r="G172" s="19" t="s">
        <v>110</v>
      </c>
      <c r="H172" s="1">
        <v>12</v>
      </c>
      <c r="I172" s="2">
        <v>0</v>
      </c>
      <c r="J172" s="19">
        <v>-1</v>
      </c>
      <c r="K172" s="19">
        <v>0</v>
      </c>
      <c r="L172" s="28" t="s">
        <v>108</v>
      </c>
      <c r="M172" s="19">
        <v>0</v>
      </c>
      <c r="N172">
        <v>100000</v>
      </c>
      <c r="O172" s="29">
        <v>1980000</v>
      </c>
    </row>
    <row r="173" spans="1:15">
      <c r="A173" s="1">
        <f t="shared" si="2"/>
        <v>10350010</v>
      </c>
      <c r="B173" s="14">
        <v>103500</v>
      </c>
      <c r="C173" s="14">
        <v>1</v>
      </c>
      <c r="D173" s="14" t="s">
        <v>61</v>
      </c>
      <c r="E173" s="15">
        <v>102900001</v>
      </c>
      <c r="F173" s="15" t="s">
        <v>62</v>
      </c>
      <c r="G173" s="19" t="s">
        <v>107</v>
      </c>
      <c r="H173" s="1">
        <v>10</v>
      </c>
      <c r="I173" s="2">
        <v>0</v>
      </c>
      <c r="J173" s="19">
        <v>-1</v>
      </c>
      <c r="K173" s="19">
        <v>0</v>
      </c>
      <c r="L173" s="28" t="s">
        <v>108</v>
      </c>
      <c r="M173" s="19">
        <v>0</v>
      </c>
      <c r="N173">
        <v>1000</v>
      </c>
      <c r="O173" s="29">
        <v>1980000</v>
      </c>
    </row>
    <row r="174" spans="1:15">
      <c r="A174" s="1">
        <f t="shared" si="2"/>
        <v>10350011</v>
      </c>
      <c r="B174" s="14">
        <v>103500</v>
      </c>
      <c r="C174" s="14">
        <v>1</v>
      </c>
      <c r="D174" s="14" t="s">
        <v>61</v>
      </c>
      <c r="E174" s="15">
        <v>102900001</v>
      </c>
      <c r="F174" s="15" t="s">
        <v>62</v>
      </c>
      <c r="G174" s="19" t="s">
        <v>109</v>
      </c>
      <c r="H174" s="1">
        <v>11</v>
      </c>
      <c r="I174" s="2">
        <v>0</v>
      </c>
      <c r="J174" s="19">
        <v>-1</v>
      </c>
      <c r="K174" s="19">
        <v>0</v>
      </c>
      <c r="L174" s="28" t="s">
        <v>108</v>
      </c>
      <c r="M174" s="19">
        <v>0</v>
      </c>
      <c r="N174">
        <v>10000</v>
      </c>
      <c r="O174" s="29">
        <v>1980000</v>
      </c>
    </row>
    <row r="175" spans="1:15">
      <c r="A175" s="1">
        <f t="shared" si="2"/>
        <v>10350012</v>
      </c>
      <c r="B175" s="14">
        <v>103500</v>
      </c>
      <c r="C175" s="14">
        <v>1</v>
      </c>
      <c r="D175" s="14" t="s">
        <v>61</v>
      </c>
      <c r="E175" s="15">
        <v>102900001</v>
      </c>
      <c r="F175" s="15" t="s">
        <v>62</v>
      </c>
      <c r="G175" s="19" t="s">
        <v>110</v>
      </c>
      <c r="H175" s="1">
        <v>12</v>
      </c>
      <c r="I175" s="2">
        <v>0</v>
      </c>
      <c r="J175" s="19">
        <v>-1</v>
      </c>
      <c r="K175" s="19">
        <v>0</v>
      </c>
      <c r="L175" s="28" t="s">
        <v>108</v>
      </c>
      <c r="M175" s="19">
        <v>0</v>
      </c>
      <c r="N175">
        <v>100000</v>
      </c>
      <c r="O175" s="29">
        <v>1980000</v>
      </c>
    </row>
    <row r="176" spans="1:15">
      <c r="A176" s="1">
        <f t="shared" si="2"/>
        <v>10350110</v>
      </c>
      <c r="B176" s="14">
        <v>103501</v>
      </c>
      <c r="C176" s="14">
        <v>1</v>
      </c>
      <c r="D176" s="14" t="s">
        <v>63</v>
      </c>
      <c r="E176" s="15">
        <v>103501001</v>
      </c>
      <c r="F176" s="15" t="s">
        <v>64</v>
      </c>
      <c r="G176" s="19" t="s">
        <v>107</v>
      </c>
      <c r="H176" s="1">
        <v>10</v>
      </c>
      <c r="I176" s="2">
        <v>0</v>
      </c>
      <c r="J176" s="19">
        <v>-1</v>
      </c>
      <c r="K176" s="1">
        <v>0</v>
      </c>
      <c r="L176" s="28" t="s">
        <v>108</v>
      </c>
      <c r="M176" s="19">
        <v>0</v>
      </c>
      <c r="N176">
        <v>1000</v>
      </c>
      <c r="O176" s="29">
        <v>1980000</v>
      </c>
    </row>
    <row r="177" spans="1:15">
      <c r="A177" s="1">
        <f t="shared" si="2"/>
        <v>10350111</v>
      </c>
      <c r="B177" s="14">
        <v>103501</v>
      </c>
      <c r="C177" s="14">
        <v>1</v>
      </c>
      <c r="D177" s="14" t="s">
        <v>63</v>
      </c>
      <c r="E177" s="15">
        <v>103501001</v>
      </c>
      <c r="F177" s="15" t="s">
        <v>64</v>
      </c>
      <c r="G177" s="19" t="s">
        <v>109</v>
      </c>
      <c r="H177" s="1">
        <v>11</v>
      </c>
      <c r="I177" s="2">
        <v>0</v>
      </c>
      <c r="J177" s="19">
        <v>-1</v>
      </c>
      <c r="K177" s="1">
        <v>0</v>
      </c>
      <c r="L177" s="28" t="s">
        <v>108</v>
      </c>
      <c r="M177" s="19">
        <v>0</v>
      </c>
      <c r="N177">
        <v>10000</v>
      </c>
      <c r="O177" s="29">
        <v>1980000</v>
      </c>
    </row>
    <row r="178" spans="1:15">
      <c r="A178" s="1">
        <f t="shared" si="2"/>
        <v>10350112</v>
      </c>
      <c r="B178" s="14">
        <v>103501</v>
      </c>
      <c r="C178" s="14">
        <v>1</v>
      </c>
      <c r="D178" s="14" t="s">
        <v>63</v>
      </c>
      <c r="E178" s="15">
        <v>103501001</v>
      </c>
      <c r="F178" s="15" t="s">
        <v>64</v>
      </c>
      <c r="G178" s="19" t="s">
        <v>110</v>
      </c>
      <c r="H178" s="1">
        <v>12</v>
      </c>
      <c r="I178" s="2">
        <v>0</v>
      </c>
      <c r="J178" s="19">
        <v>-1</v>
      </c>
      <c r="K178" s="1">
        <v>0</v>
      </c>
      <c r="L178" s="28" t="s">
        <v>108</v>
      </c>
      <c r="M178" s="19">
        <v>0</v>
      </c>
      <c r="N178">
        <v>100000</v>
      </c>
      <c r="O178" s="29">
        <v>1980000</v>
      </c>
    </row>
    <row r="179" ht="12" customHeight="1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随风</cp:lastModifiedBy>
  <dcterms:created xsi:type="dcterms:W3CDTF">2015-06-06T02:19:00Z</dcterms:created>
  <dcterms:modified xsi:type="dcterms:W3CDTF">2026-04-15T02:44:32Z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