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<sst xmlns="http://schemas.openxmlformats.org/spreadsheetml/2006/main" count="1745" uniqueCount="157">
  <si>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</si>
  <si>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</si>
  <si>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</si>
  <si>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</si>
  <si>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</si>
  <si>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</si>
  <si>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</si>
  <si>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</si>
  <si>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</si>
  <si>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</si>
  <si>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</si>
  <si>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</si>
  <si>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</si>
  <si>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</si>
  <si>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</si>
  <si>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</si>
  <si>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</si>
  <si>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</si>
  <si>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</si>
  <si>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</si>
  <si>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</si>
  <si>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</si>
  <si>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</si>
  <si>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</si>
  <si>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</si>
  <si>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</si>
  <si>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</si>
  <si>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</si>
  <si>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</si>
  <si>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</si>
  <si>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</si>
  <si>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</si>
  <si>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</si>
  <si>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</si>
  <si>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</si>
  <si>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</si>
  <si>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</si>
  <si>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</si>
  <si>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</si>
  <si>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</si>
  <si>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</si>
  <si>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</si>
  <si>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</si>
  <si>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</si>
  <si>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</si>
  <si>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</si>
  <si>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</si>
  <si>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</si>
  <si>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</si>
  <si>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</si>
  <si>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</si>
  <si>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</si>
  <si>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</si>
  <si>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</si>
  <si>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</si>
  <si>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</si>
  <si>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</si>
  <si>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</si>
  <si>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</si>
  <si>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</si>
  <si>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</si>
  <si>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</si>
  <si>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</si>
  <si>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</si>
  <si>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</si>
  <si>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</si>
  <si>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</si>
  <si>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</si>
  <si>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</si>
  <si>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</si>
  <si>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</si>
  <si>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</si>
  <si>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</si>
  <si>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</si>
  <si>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</si>
  <si>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</si>
  <si>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</si>
  <si>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</si>
  <si>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</si>
  <si>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</si>
  <si>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</si>
  <si>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</si>
  <si>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</si>
  <si>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</si>
  <si>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</si>
  <si>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</si>
  <si>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</si>
  <si>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</si>
  <si>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</si>
  <si>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</si>
  <si>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</si>
  <si>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</si>
  <si>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</si>
  <si>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</si>
  <si>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</si>
  <si>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</si>
  <si>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</si>
  <si>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</si>
  <si>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</si>
  <si>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</si>
  <si>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</si>
  <si>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</si>
  <si>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</si>
  <si>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</si>
  <si>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</si>
  <si>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</si>
  <si>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</si>
  <si>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</si>
  <si>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</si>
  <si>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</si>
  <si>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</si>
  <si>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</si>
  <si>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</si>
  <si>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</si>
  <si>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</si>
  <si>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</si>
  <si>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</si>
  <si>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</si>
  <si>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</si>
  <si>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</si>
  <si>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</si>
  <si>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</si>
  <si>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</si>
  <si>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</si>
  <si>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</si>
  <si>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</si>
  <si>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</si>
  <si>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</si>
  <si>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</si>
  <si>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</si>
  <si>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</si>
  <si>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</si>
  <si>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</si>
  <si>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</si>
  <si>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</si>
  <si>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</si>
  <si>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</si>
  <si>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</si>
  <si>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</si>
  <si>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</si>
  <si>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</si>
  <si>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矿洞大冒险</t>
  </si>
  <si>
    <t>MineAdventure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</si>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</sst>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5"/>
  <sheetViews>
    <sheetView tabSelected="1" zoomScale="85" zoomScaleNormal="85" workbookViewId="0">
      <pane ySplit="4" topLeftCell="A119" activePane="bottomLeft" state="frozen"/>
      <selection/>
      <selection pane="bottomLeft" activeCell="S142" sqref="S142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9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9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="1" customFormat="1" spans="1:19">
      <c r="A147" s="2">
        <v>4008001</v>
      </c>
      <c r="B147" s="2">
        <v>400800</v>
      </c>
      <c r="C147" s="24">
        <v>4</v>
      </c>
      <c r="D147" s="2" t="s">
        <v>141</v>
      </c>
      <c r="E147" s="25">
        <v>400800001</v>
      </c>
      <c r="F147" s="25" t="s">
        <v>142</v>
      </c>
      <c r="G147" s="1" t="s">
        <v>32</v>
      </c>
      <c r="H147" s="1">
        <v>1</v>
      </c>
      <c r="I147" s="3">
        <v>0</v>
      </c>
      <c r="J147" s="1">
        <v>-1</v>
      </c>
      <c r="K147" s="1">
        <v>0</v>
      </c>
      <c r="L147" s="4" t="s">
        <v>134</v>
      </c>
      <c r="M147" s="33" t="s">
        <v>34</v>
      </c>
      <c r="N147"/>
      <c r="O147" s="16">
        <v>1960000</v>
      </c>
      <c r="S147" s="3"/>
    </row>
    <row r="148" s="1" customFormat="1" spans="1:19">
      <c r="A148" s="2">
        <v>3008001</v>
      </c>
      <c r="B148" s="2">
        <v>300800</v>
      </c>
      <c r="C148" s="24">
        <v>3</v>
      </c>
      <c r="D148" s="2" t="s">
        <v>143</v>
      </c>
      <c r="E148" s="25">
        <v>300800001</v>
      </c>
      <c r="F148" s="25" t="s">
        <v>144</v>
      </c>
      <c r="G148" s="1" t="s">
        <v>32</v>
      </c>
      <c r="H148" s="1">
        <v>1</v>
      </c>
      <c r="I148" s="3">
        <v>1000</v>
      </c>
      <c r="J148" s="1">
        <v>-1</v>
      </c>
      <c r="K148" s="1">
        <v>0</v>
      </c>
      <c r="L148" s="4" t="s">
        <v>105</v>
      </c>
      <c r="M148" s="33" t="s">
        <v>145</v>
      </c>
      <c r="N148">
        <v>100</v>
      </c>
      <c r="O148" s="16">
        <v>1960000</v>
      </c>
      <c r="S148" s="3"/>
    </row>
    <row r="149" s="1" customFormat="1" spans="1:19">
      <c r="A149" s="2">
        <v>3008002</v>
      </c>
      <c r="B149" s="2">
        <v>300800</v>
      </c>
      <c r="C149" s="24">
        <v>3</v>
      </c>
      <c r="D149" s="2" t="s">
        <v>143</v>
      </c>
      <c r="E149" s="25">
        <v>300800001</v>
      </c>
      <c r="F149" s="25" t="s">
        <v>144</v>
      </c>
      <c r="G149" s="1" t="s">
        <v>32</v>
      </c>
      <c r="H149" s="1">
        <v>2</v>
      </c>
      <c r="I149" s="3">
        <v>5000</v>
      </c>
      <c r="J149" s="1">
        <v>30000000</v>
      </c>
      <c r="K149" s="1">
        <v>0</v>
      </c>
      <c r="L149" s="4" t="s">
        <v>105</v>
      </c>
      <c r="M149" s="33" t="s">
        <v>145</v>
      </c>
      <c r="N149">
        <v>1000</v>
      </c>
      <c r="O149" s="16">
        <v>1960000</v>
      </c>
      <c r="S149" s="3"/>
    </row>
    <row r="150" s="1" customFormat="1" spans="1:19">
      <c r="A150" s="2">
        <v>3008003</v>
      </c>
      <c r="B150" s="2">
        <v>300800</v>
      </c>
      <c r="C150" s="24">
        <v>3</v>
      </c>
      <c r="D150" s="2" t="s">
        <v>143</v>
      </c>
      <c r="E150" s="25">
        <v>300800001</v>
      </c>
      <c r="F150" s="25" t="s">
        <v>144</v>
      </c>
      <c r="G150" s="1" t="s">
        <v>32</v>
      </c>
      <c r="H150" s="1">
        <v>3</v>
      </c>
      <c r="I150" s="3">
        <v>50000</v>
      </c>
      <c r="J150" s="1">
        <v>-1</v>
      </c>
      <c r="K150" s="1">
        <v>0</v>
      </c>
      <c r="L150" s="4" t="s">
        <v>105</v>
      </c>
      <c r="M150" s="33" t="s">
        <v>145</v>
      </c>
      <c r="N150">
        <v>10000</v>
      </c>
      <c r="O150" s="16">
        <v>1960000</v>
      </c>
      <c r="S150" s="3"/>
    </row>
    <row r="151" spans="1:19">
      <c r="A151" s="1">
        <v>20010010</v>
      </c>
      <c r="B151" s="17">
        <v>200100</v>
      </c>
      <c r="C151" s="17">
        <v>2</v>
      </c>
      <c r="D151" s="17" t="s">
        <v>77</v>
      </c>
      <c r="E151" s="17">
        <v>200100038</v>
      </c>
      <c r="F151" s="17" t="s">
        <v>78</v>
      </c>
      <c r="G151" s="18" t="s">
        <v>146</v>
      </c>
      <c r="H151" s="18">
        <v>10</v>
      </c>
      <c r="I151" s="27">
        <v>0</v>
      </c>
      <c r="J151" s="18">
        <v>-1</v>
      </c>
      <c r="K151" s="18">
        <v>0</v>
      </c>
      <c r="L151" s="28" t="s">
        <v>147</v>
      </c>
      <c r="M151" s="18">
        <v>0</v>
      </c>
      <c r="N151">
        <v>1000</v>
      </c>
      <c r="O151" s="29">
        <v>1980000</v>
      </c>
    </row>
    <row r="152" spans="1:19">
      <c r="A152" s="1">
        <v>20010011</v>
      </c>
      <c r="B152" s="17">
        <v>200100</v>
      </c>
      <c r="C152" s="17">
        <v>2</v>
      </c>
      <c r="D152" s="17" t="s">
        <v>77</v>
      </c>
      <c r="E152" s="17">
        <v>200100038</v>
      </c>
      <c r="F152" s="17" t="s">
        <v>78</v>
      </c>
      <c r="G152" s="18" t="s">
        <v>148</v>
      </c>
      <c r="H152" s="18">
        <v>11</v>
      </c>
      <c r="I152" s="27">
        <v>0</v>
      </c>
      <c r="J152" s="18">
        <v>-1</v>
      </c>
      <c r="K152" s="18">
        <v>0</v>
      </c>
      <c r="L152" s="28" t="s">
        <v>147</v>
      </c>
      <c r="M152" s="18">
        <v>0</v>
      </c>
      <c r="N152">
        <v>10000</v>
      </c>
      <c r="O152" s="29">
        <v>1980000</v>
      </c>
    </row>
    <row r="153" spans="1:19">
      <c r="A153" s="1">
        <v>20010012</v>
      </c>
      <c r="B153" s="17">
        <v>200100</v>
      </c>
      <c r="C153" s="17">
        <v>2</v>
      </c>
      <c r="D153" s="17" t="s">
        <v>77</v>
      </c>
      <c r="E153" s="17">
        <v>200100038</v>
      </c>
      <c r="F153" s="17" t="s">
        <v>78</v>
      </c>
      <c r="G153" s="18" t="s">
        <v>149</v>
      </c>
      <c r="H153" s="18">
        <v>12</v>
      </c>
      <c r="I153" s="27">
        <v>0</v>
      </c>
      <c r="J153" s="18">
        <v>-1</v>
      </c>
      <c r="K153" s="18">
        <v>0</v>
      </c>
      <c r="L153" s="28" t="s">
        <v>147</v>
      </c>
      <c r="M153" s="18">
        <v>0</v>
      </c>
      <c r="N153">
        <v>100000</v>
      </c>
      <c r="O153" s="29">
        <v>1980000</v>
      </c>
    </row>
    <row r="154" spans="1:19">
      <c r="A154" s="1">
        <v>20010110</v>
      </c>
      <c r="B154" s="17">
        <v>200101</v>
      </c>
      <c r="C154" s="17">
        <v>2</v>
      </c>
      <c r="D154" s="17" t="s">
        <v>79</v>
      </c>
      <c r="E154" s="17">
        <v>200101001</v>
      </c>
      <c r="F154" s="17" t="s">
        <v>80</v>
      </c>
      <c r="G154" s="18" t="s">
        <v>146</v>
      </c>
      <c r="H154" s="18">
        <v>10</v>
      </c>
      <c r="I154" s="27">
        <v>0</v>
      </c>
      <c r="J154" s="18">
        <v>-1</v>
      </c>
      <c r="K154" s="18">
        <v>0</v>
      </c>
      <c r="L154" s="28" t="s">
        <v>147</v>
      </c>
      <c r="M154" s="18">
        <v>0</v>
      </c>
      <c r="N154">
        <v>1000</v>
      </c>
      <c r="O154" s="29">
        <v>1980000</v>
      </c>
    </row>
    <row r="155" spans="1:19">
      <c r="A155" s="1">
        <v>20010111</v>
      </c>
      <c r="B155" s="17">
        <v>200101</v>
      </c>
      <c r="C155" s="17">
        <v>2</v>
      </c>
      <c r="D155" s="17" t="s">
        <v>79</v>
      </c>
      <c r="E155" s="17">
        <v>200101001</v>
      </c>
      <c r="F155" s="17" t="s">
        <v>80</v>
      </c>
      <c r="G155" s="18" t="s">
        <v>148</v>
      </c>
      <c r="H155" s="18">
        <v>11</v>
      </c>
      <c r="I155" s="27">
        <v>0</v>
      </c>
      <c r="J155" s="18">
        <v>-1</v>
      </c>
      <c r="K155" s="18">
        <v>0</v>
      </c>
      <c r="L155" s="28" t="s">
        <v>147</v>
      </c>
      <c r="M155" s="18">
        <v>0</v>
      </c>
      <c r="N155">
        <v>10000</v>
      </c>
      <c r="O155" s="29">
        <v>1980000</v>
      </c>
    </row>
    <row r="156" spans="1:19">
      <c r="A156" s="1">
        <v>20010112</v>
      </c>
      <c r="B156" s="17">
        <v>200101</v>
      </c>
      <c r="C156" s="17">
        <v>2</v>
      </c>
      <c r="D156" s="17" t="s">
        <v>79</v>
      </c>
      <c r="E156" s="17">
        <v>200101001</v>
      </c>
      <c r="F156" s="17" t="s">
        <v>80</v>
      </c>
      <c r="G156" s="18" t="s">
        <v>149</v>
      </c>
      <c r="H156" s="18">
        <v>12</v>
      </c>
      <c r="I156" s="27">
        <v>0</v>
      </c>
      <c r="J156" s="18">
        <v>-1</v>
      </c>
      <c r="K156" s="18">
        <v>0</v>
      </c>
      <c r="L156" s="28" t="s">
        <v>147</v>
      </c>
      <c r="M156" s="18">
        <v>0</v>
      </c>
      <c r="N156">
        <v>100000</v>
      </c>
      <c r="O156" s="29">
        <v>1980000</v>
      </c>
    </row>
    <row r="157" spans="1:19">
      <c r="A157" s="1">
        <v>20030010</v>
      </c>
      <c r="B157" s="17">
        <v>200300</v>
      </c>
      <c r="C157" s="17">
        <v>2</v>
      </c>
      <c r="D157" s="17" t="s">
        <v>81</v>
      </c>
      <c r="E157" s="17">
        <v>200300001</v>
      </c>
      <c r="F157" s="17" t="s">
        <v>82</v>
      </c>
      <c r="G157" s="18" t="s">
        <v>146</v>
      </c>
      <c r="H157" s="18">
        <v>10</v>
      </c>
      <c r="I157" s="27">
        <v>0</v>
      </c>
      <c r="J157" s="18">
        <v>-1</v>
      </c>
      <c r="K157" s="18">
        <v>0</v>
      </c>
      <c r="L157" s="28" t="s">
        <v>147</v>
      </c>
      <c r="M157" s="18">
        <v>0</v>
      </c>
      <c r="N157">
        <v>1000</v>
      </c>
      <c r="O157" s="29">
        <v>1980000</v>
      </c>
    </row>
    <row r="158" spans="1:19">
      <c r="A158" s="1">
        <v>20030011</v>
      </c>
      <c r="B158" s="17">
        <v>200300</v>
      </c>
      <c r="C158" s="17">
        <v>2</v>
      </c>
      <c r="D158" s="17" t="s">
        <v>81</v>
      </c>
      <c r="E158" s="17">
        <v>200300001</v>
      </c>
      <c r="F158" s="17" t="s">
        <v>82</v>
      </c>
      <c r="G158" s="18" t="s">
        <v>148</v>
      </c>
      <c r="H158" s="18">
        <v>11</v>
      </c>
      <c r="I158" s="27">
        <v>0</v>
      </c>
      <c r="J158" s="18">
        <v>-1</v>
      </c>
      <c r="K158" s="18">
        <v>0</v>
      </c>
      <c r="L158" s="28" t="s">
        <v>147</v>
      </c>
      <c r="M158" s="18">
        <v>0</v>
      </c>
      <c r="N158">
        <v>10000</v>
      </c>
      <c r="O158" s="29">
        <v>1980000</v>
      </c>
    </row>
    <row r="159" spans="1:19">
      <c r="A159" s="1">
        <v>20030012</v>
      </c>
      <c r="B159" s="17">
        <v>200300</v>
      </c>
      <c r="C159" s="17">
        <v>2</v>
      </c>
      <c r="D159" s="17" t="s">
        <v>81</v>
      </c>
      <c r="E159" s="17">
        <v>200300001</v>
      </c>
      <c r="F159" s="17" t="s">
        <v>82</v>
      </c>
      <c r="G159" s="18" t="s">
        <v>149</v>
      </c>
      <c r="H159" s="18">
        <v>12</v>
      </c>
      <c r="I159" s="27">
        <v>0</v>
      </c>
      <c r="J159" s="18">
        <v>-1</v>
      </c>
      <c r="K159" s="18">
        <v>0</v>
      </c>
      <c r="L159" s="28" t="s">
        <v>147</v>
      </c>
      <c r="M159" s="18">
        <v>0</v>
      </c>
      <c r="N159">
        <v>100000</v>
      </c>
      <c r="O159" s="29">
        <v>1980000</v>
      </c>
    </row>
    <row r="160" spans="1:19">
      <c r="A160" s="1">
        <v>20040010</v>
      </c>
      <c r="B160" s="17">
        <v>200400</v>
      </c>
      <c r="C160" s="17">
        <v>2</v>
      </c>
      <c r="D160" s="27" t="s">
        <v>83</v>
      </c>
      <c r="E160" s="17">
        <v>200400009</v>
      </c>
      <c r="F160" s="17" t="s">
        <v>84</v>
      </c>
      <c r="G160" s="18" t="s">
        <v>146</v>
      </c>
      <c r="H160" s="18">
        <v>10</v>
      </c>
      <c r="I160" s="27">
        <v>0</v>
      </c>
      <c r="J160" s="18">
        <v>-1</v>
      </c>
      <c r="K160" s="18">
        <v>0</v>
      </c>
      <c r="L160" s="28" t="s">
        <v>147</v>
      </c>
      <c r="M160" s="18">
        <v>0</v>
      </c>
      <c r="N160">
        <v>1000</v>
      </c>
      <c r="O160" s="29">
        <v>1980000</v>
      </c>
    </row>
    <row r="161" spans="1:15">
      <c r="A161" s="1">
        <v>20040011</v>
      </c>
      <c r="B161" s="17">
        <v>200400</v>
      </c>
      <c r="C161" s="17">
        <v>2</v>
      </c>
      <c r="D161" s="27" t="s">
        <v>83</v>
      </c>
      <c r="E161" s="17">
        <v>200400009</v>
      </c>
      <c r="F161" s="17" t="s">
        <v>84</v>
      </c>
      <c r="G161" s="18" t="s">
        <v>148</v>
      </c>
      <c r="H161" s="18">
        <v>11</v>
      </c>
      <c r="I161" s="27">
        <v>0</v>
      </c>
      <c r="J161" s="18">
        <v>-1</v>
      </c>
      <c r="K161" s="18">
        <v>0</v>
      </c>
      <c r="L161" s="28" t="s">
        <v>147</v>
      </c>
      <c r="M161" s="18">
        <v>0</v>
      </c>
      <c r="N161">
        <v>10000</v>
      </c>
      <c r="O161" s="29">
        <v>1980000</v>
      </c>
    </row>
    <row r="162" spans="1:15">
      <c r="A162" s="1">
        <v>20040012</v>
      </c>
      <c r="B162" s="17">
        <v>200400</v>
      </c>
      <c r="C162" s="17">
        <v>2</v>
      </c>
      <c r="D162" s="27" t="s">
        <v>83</v>
      </c>
      <c r="E162" s="17">
        <v>200400009</v>
      </c>
      <c r="F162" s="17" t="s">
        <v>84</v>
      </c>
      <c r="G162" s="18" t="s">
        <v>149</v>
      </c>
      <c r="H162" s="18">
        <v>12</v>
      </c>
      <c r="I162" s="27">
        <v>0</v>
      </c>
      <c r="J162" s="18">
        <v>-1</v>
      </c>
      <c r="K162" s="18">
        <v>0</v>
      </c>
      <c r="L162" s="28" t="s">
        <v>147</v>
      </c>
      <c r="M162" s="18">
        <v>0</v>
      </c>
      <c r="N162">
        <v>100000</v>
      </c>
      <c r="O162" s="29">
        <v>1980000</v>
      </c>
    </row>
    <row r="163" spans="1:15">
      <c r="A163" s="1">
        <v>20050010</v>
      </c>
      <c r="B163" s="17">
        <v>200500</v>
      </c>
      <c r="C163" s="17">
        <v>2</v>
      </c>
      <c r="D163" s="17" t="s">
        <v>85</v>
      </c>
      <c r="E163" s="17">
        <v>200500025</v>
      </c>
      <c r="F163" s="17" t="s">
        <v>86</v>
      </c>
      <c r="G163" s="18" t="s">
        <v>146</v>
      </c>
      <c r="H163" s="18">
        <v>10</v>
      </c>
      <c r="I163" s="27">
        <v>0</v>
      </c>
      <c r="J163" s="18">
        <v>-1</v>
      </c>
      <c r="K163" s="18">
        <v>0</v>
      </c>
      <c r="L163" s="28" t="s">
        <v>147</v>
      </c>
      <c r="M163" s="18">
        <v>0</v>
      </c>
      <c r="N163">
        <v>1000</v>
      </c>
      <c r="O163" s="29">
        <v>1980000</v>
      </c>
    </row>
    <row r="164" spans="1:15">
      <c r="A164" s="1">
        <v>20050011</v>
      </c>
      <c r="B164" s="17">
        <v>200500</v>
      </c>
      <c r="C164" s="17">
        <v>2</v>
      </c>
      <c r="D164" s="17" t="s">
        <v>85</v>
      </c>
      <c r="E164" s="17">
        <v>200500025</v>
      </c>
      <c r="F164" s="17" t="s">
        <v>86</v>
      </c>
      <c r="G164" s="18" t="s">
        <v>148</v>
      </c>
      <c r="H164" s="18">
        <v>11</v>
      </c>
      <c r="I164" s="27">
        <v>0</v>
      </c>
      <c r="J164" s="18">
        <v>-1</v>
      </c>
      <c r="K164" s="18">
        <v>0</v>
      </c>
      <c r="L164" s="28" t="s">
        <v>147</v>
      </c>
      <c r="M164" s="18">
        <v>0</v>
      </c>
      <c r="N164">
        <v>10000</v>
      </c>
      <c r="O164" s="29">
        <v>1980000</v>
      </c>
    </row>
    <row r="165" spans="1:15">
      <c r="A165" s="1">
        <v>20050012</v>
      </c>
      <c r="B165" s="17">
        <v>200500</v>
      </c>
      <c r="C165" s="17">
        <v>2</v>
      </c>
      <c r="D165" s="17" t="s">
        <v>85</v>
      </c>
      <c r="E165" s="17">
        <v>200500025</v>
      </c>
      <c r="F165" s="17" t="s">
        <v>86</v>
      </c>
      <c r="G165" s="18" t="s">
        <v>149</v>
      </c>
      <c r="H165" s="18">
        <v>12</v>
      </c>
      <c r="I165" s="27">
        <v>0</v>
      </c>
      <c r="J165" s="18">
        <v>-1</v>
      </c>
      <c r="K165" s="18">
        <v>0</v>
      </c>
      <c r="L165" s="28" t="s">
        <v>147</v>
      </c>
      <c r="M165" s="18">
        <v>0</v>
      </c>
      <c r="N165">
        <v>100000</v>
      </c>
      <c r="O165" s="29">
        <v>1980000</v>
      </c>
    </row>
    <row r="166" spans="1:15">
      <c r="A166" s="1">
        <v>20060010</v>
      </c>
      <c r="B166" s="17">
        <v>200600</v>
      </c>
      <c r="C166" s="17">
        <v>2</v>
      </c>
      <c r="D166" s="17" t="s">
        <v>88</v>
      </c>
      <c r="E166" s="17">
        <v>200600001</v>
      </c>
      <c r="F166" s="17" t="s">
        <v>89</v>
      </c>
      <c r="G166" s="18" t="s">
        <v>146</v>
      </c>
      <c r="H166" s="18">
        <v>10</v>
      </c>
      <c r="I166" s="27">
        <v>0</v>
      </c>
      <c r="J166" s="18">
        <v>-1</v>
      </c>
      <c r="K166" s="18">
        <v>0</v>
      </c>
      <c r="L166" s="28" t="s">
        <v>147</v>
      </c>
      <c r="M166" s="18">
        <v>0</v>
      </c>
      <c r="N166">
        <v>1000</v>
      </c>
      <c r="O166" s="29">
        <v>1980000</v>
      </c>
    </row>
    <row r="167" spans="1:15">
      <c r="A167" s="1">
        <v>20060011</v>
      </c>
      <c r="B167" s="17">
        <v>200600</v>
      </c>
      <c r="C167" s="17">
        <v>2</v>
      </c>
      <c r="D167" s="17" t="s">
        <v>88</v>
      </c>
      <c r="E167" s="17">
        <v>200600001</v>
      </c>
      <c r="F167" s="17" t="s">
        <v>89</v>
      </c>
      <c r="G167" s="18" t="s">
        <v>148</v>
      </c>
      <c r="H167" s="18">
        <v>11</v>
      </c>
      <c r="I167" s="27">
        <v>0</v>
      </c>
      <c r="J167" s="18">
        <v>-1</v>
      </c>
      <c r="K167" s="18">
        <v>0</v>
      </c>
      <c r="L167" s="28" t="s">
        <v>147</v>
      </c>
      <c r="M167" s="18">
        <v>0</v>
      </c>
      <c r="N167">
        <v>10000</v>
      </c>
      <c r="O167" s="29">
        <v>1980000</v>
      </c>
    </row>
    <row r="168" spans="1:15">
      <c r="A168" s="1">
        <v>20060012</v>
      </c>
      <c r="B168" s="17">
        <v>200600</v>
      </c>
      <c r="C168" s="17">
        <v>2</v>
      </c>
      <c r="D168" s="17" t="s">
        <v>88</v>
      </c>
      <c r="E168" s="17">
        <v>200600001</v>
      </c>
      <c r="F168" s="17" t="s">
        <v>89</v>
      </c>
      <c r="G168" s="18" t="s">
        <v>149</v>
      </c>
      <c r="H168" s="18">
        <v>12</v>
      </c>
      <c r="I168" s="27">
        <v>0</v>
      </c>
      <c r="J168" s="18">
        <v>-1</v>
      </c>
      <c r="K168" s="18">
        <v>0</v>
      </c>
      <c r="L168" s="28" t="s">
        <v>147</v>
      </c>
      <c r="M168" s="18">
        <v>0</v>
      </c>
      <c r="N168">
        <v>100000</v>
      </c>
      <c r="O168" s="29">
        <v>1980000</v>
      </c>
    </row>
    <row r="169" spans="1:15">
      <c r="A169" s="1">
        <v>20070010</v>
      </c>
      <c r="B169" s="17">
        <v>200700</v>
      </c>
      <c r="C169" s="17">
        <v>2</v>
      </c>
      <c r="D169" s="17" t="s">
        <v>90</v>
      </c>
      <c r="E169" s="17">
        <v>200700001</v>
      </c>
      <c r="F169" s="17" t="s">
        <v>91</v>
      </c>
      <c r="G169" s="18" t="s">
        <v>146</v>
      </c>
      <c r="H169" s="18">
        <v>10</v>
      </c>
      <c r="I169" s="27">
        <v>0</v>
      </c>
      <c r="J169" s="18">
        <v>-1</v>
      </c>
      <c r="K169" s="18">
        <v>0</v>
      </c>
      <c r="L169" s="28" t="s">
        <v>147</v>
      </c>
      <c r="M169" s="18">
        <v>0</v>
      </c>
      <c r="N169">
        <v>1000</v>
      </c>
      <c r="O169" s="29">
        <v>1980000</v>
      </c>
    </row>
    <row r="170" spans="1:15">
      <c r="A170" s="1">
        <v>20070011</v>
      </c>
      <c r="B170" s="17">
        <v>200700</v>
      </c>
      <c r="C170" s="17">
        <v>2</v>
      </c>
      <c r="D170" s="17" t="s">
        <v>90</v>
      </c>
      <c r="E170" s="17">
        <v>200700001</v>
      </c>
      <c r="F170" s="17" t="s">
        <v>91</v>
      </c>
      <c r="G170" s="18" t="s">
        <v>148</v>
      </c>
      <c r="H170" s="18">
        <v>11</v>
      </c>
      <c r="I170" s="27">
        <v>0</v>
      </c>
      <c r="J170" s="18">
        <v>-1</v>
      </c>
      <c r="K170" s="18">
        <v>0</v>
      </c>
      <c r="L170" s="28" t="s">
        <v>147</v>
      </c>
      <c r="M170" s="18">
        <v>0</v>
      </c>
      <c r="N170">
        <v>10000</v>
      </c>
      <c r="O170" s="29">
        <v>1980000</v>
      </c>
    </row>
    <row r="171" spans="1:15">
      <c r="A171" s="1">
        <v>20070012</v>
      </c>
      <c r="B171" s="17">
        <v>200700</v>
      </c>
      <c r="C171" s="17">
        <v>2</v>
      </c>
      <c r="D171" s="17" t="s">
        <v>90</v>
      </c>
      <c r="E171" s="17">
        <v>200700001</v>
      </c>
      <c r="F171" s="17" t="s">
        <v>91</v>
      </c>
      <c r="G171" s="18" t="s">
        <v>149</v>
      </c>
      <c r="H171" s="18">
        <v>12</v>
      </c>
      <c r="I171" s="27">
        <v>0</v>
      </c>
      <c r="J171" s="18">
        <v>-1</v>
      </c>
      <c r="K171" s="18">
        <v>0</v>
      </c>
      <c r="L171" s="28" t="s">
        <v>147</v>
      </c>
      <c r="M171" s="18">
        <v>0</v>
      </c>
      <c r="N171">
        <v>100000</v>
      </c>
      <c r="O171" s="29">
        <v>1980000</v>
      </c>
    </row>
    <row r="172" spans="1:15">
      <c r="A172" s="1">
        <v>20080010</v>
      </c>
      <c r="B172" s="17">
        <v>200800</v>
      </c>
      <c r="C172" s="17">
        <v>2</v>
      </c>
      <c r="D172" s="17" t="s">
        <v>92</v>
      </c>
      <c r="E172" s="17">
        <v>200800001</v>
      </c>
      <c r="F172" s="17" t="s">
        <v>93</v>
      </c>
      <c r="G172" s="18" t="s">
        <v>146</v>
      </c>
      <c r="H172" s="18">
        <v>10</v>
      </c>
      <c r="I172" s="27">
        <v>0</v>
      </c>
      <c r="J172" s="18">
        <v>-1</v>
      </c>
      <c r="K172" s="18">
        <v>0</v>
      </c>
      <c r="L172" s="28" t="s">
        <v>147</v>
      </c>
      <c r="M172" s="18">
        <v>0</v>
      </c>
      <c r="N172">
        <v>1000</v>
      </c>
      <c r="O172" s="29">
        <v>1980000</v>
      </c>
    </row>
    <row r="173" spans="1:15">
      <c r="A173" s="1">
        <v>20080011</v>
      </c>
      <c r="B173" s="17">
        <v>200800</v>
      </c>
      <c r="C173" s="17">
        <v>2</v>
      </c>
      <c r="D173" s="17" t="s">
        <v>92</v>
      </c>
      <c r="E173" s="17">
        <v>200800001</v>
      </c>
      <c r="F173" s="17" t="s">
        <v>93</v>
      </c>
      <c r="G173" s="18" t="s">
        <v>148</v>
      </c>
      <c r="H173" s="18">
        <v>11</v>
      </c>
      <c r="I173" s="27">
        <v>0</v>
      </c>
      <c r="J173" s="18">
        <v>-1</v>
      </c>
      <c r="K173" s="18">
        <v>0</v>
      </c>
      <c r="L173" s="28" t="s">
        <v>147</v>
      </c>
      <c r="M173" s="18">
        <v>0</v>
      </c>
      <c r="N173">
        <v>10000</v>
      </c>
      <c r="O173" s="29">
        <v>1980000</v>
      </c>
    </row>
    <row r="174" spans="1:15">
      <c r="A174" s="1">
        <v>20080012</v>
      </c>
      <c r="B174" s="17">
        <v>200800</v>
      </c>
      <c r="C174" s="17">
        <v>2</v>
      </c>
      <c r="D174" s="17" t="s">
        <v>92</v>
      </c>
      <c r="E174" s="17">
        <v>200800001</v>
      </c>
      <c r="F174" s="17" t="s">
        <v>93</v>
      </c>
      <c r="G174" s="18" t="s">
        <v>149</v>
      </c>
      <c r="H174" s="18">
        <v>12</v>
      </c>
      <c r="I174" s="27">
        <v>0</v>
      </c>
      <c r="J174" s="18">
        <v>-1</v>
      </c>
      <c r="K174" s="18">
        <v>0</v>
      </c>
      <c r="L174" s="28" t="s">
        <v>147</v>
      </c>
      <c r="M174" s="18">
        <v>0</v>
      </c>
      <c r="N174">
        <v>100000</v>
      </c>
      <c r="O174" s="29">
        <v>1980000</v>
      </c>
    </row>
    <row r="175" spans="1:15">
      <c r="A175" s="1">
        <v>20090010</v>
      </c>
      <c r="B175" s="17">
        <v>200900</v>
      </c>
      <c r="C175" s="17">
        <v>2</v>
      </c>
      <c r="D175" s="17" t="s">
        <v>94</v>
      </c>
      <c r="E175" s="17">
        <v>200900001</v>
      </c>
      <c r="F175" s="17" t="s">
        <v>95</v>
      </c>
      <c r="G175" s="18" t="s">
        <v>146</v>
      </c>
      <c r="H175" s="18">
        <v>10</v>
      </c>
      <c r="I175" s="27">
        <v>0</v>
      </c>
      <c r="J175" s="18">
        <v>-1</v>
      </c>
      <c r="K175" s="18">
        <v>0</v>
      </c>
      <c r="L175" s="28" t="s">
        <v>147</v>
      </c>
      <c r="M175" s="18">
        <v>0</v>
      </c>
      <c r="N175">
        <v>1000</v>
      </c>
      <c r="O175" s="29">
        <v>1980000</v>
      </c>
    </row>
    <row r="176" spans="1:15">
      <c r="A176" s="1">
        <v>20090011</v>
      </c>
      <c r="B176" s="17">
        <v>200900</v>
      </c>
      <c r="C176" s="17">
        <v>2</v>
      </c>
      <c r="D176" s="17" t="s">
        <v>94</v>
      </c>
      <c r="E176" s="17">
        <v>200900001</v>
      </c>
      <c r="F176" s="17" t="s">
        <v>95</v>
      </c>
      <c r="G176" s="18" t="s">
        <v>148</v>
      </c>
      <c r="H176" s="18">
        <v>11</v>
      </c>
      <c r="I176" s="27">
        <v>0</v>
      </c>
      <c r="J176" s="18">
        <v>-1</v>
      </c>
      <c r="K176" s="18">
        <v>0</v>
      </c>
      <c r="L176" s="28" t="s">
        <v>147</v>
      </c>
      <c r="M176" s="18">
        <v>0</v>
      </c>
      <c r="N176">
        <v>10000</v>
      </c>
      <c r="O176" s="29">
        <v>1980000</v>
      </c>
    </row>
    <row r="177" spans="1:19">
      <c r="A177" s="1">
        <v>20090012</v>
      </c>
      <c r="B177" s="17">
        <v>200900</v>
      </c>
      <c r="C177" s="17">
        <v>2</v>
      </c>
      <c r="D177" s="17" t="s">
        <v>94</v>
      </c>
      <c r="E177" s="17">
        <v>200900001</v>
      </c>
      <c r="F177" s="17" t="s">
        <v>95</v>
      </c>
      <c r="G177" s="18" t="s">
        <v>149</v>
      </c>
      <c r="H177" s="18">
        <v>12</v>
      </c>
      <c r="I177" s="27">
        <v>0</v>
      </c>
      <c r="J177" s="18">
        <v>-1</v>
      </c>
      <c r="K177" s="18">
        <v>0</v>
      </c>
      <c r="L177" s="28" t="s">
        <v>147</v>
      </c>
      <c r="M177" s="18">
        <v>0</v>
      </c>
      <c r="N177">
        <v>100000</v>
      </c>
      <c r="O177" s="29">
        <v>1980000</v>
      </c>
    </row>
    <row r="178" spans="1:19">
      <c r="A178" s="1">
        <v>30020010</v>
      </c>
      <c r="B178" s="17">
        <v>300200</v>
      </c>
      <c r="C178" s="17">
        <v>3</v>
      </c>
      <c r="D178" s="17" t="s">
        <v>100</v>
      </c>
      <c r="E178" s="17">
        <v>300200006</v>
      </c>
      <c r="F178" s="17" t="s">
        <v>101</v>
      </c>
      <c r="G178" s="18" t="s">
        <v>146</v>
      </c>
      <c r="H178" s="18">
        <v>10</v>
      </c>
      <c r="I178" s="27">
        <v>0</v>
      </c>
      <c r="J178" s="18">
        <v>-1</v>
      </c>
      <c r="K178" s="18">
        <v>0</v>
      </c>
      <c r="L178" s="4" t="s">
        <v>150</v>
      </c>
      <c r="M178" s="18">
        <v>0</v>
      </c>
      <c r="N178" s="21">
        <v>1000</v>
      </c>
      <c r="O178" s="29">
        <v>1980000</v>
      </c>
    </row>
    <row r="179" spans="1:19">
      <c r="A179" s="1">
        <v>30020011</v>
      </c>
      <c r="B179" s="17">
        <v>300200</v>
      </c>
      <c r="C179" s="17">
        <v>3</v>
      </c>
      <c r="D179" s="17" t="s">
        <v>100</v>
      </c>
      <c r="E179" s="17">
        <v>300200006</v>
      </c>
      <c r="F179" s="17" t="s">
        <v>101</v>
      </c>
      <c r="G179" s="18" t="s">
        <v>148</v>
      </c>
      <c r="H179" s="18">
        <v>11</v>
      </c>
      <c r="I179" s="27">
        <v>0</v>
      </c>
      <c r="J179" s="18">
        <v>-1</v>
      </c>
      <c r="K179" s="18">
        <v>0</v>
      </c>
      <c r="L179" s="4" t="s">
        <v>150</v>
      </c>
      <c r="M179" s="18">
        <v>0</v>
      </c>
      <c r="N179" s="21">
        <v>10000</v>
      </c>
      <c r="O179" s="29">
        <v>1980000</v>
      </c>
    </row>
    <row r="180" spans="1:19">
      <c r="A180" s="1">
        <v>30020012</v>
      </c>
      <c r="B180" s="17">
        <v>300200</v>
      </c>
      <c r="C180" s="17">
        <v>3</v>
      </c>
      <c r="D180" s="17" t="s">
        <v>100</v>
      </c>
      <c r="E180" s="17">
        <v>300200006</v>
      </c>
      <c r="F180" s="17" t="s">
        <v>101</v>
      </c>
      <c r="G180" s="18" t="s">
        <v>149</v>
      </c>
      <c r="H180" s="18">
        <v>12</v>
      </c>
      <c r="I180" s="27">
        <v>0</v>
      </c>
      <c r="J180" s="18">
        <v>-1</v>
      </c>
      <c r="K180" s="18">
        <v>0</v>
      </c>
      <c r="L180" s="4" t="s">
        <v>150</v>
      </c>
      <c r="M180" s="18">
        <v>0</v>
      </c>
      <c r="N180" s="21">
        <v>100000</v>
      </c>
      <c r="O180" s="29">
        <v>1980000</v>
      </c>
    </row>
    <row r="181" customFormat="1" spans="1:19">
      <c r="A181" s="1">
        <v>30040010</v>
      </c>
      <c r="B181" s="5">
        <v>300400</v>
      </c>
      <c r="C181" s="17">
        <v>3</v>
      </c>
      <c r="D181" s="5" t="s">
        <v>103</v>
      </c>
      <c r="E181" s="14">
        <v>300400001</v>
      </c>
      <c r="F181" s="22" t="s">
        <v>104</v>
      </c>
      <c r="G181" s="18" t="s">
        <v>146</v>
      </c>
      <c r="H181" s="18">
        <v>10</v>
      </c>
      <c r="I181" s="27">
        <v>0</v>
      </c>
      <c r="J181" s="18">
        <v>-1</v>
      </c>
      <c r="K181" s="18">
        <v>0</v>
      </c>
      <c r="L181" s="4" t="s">
        <v>151</v>
      </c>
      <c r="M181" s="18">
        <v>0</v>
      </c>
      <c r="N181" s="23">
        <v>100</v>
      </c>
      <c r="O181" s="29">
        <v>1980000</v>
      </c>
      <c r="S181" s="3"/>
    </row>
    <row r="182" customFormat="1" spans="1:19">
      <c r="A182" s="1">
        <v>30040011</v>
      </c>
      <c r="B182" s="5">
        <v>300400</v>
      </c>
      <c r="C182" s="17">
        <v>3</v>
      </c>
      <c r="D182" s="5" t="s">
        <v>103</v>
      </c>
      <c r="E182" s="14">
        <v>300400001</v>
      </c>
      <c r="F182" s="22" t="s">
        <v>104</v>
      </c>
      <c r="G182" s="18" t="s">
        <v>148</v>
      </c>
      <c r="H182" s="18">
        <v>11</v>
      </c>
      <c r="I182" s="27">
        <v>0</v>
      </c>
      <c r="J182" s="18">
        <v>-1</v>
      </c>
      <c r="K182" s="18">
        <v>0</v>
      </c>
      <c r="L182" s="4" t="s">
        <v>151</v>
      </c>
      <c r="M182" s="18">
        <v>0</v>
      </c>
      <c r="N182" s="23">
        <v>1000</v>
      </c>
      <c r="O182" s="29">
        <v>1980000</v>
      </c>
      <c r="S182" s="3"/>
    </row>
    <row r="183" customFormat="1" spans="1:19">
      <c r="A183" s="1">
        <v>30040012</v>
      </c>
      <c r="B183" s="5">
        <v>300400</v>
      </c>
      <c r="C183" s="17">
        <v>3</v>
      </c>
      <c r="D183" s="5" t="s">
        <v>103</v>
      </c>
      <c r="E183" s="14">
        <v>300400001</v>
      </c>
      <c r="F183" s="22" t="s">
        <v>104</v>
      </c>
      <c r="G183" s="18" t="s">
        <v>149</v>
      </c>
      <c r="H183" s="18">
        <v>12</v>
      </c>
      <c r="I183" s="27">
        <v>0</v>
      </c>
      <c r="J183" s="18">
        <v>-1</v>
      </c>
      <c r="K183" s="18">
        <v>0</v>
      </c>
      <c r="L183" s="4" t="s">
        <v>151</v>
      </c>
      <c r="M183" s="18">
        <v>0</v>
      </c>
      <c r="N183" s="23">
        <v>10000</v>
      </c>
      <c r="O183" s="29">
        <v>1980000</v>
      </c>
      <c r="S183" s="3"/>
    </row>
    <row r="184" customFormat="1" spans="1:19">
      <c r="A184" s="1">
        <v>30040110</v>
      </c>
      <c r="B184" s="5">
        <v>300401</v>
      </c>
      <c r="C184" s="17">
        <v>3</v>
      </c>
      <c r="D184" s="5" t="s">
        <v>106</v>
      </c>
      <c r="E184" s="14">
        <v>300401001</v>
      </c>
      <c r="F184" s="22" t="s">
        <v>107</v>
      </c>
      <c r="G184" s="18" t="s">
        <v>146</v>
      </c>
      <c r="H184" s="18">
        <v>10</v>
      </c>
      <c r="I184" s="27">
        <v>0</v>
      </c>
      <c r="J184" s="18">
        <v>-1</v>
      </c>
      <c r="K184" s="18">
        <v>0</v>
      </c>
      <c r="L184" s="4" t="s">
        <v>151</v>
      </c>
      <c r="M184" s="18">
        <v>0</v>
      </c>
      <c r="N184" s="23">
        <v>1000</v>
      </c>
      <c r="O184" s="29">
        <v>1980000</v>
      </c>
      <c r="S184" s="3"/>
    </row>
    <row r="185" customFormat="1" spans="1:19">
      <c r="A185" s="1">
        <v>30040111</v>
      </c>
      <c r="B185" s="5">
        <v>300401</v>
      </c>
      <c r="C185" s="17">
        <v>3</v>
      </c>
      <c r="D185" s="5" t="s">
        <v>106</v>
      </c>
      <c r="E185" s="14">
        <v>300401001</v>
      </c>
      <c r="F185" s="22" t="s">
        <v>107</v>
      </c>
      <c r="G185" s="18" t="s">
        <v>148</v>
      </c>
      <c r="H185" s="18">
        <v>11</v>
      </c>
      <c r="I185" s="27">
        <v>0</v>
      </c>
      <c r="J185" s="18">
        <v>-1</v>
      </c>
      <c r="K185" s="18">
        <v>0</v>
      </c>
      <c r="L185" s="4" t="s">
        <v>151</v>
      </c>
      <c r="M185" s="18">
        <v>0</v>
      </c>
      <c r="N185" s="23">
        <v>10000</v>
      </c>
      <c r="O185" s="29">
        <v>1980000</v>
      </c>
      <c r="S185" s="3"/>
    </row>
    <row r="186" customFormat="1" spans="1:19">
      <c r="A186" s="1">
        <v>30040112</v>
      </c>
      <c r="B186" s="5">
        <v>300401</v>
      </c>
      <c r="C186" s="17">
        <v>3</v>
      </c>
      <c r="D186" s="5" t="s">
        <v>106</v>
      </c>
      <c r="E186" s="14">
        <v>300401001</v>
      </c>
      <c r="F186" s="22" t="s">
        <v>107</v>
      </c>
      <c r="G186" s="18" t="s">
        <v>149</v>
      </c>
      <c r="H186" s="18">
        <v>12</v>
      </c>
      <c r="I186" s="27">
        <v>0</v>
      </c>
      <c r="J186" s="18">
        <v>-1</v>
      </c>
      <c r="K186" s="18">
        <v>0</v>
      </c>
      <c r="L186" s="4" t="s">
        <v>151</v>
      </c>
      <c r="M186" s="18">
        <v>0</v>
      </c>
      <c r="N186" s="23">
        <v>100000</v>
      </c>
      <c r="O186" s="29">
        <v>1980000</v>
      </c>
      <c r="S186" s="3"/>
    </row>
    <row r="187" customFormat="1" spans="1:19">
      <c r="A187" s="1">
        <v>20120010</v>
      </c>
      <c r="B187" s="5">
        <v>201200</v>
      </c>
      <c r="C187" s="17">
        <v>2</v>
      </c>
      <c r="D187" s="5" t="s">
        <v>108</v>
      </c>
      <c r="E187" s="14">
        <v>201200001</v>
      </c>
      <c r="F187" s="22" t="s">
        <v>109</v>
      </c>
      <c r="G187" s="18" t="s">
        <v>146</v>
      </c>
      <c r="H187" s="18">
        <v>10</v>
      </c>
      <c r="I187" s="27">
        <v>0</v>
      </c>
      <c r="J187" s="18">
        <v>-1</v>
      </c>
      <c r="K187" s="18">
        <v>0</v>
      </c>
      <c r="L187" s="28" t="s">
        <v>147</v>
      </c>
      <c r="M187" s="18">
        <v>0</v>
      </c>
      <c r="N187">
        <v>1000</v>
      </c>
      <c r="O187" s="29">
        <v>1980000</v>
      </c>
      <c r="S187" s="3"/>
    </row>
    <row r="188" customFormat="1" spans="1:19">
      <c r="A188" s="1">
        <v>20120011</v>
      </c>
      <c r="B188" s="5">
        <v>201200</v>
      </c>
      <c r="C188" s="17">
        <v>2</v>
      </c>
      <c r="D188" s="5" t="s">
        <v>108</v>
      </c>
      <c r="E188" s="14">
        <v>201200001</v>
      </c>
      <c r="F188" s="22" t="s">
        <v>109</v>
      </c>
      <c r="G188" s="18" t="s">
        <v>148</v>
      </c>
      <c r="H188" s="18">
        <v>11</v>
      </c>
      <c r="I188" s="27">
        <v>0</v>
      </c>
      <c r="J188" s="18">
        <v>-1</v>
      </c>
      <c r="K188" s="18">
        <v>0</v>
      </c>
      <c r="L188" s="28" t="s">
        <v>147</v>
      </c>
      <c r="M188" s="18">
        <v>0</v>
      </c>
      <c r="N188">
        <v>10000</v>
      </c>
      <c r="O188" s="29">
        <v>1980000</v>
      </c>
      <c r="S188" s="3"/>
    </row>
    <row r="189" customFormat="1" spans="1:19">
      <c r="A189" s="1">
        <v>20120012</v>
      </c>
      <c r="B189" s="5">
        <v>201200</v>
      </c>
      <c r="C189" s="17">
        <v>2</v>
      </c>
      <c r="D189" s="5" t="s">
        <v>108</v>
      </c>
      <c r="E189" s="14">
        <v>201200001</v>
      </c>
      <c r="F189" s="22" t="s">
        <v>109</v>
      </c>
      <c r="G189" s="18" t="s">
        <v>149</v>
      </c>
      <c r="H189" s="18">
        <v>12</v>
      </c>
      <c r="I189" s="27">
        <v>0</v>
      </c>
      <c r="J189" s="18">
        <v>-1</v>
      </c>
      <c r="K189" s="18">
        <v>0</v>
      </c>
      <c r="L189" s="28" t="s">
        <v>147</v>
      </c>
      <c r="M189" s="18">
        <v>0</v>
      </c>
      <c r="N189">
        <v>100000</v>
      </c>
      <c r="O189" s="29">
        <v>1980000</v>
      </c>
      <c r="S189" s="3"/>
    </row>
    <row r="190" spans="1:19">
      <c r="A190" s="1">
        <f>B190*100+H190</f>
        <v>10010010</v>
      </c>
      <c r="B190" s="17">
        <v>100100</v>
      </c>
      <c r="C190" s="17">
        <v>1</v>
      </c>
      <c r="D190" s="17" t="s">
        <v>30</v>
      </c>
      <c r="E190" s="17">
        <v>100100026</v>
      </c>
      <c r="F190" s="17" t="s">
        <v>31</v>
      </c>
      <c r="G190" s="18" t="s">
        <v>146</v>
      </c>
      <c r="H190" s="18">
        <v>10</v>
      </c>
      <c r="I190" s="27">
        <v>0</v>
      </c>
      <c r="J190" s="18">
        <v>-1</v>
      </c>
      <c r="K190" s="18">
        <v>0</v>
      </c>
      <c r="L190" s="28" t="s">
        <v>147</v>
      </c>
      <c r="M190" s="18">
        <v>0</v>
      </c>
      <c r="N190">
        <v>1000</v>
      </c>
      <c r="O190" s="29">
        <v>1980000</v>
      </c>
    </row>
    <row r="191" spans="1:19">
      <c r="A191" s="1">
        <f>B191*100+H191</f>
        <v>10010011</v>
      </c>
      <c r="B191" s="17">
        <v>100100</v>
      </c>
      <c r="C191" s="17">
        <v>1</v>
      </c>
      <c r="D191" s="17" t="str">
        <f t="shared" ref="D191:D195" si="2">D190</f>
        <v>金礦大亨</v>
      </c>
      <c r="E191" s="17">
        <v>100100026</v>
      </c>
      <c r="F191" s="17" t="s">
        <v>31</v>
      </c>
      <c r="G191" s="18" t="s">
        <v>148</v>
      </c>
      <c r="H191" s="18">
        <v>11</v>
      </c>
      <c r="I191" s="27">
        <v>0</v>
      </c>
      <c r="J191" s="18">
        <v>-1</v>
      </c>
      <c r="K191" s="18">
        <v>0</v>
      </c>
      <c r="L191" s="28" t="s">
        <v>147</v>
      </c>
      <c r="M191" s="18">
        <v>0</v>
      </c>
      <c r="N191">
        <v>10000</v>
      </c>
      <c r="O191" s="29">
        <v>1980000</v>
      </c>
    </row>
    <row r="192" spans="1:19">
      <c r="A192" s="1">
        <f>B192*100+H192</f>
        <v>10010012</v>
      </c>
      <c r="B192" s="17">
        <v>100100</v>
      </c>
      <c r="C192" s="17">
        <v>1</v>
      </c>
      <c r="D192" s="17" t="str">
        <f t="shared" si="2"/>
        <v>金礦大亨</v>
      </c>
      <c r="E192" s="17">
        <v>100100026</v>
      </c>
      <c r="F192" s="17" t="s">
        <v>31</v>
      </c>
      <c r="G192" s="18" t="s">
        <v>149</v>
      </c>
      <c r="H192" s="18">
        <v>12</v>
      </c>
      <c r="I192" s="27">
        <v>0</v>
      </c>
      <c r="J192" s="18">
        <v>-1</v>
      </c>
      <c r="K192" s="18">
        <v>0</v>
      </c>
      <c r="L192" s="28" t="s">
        <v>147</v>
      </c>
      <c r="M192" s="18">
        <v>0</v>
      </c>
      <c r="N192">
        <v>100000</v>
      </c>
      <c r="O192" s="29">
        <v>1980000</v>
      </c>
    </row>
    <row r="193" spans="1:15">
      <c r="A193" s="1">
        <f t="shared" ref="A193:A243" si="3">B193*100+H193</f>
        <v>10030010</v>
      </c>
      <c r="B193" s="17">
        <v>100300</v>
      </c>
      <c r="C193" s="17">
        <v>1</v>
      </c>
      <c r="D193" s="17" t="s">
        <v>37</v>
      </c>
      <c r="E193" s="17">
        <v>100300001</v>
      </c>
      <c r="F193" s="17" t="s">
        <v>38</v>
      </c>
      <c r="G193" s="18" t="s">
        <v>146</v>
      </c>
      <c r="H193" s="18">
        <v>10</v>
      </c>
      <c r="I193" s="27">
        <v>0</v>
      </c>
      <c r="J193" s="18">
        <v>-1</v>
      </c>
      <c r="K193" s="18">
        <v>0</v>
      </c>
      <c r="L193" s="28" t="s">
        <v>147</v>
      </c>
      <c r="M193" s="18">
        <v>0</v>
      </c>
      <c r="N193">
        <v>1000</v>
      </c>
      <c r="O193" s="29">
        <v>1980000</v>
      </c>
    </row>
    <row r="194" spans="1:15">
      <c r="A194" s="1">
        <f t="shared" si="3"/>
        <v>10030011</v>
      </c>
      <c r="B194" s="17">
        <v>100300</v>
      </c>
      <c r="C194" s="17">
        <v>1</v>
      </c>
      <c r="D194" s="17" t="str">
        <f t="shared" si="2"/>
        <v>超级明星</v>
      </c>
      <c r="E194" s="17">
        <v>100300001</v>
      </c>
      <c r="F194" s="17" t="str">
        <f t="shared" ref="F194:F198" si="4">F193</f>
        <v>SuperStar</v>
      </c>
      <c r="G194" s="18" t="s">
        <v>148</v>
      </c>
      <c r="H194" s="18">
        <v>11</v>
      </c>
      <c r="I194" s="27">
        <v>0</v>
      </c>
      <c r="J194" s="18">
        <v>-1</v>
      </c>
      <c r="K194" s="18">
        <v>0</v>
      </c>
      <c r="L194" s="28" t="s">
        <v>147</v>
      </c>
      <c r="M194" s="18">
        <v>0</v>
      </c>
      <c r="N194">
        <v>10000</v>
      </c>
      <c r="O194" s="29">
        <v>1980000</v>
      </c>
    </row>
    <row r="195" spans="1:15">
      <c r="A195" s="1">
        <f t="shared" si="3"/>
        <v>10030012</v>
      </c>
      <c r="B195" s="17">
        <v>100300</v>
      </c>
      <c r="C195" s="17">
        <v>1</v>
      </c>
      <c r="D195" s="17" t="str">
        <f t="shared" si="2"/>
        <v>超级明星</v>
      </c>
      <c r="E195" s="17">
        <v>100300001</v>
      </c>
      <c r="F195" s="17" t="str">
        <f t="shared" si="4"/>
        <v>SuperStar</v>
      </c>
      <c r="G195" s="18" t="s">
        <v>149</v>
      </c>
      <c r="H195" s="18">
        <v>12</v>
      </c>
      <c r="I195" s="27">
        <v>0</v>
      </c>
      <c r="J195" s="18">
        <v>-1</v>
      </c>
      <c r="K195" s="18">
        <v>0</v>
      </c>
      <c r="L195" s="28" t="s">
        <v>147</v>
      </c>
      <c r="M195" s="18">
        <v>0</v>
      </c>
      <c r="N195">
        <v>100000</v>
      </c>
      <c r="O195" s="29">
        <v>1980000</v>
      </c>
    </row>
    <row r="196" spans="1:15">
      <c r="A196" s="1">
        <f t="shared" si="3"/>
        <v>10070010</v>
      </c>
      <c r="B196" s="17">
        <v>100700</v>
      </c>
      <c r="C196" s="17">
        <v>1</v>
      </c>
      <c r="D196" s="17" t="s">
        <v>39</v>
      </c>
      <c r="E196" s="17">
        <v>100700001</v>
      </c>
      <c r="F196" s="17" t="s">
        <v>40</v>
      </c>
      <c r="G196" s="18" t="s">
        <v>146</v>
      </c>
      <c r="H196" s="18">
        <v>10</v>
      </c>
      <c r="I196" s="27">
        <v>0</v>
      </c>
      <c r="J196" s="18">
        <v>-1</v>
      </c>
      <c r="K196" s="18">
        <v>0</v>
      </c>
      <c r="L196" s="28" t="s">
        <v>147</v>
      </c>
      <c r="M196" s="18">
        <v>0</v>
      </c>
      <c r="N196">
        <v>1000</v>
      </c>
      <c r="O196" s="29">
        <v>1980000</v>
      </c>
    </row>
    <row r="197" spans="1:15">
      <c r="A197" s="1">
        <f t="shared" si="3"/>
        <v>10070011</v>
      </c>
      <c r="B197" s="17">
        <v>100700</v>
      </c>
      <c r="C197" s="17">
        <v>1</v>
      </c>
      <c r="D197" s="17" t="str">
        <f t="shared" ref="D197:D201" si="5">D196</f>
        <v>麻将胡了</v>
      </c>
      <c r="E197" s="17">
        <v>100700001</v>
      </c>
      <c r="F197" s="17" t="str">
        <f t="shared" si="4"/>
        <v>MahjongWays</v>
      </c>
      <c r="G197" s="18" t="s">
        <v>148</v>
      </c>
      <c r="H197" s="18">
        <v>11</v>
      </c>
      <c r="I197" s="27">
        <v>0</v>
      </c>
      <c r="J197" s="18">
        <v>-1</v>
      </c>
      <c r="K197" s="18">
        <v>0</v>
      </c>
      <c r="L197" s="28" t="s">
        <v>147</v>
      </c>
      <c r="M197" s="18">
        <v>0</v>
      </c>
      <c r="N197">
        <v>10000</v>
      </c>
      <c r="O197" s="29">
        <v>1980000</v>
      </c>
    </row>
    <row r="198" spans="1:15">
      <c r="A198" s="1">
        <f t="shared" si="3"/>
        <v>10070012</v>
      </c>
      <c r="B198" s="17">
        <v>100700</v>
      </c>
      <c r="C198" s="17">
        <v>1</v>
      </c>
      <c r="D198" s="17" t="str">
        <f t="shared" si="5"/>
        <v>麻将胡了</v>
      </c>
      <c r="E198" s="17">
        <v>100700001</v>
      </c>
      <c r="F198" s="17" t="str">
        <f t="shared" si="4"/>
        <v>MahjongWays</v>
      </c>
      <c r="G198" s="18" t="s">
        <v>149</v>
      </c>
      <c r="H198" s="18">
        <v>12</v>
      </c>
      <c r="I198" s="27">
        <v>0</v>
      </c>
      <c r="J198" s="18">
        <v>-1</v>
      </c>
      <c r="K198" s="18">
        <v>0</v>
      </c>
      <c r="L198" s="28" t="s">
        <v>147</v>
      </c>
      <c r="M198" s="18">
        <v>0</v>
      </c>
      <c r="N198">
        <v>100000</v>
      </c>
      <c r="O198" s="29">
        <v>1980000</v>
      </c>
    </row>
    <row r="199" spans="1:15">
      <c r="A199" s="1">
        <f t="shared" si="3"/>
        <v>10120010</v>
      </c>
      <c r="B199" s="17">
        <v>101200</v>
      </c>
      <c r="C199" s="17">
        <v>1</v>
      </c>
      <c r="D199" s="17" t="s">
        <v>41</v>
      </c>
      <c r="E199" s="17">
        <v>101200001</v>
      </c>
      <c r="F199" s="17" t="s">
        <v>42</v>
      </c>
      <c r="G199" s="18" t="s">
        <v>146</v>
      </c>
      <c r="H199" s="18">
        <v>10</v>
      </c>
      <c r="I199" s="27">
        <v>0</v>
      </c>
      <c r="J199" s="18">
        <v>-1</v>
      </c>
      <c r="K199" s="18">
        <v>0</v>
      </c>
      <c r="L199" s="28" t="s">
        <v>147</v>
      </c>
      <c r="M199" s="18">
        <v>0</v>
      </c>
      <c r="N199">
        <v>1000</v>
      </c>
      <c r="O199" s="29">
        <v>1980000</v>
      </c>
    </row>
    <row r="200" spans="1:15">
      <c r="A200" s="1">
        <f t="shared" si="3"/>
        <v>10120011</v>
      </c>
      <c r="B200" s="17">
        <v>101200</v>
      </c>
      <c r="C200" s="17">
        <v>1</v>
      </c>
      <c r="D200" s="17" t="str">
        <f t="shared" si="5"/>
        <v>财神</v>
      </c>
      <c r="E200" s="17">
        <v>101200001</v>
      </c>
      <c r="F200" s="17" t="str">
        <f t="shared" ref="F200:F204" si="6">F199</f>
        <v>Godofwealth</v>
      </c>
      <c r="G200" s="18" t="s">
        <v>148</v>
      </c>
      <c r="H200" s="18">
        <v>11</v>
      </c>
      <c r="I200" s="27">
        <v>0</v>
      </c>
      <c r="J200" s="18">
        <v>-1</v>
      </c>
      <c r="K200" s="18">
        <v>0</v>
      </c>
      <c r="L200" s="28" t="s">
        <v>147</v>
      </c>
      <c r="M200" s="18">
        <v>0</v>
      </c>
      <c r="N200">
        <v>10000</v>
      </c>
      <c r="O200" s="29">
        <v>1980000</v>
      </c>
    </row>
    <row r="201" spans="1:15">
      <c r="A201" s="1">
        <f t="shared" si="3"/>
        <v>10120012</v>
      </c>
      <c r="B201" s="17">
        <v>101200</v>
      </c>
      <c r="C201" s="17">
        <v>1</v>
      </c>
      <c r="D201" s="17" t="str">
        <f t="shared" si="5"/>
        <v>财神</v>
      </c>
      <c r="E201" s="17">
        <v>101200001</v>
      </c>
      <c r="F201" s="17" t="str">
        <f t="shared" si="6"/>
        <v>Godofwealth</v>
      </c>
      <c r="G201" s="18" t="s">
        <v>149</v>
      </c>
      <c r="H201" s="18">
        <v>12</v>
      </c>
      <c r="I201" s="27">
        <v>0</v>
      </c>
      <c r="J201" s="18">
        <v>-1</v>
      </c>
      <c r="K201" s="18">
        <v>0</v>
      </c>
      <c r="L201" s="28" t="s">
        <v>147</v>
      </c>
      <c r="M201" s="18">
        <v>0</v>
      </c>
      <c r="N201">
        <v>100000</v>
      </c>
      <c r="O201" s="29">
        <v>1980000</v>
      </c>
    </row>
    <row r="202" spans="1:15">
      <c r="A202" s="1">
        <f t="shared" si="3"/>
        <v>10140010</v>
      </c>
      <c r="B202" s="17">
        <v>101400</v>
      </c>
      <c r="C202" s="17">
        <v>1</v>
      </c>
      <c r="D202" s="17" t="s">
        <v>43</v>
      </c>
      <c r="E202" s="17">
        <v>101400001</v>
      </c>
      <c r="F202" s="17" t="s">
        <v>44</v>
      </c>
      <c r="G202" s="18" t="s">
        <v>146</v>
      </c>
      <c r="H202" s="18">
        <v>10</v>
      </c>
      <c r="I202" s="27">
        <v>0</v>
      </c>
      <c r="J202" s="18">
        <v>-1</v>
      </c>
      <c r="K202" s="18">
        <v>0</v>
      </c>
      <c r="L202" s="28" t="s">
        <v>147</v>
      </c>
      <c r="M202" s="18">
        <v>0</v>
      </c>
      <c r="N202">
        <v>1000</v>
      </c>
      <c r="O202" s="29">
        <v>1980000</v>
      </c>
    </row>
    <row r="203" spans="1:15">
      <c r="A203" s="1">
        <f t="shared" si="3"/>
        <v>10140011</v>
      </c>
      <c r="B203" s="17">
        <v>101400</v>
      </c>
      <c r="C203" s="17">
        <v>1</v>
      </c>
      <c r="D203" s="17" t="str">
        <f t="shared" ref="D203:D207" si="7">D202</f>
        <v>埃及艳后</v>
      </c>
      <c r="E203" s="17">
        <v>101400001</v>
      </c>
      <c r="F203" s="17" t="str">
        <f t="shared" si="6"/>
        <v>Cleopatra</v>
      </c>
      <c r="G203" s="18" t="s">
        <v>148</v>
      </c>
      <c r="H203" s="18">
        <v>11</v>
      </c>
      <c r="I203" s="27">
        <v>0</v>
      </c>
      <c r="J203" s="18">
        <v>-1</v>
      </c>
      <c r="K203" s="18">
        <v>0</v>
      </c>
      <c r="L203" s="28" t="s">
        <v>147</v>
      </c>
      <c r="M203" s="18">
        <v>0</v>
      </c>
      <c r="N203">
        <v>10000</v>
      </c>
      <c r="O203" s="29">
        <v>1980000</v>
      </c>
    </row>
    <row r="204" spans="1:15">
      <c r="A204" s="1">
        <f t="shared" si="3"/>
        <v>10140012</v>
      </c>
      <c r="B204" s="17">
        <v>101400</v>
      </c>
      <c r="C204" s="17">
        <v>1</v>
      </c>
      <c r="D204" s="17" t="str">
        <f t="shared" si="7"/>
        <v>埃及艳后</v>
      </c>
      <c r="E204" s="17">
        <v>101400001</v>
      </c>
      <c r="F204" s="17" t="str">
        <f t="shared" si="6"/>
        <v>Cleopatra</v>
      </c>
      <c r="G204" s="18" t="s">
        <v>149</v>
      </c>
      <c r="H204" s="18">
        <v>12</v>
      </c>
      <c r="I204" s="27">
        <v>0</v>
      </c>
      <c r="J204" s="18">
        <v>-1</v>
      </c>
      <c r="K204" s="18">
        <v>0</v>
      </c>
      <c r="L204" s="28" t="s">
        <v>147</v>
      </c>
      <c r="M204" s="18">
        <v>0</v>
      </c>
      <c r="N204">
        <v>100000</v>
      </c>
      <c r="O204" s="29">
        <v>1980000</v>
      </c>
    </row>
    <row r="205" spans="1:15">
      <c r="A205" s="1">
        <f t="shared" si="3"/>
        <v>10240010</v>
      </c>
      <c r="B205" s="17">
        <v>102400</v>
      </c>
      <c r="C205" s="17">
        <v>1</v>
      </c>
      <c r="D205" s="17" t="s">
        <v>45</v>
      </c>
      <c r="E205" s="17">
        <v>102400026</v>
      </c>
      <c r="F205" s="17" t="s">
        <v>46</v>
      </c>
      <c r="G205" s="18" t="s">
        <v>146</v>
      </c>
      <c r="H205" s="18">
        <v>10</v>
      </c>
      <c r="I205" s="27">
        <v>0</v>
      </c>
      <c r="J205" s="18">
        <v>-1</v>
      </c>
      <c r="K205" s="18">
        <v>0</v>
      </c>
      <c r="L205" s="28" t="s">
        <v>147</v>
      </c>
      <c r="M205" s="18">
        <v>0</v>
      </c>
      <c r="N205">
        <v>1000</v>
      </c>
      <c r="O205" s="29">
        <v>1980000</v>
      </c>
    </row>
    <row r="206" spans="1:15">
      <c r="A206" s="1">
        <f t="shared" si="3"/>
        <v>10240011</v>
      </c>
      <c r="B206" s="17">
        <v>102400</v>
      </c>
      <c r="C206" s="17">
        <v>1</v>
      </c>
      <c r="D206" s="17" t="str">
        <f t="shared" si="7"/>
        <v>财富银行</v>
      </c>
      <c r="E206" s="17">
        <v>102400026</v>
      </c>
      <c r="F206" s="17" t="s">
        <v>46</v>
      </c>
      <c r="G206" s="18" t="s">
        <v>148</v>
      </c>
      <c r="H206" s="18">
        <v>11</v>
      </c>
      <c r="I206" s="27">
        <v>0</v>
      </c>
      <c r="J206" s="18">
        <v>-1</v>
      </c>
      <c r="K206" s="18">
        <v>0</v>
      </c>
      <c r="L206" s="28" t="s">
        <v>147</v>
      </c>
      <c r="M206" s="18">
        <v>0</v>
      </c>
      <c r="N206">
        <v>10000</v>
      </c>
      <c r="O206" s="29">
        <v>1980000</v>
      </c>
    </row>
    <row r="207" spans="1:15">
      <c r="A207" s="1">
        <f t="shared" si="3"/>
        <v>10240012</v>
      </c>
      <c r="B207" s="17">
        <v>102400</v>
      </c>
      <c r="C207" s="17">
        <v>1</v>
      </c>
      <c r="D207" s="17" t="str">
        <f t="shared" si="7"/>
        <v>财富银行</v>
      </c>
      <c r="E207" s="17">
        <v>102400026</v>
      </c>
      <c r="F207" s="17" t="s">
        <v>46</v>
      </c>
      <c r="G207" s="18" t="s">
        <v>149</v>
      </c>
      <c r="H207" s="18">
        <v>12</v>
      </c>
      <c r="I207" s="27">
        <v>0</v>
      </c>
      <c r="J207" s="18">
        <v>-1</v>
      </c>
      <c r="K207" s="18">
        <v>0</v>
      </c>
      <c r="L207" s="28" t="s">
        <v>147</v>
      </c>
      <c r="M207" s="18">
        <v>0</v>
      </c>
      <c r="N207">
        <v>100000</v>
      </c>
      <c r="O207" s="29">
        <v>1980000</v>
      </c>
    </row>
    <row r="208" spans="1:15">
      <c r="A208" s="1">
        <f t="shared" si="3"/>
        <v>10220010</v>
      </c>
      <c r="B208" s="17">
        <v>102200</v>
      </c>
      <c r="C208" s="17">
        <v>1</v>
      </c>
      <c r="D208" s="17" t="s">
        <v>47</v>
      </c>
      <c r="E208" s="17">
        <v>102200001</v>
      </c>
      <c r="F208" s="17" t="s">
        <v>48</v>
      </c>
      <c r="G208" s="18" t="s">
        <v>146</v>
      </c>
      <c r="H208" s="18">
        <v>10</v>
      </c>
      <c r="I208" s="27">
        <v>0</v>
      </c>
      <c r="J208" s="18">
        <v>-1</v>
      </c>
      <c r="K208" s="18">
        <v>0</v>
      </c>
      <c r="L208" s="28" t="s">
        <v>147</v>
      </c>
      <c r="M208" s="18">
        <v>0</v>
      </c>
      <c r="N208">
        <v>1000</v>
      </c>
      <c r="O208" s="29">
        <v>1980000</v>
      </c>
    </row>
    <row r="209" spans="1:15">
      <c r="A209" s="1">
        <f t="shared" si="3"/>
        <v>10220011</v>
      </c>
      <c r="B209" s="17">
        <v>102200</v>
      </c>
      <c r="C209" s="17">
        <v>1</v>
      </c>
      <c r="D209" s="17" t="s">
        <v>47</v>
      </c>
      <c r="E209" s="17">
        <v>102200001</v>
      </c>
      <c r="F209" s="17" t="s">
        <v>48</v>
      </c>
      <c r="G209" s="18" t="s">
        <v>148</v>
      </c>
      <c r="H209" s="18">
        <v>11</v>
      </c>
      <c r="I209" s="27">
        <v>0</v>
      </c>
      <c r="J209" s="18">
        <v>-1</v>
      </c>
      <c r="K209" s="18">
        <v>0</v>
      </c>
      <c r="L209" s="28" t="s">
        <v>147</v>
      </c>
      <c r="M209" s="18">
        <v>0</v>
      </c>
      <c r="N209">
        <v>10000</v>
      </c>
      <c r="O209" s="29">
        <v>1980000</v>
      </c>
    </row>
    <row r="210" spans="1:15">
      <c r="A210" s="1">
        <f t="shared" si="3"/>
        <v>10220012</v>
      </c>
      <c r="B210" s="17">
        <v>102200</v>
      </c>
      <c r="C210" s="17">
        <v>1</v>
      </c>
      <c r="D210" s="17" t="s">
        <v>47</v>
      </c>
      <c r="E210" s="17">
        <v>102200001</v>
      </c>
      <c r="F210" s="17" t="s">
        <v>48</v>
      </c>
      <c r="G210" s="18" t="s">
        <v>149</v>
      </c>
      <c r="H210" s="18">
        <v>12</v>
      </c>
      <c r="I210" s="27">
        <v>0</v>
      </c>
      <c r="J210" s="18">
        <v>-1</v>
      </c>
      <c r="K210" s="18">
        <v>0</v>
      </c>
      <c r="L210" s="28" t="s">
        <v>147</v>
      </c>
      <c r="M210" s="18">
        <v>0</v>
      </c>
      <c r="N210">
        <v>100000</v>
      </c>
      <c r="O210" s="29">
        <v>1980000</v>
      </c>
    </row>
    <row r="211" spans="1:15">
      <c r="A211" s="1">
        <f t="shared" si="3"/>
        <v>10170010</v>
      </c>
      <c r="B211" s="17">
        <v>101700</v>
      </c>
      <c r="C211" s="17">
        <v>1</v>
      </c>
      <c r="D211" s="17" t="s">
        <v>49</v>
      </c>
      <c r="E211" s="17">
        <v>101700001</v>
      </c>
      <c r="F211" s="17" t="s">
        <v>50</v>
      </c>
      <c r="G211" s="18" t="s">
        <v>146</v>
      </c>
      <c r="H211" s="18">
        <v>10</v>
      </c>
      <c r="I211" s="27">
        <v>0</v>
      </c>
      <c r="J211" s="18">
        <v>-1</v>
      </c>
      <c r="K211" s="18">
        <v>0</v>
      </c>
      <c r="L211" s="28" t="s">
        <v>147</v>
      </c>
      <c r="M211" s="18">
        <v>0</v>
      </c>
      <c r="N211">
        <v>1000</v>
      </c>
      <c r="O211" s="29">
        <v>1980000</v>
      </c>
    </row>
    <row r="212" spans="1:15">
      <c r="A212" s="1">
        <f t="shared" si="3"/>
        <v>10170011</v>
      </c>
      <c r="B212" s="17">
        <v>101700</v>
      </c>
      <c r="C212" s="17">
        <v>1</v>
      </c>
      <c r="D212" s="17" t="s">
        <v>49</v>
      </c>
      <c r="E212" s="17">
        <v>101700001</v>
      </c>
      <c r="F212" s="17" t="s">
        <v>50</v>
      </c>
      <c r="G212" s="18" t="s">
        <v>148</v>
      </c>
      <c r="H212" s="18">
        <v>11</v>
      </c>
      <c r="I212" s="27">
        <v>0</v>
      </c>
      <c r="J212" s="18">
        <v>-1</v>
      </c>
      <c r="K212" s="18">
        <v>0</v>
      </c>
      <c r="L212" s="28" t="s">
        <v>147</v>
      </c>
      <c r="M212" s="18">
        <v>0</v>
      </c>
      <c r="N212">
        <v>10000</v>
      </c>
      <c r="O212" s="29">
        <v>1980000</v>
      </c>
    </row>
    <row r="213" spans="1:15">
      <c r="A213" s="1">
        <f t="shared" si="3"/>
        <v>10170012</v>
      </c>
      <c r="B213" s="17">
        <v>101700</v>
      </c>
      <c r="C213" s="17">
        <v>1</v>
      </c>
      <c r="D213" s="17" t="s">
        <v>49</v>
      </c>
      <c r="E213" s="17">
        <v>101700001</v>
      </c>
      <c r="F213" s="17" t="s">
        <v>50</v>
      </c>
      <c r="G213" s="18" t="s">
        <v>149</v>
      </c>
      <c r="H213" s="18">
        <v>12</v>
      </c>
      <c r="I213" s="27">
        <v>0</v>
      </c>
      <c r="J213" s="18">
        <v>-1</v>
      </c>
      <c r="K213" s="18">
        <v>0</v>
      </c>
      <c r="L213" s="28" t="s">
        <v>147</v>
      </c>
      <c r="M213" s="18">
        <v>0</v>
      </c>
      <c r="N213">
        <v>100000</v>
      </c>
      <c r="O213" s="29">
        <v>1980000</v>
      </c>
    </row>
    <row r="214" spans="1:15">
      <c r="A214" s="1">
        <f t="shared" si="3"/>
        <v>10210010</v>
      </c>
      <c r="B214" s="17">
        <v>102100</v>
      </c>
      <c r="C214" s="17">
        <v>1</v>
      </c>
      <c r="D214" s="17" t="s">
        <v>51</v>
      </c>
      <c r="E214" s="17">
        <v>102100001</v>
      </c>
      <c r="F214" s="17" t="s">
        <v>52</v>
      </c>
      <c r="G214" s="18" t="s">
        <v>146</v>
      </c>
      <c r="H214" s="18">
        <v>10</v>
      </c>
      <c r="I214" s="27">
        <v>0</v>
      </c>
      <c r="J214" s="18">
        <v>-1</v>
      </c>
      <c r="K214" s="18">
        <v>0</v>
      </c>
      <c r="L214" s="28" t="s">
        <v>147</v>
      </c>
      <c r="M214" s="18">
        <v>0</v>
      </c>
      <c r="N214">
        <v>1000</v>
      </c>
      <c r="O214" s="29">
        <v>1980000</v>
      </c>
    </row>
    <row r="215" spans="1:15">
      <c r="A215" s="1">
        <f t="shared" si="3"/>
        <v>10210011</v>
      </c>
      <c r="B215" s="17">
        <v>102100</v>
      </c>
      <c r="C215" s="17">
        <v>1</v>
      </c>
      <c r="D215" s="17" t="s">
        <v>51</v>
      </c>
      <c r="E215" s="17">
        <v>102100001</v>
      </c>
      <c r="F215" s="17" t="s">
        <v>52</v>
      </c>
      <c r="G215" s="18" t="s">
        <v>148</v>
      </c>
      <c r="H215" s="18">
        <v>11</v>
      </c>
      <c r="I215" s="27">
        <v>0</v>
      </c>
      <c r="J215" s="18">
        <v>-1</v>
      </c>
      <c r="K215" s="18">
        <v>0</v>
      </c>
      <c r="L215" s="28" t="s">
        <v>147</v>
      </c>
      <c r="M215" s="18">
        <v>0</v>
      </c>
      <c r="N215">
        <v>10000</v>
      </c>
      <c r="O215" s="29">
        <v>1980000</v>
      </c>
    </row>
    <row r="216" spans="1:15">
      <c r="A216" s="1">
        <f t="shared" si="3"/>
        <v>10210012</v>
      </c>
      <c r="B216" s="17">
        <v>102100</v>
      </c>
      <c r="C216" s="17">
        <v>1</v>
      </c>
      <c r="D216" s="17" t="s">
        <v>51</v>
      </c>
      <c r="E216" s="17">
        <v>102100001</v>
      </c>
      <c r="F216" s="17" t="s">
        <v>52</v>
      </c>
      <c r="G216" s="18" t="s">
        <v>149</v>
      </c>
      <c r="H216" s="18">
        <v>12</v>
      </c>
      <c r="I216" s="27">
        <v>0</v>
      </c>
      <c r="J216" s="18">
        <v>-1</v>
      </c>
      <c r="K216" s="18">
        <v>0</v>
      </c>
      <c r="L216" s="28" t="s">
        <v>147</v>
      </c>
      <c r="M216" s="18">
        <v>0</v>
      </c>
      <c r="N216">
        <v>100000</v>
      </c>
      <c r="O216" s="29">
        <v>1980000</v>
      </c>
    </row>
    <row r="217" spans="1:15">
      <c r="A217" s="1">
        <f t="shared" si="3"/>
        <v>10180010</v>
      </c>
      <c r="B217" s="17">
        <v>101800</v>
      </c>
      <c r="C217" s="17">
        <v>1</v>
      </c>
      <c r="D217" s="17" t="s">
        <v>53</v>
      </c>
      <c r="E217" s="17">
        <v>101800001</v>
      </c>
      <c r="F217" s="17" t="s">
        <v>54</v>
      </c>
      <c r="G217" s="18" t="s">
        <v>146</v>
      </c>
      <c r="H217" s="18">
        <v>10</v>
      </c>
      <c r="I217" s="27">
        <v>0</v>
      </c>
      <c r="J217" s="18">
        <v>-1</v>
      </c>
      <c r="K217" s="18">
        <v>0</v>
      </c>
      <c r="L217" s="28" t="s">
        <v>147</v>
      </c>
      <c r="M217" s="18">
        <v>0</v>
      </c>
      <c r="N217">
        <v>1000</v>
      </c>
      <c r="O217" s="29">
        <v>1980000</v>
      </c>
    </row>
    <row r="218" spans="1:15">
      <c r="A218" s="1">
        <f t="shared" si="3"/>
        <v>10180011</v>
      </c>
      <c r="B218" s="17">
        <v>101800</v>
      </c>
      <c r="C218" s="17">
        <v>1</v>
      </c>
      <c r="D218" s="17" t="s">
        <v>53</v>
      </c>
      <c r="E218" s="17">
        <v>101800001</v>
      </c>
      <c r="F218" s="17" t="s">
        <v>54</v>
      </c>
      <c r="G218" s="18" t="s">
        <v>148</v>
      </c>
      <c r="H218" s="18">
        <v>11</v>
      </c>
      <c r="I218" s="27">
        <v>0</v>
      </c>
      <c r="J218" s="18">
        <v>-1</v>
      </c>
      <c r="K218" s="18">
        <v>0</v>
      </c>
      <c r="L218" s="28" t="s">
        <v>147</v>
      </c>
      <c r="M218" s="18">
        <v>0</v>
      </c>
      <c r="N218">
        <v>10000</v>
      </c>
      <c r="O218" s="29">
        <v>1980000</v>
      </c>
    </row>
    <row r="219" spans="1:15">
      <c r="A219" s="1">
        <f t="shared" si="3"/>
        <v>10180012</v>
      </c>
      <c r="B219" s="17">
        <v>101800</v>
      </c>
      <c r="C219" s="17">
        <v>1</v>
      </c>
      <c r="D219" s="17" t="s">
        <v>53</v>
      </c>
      <c r="E219" s="17">
        <v>101800001</v>
      </c>
      <c r="F219" s="17" t="s">
        <v>54</v>
      </c>
      <c r="G219" s="18" t="s">
        <v>149</v>
      </c>
      <c r="H219" s="18">
        <v>12</v>
      </c>
      <c r="I219" s="27">
        <v>0</v>
      </c>
      <c r="J219" s="18">
        <v>-1</v>
      </c>
      <c r="K219" s="18">
        <v>0</v>
      </c>
      <c r="L219" s="28" t="s">
        <v>147</v>
      </c>
      <c r="M219" s="18">
        <v>0</v>
      </c>
      <c r="N219">
        <v>100000</v>
      </c>
      <c r="O219" s="29">
        <v>1980000</v>
      </c>
    </row>
    <row r="220" spans="1:15">
      <c r="A220" s="1">
        <f t="shared" si="3"/>
        <v>10250010</v>
      </c>
      <c r="B220" s="17">
        <v>102500</v>
      </c>
      <c r="C220" s="17">
        <v>1</v>
      </c>
      <c r="D220" s="17" t="s">
        <v>55</v>
      </c>
      <c r="E220" s="17">
        <v>102500001</v>
      </c>
      <c r="F220" s="17" t="s">
        <v>56</v>
      </c>
      <c r="G220" s="18" t="s">
        <v>146</v>
      </c>
      <c r="H220" s="18">
        <v>10</v>
      </c>
      <c r="I220" s="27">
        <v>0</v>
      </c>
      <c r="J220" s="18">
        <v>-1</v>
      </c>
      <c r="K220" s="18">
        <v>0</v>
      </c>
      <c r="L220" s="28" t="s">
        <v>147</v>
      </c>
      <c r="M220" s="18">
        <v>0</v>
      </c>
      <c r="N220">
        <v>1000</v>
      </c>
      <c r="O220" s="29">
        <v>1980000</v>
      </c>
    </row>
    <row r="221" spans="1:15">
      <c r="A221" s="1">
        <f t="shared" si="3"/>
        <v>10250011</v>
      </c>
      <c r="B221" s="17">
        <v>102500</v>
      </c>
      <c r="C221" s="17">
        <v>1</v>
      </c>
      <c r="D221" s="17" t="s">
        <v>55</v>
      </c>
      <c r="E221" s="17">
        <v>102500001</v>
      </c>
      <c r="F221" s="17" t="s">
        <v>56</v>
      </c>
      <c r="G221" s="18" t="s">
        <v>148</v>
      </c>
      <c r="H221" s="18">
        <v>11</v>
      </c>
      <c r="I221" s="27">
        <v>0</v>
      </c>
      <c r="J221" s="18">
        <v>-1</v>
      </c>
      <c r="K221" s="18">
        <v>0</v>
      </c>
      <c r="L221" s="28" t="s">
        <v>147</v>
      </c>
      <c r="M221" s="18">
        <v>0</v>
      </c>
      <c r="N221">
        <v>10000</v>
      </c>
      <c r="O221" s="29">
        <v>1980000</v>
      </c>
    </row>
    <row r="222" spans="1:15">
      <c r="A222" s="1">
        <f t="shared" si="3"/>
        <v>10250012</v>
      </c>
      <c r="B222" s="17">
        <v>102500</v>
      </c>
      <c r="C222" s="17">
        <v>1</v>
      </c>
      <c r="D222" s="17" t="s">
        <v>55</v>
      </c>
      <c r="E222" s="17">
        <v>102500001</v>
      </c>
      <c r="F222" s="17" t="s">
        <v>56</v>
      </c>
      <c r="G222" s="18" t="s">
        <v>149</v>
      </c>
      <c r="H222" s="18">
        <v>12</v>
      </c>
      <c r="I222" s="27">
        <v>0</v>
      </c>
      <c r="J222" s="18">
        <v>-1</v>
      </c>
      <c r="K222" s="18">
        <v>0</v>
      </c>
      <c r="L222" s="28" t="s">
        <v>147</v>
      </c>
      <c r="M222" s="18">
        <v>0</v>
      </c>
      <c r="N222">
        <v>100000</v>
      </c>
      <c r="O222" s="29">
        <v>1980000</v>
      </c>
    </row>
    <row r="223" spans="1:15">
      <c r="A223" s="1">
        <f t="shared" si="3"/>
        <v>10230010</v>
      </c>
      <c r="B223" s="17">
        <v>102300</v>
      </c>
      <c r="C223" s="17">
        <v>1</v>
      </c>
      <c r="D223" s="17" t="s">
        <v>57</v>
      </c>
      <c r="E223" s="17">
        <v>102300001</v>
      </c>
      <c r="F223" s="17" t="s">
        <v>58</v>
      </c>
      <c r="G223" s="18" t="s">
        <v>146</v>
      </c>
      <c r="H223" s="18">
        <v>10</v>
      </c>
      <c r="I223" s="27">
        <v>0</v>
      </c>
      <c r="J223" s="18">
        <v>-1</v>
      </c>
      <c r="K223" s="18">
        <v>0</v>
      </c>
      <c r="L223" s="28" t="s">
        <v>147</v>
      </c>
      <c r="M223" s="18">
        <v>0</v>
      </c>
      <c r="N223">
        <v>1000</v>
      </c>
      <c r="O223" s="29">
        <v>1980000</v>
      </c>
    </row>
    <row r="224" spans="1:15">
      <c r="A224" s="1">
        <f t="shared" si="3"/>
        <v>10230011</v>
      </c>
      <c r="B224" s="17">
        <v>102300</v>
      </c>
      <c r="C224" s="17">
        <v>1</v>
      </c>
      <c r="D224" s="17" t="s">
        <v>57</v>
      </c>
      <c r="E224" s="17">
        <v>102300001</v>
      </c>
      <c r="F224" s="17" t="s">
        <v>58</v>
      </c>
      <c r="G224" s="18" t="s">
        <v>148</v>
      </c>
      <c r="H224" s="18">
        <v>11</v>
      </c>
      <c r="I224" s="27">
        <v>0</v>
      </c>
      <c r="J224" s="18">
        <v>-1</v>
      </c>
      <c r="K224" s="18">
        <v>0</v>
      </c>
      <c r="L224" s="28" t="s">
        <v>147</v>
      </c>
      <c r="M224" s="18">
        <v>0</v>
      </c>
      <c r="N224">
        <v>10000</v>
      </c>
      <c r="O224" s="29">
        <v>1980000</v>
      </c>
    </row>
    <row r="225" spans="1:15">
      <c r="A225" s="1">
        <f t="shared" si="3"/>
        <v>10230012</v>
      </c>
      <c r="B225" s="17">
        <v>102300</v>
      </c>
      <c r="C225" s="17">
        <v>1</v>
      </c>
      <c r="D225" s="17" t="s">
        <v>57</v>
      </c>
      <c r="E225" s="17">
        <v>102300001</v>
      </c>
      <c r="F225" s="17" t="s">
        <v>58</v>
      </c>
      <c r="G225" s="18" t="s">
        <v>149</v>
      </c>
      <c r="H225" s="18">
        <v>12</v>
      </c>
      <c r="I225" s="27">
        <v>0</v>
      </c>
      <c r="J225" s="18">
        <v>-1</v>
      </c>
      <c r="K225" s="18">
        <v>0</v>
      </c>
      <c r="L225" s="28" t="s">
        <v>147</v>
      </c>
      <c r="M225" s="18">
        <v>0</v>
      </c>
      <c r="N225">
        <v>100000</v>
      </c>
      <c r="O225" s="29">
        <v>1980000</v>
      </c>
    </row>
    <row r="226" spans="1:15">
      <c r="A226" s="1">
        <f t="shared" si="3"/>
        <v>10340010</v>
      </c>
      <c r="B226" s="5">
        <v>103400</v>
      </c>
      <c r="C226" s="5">
        <v>1</v>
      </c>
      <c r="D226" s="5" t="s">
        <v>59</v>
      </c>
      <c r="E226" s="14">
        <v>103000001</v>
      </c>
      <c r="F226" s="14" t="s">
        <v>60</v>
      </c>
      <c r="G226" s="18" t="s">
        <v>146</v>
      </c>
      <c r="H226" s="1">
        <v>10</v>
      </c>
      <c r="I226" s="3">
        <v>0</v>
      </c>
      <c r="J226" s="18">
        <v>-1</v>
      </c>
      <c r="K226" s="18">
        <v>0</v>
      </c>
      <c r="L226" s="28" t="s">
        <v>147</v>
      </c>
      <c r="M226" s="18">
        <v>0</v>
      </c>
      <c r="N226">
        <v>1000</v>
      </c>
      <c r="O226" s="29">
        <v>1980000</v>
      </c>
    </row>
    <row r="227" spans="1:15">
      <c r="A227" s="1">
        <f t="shared" si="3"/>
        <v>10340011</v>
      </c>
      <c r="B227" s="5">
        <v>103400</v>
      </c>
      <c r="C227" s="5">
        <v>1</v>
      </c>
      <c r="D227" s="5" t="s">
        <v>59</v>
      </c>
      <c r="E227" s="14">
        <v>103000001</v>
      </c>
      <c r="F227" s="14" t="s">
        <v>60</v>
      </c>
      <c r="G227" s="18" t="s">
        <v>148</v>
      </c>
      <c r="H227" s="1">
        <v>11</v>
      </c>
      <c r="I227" s="3">
        <v>0</v>
      </c>
      <c r="J227" s="18">
        <v>-1</v>
      </c>
      <c r="K227" s="18">
        <v>0</v>
      </c>
      <c r="L227" s="28" t="s">
        <v>147</v>
      </c>
      <c r="M227" s="18">
        <v>0</v>
      </c>
      <c r="N227">
        <v>10000</v>
      </c>
      <c r="O227" s="29">
        <v>1980000</v>
      </c>
    </row>
    <row r="228" spans="1:15">
      <c r="A228" s="1">
        <f t="shared" si="3"/>
        <v>10340012</v>
      </c>
      <c r="B228" s="5">
        <v>103400</v>
      </c>
      <c r="C228" s="5">
        <v>1</v>
      </c>
      <c r="D228" s="5" t="s">
        <v>59</v>
      </c>
      <c r="E228" s="14">
        <v>103000001</v>
      </c>
      <c r="F228" s="14" t="s">
        <v>60</v>
      </c>
      <c r="G228" s="18" t="s">
        <v>149</v>
      </c>
      <c r="H228" s="1">
        <v>12</v>
      </c>
      <c r="I228" s="3">
        <v>0</v>
      </c>
      <c r="J228" s="18">
        <v>-1</v>
      </c>
      <c r="K228" s="18">
        <v>0</v>
      </c>
      <c r="L228" s="28" t="s">
        <v>147</v>
      </c>
      <c r="M228" s="18">
        <v>0</v>
      </c>
      <c r="N228">
        <v>100000</v>
      </c>
      <c r="O228" s="29">
        <v>1980000</v>
      </c>
    </row>
    <row r="229" spans="1:15">
      <c r="A229" s="1">
        <f t="shared" si="3"/>
        <v>10350010</v>
      </c>
      <c r="B229" s="5">
        <v>103500</v>
      </c>
      <c r="C229" s="5">
        <v>1</v>
      </c>
      <c r="D229" s="5" t="s">
        <v>61</v>
      </c>
      <c r="E229" s="14">
        <v>102900001</v>
      </c>
      <c r="F229" s="14" t="s">
        <v>62</v>
      </c>
      <c r="G229" s="18" t="s">
        <v>146</v>
      </c>
      <c r="H229" s="1">
        <v>10</v>
      </c>
      <c r="I229" s="3">
        <v>0</v>
      </c>
      <c r="J229" s="18">
        <v>-1</v>
      </c>
      <c r="K229" s="18">
        <v>0</v>
      </c>
      <c r="L229" s="28" t="s">
        <v>147</v>
      </c>
      <c r="M229" s="18">
        <v>0</v>
      </c>
      <c r="N229">
        <v>1000</v>
      </c>
      <c r="O229" s="29">
        <v>1980000</v>
      </c>
    </row>
    <row r="230" spans="1:15">
      <c r="A230" s="1">
        <f t="shared" si="3"/>
        <v>10350011</v>
      </c>
      <c r="B230" s="5">
        <v>103500</v>
      </c>
      <c r="C230" s="5">
        <v>1</v>
      </c>
      <c r="D230" s="5" t="s">
        <v>61</v>
      </c>
      <c r="E230" s="14">
        <v>102900001</v>
      </c>
      <c r="F230" s="14" t="s">
        <v>62</v>
      </c>
      <c r="G230" s="18" t="s">
        <v>148</v>
      </c>
      <c r="H230" s="1">
        <v>11</v>
      </c>
      <c r="I230" s="3">
        <v>0</v>
      </c>
      <c r="J230" s="18">
        <v>-1</v>
      </c>
      <c r="K230" s="18">
        <v>0</v>
      </c>
      <c r="L230" s="28" t="s">
        <v>147</v>
      </c>
      <c r="M230" s="18">
        <v>0</v>
      </c>
      <c r="N230">
        <v>10000</v>
      </c>
      <c r="O230" s="29">
        <v>1980000</v>
      </c>
    </row>
    <row r="231" spans="1:15">
      <c r="A231" s="1">
        <f t="shared" si="3"/>
        <v>10350012</v>
      </c>
      <c r="B231" s="5">
        <v>103500</v>
      </c>
      <c r="C231" s="5">
        <v>1</v>
      </c>
      <c r="D231" s="5" t="s">
        <v>61</v>
      </c>
      <c r="E231" s="14">
        <v>102900001</v>
      </c>
      <c r="F231" s="14" t="s">
        <v>62</v>
      </c>
      <c r="G231" s="18" t="s">
        <v>149</v>
      </c>
      <c r="H231" s="1">
        <v>12</v>
      </c>
      <c r="I231" s="3">
        <v>0</v>
      </c>
      <c r="J231" s="18">
        <v>-1</v>
      </c>
      <c r="K231" s="18">
        <v>0</v>
      </c>
      <c r="L231" s="28" t="s">
        <v>147</v>
      </c>
      <c r="M231" s="18">
        <v>0</v>
      </c>
      <c r="N231">
        <v>100000</v>
      </c>
      <c r="O231" s="29">
        <v>1980000</v>
      </c>
    </row>
    <row r="232" spans="1:15">
      <c r="A232" s="1">
        <f t="shared" si="3"/>
        <v>10350110</v>
      </c>
      <c r="B232" s="5">
        <v>103501</v>
      </c>
      <c r="C232" s="5">
        <v>1</v>
      </c>
      <c r="D232" s="5" t="s">
        <v>63</v>
      </c>
      <c r="E232" s="14">
        <v>103501001</v>
      </c>
      <c r="F232" s="14" t="s">
        <v>64</v>
      </c>
      <c r="G232" s="18" t="s">
        <v>146</v>
      </c>
      <c r="H232" s="1">
        <v>10</v>
      </c>
      <c r="I232" s="3">
        <v>0</v>
      </c>
      <c r="J232" s="18">
        <v>-1</v>
      </c>
      <c r="K232" s="1">
        <v>0</v>
      </c>
      <c r="L232" s="28" t="s">
        <v>147</v>
      </c>
      <c r="M232" s="18">
        <v>0</v>
      </c>
      <c r="N232">
        <v>1000</v>
      </c>
      <c r="O232" s="29">
        <v>1980000</v>
      </c>
    </row>
    <row r="233" spans="1:15">
      <c r="A233" s="1">
        <f t="shared" si="3"/>
        <v>10350111</v>
      </c>
      <c r="B233" s="5">
        <v>103501</v>
      </c>
      <c r="C233" s="5">
        <v>1</v>
      </c>
      <c r="D233" s="5" t="s">
        <v>63</v>
      </c>
      <c r="E233" s="14">
        <v>103501001</v>
      </c>
      <c r="F233" s="14" t="s">
        <v>64</v>
      </c>
      <c r="G233" s="18" t="s">
        <v>148</v>
      </c>
      <c r="H233" s="1">
        <v>11</v>
      </c>
      <c r="I233" s="3">
        <v>0</v>
      </c>
      <c r="J233" s="18">
        <v>-1</v>
      </c>
      <c r="K233" s="1">
        <v>0</v>
      </c>
      <c r="L233" s="28" t="s">
        <v>147</v>
      </c>
      <c r="M233" s="18">
        <v>0</v>
      </c>
      <c r="N233">
        <v>10000</v>
      </c>
      <c r="O233" s="29">
        <v>1980000</v>
      </c>
    </row>
    <row r="234" spans="1:15">
      <c r="A234" s="1">
        <f t="shared" si="3"/>
        <v>10350112</v>
      </c>
      <c r="B234" s="5">
        <v>103501</v>
      </c>
      <c r="C234" s="5">
        <v>1</v>
      </c>
      <c r="D234" s="5" t="s">
        <v>63</v>
      </c>
      <c r="E234" s="14">
        <v>103501001</v>
      </c>
      <c r="F234" s="14" t="s">
        <v>64</v>
      </c>
      <c r="G234" s="18" t="s">
        <v>149</v>
      </c>
      <c r="H234" s="1">
        <v>12</v>
      </c>
      <c r="I234" s="3">
        <v>0</v>
      </c>
      <c r="J234" s="18">
        <v>-1</v>
      </c>
      <c r="K234" s="1">
        <v>0</v>
      </c>
      <c r="L234" s="28" t="s">
        <v>147</v>
      </c>
      <c r="M234" s="18">
        <v>0</v>
      </c>
      <c r="N234">
        <v>100000</v>
      </c>
      <c r="O234" s="29">
        <v>1980000</v>
      </c>
    </row>
    <row r="235" spans="1:15">
      <c r="A235" s="1">
        <f t="shared" si="3"/>
        <v>10200010</v>
      </c>
      <c r="B235" s="5">
        <v>102000</v>
      </c>
      <c r="C235" s="5">
        <v>1</v>
      </c>
      <c r="D235" s="5" t="s">
        <v>65</v>
      </c>
      <c r="E235" s="14">
        <v>102000001</v>
      </c>
      <c r="F235" s="14" t="s">
        <v>66</v>
      </c>
      <c r="G235" s="18" t="s">
        <v>146</v>
      </c>
      <c r="H235" s="1">
        <v>10</v>
      </c>
      <c r="I235" s="3">
        <v>0</v>
      </c>
      <c r="J235" s="18">
        <v>-1</v>
      </c>
      <c r="K235" s="1">
        <v>0</v>
      </c>
      <c r="L235" s="28" t="s">
        <v>147</v>
      </c>
      <c r="M235" s="18">
        <v>0</v>
      </c>
      <c r="N235">
        <v>1125</v>
      </c>
      <c r="O235" s="29">
        <v>1980000</v>
      </c>
    </row>
    <row r="236" spans="1:15">
      <c r="A236" s="1">
        <f t="shared" si="3"/>
        <v>10200011</v>
      </c>
      <c r="B236" s="5">
        <v>102000</v>
      </c>
      <c r="C236" s="5">
        <v>1</v>
      </c>
      <c r="D236" s="5" t="s">
        <v>65</v>
      </c>
      <c r="E236" s="14">
        <v>102000001</v>
      </c>
      <c r="F236" s="14" t="s">
        <v>66</v>
      </c>
      <c r="G236" s="18" t="s">
        <v>148</v>
      </c>
      <c r="H236" s="1">
        <v>11</v>
      </c>
      <c r="I236" s="3">
        <v>0</v>
      </c>
      <c r="J236" s="18">
        <v>-1</v>
      </c>
      <c r="K236" s="1">
        <v>0</v>
      </c>
      <c r="L236" s="28" t="s">
        <v>147</v>
      </c>
      <c r="M236" s="18">
        <v>0</v>
      </c>
      <c r="N236">
        <v>11250</v>
      </c>
      <c r="O236" s="29">
        <v>1980000</v>
      </c>
    </row>
    <row r="237" spans="1:15">
      <c r="A237" s="1">
        <f t="shared" si="3"/>
        <v>10200012</v>
      </c>
      <c r="B237" s="5">
        <v>102000</v>
      </c>
      <c r="C237" s="5">
        <v>1</v>
      </c>
      <c r="D237" s="5" t="s">
        <v>65</v>
      </c>
      <c r="E237" s="14">
        <v>102000001</v>
      </c>
      <c r="F237" s="14" t="s">
        <v>66</v>
      </c>
      <c r="G237" s="18" t="s">
        <v>149</v>
      </c>
      <c r="H237" s="1">
        <v>12</v>
      </c>
      <c r="I237" s="3">
        <v>0</v>
      </c>
      <c r="J237" s="18">
        <v>-1</v>
      </c>
      <c r="K237" s="1">
        <v>0</v>
      </c>
      <c r="L237" s="28" t="s">
        <v>147</v>
      </c>
      <c r="M237" s="18">
        <v>0</v>
      </c>
      <c r="N237">
        <v>112500</v>
      </c>
      <c r="O237" s="29">
        <v>1980000</v>
      </c>
    </row>
    <row r="238" spans="1:15">
      <c r="A238" s="1">
        <f t="shared" si="3"/>
        <v>10360010</v>
      </c>
      <c r="B238" s="5">
        <v>103600</v>
      </c>
      <c r="C238" s="5">
        <v>1</v>
      </c>
      <c r="D238" s="5" t="s">
        <v>67</v>
      </c>
      <c r="E238" s="14">
        <v>103600001</v>
      </c>
      <c r="F238" s="14" t="s">
        <v>68</v>
      </c>
      <c r="G238" s="18" t="s">
        <v>146</v>
      </c>
      <c r="H238" s="1">
        <v>10</v>
      </c>
      <c r="I238" s="3">
        <v>0</v>
      </c>
      <c r="J238" s="18">
        <v>-1</v>
      </c>
      <c r="K238" s="1">
        <v>0</v>
      </c>
      <c r="L238" s="28" t="s">
        <v>147</v>
      </c>
      <c r="M238" s="18">
        <v>0</v>
      </c>
      <c r="N238">
        <v>1000</v>
      </c>
      <c r="O238" s="29">
        <v>1980000</v>
      </c>
    </row>
    <row r="239" spans="1:15">
      <c r="A239" s="1">
        <f t="shared" si="3"/>
        <v>10360011</v>
      </c>
      <c r="B239" s="5">
        <v>103600</v>
      </c>
      <c r="C239" s="5">
        <v>1</v>
      </c>
      <c r="D239" s="5" t="s">
        <v>67</v>
      </c>
      <c r="E239" s="14">
        <v>103600001</v>
      </c>
      <c r="F239" s="14" t="s">
        <v>68</v>
      </c>
      <c r="G239" s="18" t="s">
        <v>148</v>
      </c>
      <c r="H239" s="1">
        <v>11</v>
      </c>
      <c r="I239" s="3">
        <v>0</v>
      </c>
      <c r="J239" s="18">
        <v>-1</v>
      </c>
      <c r="K239" s="1">
        <v>0</v>
      </c>
      <c r="L239" s="28" t="s">
        <v>147</v>
      </c>
      <c r="M239" s="18">
        <v>0</v>
      </c>
      <c r="N239">
        <v>10000</v>
      </c>
      <c r="O239" s="29">
        <v>1980000</v>
      </c>
    </row>
    <row r="240" spans="1:15">
      <c r="A240" s="1">
        <f t="shared" si="3"/>
        <v>10360012</v>
      </c>
      <c r="B240" s="5">
        <v>103600</v>
      </c>
      <c r="C240" s="5">
        <v>1</v>
      </c>
      <c r="D240" s="5" t="s">
        <v>67</v>
      </c>
      <c r="E240" s="14">
        <v>103600001</v>
      </c>
      <c r="F240" s="14" t="s">
        <v>68</v>
      </c>
      <c r="G240" s="18" t="s">
        <v>149</v>
      </c>
      <c r="H240" s="1">
        <v>12</v>
      </c>
      <c r="I240" s="3">
        <v>0</v>
      </c>
      <c r="J240" s="18">
        <v>-1</v>
      </c>
      <c r="K240" s="1">
        <v>0</v>
      </c>
      <c r="L240" s="28" t="s">
        <v>147</v>
      </c>
      <c r="M240" s="18">
        <v>0</v>
      </c>
      <c r="N240">
        <v>100000</v>
      </c>
      <c r="O240" s="29">
        <v>1980000</v>
      </c>
    </row>
    <row r="241" spans="1:19">
      <c r="A241" s="1">
        <f t="shared" si="3"/>
        <v>10280010</v>
      </c>
      <c r="B241" s="5">
        <v>102800</v>
      </c>
      <c r="C241" s="5">
        <v>1</v>
      </c>
      <c r="D241" s="5" t="s">
        <v>69</v>
      </c>
      <c r="E241" s="14">
        <v>102800001</v>
      </c>
      <c r="F241" s="14" t="s">
        <v>70</v>
      </c>
      <c r="G241" s="18" t="s">
        <v>146</v>
      </c>
      <c r="H241" s="1">
        <v>10</v>
      </c>
      <c r="I241" s="3">
        <v>0</v>
      </c>
      <c r="J241" s="18">
        <v>-1</v>
      </c>
      <c r="K241" s="1">
        <v>0</v>
      </c>
      <c r="L241" s="28" t="s">
        <v>147</v>
      </c>
      <c r="M241" s="18">
        <v>0</v>
      </c>
      <c r="N241">
        <v>1000</v>
      </c>
      <c r="O241" s="29">
        <v>1980000</v>
      </c>
    </row>
    <row r="242" spans="1:19">
      <c r="A242" s="1">
        <f t="shared" si="3"/>
        <v>10280011</v>
      </c>
      <c r="B242" s="5">
        <v>102800</v>
      </c>
      <c r="C242" s="5">
        <v>1</v>
      </c>
      <c r="D242" s="5" t="s">
        <v>69</v>
      </c>
      <c r="E242" s="14">
        <v>102800001</v>
      </c>
      <c r="F242" s="14" t="s">
        <v>70</v>
      </c>
      <c r="G242" s="18" t="s">
        <v>148</v>
      </c>
      <c r="H242" s="1">
        <v>11</v>
      </c>
      <c r="I242" s="3">
        <v>0</v>
      </c>
      <c r="J242" s="18">
        <v>-1</v>
      </c>
      <c r="K242" s="1">
        <v>0</v>
      </c>
      <c r="L242" s="28" t="s">
        <v>147</v>
      </c>
      <c r="M242" s="18">
        <v>0</v>
      </c>
      <c r="N242">
        <v>10000</v>
      </c>
      <c r="O242" s="29">
        <v>1980000</v>
      </c>
    </row>
    <row r="243" spans="1:19">
      <c r="A243" s="1">
        <f t="shared" si="3"/>
        <v>10280012</v>
      </c>
      <c r="B243" s="5">
        <v>102800</v>
      </c>
      <c r="C243" s="5">
        <v>1</v>
      </c>
      <c r="D243" s="5" t="s">
        <v>69</v>
      </c>
      <c r="E243" s="14">
        <v>102800001</v>
      </c>
      <c r="F243" s="14" t="s">
        <v>70</v>
      </c>
      <c r="G243" s="18" t="s">
        <v>149</v>
      </c>
      <c r="H243" s="1">
        <v>12</v>
      </c>
      <c r="I243" s="3">
        <v>0</v>
      </c>
      <c r="J243" s="18">
        <v>-1</v>
      </c>
      <c r="K243" s="1">
        <v>0</v>
      </c>
      <c r="L243" s="28" t="s">
        <v>147</v>
      </c>
      <c r="M243" s="18">
        <v>0</v>
      </c>
      <c r="N243">
        <v>100000</v>
      </c>
      <c r="O243" s="29">
        <v>1980000</v>
      </c>
    </row>
    <row r="244" spans="1:19">
      <c r="A244" s="1">
        <v>10340110</v>
      </c>
      <c r="B244" s="5">
        <v>103401</v>
      </c>
      <c r="C244" s="5">
        <v>1</v>
      </c>
      <c r="D244" s="5" t="s">
        <v>71</v>
      </c>
      <c r="E244" s="14">
        <v>103400001</v>
      </c>
      <c r="F244" s="14" t="s">
        <v>72</v>
      </c>
      <c r="G244" s="18" t="s">
        <v>146</v>
      </c>
      <c r="H244" s="1">
        <v>10</v>
      </c>
      <c r="I244" s="3">
        <v>0</v>
      </c>
      <c r="J244" s="18">
        <v>-1</v>
      </c>
      <c r="K244" s="1">
        <v>0</v>
      </c>
      <c r="L244" s="28" t="s">
        <v>147</v>
      </c>
      <c r="M244" s="18">
        <v>0</v>
      </c>
      <c r="N244">
        <v>1000</v>
      </c>
      <c r="O244" s="29">
        <v>1980000</v>
      </c>
    </row>
    <row r="245" spans="1:19">
      <c r="A245" s="1">
        <v>10340111</v>
      </c>
      <c r="B245" s="5">
        <v>103401</v>
      </c>
      <c r="C245" s="5">
        <v>1</v>
      </c>
      <c r="D245" s="5" t="s">
        <v>71</v>
      </c>
      <c r="E245" s="14">
        <v>103400001</v>
      </c>
      <c r="F245" s="14" t="s">
        <v>72</v>
      </c>
      <c r="G245" s="18" t="s">
        <v>148</v>
      </c>
      <c r="H245" s="1">
        <v>11</v>
      </c>
      <c r="I245" s="3">
        <v>0</v>
      </c>
      <c r="J245" s="18">
        <v>-1</v>
      </c>
      <c r="K245" s="1">
        <v>0</v>
      </c>
      <c r="L245" s="28" t="s">
        <v>147</v>
      </c>
      <c r="M245" s="18">
        <v>0</v>
      </c>
      <c r="N245">
        <v>10000</v>
      </c>
      <c r="O245" s="29">
        <v>1980000</v>
      </c>
    </row>
    <row r="246" spans="1:19">
      <c r="A246" s="1">
        <v>10340112</v>
      </c>
      <c r="B246" s="5">
        <v>103401</v>
      </c>
      <c r="C246" s="5">
        <v>1</v>
      </c>
      <c r="D246" s="5" t="s">
        <v>71</v>
      </c>
      <c r="E246" s="14">
        <v>103400001</v>
      </c>
      <c r="F246" s="14" t="s">
        <v>72</v>
      </c>
      <c r="G246" s="18" t="s">
        <v>149</v>
      </c>
      <c r="H246" s="1">
        <v>12</v>
      </c>
      <c r="I246" s="3">
        <v>0</v>
      </c>
      <c r="J246" s="18">
        <v>-1</v>
      </c>
      <c r="K246" s="1">
        <v>0</v>
      </c>
      <c r="L246" s="28" t="s">
        <v>147</v>
      </c>
      <c r="M246" s="18">
        <v>0</v>
      </c>
      <c r="N246">
        <v>100000</v>
      </c>
      <c r="O246" s="29">
        <v>1980000</v>
      </c>
    </row>
    <row r="247" spans="1:19">
      <c r="A247" s="1">
        <v>10380010</v>
      </c>
      <c r="B247" s="5">
        <v>103800</v>
      </c>
      <c r="C247" s="5">
        <v>1</v>
      </c>
      <c r="D247" s="5" t="s">
        <v>73</v>
      </c>
      <c r="E247" s="14">
        <v>103800001</v>
      </c>
      <c r="F247" s="14" t="s">
        <v>74</v>
      </c>
      <c r="G247" s="18" t="s">
        <v>146</v>
      </c>
      <c r="H247" s="1">
        <v>10</v>
      </c>
      <c r="I247" s="3">
        <v>0</v>
      </c>
      <c r="J247" s="18">
        <v>-1</v>
      </c>
      <c r="K247" s="1">
        <v>0</v>
      </c>
      <c r="L247" s="28" t="s">
        <v>147</v>
      </c>
      <c r="M247" s="18">
        <v>0</v>
      </c>
      <c r="N247">
        <v>2000</v>
      </c>
      <c r="O247" s="29">
        <v>1980000</v>
      </c>
    </row>
    <row r="248" spans="1:19">
      <c r="A248" s="1">
        <v>10380011</v>
      </c>
      <c r="B248" s="5">
        <v>103800</v>
      </c>
      <c r="C248" s="5">
        <v>1</v>
      </c>
      <c r="D248" s="5" t="s">
        <v>73</v>
      </c>
      <c r="E248" s="14">
        <v>103800001</v>
      </c>
      <c r="F248" s="14" t="s">
        <v>74</v>
      </c>
      <c r="G248" s="18" t="s">
        <v>148</v>
      </c>
      <c r="H248" s="1">
        <v>11</v>
      </c>
      <c r="I248" s="3">
        <v>0</v>
      </c>
      <c r="J248" s="18">
        <v>-1</v>
      </c>
      <c r="K248" s="1">
        <v>0</v>
      </c>
      <c r="L248" s="28" t="s">
        <v>147</v>
      </c>
      <c r="M248" s="18">
        <v>0</v>
      </c>
      <c r="N248">
        <v>20000</v>
      </c>
      <c r="O248" s="29">
        <v>1980000</v>
      </c>
    </row>
    <row r="249" spans="1:19">
      <c r="A249" s="1">
        <v>10380012</v>
      </c>
      <c r="B249" s="5">
        <v>103800</v>
      </c>
      <c r="C249" s="5">
        <v>1</v>
      </c>
      <c r="D249" s="5" t="s">
        <v>73</v>
      </c>
      <c r="E249" s="14">
        <v>103800001</v>
      </c>
      <c r="F249" s="14" t="s">
        <v>74</v>
      </c>
      <c r="G249" s="18" t="s">
        <v>149</v>
      </c>
      <c r="H249" s="1">
        <v>12</v>
      </c>
      <c r="I249" s="3">
        <v>0</v>
      </c>
      <c r="J249" s="18">
        <v>-1</v>
      </c>
      <c r="K249" s="1">
        <v>0</v>
      </c>
      <c r="L249" s="28" t="s">
        <v>147</v>
      </c>
      <c r="M249" s="18">
        <v>0</v>
      </c>
      <c r="N249">
        <v>200000</v>
      </c>
      <c r="O249" s="29">
        <v>1980000</v>
      </c>
    </row>
    <row r="250" s="2" customFormat="1" spans="1:19">
      <c r="A250" s="1">
        <v>10400010</v>
      </c>
      <c r="B250" s="2">
        <v>104000</v>
      </c>
      <c r="C250" s="2">
        <v>1</v>
      </c>
      <c r="D250" s="2" t="s">
        <v>75</v>
      </c>
      <c r="E250" s="2">
        <v>104000001</v>
      </c>
      <c r="F250" s="2" t="s">
        <v>76</v>
      </c>
      <c r="G250" s="18" t="s">
        <v>146</v>
      </c>
      <c r="H250" s="1">
        <v>10</v>
      </c>
      <c r="I250" s="3">
        <v>0</v>
      </c>
      <c r="J250" s="18">
        <v>-1</v>
      </c>
      <c r="K250" s="1">
        <v>0</v>
      </c>
      <c r="L250" s="28" t="s">
        <v>147</v>
      </c>
      <c r="M250" s="18">
        <v>0</v>
      </c>
      <c r="N250">
        <v>1000</v>
      </c>
      <c r="O250" s="29">
        <v>1980000</v>
      </c>
      <c r="S250" s="23"/>
    </row>
    <row r="251" s="2" customFormat="1" spans="1:19">
      <c r="A251" s="1">
        <v>10400011</v>
      </c>
      <c r="B251" s="2">
        <v>104000</v>
      </c>
      <c r="C251" s="2">
        <v>1</v>
      </c>
      <c r="D251" s="2" t="s">
        <v>75</v>
      </c>
      <c r="E251" s="2">
        <v>104000001</v>
      </c>
      <c r="F251" s="2" t="s">
        <v>76</v>
      </c>
      <c r="G251" s="18" t="s">
        <v>148</v>
      </c>
      <c r="H251" s="1">
        <v>11</v>
      </c>
      <c r="I251" s="3">
        <v>0</v>
      </c>
      <c r="J251" s="18">
        <v>-1</v>
      </c>
      <c r="K251" s="1">
        <v>0</v>
      </c>
      <c r="L251" s="28" t="s">
        <v>147</v>
      </c>
      <c r="M251" s="18">
        <v>0</v>
      </c>
      <c r="N251">
        <v>10000</v>
      </c>
      <c r="O251" s="29">
        <v>1980000</v>
      </c>
      <c r="S251" s="23"/>
    </row>
    <row r="252" s="2" customFormat="1" spans="1:19">
      <c r="A252" s="1">
        <v>10400012</v>
      </c>
      <c r="B252" s="2">
        <v>104000</v>
      </c>
      <c r="C252" s="2">
        <v>1</v>
      </c>
      <c r="D252" s="2" t="s">
        <v>75</v>
      </c>
      <c r="E252" s="2">
        <v>104000001</v>
      </c>
      <c r="F252" s="2" t="s">
        <v>76</v>
      </c>
      <c r="G252" s="18" t="s">
        <v>149</v>
      </c>
      <c r="H252" s="1">
        <v>12</v>
      </c>
      <c r="I252" s="3">
        <v>0</v>
      </c>
      <c r="J252" s="18">
        <v>-1</v>
      </c>
      <c r="K252" s="1">
        <v>0</v>
      </c>
      <c r="L252" s="28" t="s">
        <v>147</v>
      </c>
      <c r="M252" s="18">
        <v>0</v>
      </c>
      <c r="N252">
        <v>100000</v>
      </c>
      <c r="O252" s="29">
        <v>1980000</v>
      </c>
      <c r="S252" s="23"/>
    </row>
    <row r="253" spans="1:19">
      <c r="A253" s="1">
        <v>10370010</v>
      </c>
      <c r="B253" s="5">
        <v>103700</v>
      </c>
      <c r="C253" s="5">
        <v>1</v>
      </c>
      <c r="D253" s="5" t="s">
        <v>110</v>
      </c>
      <c r="E253" s="5">
        <v>103700001</v>
      </c>
      <c r="F253" s="22" t="s">
        <v>111</v>
      </c>
      <c r="G253" s="18" t="s">
        <v>146</v>
      </c>
      <c r="H253" s="1">
        <v>10</v>
      </c>
      <c r="I253" s="3">
        <v>0</v>
      </c>
      <c r="J253" s="18">
        <v>-1</v>
      </c>
      <c r="K253" s="1">
        <v>0</v>
      </c>
      <c r="L253" s="28" t="s">
        <v>147</v>
      </c>
      <c r="M253" s="18">
        <v>0</v>
      </c>
      <c r="N253">
        <v>1000</v>
      </c>
      <c r="O253" s="29">
        <v>1980000</v>
      </c>
    </row>
    <row r="254" spans="1:19">
      <c r="A254" s="1">
        <v>10370011</v>
      </c>
      <c r="B254" s="5">
        <v>103700</v>
      </c>
      <c r="C254" s="5">
        <v>1</v>
      </c>
      <c r="D254" s="5" t="s">
        <v>110</v>
      </c>
      <c r="E254" s="5">
        <v>103700001</v>
      </c>
      <c r="F254" s="22" t="s">
        <v>111</v>
      </c>
      <c r="G254" s="18" t="s">
        <v>148</v>
      </c>
      <c r="H254" s="1">
        <v>11</v>
      </c>
      <c r="I254" s="3">
        <v>0</v>
      </c>
      <c r="J254" s="18">
        <v>-1</v>
      </c>
      <c r="K254" s="1">
        <v>0</v>
      </c>
      <c r="L254" s="28" t="s">
        <v>147</v>
      </c>
      <c r="M254" s="18">
        <v>0</v>
      </c>
      <c r="N254">
        <v>10000</v>
      </c>
      <c r="O254" s="29">
        <v>1980000</v>
      </c>
    </row>
    <row r="255" spans="1:19">
      <c r="A255" s="1">
        <v>10370012</v>
      </c>
      <c r="B255" s="5">
        <v>103700</v>
      </c>
      <c r="C255" s="5">
        <v>1</v>
      </c>
      <c r="D255" s="5" t="s">
        <v>110</v>
      </c>
      <c r="E255" s="5">
        <v>103700001</v>
      </c>
      <c r="F255" s="22" t="s">
        <v>111</v>
      </c>
      <c r="G255" s="18" t="s">
        <v>149</v>
      </c>
      <c r="H255" s="1">
        <v>12</v>
      </c>
      <c r="I255" s="3">
        <v>0</v>
      </c>
      <c r="J255" s="18">
        <v>-1</v>
      </c>
      <c r="K255" s="1">
        <v>0</v>
      </c>
      <c r="L255" s="28" t="s">
        <v>147</v>
      </c>
      <c r="M255" s="18">
        <v>0</v>
      </c>
      <c r="N255">
        <v>100000</v>
      </c>
      <c r="O255" s="29">
        <v>1980000</v>
      </c>
    </row>
    <row r="256" spans="1:19">
      <c r="A256" s="1">
        <v>10310010</v>
      </c>
      <c r="B256" s="5">
        <v>103100</v>
      </c>
      <c r="C256" s="5">
        <v>1</v>
      </c>
      <c r="D256" s="5" t="s">
        <v>112</v>
      </c>
      <c r="E256" s="5">
        <v>103100001</v>
      </c>
      <c r="F256" s="22" t="s">
        <v>113</v>
      </c>
      <c r="G256" s="18" t="s">
        <v>146</v>
      </c>
      <c r="H256" s="1">
        <v>10</v>
      </c>
      <c r="I256" s="3">
        <v>0</v>
      </c>
      <c r="J256" s="18">
        <v>-1</v>
      </c>
      <c r="K256" s="1">
        <v>0</v>
      </c>
      <c r="L256" s="28" t="s">
        <v>147</v>
      </c>
      <c r="M256" s="18">
        <v>0</v>
      </c>
      <c r="N256">
        <v>1000</v>
      </c>
      <c r="O256" s="29">
        <v>1980000</v>
      </c>
    </row>
    <row r="257" spans="1:15">
      <c r="A257" s="1">
        <v>10310011</v>
      </c>
      <c r="B257" s="5">
        <v>103100</v>
      </c>
      <c r="C257" s="5">
        <v>1</v>
      </c>
      <c r="D257" s="5" t="s">
        <v>112</v>
      </c>
      <c r="E257" s="5">
        <v>103100001</v>
      </c>
      <c r="F257" s="22" t="s">
        <v>113</v>
      </c>
      <c r="G257" s="18" t="s">
        <v>148</v>
      </c>
      <c r="H257" s="1">
        <v>11</v>
      </c>
      <c r="I257" s="3">
        <v>0</v>
      </c>
      <c r="J257" s="18">
        <v>-1</v>
      </c>
      <c r="K257" s="1">
        <v>0</v>
      </c>
      <c r="L257" s="28" t="s">
        <v>147</v>
      </c>
      <c r="M257" s="18">
        <v>0</v>
      </c>
      <c r="N257">
        <v>10000</v>
      </c>
      <c r="O257" s="29">
        <v>1980000</v>
      </c>
    </row>
    <row r="258" spans="1:15">
      <c r="A258" s="1">
        <v>10310012</v>
      </c>
      <c r="B258" s="5">
        <v>103100</v>
      </c>
      <c r="C258" s="5">
        <v>1</v>
      </c>
      <c r="D258" s="5" t="s">
        <v>112</v>
      </c>
      <c r="E258" s="5">
        <v>103100001</v>
      </c>
      <c r="F258" s="22" t="s">
        <v>113</v>
      </c>
      <c r="G258" s="18" t="s">
        <v>149</v>
      </c>
      <c r="H258" s="1">
        <v>12</v>
      </c>
      <c r="I258" s="3">
        <v>0</v>
      </c>
      <c r="J258" s="18">
        <v>-1</v>
      </c>
      <c r="K258" s="1">
        <v>0</v>
      </c>
      <c r="L258" s="28" t="s">
        <v>147</v>
      </c>
      <c r="M258" s="18">
        <v>0</v>
      </c>
      <c r="N258">
        <v>100000</v>
      </c>
      <c r="O258" s="29">
        <v>1980000</v>
      </c>
    </row>
    <row r="259" spans="1:15">
      <c r="A259" s="1">
        <v>10270010</v>
      </c>
      <c r="B259" s="5">
        <v>102700</v>
      </c>
      <c r="C259" s="5">
        <v>1</v>
      </c>
      <c r="D259" s="5" t="s">
        <v>114</v>
      </c>
      <c r="E259" s="5">
        <v>102700001</v>
      </c>
      <c r="F259" s="22" t="s">
        <v>115</v>
      </c>
      <c r="G259" s="18" t="s">
        <v>146</v>
      </c>
      <c r="H259" s="1">
        <v>10</v>
      </c>
      <c r="I259" s="3">
        <v>0</v>
      </c>
      <c r="J259" s="18">
        <v>-1</v>
      </c>
      <c r="K259" s="1">
        <v>0</v>
      </c>
      <c r="L259" s="28" t="s">
        <v>147</v>
      </c>
      <c r="M259" s="18">
        <v>0</v>
      </c>
      <c r="N259">
        <v>1000</v>
      </c>
      <c r="O259" s="29">
        <v>1980000</v>
      </c>
    </row>
    <row r="260" spans="1:15">
      <c r="A260" s="1">
        <v>10270011</v>
      </c>
      <c r="B260" s="5">
        <v>102700</v>
      </c>
      <c r="C260" s="5">
        <v>1</v>
      </c>
      <c r="D260" s="5" t="s">
        <v>114</v>
      </c>
      <c r="E260" s="5">
        <v>102700001</v>
      </c>
      <c r="F260" s="22" t="s">
        <v>115</v>
      </c>
      <c r="G260" s="18" t="s">
        <v>148</v>
      </c>
      <c r="H260" s="1">
        <v>11</v>
      </c>
      <c r="I260" s="3">
        <v>0</v>
      </c>
      <c r="J260" s="18">
        <v>-1</v>
      </c>
      <c r="K260" s="1">
        <v>0</v>
      </c>
      <c r="L260" s="28" t="s">
        <v>147</v>
      </c>
      <c r="M260" s="18">
        <v>0</v>
      </c>
      <c r="N260">
        <v>10000</v>
      </c>
      <c r="O260" s="29">
        <v>1980000</v>
      </c>
    </row>
    <row r="261" spans="1:15">
      <c r="A261" s="1">
        <v>10270012</v>
      </c>
      <c r="B261" s="5">
        <v>102700</v>
      </c>
      <c r="C261" s="5">
        <v>1</v>
      </c>
      <c r="D261" s="5" t="s">
        <v>114</v>
      </c>
      <c r="E261" s="5">
        <v>102700001</v>
      </c>
      <c r="F261" s="22" t="s">
        <v>115</v>
      </c>
      <c r="G261" s="18" t="s">
        <v>149</v>
      </c>
      <c r="H261" s="1">
        <v>12</v>
      </c>
      <c r="I261" s="3">
        <v>0</v>
      </c>
      <c r="J261" s="18">
        <v>-1</v>
      </c>
      <c r="K261" s="1">
        <v>0</v>
      </c>
      <c r="L261" s="28" t="s">
        <v>147</v>
      </c>
      <c r="M261" s="18">
        <v>0</v>
      </c>
      <c r="N261">
        <v>100000</v>
      </c>
      <c r="O261" s="29">
        <v>1980000</v>
      </c>
    </row>
    <row r="262" spans="1:15">
      <c r="A262" s="1">
        <v>10390010</v>
      </c>
      <c r="B262" s="5">
        <v>103900</v>
      </c>
      <c r="C262" s="5">
        <v>1</v>
      </c>
      <c r="D262" s="5" t="s">
        <v>116</v>
      </c>
      <c r="E262" s="5">
        <v>103900001</v>
      </c>
      <c r="F262" s="5" t="s">
        <v>117</v>
      </c>
      <c r="G262" s="18" t="s">
        <v>146</v>
      </c>
      <c r="H262" s="1">
        <v>10</v>
      </c>
      <c r="I262" s="3">
        <v>0</v>
      </c>
      <c r="J262" s="18">
        <v>-1</v>
      </c>
      <c r="K262" s="1">
        <v>0</v>
      </c>
      <c r="L262" s="28" t="s">
        <v>147</v>
      </c>
      <c r="M262" s="18">
        <v>0</v>
      </c>
      <c r="N262">
        <v>1000</v>
      </c>
      <c r="O262" s="29">
        <v>1980000</v>
      </c>
    </row>
    <row r="263" spans="1:15">
      <c r="A263" s="1">
        <v>10390011</v>
      </c>
      <c r="B263" s="5">
        <v>103900</v>
      </c>
      <c r="C263" s="5">
        <v>1</v>
      </c>
      <c r="D263" s="5" t="s">
        <v>116</v>
      </c>
      <c r="E263" s="5">
        <v>103900001</v>
      </c>
      <c r="F263" s="5" t="s">
        <v>117</v>
      </c>
      <c r="G263" s="18" t="s">
        <v>148</v>
      </c>
      <c r="H263" s="1">
        <v>11</v>
      </c>
      <c r="I263" s="3">
        <v>0</v>
      </c>
      <c r="J263" s="18">
        <v>-1</v>
      </c>
      <c r="K263" s="1">
        <v>0</v>
      </c>
      <c r="L263" s="28" t="s">
        <v>147</v>
      </c>
      <c r="M263" s="18">
        <v>0</v>
      </c>
      <c r="N263">
        <v>10000</v>
      </c>
      <c r="O263" s="29">
        <v>1980000</v>
      </c>
    </row>
    <row r="264" spans="1:15">
      <c r="A264" s="1">
        <v>10390012</v>
      </c>
      <c r="B264" s="5">
        <v>103900</v>
      </c>
      <c r="C264" s="5">
        <v>1</v>
      </c>
      <c r="D264" s="5" t="s">
        <v>116</v>
      </c>
      <c r="E264" s="5">
        <v>103900001</v>
      </c>
      <c r="F264" s="5" t="s">
        <v>117</v>
      </c>
      <c r="G264" s="18" t="s">
        <v>149</v>
      </c>
      <c r="H264" s="1">
        <v>12</v>
      </c>
      <c r="I264" s="3">
        <v>0</v>
      </c>
      <c r="J264" s="18">
        <v>-1</v>
      </c>
      <c r="K264" s="1">
        <v>0</v>
      </c>
      <c r="L264" s="28" t="s">
        <v>147</v>
      </c>
      <c r="M264" s="18">
        <v>0</v>
      </c>
      <c r="N264">
        <v>100000</v>
      </c>
      <c r="O264" s="29">
        <v>1980000</v>
      </c>
    </row>
    <row r="265" spans="1:15">
      <c r="A265" s="1">
        <v>10150010</v>
      </c>
      <c r="B265" s="5">
        <v>101500</v>
      </c>
      <c r="C265" s="5">
        <v>1</v>
      </c>
      <c r="D265" s="5" t="s">
        <v>118</v>
      </c>
      <c r="E265" s="5">
        <v>101500001</v>
      </c>
      <c r="F265" s="5" t="s">
        <v>119</v>
      </c>
      <c r="G265" s="18" t="s">
        <v>146</v>
      </c>
      <c r="H265" s="1">
        <v>10</v>
      </c>
      <c r="I265" s="3">
        <v>0</v>
      </c>
      <c r="J265" s="18">
        <v>-1</v>
      </c>
      <c r="K265" s="1">
        <v>0</v>
      </c>
      <c r="L265" s="28" t="s">
        <v>147</v>
      </c>
      <c r="M265" s="18">
        <v>0</v>
      </c>
      <c r="N265">
        <v>1000</v>
      </c>
      <c r="O265" s="29">
        <v>1980000</v>
      </c>
    </row>
    <row r="266" spans="1:15">
      <c r="A266" s="1">
        <v>10150011</v>
      </c>
      <c r="B266" s="5">
        <v>101500</v>
      </c>
      <c r="C266" s="5">
        <v>1</v>
      </c>
      <c r="D266" s="5" t="s">
        <v>118</v>
      </c>
      <c r="E266" s="5">
        <v>101500001</v>
      </c>
      <c r="F266" s="5" t="s">
        <v>119</v>
      </c>
      <c r="G266" s="18" t="s">
        <v>148</v>
      </c>
      <c r="H266" s="1">
        <v>11</v>
      </c>
      <c r="I266" s="3">
        <v>0</v>
      </c>
      <c r="J266" s="18">
        <v>-1</v>
      </c>
      <c r="K266" s="1">
        <v>0</v>
      </c>
      <c r="L266" s="28" t="s">
        <v>147</v>
      </c>
      <c r="M266" s="18">
        <v>0</v>
      </c>
      <c r="N266">
        <v>10000</v>
      </c>
      <c r="O266" s="29">
        <v>1980000</v>
      </c>
    </row>
    <row r="267" spans="1:15">
      <c r="A267" s="1">
        <v>10150012</v>
      </c>
      <c r="B267" s="5">
        <v>101500</v>
      </c>
      <c r="C267" s="5">
        <v>1</v>
      </c>
      <c r="D267" s="5" t="s">
        <v>118</v>
      </c>
      <c r="E267" s="5">
        <v>101500001</v>
      </c>
      <c r="F267" s="5" t="s">
        <v>119</v>
      </c>
      <c r="G267" s="18" t="s">
        <v>149</v>
      </c>
      <c r="H267" s="1">
        <v>12</v>
      </c>
      <c r="I267" s="3">
        <v>0</v>
      </c>
      <c r="J267" s="18">
        <v>-1</v>
      </c>
      <c r="K267" s="1">
        <v>0</v>
      </c>
      <c r="L267" s="28" t="s">
        <v>147</v>
      </c>
      <c r="M267" s="18">
        <v>0</v>
      </c>
      <c r="N267">
        <v>100000</v>
      </c>
      <c r="O267" s="29">
        <v>1980000</v>
      </c>
    </row>
    <row r="268" spans="1:15">
      <c r="A268" s="1">
        <v>10530010</v>
      </c>
      <c r="B268" s="5">
        <v>105300</v>
      </c>
      <c r="C268" s="5">
        <v>1</v>
      </c>
      <c r="D268" s="5" t="s">
        <v>120</v>
      </c>
      <c r="E268" s="5">
        <v>105300001</v>
      </c>
      <c r="F268" s="14" t="s">
        <v>121</v>
      </c>
      <c r="G268" s="18" t="s">
        <v>146</v>
      </c>
      <c r="H268" s="1">
        <v>10</v>
      </c>
      <c r="I268" s="3">
        <v>0</v>
      </c>
      <c r="J268" s="18">
        <v>-1</v>
      </c>
      <c r="K268" s="1">
        <v>0</v>
      </c>
      <c r="L268" s="28" t="s">
        <v>147</v>
      </c>
      <c r="M268" s="18">
        <v>0</v>
      </c>
      <c r="N268">
        <v>1000</v>
      </c>
      <c r="O268" s="29">
        <v>1980000</v>
      </c>
    </row>
    <row r="269" spans="1:15">
      <c r="A269" s="1">
        <v>10530011</v>
      </c>
      <c r="B269" s="5">
        <v>105300</v>
      </c>
      <c r="C269" s="5">
        <v>1</v>
      </c>
      <c r="D269" s="5" t="s">
        <v>120</v>
      </c>
      <c r="E269" s="5">
        <v>105300001</v>
      </c>
      <c r="F269" s="14" t="s">
        <v>121</v>
      </c>
      <c r="G269" s="18" t="s">
        <v>148</v>
      </c>
      <c r="H269" s="1">
        <v>11</v>
      </c>
      <c r="I269" s="3">
        <v>0</v>
      </c>
      <c r="J269" s="18">
        <v>-1</v>
      </c>
      <c r="K269" s="1">
        <v>0</v>
      </c>
      <c r="L269" s="28" t="s">
        <v>147</v>
      </c>
      <c r="M269" s="18">
        <v>0</v>
      </c>
      <c r="N269">
        <v>10000</v>
      </c>
      <c r="O269" s="29">
        <v>1980000</v>
      </c>
    </row>
    <row r="270" spans="1:15">
      <c r="A270" s="1">
        <v>10530012</v>
      </c>
      <c r="B270" s="5">
        <v>105300</v>
      </c>
      <c r="C270" s="5">
        <v>1</v>
      </c>
      <c r="D270" s="5" t="s">
        <v>120</v>
      </c>
      <c r="E270" s="5">
        <v>105300001</v>
      </c>
      <c r="F270" s="14" t="s">
        <v>121</v>
      </c>
      <c r="G270" s="18" t="s">
        <v>149</v>
      </c>
      <c r="H270" s="1">
        <v>12</v>
      </c>
      <c r="I270" s="3">
        <v>0</v>
      </c>
      <c r="J270" s="18">
        <v>-1</v>
      </c>
      <c r="K270" s="1">
        <v>0</v>
      </c>
      <c r="L270" s="28" t="s">
        <v>147</v>
      </c>
      <c r="M270" s="18">
        <v>0</v>
      </c>
      <c r="N270">
        <v>100000</v>
      </c>
      <c r="O270" s="29">
        <v>1980000</v>
      </c>
    </row>
    <row r="271" spans="1:15">
      <c r="A271" s="1">
        <v>10510010</v>
      </c>
      <c r="B271" s="5">
        <v>105100</v>
      </c>
      <c r="C271" s="5">
        <v>1</v>
      </c>
      <c r="D271" s="5" t="s">
        <v>122</v>
      </c>
      <c r="E271" s="5">
        <v>105100001</v>
      </c>
      <c r="F271" s="22" t="s">
        <v>123</v>
      </c>
      <c r="G271" s="18" t="s">
        <v>146</v>
      </c>
      <c r="H271" s="1">
        <v>10</v>
      </c>
      <c r="I271" s="3">
        <v>0</v>
      </c>
      <c r="J271" s="18">
        <v>-1</v>
      </c>
      <c r="K271" s="1">
        <v>0</v>
      </c>
      <c r="L271" s="28" t="s">
        <v>147</v>
      </c>
      <c r="M271" s="18">
        <v>0</v>
      </c>
      <c r="N271">
        <v>1000</v>
      </c>
      <c r="O271" s="29">
        <v>1980000</v>
      </c>
    </row>
    <row r="272" spans="1:15">
      <c r="A272" s="1">
        <v>10510011</v>
      </c>
      <c r="B272" s="5">
        <v>105100</v>
      </c>
      <c r="C272" s="5">
        <v>1</v>
      </c>
      <c r="D272" s="5" t="s">
        <v>122</v>
      </c>
      <c r="E272" s="5">
        <v>105100001</v>
      </c>
      <c r="F272" s="22" t="s">
        <v>123</v>
      </c>
      <c r="G272" s="18" t="s">
        <v>148</v>
      </c>
      <c r="H272" s="1">
        <v>11</v>
      </c>
      <c r="I272" s="3">
        <v>0</v>
      </c>
      <c r="J272" s="18">
        <v>-1</v>
      </c>
      <c r="K272" s="1">
        <v>0</v>
      </c>
      <c r="L272" s="28" t="s">
        <v>147</v>
      </c>
      <c r="M272" s="18">
        <v>0</v>
      </c>
      <c r="N272">
        <v>10000</v>
      </c>
      <c r="O272" s="29">
        <v>1980000</v>
      </c>
    </row>
    <row r="273" spans="1:19">
      <c r="A273" s="1">
        <v>10510012</v>
      </c>
      <c r="B273" s="5">
        <v>105100</v>
      </c>
      <c r="C273" s="5">
        <v>1</v>
      </c>
      <c r="D273" s="5" t="s">
        <v>122</v>
      </c>
      <c r="E273" s="5">
        <v>105100001</v>
      </c>
      <c r="F273" s="22" t="s">
        <v>123</v>
      </c>
      <c r="G273" s="18" t="s">
        <v>149</v>
      </c>
      <c r="H273" s="1">
        <v>12</v>
      </c>
      <c r="I273" s="3">
        <v>0</v>
      </c>
      <c r="J273" s="18">
        <v>-1</v>
      </c>
      <c r="K273" s="1">
        <v>0</v>
      </c>
      <c r="L273" s="28" t="s">
        <v>147</v>
      </c>
      <c r="M273" s="18">
        <v>0</v>
      </c>
      <c r="N273">
        <v>100000</v>
      </c>
      <c r="O273" s="29">
        <v>1980000</v>
      </c>
    </row>
    <row r="274" s="2" customFormat="1" spans="1:19">
      <c r="A274" s="1">
        <v>10550010</v>
      </c>
      <c r="B274" s="2">
        <v>105500</v>
      </c>
      <c r="C274" s="5">
        <v>1</v>
      </c>
      <c r="D274" s="24" t="s">
        <v>124</v>
      </c>
      <c r="E274" s="2">
        <v>105500001</v>
      </c>
      <c r="F274" s="22" t="s">
        <v>125</v>
      </c>
      <c r="G274" s="30" t="s">
        <v>146</v>
      </c>
      <c r="H274" s="2">
        <v>10</v>
      </c>
      <c r="I274" s="23">
        <v>0</v>
      </c>
      <c r="J274" s="30">
        <v>-1</v>
      </c>
      <c r="K274" s="2">
        <v>0</v>
      </c>
      <c r="L274" s="31" t="s">
        <v>147</v>
      </c>
      <c r="M274" s="30">
        <v>0</v>
      </c>
      <c r="N274" s="22">
        <v>1000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10550011</v>
      </c>
      <c r="B275" s="2">
        <v>105500</v>
      </c>
      <c r="C275" s="5">
        <v>1</v>
      </c>
      <c r="D275" s="24" t="s">
        <v>124</v>
      </c>
      <c r="E275" s="2">
        <v>105500001</v>
      </c>
      <c r="F275" s="22" t="s">
        <v>125</v>
      </c>
      <c r="G275" s="30" t="s">
        <v>148</v>
      </c>
      <c r="H275" s="2">
        <v>11</v>
      </c>
      <c r="I275" s="23">
        <v>0</v>
      </c>
      <c r="J275" s="30">
        <v>-1</v>
      </c>
      <c r="K275" s="2">
        <v>0</v>
      </c>
      <c r="L275" s="31" t="s">
        <v>147</v>
      </c>
      <c r="M275" s="30">
        <v>0</v>
      </c>
      <c r="N275" s="22">
        <v>10000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10550012</v>
      </c>
      <c r="B276" s="2">
        <v>105500</v>
      </c>
      <c r="C276" s="5">
        <v>1</v>
      </c>
      <c r="D276" s="24" t="s">
        <v>124</v>
      </c>
      <c r="E276" s="2">
        <v>105500001</v>
      </c>
      <c r="F276" s="22" t="s">
        <v>125</v>
      </c>
      <c r="G276" s="30" t="s">
        <v>149</v>
      </c>
      <c r="H276" s="2">
        <v>12</v>
      </c>
      <c r="I276" s="23">
        <v>0</v>
      </c>
      <c r="J276" s="30">
        <v>-1</v>
      </c>
      <c r="K276" s="2">
        <v>0</v>
      </c>
      <c r="L276" s="31" t="s">
        <v>147</v>
      </c>
      <c r="M276" s="30">
        <v>0</v>
      </c>
      <c r="N276" s="22">
        <v>100000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10550110</v>
      </c>
      <c r="B277" s="2">
        <v>105501</v>
      </c>
      <c r="C277" s="5">
        <v>1</v>
      </c>
      <c r="D277" s="24" t="s">
        <v>126</v>
      </c>
      <c r="E277" s="2">
        <v>105501001</v>
      </c>
      <c r="F277" s="22" t="s">
        <v>127</v>
      </c>
      <c r="G277" s="30" t="s">
        <v>146</v>
      </c>
      <c r="H277" s="2">
        <v>10</v>
      </c>
      <c r="I277" s="23">
        <v>0</v>
      </c>
      <c r="J277" s="30">
        <v>-1</v>
      </c>
      <c r="K277" s="2">
        <v>0</v>
      </c>
      <c r="L277" s="31" t="s">
        <v>147</v>
      </c>
      <c r="M277" s="30">
        <v>0</v>
      </c>
      <c r="N277" s="22">
        <v>1000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10550111</v>
      </c>
      <c r="B278" s="2">
        <v>105501</v>
      </c>
      <c r="C278" s="5">
        <v>1</v>
      </c>
      <c r="D278" s="24" t="s">
        <v>126</v>
      </c>
      <c r="E278" s="2">
        <v>105501001</v>
      </c>
      <c r="F278" s="22" t="s">
        <v>127</v>
      </c>
      <c r="G278" s="30" t="s">
        <v>148</v>
      </c>
      <c r="H278" s="2">
        <v>11</v>
      </c>
      <c r="I278" s="23">
        <v>0</v>
      </c>
      <c r="J278" s="30">
        <v>-1</v>
      </c>
      <c r="K278" s="2">
        <v>0</v>
      </c>
      <c r="L278" s="31" t="s">
        <v>147</v>
      </c>
      <c r="M278" s="30">
        <v>0</v>
      </c>
      <c r="N278" s="22">
        <v>10000</v>
      </c>
      <c r="O278" s="29">
        <v>1980000</v>
      </c>
      <c r="P278" s="2"/>
      <c r="Q278" s="2"/>
      <c r="R278" s="2"/>
      <c r="S278" s="23"/>
    </row>
    <row r="279" s="2" customFormat="1" spans="1:19">
      <c r="A279" s="1">
        <v>10550112</v>
      </c>
      <c r="B279" s="2">
        <v>105501</v>
      </c>
      <c r="C279" s="5">
        <v>1</v>
      </c>
      <c r="D279" s="24" t="s">
        <v>126</v>
      </c>
      <c r="E279" s="2">
        <v>105501001</v>
      </c>
      <c r="F279" s="22" t="s">
        <v>127</v>
      </c>
      <c r="G279" s="30" t="s">
        <v>149</v>
      </c>
      <c r="H279" s="2">
        <v>12</v>
      </c>
      <c r="I279" s="23">
        <v>0</v>
      </c>
      <c r="J279" s="30">
        <v>-1</v>
      </c>
      <c r="K279" s="2">
        <v>0</v>
      </c>
      <c r="L279" s="31" t="s">
        <v>147</v>
      </c>
      <c r="M279" s="30">
        <v>0</v>
      </c>
      <c r="N279" s="22">
        <v>100000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10550210</v>
      </c>
      <c r="B280" s="2">
        <v>105502</v>
      </c>
      <c r="C280" s="5">
        <v>1</v>
      </c>
      <c r="D280" s="24" t="s">
        <v>128</v>
      </c>
      <c r="E280" s="2">
        <v>105502001</v>
      </c>
      <c r="F280" s="22" t="s">
        <v>129</v>
      </c>
      <c r="G280" s="30" t="s">
        <v>146</v>
      </c>
      <c r="H280" s="2">
        <v>10</v>
      </c>
      <c r="I280" s="23">
        <v>0</v>
      </c>
      <c r="J280" s="30">
        <v>-1</v>
      </c>
      <c r="K280" s="2">
        <v>0</v>
      </c>
      <c r="L280" s="31" t="s">
        <v>147</v>
      </c>
      <c r="M280" s="30">
        <v>0</v>
      </c>
      <c r="N280" s="22">
        <v>1000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10550211</v>
      </c>
      <c r="B281" s="2">
        <v>105502</v>
      </c>
      <c r="C281" s="5">
        <v>1</v>
      </c>
      <c r="D281" s="24" t="s">
        <v>128</v>
      </c>
      <c r="E281" s="2">
        <v>105502001</v>
      </c>
      <c r="F281" s="22" t="s">
        <v>129</v>
      </c>
      <c r="G281" s="30" t="s">
        <v>148</v>
      </c>
      <c r="H281" s="2">
        <v>11</v>
      </c>
      <c r="I281" s="23">
        <v>0</v>
      </c>
      <c r="J281" s="30">
        <v>-1</v>
      </c>
      <c r="K281" s="2">
        <v>0</v>
      </c>
      <c r="L281" s="31" t="s">
        <v>147</v>
      </c>
      <c r="M281" s="30">
        <v>0</v>
      </c>
      <c r="N281" s="22">
        <v>10000</v>
      </c>
      <c r="O281" s="29">
        <v>1980000</v>
      </c>
      <c r="P281" s="2"/>
      <c r="Q281" s="2"/>
      <c r="R281" s="2"/>
      <c r="S281" s="23"/>
    </row>
    <row r="282" s="2" customFormat="1" spans="1:19">
      <c r="A282" s="1">
        <v>10550212</v>
      </c>
      <c r="B282" s="2">
        <v>105502</v>
      </c>
      <c r="C282" s="5">
        <v>1</v>
      </c>
      <c r="D282" s="24" t="s">
        <v>128</v>
      </c>
      <c r="E282" s="2">
        <v>105502001</v>
      </c>
      <c r="F282" s="22" t="s">
        <v>129</v>
      </c>
      <c r="G282" s="30" t="s">
        <v>149</v>
      </c>
      <c r="H282" s="2">
        <v>12</v>
      </c>
      <c r="I282" s="23">
        <v>0</v>
      </c>
      <c r="J282" s="30">
        <v>-1</v>
      </c>
      <c r="K282" s="2">
        <v>0</v>
      </c>
      <c r="L282" s="31" t="s">
        <v>147</v>
      </c>
      <c r="M282" s="30">
        <v>0</v>
      </c>
      <c r="N282" s="22">
        <v>100000</v>
      </c>
      <c r="O282" s="29">
        <v>1980000</v>
      </c>
      <c r="P282" s="2"/>
      <c r="Q282" s="2"/>
      <c r="R282" s="2"/>
      <c r="S282" s="23"/>
    </row>
    <row r="283" s="1" customFormat="1" spans="1:19">
      <c r="A283" s="1">
        <v>10010021</v>
      </c>
      <c r="B283" s="5">
        <v>100100</v>
      </c>
      <c r="C283" s="5">
        <v>1</v>
      </c>
      <c r="D283" s="5" t="s">
        <v>30</v>
      </c>
      <c r="E283" s="14">
        <v>100100026</v>
      </c>
      <c r="F283" s="14" t="s">
        <v>31</v>
      </c>
      <c r="G283" s="32" t="s">
        <v>152</v>
      </c>
      <c r="H283" s="1">
        <v>21</v>
      </c>
      <c r="I283" s="3">
        <v>0</v>
      </c>
      <c r="J283" s="1">
        <v>-1</v>
      </c>
      <c r="K283" s="1">
        <v>0</v>
      </c>
      <c r="L283" s="4" t="s">
        <v>33</v>
      </c>
      <c r="M283" s="33" t="s">
        <v>34</v>
      </c>
      <c r="N283">
        <v>1000</v>
      </c>
      <c r="O283" s="16">
        <v>1990000</v>
      </c>
      <c r="S283" s="3"/>
    </row>
    <row r="284" s="1" customFormat="1" spans="1:19">
      <c r="A284" s="1">
        <v>10010022</v>
      </c>
      <c r="B284" s="5">
        <v>100100</v>
      </c>
      <c r="C284" s="5">
        <v>1</v>
      </c>
      <c r="D284" s="5" t="s">
        <v>30</v>
      </c>
      <c r="E284" s="14">
        <v>100100026</v>
      </c>
      <c r="F284" s="14" t="s">
        <v>31</v>
      </c>
      <c r="G284" s="32" t="s">
        <v>153</v>
      </c>
      <c r="H284" s="1">
        <v>22</v>
      </c>
      <c r="I284" s="3">
        <v>10000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</v>
      </c>
      <c r="O284" s="16">
        <v>1990000</v>
      </c>
      <c r="S284" s="3"/>
    </row>
    <row r="285" s="1" customFormat="1" spans="1:19">
      <c r="A285" s="1">
        <v>10010023</v>
      </c>
      <c r="B285" s="5">
        <v>100100</v>
      </c>
      <c r="C285" s="5">
        <v>1</v>
      </c>
      <c r="D285" s="5" t="s">
        <v>30</v>
      </c>
      <c r="E285" s="14">
        <v>100100026</v>
      </c>
      <c r="F285" s="14" t="s">
        <v>31</v>
      </c>
      <c r="G285" s="32" t="s">
        <v>154</v>
      </c>
      <c r="H285" s="1">
        <v>23</v>
      </c>
      <c r="I285" s="3">
        <v>100000</v>
      </c>
      <c r="J285" s="1">
        <v>-1</v>
      </c>
      <c r="K285" s="1">
        <v>0</v>
      </c>
      <c r="L285" s="4" t="s">
        <v>33</v>
      </c>
      <c r="M285" s="33" t="s">
        <v>34</v>
      </c>
      <c r="N285">
        <v>100000</v>
      </c>
      <c r="O285" s="16">
        <v>1990000</v>
      </c>
      <c r="S285" s="3"/>
    </row>
    <row r="286" s="1" customFormat="1" spans="1:19">
      <c r="A286" s="1">
        <v>10030021</v>
      </c>
      <c r="B286" s="5">
        <v>100300</v>
      </c>
      <c r="C286" s="5">
        <v>1</v>
      </c>
      <c r="D286" s="5" t="s">
        <v>37</v>
      </c>
      <c r="E286" s="14">
        <v>100300001</v>
      </c>
      <c r="F286" s="14" t="s">
        <v>38</v>
      </c>
      <c r="G286" s="32" t="s">
        <v>152</v>
      </c>
      <c r="H286" s="1">
        <v>21</v>
      </c>
      <c r="I286" s="3">
        <v>0</v>
      </c>
      <c r="J286" s="1">
        <v>-1</v>
      </c>
      <c r="K286" s="1">
        <v>0</v>
      </c>
      <c r="L286" s="4" t="s">
        <v>33</v>
      </c>
      <c r="M286" s="33" t="s">
        <v>34</v>
      </c>
      <c r="N286">
        <v>1000</v>
      </c>
      <c r="O286" s="16">
        <v>1990000</v>
      </c>
      <c r="S286" s="3"/>
    </row>
    <row r="287" s="1" customFormat="1" spans="1:19">
      <c r="A287" s="1">
        <v>10030022</v>
      </c>
      <c r="B287" s="5">
        <v>100300</v>
      </c>
      <c r="C287" s="5">
        <v>1</v>
      </c>
      <c r="D287" s="5" t="s">
        <v>37</v>
      </c>
      <c r="E287" s="14">
        <v>100300001</v>
      </c>
      <c r="F287" s="14" t="s">
        <v>38</v>
      </c>
      <c r="G287" s="32" t="s">
        <v>153</v>
      </c>
      <c r="H287" s="1">
        <v>22</v>
      </c>
      <c r="I287" s="3">
        <v>10000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</v>
      </c>
      <c r="O287" s="16">
        <v>1990000</v>
      </c>
      <c r="S287" s="3"/>
    </row>
    <row r="288" s="1" customFormat="1" spans="1:19">
      <c r="A288" s="1">
        <v>10030023</v>
      </c>
      <c r="B288" s="5">
        <v>100300</v>
      </c>
      <c r="C288" s="5">
        <v>1</v>
      </c>
      <c r="D288" s="5" t="s">
        <v>37</v>
      </c>
      <c r="E288" s="14">
        <v>100300001</v>
      </c>
      <c r="F288" s="14" t="s">
        <v>38</v>
      </c>
      <c r="G288" s="32" t="s">
        <v>154</v>
      </c>
      <c r="H288" s="1">
        <v>23</v>
      </c>
      <c r="I288" s="3">
        <v>100000</v>
      </c>
      <c r="J288" s="1">
        <v>-1</v>
      </c>
      <c r="K288" s="1">
        <v>0</v>
      </c>
      <c r="L288" s="4" t="s">
        <v>33</v>
      </c>
      <c r="M288" s="33" t="s">
        <v>34</v>
      </c>
      <c r="N288">
        <v>100000</v>
      </c>
      <c r="O288" s="16">
        <v>1990000</v>
      </c>
      <c r="S288" s="3"/>
    </row>
    <row r="289" s="1" customFormat="1" spans="1:19">
      <c r="A289" s="1">
        <v>10070021</v>
      </c>
      <c r="B289" s="5">
        <v>100700</v>
      </c>
      <c r="C289" s="5">
        <v>1</v>
      </c>
      <c r="D289" s="5" t="s">
        <v>39</v>
      </c>
      <c r="E289" s="14">
        <v>100700001</v>
      </c>
      <c r="F289" s="14" t="s">
        <v>40</v>
      </c>
      <c r="G289" s="32" t="s">
        <v>152</v>
      </c>
      <c r="H289" s="1">
        <v>21</v>
      </c>
      <c r="I289" s="3">
        <v>0</v>
      </c>
      <c r="J289" s="1">
        <v>-1</v>
      </c>
      <c r="K289" s="1">
        <v>0</v>
      </c>
      <c r="L289" s="4" t="s">
        <v>33</v>
      </c>
      <c r="M289" s="33" t="s">
        <v>34</v>
      </c>
      <c r="N289">
        <v>1000</v>
      </c>
      <c r="O289" s="16">
        <v>1990000</v>
      </c>
      <c r="S289" s="3"/>
    </row>
    <row r="290" s="1" customFormat="1" spans="1:19">
      <c r="A290" s="1">
        <v>10070022</v>
      </c>
      <c r="B290" s="5">
        <v>100700</v>
      </c>
      <c r="C290" s="5">
        <v>1</v>
      </c>
      <c r="D290" s="5" t="s">
        <v>39</v>
      </c>
      <c r="E290" s="14">
        <v>100700001</v>
      </c>
      <c r="F290" s="14" t="s">
        <v>40</v>
      </c>
      <c r="G290" s="32" t="s">
        <v>153</v>
      </c>
      <c r="H290" s="1">
        <v>22</v>
      </c>
      <c r="I290" s="3">
        <v>10000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</v>
      </c>
      <c r="O290" s="16">
        <v>1990000</v>
      </c>
      <c r="S290" s="3"/>
    </row>
    <row r="291" s="1" customFormat="1" spans="1:19">
      <c r="A291" s="1">
        <v>10070023</v>
      </c>
      <c r="B291" s="5">
        <v>100700</v>
      </c>
      <c r="C291" s="5">
        <v>1</v>
      </c>
      <c r="D291" s="5" t="s">
        <v>39</v>
      </c>
      <c r="E291" s="14">
        <v>100700001</v>
      </c>
      <c r="F291" s="14" t="s">
        <v>40</v>
      </c>
      <c r="G291" s="32" t="s">
        <v>154</v>
      </c>
      <c r="H291" s="1">
        <v>23</v>
      </c>
      <c r="I291" s="3">
        <v>100000</v>
      </c>
      <c r="J291" s="1">
        <v>-1</v>
      </c>
      <c r="K291" s="1">
        <v>0</v>
      </c>
      <c r="L291" s="4" t="s">
        <v>33</v>
      </c>
      <c r="M291" s="33" t="s">
        <v>34</v>
      </c>
      <c r="N291">
        <v>100000</v>
      </c>
      <c r="O291" s="16">
        <v>1990000</v>
      </c>
      <c r="S291" s="3"/>
    </row>
    <row r="292" s="1" customFormat="1" spans="1:19">
      <c r="A292" s="1">
        <v>10120021</v>
      </c>
      <c r="B292" s="5">
        <v>101200</v>
      </c>
      <c r="C292" s="5">
        <v>1</v>
      </c>
      <c r="D292" s="5" t="s">
        <v>41</v>
      </c>
      <c r="E292" s="14">
        <v>101200001</v>
      </c>
      <c r="F292" s="14" t="s">
        <v>42</v>
      </c>
      <c r="G292" s="32" t="s">
        <v>152</v>
      </c>
      <c r="H292" s="1">
        <v>21</v>
      </c>
      <c r="I292" s="3">
        <v>0</v>
      </c>
      <c r="J292" s="1">
        <v>-1</v>
      </c>
      <c r="K292" s="1">
        <v>0</v>
      </c>
      <c r="L292" s="4" t="s">
        <v>33</v>
      </c>
      <c r="M292" s="33" t="s">
        <v>34</v>
      </c>
      <c r="N292">
        <v>120</v>
      </c>
      <c r="O292" s="16">
        <v>1990000</v>
      </c>
      <c r="S292" s="3"/>
    </row>
    <row r="293" s="1" customFormat="1" spans="1:19">
      <c r="A293" s="1">
        <v>10120022</v>
      </c>
      <c r="B293" s="5">
        <v>101200</v>
      </c>
      <c r="C293" s="5">
        <v>1</v>
      </c>
      <c r="D293" s="5" t="s">
        <v>41</v>
      </c>
      <c r="E293" s="14">
        <v>101200001</v>
      </c>
      <c r="F293" s="14" t="s">
        <v>42</v>
      </c>
      <c r="G293" s="32" t="s">
        <v>153</v>
      </c>
      <c r="H293" s="1">
        <v>22</v>
      </c>
      <c r="I293" s="3">
        <v>15000</v>
      </c>
      <c r="J293" s="1">
        <v>-1</v>
      </c>
      <c r="K293" s="1">
        <v>0</v>
      </c>
      <c r="L293" s="4" t="s">
        <v>33</v>
      </c>
      <c r="M293" s="33" t="s">
        <v>34</v>
      </c>
      <c r="N293">
        <v>15000</v>
      </c>
      <c r="O293" s="16">
        <v>1990000</v>
      </c>
      <c r="S293" s="3"/>
    </row>
    <row r="294" s="1" customFormat="1" spans="1:19">
      <c r="A294" s="1">
        <v>10120023</v>
      </c>
      <c r="B294" s="5">
        <v>101200</v>
      </c>
      <c r="C294" s="5">
        <v>1</v>
      </c>
      <c r="D294" s="5" t="s">
        <v>41</v>
      </c>
      <c r="E294" s="14">
        <v>101200001</v>
      </c>
      <c r="F294" s="14" t="s">
        <v>42</v>
      </c>
      <c r="G294" s="32" t="s">
        <v>154</v>
      </c>
      <c r="H294" s="1">
        <v>23</v>
      </c>
      <c r="I294" s="3">
        <v>150000</v>
      </c>
      <c r="J294" s="1">
        <v>-1</v>
      </c>
      <c r="K294" s="1">
        <v>0</v>
      </c>
      <c r="L294" s="4" t="s">
        <v>33</v>
      </c>
      <c r="M294" s="33" t="s">
        <v>34</v>
      </c>
      <c r="N294">
        <v>150000</v>
      </c>
      <c r="O294" s="16">
        <v>1990000</v>
      </c>
      <c r="S294" s="3"/>
    </row>
    <row r="295" s="1" customFormat="1" spans="1:19">
      <c r="A295" s="1">
        <v>10140021</v>
      </c>
      <c r="B295" s="5">
        <v>101400</v>
      </c>
      <c r="C295" s="5">
        <v>1</v>
      </c>
      <c r="D295" s="5" t="s">
        <v>43</v>
      </c>
      <c r="E295" s="14">
        <v>101400001</v>
      </c>
      <c r="F295" s="14" t="s">
        <v>44</v>
      </c>
      <c r="G295" s="32" t="s">
        <v>152</v>
      </c>
      <c r="H295" s="1">
        <v>21</v>
      </c>
      <c r="I295" s="3">
        <v>0</v>
      </c>
      <c r="J295" s="1">
        <v>-1</v>
      </c>
      <c r="K295" s="1">
        <v>0</v>
      </c>
      <c r="L295" s="4" t="s">
        <v>33</v>
      </c>
      <c r="M295" s="33" t="s">
        <v>34</v>
      </c>
      <c r="N295">
        <v>1000</v>
      </c>
      <c r="O295" s="16">
        <v>1990000</v>
      </c>
      <c r="S295" s="3"/>
    </row>
    <row r="296" s="1" customFormat="1" spans="1:19">
      <c r="A296" s="1">
        <v>10140022</v>
      </c>
      <c r="B296" s="5">
        <v>101400</v>
      </c>
      <c r="C296" s="5">
        <v>1</v>
      </c>
      <c r="D296" s="5" t="s">
        <v>43</v>
      </c>
      <c r="E296" s="14">
        <v>101400001</v>
      </c>
      <c r="F296" s="14" t="s">
        <v>44</v>
      </c>
      <c r="G296" s="32" t="s">
        <v>153</v>
      </c>
      <c r="H296" s="1">
        <v>22</v>
      </c>
      <c r="I296" s="3">
        <v>10000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</v>
      </c>
      <c r="O296" s="16">
        <v>1990000</v>
      </c>
      <c r="S296" s="3"/>
    </row>
    <row r="297" s="1" customFormat="1" spans="1:19">
      <c r="A297" s="1">
        <v>10140023</v>
      </c>
      <c r="B297" s="5">
        <v>101400</v>
      </c>
      <c r="C297" s="5">
        <v>1</v>
      </c>
      <c r="D297" s="5" t="s">
        <v>43</v>
      </c>
      <c r="E297" s="14">
        <v>101400001</v>
      </c>
      <c r="F297" s="14" t="s">
        <v>44</v>
      </c>
      <c r="G297" s="32" t="s">
        <v>154</v>
      </c>
      <c r="H297" s="1">
        <v>23</v>
      </c>
      <c r="I297" s="3">
        <v>100000</v>
      </c>
      <c r="J297" s="1">
        <v>-1</v>
      </c>
      <c r="K297" s="1">
        <v>0</v>
      </c>
      <c r="L297" s="4" t="s">
        <v>33</v>
      </c>
      <c r="M297" s="33" t="s">
        <v>34</v>
      </c>
      <c r="N297">
        <v>100000</v>
      </c>
      <c r="O297" s="16">
        <v>1990000</v>
      </c>
      <c r="S297" s="3"/>
    </row>
    <row r="298" s="1" customFormat="1" spans="1:19">
      <c r="A298" s="1">
        <v>10240021</v>
      </c>
      <c r="B298" s="5">
        <v>102400</v>
      </c>
      <c r="C298" s="5">
        <v>1</v>
      </c>
      <c r="D298" s="5" t="s">
        <v>45</v>
      </c>
      <c r="E298" s="14">
        <v>102400026</v>
      </c>
      <c r="F298" s="14" t="s">
        <v>46</v>
      </c>
      <c r="G298" s="32" t="s">
        <v>152</v>
      </c>
      <c r="H298" s="1">
        <v>21</v>
      </c>
      <c r="I298" s="3">
        <v>0</v>
      </c>
      <c r="J298" s="1">
        <v>-1</v>
      </c>
      <c r="K298" s="1">
        <v>0</v>
      </c>
      <c r="L298" s="4" t="s">
        <v>33</v>
      </c>
      <c r="M298" s="33" t="s">
        <v>34</v>
      </c>
      <c r="N298">
        <v>100</v>
      </c>
      <c r="O298" s="16">
        <v>1990000</v>
      </c>
      <c r="S298" s="3"/>
    </row>
    <row r="299" s="1" customFormat="1" spans="1:19">
      <c r="A299" s="1">
        <v>10240022</v>
      </c>
      <c r="B299" s="5">
        <v>102400</v>
      </c>
      <c r="C299" s="5">
        <v>1</v>
      </c>
      <c r="D299" s="5" t="s">
        <v>45</v>
      </c>
      <c r="E299" s="14">
        <v>102400026</v>
      </c>
      <c r="F299" s="14" t="s">
        <v>46</v>
      </c>
      <c r="G299" s="32" t="s">
        <v>153</v>
      </c>
      <c r="H299" s="1">
        <v>22</v>
      </c>
      <c r="I299" s="3">
        <v>10000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</v>
      </c>
      <c r="O299" s="16">
        <v>1990000</v>
      </c>
      <c r="S299" s="3"/>
    </row>
    <row r="300" s="1" customFormat="1" spans="1:19">
      <c r="A300" s="1">
        <v>10240023</v>
      </c>
      <c r="B300" s="5">
        <v>102400</v>
      </c>
      <c r="C300" s="5">
        <v>1</v>
      </c>
      <c r="D300" s="5" t="s">
        <v>45</v>
      </c>
      <c r="E300" s="14">
        <v>102400026</v>
      </c>
      <c r="F300" s="14" t="s">
        <v>46</v>
      </c>
      <c r="G300" s="32" t="s">
        <v>154</v>
      </c>
      <c r="H300" s="1">
        <v>23</v>
      </c>
      <c r="I300" s="3">
        <v>100000</v>
      </c>
      <c r="J300" s="1">
        <v>-1</v>
      </c>
      <c r="K300" s="1">
        <v>0</v>
      </c>
      <c r="L300" s="4" t="s">
        <v>33</v>
      </c>
      <c r="M300" s="33" t="s">
        <v>34</v>
      </c>
      <c r="N300">
        <v>100000</v>
      </c>
      <c r="O300" s="16">
        <v>1990000</v>
      </c>
      <c r="S300" s="3"/>
    </row>
    <row r="301" s="1" customFormat="1" spans="1:19">
      <c r="A301" s="1">
        <v>10220021</v>
      </c>
      <c r="B301" s="5">
        <v>102200</v>
      </c>
      <c r="C301" s="5">
        <v>1</v>
      </c>
      <c r="D301" s="5" t="s">
        <v>47</v>
      </c>
      <c r="E301" s="14">
        <v>102200001</v>
      </c>
      <c r="F301" s="14" t="s">
        <v>48</v>
      </c>
      <c r="G301" s="32" t="s">
        <v>152</v>
      </c>
      <c r="H301" s="1">
        <v>21</v>
      </c>
      <c r="I301" s="3">
        <v>0</v>
      </c>
      <c r="J301" s="1">
        <v>-1</v>
      </c>
      <c r="K301" s="1">
        <v>0</v>
      </c>
      <c r="L301" s="4" t="s">
        <v>33</v>
      </c>
      <c r="M301" s="33" t="s">
        <v>34</v>
      </c>
      <c r="N301">
        <v>1250</v>
      </c>
      <c r="O301" s="16">
        <v>1990000</v>
      </c>
      <c r="S301" s="3"/>
    </row>
    <row r="302" s="1" customFormat="1" spans="1:19">
      <c r="A302" s="1">
        <v>10220022</v>
      </c>
      <c r="B302" s="5">
        <v>102200</v>
      </c>
      <c r="C302" s="5">
        <v>1</v>
      </c>
      <c r="D302" s="5" t="s">
        <v>47</v>
      </c>
      <c r="E302" s="14">
        <v>102200001</v>
      </c>
      <c r="F302" s="14" t="s">
        <v>48</v>
      </c>
      <c r="G302" s="32" t="s">
        <v>153</v>
      </c>
      <c r="H302" s="1">
        <v>22</v>
      </c>
      <c r="I302" s="3">
        <v>12500</v>
      </c>
      <c r="J302" s="1">
        <v>-1</v>
      </c>
      <c r="K302" s="1">
        <v>0</v>
      </c>
      <c r="L302" s="4" t="s">
        <v>33</v>
      </c>
      <c r="M302" s="33" t="s">
        <v>34</v>
      </c>
      <c r="N302">
        <v>12500</v>
      </c>
      <c r="O302" s="16">
        <v>1990000</v>
      </c>
      <c r="S302" s="3"/>
    </row>
    <row r="303" s="1" customFormat="1" spans="1:19">
      <c r="A303" s="1">
        <v>10220023</v>
      </c>
      <c r="B303" s="5">
        <v>102200</v>
      </c>
      <c r="C303" s="5">
        <v>1</v>
      </c>
      <c r="D303" s="5" t="s">
        <v>47</v>
      </c>
      <c r="E303" s="14">
        <v>102200001</v>
      </c>
      <c r="F303" s="14" t="s">
        <v>48</v>
      </c>
      <c r="G303" s="32" t="s">
        <v>154</v>
      </c>
      <c r="H303" s="1">
        <v>23</v>
      </c>
      <c r="I303" s="3">
        <v>125000</v>
      </c>
      <c r="J303" s="1">
        <v>-1</v>
      </c>
      <c r="K303" s="1">
        <v>0</v>
      </c>
      <c r="L303" s="4" t="s">
        <v>33</v>
      </c>
      <c r="M303" s="33" t="s">
        <v>34</v>
      </c>
      <c r="N303">
        <v>125000</v>
      </c>
      <c r="O303" s="16">
        <v>1990000</v>
      </c>
      <c r="S303" s="3"/>
    </row>
    <row r="304" s="1" customFormat="1" spans="1:19">
      <c r="A304" s="1">
        <v>10170021</v>
      </c>
      <c r="B304" s="5">
        <v>101700</v>
      </c>
      <c r="C304" s="5">
        <v>1</v>
      </c>
      <c r="D304" s="5" t="s">
        <v>49</v>
      </c>
      <c r="E304" s="14">
        <v>101700001</v>
      </c>
      <c r="F304" s="14" t="s">
        <v>50</v>
      </c>
      <c r="G304" s="32" t="s">
        <v>152</v>
      </c>
      <c r="H304" s="1">
        <v>21</v>
      </c>
      <c r="I304" s="3">
        <v>0</v>
      </c>
      <c r="J304" s="1">
        <v>-1</v>
      </c>
      <c r="K304" s="1">
        <v>0</v>
      </c>
      <c r="L304" s="4" t="s">
        <v>33</v>
      </c>
      <c r="M304" s="33" t="s">
        <v>34</v>
      </c>
      <c r="N304">
        <v>1000</v>
      </c>
      <c r="O304" s="16">
        <v>1990000</v>
      </c>
      <c r="S304" s="3"/>
    </row>
    <row r="305" s="1" customFormat="1" spans="1:19">
      <c r="A305" s="1">
        <v>10170022</v>
      </c>
      <c r="B305" s="5">
        <v>101700</v>
      </c>
      <c r="C305" s="5">
        <v>1</v>
      </c>
      <c r="D305" s="5" t="s">
        <v>49</v>
      </c>
      <c r="E305" s="14">
        <v>101700001</v>
      </c>
      <c r="F305" s="14" t="s">
        <v>50</v>
      </c>
      <c r="G305" s="32" t="s">
        <v>153</v>
      </c>
      <c r="H305" s="1">
        <v>22</v>
      </c>
      <c r="I305" s="3">
        <v>10000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</v>
      </c>
      <c r="O305" s="16">
        <v>1990000</v>
      </c>
      <c r="S305" s="3"/>
    </row>
    <row r="306" s="1" customFormat="1" spans="1:19">
      <c r="A306" s="1">
        <v>10170023</v>
      </c>
      <c r="B306" s="5">
        <v>101700</v>
      </c>
      <c r="C306" s="5">
        <v>1</v>
      </c>
      <c r="D306" s="5" t="s">
        <v>49</v>
      </c>
      <c r="E306" s="14">
        <v>101700001</v>
      </c>
      <c r="F306" s="14" t="s">
        <v>50</v>
      </c>
      <c r="G306" s="32" t="s">
        <v>154</v>
      </c>
      <c r="H306" s="1">
        <v>23</v>
      </c>
      <c r="I306" s="3">
        <v>100000</v>
      </c>
      <c r="J306" s="1">
        <v>-1</v>
      </c>
      <c r="K306" s="1">
        <v>0</v>
      </c>
      <c r="L306" s="4" t="s">
        <v>33</v>
      </c>
      <c r="M306" s="33" t="s">
        <v>34</v>
      </c>
      <c r="N306">
        <v>100000</v>
      </c>
      <c r="O306" s="16">
        <v>1990000</v>
      </c>
      <c r="S306" s="3"/>
    </row>
    <row r="307" s="1" customFormat="1" spans="1:19">
      <c r="A307" s="1">
        <v>10210021</v>
      </c>
      <c r="B307" s="5">
        <v>102100</v>
      </c>
      <c r="C307" s="5">
        <v>1</v>
      </c>
      <c r="D307" s="5" t="s">
        <v>51</v>
      </c>
      <c r="E307" s="14">
        <v>102100001</v>
      </c>
      <c r="F307" s="17" t="s">
        <v>52</v>
      </c>
      <c r="G307" s="32" t="s">
        <v>152</v>
      </c>
      <c r="H307" s="1">
        <v>21</v>
      </c>
      <c r="I307" s="3">
        <v>0</v>
      </c>
      <c r="J307" s="1">
        <v>-1</v>
      </c>
      <c r="K307" s="1">
        <v>0</v>
      </c>
      <c r="L307" s="4" t="s">
        <v>33</v>
      </c>
      <c r="M307" s="33" t="s">
        <v>34</v>
      </c>
      <c r="N307">
        <v>1000</v>
      </c>
      <c r="O307" s="16">
        <v>1990000</v>
      </c>
      <c r="S307" s="3"/>
    </row>
    <row r="308" s="1" customFormat="1" spans="1:19">
      <c r="A308" s="1">
        <v>10210022</v>
      </c>
      <c r="B308" s="5">
        <v>102100</v>
      </c>
      <c r="C308" s="5">
        <v>1</v>
      </c>
      <c r="D308" s="5" t="s">
        <v>51</v>
      </c>
      <c r="E308" s="14">
        <v>102100001</v>
      </c>
      <c r="F308" s="17" t="s">
        <v>52</v>
      </c>
      <c r="G308" s="32" t="s">
        <v>153</v>
      </c>
      <c r="H308" s="1">
        <v>22</v>
      </c>
      <c r="I308" s="3">
        <v>10000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</v>
      </c>
      <c r="O308" s="16">
        <v>1990000</v>
      </c>
      <c r="S308" s="3"/>
    </row>
    <row r="309" s="1" customFormat="1" spans="1:19">
      <c r="A309" s="1">
        <v>10210023</v>
      </c>
      <c r="B309" s="5">
        <v>102100</v>
      </c>
      <c r="C309" s="5">
        <v>1</v>
      </c>
      <c r="D309" s="5" t="s">
        <v>51</v>
      </c>
      <c r="E309" s="14">
        <v>102100001</v>
      </c>
      <c r="F309" s="17" t="s">
        <v>52</v>
      </c>
      <c r="G309" s="32" t="s">
        <v>154</v>
      </c>
      <c r="H309" s="1">
        <v>23</v>
      </c>
      <c r="I309" s="3">
        <v>100000</v>
      </c>
      <c r="J309" s="1">
        <v>-1</v>
      </c>
      <c r="K309" s="1">
        <v>0</v>
      </c>
      <c r="L309" s="4" t="s">
        <v>33</v>
      </c>
      <c r="M309" s="33" t="s">
        <v>34</v>
      </c>
      <c r="N309">
        <v>100000</v>
      </c>
      <c r="O309" s="16">
        <v>1990000</v>
      </c>
      <c r="S309" s="3"/>
    </row>
    <row r="310" s="1" customFormat="1" spans="1:19">
      <c r="A310" s="1">
        <f t="shared" ref="A310:A318" si="8">B310*100+H310</f>
        <v>10180021</v>
      </c>
      <c r="B310" s="17">
        <v>101800</v>
      </c>
      <c r="C310" s="17">
        <v>1</v>
      </c>
      <c r="D310" s="17" t="s">
        <v>53</v>
      </c>
      <c r="E310" s="17">
        <v>101800001</v>
      </c>
      <c r="F310" s="17" t="s">
        <v>54</v>
      </c>
      <c r="G310" s="32" t="s">
        <v>152</v>
      </c>
      <c r="H310" s="1">
        <v>21</v>
      </c>
      <c r="I310" s="3">
        <v>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</v>
      </c>
      <c r="O310" s="16">
        <v>1990000</v>
      </c>
      <c r="S310" s="3"/>
    </row>
    <row r="311" s="1" customFormat="1" spans="1:19">
      <c r="A311" s="1">
        <f t="shared" si="8"/>
        <v>10180022</v>
      </c>
      <c r="B311" s="17">
        <v>101800</v>
      </c>
      <c r="C311" s="17">
        <v>1</v>
      </c>
      <c r="D311" s="17" t="s">
        <v>53</v>
      </c>
      <c r="E311" s="17">
        <v>101800001</v>
      </c>
      <c r="F311" s="17" t="s">
        <v>54</v>
      </c>
      <c r="G311" s="32" t="s">
        <v>153</v>
      </c>
      <c r="H311" s="1">
        <v>22</v>
      </c>
      <c r="I311" s="3">
        <v>10000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</v>
      </c>
      <c r="O311" s="16">
        <v>1990000</v>
      </c>
      <c r="S311" s="3"/>
    </row>
    <row r="312" s="1" customFormat="1" spans="1:19">
      <c r="A312" s="1">
        <f t="shared" si="8"/>
        <v>10180023</v>
      </c>
      <c r="B312" s="17">
        <v>101800</v>
      </c>
      <c r="C312" s="17">
        <v>1</v>
      </c>
      <c r="D312" s="17" t="s">
        <v>53</v>
      </c>
      <c r="E312" s="17">
        <v>101800001</v>
      </c>
      <c r="F312" s="17" t="s">
        <v>54</v>
      </c>
      <c r="G312" s="32" t="s">
        <v>154</v>
      </c>
      <c r="H312" s="1">
        <v>23</v>
      </c>
      <c r="I312" s="3">
        <v>100000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100000</v>
      </c>
      <c r="O312" s="16">
        <v>1990000</v>
      </c>
      <c r="S312" s="3"/>
    </row>
    <row r="313" s="1" customFormat="1" spans="1:19">
      <c r="A313" s="1">
        <f t="shared" si="8"/>
        <v>10250021</v>
      </c>
      <c r="B313" s="17">
        <v>102500</v>
      </c>
      <c r="C313" s="17">
        <v>1</v>
      </c>
      <c r="D313" s="17" t="s">
        <v>55</v>
      </c>
      <c r="E313" s="17">
        <v>102500001</v>
      </c>
      <c r="F313" s="17" t="s">
        <v>56</v>
      </c>
      <c r="G313" s="32" t="s">
        <v>152</v>
      </c>
      <c r="H313" s="1">
        <v>21</v>
      </c>
      <c r="I313" s="3">
        <v>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</v>
      </c>
      <c r="O313" s="16">
        <v>1990000</v>
      </c>
      <c r="S313" s="3"/>
    </row>
    <row r="314" s="1" customFormat="1" spans="1:19">
      <c r="A314" s="1">
        <f t="shared" si="8"/>
        <v>10250022</v>
      </c>
      <c r="B314" s="17">
        <v>102500</v>
      </c>
      <c r="C314" s="17">
        <v>1</v>
      </c>
      <c r="D314" s="17" t="s">
        <v>55</v>
      </c>
      <c r="E314" s="17">
        <v>102500001</v>
      </c>
      <c r="F314" s="17" t="s">
        <v>56</v>
      </c>
      <c r="G314" s="32" t="s">
        <v>153</v>
      </c>
      <c r="H314" s="1">
        <v>22</v>
      </c>
      <c r="I314" s="3">
        <v>10000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</v>
      </c>
      <c r="O314" s="16">
        <v>1990000</v>
      </c>
      <c r="S314" s="3"/>
    </row>
    <row r="315" s="1" customFormat="1" spans="1:19">
      <c r="A315" s="1">
        <f t="shared" si="8"/>
        <v>10250023</v>
      </c>
      <c r="B315" s="17">
        <v>102500</v>
      </c>
      <c r="C315" s="17">
        <v>1</v>
      </c>
      <c r="D315" s="17" t="s">
        <v>55</v>
      </c>
      <c r="E315" s="17">
        <v>102500001</v>
      </c>
      <c r="F315" s="17" t="s">
        <v>56</v>
      </c>
      <c r="G315" s="32" t="s">
        <v>154</v>
      </c>
      <c r="H315" s="1">
        <v>23</v>
      </c>
      <c r="I315" s="3">
        <v>100000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100000</v>
      </c>
      <c r="O315" s="16">
        <v>1990000</v>
      </c>
      <c r="S315" s="3"/>
    </row>
    <row r="316" s="1" customFormat="1" spans="1:19">
      <c r="A316" s="1">
        <f t="shared" si="8"/>
        <v>10230021</v>
      </c>
      <c r="B316" s="5">
        <v>102300</v>
      </c>
      <c r="C316" s="5">
        <v>1</v>
      </c>
      <c r="D316" s="5" t="s">
        <v>57</v>
      </c>
      <c r="E316" s="14">
        <v>102300001</v>
      </c>
      <c r="F316" s="14" t="s">
        <v>58</v>
      </c>
      <c r="G316" s="32" t="s">
        <v>152</v>
      </c>
      <c r="H316" s="1">
        <v>21</v>
      </c>
      <c r="I316" s="3">
        <v>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</v>
      </c>
      <c r="O316" s="16">
        <v>1990000</v>
      </c>
      <c r="S316" s="3"/>
    </row>
    <row r="317" s="1" customFormat="1" spans="1:19">
      <c r="A317" s="1">
        <f t="shared" si="8"/>
        <v>10230022</v>
      </c>
      <c r="B317" s="5">
        <v>102300</v>
      </c>
      <c r="C317" s="5">
        <v>1</v>
      </c>
      <c r="D317" s="5" t="s">
        <v>57</v>
      </c>
      <c r="E317" s="14">
        <v>102300001</v>
      </c>
      <c r="F317" s="14" t="s">
        <v>58</v>
      </c>
      <c r="G317" s="32" t="s">
        <v>153</v>
      </c>
      <c r="H317" s="1">
        <v>22</v>
      </c>
      <c r="I317" s="3">
        <v>10000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</v>
      </c>
      <c r="O317" s="16">
        <v>1990000</v>
      </c>
      <c r="S317" s="3"/>
    </row>
    <row r="318" s="1" customFormat="1" spans="1:19">
      <c r="A318" s="1">
        <f t="shared" si="8"/>
        <v>10230023</v>
      </c>
      <c r="B318" s="5">
        <v>102300</v>
      </c>
      <c r="C318" s="5">
        <v>1</v>
      </c>
      <c r="D318" s="5" t="s">
        <v>57</v>
      </c>
      <c r="E318" s="14">
        <v>102300001</v>
      </c>
      <c r="F318" s="14" t="s">
        <v>58</v>
      </c>
      <c r="G318" s="32" t="s">
        <v>154</v>
      </c>
      <c r="H318" s="1">
        <v>23</v>
      </c>
      <c r="I318" s="3">
        <v>100000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100000</v>
      </c>
      <c r="O318" s="16">
        <v>1990000</v>
      </c>
      <c r="S318" s="3"/>
    </row>
    <row r="319" s="1" customFormat="1" spans="1:19">
      <c r="A319" s="1">
        <v>10340021</v>
      </c>
      <c r="B319" s="5">
        <v>103400</v>
      </c>
      <c r="C319" s="5">
        <v>1</v>
      </c>
      <c r="D319" s="5" t="s">
        <v>59</v>
      </c>
      <c r="E319" s="14">
        <v>103000001</v>
      </c>
      <c r="F319" s="19" t="s">
        <v>60</v>
      </c>
      <c r="G319" s="32" t="s">
        <v>152</v>
      </c>
      <c r="H319" s="1">
        <v>21</v>
      </c>
      <c r="I319" s="3">
        <v>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</v>
      </c>
      <c r="O319" s="16">
        <v>1990000</v>
      </c>
      <c r="S319" s="3"/>
    </row>
    <row r="320" s="1" customFormat="1" spans="1:19">
      <c r="A320" s="1">
        <v>10340022</v>
      </c>
      <c r="B320" s="5">
        <v>103400</v>
      </c>
      <c r="C320" s="5">
        <v>1</v>
      </c>
      <c r="D320" s="5" t="s">
        <v>59</v>
      </c>
      <c r="E320" s="14">
        <v>103000001</v>
      </c>
      <c r="F320" s="19" t="s">
        <v>60</v>
      </c>
      <c r="G320" s="32" t="s">
        <v>153</v>
      </c>
      <c r="H320" s="1">
        <v>22</v>
      </c>
      <c r="I320" s="3">
        <v>10000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</v>
      </c>
      <c r="O320" s="16">
        <v>1990000</v>
      </c>
      <c r="S320" s="3"/>
    </row>
    <row r="321" s="1" customFormat="1" spans="1:19">
      <c r="A321" s="1">
        <v>10340023</v>
      </c>
      <c r="B321" s="5">
        <v>103400</v>
      </c>
      <c r="C321" s="5">
        <v>1</v>
      </c>
      <c r="D321" s="5" t="s">
        <v>59</v>
      </c>
      <c r="E321" s="14">
        <v>103000001</v>
      </c>
      <c r="F321" s="19" t="s">
        <v>60</v>
      </c>
      <c r="G321" s="32" t="s">
        <v>154</v>
      </c>
      <c r="H321" s="1">
        <v>23</v>
      </c>
      <c r="I321" s="3">
        <v>100000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100000</v>
      </c>
      <c r="O321" s="16">
        <v>1990000</v>
      </c>
      <c r="S321" s="3"/>
    </row>
    <row r="322" s="1" customFormat="1" spans="1:19">
      <c r="A322" s="1">
        <f t="shared" ref="A322:A324" si="9">B322*100+H322</f>
        <v>10350021</v>
      </c>
      <c r="B322" s="5">
        <v>103500</v>
      </c>
      <c r="C322" s="5">
        <v>1</v>
      </c>
      <c r="D322" s="5" t="s">
        <v>61</v>
      </c>
      <c r="E322" s="14">
        <v>102900001</v>
      </c>
      <c r="F322" s="14" t="s">
        <v>62</v>
      </c>
      <c r="G322" s="32" t="s">
        <v>152</v>
      </c>
      <c r="H322" s="1">
        <v>21</v>
      </c>
      <c r="I322" s="3">
        <v>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</v>
      </c>
      <c r="O322" s="16">
        <v>1990000</v>
      </c>
      <c r="S322" s="3"/>
    </row>
    <row r="323" s="1" customFormat="1" spans="1:19">
      <c r="A323" s="1">
        <f t="shared" si="9"/>
        <v>10350022</v>
      </c>
      <c r="B323" s="5">
        <v>103500</v>
      </c>
      <c r="C323" s="5">
        <v>1</v>
      </c>
      <c r="D323" s="5" t="s">
        <v>61</v>
      </c>
      <c r="E323" s="14">
        <v>102900001</v>
      </c>
      <c r="F323" s="14" t="s">
        <v>62</v>
      </c>
      <c r="G323" s="32" t="s">
        <v>153</v>
      </c>
      <c r="H323" s="1">
        <v>22</v>
      </c>
      <c r="I323" s="3">
        <v>10000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</v>
      </c>
      <c r="O323" s="16">
        <v>1990000</v>
      </c>
      <c r="S323" s="3"/>
    </row>
    <row r="324" s="1" customFormat="1" spans="1:19">
      <c r="A324" s="1">
        <f t="shared" si="9"/>
        <v>10350023</v>
      </c>
      <c r="B324" s="5">
        <v>103500</v>
      </c>
      <c r="C324" s="5">
        <v>1</v>
      </c>
      <c r="D324" s="5" t="s">
        <v>61</v>
      </c>
      <c r="E324" s="14">
        <v>102900001</v>
      </c>
      <c r="F324" s="14" t="s">
        <v>62</v>
      </c>
      <c r="G324" s="32" t="s">
        <v>154</v>
      </c>
      <c r="H324" s="1">
        <v>23</v>
      </c>
      <c r="I324" s="3">
        <v>100000</v>
      </c>
      <c r="J324" s="18">
        <v>-1</v>
      </c>
      <c r="K324" s="18">
        <v>0</v>
      </c>
      <c r="L324" s="4" t="s">
        <v>33</v>
      </c>
      <c r="M324" s="33" t="s">
        <v>34</v>
      </c>
      <c r="N324">
        <v>100000</v>
      </c>
      <c r="O324" s="16">
        <v>1990000</v>
      </c>
      <c r="S324" s="3"/>
    </row>
    <row r="325" s="1" customFormat="1" spans="1:19">
      <c r="A325" s="1">
        <v>10350121</v>
      </c>
      <c r="B325" s="5">
        <v>103501</v>
      </c>
      <c r="C325" s="5">
        <v>1</v>
      </c>
      <c r="D325" s="5" t="s">
        <v>63</v>
      </c>
      <c r="E325" s="14">
        <v>103501001</v>
      </c>
      <c r="F325" s="14" t="s">
        <v>64</v>
      </c>
      <c r="G325" s="32" t="s">
        <v>152</v>
      </c>
      <c r="H325" s="1">
        <v>21</v>
      </c>
      <c r="I325" s="3">
        <v>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</v>
      </c>
      <c r="O325" s="16">
        <v>1990000</v>
      </c>
      <c r="S325" s="3"/>
    </row>
    <row r="326" s="1" customFormat="1" spans="1:19">
      <c r="A326" s="1">
        <v>10350122</v>
      </c>
      <c r="B326" s="5">
        <v>103501</v>
      </c>
      <c r="C326" s="5">
        <v>1</v>
      </c>
      <c r="D326" s="5" t="s">
        <v>63</v>
      </c>
      <c r="E326" s="14">
        <v>103501001</v>
      </c>
      <c r="F326" s="14" t="s">
        <v>64</v>
      </c>
      <c r="G326" s="32" t="s">
        <v>153</v>
      </c>
      <c r="H326" s="1">
        <v>22</v>
      </c>
      <c r="I326" s="3">
        <v>10000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</v>
      </c>
      <c r="O326" s="16">
        <v>1990000</v>
      </c>
      <c r="S326" s="3"/>
    </row>
    <row r="327" s="1" customFormat="1" spans="1:19">
      <c r="A327" s="1">
        <v>10350123</v>
      </c>
      <c r="B327" s="5">
        <v>103501</v>
      </c>
      <c r="C327" s="5">
        <v>1</v>
      </c>
      <c r="D327" s="5" t="s">
        <v>63</v>
      </c>
      <c r="E327" s="14">
        <v>103501001</v>
      </c>
      <c r="F327" s="14" t="s">
        <v>64</v>
      </c>
      <c r="G327" s="32" t="s">
        <v>154</v>
      </c>
      <c r="H327" s="1">
        <v>23</v>
      </c>
      <c r="I327" s="3">
        <v>100000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100000</v>
      </c>
      <c r="O327" s="16">
        <v>1990000</v>
      </c>
      <c r="S327" s="3"/>
    </row>
    <row r="328" s="1" customFormat="1" spans="1:19">
      <c r="A328" s="1">
        <v>10200021</v>
      </c>
      <c r="B328" s="5">
        <v>102000</v>
      </c>
      <c r="C328" s="5">
        <v>1</v>
      </c>
      <c r="D328" s="5" t="s">
        <v>65</v>
      </c>
      <c r="E328" s="14">
        <v>102000001</v>
      </c>
      <c r="F328" s="14" t="s">
        <v>66</v>
      </c>
      <c r="G328" s="32" t="s">
        <v>152</v>
      </c>
      <c r="H328" s="1">
        <v>21</v>
      </c>
      <c r="I328" s="3">
        <v>0</v>
      </c>
      <c r="J328" s="18">
        <v>-1</v>
      </c>
      <c r="K328" s="1">
        <v>0</v>
      </c>
      <c r="L328" s="4" t="s">
        <v>33</v>
      </c>
      <c r="M328" s="33" t="s">
        <v>34</v>
      </c>
      <c r="N328">
        <v>1125</v>
      </c>
      <c r="O328" s="16">
        <v>1990000</v>
      </c>
      <c r="S328" s="3"/>
    </row>
    <row r="329" s="1" customFormat="1" spans="1:19">
      <c r="A329" s="1">
        <v>10200022</v>
      </c>
      <c r="B329" s="5">
        <v>102000</v>
      </c>
      <c r="C329" s="5">
        <v>1</v>
      </c>
      <c r="D329" s="5" t="s">
        <v>65</v>
      </c>
      <c r="E329" s="14">
        <v>102000001</v>
      </c>
      <c r="F329" s="14" t="s">
        <v>66</v>
      </c>
      <c r="G329" s="32" t="s">
        <v>153</v>
      </c>
      <c r="H329" s="1">
        <v>22</v>
      </c>
      <c r="I329" s="3">
        <v>10000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11250</v>
      </c>
      <c r="O329" s="16">
        <v>1990000</v>
      </c>
      <c r="S329" s="3"/>
    </row>
    <row r="330" s="1" customFormat="1" spans="1:19">
      <c r="A330" s="1">
        <v>10200023</v>
      </c>
      <c r="B330" s="5">
        <v>102000</v>
      </c>
      <c r="C330" s="5">
        <v>1</v>
      </c>
      <c r="D330" s="5" t="s">
        <v>65</v>
      </c>
      <c r="E330" s="14">
        <v>102000001</v>
      </c>
      <c r="F330" s="14" t="s">
        <v>66</v>
      </c>
      <c r="G330" s="32" t="s">
        <v>154</v>
      </c>
      <c r="H330" s="1">
        <v>23</v>
      </c>
      <c r="I330" s="3">
        <v>100000</v>
      </c>
      <c r="J330" s="18">
        <v>-1</v>
      </c>
      <c r="K330" s="1">
        <v>0</v>
      </c>
      <c r="L330" s="4" t="s">
        <v>33</v>
      </c>
      <c r="M330" s="33" t="s">
        <v>34</v>
      </c>
      <c r="N330">
        <v>112500</v>
      </c>
      <c r="O330" s="16">
        <v>1990000</v>
      </c>
      <c r="S330" s="3"/>
    </row>
    <row r="331" s="1" customFormat="1" spans="1:19">
      <c r="A331" s="1">
        <f t="shared" ref="A331:A333" si="10">B331*100+H331</f>
        <v>10360021</v>
      </c>
      <c r="B331" s="5">
        <v>103600</v>
      </c>
      <c r="C331" s="5">
        <v>1</v>
      </c>
      <c r="D331" s="5" t="s">
        <v>67</v>
      </c>
      <c r="E331" s="14">
        <v>103600001</v>
      </c>
      <c r="F331" s="14" t="s">
        <v>68</v>
      </c>
      <c r="G331" s="32" t="s">
        <v>152</v>
      </c>
      <c r="H331" s="1">
        <v>21</v>
      </c>
      <c r="I331" s="3">
        <v>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</v>
      </c>
      <c r="O331" s="16">
        <v>1990000</v>
      </c>
      <c r="S331" s="3"/>
    </row>
    <row r="332" s="1" customFormat="1" spans="1:19">
      <c r="A332" s="1">
        <f t="shared" si="10"/>
        <v>10360022</v>
      </c>
      <c r="B332" s="5">
        <v>103600</v>
      </c>
      <c r="C332" s="5">
        <v>1</v>
      </c>
      <c r="D332" s="5" t="s">
        <v>67</v>
      </c>
      <c r="E332" s="14">
        <v>103600001</v>
      </c>
      <c r="F332" s="14" t="s">
        <v>68</v>
      </c>
      <c r="G332" s="32" t="s">
        <v>153</v>
      </c>
      <c r="H332" s="1">
        <v>22</v>
      </c>
      <c r="I332" s="3">
        <v>10000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</v>
      </c>
      <c r="O332" s="16">
        <v>1990000</v>
      </c>
      <c r="S332" s="3"/>
    </row>
    <row r="333" s="1" customFormat="1" spans="1:19">
      <c r="A333" s="1">
        <f t="shared" si="10"/>
        <v>10360023</v>
      </c>
      <c r="B333" s="5">
        <v>103600</v>
      </c>
      <c r="C333" s="5">
        <v>1</v>
      </c>
      <c r="D333" s="5" t="s">
        <v>67</v>
      </c>
      <c r="E333" s="14">
        <v>103600001</v>
      </c>
      <c r="F333" s="14" t="s">
        <v>68</v>
      </c>
      <c r="G333" s="32" t="s">
        <v>154</v>
      </c>
      <c r="H333" s="1">
        <v>23</v>
      </c>
      <c r="I333" s="3">
        <v>100000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100000</v>
      </c>
      <c r="O333" s="16">
        <v>1990000</v>
      </c>
      <c r="S333" s="3"/>
    </row>
    <row r="334" s="1" customFormat="1" spans="1:19">
      <c r="A334" s="1">
        <v>10340121</v>
      </c>
      <c r="B334" s="5">
        <v>103401</v>
      </c>
      <c r="C334" s="5">
        <v>1</v>
      </c>
      <c r="D334" s="5" t="s">
        <v>71</v>
      </c>
      <c r="E334" s="14">
        <v>103400001</v>
      </c>
      <c r="F334" s="14" t="s">
        <v>72</v>
      </c>
      <c r="G334" s="32" t="s">
        <v>152</v>
      </c>
      <c r="H334" s="1">
        <v>21</v>
      </c>
      <c r="I334" s="3">
        <v>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</v>
      </c>
      <c r="O334" s="16">
        <v>1990000</v>
      </c>
      <c r="S334" s="3"/>
    </row>
    <row r="335" s="1" customFormat="1" spans="1:19">
      <c r="A335" s="1">
        <v>10340122</v>
      </c>
      <c r="B335" s="5">
        <v>103401</v>
      </c>
      <c r="C335" s="5">
        <v>1</v>
      </c>
      <c r="D335" s="5" t="s">
        <v>71</v>
      </c>
      <c r="E335" s="14">
        <v>103400001</v>
      </c>
      <c r="F335" s="14" t="s">
        <v>72</v>
      </c>
      <c r="G335" s="32" t="s">
        <v>153</v>
      </c>
      <c r="H335" s="1">
        <v>22</v>
      </c>
      <c r="I335" s="3">
        <v>10000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</v>
      </c>
      <c r="O335" s="16">
        <v>1990000</v>
      </c>
      <c r="S335" s="3"/>
    </row>
    <row r="336" s="1" customFormat="1" spans="1:19">
      <c r="A336" s="1">
        <v>10340123</v>
      </c>
      <c r="B336" s="5">
        <v>103401</v>
      </c>
      <c r="C336" s="5">
        <v>1</v>
      </c>
      <c r="D336" s="5" t="s">
        <v>71</v>
      </c>
      <c r="E336" s="14">
        <v>103400001</v>
      </c>
      <c r="F336" s="14" t="s">
        <v>72</v>
      </c>
      <c r="G336" s="32" t="s">
        <v>154</v>
      </c>
      <c r="H336" s="1">
        <v>23</v>
      </c>
      <c r="I336" s="3">
        <v>100000</v>
      </c>
      <c r="J336" s="18">
        <v>-1</v>
      </c>
      <c r="K336" s="1">
        <v>0</v>
      </c>
      <c r="L336" s="4" t="s">
        <v>33</v>
      </c>
      <c r="M336" s="33" t="s">
        <v>34</v>
      </c>
      <c r="N336">
        <v>100000</v>
      </c>
      <c r="O336" s="16">
        <v>1990000</v>
      </c>
      <c r="S336" s="3"/>
    </row>
    <row r="337" s="1" customFormat="1" spans="1:19">
      <c r="A337" s="1">
        <v>10380021</v>
      </c>
      <c r="B337" s="5">
        <v>103800</v>
      </c>
      <c r="C337" s="5">
        <v>1</v>
      </c>
      <c r="D337" s="5" t="s">
        <v>73</v>
      </c>
      <c r="E337" s="14">
        <v>103800001</v>
      </c>
      <c r="F337" s="14" t="s">
        <v>74</v>
      </c>
      <c r="G337" s="32" t="s">
        <v>152</v>
      </c>
      <c r="H337" s="1">
        <v>21</v>
      </c>
      <c r="I337" s="3">
        <v>0</v>
      </c>
      <c r="J337" s="18">
        <v>-1</v>
      </c>
      <c r="K337" s="1">
        <v>0</v>
      </c>
      <c r="L337" s="4" t="s">
        <v>33</v>
      </c>
      <c r="M337" s="33" t="s">
        <v>34</v>
      </c>
      <c r="N337">
        <v>2000</v>
      </c>
      <c r="O337" s="16">
        <v>1990000</v>
      </c>
      <c r="S337" s="3"/>
    </row>
    <row r="338" s="1" customFormat="1" spans="1:19">
      <c r="A338" s="1">
        <v>10380022</v>
      </c>
      <c r="B338" s="5">
        <v>103800</v>
      </c>
      <c r="C338" s="5">
        <v>1</v>
      </c>
      <c r="D338" s="5" t="s">
        <v>73</v>
      </c>
      <c r="E338" s="14">
        <v>103800001</v>
      </c>
      <c r="F338" s="14" t="s">
        <v>74</v>
      </c>
      <c r="G338" s="32" t="s">
        <v>153</v>
      </c>
      <c r="H338" s="1">
        <v>22</v>
      </c>
      <c r="I338" s="3">
        <v>20000</v>
      </c>
      <c r="J338" s="18">
        <v>-1</v>
      </c>
      <c r="K338" s="1">
        <v>0</v>
      </c>
      <c r="L338" s="4" t="s">
        <v>33</v>
      </c>
      <c r="M338" s="33" t="s">
        <v>34</v>
      </c>
      <c r="N338">
        <v>20000</v>
      </c>
      <c r="O338" s="16">
        <v>1990000</v>
      </c>
      <c r="S338" s="3"/>
    </row>
    <row r="339" s="1" customFormat="1" spans="1:19">
      <c r="A339" s="1">
        <v>10380023</v>
      </c>
      <c r="B339" s="5">
        <v>103800</v>
      </c>
      <c r="C339" s="5">
        <v>1</v>
      </c>
      <c r="D339" s="5" t="s">
        <v>73</v>
      </c>
      <c r="E339" s="14">
        <v>103800001</v>
      </c>
      <c r="F339" s="14" t="s">
        <v>74</v>
      </c>
      <c r="G339" s="32" t="s">
        <v>154</v>
      </c>
      <c r="H339" s="1">
        <v>23</v>
      </c>
      <c r="I339" s="3">
        <v>200000</v>
      </c>
      <c r="J339" s="18">
        <v>-1</v>
      </c>
      <c r="K339" s="1">
        <v>0</v>
      </c>
      <c r="L339" s="4" t="s">
        <v>33</v>
      </c>
      <c r="M339" s="33" t="s">
        <v>34</v>
      </c>
      <c r="N339">
        <v>200000</v>
      </c>
      <c r="O339" s="16">
        <v>1990000</v>
      </c>
      <c r="S339" s="3"/>
    </row>
    <row r="340" s="1" customFormat="1" spans="1:19">
      <c r="A340" s="1">
        <v>10400021</v>
      </c>
      <c r="B340" s="5">
        <v>104000</v>
      </c>
      <c r="C340" s="5">
        <v>1</v>
      </c>
      <c r="D340" s="5" t="s">
        <v>75</v>
      </c>
      <c r="E340" s="14">
        <v>104000001</v>
      </c>
      <c r="F340" s="2" t="s">
        <v>76</v>
      </c>
      <c r="G340" s="32" t="s">
        <v>152</v>
      </c>
      <c r="H340" s="1">
        <v>21</v>
      </c>
      <c r="I340" s="3">
        <v>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</v>
      </c>
      <c r="O340" s="16">
        <v>1990000</v>
      </c>
      <c r="S340" s="3"/>
    </row>
    <row r="341" s="1" customFormat="1" spans="1:19">
      <c r="A341" s="1">
        <v>10400022</v>
      </c>
      <c r="B341" s="5">
        <v>104000</v>
      </c>
      <c r="C341" s="5">
        <v>1</v>
      </c>
      <c r="D341" s="5" t="s">
        <v>75</v>
      </c>
      <c r="E341" s="14">
        <v>104000001</v>
      </c>
      <c r="F341" s="2" t="s">
        <v>76</v>
      </c>
      <c r="G341" s="32" t="s">
        <v>153</v>
      </c>
      <c r="H341" s="1">
        <v>22</v>
      </c>
      <c r="I341" s="3">
        <v>10000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</v>
      </c>
      <c r="O341" s="16">
        <v>1990000</v>
      </c>
      <c r="S341" s="3"/>
    </row>
    <row r="342" s="1" customFormat="1" spans="1:19">
      <c r="A342" s="1">
        <v>10400023</v>
      </c>
      <c r="B342" s="5">
        <v>104000</v>
      </c>
      <c r="C342" s="5">
        <v>1</v>
      </c>
      <c r="D342" s="5" t="s">
        <v>75</v>
      </c>
      <c r="E342" s="14">
        <v>104000001</v>
      </c>
      <c r="F342" s="2" t="s">
        <v>76</v>
      </c>
      <c r="G342" s="32" t="s">
        <v>154</v>
      </c>
      <c r="H342" s="1">
        <v>23</v>
      </c>
      <c r="I342" s="3">
        <v>100000</v>
      </c>
      <c r="J342" s="18">
        <v>-1</v>
      </c>
      <c r="K342" s="1">
        <v>0</v>
      </c>
      <c r="L342" s="4" t="s">
        <v>33</v>
      </c>
      <c r="M342" s="33" t="s">
        <v>34</v>
      </c>
      <c r="N342">
        <v>100000</v>
      </c>
      <c r="O342" s="16">
        <v>1990000</v>
      </c>
      <c r="S342" s="3"/>
    </row>
    <row r="343" s="1" customFormat="1" spans="1:19">
      <c r="A343" s="1">
        <v>20010021</v>
      </c>
      <c r="B343" s="5">
        <v>200100</v>
      </c>
      <c r="C343" s="5">
        <v>2</v>
      </c>
      <c r="D343" s="5" t="s">
        <v>77</v>
      </c>
      <c r="E343" s="14">
        <v>200100038</v>
      </c>
      <c r="F343" s="14" t="s">
        <v>78</v>
      </c>
      <c r="G343" s="1" t="s">
        <v>32</v>
      </c>
      <c r="H343" s="1">
        <v>21</v>
      </c>
      <c r="I343" s="3">
        <v>0</v>
      </c>
      <c r="J343" s="1">
        <v>-1</v>
      </c>
      <c r="K343" s="1">
        <v>0</v>
      </c>
      <c r="L343" s="4" t="s">
        <v>33</v>
      </c>
      <c r="M343" s="33" t="s">
        <v>34</v>
      </c>
      <c r="N343">
        <v>1000</v>
      </c>
      <c r="O343" s="16">
        <v>1990000</v>
      </c>
      <c r="S343" s="3"/>
    </row>
    <row r="344" s="1" customFormat="1" spans="1:19">
      <c r="A344" s="1">
        <v>20010022</v>
      </c>
      <c r="B344" s="5">
        <v>200100</v>
      </c>
      <c r="C344" s="5">
        <v>2</v>
      </c>
      <c r="D344" s="5" t="s">
        <v>77</v>
      </c>
      <c r="E344" s="14">
        <v>200100038</v>
      </c>
      <c r="F344" s="14" t="s">
        <v>78</v>
      </c>
      <c r="G344" s="1" t="s">
        <v>35</v>
      </c>
      <c r="H344" s="1">
        <v>22</v>
      </c>
      <c r="I344" s="3">
        <v>10000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</v>
      </c>
      <c r="O344" s="16">
        <v>1990000</v>
      </c>
      <c r="S344" s="3"/>
    </row>
    <row r="345" s="1" customFormat="1" spans="1:19">
      <c r="A345" s="1">
        <v>20010023</v>
      </c>
      <c r="B345" s="5">
        <v>200100</v>
      </c>
      <c r="C345" s="5">
        <v>2</v>
      </c>
      <c r="D345" s="5" t="s">
        <v>77</v>
      </c>
      <c r="E345" s="14">
        <v>200100038</v>
      </c>
      <c r="F345" s="14" t="s">
        <v>78</v>
      </c>
      <c r="G345" s="1" t="s">
        <v>36</v>
      </c>
      <c r="H345" s="1">
        <v>23</v>
      </c>
      <c r="I345" s="3">
        <v>100000</v>
      </c>
      <c r="J345" s="1">
        <v>-1</v>
      </c>
      <c r="K345" s="1">
        <v>0</v>
      </c>
      <c r="L345" s="4" t="s">
        <v>33</v>
      </c>
      <c r="M345" s="33" t="s">
        <v>34</v>
      </c>
      <c r="N345">
        <v>100000</v>
      </c>
      <c r="O345" s="16">
        <v>1990000</v>
      </c>
      <c r="Q345"/>
      <c r="S345" s="3"/>
    </row>
    <row r="346" s="1" customFormat="1" spans="1:19">
      <c r="A346" s="1">
        <v>20010121</v>
      </c>
      <c r="B346" s="5">
        <v>200101</v>
      </c>
      <c r="C346" s="5">
        <v>2</v>
      </c>
      <c r="D346" s="5" t="s">
        <v>79</v>
      </c>
      <c r="E346" s="14">
        <v>200101001</v>
      </c>
      <c r="F346" s="14" t="s">
        <v>80</v>
      </c>
      <c r="G346" s="1" t="s">
        <v>32</v>
      </c>
      <c r="H346" s="1">
        <v>21</v>
      </c>
      <c r="I346" s="3">
        <v>0</v>
      </c>
      <c r="J346" s="1">
        <v>-1</v>
      </c>
      <c r="K346" s="1">
        <v>0</v>
      </c>
      <c r="L346" s="4" t="s">
        <v>33</v>
      </c>
      <c r="M346" s="33" t="s">
        <v>34</v>
      </c>
      <c r="N346">
        <v>1000</v>
      </c>
      <c r="O346" s="16">
        <v>1990000</v>
      </c>
      <c r="S346" s="3"/>
    </row>
    <row r="347" s="1" customFormat="1" spans="1:19">
      <c r="A347" s="1">
        <v>20010122</v>
      </c>
      <c r="B347" s="5">
        <v>200101</v>
      </c>
      <c r="C347" s="5">
        <v>2</v>
      </c>
      <c r="D347" s="5" t="s">
        <v>79</v>
      </c>
      <c r="E347" s="14">
        <v>200101001</v>
      </c>
      <c r="F347" s="14" t="s">
        <v>80</v>
      </c>
      <c r="G347" s="1" t="s">
        <v>35</v>
      </c>
      <c r="H347" s="1">
        <v>22</v>
      </c>
      <c r="I347" s="3">
        <v>10000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</v>
      </c>
      <c r="O347" s="16">
        <v>1990000</v>
      </c>
    </row>
    <row r="348" s="1" customFormat="1" spans="1:19">
      <c r="A348" s="1">
        <v>20010123</v>
      </c>
      <c r="B348" s="5">
        <v>200101</v>
      </c>
      <c r="C348" s="5">
        <v>2</v>
      </c>
      <c r="D348" s="5" t="s">
        <v>79</v>
      </c>
      <c r="E348" s="14">
        <v>200101001</v>
      </c>
      <c r="F348" s="14" t="s">
        <v>80</v>
      </c>
      <c r="G348" s="1" t="s">
        <v>36</v>
      </c>
      <c r="H348" s="1">
        <v>23</v>
      </c>
      <c r="I348" s="3">
        <v>100000</v>
      </c>
      <c r="J348" s="1">
        <v>-1</v>
      </c>
      <c r="K348" s="1">
        <v>0</v>
      </c>
      <c r="L348" s="4" t="s">
        <v>33</v>
      </c>
      <c r="M348" s="33" t="s">
        <v>34</v>
      </c>
      <c r="N348">
        <v>100000</v>
      </c>
      <c r="O348" s="16">
        <v>1990000</v>
      </c>
    </row>
    <row r="349" s="1" customFormat="1" spans="1:19">
      <c r="A349" s="1">
        <v>20030021</v>
      </c>
      <c r="B349" s="5">
        <v>200300</v>
      </c>
      <c r="C349" s="5">
        <v>2</v>
      </c>
      <c r="D349" s="5" t="s">
        <v>81</v>
      </c>
      <c r="E349" s="14">
        <v>200300001</v>
      </c>
      <c r="F349" s="14" t="s">
        <v>82</v>
      </c>
      <c r="G349" s="1" t="s">
        <v>32</v>
      </c>
      <c r="H349" s="1">
        <v>21</v>
      </c>
      <c r="I349" s="3">
        <v>0</v>
      </c>
      <c r="J349" s="1">
        <v>-1</v>
      </c>
      <c r="K349" s="1">
        <v>0</v>
      </c>
      <c r="L349" s="4" t="s">
        <v>33</v>
      </c>
      <c r="M349" s="33" t="s">
        <v>34</v>
      </c>
      <c r="N349">
        <v>1000</v>
      </c>
      <c r="O349" s="16">
        <v>1990000</v>
      </c>
      <c r="S349" s="3"/>
    </row>
    <row r="350" s="1" customFormat="1" spans="1:19">
      <c r="A350" s="1">
        <v>20030022</v>
      </c>
      <c r="B350" s="5">
        <v>200300</v>
      </c>
      <c r="C350" s="5">
        <v>2</v>
      </c>
      <c r="D350" s="5" t="s">
        <v>81</v>
      </c>
      <c r="E350" s="14">
        <v>200300001</v>
      </c>
      <c r="F350" s="14" t="s">
        <v>82</v>
      </c>
      <c r="G350" s="1" t="s">
        <v>35</v>
      </c>
      <c r="H350" s="1">
        <v>22</v>
      </c>
      <c r="I350" s="3">
        <v>10000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</v>
      </c>
      <c r="O350" s="16">
        <v>1990000</v>
      </c>
      <c r="Q350" s="3"/>
      <c r="R350" s="5"/>
      <c r="S350" s="3"/>
    </row>
    <row r="351" s="1" customFormat="1" spans="1:19">
      <c r="A351" s="1">
        <v>20030023</v>
      </c>
      <c r="B351" s="5">
        <v>200300</v>
      </c>
      <c r="C351" s="5">
        <v>2</v>
      </c>
      <c r="D351" s="5" t="s">
        <v>81</v>
      </c>
      <c r="E351" s="14">
        <v>200300001</v>
      </c>
      <c r="F351" s="14" t="s">
        <v>82</v>
      </c>
      <c r="G351" s="1" t="s">
        <v>36</v>
      </c>
      <c r="H351" s="1">
        <v>23</v>
      </c>
      <c r="I351" s="3">
        <v>100000</v>
      </c>
      <c r="J351" s="1">
        <v>-1</v>
      </c>
      <c r="K351" s="1">
        <v>0</v>
      </c>
      <c r="L351" s="4" t="s">
        <v>33</v>
      </c>
      <c r="M351" s="33" t="s">
        <v>34</v>
      </c>
      <c r="N351">
        <v>100000</v>
      </c>
      <c r="O351" s="16">
        <v>1990000</v>
      </c>
      <c r="Q351" s="3"/>
      <c r="R351" s="3"/>
      <c r="S351" s="3"/>
    </row>
    <row r="352" s="1" customFormat="1" spans="1:19">
      <c r="A352" s="1">
        <v>20040021</v>
      </c>
      <c r="B352" s="5">
        <v>200400</v>
      </c>
      <c r="C352" s="5">
        <v>2</v>
      </c>
      <c r="D352" s="3" t="s">
        <v>83</v>
      </c>
      <c r="E352" s="14">
        <v>200400009</v>
      </c>
      <c r="F352" s="14" t="s">
        <v>84</v>
      </c>
      <c r="G352" s="1" t="s">
        <v>32</v>
      </c>
      <c r="H352" s="1">
        <v>21</v>
      </c>
      <c r="I352" s="3">
        <v>0</v>
      </c>
      <c r="J352" s="1">
        <v>-1</v>
      </c>
      <c r="K352" s="1">
        <v>0</v>
      </c>
      <c r="L352" s="4" t="s">
        <v>33</v>
      </c>
      <c r="M352" s="33" t="s">
        <v>34</v>
      </c>
      <c r="N352">
        <v>1000</v>
      </c>
      <c r="O352" s="16">
        <v>1990000</v>
      </c>
      <c r="Q352" s="3"/>
      <c r="R352" s="3"/>
      <c r="S352" s="3"/>
    </row>
    <row r="353" s="1" customFormat="1" spans="1:19">
      <c r="A353" s="1">
        <v>20040022</v>
      </c>
      <c r="B353" s="5">
        <v>200400</v>
      </c>
      <c r="C353" s="5">
        <v>2</v>
      </c>
      <c r="D353" s="3" t="s">
        <v>83</v>
      </c>
      <c r="E353" s="14">
        <v>200400009</v>
      </c>
      <c r="F353" s="14" t="s">
        <v>84</v>
      </c>
      <c r="G353" s="1" t="s">
        <v>35</v>
      </c>
      <c r="H353" s="1">
        <v>22</v>
      </c>
      <c r="I353" s="3">
        <v>10000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</v>
      </c>
      <c r="O353" s="16">
        <v>1990000</v>
      </c>
      <c r="Q353" s="3"/>
      <c r="R353" s="3"/>
      <c r="S353" s="3"/>
    </row>
    <row r="354" s="1" customFormat="1" spans="1:19">
      <c r="A354" s="1">
        <v>20040023</v>
      </c>
      <c r="B354" s="5">
        <v>200400</v>
      </c>
      <c r="C354" s="5">
        <v>2</v>
      </c>
      <c r="D354" s="3" t="s">
        <v>83</v>
      </c>
      <c r="E354" s="14">
        <v>200400009</v>
      </c>
      <c r="F354" s="14" t="s">
        <v>84</v>
      </c>
      <c r="G354" s="1" t="s">
        <v>36</v>
      </c>
      <c r="H354" s="1">
        <v>23</v>
      </c>
      <c r="I354" s="3">
        <v>100000</v>
      </c>
      <c r="J354" s="1">
        <v>-1</v>
      </c>
      <c r="K354" s="1">
        <v>0</v>
      </c>
      <c r="L354" s="4" t="s">
        <v>33</v>
      </c>
      <c r="M354" s="33" t="s">
        <v>34</v>
      </c>
      <c r="N354">
        <v>100000</v>
      </c>
      <c r="O354" s="16">
        <v>1990000</v>
      </c>
      <c r="Q354" s="3"/>
      <c r="R354" s="3"/>
      <c r="S354" s="3"/>
    </row>
    <row r="355" s="1" customFormat="1" spans="1:19">
      <c r="A355" s="1">
        <v>20050021</v>
      </c>
      <c r="B355" s="5">
        <v>200500</v>
      </c>
      <c r="C355" s="5">
        <v>2</v>
      </c>
      <c r="D355" s="5" t="s">
        <v>85</v>
      </c>
      <c r="E355" s="14">
        <v>200500025</v>
      </c>
      <c r="F355" s="14" t="s">
        <v>86</v>
      </c>
      <c r="G355" s="1" t="s">
        <v>32</v>
      </c>
      <c r="H355" s="1">
        <v>21</v>
      </c>
      <c r="I355" s="3">
        <v>0</v>
      </c>
      <c r="J355" s="1">
        <v>-1</v>
      </c>
      <c r="K355" s="1">
        <v>0</v>
      </c>
      <c r="L355" s="4" t="s">
        <v>33</v>
      </c>
      <c r="M355" s="33" t="s">
        <v>87</v>
      </c>
      <c r="N355">
        <v>1000</v>
      </c>
      <c r="O355" s="16">
        <v>1990000</v>
      </c>
      <c r="Q355" s="3"/>
      <c r="R355" s="3"/>
      <c r="S355" s="3"/>
    </row>
    <row r="356" s="1" customFormat="1" spans="1:19">
      <c r="A356" s="1">
        <v>20050022</v>
      </c>
      <c r="B356" s="5">
        <v>200500</v>
      </c>
      <c r="C356" s="5">
        <v>2</v>
      </c>
      <c r="D356" s="5" t="s">
        <v>85</v>
      </c>
      <c r="E356" s="14">
        <v>200500025</v>
      </c>
      <c r="F356" s="14" t="s">
        <v>86</v>
      </c>
      <c r="G356" s="1" t="s">
        <v>35</v>
      </c>
      <c r="H356" s="1">
        <v>22</v>
      </c>
      <c r="I356" s="3">
        <v>10000</v>
      </c>
      <c r="J356" s="1">
        <v>-1</v>
      </c>
      <c r="K356" s="1">
        <v>0</v>
      </c>
      <c r="L356" s="4" t="s">
        <v>33</v>
      </c>
      <c r="M356" s="33" t="s">
        <v>87</v>
      </c>
      <c r="N356">
        <v>10000</v>
      </c>
      <c r="O356" s="16">
        <v>1990000</v>
      </c>
      <c r="Q356" s="3"/>
      <c r="R356" s="3"/>
      <c r="S356" s="3"/>
    </row>
    <row r="357" s="1" customFormat="1" spans="1:19">
      <c r="A357" s="1">
        <v>20050023</v>
      </c>
      <c r="B357" s="5">
        <v>200500</v>
      </c>
      <c r="C357" s="5">
        <v>2</v>
      </c>
      <c r="D357" s="5" t="s">
        <v>85</v>
      </c>
      <c r="E357" s="14">
        <v>200500025</v>
      </c>
      <c r="F357" s="14" t="s">
        <v>86</v>
      </c>
      <c r="G357" s="1" t="s">
        <v>36</v>
      </c>
      <c r="H357" s="1">
        <v>23</v>
      </c>
      <c r="I357" s="3">
        <v>100000</v>
      </c>
      <c r="J357" s="1">
        <v>-1</v>
      </c>
      <c r="K357" s="1">
        <v>0</v>
      </c>
      <c r="L357" s="4" t="s">
        <v>33</v>
      </c>
      <c r="M357" s="33" t="s">
        <v>87</v>
      </c>
      <c r="N357">
        <v>100000</v>
      </c>
      <c r="O357" s="16">
        <v>1990000</v>
      </c>
      <c r="Q357" s="3"/>
      <c r="R357" s="3"/>
      <c r="S357" s="3"/>
    </row>
    <row r="358" s="1" customFormat="1" spans="1:19">
      <c r="A358" s="1">
        <v>20060021</v>
      </c>
      <c r="B358" s="5">
        <v>200600</v>
      </c>
      <c r="C358" s="5">
        <v>2</v>
      </c>
      <c r="D358" s="14" t="s">
        <v>88</v>
      </c>
      <c r="E358" s="14">
        <v>200600001</v>
      </c>
      <c r="F358" s="14" t="s">
        <v>89</v>
      </c>
      <c r="G358" s="1" t="s">
        <v>32</v>
      </c>
      <c r="H358" s="1">
        <v>21</v>
      </c>
      <c r="I358" s="3">
        <v>0</v>
      </c>
      <c r="J358" s="1">
        <v>-1</v>
      </c>
      <c r="K358" s="1">
        <v>0</v>
      </c>
      <c r="L358" s="4" t="s">
        <v>33</v>
      </c>
      <c r="M358" s="33" t="s">
        <v>34</v>
      </c>
      <c r="N358">
        <v>1000</v>
      </c>
      <c r="O358" s="16">
        <v>1990000</v>
      </c>
      <c r="Q358" s="3"/>
      <c r="R358" s="3"/>
      <c r="S358" s="3"/>
    </row>
    <row r="359" s="1" customFormat="1" spans="1:19">
      <c r="A359" s="1">
        <v>20060022</v>
      </c>
      <c r="B359" s="5">
        <v>200600</v>
      </c>
      <c r="C359" s="5">
        <v>2</v>
      </c>
      <c r="D359" s="14" t="s">
        <v>88</v>
      </c>
      <c r="E359" s="14">
        <v>200600001</v>
      </c>
      <c r="F359" s="14" t="s">
        <v>89</v>
      </c>
      <c r="G359" s="1" t="s">
        <v>35</v>
      </c>
      <c r="H359" s="1">
        <v>22</v>
      </c>
      <c r="I359" s="3">
        <v>10000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</v>
      </c>
      <c r="O359" s="16">
        <v>1990000</v>
      </c>
      <c r="Q359" s="3"/>
      <c r="R359" s="3"/>
      <c r="S359" s="3"/>
    </row>
    <row r="360" s="1" customFormat="1" spans="1:19">
      <c r="A360" s="1">
        <v>20060023</v>
      </c>
      <c r="B360" s="5">
        <v>200600</v>
      </c>
      <c r="C360" s="5">
        <v>2</v>
      </c>
      <c r="D360" s="14" t="s">
        <v>88</v>
      </c>
      <c r="E360" s="14">
        <v>200600001</v>
      </c>
      <c r="F360" s="14" t="s">
        <v>89</v>
      </c>
      <c r="G360" s="1" t="s">
        <v>36</v>
      </c>
      <c r="H360" s="1">
        <v>23</v>
      </c>
      <c r="I360" s="3">
        <v>100000</v>
      </c>
      <c r="J360" s="1">
        <v>-1</v>
      </c>
      <c r="K360" s="1">
        <v>0</v>
      </c>
      <c r="L360" s="4" t="s">
        <v>33</v>
      </c>
      <c r="M360" s="33" t="s">
        <v>34</v>
      </c>
      <c r="N360">
        <v>100000</v>
      </c>
      <c r="O360" s="16">
        <v>1990000</v>
      </c>
      <c r="Q360" s="3"/>
      <c r="R360"/>
      <c r="S360" s="3"/>
    </row>
    <row r="361" s="1" customFormat="1" spans="1:19">
      <c r="A361" s="1">
        <v>20070021</v>
      </c>
      <c r="B361" s="5">
        <v>200700</v>
      </c>
      <c r="C361" s="5">
        <v>2</v>
      </c>
      <c r="D361" s="5" t="s">
        <v>90</v>
      </c>
      <c r="E361" s="14">
        <v>200700001</v>
      </c>
      <c r="F361" s="14" t="s">
        <v>91</v>
      </c>
      <c r="G361" s="1" t="s">
        <v>32</v>
      </c>
      <c r="H361" s="1">
        <v>21</v>
      </c>
      <c r="I361" s="3">
        <v>0</v>
      </c>
      <c r="J361" s="1">
        <v>-1</v>
      </c>
      <c r="K361" s="1">
        <v>0</v>
      </c>
      <c r="L361" s="4" t="s">
        <v>33</v>
      </c>
      <c r="M361" s="33" t="s">
        <v>34</v>
      </c>
      <c r="N361">
        <v>1000</v>
      </c>
      <c r="O361" s="16">
        <v>1990000</v>
      </c>
      <c r="Q361" s="3"/>
      <c r="R361" s="3"/>
      <c r="S361" s="3"/>
    </row>
    <row r="362" s="1" customFormat="1" spans="1:19">
      <c r="A362" s="1">
        <v>20070022</v>
      </c>
      <c r="B362" s="5">
        <v>200700</v>
      </c>
      <c r="C362" s="5">
        <v>2</v>
      </c>
      <c r="D362" s="5" t="s">
        <v>90</v>
      </c>
      <c r="E362" s="14">
        <v>200700001</v>
      </c>
      <c r="F362" s="14" t="s">
        <v>91</v>
      </c>
      <c r="G362" s="1" t="s">
        <v>35</v>
      </c>
      <c r="H362" s="1">
        <v>22</v>
      </c>
      <c r="I362" s="3">
        <v>10000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</v>
      </c>
      <c r="O362" s="16">
        <v>1990000</v>
      </c>
      <c r="Q362" s="3"/>
      <c r="R362" s="3"/>
      <c r="S362" s="3"/>
    </row>
    <row r="363" s="1" customFormat="1" spans="1:19">
      <c r="A363" s="1">
        <v>20070023</v>
      </c>
      <c r="B363" s="5">
        <v>200700</v>
      </c>
      <c r="C363" s="5">
        <v>2</v>
      </c>
      <c r="D363" s="5" t="s">
        <v>90</v>
      </c>
      <c r="E363" s="14">
        <v>200700001</v>
      </c>
      <c r="F363" s="14" t="s">
        <v>91</v>
      </c>
      <c r="G363" s="1" t="s">
        <v>36</v>
      </c>
      <c r="H363" s="1">
        <v>23</v>
      </c>
      <c r="I363" s="3">
        <v>100000</v>
      </c>
      <c r="J363" s="1">
        <v>-1</v>
      </c>
      <c r="K363" s="1">
        <v>0</v>
      </c>
      <c r="L363" s="4" t="s">
        <v>33</v>
      </c>
      <c r="M363" s="33" t="s">
        <v>34</v>
      </c>
      <c r="N363">
        <v>100000</v>
      </c>
      <c r="O363" s="16">
        <v>1990000</v>
      </c>
      <c r="S363" s="3"/>
    </row>
    <row r="364" s="1" customFormat="1" spans="1:19">
      <c r="A364" s="1">
        <v>20080021</v>
      </c>
      <c r="B364" s="5">
        <v>200800</v>
      </c>
      <c r="C364" s="5">
        <v>2</v>
      </c>
      <c r="D364" s="14" t="s">
        <v>92</v>
      </c>
      <c r="E364" s="14">
        <v>200800001</v>
      </c>
      <c r="F364" s="14" t="s">
        <v>93</v>
      </c>
      <c r="G364" s="1" t="s">
        <v>32</v>
      </c>
      <c r="H364" s="1">
        <v>21</v>
      </c>
      <c r="I364" s="3">
        <v>0</v>
      </c>
      <c r="J364" s="1">
        <v>-1</v>
      </c>
      <c r="K364" s="1">
        <v>0</v>
      </c>
      <c r="L364" s="4" t="s">
        <v>33</v>
      </c>
      <c r="M364" s="33" t="s">
        <v>34</v>
      </c>
      <c r="N364">
        <v>1000</v>
      </c>
      <c r="O364" s="16">
        <v>1990000</v>
      </c>
      <c r="S364" s="3"/>
    </row>
    <row r="365" s="1" customFormat="1" spans="1:19">
      <c r="A365" s="1">
        <v>20080022</v>
      </c>
      <c r="B365" s="5">
        <v>200800</v>
      </c>
      <c r="C365" s="5">
        <v>2</v>
      </c>
      <c r="D365" s="14" t="s">
        <v>92</v>
      </c>
      <c r="E365" s="14">
        <v>200800001</v>
      </c>
      <c r="F365" s="14" t="s">
        <v>93</v>
      </c>
      <c r="G365" s="1" t="s">
        <v>35</v>
      </c>
      <c r="H365" s="1">
        <v>22</v>
      </c>
      <c r="I365" s="3">
        <v>10000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</v>
      </c>
      <c r="O365" s="16">
        <v>1990000</v>
      </c>
      <c r="S365" s="3"/>
    </row>
    <row r="366" s="1" customFormat="1" spans="1:19">
      <c r="A366" s="1">
        <v>20080023</v>
      </c>
      <c r="B366" s="5">
        <v>200800</v>
      </c>
      <c r="C366" s="5">
        <v>2</v>
      </c>
      <c r="D366" s="14" t="s">
        <v>92</v>
      </c>
      <c r="E366" s="14">
        <v>200800001</v>
      </c>
      <c r="F366" s="14" t="s">
        <v>93</v>
      </c>
      <c r="G366" s="1" t="s">
        <v>36</v>
      </c>
      <c r="H366" s="1">
        <v>23</v>
      </c>
      <c r="I366" s="3">
        <v>100000</v>
      </c>
      <c r="J366" s="1">
        <v>-1</v>
      </c>
      <c r="K366" s="1">
        <v>0</v>
      </c>
      <c r="L366" s="4" t="s">
        <v>33</v>
      </c>
      <c r="M366" s="33" t="s">
        <v>34</v>
      </c>
      <c r="N366">
        <v>100000</v>
      </c>
      <c r="O366" s="16">
        <v>1990000</v>
      </c>
      <c r="S366" s="3"/>
    </row>
    <row r="367" s="1" customFormat="1" spans="1:19">
      <c r="A367" s="1">
        <v>20090021</v>
      </c>
      <c r="B367" s="20">
        <v>200900</v>
      </c>
      <c r="C367" s="5">
        <v>2</v>
      </c>
      <c r="D367" s="20" t="s">
        <v>94</v>
      </c>
      <c r="E367" s="14">
        <v>200900001</v>
      </c>
      <c r="F367" s="14" t="s">
        <v>95</v>
      </c>
      <c r="G367" s="1" t="s">
        <v>32</v>
      </c>
      <c r="H367" s="1">
        <v>21</v>
      </c>
      <c r="I367" s="3">
        <v>0</v>
      </c>
      <c r="J367" s="1">
        <v>-1</v>
      </c>
      <c r="K367" s="1">
        <v>0</v>
      </c>
      <c r="L367" s="4" t="s">
        <v>33</v>
      </c>
      <c r="M367" s="33" t="s">
        <v>34</v>
      </c>
      <c r="N367">
        <v>1000</v>
      </c>
      <c r="O367" s="16">
        <v>1990000</v>
      </c>
      <c r="S367" s="3"/>
    </row>
    <row r="368" s="1" customFormat="1" spans="1:19">
      <c r="A368" s="1">
        <v>20090022</v>
      </c>
      <c r="B368" s="5">
        <v>200900</v>
      </c>
      <c r="C368" s="5">
        <v>2</v>
      </c>
      <c r="D368" s="5" t="s">
        <v>94</v>
      </c>
      <c r="E368" s="14">
        <v>200900001</v>
      </c>
      <c r="F368" s="14" t="s">
        <v>95</v>
      </c>
      <c r="G368" s="1" t="s">
        <v>35</v>
      </c>
      <c r="H368" s="1">
        <v>22</v>
      </c>
      <c r="I368" s="3">
        <v>10000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</v>
      </c>
      <c r="O368" s="16">
        <v>1990000</v>
      </c>
      <c r="S368" s="3"/>
    </row>
    <row r="369" s="1" customFormat="1" spans="1:19">
      <c r="A369" s="1">
        <v>20090023</v>
      </c>
      <c r="B369" s="5">
        <v>200900</v>
      </c>
      <c r="C369" s="5">
        <v>2</v>
      </c>
      <c r="D369" s="5" t="s">
        <v>94</v>
      </c>
      <c r="E369" s="14">
        <v>200900001</v>
      </c>
      <c r="F369" s="14" t="s">
        <v>95</v>
      </c>
      <c r="G369" s="1" t="s">
        <v>36</v>
      </c>
      <c r="H369" s="1">
        <v>23</v>
      </c>
      <c r="I369" s="3">
        <v>100000</v>
      </c>
      <c r="J369" s="1">
        <v>-1</v>
      </c>
      <c r="K369" s="1">
        <v>0</v>
      </c>
      <c r="L369" s="4" t="s">
        <v>33</v>
      </c>
      <c r="M369" s="33" t="s">
        <v>34</v>
      </c>
      <c r="N369">
        <v>100000</v>
      </c>
      <c r="O369" s="16">
        <v>1990000</v>
      </c>
      <c r="S369" s="3"/>
    </row>
    <row r="370" s="1" customFormat="1" spans="1:19">
      <c r="A370" s="1">
        <v>20120021</v>
      </c>
      <c r="B370" s="5">
        <v>201200</v>
      </c>
      <c r="C370" s="5">
        <v>2</v>
      </c>
      <c r="D370" s="5" t="s">
        <v>108</v>
      </c>
      <c r="E370" s="14">
        <v>201200001</v>
      </c>
      <c r="F370" s="22" t="s">
        <v>109</v>
      </c>
      <c r="G370" s="1" t="s">
        <v>32</v>
      </c>
      <c r="H370" s="1">
        <v>21</v>
      </c>
      <c r="I370" s="3">
        <v>0</v>
      </c>
      <c r="J370" s="1">
        <v>-1</v>
      </c>
      <c r="K370" s="1">
        <v>0</v>
      </c>
      <c r="L370" s="4" t="s">
        <v>33</v>
      </c>
      <c r="M370" s="33" t="s">
        <v>87</v>
      </c>
      <c r="N370">
        <v>1000</v>
      </c>
      <c r="O370" s="16">
        <v>1990000</v>
      </c>
      <c r="S370" s="3"/>
    </row>
    <row r="371" s="1" customFormat="1" spans="1:19">
      <c r="A371" s="1">
        <v>20120022</v>
      </c>
      <c r="B371" s="5">
        <v>201200</v>
      </c>
      <c r="C371" s="5">
        <v>2</v>
      </c>
      <c r="D371" s="5" t="s">
        <v>108</v>
      </c>
      <c r="E371" s="14">
        <v>201200001</v>
      </c>
      <c r="F371" s="22" t="s">
        <v>109</v>
      </c>
      <c r="G371" s="1" t="s">
        <v>35</v>
      </c>
      <c r="H371" s="1">
        <v>22</v>
      </c>
      <c r="I371" s="3">
        <v>10000</v>
      </c>
      <c r="J371" s="1">
        <v>-1</v>
      </c>
      <c r="K371" s="1">
        <v>0</v>
      </c>
      <c r="L371" s="4" t="s">
        <v>33</v>
      </c>
      <c r="M371" s="33" t="s">
        <v>87</v>
      </c>
      <c r="N371">
        <v>10000</v>
      </c>
      <c r="O371" s="16">
        <v>1990000</v>
      </c>
      <c r="S371" s="3"/>
    </row>
    <row r="372" s="1" customFormat="1" spans="1:19">
      <c r="A372" s="1">
        <v>20120023</v>
      </c>
      <c r="B372" s="5">
        <v>201200</v>
      </c>
      <c r="C372" s="5">
        <v>2</v>
      </c>
      <c r="D372" s="5" t="s">
        <v>108</v>
      </c>
      <c r="E372" s="14">
        <v>201200001</v>
      </c>
      <c r="F372" s="22" t="s">
        <v>109</v>
      </c>
      <c r="G372" s="1" t="s">
        <v>36</v>
      </c>
      <c r="H372" s="1">
        <v>23</v>
      </c>
      <c r="I372" s="3">
        <v>100000</v>
      </c>
      <c r="J372" s="1">
        <v>-1</v>
      </c>
      <c r="K372" s="1">
        <v>0</v>
      </c>
      <c r="L372" s="4" t="s">
        <v>33</v>
      </c>
      <c r="M372" s="33" t="s">
        <v>87</v>
      </c>
      <c r="N372">
        <v>100000</v>
      </c>
      <c r="O372" s="16">
        <v>1990000</v>
      </c>
      <c r="S372" s="3"/>
    </row>
    <row r="373" s="1" customFormat="1" spans="1:19">
      <c r="A373" s="1">
        <v>30040231</v>
      </c>
      <c r="B373" s="5">
        <v>300402</v>
      </c>
      <c r="C373" s="1">
        <v>3</v>
      </c>
      <c r="D373" s="5" t="s">
        <v>155</v>
      </c>
      <c r="E373" s="14">
        <v>300402001</v>
      </c>
      <c r="F373" s="22" t="s">
        <v>156</v>
      </c>
      <c r="G373" s="1" t="s">
        <v>32</v>
      </c>
      <c r="H373" s="1">
        <v>31</v>
      </c>
      <c r="I373" s="23">
        <f t="shared" ref="I373:I375" si="11">N373*52</f>
        <v>5200</v>
      </c>
      <c r="J373" s="1">
        <v>-1</v>
      </c>
      <c r="K373" s="1">
        <v>0</v>
      </c>
      <c r="L373" s="4" t="s">
        <v>105</v>
      </c>
      <c r="M373" s="33" t="s">
        <v>99</v>
      </c>
      <c r="N373" s="23">
        <v>100</v>
      </c>
      <c r="O373" s="16">
        <v>1970000</v>
      </c>
      <c r="S373" s="3"/>
    </row>
    <row r="374" s="1" customFormat="1" spans="1:19">
      <c r="A374" s="1">
        <v>30040232</v>
      </c>
      <c r="B374" s="5">
        <v>300402</v>
      </c>
      <c r="C374" s="5">
        <v>3</v>
      </c>
      <c r="D374" s="5" t="s">
        <v>155</v>
      </c>
      <c r="E374" s="14">
        <v>300402001</v>
      </c>
      <c r="F374" s="22" t="s">
        <v>156</v>
      </c>
      <c r="G374" s="1" t="s">
        <v>35</v>
      </c>
      <c r="H374" s="1">
        <v>32</v>
      </c>
      <c r="I374" s="23">
        <f t="shared" si="11"/>
        <v>52000</v>
      </c>
      <c r="J374" s="1">
        <v>-1</v>
      </c>
      <c r="K374" s="1">
        <v>0</v>
      </c>
      <c r="L374" s="4" t="s">
        <v>105</v>
      </c>
      <c r="M374" s="33" t="s">
        <v>99</v>
      </c>
      <c r="N374" s="23">
        <v>1000</v>
      </c>
      <c r="O374" s="16">
        <v>1970000</v>
      </c>
      <c r="S374" s="3"/>
    </row>
    <row r="375" s="1" customFormat="1" spans="1:19">
      <c r="A375" s="1">
        <v>30040233</v>
      </c>
      <c r="B375" s="5">
        <v>300402</v>
      </c>
      <c r="C375" s="5">
        <v>3</v>
      </c>
      <c r="D375" s="5" t="s">
        <v>155</v>
      </c>
      <c r="E375" s="14">
        <v>300402001</v>
      </c>
      <c r="F375" s="22" t="s">
        <v>156</v>
      </c>
      <c r="G375" s="1" t="s">
        <v>36</v>
      </c>
      <c r="H375" s="1">
        <v>33</v>
      </c>
      <c r="I375" s="23">
        <f t="shared" si="11"/>
        <v>520000</v>
      </c>
      <c r="J375" s="1">
        <v>-1</v>
      </c>
      <c r="K375" s="1">
        <v>0</v>
      </c>
      <c r="L375" s="4" t="s">
        <v>105</v>
      </c>
      <c r="M375" s="33" t="s">
        <v>99</v>
      </c>
      <c r="N375" s="23">
        <v>10000</v>
      </c>
      <c r="O375" s="16">
        <v>1970000</v>
      </c>
      <c r="S375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2026-09-03T01:09:17Z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2052-12.1.0.28043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