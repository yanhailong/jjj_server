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1：可使用道具
2：常规道具
3：自动使用（激活）
---------------
每种货币一个类型ID
99:金币
98：钻石
97：贝币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1：白
2：绿
3：蓝
4：紫
5：橙
6：红
7：金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TRUE:进背包
FALSE:不进背包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TRUE:在背包显示
FALSE:不在再背显示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为TRUE时，会调用多语言包内的同名资源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道具ID，道具数量；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 dropGroup.xlsx配置表中 trunkID 字中的值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兼容之前的框架，不需要再加新货币类型了</t>
        </r>
      </text>
    </comment>
    <comment ref="F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此类道具最多只能有1个，多余将被分解，在背包不可见</t>
        </r>
      </text>
    </comment>
    <comment ref="A1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1026代表雇员类别-导玩员（游戏区）</t>
        </r>
      </text>
    </comment>
    <comment ref="A18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1027代表雇员类别-服务员员（休息区）
</t>
        </r>
      </text>
    </comment>
    <comment ref="A1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1028代表雇员类别-管理员（管理区）
</t>
        </r>
      </text>
    </comment>
  </commentList>
</comments>
</file>

<file path=xl/sharedStrings.xml><?xml version="1.0" encoding="utf-8"?>
<sst xmlns="http://schemas.openxmlformats.org/spreadsheetml/2006/main" count="900" uniqueCount="354">
  <si>
    <t>道具ID</t>
  </si>
  <si>
    <t>名称多语言ID</t>
  </si>
  <si>
    <t>备注</t>
  </si>
  <si>
    <t>类型</t>
  </si>
  <si>
    <t>道具品质</t>
  </si>
  <si>
    <t>是否进背包</t>
  </si>
  <si>
    <t>是否允许在背包内展示</t>
  </si>
  <si>
    <t>图标资源名</t>
  </si>
  <si>
    <t>描述多语言ID</t>
  </si>
  <si>
    <t>是否需要调用多语言</t>
  </si>
  <si>
    <t>#备注</t>
  </si>
  <si>
    <t>激活的装扮</t>
  </si>
  <si>
    <t>自动激活的图鉴ID</t>
  </si>
  <si>
    <t>最大堆叠数量</t>
  </si>
  <si>
    <t>使用道具后获得固定道具</t>
  </si>
  <si>
    <t>使用道具后选择获得道具</t>
  </si>
  <si>
    <t>掉落ID</t>
  </si>
  <si>
    <t>价值/美元</t>
  </si>
  <si>
    <t>int</t>
  </si>
  <si>
    <t>bool</t>
  </si>
  <si>
    <t>string</t>
  </si>
  <si>
    <t>map&lt;int{_}long&gt;{;}</t>
  </si>
  <si>
    <t>id</t>
  </si>
  <si>
    <t>name</t>
  </si>
  <si>
    <t>type</t>
  </si>
  <si>
    <t>quality</t>
  </si>
  <si>
    <t>isBag</t>
  </si>
  <si>
    <t>displayOrNot</t>
  </si>
  <si>
    <t>icon</t>
  </si>
  <si>
    <t>text</t>
  </si>
  <si>
    <t>needlanguage</t>
  </si>
  <si>
    <t>avatarID</t>
  </si>
  <si>
    <t>album</t>
  </si>
  <si>
    <t>prop</t>
  </si>
  <si>
    <t>getItem</t>
  </si>
  <si>
    <t>SelectGetItem</t>
  </si>
  <si>
    <t>dropId</t>
  </si>
  <si>
    <t>金币</t>
  </si>
  <si>
    <t>货币</t>
  </si>
  <si>
    <t>jinbi_1.png</t>
  </si>
  <si>
    <t>下注时需要用的货币</t>
  </si>
  <si>
    <t>钻石</t>
  </si>
  <si>
    <t>jinbi_11.png</t>
  </si>
  <si>
    <t>在私密房间内下注时需要用的货币，同时是使用部分功能需要消耗的特殊货币</t>
  </si>
  <si>
    <t>贝币</t>
  </si>
  <si>
    <t>wddc_beibi.png</t>
  </si>
  <si>
    <t>在体验场房间使用的特殊货币</t>
  </si>
  <si>
    <t>白金卡</t>
  </si>
  <si>
    <t>常规道具</t>
  </si>
  <si>
    <t>itemicon_1020001.png</t>
  </si>
  <si>
    <t>创建私人包房时可以抵扣钻石</t>
  </si>
  <si>
    <t>祈福卡</t>
  </si>
  <si>
    <t>daoju_4.png</t>
  </si>
  <si>
    <t>在搖錢樹活動中祈福使用，可在指定禮包中購買獲得</t>
  </si>
  <si>
    <t>刮刮卡</t>
  </si>
  <si>
    <t>daoju_5.png</t>
  </si>
  <si>
    <t>在指定的游戏中产出</t>
  </si>
  <si>
    <t>夺宝优惠券</t>
  </si>
  <si>
    <t>itemicon_duobaoquan.png</t>
  </si>
  <si>
    <t>赌场工具（普通）</t>
  </si>
  <si>
    <t>可使用道具</t>
  </si>
  <si>
    <t>wdcc_ccb_1.png</t>
  </si>
  <si>
    <t>使用后随机获得1~2星赌场建筑升级道具</t>
  </si>
  <si>
    <t>1023001_10;1023002_20;1023003_30</t>
  </si>
  <si>
    <t>赌场工具（精良）</t>
  </si>
  <si>
    <t>wdcc_ccb_2.png</t>
  </si>
  <si>
    <t>赌场工具（优秀）</t>
  </si>
  <si>
    <t>wdcc_ccb_3.png</t>
  </si>
  <si>
    <t>使用后随机获得1~3星赌场建筑升级道具</t>
  </si>
  <si>
    <t>赌场工具（绝佳）</t>
  </si>
  <si>
    <t>itemicon_1010101.png</t>
  </si>
  <si>
    <t>使用后随机获得1~4星赌场建筑升级道具</t>
  </si>
  <si>
    <t>赌场工具（传奇）</t>
  </si>
  <si>
    <t>使用后随机获得1~5星赌场建筑升级道具</t>
  </si>
  <si>
    <t>管理雇员碎片(普通)</t>
  </si>
  <si>
    <t>礼包内有娱乐雇员碎片[威廉碎片*10;艾拉碎片*10;亨利碎片*2]，仅选择一种碎片获取。\n&lt;color=#00bfff&gt; 获取途径：&lt;/color&gt;&lt;color=#00ffff&gt;参加S1赛季并且获得前50排名可获得此道具。&lt;/color&gt;</t>
  </si>
  <si>
    <t>1126001_10;1126002_10;1126101_2</t>
  </si>
  <si>
    <t>娱乐雇员碎片(普通)</t>
  </si>
  <si>
    <t>礼包内有娱乐雇员碎片[拉斐尔碎片*10;伊芙琳碎片*10;埃米尔碎片*2]，仅选择一种碎片获取。\n&lt;color=#00bfff&gt; 获取途径：&lt;/color&gt;&lt;color=#00ffff&gt;参加S1赛季并且获得前50排名可获得此道具。&lt;/color&gt;</t>
  </si>
  <si>
    <t>1127001_10;1127002_10;1127101_2</t>
  </si>
  <si>
    <t>休息雇员碎片(普通)</t>
  </si>
  <si>
    <t>礼包内有娱乐雇员碎片[尼古拉斯碎片*10;奥利维亚碎片*10;亚历山大碎片*2]，仅选择一种碎片获取。\n&lt;color=#00bfff&gt; 获取途径：&lt;/color&gt;&lt;color=#00ffff&gt;参加S1赛季并且获得前50排名可获得此道具。&lt;/color&gt;</t>
  </si>
  <si>
    <t>1128001_10;1128002_10;1128101_2</t>
  </si>
  <si>
    <t>头像2</t>
  </si>
  <si>
    <t>itemicon_1031001.png</t>
  </si>
  <si>
    <t>头像3</t>
  </si>
  <si>
    <t>itemicon_1031002.png</t>
  </si>
  <si>
    <t>头像框2</t>
  </si>
  <si>
    <t>itemicon_1031201.png</t>
  </si>
  <si>
    <t>头像框3</t>
  </si>
  <si>
    <t>itemicon_1031202.png</t>
  </si>
  <si>
    <t>头像框-每日奖金</t>
  </si>
  <si>
    <t>frame_801.png</t>
  </si>
  <si>
    <t>头像框-首充专属</t>
  </si>
  <si>
    <t>frame_018.png</t>
  </si>
  <si>
    <t>国旗2</t>
  </si>
  <si>
    <t>itemicon_1022503.png</t>
  </si>
  <si>
    <t>国旗3</t>
  </si>
  <si>
    <t>头衔1-财富贵族</t>
  </si>
  <si>
    <t>daoju1_8.png</t>
  </si>
  <si>
    <t>头衔2-一夜暴富</t>
  </si>
  <si>
    <t>daoju_9.png</t>
  </si>
  <si>
    <t>头衔3-四方来财</t>
  </si>
  <si>
    <t>daoju1_7.png</t>
  </si>
  <si>
    <t>筹码2-翡翠贵族</t>
  </si>
  <si>
    <t>daoju1_1.png</t>
  </si>
  <si>
    <t>筹码3-水晶皇室</t>
  </si>
  <si>
    <t>daoju1_2.png</t>
  </si>
  <si>
    <t>牌背2-神秘塔罗</t>
  </si>
  <si>
    <t>daoju1_3.png</t>
  </si>
  <si>
    <t>牌背3-命运之手</t>
  </si>
  <si>
    <t>daoju1_4.png</t>
  </si>
  <si>
    <t>大厅背景2-决赛之夜</t>
  </si>
  <si>
    <t>daoju1_5.png</t>
  </si>
  <si>
    <t>大厅背景3-度假海滩</t>
  </si>
  <si>
    <t>daoju1_6.png</t>
  </si>
  <si>
    <t>积分</t>
  </si>
  <si>
    <t>itemicon_1022504.png</t>
  </si>
  <si>
    <t>在[积分大奖]活动中产出</t>
  </si>
  <si>
    <t>1星扳手</t>
  </si>
  <si>
    <t>wddc_bs_1.png</t>
  </si>
  <si>
    <t>升级机台的必要道具</t>
  </si>
  <si>
    <t>2星扳手</t>
  </si>
  <si>
    <t>wddc_bs_2.png</t>
  </si>
  <si>
    <t>3星扳手</t>
  </si>
  <si>
    <t>wddc_bs_3.png</t>
  </si>
  <si>
    <t>4星扳手</t>
  </si>
  <si>
    <t>wddc_bs_4.png</t>
  </si>
  <si>
    <t>5星扳手</t>
  </si>
  <si>
    <t>wddc_bs_5.png</t>
  </si>
  <si>
    <t>1星筹码</t>
  </si>
  <si>
    <t>wddc_cm_1.png</t>
  </si>
  <si>
    <t>升级牌桌和转盘的必要道具</t>
  </si>
  <si>
    <t>2星筹码</t>
  </si>
  <si>
    <t>wddc_cm_2.png</t>
  </si>
  <si>
    <t>3星筹码</t>
  </si>
  <si>
    <t>wddc_cm_3.png</t>
  </si>
  <si>
    <t>4星筹码</t>
  </si>
  <si>
    <t>wddc_cm_4.png</t>
  </si>
  <si>
    <t>5星筹码</t>
  </si>
  <si>
    <t>wddc_cm_5.png</t>
  </si>
  <si>
    <t>1星螺母</t>
  </si>
  <si>
    <t>wddc_lsd_1.png</t>
  </si>
  <si>
    <t>升级提款机的必要道具</t>
  </si>
  <si>
    <t>2星螺母</t>
  </si>
  <si>
    <t>wddc_lsd_2.png</t>
  </si>
  <si>
    <t>3星螺母</t>
  </si>
  <si>
    <t>wddc_lsd_3.png</t>
  </si>
  <si>
    <t>4星螺母</t>
  </si>
  <si>
    <t>wddc_lsd_4.png</t>
  </si>
  <si>
    <t>5星螺母</t>
  </si>
  <si>
    <t>wddc_lsd_5.png</t>
  </si>
  <si>
    <t>1星木材</t>
  </si>
  <si>
    <t>wddc_mt_1.png</t>
  </si>
  <si>
    <t>升级休息区的必要道具</t>
  </si>
  <si>
    <t>2星木材</t>
  </si>
  <si>
    <t>wddc_mt_2.png</t>
  </si>
  <si>
    <t>3星木材</t>
  </si>
  <si>
    <t>wddc_mt_3.png</t>
  </si>
  <si>
    <t>4星木材</t>
  </si>
  <si>
    <t>wddc_mt_4.png</t>
  </si>
  <si>
    <t>5星木材</t>
  </si>
  <si>
    <t>wddc_mt_5.png</t>
  </si>
  <si>
    <t>1星酒瓶</t>
  </si>
  <si>
    <t>wddc_pz_1.png</t>
  </si>
  <si>
    <t>升级酒水区的必要道具</t>
  </si>
  <si>
    <t>2星酒瓶</t>
  </si>
  <si>
    <t>wddc_pz_2.png</t>
  </si>
  <si>
    <t>3星酒瓶</t>
  </si>
  <si>
    <t>wddc_pz_3.png</t>
  </si>
  <si>
    <t>4星酒瓶</t>
  </si>
  <si>
    <t>wddc_pz_4.png</t>
  </si>
  <si>
    <t>5星酒瓶</t>
  </si>
  <si>
    <t>wddc_pz_5.png</t>
  </si>
  <si>
    <t>能量</t>
  </si>
  <si>
    <t>daoju_nl.png</t>
  </si>
  <si>
    <t>SLOT游戏需求材料</t>
  </si>
  <si>
    <t>曝光度</t>
  </si>
  <si>
    <t>daoju_bgd.png</t>
  </si>
  <si>
    <t>建筑收益</t>
  </si>
  <si>
    <t>研究点</t>
  </si>
  <si>
    <t>daoju_yjy.png</t>
  </si>
  <si>
    <t>升级游戏特殊词条</t>
  </si>
  <si>
    <t>稀有研究点</t>
  </si>
  <si>
    <t>加速卡</t>
  </si>
  <si>
    <t>daoju_jsk.png</t>
  </si>
  <si>
    <t>加速建筑升级的CD时间</t>
  </si>
  <si>
    <t>雇员升级材料1</t>
  </si>
  <si>
    <t>雇员升级材料2</t>
  </si>
  <si>
    <t>雇员升级材料3</t>
  </si>
  <si>
    <t>声誉值</t>
  </si>
  <si>
    <t>联盟的升级经验</t>
  </si>
  <si>
    <t>贡献值</t>
  </si>
  <si>
    <t>联盟商店兑换商品的道具</t>
  </si>
  <si>
    <t>游客抽卡道具</t>
  </si>
  <si>
    <t>用于游客卡池抽奖的道具</t>
  </si>
  <si>
    <t>雇员抽卡道具</t>
  </si>
  <si>
    <t>用于雇员卡池抽卡的道具</t>
  </si>
  <si>
    <t>游客人员邀请函</t>
  </si>
  <si>
    <t>用于指定生成游客人员的道具</t>
  </si>
  <si>
    <t>1025101_1;1025102_1;1025103_1;1025104_1;1025105_1;1025106_1;1025201_1;1025202_1;1025203_1;1025204_1;1025205_1;1025206_1;1025301_1;1025302_1;1025303_1;1025304_1;1025305_1;1025306_1;1025401_1;1025402_1;1025403_1;1025404_1;1025405_1;1025406_1;1025501_1;1025502_1;1025503_1;1025504_1;1025505_1;1025506_1</t>
  </si>
  <si>
    <t>游客品质邀请函</t>
  </si>
  <si>
    <t>用于指定生成某类品质游客的道具</t>
  </si>
  <si>
    <t>1024019_1;1024020_1;1024021_1;1024022_1;1024023_1</t>
  </si>
  <si>
    <t>联盟任务补充券</t>
  </si>
  <si>
    <t>用于补充联盟任务的道具</t>
  </si>
  <si>
    <t>试玩体力</t>
  </si>
  <si>
    <t>daoju_fwnl.png</t>
  </si>
  <si>
    <t>用于拜访时试玩别人游戏的需求材料</t>
  </si>
  <si>
    <t>白色品质游客</t>
  </si>
  <si>
    <t>用于指定生成白色品质游客所进行展示</t>
  </si>
  <si>
    <t>绿色品质游客</t>
  </si>
  <si>
    <t>用于指定生成绿色品质游客所进行展示</t>
  </si>
  <si>
    <t>蓝色品质游客</t>
  </si>
  <si>
    <t>用于指定生成蓝色品质游客所进行展示</t>
  </si>
  <si>
    <t>紫色品质游客</t>
  </si>
  <si>
    <t>用于指定生成紫色品质游客所进行展示</t>
  </si>
  <si>
    <t>金色品质游客</t>
  </si>
  <si>
    <t>用于指定生成金色品质游客所进行展示</t>
  </si>
  <si>
    <t>街头潮人</t>
  </si>
  <si>
    <t>复古绅士</t>
  </si>
  <si>
    <t>酷盖少年</t>
  </si>
  <si>
    <t>潮流先锋</t>
  </si>
  <si>
    <t>时尚教主</t>
  </si>
  <si>
    <t>街拍达人</t>
  </si>
  <si>
    <t>运动健将</t>
  </si>
  <si>
    <t>跑酷少年</t>
  </si>
  <si>
    <t>滑板高手</t>
  </si>
  <si>
    <t>甜心辣妹</t>
  </si>
  <si>
    <t>活力少女</t>
  </si>
  <si>
    <t>优雅女神</t>
  </si>
  <si>
    <t>健身狂魔</t>
  </si>
  <si>
    <t>单车骑士</t>
  </si>
  <si>
    <t>登山行者</t>
  </si>
  <si>
    <t>文艺青年</t>
  </si>
  <si>
    <t>书香少女</t>
  </si>
  <si>
    <t>民谣歌手</t>
  </si>
  <si>
    <t>马拉松客</t>
  </si>
  <si>
    <t>极限玩家</t>
  </si>
  <si>
    <t>科技极客</t>
  </si>
  <si>
    <t>独立画家</t>
  </si>
  <si>
    <t>浪漫诗人</t>
  </si>
  <si>
    <t>古典乐迷</t>
  </si>
  <si>
    <t>创业新贵</t>
  </si>
  <si>
    <t>摸金校尉</t>
  </si>
  <si>
    <t>氪金大佬</t>
  </si>
  <si>
    <t>穿搭博主</t>
  </si>
  <si>
    <t>美妆新秀</t>
  </si>
  <si>
    <t>高定女王</t>
  </si>
  <si>
    <t>itemicon_1020002.png</t>
  </si>
  <si>
    <t>威廉</t>
  </si>
  <si>
    <t>艾拉</t>
  </si>
  <si>
    <t>亨利</t>
  </si>
  <si>
    <t>艾玛</t>
  </si>
  <si>
    <t>乔治</t>
  </si>
  <si>
    <t>艾娃</t>
  </si>
  <si>
    <t>亚瑟</t>
  </si>
  <si>
    <t>安娜</t>
  </si>
  <si>
    <t>马修</t>
  </si>
  <si>
    <t>哈珀</t>
  </si>
  <si>
    <t>拉斐尔</t>
  </si>
  <si>
    <t>伊芙琳</t>
  </si>
  <si>
    <t>埃米尔</t>
  </si>
  <si>
    <t>夏洛特</t>
  </si>
  <si>
    <t>雷蒙德</t>
  </si>
  <si>
    <t>斯嘉丽</t>
  </si>
  <si>
    <t>丹尼尔</t>
  </si>
  <si>
    <t>莉莉安</t>
  </si>
  <si>
    <t>卢卡斯</t>
  </si>
  <si>
    <t>克拉拉</t>
  </si>
  <si>
    <t>尼古拉斯</t>
  </si>
  <si>
    <t>奥利维亚</t>
  </si>
  <si>
    <t>亚历山大</t>
  </si>
  <si>
    <t>玛格丽特</t>
  </si>
  <si>
    <t>奥古斯特</t>
  </si>
  <si>
    <t>维奥莱特</t>
  </si>
  <si>
    <t>费利克斯</t>
  </si>
  <si>
    <t>维多利亚</t>
  </si>
  <si>
    <t>阿尔弗雷德</t>
  </si>
  <si>
    <t>伊丽莎白</t>
  </si>
  <si>
    <t>itemicon_1020006.png</t>
  </si>
  <si>
    <t>打卡卫士</t>
  </si>
  <si>
    <t>1001.png</t>
  </si>
  <si>
    <t>成长之路</t>
  </si>
  <si>
    <t>转轮高手</t>
  </si>
  <si>
    <t>大赢家</t>
  </si>
  <si>
    <t>转轮精英</t>
  </si>
  <si>
    <t>幸运之星</t>
  </si>
  <si>
    <t>游戏收集者</t>
  </si>
  <si>
    <t>建筑能手</t>
  </si>
  <si>
    <t>百万富豪</t>
  </si>
  <si>
    <t>能量收集者</t>
  </si>
  <si>
    <t>金币大师</t>
  </si>
  <si>
    <t>钻石富豪</t>
  </si>
  <si>
    <t>招商能手</t>
  </si>
  <si>
    <t>娱乐CEO</t>
  </si>
  <si>
    <t>人气爆棚</t>
  </si>
  <si>
    <t>建筑大师</t>
  </si>
  <si>
    <t>2001.png</t>
  </si>
  <si>
    <t>人气之王</t>
  </si>
  <si>
    <t>2002.png</t>
  </si>
  <si>
    <t>团队高管</t>
  </si>
  <si>
    <t>培养能手</t>
  </si>
  <si>
    <t>培养大师</t>
  </si>
  <si>
    <t>培养专家</t>
  </si>
  <si>
    <t>有点小钱</t>
  </si>
  <si>
    <t>小有成就</t>
  </si>
  <si>
    <t>2008.png</t>
  </si>
  <si>
    <t>中奖能手</t>
  </si>
  <si>
    <t>招财进宝</t>
  </si>
  <si>
    <t>财富自由</t>
  </si>
  <si>
    <t>2011.png</t>
  </si>
  <si>
    <t>超级赢家</t>
  </si>
  <si>
    <t>2012.png</t>
  </si>
  <si>
    <t>VIP专享</t>
  </si>
  <si>
    <t>3001.png</t>
  </si>
  <si>
    <t>研发院士</t>
  </si>
  <si>
    <t>社交精英</t>
  </si>
  <si>
    <t>精英团队</t>
  </si>
  <si>
    <t>游戏大亨</t>
  </si>
  <si>
    <t>3005.png</t>
  </si>
  <si>
    <t>营销高手</t>
  </si>
  <si>
    <t>招商经理</t>
  </si>
  <si>
    <t>广告精英</t>
  </si>
  <si>
    <t>招募精英</t>
  </si>
  <si>
    <t>商界精英</t>
  </si>
  <si>
    <t>策略大师</t>
  </si>
  <si>
    <t>幸运之神</t>
  </si>
  <si>
    <t>3012.png</t>
  </si>
  <si>
    <t>大奖得主</t>
  </si>
  <si>
    <t>最佳经理人</t>
  </si>
  <si>
    <t>财富神话</t>
  </si>
  <si>
    <t>4001.png</t>
  </si>
  <si>
    <t>财运亨通</t>
  </si>
  <si>
    <t>亿万富豪</t>
  </si>
  <si>
    <t>巨富大亨</t>
  </si>
  <si>
    <t>传奇赢家</t>
  </si>
  <si>
    <t>营销冠军</t>
  </si>
  <si>
    <t>产业巨头</t>
  </si>
  <si>
    <t>4007.png</t>
  </si>
  <si>
    <t>管理大师</t>
  </si>
  <si>
    <t>娱乐大亨</t>
  </si>
  <si>
    <t>商界奇才</t>
  </si>
  <si>
    <t>商界传奇</t>
  </si>
  <si>
    <t>科研之王</t>
  </si>
  <si>
    <t>转轮之王</t>
  </si>
  <si>
    <t>4013.png</t>
  </si>
  <si>
    <t>赌场之王</t>
  </si>
  <si>
    <t>全服名人</t>
  </si>
  <si>
    <t>富贵逼人</t>
  </si>
  <si>
    <t>辉煌人生</t>
  </si>
  <si>
    <t>风云人物</t>
  </si>
  <si>
    <t>名震世界</t>
  </si>
  <si>
    <t>时代传说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</si>
</sst>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3" fontId="1" fillId="0" borderId="0" xfId="0" applyNumberFormat="1" applyFont="1" applyFill="1">
      <alignment vertical="center"/>
    </xf>
    <xf numFmtId="3" fontId="2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4"/>
  <sheetViews>
    <sheetView tabSelected="1" zoomScale="85" zoomScaleNormal="85" workbookViewId="0">
      <pane ySplit="4" topLeftCell="A249" activePane="bottomLeft" state="frozen"/>
      <selection/>
      <selection pane="bottomLeft" activeCell="J273" sqref="J273"/>
    </sheetView>
  </sheetViews>
  <sheetFormatPr defaultColWidth="9" defaultRowHeight="16.5"/>
  <cols>
    <col min="1" max="1" width="9.25" style="1" customWidth="1"/>
    <col min="2" max="2" width="5.875" style="1" customWidth="1"/>
    <col min="3" max="3" width="12.875" style="1" customWidth="1"/>
    <col min="4" max="4" width="19.125" style="1" customWidth="1"/>
    <col min="5" max="5" width="5.5" style="1" customWidth="1"/>
    <col min="6" max="6" width="10.875" style="1" customWidth="1"/>
    <col min="7" max="7" width="8.875" style="1" customWidth="1"/>
    <col min="8" max="8" width="10.875" style="1" customWidth="1"/>
    <col min="9" max="9" width="21.25" style="1" customWidth="1"/>
    <col min="10" max="10" width="27.75" style="1" customWidth="1"/>
    <col min="11" max="11" width="12.875" style="1" customWidth="1"/>
    <col min="12" max="12" width="19.125" style="1" customWidth="1"/>
    <col min="13" max="13" width="26.175" style="1" customWidth="1"/>
    <col min="14" max="14" width="10.875" style="1" customWidth="1"/>
    <col min="15" max="15" width="17.125" style="1" customWidth="1"/>
    <col min="16" max="16" width="12.875" style="1" customWidth="1"/>
    <col min="17" max="18" width="38.25" style="1" customWidth="1"/>
    <col min="19" max="19" width="9.25" style="1" customWidth="1"/>
    <col min="20" max="20" width="14.125" style="1" customWidth="1"/>
    <col min="21" max="22" width="9" style="1"/>
    <col min="23" max="23" width="9.375" style="1"/>
    <col min="24" max="16384" width="9" style="1"/>
  </cols>
  <sheetData>
    <row r="1" spans="1:20">
      <c r="A1" s="3" t="s">
        <v>0</v>
      </c>
      <c r="B1" s="3"/>
      <c r="C1" s="4" t="s">
        <v>1</v>
      </c>
      <c r="D1" s="4" t="s">
        <v>2</v>
      </c>
      <c r="E1" s="4" t="s">
        <v>3</v>
      </c>
      <c r="F1" s="4"/>
      <c r="G1" s="4" t="s">
        <v>4</v>
      </c>
      <c r="H1" s="4" t="s">
        <v>5</v>
      </c>
      <c r="I1" s="4" t="s">
        <v>6</v>
      </c>
      <c r="J1" s="4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4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s="4" t="s">
        <v>18</v>
      </c>
      <c r="B2" s="4"/>
      <c r="C2" s="4" t="s">
        <v>18</v>
      </c>
      <c r="D2" s="4"/>
      <c r="E2" s="4" t="s">
        <v>18</v>
      </c>
      <c r="F2" s="5"/>
      <c r="G2" s="4" t="s">
        <v>18</v>
      </c>
      <c r="H2" s="4" t="s">
        <v>19</v>
      </c>
      <c r="I2" s="4" t="s">
        <v>19</v>
      </c>
      <c r="J2" s="4" t="s">
        <v>20</v>
      </c>
      <c r="K2" s="4" t="s">
        <v>18</v>
      </c>
      <c r="L2" s="4" t="s">
        <v>19</v>
      </c>
      <c r="M2" s="4"/>
      <c r="N2" s="4" t="s">
        <v>18</v>
      </c>
      <c r="O2" s="4" t="s">
        <v>18</v>
      </c>
      <c r="P2" s="4" t="s">
        <v>18</v>
      </c>
      <c r="Q2" s="1" t="s">
        <v>21</v>
      </c>
      <c r="R2" s="1" t="s">
        <v>21</v>
      </c>
      <c r="S2" s="1" t="s">
        <v>18</v>
      </c>
    </row>
    <row r="3" spans="1:20">
      <c r="A3" s="3" t="s">
        <v>22</v>
      </c>
      <c r="B3" s="3"/>
      <c r="C3" s="4" t="s">
        <v>23</v>
      </c>
      <c r="D3" s="4"/>
      <c r="E3" s="4" t="s">
        <v>24</v>
      </c>
      <c r="F3" s="4"/>
      <c r="G3" s="4" t="s">
        <v>25</v>
      </c>
      <c r="H3" s="4" t="s">
        <v>26</v>
      </c>
      <c r="I3" s="4" t="s">
        <v>27</v>
      </c>
      <c r="J3" s="4" t="s">
        <v>28</v>
      </c>
      <c r="K3" s="1" t="s">
        <v>29</v>
      </c>
      <c r="L3" s="1" t="s">
        <v>30</v>
      </c>
      <c r="N3" s="1" t="s">
        <v>31</v>
      </c>
      <c r="O3" s="1" t="s">
        <v>32</v>
      </c>
      <c r="P3" s="4" t="s">
        <v>33</v>
      </c>
      <c r="Q3" s="1" t="s">
        <v>34</v>
      </c>
      <c r="R3" s="1" t="s">
        <v>35</v>
      </c>
      <c r="S3" s="1" t="s">
        <v>36</v>
      </c>
    </row>
    <row r="4" spans="1:20">
      <c r="A4" s="6"/>
      <c r="B4" s="6"/>
    </row>
    <row r="5" spans="1:20">
      <c r="A5" s="1">
        <v>1990000</v>
      </c>
      <c r="B5" s="1">
        <v>0</v>
      </c>
      <c r="C5" s="1">
        <v>1990000</v>
      </c>
      <c r="D5" s="1" t="s">
        <v>37</v>
      </c>
      <c r="E5" s="1">
        <v>99</v>
      </c>
      <c r="F5" s="1" t="s">
        <v>38</v>
      </c>
      <c r="G5" s="1">
        <v>1</v>
      </c>
      <c r="H5" s="1" t="b">
        <v>0</v>
      </c>
      <c r="I5" s="1" t="b">
        <v>0</v>
      </c>
      <c r="J5" s="1" t="s">
        <v>39</v>
      </c>
      <c r="K5" s="1">
        <v>2990000</v>
      </c>
      <c r="L5" s="1" t="b">
        <v>0</v>
      </c>
      <c r="M5" s="1" t="s">
        <v>40</v>
      </c>
      <c r="P5" s="1">
        <v>-1</v>
      </c>
      <c r="T5" s="1">
        <f>1/700000</f>
        <v>1.42857142857143e-6</v>
      </c>
    </row>
    <row r="6" spans="1:20">
      <c r="A6" s="1">
        <v>1980000</v>
      </c>
      <c r="B6" s="1">
        <v>0</v>
      </c>
      <c r="C6" s="1">
        <v>1980000</v>
      </c>
      <c r="D6" s="1" t="s">
        <v>41</v>
      </c>
      <c r="E6" s="1">
        <v>98</v>
      </c>
      <c r="F6" s="1" t="s">
        <v>38</v>
      </c>
      <c r="G6" s="1">
        <v>1</v>
      </c>
      <c r="H6" s="1" t="b">
        <v>0</v>
      </c>
      <c r="I6" s="1" t="b">
        <v>0</v>
      </c>
      <c r="J6" s="1" t="s">
        <v>42</v>
      </c>
      <c r="K6" s="1">
        <v>2980000</v>
      </c>
      <c r="L6" s="1" t="b">
        <v>0</v>
      </c>
      <c r="M6" s="1" t="s">
        <v>43</v>
      </c>
      <c r="P6" s="1">
        <v>-1</v>
      </c>
      <c r="T6" s="1">
        <f>1/700</f>
        <v>0.00142857142857143</v>
      </c>
    </row>
    <row r="7" spans="1:20">
      <c r="A7" s="1">
        <v>1970000</v>
      </c>
      <c r="B7" s="1">
        <v>0</v>
      </c>
      <c r="C7" s="1">
        <v>1970000</v>
      </c>
      <c r="D7" s="1" t="s">
        <v>44</v>
      </c>
      <c r="E7" s="1">
        <v>97</v>
      </c>
      <c r="F7" s="1" t="s">
        <v>38</v>
      </c>
      <c r="G7" s="1">
        <v>1</v>
      </c>
      <c r="H7" s="1" t="b">
        <v>0</v>
      </c>
      <c r="I7" s="1" t="b">
        <v>0</v>
      </c>
      <c r="J7" s="1" t="s">
        <v>45</v>
      </c>
      <c r="K7" s="1">
        <v>2970000</v>
      </c>
      <c r="L7" s="1" t="b">
        <v>0</v>
      </c>
      <c r="M7" s="1" t="s">
        <v>46</v>
      </c>
      <c r="P7" s="1">
        <v>-1</v>
      </c>
    </row>
    <row r="8" spans="1:20">
      <c r="A8" s="1">
        <v>1020001</v>
      </c>
      <c r="B8" s="1">
        <v>1</v>
      </c>
      <c r="C8" s="1">
        <v>1020001</v>
      </c>
      <c r="D8" s="1" t="s">
        <v>47</v>
      </c>
      <c r="E8" s="1">
        <v>2</v>
      </c>
      <c r="F8" s="1" t="s">
        <v>48</v>
      </c>
      <c r="G8" s="1">
        <v>1</v>
      </c>
      <c r="H8" s="1" t="b">
        <v>1</v>
      </c>
      <c r="I8" s="1" t="b">
        <v>1</v>
      </c>
      <c r="J8" s="1" t="s">
        <v>49</v>
      </c>
      <c r="K8" s="1">
        <v>2020001</v>
      </c>
      <c r="L8" s="1" t="b">
        <v>0</v>
      </c>
      <c r="M8" s="1" t="s">
        <v>50</v>
      </c>
      <c r="P8" s="1">
        <v>999999</v>
      </c>
    </row>
    <row r="9" spans="1:20">
      <c r="A9" s="1">
        <v>1022501</v>
      </c>
      <c r="B9" s="1">
        <v>2501</v>
      </c>
      <c r="C9" s="1">
        <v>1202501</v>
      </c>
      <c r="D9" s="1" t="s">
        <v>51</v>
      </c>
      <c r="E9" s="1">
        <v>2</v>
      </c>
      <c r="F9" s="1" t="s">
        <v>48</v>
      </c>
      <c r="G9" s="1">
        <v>1</v>
      </c>
      <c r="H9" s="1" t="b">
        <v>1</v>
      </c>
      <c r="I9" s="1" t="b">
        <v>1</v>
      </c>
      <c r="J9" s="1" t="s">
        <v>52</v>
      </c>
      <c r="K9" s="1">
        <v>2022501</v>
      </c>
      <c r="L9" s="1" t="b">
        <v>0</v>
      </c>
      <c r="M9" s="1" t="s">
        <v>53</v>
      </c>
      <c r="P9" s="1">
        <v>999999</v>
      </c>
      <c r="T9" s="1">
        <v>0.05</v>
      </c>
    </row>
    <row r="10" spans="1:20">
      <c r="A10" s="1">
        <v>1022502</v>
      </c>
      <c r="B10" s="1">
        <v>2502</v>
      </c>
      <c r="C10" s="1">
        <v>1202502</v>
      </c>
      <c r="D10" s="1" t="s">
        <v>54</v>
      </c>
      <c r="E10" s="1">
        <v>2</v>
      </c>
      <c r="F10" s="1" t="s">
        <v>48</v>
      </c>
      <c r="G10" s="1">
        <v>1</v>
      </c>
      <c r="H10" s="1" t="b">
        <v>1</v>
      </c>
      <c r="I10" s="1" t="b">
        <v>1</v>
      </c>
      <c r="J10" s="1" t="s">
        <v>55</v>
      </c>
      <c r="K10" s="1">
        <v>2022502</v>
      </c>
      <c r="L10" s="1" t="b">
        <v>0</v>
      </c>
      <c r="M10" s="1" t="s">
        <v>56</v>
      </c>
      <c r="P10" s="1">
        <v>999999</v>
      </c>
      <c r="T10" s="1">
        <v>0.99</v>
      </c>
    </row>
    <row r="11" spans="1:20">
      <c r="A11" s="1">
        <v>1022503</v>
      </c>
      <c r="B11" s="1">
        <v>2503</v>
      </c>
      <c r="C11" s="1">
        <v>1202503</v>
      </c>
      <c r="D11" s="1" t="s">
        <v>57</v>
      </c>
      <c r="E11" s="1">
        <v>2</v>
      </c>
      <c r="F11" s="1" t="s">
        <v>48</v>
      </c>
      <c r="G11" s="1">
        <v>1</v>
      </c>
      <c r="H11" s="1" t="b">
        <v>1</v>
      </c>
      <c r="I11" s="1" t="b">
        <v>1</v>
      </c>
      <c r="J11" s="1" t="s">
        <v>58</v>
      </c>
      <c r="K11" s="1">
        <v>2022503</v>
      </c>
      <c r="L11" s="1" t="b">
        <v>0</v>
      </c>
      <c r="M11" s="1" t="s">
        <v>56</v>
      </c>
      <c r="P11" s="1">
        <v>999999</v>
      </c>
      <c r="T11" s="1">
        <v>0.99</v>
      </c>
    </row>
    <row r="12" s="1" customFormat="1" spans="1:20">
      <c r="A12" s="1">
        <v>1010301</v>
      </c>
      <c r="B12" s="1">
        <v>301</v>
      </c>
      <c r="C12" s="1">
        <v>1100301</v>
      </c>
      <c r="D12" s="1" t="s">
        <v>59</v>
      </c>
      <c r="E12" s="1">
        <v>1</v>
      </c>
      <c r="F12" s="1" t="s">
        <v>60</v>
      </c>
      <c r="G12" s="1">
        <v>2</v>
      </c>
      <c r="H12" s="1" t="b">
        <v>1</v>
      </c>
      <c r="I12" s="1" t="b">
        <v>1</v>
      </c>
      <c r="J12" s="1" t="s">
        <v>61</v>
      </c>
      <c r="K12" s="1">
        <v>2010301</v>
      </c>
      <c r="L12" s="1" t="b">
        <v>0</v>
      </c>
      <c r="M12" s="1" t="s">
        <v>62</v>
      </c>
      <c r="P12" s="1">
        <v>999999</v>
      </c>
      <c r="Q12" s="7" t="s">
        <v>63</v>
      </c>
      <c r="T12" s="1">
        <v>0.099</v>
      </c>
    </row>
    <row r="13" s="1" customFormat="1" spans="1:20">
      <c r="A13" s="1">
        <v>1010302</v>
      </c>
      <c r="B13" s="1">
        <v>302</v>
      </c>
      <c r="C13" s="1">
        <v>1100302</v>
      </c>
      <c r="D13" s="1" t="s">
        <v>64</v>
      </c>
      <c r="E13" s="1">
        <v>1</v>
      </c>
      <c r="F13" s="1" t="s">
        <v>60</v>
      </c>
      <c r="G13" s="1">
        <v>3</v>
      </c>
      <c r="H13" s="1" t="b">
        <v>1</v>
      </c>
      <c r="I13" s="1" t="b">
        <v>1</v>
      </c>
      <c r="J13" s="1" t="s">
        <v>65</v>
      </c>
      <c r="K13" s="1">
        <v>2010302</v>
      </c>
      <c r="L13" s="1" t="b">
        <v>0</v>
      </c>
      <c r="M13" s="1" t="s">
        <v>62</v>
      </c>
      <c r="P13" s="1">
        <v>999999</v>
      </c>
      <c r="Q13" s="7" t="s">
        <v>63</v>
      </c>
      <c r="T13" s="1">
        <f>T12*2</f>
        <v>0.198</v>
      </c>
    </row>
    <row r="14" s="1" customFormat="1" spans="1:20">
      <c r="A14" s="1">
        <v>1010303</v>
      </c>
      <c r="B14" s="1">
        <v>303</v>
      </c>
      <c r="C14" s="1">
        <v>1100303</v>
      </c>
      <c r="D14" s="1" t="s">
        <v>66</v>
      </c>
      <c r="E14" s="1">
        <v>1</v>
      </c>
      <c r="F14" s="1" t="s">
        <v>60</v>
      </c>
      <c r="G14" s="1">
        <v>4</v>
      </c>
      <c r="H14" s="1" t="b">
        <v>1</v>
      </c>
      <c r="I14" s="1" t="b">
        <v>1</v>
      </c>
      <c r="J14" s="1" t="s">
        <v>67</v>
      </c>
      <c r="K14" s="1">
        <v>2010303</v>
      </c>
      <c r="L14" s="1" t="b">
        <v>0</v>
      </c>
      <c r="M14" s="1" t="s">
        <v>68</v>
      </c>
      <c r="P14" s="1">
        <v>999999</v>
      </c>
      <c r="Q14" s="7" t="s">
        <v>63</v>
      </c>
      <c r="T14" s="1">
        <f>T12*6</f>
        <v>0.594</v>
      </c>
    </row>
    <row r="15" s="1" customFormat="1" spans="1:20">
      <c r="A15" s="1">
        <v>1010304</v>
      </c>
      <c r="B15" s="1">
        <v>304</v>
      </c>
      <c r="C15" s="1">
        <v>1100304</v>
      </c>
      <c r="D15" s="1" t="s">
        <v>69</v>
      </c>
      <c r="E15" s="1">
        <v>1</v>
      </c>
      <c r="F15" s="1" t="s">
        <v>60</v>
      </c>
      <c r="G15" s="1">
        <v>5</v>
      </c>
      <c r="H15" s="1" t="b">
        <v>1</v>
      </c>
      <c r="I15" s="1" t="b">
        <v>1</v>
      </c>
      <c r="J15" s="1" t="s">
        <v>70</v>
      </c>
      <c r="K15" s="1">
        <v>2010304</v>
      </c>
      <c r="L15" s="1" t="b">
        <v>0</v>
      </c>
      <c r="M15" s="1" t="s">
        <v>71</v>
      </c>
      <c r="P15" s="1">
        <v>999999</v>
      </c>
      <c r="Q15" s="7" t="s">
        <v>63</v>
      </c>
      <c r="T15" s="1">
        <f>T12*8</f>
        <v>0.792</v>
      </c>
    </row>
    <row r="16" s="1" customFormat="1" spans="1:20">
      <c r="A16" s="1">
        <v>1010305</v>
      </c>
      <c r="B16" s="1">
        <v>305</v>
      </c>
      <c r="C16" s="1">
        <v>1100305</v>
      </c>
      <c r="D16" s="1" t="s">
        <v>72</v>
      </c>
      <c r="E16" s="1">
        <v>1</v>
      </c>
      <c r="F16" s="1" t="s">
        <v>60</v>
      </c>
      <c r="G16" s="1">
        <v>6</v>
      </c>
      <c r="H16" s="1" t="b">
        <v>1</v>
      </c>
      <c r="I16" s="1" t="b">
        <v>1</v>
      </c>
      <c r="J16" s="1" t="s">
        <v>70</v>
      </c>
      <c r="K16" s="1">
        <v>2010305</v>
      </c>
      <c r="L16" s="1" t="b">
        <v>0</v>
      </c>
      <c r="M16" s="1" t="s">
        <v>73</v>
      </c>
      <c r="P16" s="1">
        <v>999999</v>
      </c>
      <c r="Q16" s="7" t="s">
        <v>63</v>
      </c>
      <c r="T16" s="1">
        <f>T12*10</f>
        <v>0.99</v>
      </c>
    </row>
    <row r="17" s="2" customFormat="1" spans="1:18">
      <c r="A17" s="2">
        <v>1010401</v>
      </c>
      <c r="B17" s="2">
        <v>401</v>
      </c>
      <c r="C17" s="2">
        <v>1100401</v>
      </c>
      <c r="D17" s="2" t="s">
        <v>74</v>
      </c>
      <c r="E17" s="2">
        <v>1</v>
      </c>
      <c r="F17" s="2" t="s">
        <v>60</v>
      </c>
      <c r="G17" s="2">
        <v>2</v>
      </c>
      <c r="H17" s="2" t="b">
        <v>1</v>
      </c>
      <c r="I17" s="2" t="b">
        <v>1</v>
      </c>
      <c r="J17" s="2" t="s">
        <v>61</v>
      </c>
      <c r="K17" s="2">
        <v>2010401</v>
      </c>
      <c r="L17" s="2" t="b">
        <v>0</v>
      </c>
      <c r="M17" s="2" t="s">
        <v>75</v>
      </c>
      <c r="P17" s="2">
        <v>999999</v>
      </c>
      <c r="Q17" s="8"/>
      <c r="R17" s="8" t="s">
        <v>76</v>
      </c>
    </row>
    <row r="18" s="2" customFormat="1" spans="1:18">
      <c r="A18" s="2">
        <v>1010501</v>
      </c>
      <c r="B18" s="2">
        <v>501</v>
      </c>
      <c r="C18" s="2">
        <v>1100501</v>
      </c>
      <c r="D18" s="2" t="s">
        <v>77</v>
      </c>
      <c r="E18" s="2">
        <v>1</v>
      </c>
      <c r="F18" s="2" t="s">
        <v>60</v>
      </c>
      <c r="G18" s="2">
        <v>2</v>
      </c>
      <c r="H18" s="2" t="b">
        <v>1</v>
      </c>
      <c r="I18" s="2" t="b">
        <v>1</v>
      </c>
      <c r="J18" s="2" t="s">
        <v>65</v>
      </c>
      <c r="K18" s="2">
        <v>2010501</v>
      </c>
      <c r="L18" s="2" t="b">
        <v>0</v>
      </c>
      <c r="M18" s="2" t="s">
        <v>78</v>
      </c>
      <c r="P18" s="2">
        <v>999999</v>
      </c>
      <c r="Q18" s="8"/>
      <c r="R18" s="8" t="s">
        <v>79</v>
      </c>
    </row>
    <row r="19" s="2" customFormat="1" spans="1:18">
      <c r="A19" s="2">
        <v>1010601</v>
      </c>
      <c r="B19" s="2">
        <v>601</v>
      </c>
      <c r="C19" s="2">
        <v>1100601</v>
      </c>
      <c r="D19" s="2" t="s">
        <v>80</v>
      </c>
      <c r="E19" s="2">
        <v>1</v>
      </c>
      <c r="F19" s="2" t="s">
        <v>60</v>
      </c>
      <c r="G19" s="2">
        <v>2</v>
      </c>
      <c r="H19" s="2" t="b">
        <v>1</v>
      </c>
      <c r="I19" s="2" t="b">
        <v>1</v>
      </c>
      <c r="J19" s="2" t="s">
        <v>67</v>
      </c>
      <c r="K19" s="2">
        <v>2010601</v>
      </c>
      <c r="L19" s="2" t="b">
        <v>0</v>
      </c>
      <c r="M19" s="2" t="s">
        <v>81</v>
      </c>
      <c r="P19" s="2">
        <v>999999</v>
      </c>
      <c r="Q19" s="8"/>
      <c r="R19" s="8" t="s">
        <v>82</v>
      </c>
    </row>
    <row r="20" spans="1:18">
      <c r="A20" s="1">
        <v>1031001</v>
      </c>
      <c r="B20" s="1">
        <v>1001</v>
      </c>
      <c r="C20" s="1">
        <v>1301001</v>
      </c>
      <c r="D20" s="1" t="s">
        <v>83</v>
      </c>
      <c r="E20" s="1">
        <v>3</v>
      </c>
      <c r="F20" s="1" t="s">
        <v>48</v>
      </c>
      <c r="G20" s="1">
        <v>1</v>
      </c>
      <c r="H20" s="1" t="b">
        <v>0</v>
      </c>
      <c r="I20" s="1" t="b">
        <v>0</v>
      </c>
      <c r="J20" s="1" t="s">
        <v>84</v>
      </c>
      <c r="K20" s="1">
        <v>2031001</v>
      </c>
      <c r="L20" s="1" t="b">
        <v>0</v>
      </c>
      <c r="N20" s="1">
        <v>2</v>
      </c>
      <c r="P20" s="1">
        <v>1</v>
      </c>
    </row>
    <row r="21" spans="1:18">
      <c r="A21" s="1">
        <v>1031002</v>
      </c>
      <c r="B21" s="1">
        <v>1002</v>
      </c>
      <c r="C21" s="1">
        <v>1301002</v>
      </c>
      <c r="D21" s="1" t="s">
        <v>85</v>
      </c>
      <c r="E21" s="1">
        <v>3</v>
      </c>
      <c r="F21" s="1" t="s">
        <v>48</v>
      </c>
      <c r="G21" s="1">
        <v>1</v>
      </c>
      <c r="H21" s="1" t="b">
        <v>0</v>
      </c>
      <c r="I21" s="1" t="b">
        <v>0</v>
      </c>
      <c r="J21" s="1" t="s">
        <v>86</v>
      </c>
      <c r="K21" s="1">
        <v>2031002</v>
      </c>
      <c r="L21" s="1" t="b">
        <v>0</v>
      </c>
      <c r="N21" s="1">
        <v>3</v>
      </c>
      <c r="P21" s="1">
        <v>1</v>
      </c>
    </row>
    <row r="22" spans="1:18">
      <c r="A22" s="1">
        <v>1031201</v>
      </c>
      <c r="B22" s="1">
        <v>1201</v>
      </c>
      <c r="C22" s="1">
        <v>1301201</v>
      </c>
      <c r="D22" s="1" t="s">
        <v>87</v>
      </c>
      <c r="E22" s="1">
        <v>3</v>
      </c>
      <c r="F22" s="1" t="s">
        <v>48</v>
      </c>
      <c r="G22" s="1">
        <v>1</v>
      </c>
      <c r="H22" s="1" t="b">
        <v>0</v>
      </c>
      <c r="I22" s="1" t="b">
        <v>0</v>
      </c>
      <c r="J22" s="1" t="s">
        <v>88</v>
      </c>
      <c r="K22" s="1">
        <v>2031201</v>
      </c>
      <c r="L22" s="1" t="b">
        <v>0</v>
      </c>
      <c r="N22" s="1">
        <v>1002</v>
      </c>
      <c r="P22" s="1">
        <v>1</v>
      </c>
    </row>
    <row r="23" spans="1:18">
      <c r="A23" s="1">
        <v>1031202</v>
      </c>
      <c r="B23" s="1">
        <v>1202</v>
      </c>
      <c r="C23" s="1">
        <v>1301202</v>
      </c>
      <c r="D23" s="1" t="s">
        <v>89</v>
      </c>
      <c r="E23" s="1">
        <v>3</v>
      </c>
      <c r="F23" s="1" t="s">
        <v>48</v>
      </c>
      <c r="G23" s="1">
        <v>1</v>
      </c>
      <c r="H23" s="1" t="b">
        <v>0</v>
      </c>
      <c r="I23" s="1" t="b">
        <v>0</v>
      </c>
      <c r="J23" s="1" t="s">
        <v>90</v>
      </c>
      <c r="K23" s="1">
        <v>2031202</v>
      </c>
      <c r="L23" s="1" t="b">
        <v>0</v>
      </c>
      <c r="N23" s="1">
        <v>1003</v>
      </c>
      <c r="P23" s="1">
        <v>1</v>
      </c>
    </row>
    <row r="24" spans="1:18">
      <c r="A24" s="1">
        <v>1031350</v>
      </c>
      <c r="B24" s="1">
        <v>1350</v>
      </c>
      <c r="C24" s="1">
        <v>101801</v>
      </c>
      <c r="D24" s="1" t="s">
        <v>91</v>
      </c>
      <c r="E24" s="1">
        <v>3</v>
      </c>
      <c r="F24" s="1" t="s">
        <v>48</v>
      </c>
      <c r="G24" s="1">
        <v>1</v>
      </c>
      <c r="H24" s="1" t="b">
        <v>0</v>
      </c>
      <c r="I24" s="1" t="b">
        <v>0</v>
      </c>
      <c r="J24" s="1" t="s">
        <v>92</v>
      </c>
      <c r="K24" s="1">
        <v>201801</v>
      </c>
      <c r="L24" s="1" t="b">
        <v>0</v>
      </c>
      <c r="N24" s="1">
        <v>1005</v>
      </c>
      <c r="P24" s="1">
        <v>1</v>
      </c>
    </row>
    <row r="25" spans="1:18">
      <c r="A25" s="1">
        <v>1031351</v>
      </c>
      <c r="B25" s="1">
        <v>1351</v>
      </c>
      <c r="C25" s="1">
        <v>101802</v>
      </c>
      <c r="D25" s="1" t="s">
        <v>93</v>
      </c>
      <c r="E25" s="1">
        <v>3</v>
      </c>
      <c r="F25" s="1" t="s">
        <v>48</v>
      </c>
      <c r="G25" s="1">
        <v>1</v>
      </c>
      <c r="H25" s="1" t="b">
        <v>0</v>
      </c>
      <c r="I25" s="1" t="b">
        <v>0</v>
      </c>
      <c r="J25" s="1" t="s">
        <v>94</v>
      </c>
      <c r="K25" s="1">
        <v>201802</v>
      </c>
      <c r="L25" s="1" t="b">
        <v>0</v>
      </c>
      <c r="N25" s="1">
        <v>1006</v>
      </c>
      <c r="P25" s="1">
        <v>1</v>
      </c>
    </row>
    <row r="26" spans="1:18">
      <c r="A26" s="1">
        <v>1021401</v>
      </c>
      <c r="B26" s="1">
        <v>1401</v>
      </c>
      <c r="C26" s="1">
        <v>1201401</v>
      </c>
      <c r="D26" s="1" t="s">
        <v>95</v>
      </c>
      <c r="E26" s="1">
        <v>2</v>
      </c>
      <c r="F26" s="1" t="s">
        <v>48</v>
      </c>
      <c r="G26" s="1">
        <v>1</v>
      </c>
      <c r="H26" s="1" t="b">
        <v>0</v>
      </c>
      <c r="I26" s="1" t="b">
        <v>0</v>
      </c>
      <c r="J26" s="1" t="s">
        <v>96</v>
      </c>
      <c r="K26" s="1">
        <v>2021401</v>
      </c>
      <c r="L26" s="1" t="b">
        <v>0</v>
      </c>
      <c r="N26" s="1">
        <v>2002</v>
      </c>
      <c r="P26" s="1">
        <v>1</v>
      </c>
    </row>
    <row r="27" spans="1:18">
      <c r="A27" s="1">
        <v>1021402</v>
      </c>
      <c r="B27" s="1">
        <v>1402</v>
      </c>
      <c r="C27" s="1">
        <v>1201402</v>
      </c>
      <c r="D27" s="1" t="s">
        <v>97</v>
      </c>
      <c r="E27" s="1">
        <v>2</v>
      </c>
      <c r="F27" s="1" t="s">
        <v>48</v>
      </c>
      <c r="G27" s="1">
        <v>1</v>
      </c>
      <c r="H27" s="1" t="b">
        <v>0</v>
      </c>
      <c r="I27" s="1" t="b">
        <v>0</v>
      </c>
      <c r="J27" s="1" t="s">
        <v>96</v>
      </c>
      <c r="K27" s="1">
        <v>2021402</v>
      </c>
      <c r="L27" s="1" t="b">
        <v>0</v>
      </c>
      <c r="N27" s="1">
        <v>2003</v>
      </c>
      <c r="P27" s="1">
        <v>1</v>
      </c>
    </row>
    <row r="28" s="1" customFormat="1" spans="1:18">
      <c r="A28" s="1">
        <v>1031600</v>
      </c>
      <c r="B28" s="1">
        <v>1600</v>
      </c>
      <c r="C28" s="1">
        <v>103001</v>
      </c>
      <c r="D28" s="1" t="s">
        <v>98</v>
      </c>
      <c r="E28" s="1">
        <v>3</v>
      </c>
      <c r="F28" s="1" t="s">
        <v>48</v>
      </c>
      <c r="G28" s="1">
        <v>1</v>
      </c>
      <c r="H28" s="1" t="b">
        <v>0</v>
      </c>
      <c r="I28" s="1" t="b">
        <v>0</v>
      </c>
      <c r="J28" s="1" t="s">
        <v>99</v>
      </c>
      <c r="K28" s="1">
        <v>2031600</v>
      </c>
      <c r="L28" s="1" t="b">
        <v>1</v>
      </c>
      <c r="N28" s="1">
        <v>3001</v>
      </c>
      <c r="P28" s="1">
        <v>1</v>
      </c>
    </row>
    <row r="29" spans="1:18">
      <c r="A29" s="1">
        <v>1031601</v>
      </c>
      <c r="B29" s="1">
        <v>1601</v>
      </c>
      <c r="C29" s="1">
        <v>103002</v>
      </c>
      <c r="D29" s="1" t="s">
        <v>100</v>
      </c>
      <c r="E29" s="1">
        <v>3</v>
      </c>
      <c r="F29" s="1" t="s">
        <v>48</v>
      </c>
      <c r="G29" s="1">
        <v>1</v>
      </c>
      <c r="H29" s="1" t="b">
        <v>0</v>
      </c>
      <c r="I29" s="1" t="b">
        <v>0</v>
      </c>
      <c r="J29" s="1" t="s">
        <v>101</v>
      </c>
      <c r="K29" s="1">
        <v>2031601</v>
      </c>
      <c r="L29" s="1" t="b">
        <v>1</v>
      </c>
      <c r="N29" s="1">
        <v>3002</v>
      </c>
      <c r="P29" s="1">
        <v>1</v>
      </c>
    </row>
    <row r="30" spans="1:18">
      <c r="A30" s="1">
        <v>1031602</v>
      </c>
      <c r="B30" s="1">
        <v>1602</v>
      </c>
      <c r="C30" s="1">
        <v>103003</v>
      </c>
      <c r="D30" s="1" t="s">
        <v>102</v>
      </c>
      <c r="E30" s="1">
        <v>3</v>
      </c>
      <c r="F30" s="1" t="s">
        <v>48</v>
      </c>
      <c r="G30" s="1">
        <v>1</v>
      </c>
      <c r="H30" s="1" t="b">
        <v>0</v>
      </c>
      <c r="I30" s="1" t="b">
        <v>0</v>
      </c>
      <c r="J30" s="1" t="s">
        <v>103</v>
      </c>
      <c r="K30" s="1">
        <v>2031602</v>
      </c>
      <c r="L30" s="1" t="b">
        <v>1</v>
      </c>
      <c r="N30" s="1">
        <v>3003</v>
      </c>
      <c r="P30" s="1">
        <v>1</v>
      </c>
    </row>
    <row r="31" spans="1:18">
      <c r="A31" s="1">
        <v>1031801</v>
      </c>
      <c r="B31" s="1">
        <v>1801</v>
      </c>
      <c r="C31" s="1">
        <v>104002</v>
      </c>
      <c r="D31" s="1" t="s">
        <v>104</v>
      </c>
      <c r="E31" s="1">
        <v>3</v>
      </c>
      <c r="F31" s="1" t="s">
        <v>48</v>
      </c>
      <c r="G31" s="1">
        <v>1</v>
      </c>
      <c r="H31" s="1" t="b">
        <v>0</v>
      </c>
      <c r="I31" s="1" t="b">
        <v>0</v>
      </c>
      <c r="J31" s="1" t="s">
        <v>105</v>
      </c>
      <c r="K31" s="1">
        <v>2031801</v>
      </c>
      <c r="L31" s="1" t="b">
        <v>0</v>
      </c>
      <c r="N31" s="1">
        <v>4002</v>
      </c>
      <c r="P31" s="1">
        <v>1</v>
      </c>
    </row>
    <row r="32" spans="1:18">
      <c r="A32" s="1">
        <v>1031802</v>
      </c>
      <c r="B32" s="1">
        <v>1802</v>
      </c>
      <c r="C32" s="1">
        <v>104003</v>
      </c>
      <c r="D32" s="1" t="s">
        <v>106</v>
      </c>
      <c r="E32" s="1">
        <v>3</v>
      </c>
      <c r="F32" s="1" t="s">
        <v>48</v>
      </c>
      <c r="G32" s="1">
        <v>1</v>
      </c>
      <c r="H32" s="1" t="b">
        <v>0</v>
      </c>
      <c r="I32" s="1" t="b">
        <v>0</v>
      </c>
      <c r="J32" s="1" t="s">
        <v>107</v>
      </c>
      <c r="K32" s="1">
        <v>2031802</v>
      </c>
      <c r="L32" s="1" t="b">
        <v>0</v>
      </c>
      <c r="N32" s="1">
        <v>4003</v>
      </c>
      <c r="P32" s="1">
        <v>1</v>
      </c>
    </row>
    <row r="33" spans="1:20">
      <c r="A33" s="1">
        <v>1032001</v>
      </c>
      <c r="B33" s="1">
        <v>2001</v>
      </c>
      <c r="C33" s="1">
        <v>105002</v>
      </c>
      <c r="D33" s="1" t="s">
        <v>108</v>
      </c>
      <c r="E33" s="1">
        <v>3</v>
      </c>
      <c r="F33" s="1" t="s">
        <v>48</v>
      </c>
      <c r="G33" s="1">
        <v>1</v>
      </c>
      <c r="H33" s="1" t="b">
        <v>0</v>
      </c>
      <c r="I33" s="1" t="b">
        <v>0</v>
      </c>
      <c r="J33" s="1" t="s">
        <v>109</v>
      </c>
      <c r="K33" s="1">
        <v>2032001</v>
      </c>
      <c r="L33" s="1" t="b">
        <v>0</v>
      </c>
      <c r="N33" s="1">
        <v>5002</v>
      </c>
      <c r="P33" s="1">
        <v>1</v>
      </c>
    </row>
    <row r="34" spans="1:20">
      <c r="A34" s="1">
        <v>1032002</v>
      </c>
      <c r="B34" s="1">
        <v>2002</v>
      </c>
      <c r="C34" s="1">
        <v>105003</v>
      </c>
      <c r="D34" s="1" t="s">
        <v>110</v>
      </c>
      <c r="E34" s="1">
        <v>3</v>
      </c>
      <c r="F34" s="1" t="s">
        <v>48</v>
      </c>
      <c r="G34" s="1">
        <v>1</v>
      </c>
      <c r="H34" s="1" t="b">
        <v>0</v>
      </c>
      <c r="I34" s="1" t="b">
        <v>0</v>
      </c>
      <c r="J34" s="1" t="s">
        <v>111</v>
      </c>
      <c r="K34" s="1">
        <v>2032002</v>
      </c>
      <c r="L34" s="1" t="b">
        <v>0</v>
      </c>
      <c r="N34" s="1">
        <v>5003</v>
      </c>
      <c r="P34" s="1">
        <v>1</v>
      </c>
    </row>
    <row r="35" spans="1:20">
      <c r="A35" s="1">
        <v>1032201</v>
      </c>
      <c r="B35" s="1">
        <v>2201</v>
      </c>
      <c r="C35" s="1">
        <v>106002</v>
      </c>
      <c r="D35" s="1" t="s">
        <v>112</v>
      </c>
      <c r="E35" s="1">
        <v>3</v>
      </c>
      <c r="F35" s="1" t="s">
        <v>48</v>
      </c>
      <c r="G35" s="1">
        <v>1</v>
      </c>
      <c r="H35" s="1" t="b">
        <v>0</v>
      </c>
      <c r="I35" s="1" t="b">
        <v>0</v>
      </c>
      <c r="J35" s="1" t="s">
        <v>113</v>
      </c>
      <c r="K35" s="1">
        <v>2032201</v>
      </c>
      <c r="L35" s="1" t="b">
        <v>0</v>
      </c>
      <c r="N35" s="1">
        <v>6002</v>
      </c>
      <c r="P35" s="1">
        <v>1</v>
      </c>
    </row>
    <row r="36" spans="1:20">
      <c r="A36" s="1">
        <v>1032202</v>
      </c>
      <c r="B36" s="1">
        <v>2202</v>
      </c>
      <c r="C36" s="1">
        <v>106003</v>
      </c>
      <c r="D36" s="1" t="s">
        <v>114</v>
      </c>
      <c r="E36" s="1">
        <v>3</v>
      </c>
      <c r="F36" s="1" t="s">
        <v>48</v>
      </c>
      <c r="G36" s="1">
        <v>1</v>
      </c>
      <c r="H36" s="1" t="b">
        <v>0</v>
      </c>
      <c r="I36" s="1" t="b">
        <v>0</v>
      </c>
      <c r="J36" s="1" t="s">
        <v>115</v>
      </c>
      <c r="K36" s="1">
        <v>2032202</v>
      </c>
      <c r="L36" s="1" t="b">
        <v>0</v>
      </c>
      <c r="N36" s="1">
        <v>6003</v>
      </c>
      <c r="P36" s="1">
        <v>1</v>
      </c>
    </row>
    <row r="37" spans="1:20">
      <c r="A37" s="1">
        <v>1022504</v>
      </c>
      <c r="B37" s="1">
        <v>2504</v>
      </c>
      <c r="C37" s="1">
        <v>1202504</v>
      </c>
      <c r="D37" s="1" t="s">
        <v>116</v>
      </c>
      <c r="E37" s="1">
        <v>2</v>
      </c>
      <c r="F37" s="1" t="s">
        <v>48</v>
      </c>
      <c r="G37" s="1">
        <v>1</v>
      </c>
      <c r="H37" s="1" t="b">
        <v>0</v>
      </c>
      <c r="I37" s="1" t="b">
        <v>0</v>
      </c>
      <c r="J37" s="1" t="s">
        <v>117</v>
      </c>
      <c r="K37" s="1">
        <v>2022504</v>
      </c>
      <c r="L37" s="1" t="b">
        <v>0</v>
      </c>
      <c r="M37" s="1" t="s">
        <v>118</v>
      </c>
      <c r="P37" s="1">
        <v>999999999</v>
      </c>
    </row>
    <row r="38" spans="1:20">
      <c r="A38" s="1">
        <v>1023001</v>
      </c>
      <c r="C38" s="1">
        <v>1023001</v>
      </c>
      <c r="D38" s="1" t="s">
        <v>119</v>
      </c>
      <c r="E38" s="1">
        <v>2</v>
      </c>
      <c r="F38" s="1" t="s">
        <v>48</v>
      </c>
      <c r="G38" s="1">
        <v>2</v>
      </c>
      <c r="H38" s="1" t="b">
        <v>1</v>
      </c>
      <c r="I38" s="1" t="b">
        <v>1</v>
      </c>
      <c r="J38" s="1" t="s">
        <v>120</v>
      </c>
      <c r="K38" s="1">
        <v>2023001</v>
      </c>
      <c r="L38" s="1" t="b">
        <v>0</v>
      </c>
      <c r="M38" s="1" t="s">
        <v>121</v>
      </c>
      <c r="P38" s="1">
        <v>999999</v>
      </c>
      <c r="T38" s="1">
        <v>0.000544077728550903</v>
      </c>
    </row>
    <row r="39" spans="1:20">
      <c r="A39" s="1">
        <v>1023002</v>
      </c>
      <c r="C39" s="1">
        <v>1023002</v>
      </c>
      <c r="D39" s="1" t="s">
        <v>122</v>
      </c>
      <c r="E39" s="1">
        <v>2</v>
      </c>
      <c r="F39" s="1" t="s">
        <v>48</v>
      </c>
      <c r="G39" s="1">
        <v>3</v>
      </c>
      <c r="H39" s="1" t="b">
        <v>1</v>
      </c>
      <c r="I39" s="1" t="b">
        <v>1</v>
      </c>
      <c r="J39" s="1" t="s">
        <v>123</v>
      </c>
      <c r="K39" s="1">
        <v>2023002</v>
      </c>
      <c r="L39" s="1" t="b">
        <v>0</v>
      </c>
      <c r="M39" s="1" t="s">
        <v>121</v>
      </c>
      <c r="P39" s="1">
        <v>999999</v>
      </c>
      <c r="T39" s="1">
        <v>0.0045080726079932</v>
      </c>
    </row>
    <row r="40" spans="1:20">
      <c r="A40" s="1">
        <v>1023003</v>
      </c>
      <c r="C40" s="1">
        <v>1023003</v>
      </c>
      <c r="D40" s="1" t="s">
        <v>124</v>
      </c>
      <c r="E40" s="1">
        <v>2</v>
      </c>
      <c r="F40" s="1" t="s">
        <v>48</v>
      </c>
      <c r="G40" s="1">
        <v>4</v>
      </c>
      <c r="H40" s="1" t="b">
        <v>1</v>
      </c>
      <c r="I40" s="1" t="b">
        <v>1</v>
      </c>
      <c r="J40" s="1" t="s">
        <v>125</v>
      </c>
      <c r="K40" s="1">
        <v>2023003</v>
      </c>
      <c r="L40" s="1" t="b">
        <v>0</v>
      </c>
      <c r="M40" s="1" t="s">
        <v>121</v>
      </c>
      <c r="P40" s="1">
        <v>999999</v>
      </c>
      <c r="T40" s="1">
        <v>0.0067621089119898</v>
      </c>
    </row>
    <row r="41" spans="1:20">
      <c r="A41" s="1">
        <v>1023004</v>
      </c>
      <c r="C41" s="1">
        <v>1023004</v>
      </c>
      <c r="D41" s="1" t="s">
        <v>126</v>
      </c>
      <c r="E41" s="1">
        <v>2</v>
      </c>
      <c r="F41" s="1" t="s">
        <v>48</v>
      </c>
      <c r="G41" s="1">
        <v>5</v>
      </c>
      <c r="H41" s="1" t="b">
        <v>1</v>
      </c>
      <c r="I41" s="1" t="b">
        <v>1</v>
      </c>
      <c r="J41" s="1" t="s">
        <v>127</v>
      </c>
      <c r="K41" s="1">
        <v>2023004</v>
      </c>
      <c r="L41" s="1" t="b">
        <v>0</v>
      </c>
      <c r="M41" s="1" t="s">
        <v>121</v>
      </c>
      <c r="P41" s="1">
        <v>999999</v>
      </c>
      <c r="T41" s="1">
        <v>0.012622603302381</v>
      </c>
    </row>
    <row r="42" spans="1:20">
      <c r="A42" s="1">
        <v>1023005</v>
      </c>
      <c r="C42" s="1">
        <v>1023005</v>
      </c>
      <c r="D42" s="1" t="s">
        <v>128</v>
      </c>
      <c r="E42" s="1">
        <v>2</v>
      </c>
      <c r="F42" s="1" t="s">
        <v>48</v>
      </c>
      <c r="G42" s="1">
        <v>6</v>
      </c>
      <c r="H42" s="1" t="b">
        <v>1</v>
      </c>
      <c r="I42" s="1" t="b">
        <v>1</v>
      </c>
      <c r="J42" s="1" t="s">
        <v>129</v>
      </c>
      <c r="K42" s="1">
        <v>2023005</v>
      </c>
      <c r="L42" s="1" t="b">
        <v>0</v>
      </c>
      <c r="M42" s="1" t="s">
        <v>121</v>
      </c>
      <c r="P42" s="1">
        <v>999999</v>
      </c>
      <c r="T42" s="1">
        <v>0.0139155435712012</v>
      </c>
    </row>
    <row r="43" spans="1:20">
      <c r="A43" s="1">
        <v>1023101</v>
      </c>
      <c r="C43" s="1">
        <v>1023101</v>
      </c>
      <c r="D43" s="1" t="s">
        <v>130</v>
      </c>
      <c r="E43" s="1">
        <v>2</v>
      </c>
      <c r="F43" s="1" t="s">
        <v>48</v>
      </c>
      <c r="G43" s="1">
        <v>2</v>
      </c>
      <c r="H43" s="1" t="b">
        <v>1</v>
      </c>
      <c r="I43" s="1" t="b">
        <v>1</v>
      </c>
      <c r="J43" s="1" t="s">
        <v>131</v>
      </c>
      <c r="K43" s="1">
        <v>2023101</v>
      </c>
      <c r="L43" s="1" t="b">
        <v>0</v>
      </c>
      <c r="M43" s="1" t="s">
        <v>132</v>
      </c>
      <c r="P43" s="1">
        <v>999999</v>
      </c>
      <c r="T43" s="1">
        <v>0.00174104873136289</v>
      </c>
    </row>
    <row r="44" spans="1:20">
      <c r="A44" s="1">
        <v>1023102</v>
      </c>
      <c r="C44" s="1">
        <v>1023102</v>
      </c>
      <c r="D44" s="1" t="s">
        <v>133</v>
      </c>
      <c r="E44" s="1">
        <v>2</v>
      </c>
      <c r="F44" s="1" t="s">
        <v>48</v>
      </c>
      <c r="G44" s="1">
        <v>3</v>
      </c>
      <c r="H44" s="1" t="b">
        <v>1</v>
      </c>
      <c r="I44" s="1" t="b">
        <v>1</v>
      </c>
      <c r="J44" s="1" t="s">
        <v>134</v>
      </c>
      <c r="K44" s="1">
        <v>2023102</v>
      </c>
      <c r="L44" s="1" t="b">
        <v>0</v>
      </c>
      <c r="M44" s="1" t="s">
        <v>132</v>
      </c>
      <c r="P44" s="1">
        <v>999999</v>
      </c>
      <c r="T44" s="1">
        <v>0.0144258323455782</v>
      </c>
    </row>
    <row r="45" spans="1:20">
      <c r="A45" s="1">
        <v>1023103</v>
      </c>
      <c r="C45" s="1">
        <v>1023103</v>
      </c>
      <c r="D45" s="1" t="s">
        <v>135</v>
      </c>
      <c r="E45" s="1">
        <v>2</v>
      </c>
      <c r="F45" s="1" t="s">
        <v>48</v>
      </c>
      <c r="G45" s="1">
        <v>4</v>
      </c>
      <c r="H45" s="1" t="b">
        <v>1</v>
      </c>
      <c r="I45" s="1" t="b">
        <v>1</v>
      </c>
      <c r="J45" s="1" t="s">
        <v>136</v>
      </c>
      <c r="K45" s="1">
        <v>2023103</v>
      </c>
      <c r="L45" s="1" t="b">
        <v>0</v>
      </c>
      <c r="M45" s="1" t="s">
        <v>132</v>
      </c>
      <c r="P45" s="1">
        <v>999999</v>
      </c>
      <c r="T45" s="1">
        <v>0.0216387485183673</v>
      </c>
    </row>
    <row r="46" spans="1:20">
      <c r="A46" s="1">
        <v>1023104</v>
      </c>
      <c r="C46" s="1">
        <v>1023104</v>
      </c>
      <c r="D46" s="1" t="s">
        <v>137</v>
      </c>
      <c r="E46" s="1">
        <v>2</v>
      </c>
      <c r="F46" s="1" t="s">
        <v>48</v>
      </c>
      <c r="G46" s="1">
        <v>5</v>
      </c>
      <c r="H46" s="1" t="b">
        <v>1</v>
      </c>
      <c r="I46" s="1" t="b">
        <v>1</v>
      </c>
      <c r="J46" s="1" t="s">
        <v>138</v>
      </c>
      <c r="K46" s="1">
        <v>2023104</v>
      </c>
      <c r="L46" s="1" t="b">
        <v>0</v>
      </c>
      <c r="M46" s="1" t="s">
        <v>132</v>
      </c>
      <c r="P46" s="1">
        <v>999999</v>
      </c>
      <c r="T46" s="1">
        <v>0.0403923305676191</v>
      </c>
    </row>
    <row r="47" spans="1:20">
      <c r="A47" s="1">
        <v>1023105</v>
      </c>
      <c r="C47" s="1">
        <v>1023105</v>
      </c>
      <c r="D47" s="1" t="s">
        <v>139</v>
      </c>
      <c r="E47" s="1">
        <v>2</v>
      </c>
      <c r="F47" s="1" t="s">
        <v>48</v>
      </c>
      <c r="G47" s="1">
        <v>6</v>
      </c>
      <c r="H47" s="1" t="b">
        <v>1</v>
      </c>
      <c r="I47" s="1" t="b">
        <v>1</v>
      </c>
      <c r="J47" s="1" t="s">
        <v>140</v>
      </c>
      <c r="K47" s="1">
        <v>2023105</v>
      </c>
      <c r="L47" s="1" t="b">
        <v>0</v>
      </c>
      <c r="M47" s="1" t="s">
        <v>132</v>
      </c>
      <c r="P47" s="1">
        <v>999999</v>
      </c>
      <c r="T47" s="1">
        <v>0.0445297394278439</v>
      </c>
    </row>
    <row r="48" spans="1:20">
      <c r="A48" s="1">
        <v>1023201</v>
      </c>
      <c r="C48" s="1">
        <v>1023201</v>
      </c>
      <c r="D48" s="1" t="s">
        <v>141</v>
      </c>
      <c r="E48" s="1">
        <v>2</v>
      </c>
      <c r="F48" s="1" t="s">
        <v>48</v>
      </c>
      <c r="G48" s="1">
        <v>2</v>
      </c>
      <c r="H48" s="1" t="b">
        <v>1</v>
      </c>
      <c r="I48" s="1" t="b">
        <v>1</v>
      </c>
      <c r="J48" s="1" t="s">
        <v>142</v>
      </c>
      <c r="K48" s="1">
        <v>2023201</v>
      </c>
      <c r="L48" s="1" t="b">
        <v>0</v>
      </c>
      <c r="M48" s="1" t="s">
        <v>143</v>
      </c>
      <c r="P48" s="1">
        <v>999999</v>
      </c>
      <c r="T48" s="1">
        <v>0.00348209746272578</v>
      </c>
    </row>
    <row r="49" spans="1:20">
      <c r="A49" s="1">
        <v>1023202</v>
      </c>
      <c r="C49" s="1">
        <v>1023202</v>
      </c>
      <c r="D49" s="1" t="s">
        <v>144</v>
      </c>
      <c r="E49" s="1">
        <v>2</v>
      </c>
      <c r="F49" s="1" t="s">
        <v>48</v>
      </c>
      <c r="G49" s="1">
        <v>3</v>
      </c>
      <c r="H49" s="1" t="b">
        <v>1</v>
      </c>
      <c r="I49" s="1" t="b">
        <v>1</v>
      </c>
      <c r="J49" s="1" t="s">
        <v>145</v>
      </c>
      <c r="K49" s="1">
        <v>2023202</v>
      </c>
      <c r="L49" s="1" t="b">
        <v>0</v>
      </c>
      <c r="M49" s="1" t="s">
        <v>143</v>
      </c>
      <c r="P49" s="1">
        <v>999999</v>
      </c>
      <c r="T49" s="1">
        <v>0.0288516646911565</v>
      </c>
    </row>
    <row r="50" spans="1:20">
      <c r="A50" s="1">
        <v>1023203</v>
      </c>
      <c r="C50" s="1">
        <v>1023203</v>
      </c>
      <c r="D50" s="1" t="s">
        <v>146</v>
      </c>
      <c r="E50" s="1">
        <v>2</v>
      </c>
      <c r="F50" s="1" t="s">
        <v>48</v>
      </c>
      <c r="G50" s="1">
        <v>4</v>
      </c>
      <c r="H50" s="1" t="b">
        <v>1</v>
      </c>
      <c r="I50" s="1" t="b">
        <v>1</v>
      </c>
      <c r="J50" s="1" t="s">
        <v>147</v>
      </c>
      <c r="K50" s="1">
        <v>2023203</v>
      </c>
      <c r="L50" s="1" t="b">
        <v>0</v>
      </c>
      <c r="M50" s="1" t="s">
        <v>143</v>
      </c>
      <c r="P50" s="1">
        <v>999999</v>
      </c>
      <c r="T50" s="1">
        <v>0.0432774970367347</v>
      </c>
    </row>
    <row r="51" spans="1:20">
      <c r="A51" s="1">
        <v>1023204</v>
      </c>
      <c r="C51" s="1">
        <v>1023204</v>
      </c>
      <c r="D51" s="1" t="s">
        <v>148</v>
      </c>
      <c r="E51" s="1">
        <v>2</v>
      </c>
      <c r="F51" s="1" t="s">
        <v>48</v>
      </c>
      <c r="G51" s="1">
        <v>5</v>
      </c>
      <c r="H51" s="1" t="b">
        <v>1</v>
      </c>
      <c r="I51" s="1" t="b">
        <v>1</v>
      </c>
      <c r="J51" s="1" t="s">
        <v>149</v>
      </c>
      <c r="K51" s="1">
        <v>2023204</v>
      </c>
      <c r="L51" s="1" t="b">
        <v>0</v>
      </c>
      <c r="M51" s="1" t="s">
        <v>143</v>
      </c>
      <c r="P51" s="1">
        <v>999999</v>
      </c>
      <c r="T51" s="1">
        <v>0.0807846611352381</v>
      </c>
    </row>
    <row r="52" spans="1:20">
      <c r="A52" s="1">
        <v>1023205</v>
      </c>
      <c r="C52" s="1">
        <v>1023205</v>
      </c>
      <c r="D52" s="1" t="s">
        <v>150</v>
      </c>
      <c r="E52" s="1">
        <v>2</v>
      </c>
      <c r="F52" s="1" t="s">
        <v>48</v>
      </c>
      <c r="G52" s="1">
        <v>6</v>
      </c>
      <c r="H52" s="1" t="b">
        <v>1</v>
      </c>
      <c r="I52" s="1" t="b">
        <v>1</v>
      </c>
      <c r="J52" s="1" t="s">
        <v>151</v>
      </c>
      <c r="K52" s="1">
        <v>2023205</v>
      </c>
      <c r="L52" s="1" t="b">
        <v>0</v>
      </c>
      <c r="M52" s="1" t="s">
        <v>143</v>
      </c>
      <c r="P52" s="1">
        <v>999999</v>
      </c>
      <c r="T52" s="1">
        <v>0.0890594788556878</v>
      </c>
    </row>
    <row r="53" spans="1:20">
      <c r="A53" s="1">
        <v>1023301</v>
      </c>
      <c r="C53" s="1">
        <v>1023301</v>
      </c>
      <c r="D53" s="1" t="s">
        <v>152</v>
      </c>
      <c r="E53" s="1">
        <v>2</v>
      </c>
      <c r="F53" s="1" t="s">
        <v>48</v>
      </c>
      <c r="G53" s="1">
        <v>2</v>
      </c>
      <c r="H53" s="1" t="b">
        <v>1</v>
      </c>
      <c r="I53" s="1" t="b">
        <v>1</v>
      </c>
      <c r="J53" s="1" t="s">
        <v>153</v>
      </c>
      <c r="K53" s="1">
        <v>2023301</v>
      </c>
      <c r="L53" s="1" t="b">
        <v>0</v>
      </c>
      <c r="M53" s="1" t="s">
        <v>154</v>
      </c>
      <c r="P53" s="1">
        <v>999999</v>
      </c>
      <c r="T53" s="1">
        <v>0.0039173596455665</v>
      </c>
    </row>
    <row r="54" spans="1:20">
      <c r="A54" s="1">
        <v>1023302</v>
      </c>
      <c r="C54" s="1">
        <v>1023302</v>
      </c>
      <c r="D54" s="1" t="s">
        <v>155</v>
      </c>
      <c r="E54" s="1">
        <v>2</v>
      </c>
      <c r="F54" s="1" t="s">
        <v>48</v>
      </c>
      <c r="G54" s="1">
        <v>3</v>
      </c>
      <c r="H54" s="1" t="b">
        <v>1</v>
      </c>
      <c r="I54" s="1" t="b">
        <v>1</v>
      </c>
      <c r="J54" s="1" t="s">
        <v>156</v>
      </c>
      <c r="K54" s="1">
        <v>2023302</v>
      </c>
      <c r="L54" s="1" t="b">
        <v>0</v>
      </c>
      <c r="M54" s="1" t="s">
        <v>154</v>
      </c>
      <c r="P54" s="1">
        <v>999999</v>
      </c>
      <c r="T54" s="1">
        <v>0.032458122777551</v>
      </c>
    </row>
    <row r="55" spans="1:20">
      <c r="A55" s="1">
        <v>1023303</v>
      </c>
      <c r="C55" s="1">
        <v>1023303</v>
      </c>
      <c r="D55" s="1" t="s">
        <v>157</v>
      </c>
      <c r="E55" s="1">
        <v>2</v>
      </c>
      <c r="F55" s="1" t="s">
        <v>48</v>
      </c>
      <c r="G55" s="1">
        <v>4</v>
      </c>
      <c r="H55" s="1" t="b">
        <v>1</v>
      </c>
      <c r="I55" s="1" t="b">
        <v>1</v>
      </c>
      <c r="J55" s="1" t="s">
        <v>158</v>
      </c>
      <c r="K55" s="1">
        <v>2023303</v>
      </c>
      <c r="L55" s="1" t="b">
        <v>0</v>
      </c>
      <c r="M55" s="1" t="s">
        <v>154</v>
      </c>
      <c r="P55" s="1">
        <v>999999</v>
      </c>
      <c r="T55" s="1">
        <v>0.0486871841663265</v>
      </c>
    </row>
    <row r="56" spans="1:20">
      <c r="A56" s="1">
        <v>1023304</v>
      </c>
      <c r="C56" s="1">
        <v>1023304</v>
      </c>
      <c r="D56" s="1" t="s">
        <v>159</v>
      </c>
      <c r="E56" s="1">
        <v>2</v>
      </c>
      <c r="F56" s="1" t="s">
        <v>48</v>
      </c>
      <c r="G56" s="1">
        <v>5</v>
      </c>
      <c r="H56" s="1" t="b">
        <v>1</v>
      </c>
      <c r="I56" s="1" t="b">
        <v>1</v>
      </c>
      <c r="J56" s="1" t="s">
        <v>160</v>
      </c>
      <c r="K56" s="1">
        <v>2023304</v>
      </c>
      <c r="L56" s="1" t="b">
        <v>0</v>
      </c>
      <c r="M56" s="1" t="s">
        <v>154</v>
      </c>
      <c r="P56" s="1">
        <v>999999</v>
      </c>
      <c r="T56" s="1">
        <v>0.0908827437771429</v>
      </c>
    </row>
    <row r="57" spans="1:20">
      <c r="A57" s="1">
        <v>1023305</v>
      </c>
      <c r="C57" s="1">
        <v>1023305</v>
      </c>
      <c r="D57" s="1" t="s">
        <v>161</v>
      </c>
      <c r="E57" s="1">
        <v>2</v>
      </c>
      <c r="F57" s="1" t="s">
        <v>48</v>
      </c>
      <c r="G57" s="1">
        <v>6</v>
      </c>
      <c r="H57" s="1" t="b">
        <v>1</v>
      </c>
      <c r="I57" s="1" t="b">
        <v>1</v>
      </c>
      <c r="J57" s="1" t="s">
        <v>162</v>
      </c>
      <c r="K57" s="1">
        <v>2023305</v>
      </c>
      <c r="L57" s="1" t="b">
        <v>0</v>
      </c>
      <c r="M57" s="1" t="s">
        <v>154</v>
      </c>
      <c r="P57" s="1">
        <v>999999</v>
      </c>
      <c r="T57" s="1">
        <v>0.100191913712649</v>
      </c>
    </row>
    <row r="58" spans="1:20">
      <c r="A58" s="1">
        <v>1023401</v>
      </c>
      <c r="C58" s="1">
        <v>1023401</v>
      </c>
      <c r="D58" s="1" t="s">
        <v>163</v>
      </c>
      <c r="E58" s="1">
        <v>2</v>
      </c>
      <c r="F58" s="1" t="s">
        <v>48</v>
      </c>
      <c r="G58" s="1">
        <v>2</v>
      </c>
      <c r="H58" s="1" t="b">
        <v>1</v>
      </c>
      <c r="I58" s="1" t="b">
        <v>1</v>
      </c>
      <c r="J58" s="1" t="s">
        <v>164</v>
      </c>
      <c r="K58" s="1">
        <v>2023401</v>
      </c>
      <c r="L58" s="1" t="b">
        <v>0</v>
      </c>
      <c r="M58" s="1" t="s">
        <v>165</v>
      </c>
      <c r="P58" s="1">
        <v>999999</v>
      </c>
      <c r="T58" s="1">
        <v>0.00783471929113301</v>
      </c>
    </row>
    <row r="59" spans="1:20">
      <c r="A59" s="1">
        <v>1023402</v>
      </c>
      <c r="C59" s="1">
        <v>1023402</v>
      </c>
      <c r="D59" s="1" t="s">
        <v>166</v>
      </c>
      <c r="E59" s="1">
        <v>2</v>
      </c>
      <c r="F59" s="1" t="s">
        <v>48</v>
      </c>
      <c r="G59" s="1">
        <v>3</v>
      </c>
      <c r="H59" s="1" t="b">
        <v>1</v>
      </c>
      <c r="I59" s="1" t="b">
        <v>1</v>
      </c>
      <c r="J59" s="1" t="s">
        <v>167</v>
      </c>
      <c r="K59" s="1">
        <v>2023402</v>
      </c>
      <c r="L59" s="1" t="b">
        <v>0</v>
      </c>
      <c r="M59" s="1" t="s">
        <v>165</v>
      </c>
      <c r="P59" s="1">
        <v>999999</v>
      </c>
      <c r="T59" s="1">
        <v>0.064916245555102</v>
      </c>
    </row>
    <row r="60" spans="1:20">
      <c r="A60" s="1">
        <v>1023403</v>
      </c>
      <c r="C60" s="1">
        <v>1023403</v>
      </c>
      <c r="D60" s="1" t="s">
        <v>168</v>
      </c>
      <c r="E60" s="1">
        <v>2</v>
      </c>
      <c r="F60" s="1" t="s">
        <v>48</v>
      </c>
      <c r="G60" s="1">
        <v>4</v>
      </c>
      <c r="H60" s="1" t="b">
        <v>1</v>
      </c>
      <c r="I60" s="1" t="b">
        <v>1</v>
      </c>
      <c r="J60" s="1" t="s">
        <v>169</v>
      </c>
      <c r="K60" s="1">
        <v>2023403</v>
      </c>
      <c r="L60" s="1" t="b">
        <v>0</v>
      </c>
      <c r="M60" s="1" t="s">
        <v>165</v>
      </c>
      <c r="P60" s="1">
        <v>999999</v>
      </c>
      <c r="T60" s="1">
        <v>0.097374368332653</v>
      </c>
    </row>
    <row r="61" spans="1:20">
      <c r="A61" s="1">
        <v>1023404</v>
      </c>
      <c r="C61" s="1">
        <v>1023404</v>
      </c>
      <c r="D61" s="1" t="s">
        <v>170</v>
      </c>
      <c r="E61" s="1">
        <v>2</v>
      </c>
      <c r="F61" s="1" t="s">
        <v>48</v>
      </c>
      <c r="G61" s="1">
        <v>5</v>
      </c>
      <c r="H61" s="1" t="b">
        <v>1</v>
      </c>
      <c r="I61" s="1" t="b">
        <v>1</v>
      </c>
      <c r="J61" s="1" t="s">
        <v>171</v>
      </c>
      <c r="K61" s="1">
        <v>2023404</v>
      </c>
      <c r="L61" s="1" t="b">
        <v>0</v>
      </c>
      <c r="M61" s="1" t="s">
        <v>165</v>
      </c>
      <c r="P61" s="1">
        <v>999999</v>
      </c>
      <c r="T61" s="1">
        <v>0.181765487554286</v>
      </c>
    </row>
    <row r="62" spans="1:20">
      <c r="A62" s="1">
        <v>1023405</v>
      </c>
      <c r="C62" s="1">
        <v>1023405</v>
      </c>
      <c r="D62" s="1" t="s">
        <v>172</v>
      </c>
      <c r="E62" s="1">
        <v>2</v>
      </c>
      <c r="F62" s="1" t="s">
        <v>48</v>
      </c>
      <c r="G62" s="1">
        <v>6</v>
      </c>
      <c r="H62" s="1" t="b">
        <v>1</v>
      </c>
      <c r="I62" s="1" t="b">
        <v>1</v>
      </c>
      <c r="J62" s="1" t="s">
        <v>173</v>
      </c>
      <c r="K62" s="1">
        <v>2023405</v>
      </c>
      <c r="L62" s="1" t="b">
        <v>0</v>
      </c>
      <c r="M62" s="1" t="s">
        <v>165</v>
      </c>
      <c r="P62" s="1">
        <v>999999</v>
      </c>
      <c r="T62" s="1">
        <v>0.200383827425298</v>
      </c>
    </row>
    <row r="63" s="1" customFormat="1" spans="1:20">
      <c r="A63" s="1">
        <v>1024001</v>
      </c>
      <c r="C63" s="1">
        <v>1024001</v>
      </c>
      <c r="D63" s="1" t="s">
        <v>174</v>
      </c>
      <c r="E63" s="1">
        <v>2</v>
      </c>
      <c r="F63" s="1" t="s">
        <v>48</v>
      </c>
      <c r="G63" s="1">
        <v>1</v>
      </c>
      <c r="H63" s="1" t="b">
        <v>0</v>
      </c>
      <c r="I63" s="1" t="b">
        <v>0</v>
      </c>
      <c r="J63" s="1" t="s">
        <v>175</v>
      </c>
      <c r="K63" s="1">
        <v>2024001</v>
      </c>
      <c r="L63" s="1" t="b">
        <v>0</v>
      </c>
      <c r="M63" s="1" t="s">
        <v>176</v>
      </c>
      <c r="P63" s="1">
        <v>-1</v>
      </c>
    </row>
    <row r="64" s="1" customFormat="1" spans="1:20">
      <c r="A64" s="1">
        <v>1024003</v>
      </c>
      <c r="C64" s="1">
        <v>1024003</v>
      </c>
      <c r="D64" s="1" t="s">
        <v>177</v>
      </c>
      <c r="E64" s="1">
        <v>2</v>
      </c>
      <c r="F64" s="1" t="s">
        <v>48</v>
      </c>
      <c r="G64" s="1">
        <v>1</v>
      </c>
      <c r="H64" s="1" t="b">
        <v>0</v>
      </c>
      <c r="I64" s="1" t="b">
        <v>0</v>
      </c>
      <c r="J64" s="1" t="s">
        <v>178</v>
      </c>
      <c r="K64" s="1">
        <v>2024003</v>
      </c>
      <c r="L64" s="1" t="b">
        <v>0</v>
      </c>
      <c r="M64" s="1" t="s">
        <v>179</v>
      </c>
      <c r="P64" s="1">
        <v>-1</v>
      </c>
    </row>
    <row r="65" spans="1:18">
      <c r="A65" s="1">
        <v>1024005</v>
      </c>
      <c r="C65" s="1">
        <v>1024005</v>
      </c>
      <c r="D65" s="1" t="s">
        <v>180</v>
      </c>
      <c r="E65" s="1">
        <v>2</v>
      </c>
      <c r="F65" s="1" t="s">
        <v>48</v>
      </c>
      <c r="G65" s="1">
        <v>1</v>
      </c>
      <c r="H65" s="1" t="b">
        <v>0</v>
      </c>
      <c r="I65" s="1" t="b">
        <v>0</v>
      </c>
      <c r="J65" s="1" t="s">
        <v>181</v>
      </c>
      <c r="K65" s="1">
        <v>2024005</v>
      </c>
      <c r="L65" s="1" t="b">
        <v>0</v>
      </c>
      <c r="M65" s="1" t="s">
        <v>182</v>
      </c>
      <c r="P65" s="1">
        <v>-1</v>
      </c>
    </row>
    <row r="66" spans="1:18">
      <c r="A66" s="1">
        <v>1024006</v>
      </c>
      <c r="C66" s="1">
        <v>1024006</v>
      </c>
      <c r="D66" s="1" t="s">
        <v>183</v>
      </c>
      <c r="E66" s="1">
        <v>2</v>
      </c>
      <c r="F66" s="1" t="s">
        <v>48</v>
      </c>
      <c r="G66" s="1">
        <v>5</v>
      </c>
      <c r="H66" s="1" t="b">
        <v>0</v>
      </c>
      <c r="I66" s="1" t="b">
        <v>0</v>
      </c>
      <c r="J66" s="1" t="s">
        <v>173</v>
      </c>
      <c r="K66" s="1">
        <v>2024006</v>
      </c>
      <c r="L66" s="1" t="b">
        <v>0</v>
      </c>
      <c r="M66" s="1" t="s">
        <v>182</v>
      </c>
      <c r="P66" s="1">
        <v>-1</v>
      </c>
    </row>
    <row r="67" s="1" customFormat="1" spans="1:18">
      <c r="A67" s="1">
        <v>1024007</v>
      </c>
      <c r="C67" s="1">
        <v>1024007</v>
      </c>
      <c r="D67" s="1" t="s">
        <v>184</v>
      </c>
      <c r="E67" s="1">
        <v>2</v>
      </c>
      <c r="F67" s="1" t="s">
        <v>48</v>
      </c>
      <c r="G67" s="1">
        <v>1</v>
      </c>
      <c r="H67" s="1" t="b">
        <v>1</v>
      </c>
      <c r="I67" s="1" t="b">
        <v>1</v>
      </c>
      <c r="J67" s="1" t="s">
        <v>185</v>
      </c>
      <c r="K67" s="1">
        <v>2024007</v>
      </c>
      <c r="L67" s="1" t="b">
        <v>0</v>
      </c>
      <c r="M67" s="1" t="s">
        <v>186</v>
      </c>
      <c r="P67" s="1">
        <v>999999999</v>
      </c>
    </row>
    <row r="68" spans="1:18">
      <c r="A68" s="1">
        <v>1024008</v>
      </c>
      <c r="C68" s="1">
        <v>1024008</v>
      </c>
      <c r="D68" s="1" t="s">
        <v>187</v>
      </c>
      <c r="E68" s="1">
        <v>2</v>
      </c>
      <c r="F68" s="1" t="s">
        <v>48</v>
      </c>
      <c r="G68" s="1">
        <v>1</v>
      </c>
      <c r="H68" s="1" t="b">
        <v>1</v>
      </c>
      <c r="I68" s="1" t="b">
        <v>1</v>
      </c>
      <c r="J68" s="1" t="s">
        <v>120</v>
      </c>
      <c r="K68" s="1">
        <v>2024008</v>
      </c>
      <c r="L68" s="1" t="b">
        <v>0</v>
      </c>
      <c r="M68" s="1" t="s">
        <v>187</v>
      </c>
      <c r="P68" s="1">
        <v>999999</v>
      </c>
    </row>
    <row r="69" spans="1:18">
      <c r="A69" s="1">
        <v>1024009</v>
      </c>
      <c r="C69" s="1">
        <v>1024009</v>
      </c>
      <c r="D69" s="1" t="s">
        <v>188</v>
      </c>
      <c r="E69" s="1">
        <v>2</v>
      </c>
      <c r="F69" s="1" t="s">
        <v>48</v>
      </c>
      <c r="G69" s="1">
        <v>1</v>
      </c>
      <c r="H69" s="1" t="b">
        <v>1</v>
      </c>
      <c r="I69" s="1" t="b">
        <v>1</v>
      </c>
      <c r="J69" s="1" t="s">
        <v>131</v>
      </c>
      <c r="K69" s="1">
        <v>2024009</v>
      </c>
      <c r="L69" s="1" t="b">
        <v>0</v>
      </c>
      <c r="M69" s="1" t="s">
        <v>188</v>
      </c>
      <c r="P69" s="1">
        <v>999999</v>
      </c>
    </row>
    <row r="70" spans="1:18">
      <c r="A70" s="1">
        <v>1024010</v>
      </c>
      <c r="C70" s="1">
        <v>1024010</v>
      </c>
      <c r="D70" s="1" t="s">
        <v>189</v>
      </c>
      <c r="E70" s="1">
        <v>2</v>
      </c>
      <c r="F70" s="1" t="s">
        <v>48</v>
      </c>
      <c r="G70" s="1">
        <v>1</v>
      </c>
      <c r="H70" s="1" t="b">
        <v>1</v>
      </c>
      <c r="I70" s="1" t="b">
        <v>1</v>
      </c>
      <c r="J70" s="1" t="s">
        <v>142</v>
      </c>
      <c r="K70" s="1">
        <v>2024010</v>
      </c>
      <c r="L70" s="1" t="b">
        <v>0</v>
      </c>
      <c r="M70" s="1" t="s">
        <v>189</v>
      </c>
      <c r="P70" s="1">
        <v>999999</v>
      </c>
    </row>
    <row r="71" spans="1:18">
      <c r="A71" s="1">
        <v>1024011</v>
      </c>
      <c r="C71" s="1">
        <v>1024011</v>
      </c>
      <c r="D71" s="1" t="s">
        <v>190</v>
      </c>
      <c r="E71" s="1">
        <v>2</v>
      </c>
      <c r="F71" s="1" t="s">
        <v>48</v>
      </c>
      <c r="G71" s="1">
        <v>1</v>
      </c>
      <c r="H71" s="1" t="b">
        <v>0</v>
      </c>
      <c r="I71" s="1" t="b">
        <v>0</v>
      </c>
      <c r="J71" s="1" t="s">
        <v>117</v>
      </c>
      <c r="K71" s="1">
        <v>2024011</v>
      </c>
      <c r="L71" s="1" t="b">
        <v>0</v>
      </c>
      <c r="M71" s="1" t="s">
        <v>191</v>
      </c>
      <c r="P71" s="1">
        <v>-1</v>
      </c>
    </row>
    <row r="72" spans="1:18">
      <c r="A72" s="1">
        <v>1024012</v>
      </c>
      <c r="C72" s="1">
        <v>1024012</v>
      </c>
      <c r="D72" s="1" t="s">
        <v>192</v>
      </c>
      <c r="E72" s="1">
        <v>2</v>
      </c>
      <c r="F72" s="1" t="s">
        <v>48</v>
      </c>
      <c r="G72" s="1">
        <v>1</v>
      </c>
      <c r="H72" s="1" t="b">
        <v>0</v>
      </c>
      <c r="I72" s="1" t="b">
        <v>0</v>
      </c>
      <c r="J72" s="1" t="s">
        <v>45</v>
      </c>
      <c r="K72" s="1">
        <v>2024012</v>
      </c>
      <c r="L72" s="1" t="b">
        <v>0</v>
      </c>
      <c r="M72" s="1" t="s">
        <v>193</v>
      </c>
      <c r="P72" s="1">
        <v>-1</v>
      </c>
    </row>
    <row r="73" spans="1:18">
      <c r="A73" s="1">
        <v>1024013</v>
      </c>
      <c r="C73" s="1">
        <v>1024013</v>
      </c>
      <c r="D73" s="1" t="s">
        <v>194</v>
      </c>
      <c r="E73" s="1">
        <v>2</v>
      </c>
      <c r="F73" s="1" t="s">
        <v>48</v>
      </c>
      <c r="G73" s="1">
        <v>1</v>
      </c>
      <c r="H73" s="1" t="b">
        <v>1</v>
      </c>
      <c r="I73" s="1" t="b">
        <v>1</v>
      </c>
      <c r="J73" s="1" t="s">
        <v>49</v>
      </c>
      <c r="K73" s="1">
        <v>2024013</v>
      </c>
      <c r="L73" s="1" t="b">
        <v>0</v>
      </c>
      <c r="M73" s="1" t="s">
        <v>195</v>
      </c>
      <c r="P73" s="1">
        <v>999999</v>
      </c>
    </row>
    <row r="74" spans="1:18">
      <c r="A74" s="1">
        <v>1024014</v>
      </c>
      <c r="C74" s="1">
        <v>1024014</v>
      </c>
      <c r="D74" s="1" t="s">
        <v>196</v>
      </c>
      <c r="E74" s="1">
        <v>2</v>
      </c>
      <c r="F74" s="1" t="s">
        <v>48</v>
      </c>
      <c r="G74" s="1">
        <v>1</v>
      </c>
      <c r="H74" s="1" t="b">
        <v>1</v>
      </c>
      <c r="I74" s="1" t="b">
        <v>1</v>
      </c>
      <c r="J74" s="1" t="s">
        <v>58</v>
      </c>
      <c r="K74" s="1">
        <v>2024014</v>
      </c>
      <c r="L74" s="1" t="b">
        <v>0</v>
      </c>
      <c r="M74" s="1" t="s">
        <v>197</v>
      </c>
      <c r="P74" s="1">
        <v>999999</v>
      </c>
    </row>
    <row r="75" spans="1:18">
      <c r="A75" s="1">
        <v>1024015</v>
      </c>
      <c r="C75" s="1">
        <v>1024015</v>
      </c>
      <c r="D75" s="1" t="s">
        <v>198</v>
      </c>
      <c r="E75" s="1">
        <v>2</v>
      </c>
      <c r="F75" s="1" t="s">
        <v>48</v>
      </c>
      <c r="G75" s="1">
        <v>1</v>
      </c>
      <c r="H75" s="1" t="b">
        <v>1</v>
      </c>
      <c r="I75" s="1" t="b">
        <v>1</v>
      </c>
      <c r="J75" s="1" t="s">
        <v>109</v>
      </c>
      <c r="K75" s="1">
        <v>2024015</v>
      </c>
      <c r="L75" s="1" t="b">
        <v>0</v>
      </c>
      <c r="M75" s="1" t="s">
        <v>199</v>
      </c>
      <c r="P75" s="1">
        <v>999999</v>
      </c>
      <c r="R75" s="1" t="s">
        <v>200</v>
      </c>
    </row>
    <row r="76" spans="1:18">
      <c r="A76" s="1">
        <v>1024016</v>
      </c>
      <c r="C76" s="1">
        <v>1024016</v>
      </c>
      <c r="D76" s="1" t="s">
        <v>201</v>
      </c>
      <c r="E76" s="1">
        <v>2</v>
      </c>
      <c r="F76" s="1" t="s">
        <v>48</v>
      </c>
      <c r="G76" s="1">
        <v>1</v>
      </c>
      <c r="H76" s="1" t="b">
        <v>1</v>
      </c>
      <c r="I76" s="1" t="b">
        <v>1</v>
      </c>
      <c r="J76" s="1" t="s">
        <v>109</v>
      </c>
      <c r="K76" s="1">
        <v>2024016</v>
      </c>
      <c r="L76" s="1" t="b">
        <v>0</v>
      </c>
      <c r="M76" s="1" t="s">
        <v>202</v>
      </c>
      <c r="P76" s="1">
        <v>999999</v>
      </c>
      <c r="R76" s="1" t="s">
        <v>203</v>
      </c>
    </row>
    <row r="77" spans="1:18">
      <c r="A77" s="1">
        <v>1024017</v>
      </c>
      <c r="C77" s="1">
        <v>1024017</v>
      </c>
      <c r="D77" s="1" t="s">
        <v>204</v>
      </c>
      <c r="E77" s="1">
        <v>2</v>
      </c>
      <c r="F77" s="1" t="s">
        <v>48</v>
      </c>
      <c r="G77" s="1">
        <v>1</v>
      </c>
      <c r="H77" s="1" t="b">
        <v>1</v>
      </c>
      <c r="I77" s="1" t="b">
        <v>1</v>
      </c>
      <c r="J77" s="1" t="s">
        <v>111</v>
      </c>
      <c r="K77" s="1">
        <v>2024017</v>
      </c>
      <c r="L77" s="1" t="b">
        <v>0</v>
      </c>
      <c r="M77" s="1" t="s">
        <v>205</v>
      </c>
      <c r="P77" s="1">
        <v>999999</v>
      </c>
    </row>
    <row r="78" spans="1:18">
      <c r="A78" s="1">
        <v>1024018</v>
      </c>
      <c r="C78" s="1">
        <v>1024018</v>
      </c>
      <c r="D78" s="1" t="s">
        <v>206</v>
      </c>
      <c r="E78" s="1">
        <v>2</v>
      </c>
      <c r="F78" s="1" t="s">
        <v>48</v>
      </c>
      <c r="G78" s="1">
        <v>1</v>
      </c>
      <c r="H78" s="1" t="b">
        <v>0</v>
      </c>
      <c r="I78" s="1" t="b">
        <v>0</v>
      </c>
      <c r="J78" s="1" t="s">
        <v>207</v>
      </c>
      <c r="K78" s="1">
        <v>2024018</v>
      </c>
      <c r="L78" s="1" t="b">
        <v>0</v>
      </c>
      <c r="M78" s="1" t="s">
        <v>208</v>
      </c>
      <c r="P78" s="1">
        <v>-1</v>
      </c>
    </row>
    <row r="79" spans="1:18">
      <c r="A79" s="1">
        <v>1024019</v>
      </c>
      <c r="C79" s="1">
        <v>1024019</v>
      </c>
      <c r="D79" s="1" t="s">
        <v>209</v>
      </c>
      <c r="E79" s="1">
        <v>2</v>
      </c>
      <c r="F79" s="1" t="s">
        <v>48</v>
      </c>
      <c r="G79" s="1">
        <v>1</v>
      </c>
      <c r="H79" s="1" t="b">
        <v>0</v>
      </c>
      <c r="I79" s="1" t="b">
        <v>0</v>
      </c>
      <c r="J79" s="1" t="s">
        <v>207</v>
      </c>
      <c r="K79" s="1">
        <v>2024019</v>
      </c>
      <c r="L79" s="1" t="b">
        <v>0</v>
      </c>
      <c r="M79" s="1" t="s">
        <v>210</v>
      </c>
    </row>
    <row r="80" spans="1:18">
      <c r="A80" s="1">
        <v>1024020</v>
      </c>
      <c r="C80" s="1">
        <v>1024020</v>
      </c>
      <c r="D80" s="1" t="s">
        <v>211</v>
      </c>
      <c r="E80" s="1">
        <v>2</v>
      </c>
      <c r="F80" s="1" t="s">
        <v>48</v>
      </c>
      <c r="G80" s="1">
        <v>1</v>
      </c>
      <c r="H80" s="1" t="b">
        <v>0</v>
      </c>
      <c r="I80" s="1" t="b">
        <v>0</v>
      </c>
      <c r="J80" s="1" t="s">
        <v>207</v>
      </c>
      <c r="K80" s="1">
        <v>2024020</v>
      </c>
      <c r="L80" s="1" t="b">
        <v>0</v>
      </c>
      <c r="M80" s="1" t="s">
        <v>212</v>
      </c>
    </row>
    <row r="81" spans="1:16">
      <c r="A81" s="1">
        <v>1024021</v>
      </c>
      <c r="C81" s="1">
        <v>1024021</v>
      </c>
      <c r="D81" s="1" t="s">
        <v>213</v>
      </c>
      <c r="E81" s="1">
        <v>2</v>
      </c>
      <c r="F81" s="1" t="s">
        <v>48</v>
      </c>
      <c r="G81" s="1">
        <v>1</v>
      </c>
      <c r="H81" s="1" t="b">
        <v>0</v>
      </c>
      <c r="I81" s="1" t="b">
        <v>0</v>
      </c>
      <c r="J81" s="1" t="s">
        <v>207</v>
      </c>
      <c r="K81" s="1">
        <v>2024021</v>
      </c>
      <c r="L81" s="1" t="b">
        <v>0</v>
      </c>
      <c r="M81" s="1" t="s">
        <v>214</v>
      </c>
    </row>
    <row r="82" spans="1:16">
      <c r="A82" s="1">
        <v>1024022</v>
      </c>
      <c r="C82" s="1">
        <v>1024022</v>
      </c>
      <c r="D82" s="1" t="s">
        <v>215</v>
      </c>
      <c r="E82" s="1">
        <v>2</v>
      </c>
      <c r="F82" s="1" t="s">
        <v>48</v>
      </c>
      <c r="G82" s="1">
        <v>1</v>
      </c>
      <c r="H82" s="1" t="b">
        <v>0</v>
      </c>
      <c r="I82" s="1" t="b">
        <v>0</v>
      </c>
      <c r="J82" s="1" t="s">
        <v>207</v>
      </c>
      <c r="K82" s="1">
        <v>2024022</v>
      </c>
      <c r="L82" s="1" t="b">
        <v>0</v>
      </c>
      <c r="M82" s="1" t="s">
        <v>216</v>
      </c>
    </row>
    <row r="83" spans="1:16">
      <c r="A83" s="1">
        <v>1024023</v>
      </c>
      <c r="C83" s="1">
        <v>1024023</v>
      </c>
      <c r="D83" s="1" t="s">
        <v>217</v>
      </c>
      <c r="E83" s="1">
        <v>2</v>
      </c>
      <c r="F83" s="1" t="s">
        <v>48</v>
      </c>
      <c r="G83" s="1">
        <v>1</v>
      </c>
      <c r="H83" s="1" t="b">
        <v>0</v>
      </c>
      <c r="I83" s="1" t="b">
        <v>0</v>
      </c>
      <c r="J83" s="1" t="s">
        <v>207</v>
      </c>
      <c r="K83" s="1">
        <v>2024023</v>
      </c>
      <c r="L83" s="1" t="b">
        <v>0</v>
      </c>
      <c r="M83" s="1" t="s">
        <v>218</v>
      </c>
    </row>
    <row r="84" spans="1:16">
      <c r="A84" s="1">
        <v>1025101</v>
      </c>
      <c r="C84" s="1">
        <v>1025101</v>
      </c>
      <c r="D84" s="1" t="s">
        <v>219</v>
      </c>
      <c r="E84" s="1">
        <v>2</v>
      </c>
      <c r="F84" s="1" t="s">
        <v>48</v>
      </c>
      <c r="G84" s="1">
        <v>1</v>
      </c>
      <c r="H84" s="1" t="b">
        <v>0</v>
      </c>
      <c r="I84" s="1" t="b">
        <v>0</v>
      </c>
      <c r="J84" s="1" t="s">
        <v>207</v>
      </c>
      <c r="K84" s="1">
        <v>2025101</v>
      </c>
      <c r="L84" s="1" t="b">
        <v>0</v>
      </c>
      <c r="M84" s="1" t="s">
        <v>219</v>
      </c>
      <c r="P84" s="1">
        <v>-1</v>
      </c>
    </row>
    <row r="85" spans="1:16">
      <c r="A85" s="1">
        <v>1025102</v>
      </c>
      <c r="C85" s="1">
        <v>1025102</v>
      </c>
      <c r="D85" s="1" t="s">
        <v>220</v>
      </c>
      <c r="E85" s="1">
        <v>2</v>
      </c>
      <c r="F85" s="1" t="s">
        <v>48</v>
      </c>
      <c r="G85" s="1">
        <v>1</v>
      </c>
      <c r="H85" s="1" t="b">
        <v>0</v>
      </c>
      <c r="I85" s="1" t="b">
        <v>0</v>
      </c>
      <c r="J85" s="1" t="s">
        <v>207</v>
      </c>
      <c r="K85" s="1">
        <v>2025102</v>
      </c>
      <c r="L85" s="1" t="b">
        <v>0</v>
      </c>
      <c r="M85" s="1" t="s">
        <v>220</v>
      </c>
      <c r="P85" s="1">
        <v>-1</v>
      </c>
    </row>
    <row r="86" spans="1:16">
      <c r="A86" s="1">
        <v>1025103</v>
      </c>
      <c r="C86" s="1">
        <v>1025103</v>
      </c>
      <c r="D86" s="1" t="s">
        <v>221</v>
      </c>
      <c r="E86" s="1">
        <v>2</v>
      </c>
      <c r="F86" s="1" t="s">
        <v>48</v>
      </c>
      <c r="G86" s="1">
        <v>1</v>
      </c>
      <c r="H86" s="1" t="b">
        <v>0</v>
      </c>
      <c r="I86" s="1" t="b">
        <v>0</v>
      </c>
      <c r="J86" s="1" t="s">
        <v>207</v>
      </c>
      <c r="K86" s="1">
        <v>2025103</v>
      </c>
      <c r="L86" s="1" t="b">
        <v>0</v>
      </c>
      <c r="M86" s="1" t="s">
        <v>221</v>
      </c>
      <c r="P86" s="1">
        <v>-1</v>
      </c>
    </row>
    <row r="87" spans="1:16">
      <c r="A87" s="1">
        <v>1025104</v>
      </c>
      <c r="C87" s="1">
        <v>1025104</v>
      </c>
      <c r="D87" s="1" t="s">
        <v>222</v>
      </c>
      <c r="E87" s="1">
        <v>2</v>
      </c>
      <c r="F87" s="1" t="s">
        <v>48</v>
      </c>
      <c r="G87" s="1">
        <v>1</v>
      </c>
      <c r="H87" s="1" t="b">
        <v>0</v>
      </c>
      <c r="I87" s="1" t="b">
        <v>0</v>
      </c>
      <c r="J87" s="1" t="s">
        <v>207</v>
      </c>
      <c r="K87" s="1">
        <v>2025104</v>
      </c>
      <c r="L87" s="1" t="b">
        <v>0</v>
      </c>
      <c r="M87" s="1" t="s">
        <v>222</v>
      </c>
      <c r="P87" s="1">
        <v>-1</v>
      </c>
    </row>
    <row r="88" spans="1:16">
      <c r="A88" s="1">
        <v>1025105</v>
      </c>
      <c r="C88" s="1">
        <v>1025105</v>
      </c>
      <c r="D88" s="1" t="s">
        <v>223</v>
      </c>
      <c r="E88" s="1">
        <v>2</v>
      </c>
      <c r="F88" s="1" t="s">
        <v>48</v>
      </c>
      <c r="G88" s="1">
        <v>1</v>
      </c>
      <c r="H88" s="1" t="b">
        <v>0</v>
      </c>
      <c r="I88" s="1" t="b">
        <v>0</v>
      </c>
      <c r="J88" s="1" t="s">
        <v>207</v>
      </c>
      <c r="K88" s="1">
        <v>2025105</v>
      </c>
      <c r="L88" s="1" t="b">
        <v>0</v>
      </c>
      <c r="M88" s="1" t="s">
        <v>223</v>
      </c>
      <c r="P88" s="1">
        <v>-1</v>
      </c>
    </row>
    <row r="89" spans="1:16">
      <c r="A89" s="1">
        <v>1025106</v>
      </c>
      <c r="C89" s="1">
        <v>1025106</v>
      </c>
      <c r="D89" s="1" t="s">
        <v>224</v>
      </c>
      <c r="E89" s="1">
        <v>2</v>
      </c>
      <c r="F89" s="1" t="s">
        <v>48</v>
      </c>
      <c r="G89" s="1">
        <v>1</v>
      </c>
      <c r="H89" s="1" t="b">
        <v>0</v>
      </c>
      <c r="I89" s="1" t="b">
        <v>0</v>
      </c>
      <c r="J89" s="1" t="s">
        <v>207</v>
      </c>
      <c r="K89" s="1">
        <v>2025106</v>
      </c>
      <c r="L89" s="1" t="b">
        <v>0</v>
      </c>
      <c r="M89" s="1" t="s">
        <v>224</v>
      </c>
      <c r="P89" s="1">
        <v>-1</v>
      </c>
    </row>
    <row r="90" spans="1:16">
      <c r="A90" s="1">
        <v>1025201</v>
      </c>
      <c r="C90" s="1">
        <v>1025201</v>
      </c>
      <c r="D90" s="1" t="s">
        <v>225</v>
      </c>
      <c r="E90" s="1">
        <v>2</v>
      </c>
      <c r="F90" s="1" t="s">
        <v>48</v>
      </c>
      <c r="G90" s="1">
        <v>2</v>
      </c>
      <c r="H90" s="1" t="b">
        <v>0</v>
      </c>
      <c r="I90" s="1" t="b">
        <v>0</v>
      </c>
      <c r="J90" s="1" t="s">
        <v>207</v>
      </c>
      <c r="K90" s="1">
        <v>2025201</v>
      </c>
      <c r="L90" s="1" t="b">
        <v>0</v>
      </c>
      <c r="M90" s="1" t="s">
        <v>225</v>
      </c>
      <c r="P90" s="1">
        <v>-1</v>
      </c>
    </row>
    <row r="91" spans="1:16">
      <c r="A91" s="1">
        <v>1025202</v>
      </c>
      <c r="C91" s="1">
        <v>1025202</v>
      </c>
      <c r="D91" s="1" t="s">
        <v>226</v>
      </c>
      <c r="E91" s="1">
        <v>2</v>
      </c>
      <c r="F91" s="1" t="s">
        <v>48</v>
      </c>
      <c r="G91" s="1">
        <v>2</v>
      </c>
      <c r="H91" s="1" t="b">
        <v>0</v>
      </c>
      <c r="I91" s="1" t="b">
        <v>0</v>
      </c>
      <c r="J91" s="1" t="s">
        <v>207</v>
      </c>
      <c r="K91" s="1">
        <v>2025202</v>
      </c>
      <c r="L91" s="1" t="b">
        <v>0</v>
      </c>
      <c r="M91" s="1" t="s">
        <v>226</v>
      </c>
      <c r="P91" s="1">
        <v>-1</v>
      </c>
    </row>
    <row r="92" spans="1:16">
      <c r="A92" s="1">
        <v>1025203</v>
      </c>
      <c r="C92" s="1">
        <v>1025203</v>
      </c>
      <c r="D92" s="1" t="s">
        <v>227</v>
      </c>
      <c r="E92" s="1">
        <v>2</v>
      </c>
      <c r="F92" s="1" t="s">
        <v>48</v>
      </c>
      <c r="G92" s="1">
        <v>2</v>
      </c>
      <c r="H92" s="1" t="b">
        <v>0</v>
      </c>
      <c r="I92" s="1" t="b">
        <v>0</v>
      </c>
      <c r="J92" s="1" t="s">
        <v>207</v>
      </c>
      <c r="K92" s="1">
        <v>2025203</v>
      </c>
      <c r="L92" s="1" t="b">
        <v>0</v>
      </c>
      <c r="M92" s="1" t="s">
        <v>227</v>
      </c>
      <c r="P92" s="1">
        <v>-1</v>
      </c>
    </row>
    <row r="93" spans="1:16">
      <c r="A93" s="1">
        <v>1025204</v>
      </c>
      <c r="C93" s="1">
        <v>1025204</v>
      </c>
      <c r="D93" s="1" t="s">
        <v>228</v>
      </c>
      <c r="E93" s="1">
        <v>2</v>
      </c>
      <c r="F93" s="1" t="s">
        <v>48</v>
      </c>
      <c r="G93" s="1">
        <v>2</v>
      </c>
      <c r="H93" s="1" t="b">
        <v>0</v>
      </c>
      <c r="I93" s="1" t="b">
        <v>0</v>
      </c>
      <c r="J93" s="1" t="s">
        <v>207</v>
      </c>
      <c r="K93" s="1">
        <v>2025204</v>
      </c>
      <c r="L93" s="1" t="b">
        <v>0</v>
      </c>
      <c r="M93" s="1" t="s">
        <v>228</v>
      </c>
      <c r="P93" s="1">
        <v>-1</v>
      </c>
    </row>
    <row r="94" spans="1:16">
      <c r="A94" s="1">
        <v>1025205</v>
      </c>
      <c r="C94" s="1">
        <v>1025205</v>
      </c>
      <c r="D94" s="1" t="s">
        <v>229</v>
      </c>
      <c r="E94" s="1">
        <v>2</v>
      </c>
      <c r="F94" s="1" t="s">
        <v>48</v>
      </c>
      <c r="G94" s="1">
        <v>2</v>
      </c>
      <c r="H94" s="1" t="b">
        <v>0</v>
      </c>
      <c r="I94" s="1" t="b">
        <v>0</v>
      </c>
      <c r="J94" s="1" t="s">
        <v>207</v>
      </c>
      <c r="K94" s="1">
        <v>2025205</v>
      </c>
      <c r="L94" s="1" t="b">
        <v>0</v>
      </c>
      <c r="M94" s="1" t="s">
        <v>229</v>
      </c>
      <c r="P94" s="1">
        <v>-1</v>
      </c>
    </row>
    <row r="95" spans="1:16">
      <c r="A95" s="1">
        <v>1025206</v>
      </c>
      <c r="C95" s="1">
        <v>1025206</v>
      </c>
      <c r="D95" s="1" t="s">
        <v>230</v>
      </c>
      <c r="E95" s="1">
        <v>2</v>
      </c>
      <c r="F95" s="1" t="s">
        <v>48</v>
      </c>
      <c r="G95" s="1">
        <v>2</v>
      </c>
      <c r="H95" s="1" t="b">
        <v>0</v>
      </c>
      <c r="I95" s="1" t="b">
        <v>0</v>
      </c>
      <c r="J95" s="1" t="s">
        <v>207</v>
      </c>
      <c r="K95" s="1">
        <v>2025206</v>
      </c>
      <c r="L95" s="1" t="b">
        <v>0</v>
      </c>
      <c r="M95" s="1" t="s">
        <v>230</v>
      </c>
      <c r="P95" s="1">
        <v>-1</v>
      </c>
    </row>
    <row r="96" spans="1:16">
      <c r="A96" s="1">
        <v>1025301</v>
      </c>
      <c r="C96" s="1">
        <v>1025301</v>
      </c>
      <c r="D96" s="1" t="s">
        <v>231</v>
      </c>
      <c r="E96" s="1">
        <v>2</v>
      </c>
      <c r="F96" s="1" t="s">
        <v>48</v>
      </c>
      <c r="G96" s="1">
        <v>3</v>
      </c>
      <c r="H96" s="1" t="b">
        <v>0</v>
      </c>
      <c r="I96" s="1" t="b">
        <v>0</v>
      </c>
      <c r="J96" s="1" t="s">
        <v>207</v>
      </c>
      <c r="K96" s="1">
        <v>2025301</v>
      </c>
      <c r="L96" s="1" t="b">
        <v>0</v>
      </c>
      <c r="M96" s="1" t="s">
        <v>231</v>
      </c>
      <c r="P96" s="1">
        <v>-1</v>
      </c>
    </row>
    <row r="97" spans="1:16">
      <c r="A97" s="1">
        <v>1025302</v>
      </c>
      <c r="C97" s="1">
        <v>1025302</v>
      </c>
      <c r="D97" s="1" t="s">
        <v>232</v>
      </c>
      <c r="E97" s="1">
        <v>2</v>
      </c>
      <c r="F97" s="1" t="s">
        <v>48</v>
      </c>
      <c r="G97" s="1">
        <v>3</v>
      </c>
      <c r="H97" s="1" t="b">
        <v>0</v>
      </c>
      <c r="I97" s="1" t="b">
        <v>0</v>
      </c>
      <c r="J97" s="1" t="s">
        <v>207</v>
      </c>
      <c r="K97" s="1">
        <v>2025302</v>
      </c>
      <c r="L97" s="1" t="b">
        <v>0</v>
      </c>
      <c r="M97" s="1" t="s">
        <v>232</v>
      </c>
      <c r="P97" s="1">
        <v>-1</v>
      </c>
    </row>
    <row r="98" spans="1:16">
      <c r="A98" s="1">
        <v>1025303</v>
      </c>
      <c r="C98" s="1">
        <v>1025303</v>
      </c>
      <c r="D98" s="1" t="s">
        <v>233</v>
      </c>
      <c r="E98" s="1">
        <v>2</v>
      </c>
      <c r="F98" s="1" t="s">
        <v>48</v>
      </c>
      <c r="G98" s="1">
        <v>3</v>
      </c>
      <c r="H98" s="1" t="b">
        <v>0</v>
      </c>
      <c r="I98" s="1" t="b">
        <v>0</v>
      </c>
      <c r="J98" s="1" t="s">
        <v>207</v>
      </c>
      <c r="K98" s="1">
        <v>2025303</v>
      </c>
      <c r="L98" s="1" t="b">
        <v>0</v>
      </c>
      <c r="M98" s="1" t="s">
        <v>233</v>
      </c>
      <c r="P98" s="1">
        <v>-1</v>
      </c>
    </row>
    <row r="99" spans="1:16">
      <c r="A99" s="1">
        <v>1025304</v>
      </c>
      <c r="C99" s="1">
        <v>1025304</v>
      </c>
      <c r="D99" s="1" t="s">
        <v>234</v>
      </c>
      <c r="E99" s="1">
        <v>2</v>
      </c>
      <c r="F99" s="1" t="s">
        <v>48</v>
      </c>
      <c r="G99" s="1">
        <v>3</v>
      </c>
      <c r="H99" s="1" t="b">
        <v>0</v>
      </c>
      <c r="I99" s="1" t="b">
        <v>0</v>
      </c>
      <c r="J99" s="1" t="s">
        <v>207</v>
      </c>
      <c r="K99" s="1">
        <v>2025304</v>
      </c>
      <c r="L99" s="1" t="b">
        <v>0</v>
      </c>
      <c r="M99" s="1" t="s">
        <v>234</v>
      </c>
      <c r="P99" s="1">
        <v>-1</v>
      </c>
    </row>
    <row r="100" spans="1:16">
      <c r="A100" s="1">
        <v>1025305</v>
      </c>
      <c r="C100" s="1">
        <v>1025305</v>
      </c>
      <c r="D100" s="1" t="s">
        <v>235</v>
      </c>
      <c r="E100" s="1">
        <v>2</v>
      </c>
      <c r="F100" s="1" t="s">
        <v>48</v>
      </c>
      <c r="G100" s="1">
        <v>3</v>
      </c>
      <c r="H100" s="1" t="b">
        <v>0</v>
      </c>
      <c r="I100" s="1" t="b">
        <v>0</v>
      </c>
      <c r="J100" s="1" t="s">
        <v>207</v>
      </c>
      <c r="K100" s="1">
        <v>2025305</v>
      </c>
      <c r="L100" s="1" t="b">
        <v>0</v>
      </c>
      <c r="M100" s="1" t="s">
        <v>235</v>
      </c>
      <c r="P100" s="1">
        <v>-1</v>
      </c>
    </row>
    <row r="101" spans="1:16">
      <c r="A101" s="1">
        <v>1025306</v>
      </c>
      <c r="C101" s="1">
        <v>1025306</v>
      </c>
      <c r="D101" s="1" t="s">
        <v>236</v>
      </c>
      <c r="E101" s="1">
        <v>2</v>
      </c>
      <c r="F101" s="1" t="s">
        <v>48</v>
      </c>
      <c r="G101" s="1">
        <v>3</v>
      </c>
      <c r="H101" s="1" t="b">
        <v>0</v>
      </c>
      <c r="I101" s="1" t="b">
        <v>0</v>
      </c>
      <c r="J101" s="1" t="s">
        <v>207</v>
      </c>
      <c r="K101" s="1">
        <v>2025306</v>
      </c>
      <c r="L101" s="1" t="b">
        <v>0</v>
      </c>
      <c r="M101" s="1" t="s">
        <v>236</v>
      </c>
      <c r="P101" s="1">
        <v>-1</v>
      </c>
    </row>
    <row r="102" spans="1:16">
      <c r="A102" s="1">
        <v>1025401</v>
      </c>
      <c r="C102" s="1">
        <v>1025401</v>
      </c>
      <c r="D102" s="1" t="s">
        <v>237</v>
      </c>
      <c r="E102" s="1">
        <v>2</v>
      </c>
      <c r="F102" s="1" t="s">
        <v>48</v>
      </c>
      <c r="G102" s="1">
        <v>4</v>
      </c>
      <c r="H102" s="1" t="b">
        <v>0</v>
      </c>
      <c r="I102" s="1" t="b">
        <v>0</v>
      </c>
      <c r="J102" s="1" t="s">
        <v>207</v>
      </c>
      <c r="K102" s="1">
        <v>2025401</v>
      </c>
      <c r="L102" s="1" t="b">
        <v>0</v>
      </c>
      <c r="M102" s="1" t="s">
        <v>237</v>
      </c>
      <c r="P102" s="1">
        <v>-1</v>
      </c>
    </row>
    <row r="103" spans="1:16">
      <c r="A103" s="1">
        <v>1025402</v>
      </c>
      <c r="C103" s="1">
        <v>1025402</v>
      </c>
      <c r="D103" s="1" t="s">
        <v>238</v>
      </c>
      <c r="E103" s="1">
        <v>2</v>
      </c>
      <c r="F103" s="1" t="s">
        <v>48</v>
      </c>
      <c r="G103" s="1">
        <v>4</v>
      </c>
      <c r="H103" s="1" t="b">
        <v>0</v>
      </c>
      <c r="I103" s="1" t="b">
        <v>0</v>
      </c>
      <c r="J103" s="1" t="s">
        <v>207</v>
      </c>
      <c r="K103" s="1">
        <v>2025402</v>
      </c>
      <c r="L103" s="1" t="b">
        <v>0</v>
      </c>
      <c r="M103" s="1" t="s">
        <v>238</v>
      </c>
      <c r="P103" s="1">
        <v>-1</v>
      </c>
    </row>
    <row r="104" spans="1:16">
      <c r="A104" s="1">
        <v>1025403</v>
      </c>
      <c r="C104" s="1">
        <v>1025403</v>
      </c>
      <c r="D104" s="1" t="s">
        <v>239</v>
      </c>
      <c r="E104" s="1">
        <v>2</v>
      </c>
      <c r="F104" s="1" t="s">
        <v>48</v>
      </c>
      <c r="G104" s="1">
        <v>4</v>
      </c>
      <c r="H104" s="1" t="b">
        <v>0</v>
      </c>
      <c r="I104" s="1" t="b">
        <v>0</v>
      </c>
      <c r="J104" s="1" t="s">
        <v>207</v>
      </c>
      <c r="K104" s="1">
        <v>2025403</v>
      </c>
      <c r="L104" s="1" t="b">
        <v>0</v>
      </c>
      <c r="M104" s="1" t="s">
        <v>239</v>
      </c>
      <c r="P104" s="1">
        <v>-1</v>
      </c>
    </row>
    <row r="105" spans="1:16">
      <c r="A105" s="1">
        <v>1025404</v>
      </c>
      <c r="C105" s="1">
        <v>1025404</v>
      </c>
      <c r="D105" s="1" t="s">
        <v>240</v>
      </c>
      <c r="E105" s="1">
        <v>2</v>
      </c>
      <c r="F105" s="1" t="s">
        <v>48</v>
      </c>
      <c r="G105" s="1">
        <v>4</v>
      </c>
      <c r="H105" s="1" t="b">
        <v>0</v>
      </c>
      <c r="I105" s="1" t="b">
        <v>0</v>
      </c>
      <c r="J105" s="1" t="s">
        <v>207</v>
      </c>
      <c r="K105" s="1">
        <v>2025404</v>
      </c>
      <c r="L105" s="1" t="b">
        <v>0</v>
      </c>
      <c r="M105" s="1" t="s">
        <v>240</v>
      </c>
      <c r="P105" s="1">
        <v>-1</v>
      </c>
    </row>
    <row r="106" spans="1:16">
      <c r="A106" s="1">
        <v>1025405</v>
      </c>
      <c r="C106" s="1">
        <v>1025405</v>
      </c>
      <c r="D106" s="1" t="s">
        <v>241</v>
      </c>
      <c r="E106" s="1">
        <v>2</v>
      </c>
      <c r="F106" s="1" t="s">
        <v>48</v>
      </c>
      <c r="G106" s="1">
        <v>4</v>
      </c>
      <c r="H106" s="1" t="b">
        <v>0</v>
      </c>
      <c r="I106" s="1" t="b">
        <v>0</v>
      </c>
      <c r="J106" s="1" t="s">
        <v>207</v>
      </c>
      <c r="K106" s="1">
        <v>2025405</v>
      </c>
      <c r="L106" s="1" t="b">
        <v>0</v>
      </c>
      <c r="M106" s="1" t="s">
        <v>241</v>
      </c>
      <c r="P106" s="1">
        <v>-1</v>
      </c>
    </row>
    <row r="107" spans="1:16">
      <c r="A107" s="1">
        <v>1025406</v>
      </c>
      <c r="C107" s="1">
        <v>1025406</v>
      </c>
      <c r="D107" s="1" t="s">
        <v>242</v>
      </c>
      <c r="E107" s="1">
        <v>2</v>
      </c>
      <c r="F107" s="1" t="s">
        <v>48</v>
      </c>
      <c r="G107" s="1">
        <v>4</v>
      </c>
      <c r="H107" s="1" t="b">
        <v>0</v>
      </c>
      <c r="I107" s="1" t="b">
        <v>0</v>
      </c>
      <c r="J107" s="1" t="s">
        <v>207</v>
      </c>
      <c r="K107" s="1">
        <v>2025406</v>
      </c>
      <c r="L107" s="1" t="b">
        <v>0</v>
      </c>
      <c r="M107" s="1" t="s">
        <v>242</v>
      </c>
      <c r="P107" s="1">
        <v>-1</v>
      </c>
    </row>
    <row r="108" spans="1:16">
      <c r="A108" s="1">
        <v>1025501</v>
      </c>
      <c r="C108" s="1">
        <v>1025501</v>
      </c>
      <c r="D108" s="1" t="s">
        <v>243</v>
      </c>
      <c r="E108" s="1">
        <v>2</v>
      </c>
      <c r="F108" s="1" t="s">
        <v>48</v>
      </c>
      <c r="G108" s="1">
        <v>5</v>
      </c>
      <c r="H108" s="1" t="b">
        <v>0</v>
      </c>
      <c r="I108" s="1" t="b">
        <v>0</v>
      </c>
      <c r="J108" s="1" t="s">
        <v>207</v>
      </c>
      <c r="K108" s="1">
        <v>2025501</v>
      </c>
      <c r="L108" s="1" t="b">
        <v>0</v>
      </c>
      <c r="M108" s="1" t="s">
        <v>243</v>
      </c>
      <c r="P108" s="1">
        <v>-1</v>
      </c>
    </row>
    <row r="109" spans="1:16">
      <c r="A109" s="1">
        <v>1025502</v>
      </c>
      <c r="C109" s="1">
        <v>1025502</v>
      </c>
      <c r="D109" s="1" t="s">
        <v>244</v>
      </c>
      <c r="E109" s="1">
        <v>2</v>
      </c>
      <c r="F109" s="1" t="s">
        <v>48</v>
      </c>
      <c r="G109" s="1">
        <v>5</v>
      </c>
      <c r="H109" s="1" t="b">
        <v>0</v>
      </c>
      <c r="I109" s="1" t="b">
        <v>0</v>
      </c>
      <c r="J109" s="1" t="s">
        <v>207</v>
      </c>
      <c r="K109" s="1">
        <v>2025502</v>
      </c>
      <c r="L109" s="1" t="b">
        <v>0</v>
      </c>
      <c r="M109" s="1" t="s">
        <v>244</v>
      </c>
      <c r="P109" s="1">
        <v>-1</v>
      </c>
    </row>
    <row r="110" spans="1:16">
      <c r="A110" s="1">
        <v>1025503</v>
      </c>
      <c r="C110" s="1">
        <v>1025503</v>
      </c>
      <c r="D110" s="1" t="s">
        <v>245</v>
      </c>
      <c r="E110" s="1">
        <v>2</v>
      </c>
      <c r="F110" s="1" t="s">
        <v>48</v>
      </c>
      <c r="G110" s="1">
        <v>5</v>
      </c>
      <c r="H110" s="1" t="b">
        <v>0</v>
      </c>
      <c r="I110" s="1" t="b">
        <v>0</v>
      </c>
      <c r="J110" s="1" t="s">
        <v>207</v>
      </c>
      <c r="K110" s="1">
        <v>2025503</v>
      </c>
      <c r="L110" s="1" t="b">
        <v>0</v>
      </c>
      <c r="M110" s="1" t="s">
        <v>245</v>
      </c>
      <c r="P110" s="1">
        <v>-1</v>
      </c>
    </row>
    <row r="111" spans="1:16">
      <c r="A111" s="1">
        <v>1025504</v>
      </c>
      <c r="C111" s="1">
        <v>1025504</v>
      </c>
      <c r="D111" s="1" t="s">
        <v>246</v>
      </c>
      <c r="E111" s="1">
        <v>2</v>
      </c>
      <c r="F111" s="1" t="s">
        <v>48</v>
      </c>
      <c r="G111" s="1">
        <v>5</v>
      </c>
      <c r="H111" s="1" t="b">
        <v>0</v>
      </c>
      <c r="I111" s="1" t="b">
        <v>0</v>
      </c>
      <c r="J111" s="1" t="s">
        <v>207</v>
      </c>
      <c r="K111" s="1">
        <v>2025504</v>
      </c>
      <c r="L111" s="1" t="b">
        <v>0</v>
      </c>
      <c r="M111" s="1" t="s">
        <v>246</v>
      </c>
      <c r="P111" s="1">
        <v>-1</v>
      </c>
    </row>
    <row r="112" spans="1:16">
      <c r="A112" s="1">
        <v>1025505</v>
      </c>
      <c r="C112" s="1">
        <v>1025505</v>
      </c>
      <c r="D112" s="1" t="s">
        <v>247</v>
      </c>
      <c r="E112" s="1">
        <v>2</v>
      </c>
      <c r="F112" s="1" t="s">
        <v>48</v>
      </c>
      <c r="G112" s="1">
        <v>5</v>
      </c>
      <c r="H112" s="1" t="b">
        <v>0</v>
      </c>
      <c r="I112" s="1" t="b">
        <v>0</v>
      </c>
      <c r="J112" s="1" t="s">
        <v>207</v>
      </c>
      <c r="K112" s="1">
        <v>2025505</v>
      </c>
      <c r="L112" s="1" t="b">
        <v>0</v>
      </c>
      <c r="M112" s="1" t="s">
        <v>247</v>
      </c>
      <c r="P112" s="1">
        <v>-1</v>
      </c>
    </row>
    <row r="113" spans="1:16">
      <c r="A113" s="1">
        <v>1025506</v>
      </c>
      <c r="C113" s="1">
        <v>1025506</v>
      </c>
      <c r="D113" s="1" t="s">
        <v>248</v>
      </c>
      <c r="E113" s="1">
        <v>2</v>
      </c>
      <c r="F113" s="1" t="s">
        <v>48</v>
      </c>
      <c r="G113" s="1">
        <v>5</v>
      </c>
      <c r="H113" s="1" t="b">
        <v>0</v>
      </c>
      <c r="I113" s="1" t="b">
        <v>0</v>
      </c>
      <c r="J113" s="1" t="s">
        <v>207</v>
      </c>
      <c r="K113" s="1">
        <v>2025506</v>
      </c>
      <c r="L113" s="1" t="b">
        <v>0</v>
      </c>
      <c r="M113" s="1" t="s">
        <v>248</v>
      </c>
      <c r="P113" s="1">
        <v>-1</v>
      </c>
    </row>
    <row r="114" spans="1:16">
      <c r="A114" s="1">
        <v>1125101</v>
      </c>
      <c r="C114" s="1">
        <v>1125101</v>
      </c>
      <c r="D114" s="1" t="str">
        <f>D84&amp;"碎片"</f>
        <v>街头潮人碎片</v>
      </c>
      <c r="E114" s="1">
        <v>2</v>
      </c>
      <c r="F114" s="1" t="s">
        <v>48</v>
      </c>
      <c r="G114" s="1">
        <v>1</v>
      </c>
      <c r="H114" s="1" t="b">
        <v>1</v>
      </c>
      <c r="I114" s="1" t="b">
        <v>1</v>
      </c>
      <c r="J114" s="1" t="s">
        <v>249</v>
      </c>
      <c r="K114" s="1">
        <v>2125101</v>
      </c>
      <c r="L114" s="1" t="b">
        <v>0</v>
      </c>
      <c r="M114" s="1" t="str">
        <f>D84&amp;"游客的升星道具"</f>
        <v>街头潮人游客的升星道具</v>
      </c>
      <c r="P114" s="1">
        <v>999999</v>
      </c>
    </row>
    <row r="115" spans="1:16">
      <c r="A115" s="1">
        <v>1125102</v>
      </c>
      <c r="C115" s="1">
        <v>1125102</v>
      </c>
      <c r="D115" s="1" t="str">
        <f t="shared" ref="D115:D143" si="0">D85&amp;"碎片"</f>
        <v>复古绅士碎片</v>
      </c>
      <c r="E115" s="1">
        <v>2</v>
      </c>
      <c r="F115" s="1" t="s">
        <v>48</v>
      </c>
      <c r="G115" s="1">
        <v>1</v>
      </c>
      <c r="H115" s="1" t="b">
        <v>1</v>
      </c>
      <c r="I115" s="1" t="b">
        <v>1</v>
      </c>
      <c r="J115" s="1" t="s">
        <v>249</v>
      </c>
      <c r="K115" s="1">
        <v>2125102</v>
      </c>
      <c r="L115" s="1" t="b">
        <v>0</v>
      </c>
      <c r="M115" s="1" t="str">
        <f t="shared" ref="M115:M143" si="1">D85&amp;"游客的升星道具"</f>
        <v>复古绅士游客的升星道具</v>
      </c>
      <c r="P115" s="1">
        <v>999999</v>
      </c>
    </row>
    <row r="116" spans="1:16">
      <c r="A116" s="1">
        <v>1125103</v>
      </c>
      <c r="C116" s="1">
        <v>1125103</v>
      </c>
      <c r="D116" s="1" t="str">
        <f t="shared" si="0"/>
        <v>酷盖少年碎片</v>
      </c>
      <c r="E116" s="1">
        <v>2</v>
      </c>
      <c r="F116" s="1" t="s">
        <v>48</v>
      </c>
      <c r="G116" s="1">
        <v>1</v>
      </c>
      <c r="H116" s="1" t="b">
        <v>1</v>
      </c>
      <c r="I116" s="1" t="b">
        <v>1</v>
      </c>
      <c r="J116" s="1" t="s">
        <v>249</v>
      </c>
      <c r="K116" s="1">
        <v>2125103</v>
      </c>
      <c r="L116" s="1" t="b">
        <v>0</v>
      </c>
      <c r="M116" s="1" t="str">
        <f t="shared" si="1"/>
        <v>酷盖少年游客的升星道具</v>
      </c>
      <c r="P116" s="1">
        <v>999999</v>
      </c>
    </row>
    <row r="117" spans="1:16">
      <c r="A117" s="1">
        <v>1125104</v>
      </c>
      <c r="C117" s="1">
        <v>1125104</v>
      </c>
      <c r="D117" s="1" t="str">
        <f t="shared" si="0"/>
        <v>潮流先锋碎片</v>
      </c>
      <c r="E117" s="1">
        <v>2</v>
      </c>
      <c r="F117" s="1" t="s">
        <v>48</v>
      </c>
      <c r="G117" s="1">
        <v>1</v>
      </c>
      <c r="H117" s="1" t="b">
        <v>1</v>
      </c>
      <c r="I117" s="1" t="b">
        <v>1</v>
      </c>
      <c r="J117" s="1" t="s">
        <v>249</v>
      </c>
      <c r="K117" s="1">
        <v>2125104</v>
      </c>
      <c r="L117" s="1" t="b">
        <v>0</v>
      </c>
      <c r="M117" s="1" t="str">
        <f t="shared" si="1"/>
        <v>潮流先锋游客的升星道具</v>
      </c>
      <c r="P117" s="1">
        <v>999999</v>
      </c>
    </row>
    <row r="118" spans="1:16">
      <c r="A118" s="1">
        <v>1125105</v>
      </c>
      <c r="C118" s="1">
        <v>1125105</v>
      </c>
      <c r="D118" s="1" t="str">
        <f t="shared" si="0"/>
        <v>时尚教主碎片</v>
      </c>
      <c r="E118" s="1">
        <v>2</v>
      </c>
      <c r="F118" s="1" t="s">
        <v>48</v>
      </c>
      <c r="G118" s="1">
        <v>1</v>
      </c>
      <c r="H118" s="1" t="b">
        <v>1</v>
      </c>
      <c r="I118" s="1" t="b">
        <v>1</v>
      </c>
      <c r="J118" s="1" t="s">
        <v>249</v>
      </c>
      <c r="K118" s="1">
        <v>2125105</v>
      </c>
      <c r="L118" s="1" t="b">
        <v>0</v>
      </c>
      <c r="M118" s="1" t="str">
        <f t="shared" si="1"/>
        <v>时尚教主游客的升星道具</v>
      </c>
      <c r="P118" s="1">
        <v>999999</v>
      </c>
    </row>
    <row r="119" spans="1:16">
      <c r="A119" s="1">
        <v>1125106</v>
      </c>
      <c r="C119" s="1">
        <v>1125106</v>
      </c>
      <c r="D119" s="1" t="str">
        <f t="shared" si="0"/>
        <v>街拍达人碎片</v>
      </c>
      <c r="E119" s="1">
        <v>2</v>
      </c>
      <c r="F119" s="1" t="s">
        <v>48</v>
      </c>
      <c r="G119" s="1">
        <v>1</v>
      </c>
      <c r="H119" s="1" t="b">
        <v>1</v>
      </c>
      <c r="I119" s="1" t="b">
        <v>1</v>
      </c>
      <c r="J119" s="1" t="s">
        <v>249</v>
      </c>
      <c r="K119" s="1">
        <v>2125106</v>
      </c>
      <c r="L119" s="1" t="b">
        <v>0</v>
      </c>
      <c r="M119" s="1" t="str">
        <f t="shared" si="1"/>
        <v>街拍达人游客的升星道具</v>
      </c>
      <c r="P119" s="1">
        <v>999999</v>
      </c>
    </row>
    <row r="120" spans="1:16">
      <c r="A120" s="1">
        <v>1125201</v>
      </c>
      <c r="C120" s="1">
        <v>1125201</v>
      </c>
      <c r="D120" s="1" t="str">
        <f t="shared" si="0"/>
        <v>运动健将碎片</v>
      </c>
      <c r="E120" s="1">
        <v>2</v>
      </c>
      <c r="F120" s="1" t="s">
        <v>48</v>
      </c>
      <c r="G120" s="1">
        <v>2</v>
      </c>
      <c r="H120" s="1" t="b">
        <v>1</v>
      </c>
      <c r="I120" s="1" t="b">
        <v>1</v>
      </c>
      <c r="J120" s="1" t="s">
        <v>249</v>
      </c>
      <c r="K120" s="1">
        <v>2125201</v>
      </c>
      <c r="L120" s="1" t="b">
        <v>0</v>
      </c>
      <c r="M120" s="1" t="str">
        <f t="shared" si="1"/>
        <v>运动健将游客的升星道具</v>
      </c>
      <c r="P120" s="1">
        <v>999999</v>
      </c>
    </row>
    <row r="121" spans="1:16">
      <c r="A121" s="1">
        <v>1125202</v>
      </c>
      <c r="C121" s="1">
        <v>1125202</v>
      </c>
      <c r="D121" s="1" t="str">
        <f t="shared" si="0"/>
        <v>跑酷少年碎片</v>
      </c>
      <c r="E121" s="1">
        <v>2</v>
      </c>
      <c r="F121" s="1" t="s">
        <v>48</v>
      </c>
      <c r="G121" s="1">
        <v>2</v>
      </c>
      <c r="H121" s="1" t="b">
        <v>1</v>
      </c>
      <c r="I121" s="1" t="b">
        <v>1</v>
      </c>
      <c r="J121" s="1" t="s">
        <v>249</v>
      </c>
      <c r="K121" s="1">
        <v>2125202</v>
      </c>
      <c r="L121" s="1" t="b">
        <v>0</v>
      </c>
      <c r="M121" s="1" t="str">
        <f t="shared" si="1"/>
        <v>跑酷少年游客的升星道具</v>
      </c>
      <c r="P121" s="1">
        <v>999999</v>
      </c>
    </row>
    <row r="122" spans="1:16">
      <c r="A122" s="1">
        <v>1125203</v>
      </c>
      <c r="C122" s="1">
        <v>1125203</v>
      </c>
      <c r="D122" s="1" t="str">
        <f t="shared" si="0"/>
        <v>滑板高手碎片</v>
      </c>
      <c r="E122" s="1">
        <v>2</v>
      </c>
      <c r="F122" s="1" t="s">
        <v>48</v>
      </c>
      <c r="G122" s="1">
        <v>2</v>
      </c>
      <c r="H122" s="1" t="b">
        <v>1</v>
      </c>
      <c r="I122" s="1" t="b">
        <v>1</v>
      </c>
      <c r="J122" s="1" t="s">
        <v>249</v>
      </c>
      <c r="K122" s="1">
        <v>2125203</v>
      </c>
      <c r="L122" s="1" t="b">
        <v>0</v>
      </c>
      <c r="M122" s="1" t="str">
        <f t="shared" si="1"/>
        <v>滑板高手游客的升星道具</v>
      </c>
      <c r="P122" s="1">
        <v>999999</v>
      </c>
    </row>
    <row r="123" spans="1:16">
      <c r="A123" s="1">
        <v>1125204</v>
      </c>
      <c r="C123" s="1">
        <v>1125204</v>
      </c>
      <c r="D123" s="1" t="str">
        <f t="shared" si="0"/>
        <v>甜心辣妹碎片</v>
      </c>
      <c r="E123" s="1">
        <v>2</v>
      </c>
      <c r="F123" s="1" t="s">
        <v>48</v>
      </c>
      <c r="G123" s="1">
        <v>2</v>
      </c>
      <c r="H123" s="1" t="b">
        <v>1</v>
      </c>
      <c r="I123" s="1" t="b">
        <v>1</v>
      </c>
      <c r="J123" s="1" t="s">
        <v>249</v>
      </c>
      <c r="K123" s="1">
        <v>2125204</v>
      </c>
      <c r="L123" s="1" t="b">
        <v>0</v>
      </c>
      <c r="M123" s="1" t="str">
        <f t="shared" si="1"/>
        <v>甜心辣妹游客的升星道具</v>
      </c>
      <c r="P123" s="1">
        <v>999999</v>
      </c>
    </row>
    <row r="124" spans="1:16">
      <c r="A124" s="1">
        <v>1125205</v>
      </c>
      <c r="C124" s="1">
        <v>1125205</v>
      </c>
      <c r="D124" s="1" t="str">
        <f t="shared" si="0"/>
        <v>活力少女碎片</v>
      </c>
      <c r="E124" s="1">
        <v>2</v>
      </c>
      <c r="F124" s="1" t="s">
        <v>48</v>
      </c>
      <c r="G124" s="1">
        <v>2</v>
      </c>
      <c r="H124" s="1" t="b">
        <v>1</v>
      </c>
      <c r="I124" s="1" t="b">
        <v>1</v>
      </c>
      <c r="J124" s="1" t="s">
        <v>249</v>
      </c>
      <c r="K124" s="1">
        <v>2125205</v>
      </c>
      <c r="L124" s="1" t="b">
        <v>0</v>
      </c>
      <c r="M124" s="1" t="str">
        <f t="shared" si="1"/>
        <v>活力少女游客的升星道具</v>
      </c>
      <c r="P124" s="1">
        <v>999999</v>
      </c>
    </row>
    <row r="125" spans="1:16">
      <c r="A125" s="1">
        <v>1125206</v>
      </c>
      <c r="C125" s="1">
        <v>1125206</v>
      </c>
      <c r="D125" s="1" t="str">
        <f t="shared" si="0"/>
        <v>优雅女神碎片</v>
      </c>
      <c r="E125" s="1">
        <v>2</v>
      </c>
      <c r="F125" s="1" t="s">
        <v>48</v>
      </c>
      <c r="G125" s="1">
        <v>2</v>
      </c>
      <c r="H125" s="1" t="b">
        <v>1</v>
      </c>
      <c r="I125" s="1" t="b">
        <v>1</v>
      </c>
      <c r="J125" s="1" t="s">
        <v>249</v>
      </c>
      <c r="K125" s="1">
        <v>2125206</v>
      </c>
      <c r="L125" s="1" t="b">
        <v>0</v>
      </c>
      <c r="M125" s="1" t="str">
        <f t="shared" si="1"/>
        <v>优雅女神游客的升星道具</v>
      </c>
      <c r="P125" s="1">
        <v>999999</v>
      </c>
    </row>
    <row r="126" spans="1:16">
      <c r="A126" s="1">
        <v>1125301</v>
      </c>
      <c r="C126" s="1">
        <v>1125301</v>
      </c>
      <c r="D126" s="1" t="str">
        <f t="shared" si="0"/>
        <v>健身狂魔碎片</v>
      </c>
      <c r="E126" s="1">
        <v>2</v>
      </c>
      <c r="F126" s="1" t="s">
        <v>48</v>
      </c>
      <c r="G126" s="1">
        <v>3</v>
      </c>
      <c r="H126" s="1" t="b">
        <v>1</v>
      </c>
      <c r="I126" s="1" t="b">
        <v>1</v>
      </c>
      <c r="J126" s="1" t="s">
        <v>249</v>
      </c>
      <c r="K126" s="1">
        <v>2125301</v>
      </c>
      <c r="L126" s="1" t="b">
        <v>0</v>
      </c>
      <c r="M126" s="1" t="str">
        <f t="shared" si="1"/>
        <v>健身狂魔游客的升星道具</v>
      </c>
      <c r="P126" s="1">
        <v>999999</v>
      </c>
    </row>
    <row r="127" spans="1:16">
      <c r="A127" s="1">
        <v>1125302</v>
      </c>
      <c r="C127" s="1">
        <v>1125302</v>
      </c>
      <c r="D127" s="1" t="str">
        <f t="shared" si="0"/>
        <v>单车骑士碎片</v>
      </c>
      <c r="E127" s="1">
        <v>2</v>
      </c>
      <c r="F127" s="1" t="s">
        <v>48</v>
      </c>
      <c r="G127" s="1">
        <v>3</v>
      </c>
      <c r="H127" s="1" t="b">
        <v>1</v>
      </c>
      <c r="I127" s="1" t="b">
        <v>1</v>
      </c>
      <c r="J127" s="1" t="s">
        <v>249</v>
      </c>
      <c r="K127" s="1">
        <v>2125302</v>
      </c>
      <c r="L127" s="1" t="b">
        <v>0</v>
      </c>
      <c r="M127" s="1" t="str">
        <f t="shared" si="1"/>
        <v>单车骑士游客的升星道具</v>
      </c>
      <c r="P127" s="1">
        <v>999999</v>
      </c>
    </row>
    <row r="128" spans="1:16">
      <c r="A128" s="1">
        <v>1125303</v>
      </c>
      <c r="C128" s="1">
        <v>1125303</v>
      </c>
      <c r="D128" s="1" t="str">
        <f t="shared" si="0"/>
        <v>登山行者碎片</v>
      </c>
      <c r="E128" s="1">
        <v>2</v>
      </c>
      <c r="F128" s="1" t="s">
        <v>48</v>
      </c>
      <c r="G128" s="1">
        <v>3</v>
      </c>
      <c r="H128" s="1" t="b">
        <v>1</v>
      </c>
      <c r="I128" s="1" t="b">
        <v>1</v>
      </c>
      <c r="J128" s="1" t="s">
        <v>249</v>
      </c>
      <c r="K128" s="1">
        <v>2125303</v>
      </c>
      <c r="L128" s="1" t="b">
        <v>0</v>
      </c>
      <c r="M128" s="1" t="str">
        <f t="shared" si="1"/>
        <v>登山行者游客的升星道具</v>
      </c>
      <c r="P128" s="1">
        <v>999999</v>
      </c>
    </row>
    <row r="129" spans="1:16">
      <c r="A129" s="1">
        <v>1125304</v>
      </c>
      <c r="C129" s="1">
        <v>1125304</v>
      </c>
      <c r="D129" s="1" t="str">
        <f t="shared" si="0"/>
        <v>文艺青年碎片</v>
      </c>
      <c r="E129" s="1">
        <v>2</v>
      </c>
      <c r="F129" s="1" t="s">
        <v>48</v>
      </c>
      <c r="G129" s="1">
        <v>3</v>
      </c>
      <c r="H129" s="1" t="b">
        <v>1</v>
      </c>
      <c r="I129" s="1" t="b">
        <v>1</v>
      </c>
      <c r="J129" s="1" t="s">
        <v>249</v>
      </c>
      <c r="K129" s="1">
        <v>2125304</v>
      </c>
      <c r="L129" s="1" t="b">
        <v>0</v>
      </c>
      <c r="M129" s="1" t="str">
        <f t="shared" si="1"/>
        <v>文艺青年游客的升星道具</v>
      </c>
      <c r="P129" s="1">
        <v>999999</v>
      </c>
    </row>
    <row r="130" spans="1:16">
      <c r="A130" s="1">
        <v>1125305</v>
      </c>
      <c r="C130" s="1">
        <v>1125305</v>
      </c>
      <c r="D130" s="1" t="str">
        <f t="shared" si="0"/>
        <v>书香少女碎片</v>
      </c>
      <c r="E130" s="1">
        <v>2</v>
      </c>
      <c r="F130" s="1" t="s">
        <v>48</v>
      </c>
      <c r="G130" s="1">
        <v>3</v>
      </c>
      <c r="H130" s="1" t="b">
        <v>1</v>
      </c>
      <c r="I130" s="1" t="b">
        <v>1</v>
      </c>
      <c r="J130" s="1" t="s">
        <v>249</v>
      </c>
      <c r="K130" s="1">
        <v>2125305</v>
      </c>
      <c r="L130" s="1" t="b">
        <v>0</v>
      </c>
      <c r="M130" s="1" t="str">
        <f t="shared" si="1"/>
        <v>书香少女游客的升星道具</v>
      </c>
      <c r="P130" s="1">
        <v>999999</v>
      </c>
    </row>
    <row r="131" spans="1:16">
      <c r="A131" s="1">
        <v>1125306</v>
      </c>
      <c r="C131" s="1">
        <v>1125306</v>
      </c>
      <c r="D131" s="1" t="str">
        <f t="shared" si="0"/>
        <v>民谣歌手碎片</v>
      </c>
      <c r="E131" s="1">
        <v>2</v>
      </c>
      <c r="F131" s="1" t="s">
        <v>48</v>
      </c>
      <c r="G131" s="1">
        <v>3</v>
      </c>
      <c r="H131" s="1" t="b">
        <v>1</v>
      </c>
      <c r="I131" s="1" t="b">
        <v>1</v>
      </c>
      <c r="J131" s="1" t="s">
        <v>249</v>
      </c>
      <c r="K131" s="1">
        <v>2125306</v>
      </c>
      <c r="L131" s="1" t="b">
        <v>0</v>
      </c>
      <c r="M131" s="1" t="str">
        <f t="shared" si="1"/>
        <v>民谣歌手游客的升星道具</v>
      </c>
      <c r="P131" s="1">
        <v>999999</v>
      </c>
    </row>
    <row r="132" spans="1:16">
      <c r="A132" s="1">
        <v>1125401</v>
      </c>
      <c r="C132" s="1">
        <v>1125401</v>
      </c>
      <c r="D132" s="1" t="str">
        <f t="shared" si="0"/>
        <v>马拉松客碎片</v>
      </c>
      <c r="E132" s="1">
        <v>2</v>
      </c>
      <c r="F132" s="1" t="s">
        <v>48</v>
      </c>
      <c r="G132" s="1">
        <v>4</v>
      </c>
      <c r="H132" s="1" t="b">
        <v>1</v>
      </c>
      <c r="I132" s="1" t="b">
        <v>1</v>
      </c>
      <c r="J132" s="1" t="s">
        <v>249</v>
      </c>
      <c r="K132" s="1">
        <v>2125401</v>
      </c>
      <c r="L132" s="1" t="b">
        <v>0</v>
      </c>
      <c r="M132" s="1" t="str">
        <f t="shared" si="1"/>
        <v>马拉松客游客的升星道具</v>
      </c>
      <c r="P132" s="1">
        <v>999999</v>
      </c>
    </row>
    <row r="133" spans="1:16">
      <c r="A133" s="1">
        <v>1125402</v>
      </c>
      <c r="C133" s="1">
        <v>1125402</v>
      </c>
      <c r="D133" s="1" t="str">
        <f t="shared" si="0"/>
        <v>极限玩家碎片</v>
      </c>
      <c r="E133" s="1">
        <v>2</v>
      </c>
      <c r="F133" s="1" t="s">
        <v>48</v>
      </c>
      <c r="G133" s="1">
        <v>4</v>
      </c>
      <c r="H133" s="1" t="b">
        <v>1</v>
      </c>
      <c r="I133" s="1" t="b">
        <v>1</v>
      </c>
      <c r="J133" s="1" t="s">
        <v>249</v>
      </c>
      <c r="K133" s="1">
        <v>2125402</v>
      </c>
      <c r="L133" s="1" t="b">
        <v>0</v>
      </c>
      <c r="M133" s="1" t="str">
        <f t="shared" si="1"/>
        <v>极限玩家游客的升星道具</v>
      </c>
      <c r="P133" s="1">
        <v>999999</v>
      </c>
    </row>
    <row r="134" spans="1:16">
      <c r="A134" s="1">
        <v>1125403</v>
      </c>
      <c r="C134" s="1">
        <v>1125403</v>
      </c>
      <c r="D134" s="1" t="str">
        <f t="shared" si="0"/>
        <v>科技极客碎片</v>
      </c>
      <c r="E134" s="1">
        <v>2</v>
      </c>
      <c r="F134" s="1" t="s">
        <v>48</v>
      </c>
      <c r="G134" s="1">
        <v>4</v>
      </c>
      <c r="H134" s="1" t="b">
        <v>1</v>
      </c>
      <c r="I134" s="1" t="b">
        <v>1</v>
      </c>
      <c r="J134" s="1" t="s">
        <v>249</v>
      </c>
      <c r="K134" s="1">
        <v>2125403</v>
      </c>
      <c r="L134" s="1" t="b">
        <v>0</v>
      </c>
      <c r="M134" s="1" t="str">
        <f t="shared" si="1"/>
        <v>科技极客游客的升星道具</v>
      </c>
      <c r="P134" s="1">
        <v>999999</v>
      </c>
    </row>
    <row r="135" spans="1:16">
      <c r="A135" s="1">
        <v>1125404</v>
      </c>
      <c r="C135" s="1">
        <v>1125404</v>
      </c>
      <c r="D135" s="1" t="str">
        <f t="shared" si="0"/>
        <v>独立画家碎片</v>
      </c>
      <c r="E135" s="1">
        <v>2</v>
      </c>
      <c r="F135" s="1" t="s">
        <v>48</v>
      </c>
      <c r="G135" s="1">
        <v>4</v>
      </c>
      <c r="H135" s="1" t="b">
        <v>1</v>
      </c>
      <c r="I135" s="1" t="b">
        <v>1</v>
      </c>
      <c r="J135" s="1" t="s">
        <v>249</v>
      </c>
      <c r="K135" s="1">
        <v>2125404</v>
      </c>
      <c r="L135" s="1" t="b">
        <v>0</v>
      </c>
      <c r="M135" s="1" t="str">
        <f t="shared" si="1"/>
        <v>独立画家游客的升星道具</v>
      </c>
      <c r="P135" s="1">
        <v>999999</v>
      </c>
    </row>
    <row r="136" spans="1:16">
      <c r="A136" s="1">
        <v>1125405</v>
      </c>
      <c r="C136" s="1">
        <v>1125405</v>
      </c>
      <c r="D136" s="1" t="str">
        <f t="shared" si="0"/>
        <v>浪漫诗人碎片</v>
      </c>
      <c r="E136" s="1">
        <v>2</v>
      </c>
      <c r="F136" s="1" t="s">
        <v>48</v>
      </c>
      <c r="G136" s="1">
        <v>4</v>
      </c>
      <c r="H136" s="1" t="b">
        <v>1</v>
      </c>
      <c r="I136" s="1" t="b">
        <v>1</v>
      </c>
      <c r="J136" s="1" t="s">
        <v>249</v>
      </c>
      <c r="K136" s="1">
        <v>2125405</v>
      </c>
      <c r="L136" s="1" t="b">
        <v>0</v>
      </c>
      <c r="M136" s="1" t="str">
        <f t="shared" si="1"/>
        <v>浪漫诗人游客的升星道具</v>
      </c>
      <c r="P136" s="1">
        <v>999999</v>
      </c>
    </row>
    <row r="137" spans="1:16">
      <c r="A137" s="1">
        <v>1125406</v>
      </c>
      <c r="C137" s="1">
        <v>1125406</v>
      </c>
      <c r="D137" s="1" t="str">
        <f t="shared" si="0"/>
        <v>古典乐迷碎片</v>
      </c>
      <c r="E137" s="1">
        <v>2</v>
      </c>
      <c r="F137" s="1" t="s">
        <v>48</v>
      </c>
      <c r="G137" s="1">
        <v>4</v>
      </c>
      <c r="H137" s="1" t="b">
        <v>1</v>
      </c>
      <c r="I137" s="1" t="b">
        <v>1</v>
      </c>
      <c r="J137" s="1" t="s">
        <v>249</v>
      </c>
      <c r="K137" s="1">
        <v>2125406</v>
      </c>
      <c r="L137" s="1" t="b">
        <v>0</v>
      </c>
      <c r="M137" s="1" t="str">
        <f t="shared" si="1"/>
        <v>古典乐迷游客的升星道具</v>
      </c>
      <c r="P137" s="1">
        <v>999999</v>
      </c>
    </row>
    <row r="138" spans="1:16">
      <c r="A138" s="1">
        <v>1125501</v>
      </c>
      <c r="C138" s="1">
        <v>1125501</v>
      </c>
      <c r="D138" s="1" t="str">
        <f t="shared" si="0"/>
        <v>创业新贵碎片</v>
      </c>
      <c r="E138" s="1">
        <v>2</v>
      </c>
      <c r="F138" s="1" t="s">
        <v>48</v>
      </c>
      <c r="G138" s="1">
        <v>5</v>
      </c>
      <c r="H138" s="1" t="b">
        <v>1</v>
      </c>
      <c r="I138" s="1" t="b">
        <v>1</v>
      </c>
      <c r="J138" s="1" t="s">
        <v>249</v>
      </c>
      <c r="K138" s="1">
        <v>2125501</v>
      </c>
      <c r="L138" s="1" t="b">
        <v>0</v>
      </c>
      <c r="M138" s="1" t="str">
        <f t="shared" si="1"/>
        <v>创业新贵游客的升星道具</v>
      </c>
      <c r="P138" s="1">
        <v>999999</v>
      </c>
    </row>
    <row r="139" spans="1:16">
      <c r="A139" s="1">
        <v>1125502</v>
      </c>
      <c r="C139" s="1">
        <v>1125502</v>
      </c>
      <c r="D139" s="1" t="str">
        <f t="shared" si="0"/>
        <v>摸金校尉碎片</v>
      </c>
      <c r="E139" s="1">
        <v>2</v>
      </c>
      <c r="F139" s="1" t="s">
        <v>48</v>
      </c>
      <c r="G139" s="1">
        <v>5</v>
      </c>
      <c r="H139" s="1" t="b">
        <v>1</v>
      </c>
      <c r="I139" s="1" t="b">
        <v>1</v>
      </c>
      <c r="J139" s="1" t="s">
        <v>249</v>
      </c>
      <c r="K139" s="1">
        <v>2125502</v>
      </c>
      <c r="L139" s="1" t="b">
        <v>0</v>
      </c>
      <c r="M139" s="1" t="str">
        <f t="shared" si="1"/>
        <v>摸金校尉游客的升星道具</v>
      </c>
      <c r="P139" s="1">
        <v>999999</v>
      </c>
    </row>
    <row r="140" spans="1:16">
      <c r="A140" s="1">
        <v>1125503</v>
      </c>
      <c r="C140" s="1">
        <v>1125503</v>
      </c>
      <c r="D140" s="1" t="str">
        <f t="shared" si="0"/>
        <v>氪金大佬碎片</v>
      </c>
      <c r="E140" s="1">
        <v>2</v>
      </c>
      <c r="F140" s="1" t="s">
        <v>48</v>
      </c>
      <c r="G140" s="1">
        <v>5</v>
      </c>
      <c r="H140" s="1" t="b">
        <v>1</v>
      </c>
      <c r="I140" s="1" t="b">
        <v>1</v>
      </c>
      <c r="J140" s="1" t="s">
        <v>249</v>
      </c>
      <c r="K140" s="1">
        <v>2125503</v>
      </c>
      <c r="L140" s="1" t="b">
        <v>0</v>
      </c>
      <c r="M140" s="1" t="str">
        <f t="shared" si="1"/>
        <v>氪金大佬游客的升星道具</v>
      </c>
      <c r="P140" s="1">
        <v>999999</v>
      </c>
    </row>
    <row r="141" spans="1:16">
      <c r="A141" s="1">
        <v>1125504</v>
      </c>
      <c r="C141" s="1">
        <v>1125504</v>
      </c>
      <c r="D141" s="1" t="str">
        <f t="shared" si="0"/>
        <v>穿搭博主碎片</v>
      </c>
      <c r="E141" s="1">
        <v>2</v>
      </c>
      <c r="F141" s="1" t="s">
        <v>48</v>
      </c>
      <c r="G141" s="1">
        <v>5</v>
      </c>
      <c r="H141" s="1" t="b">
        <v>1</v>
      </c>
      <c r="I141" s="1" t="b">
        <v>1</v>
      </c>
      <c r="J141" s="1" t="s">
        <v>249</v>
      </c>
      <c r="K141" s="1">
        <v>2125504</v>
      </c>
      <c r="L141" s="1" t="b">
        <v>0</v>
      </c>
      <c r="M141" s="1" t="str">
        <f t="shared" si="1"/>
        <v>穿搭博主游客的升星道具</v>
      </c>
      <c r="P141" s="1">
        <v>999999</v>
      </c>
    </row>
    <row r="142" spans="1:16">
      <c r="A142" s="1">
        <v>1125505</v>
      </c>
      <c r="C142" s="1">
        <v>1125505</v>
      </c>
      <c r="D142" s="1" t="str">
        <f t="shared" si="0"/>
        <v>美妆新秀碎片</v>
      </c>
      <c r="E142" s="1">
        <v>2</v>
      </c>
      <c r="F142" s="1" t="s">
        <v>48</v>
      </c>
      <c r="G142" s="1">
        <v>5</v>
      </c>
      <c r="H142" s="1" t="b">
        <v>1</v>
      </c>
      <c r="I142" s="1" t="b">
        <v>1</v>
      </c>
      <c r="J142" s="1" t="s">
        <v>249</v>
      </c>
      <c r="K142" s="1">
        <v>2125505</v>
      </c>
      <c r="L142" s="1" t="b">
        <v>0</v>
      </c>
      <c r="M142" s="1" t="str">
        <f t="shared" si="1"/>
        <v>美妆新秀游客的升星道具</v>
      </c>
      <c r="P142" s="1">
        <v>999999</v>
      </c>
    </row>
    <row r="143" spans="1:16">
      <c r="A143" s="1">
        <v>1125506</v>
      </c>
      <c r="C143" s="1">
        <v>1125506</v>
      </c>
      <c r="D143" s="1" t="str">
        <f t="shared" si="0"/>
        <v>高定女王碎片</v>
      </c>
      <c r="E143" s="1">
        <v>2</v>
      </c>
      <c r="F143" s="1" t="s">
        <v>48</v>
      </c>
      <c r="G143" s="1">
        <v>5</v>
      </c>
      <c r="H143" s="1" t="b">
        <v>1</v>
      </c>
      <c r="I143" s="1" t="b">
        <v>1</v>
      </c>
      <c r="J143" s="1" t="s">
        <v>249</v>
      </c>
      <c r="K143" s="1">
        <v>2125506</v>
      </c>
      <c r="L143" s="1" t="b">
        <v>0</v>
      </c>
      <c r="M143" s="1" t="str">
        <f t="shared" si="1"/>
        <v>高定女王游客的升星道具</v>
      </c>
      <c r="P143" s="1">
        <v>999999</v>
      </c>
    </row>
    <row r="144" spans="1:16">
      <c r="A144" s="1">
        <v>1026001</v>
      </c>
      <c r="C144" s="1">
        <v>1026001</v>
      </c>
      <c r="D144" s="1" t="s">
        <v>250</v>
      </c>
      <c r="E144" s="1">
        <v>2</v>
      </c>
      <c r="F144" s="1" t="s">
        <v>48</v>
      </c>
      <c r="G144" s="1">
        <v>1</v>
      </c>
      <c r="H144" s="1" t="b">
        <v>0</v>
      </c>
      <c r="I144" s="1" t="b">
        <v>0</v>
      </c>
      <c r="J144" s="1" t="s">
        <v>207</v>
      </c>
      <c r="K144" s="1">
        <v>2026001</v>
      </c>
      <c r="L144" s="1" t="b">
        <v>0</v>
      </c>
      <c r="M144" s="1" t="s">
        <v>250</v>
      </c>
      <c r="P144" s="1">
        <v>-1</v>
      </c>
    </row>
    <row r="145" spans="1:16">
      <c r="A145" s="1">
        <v>1026002</v>
      </c>
      <c r="C145" s="1">
        <v>1026002</v>
      </c>
      <c r="D145" s="1" t="s">
        <v>251</v>
      </c>
      <c r="E145" s="1">
        <v>2</v>
      </c>
      <c r="F145" s="1" t="s">
        <v>48</v>
      </c>
      <c r="G145" s="1">
        <v>1</v>
      </c>
      <c r="H145" s="1" t="b">
        <v>0</v>
      </c>
      <c r="I145" s="1" t="b">
        <v>0</v>
      </c>
      <c r="J145" s="1" t="s">
        <v>207</v>
      </c>
      <c r="K145" s="1">
        <v>2026002</v>
      </c>
      <c r="L145" s="1" t="b">
        <v>0</v>
      </c>
      <c r="M145" s="1" t="s">
        <v>251</v>
      </c>
      <c r="P145" s="1">
        <v>-1</v>
      </c>
    </row>
    <row r="146" spans="1:16">
      <c r="A146" s="1">
        <v>1026101</v>
      </c>
      <c r="C146" s="1">
        <v>1026101</v>
      </c>
      <c r="D146" s="1" t="s">
        <v>252</v>
      </c>
      <c r="E146" s="1">
        <v>2</v>
      </c>
      <c r="F146" s="1" t="s">
        <v>48</v>
      </c>
      <c r="G146" s="1">
        <v>2</v>
      </c>
      <c r="H146" s="1" t="b">
        <v>0</v>
      </c>
      <c r="I146" s="1" t="b">
        <v>0</v>
      </c>
      <c r="J146" s="1" t="s">
        <v>207</v>
      </c>
      <c r="K146" s="1">
        <v>2026101</v>
      </c>
      <c r="L146" s="1" t="b">
        <v>0</v>
      </c>
      <c r="M146" s="1" t="s">
        <v>252</v>
      </c>
      <c r="P146" s="1">
        <v>-1</v>
      </c>
    </row>
    <row r="147" spans="1:16">
      <c r="A147" s="1">
        <v>1026102</v>
      </c>
      <c r="C147" s="1">
        <v>1026102</v>
      </c>
      <c r="D147" s="1" t="s">
        <v>253</v>
      </c>
      <c r="E147" s="1">
        <v>2</v>
      </c>
      <c r="F147" s="1" t="s">
        <v>48</v>
      </c>
      <c r="G147" s="1">
        <v>2</v>
      </c>
      <c r="H147" s="1" t="b">
        <v>0</v>
      </c>
      <c r="I147" s="1" t="b">
        <v>0</v>
      </c>
      <c r="J147" s="1" t="s">
        <v>207</v>
      </c>
      <c r="K147" s="1">
        <v>2026102</v>
      </c>
      <c r="L147" s="1" t="b">
        <v>0</v>
      </c>
      <c r="M147" s="1" t="s">
        <v>253</v>
      </c>
      <c r="P147" s="1">
        <v>-1</v>
      </c>
    </row>
    <row r="148" spans="1:16">
      <c r="A148" s="1">
        <v>1026201</v>
      </c>
      <c r="C148" s="1">
        <v>1026201</v>
      </c>
      <c r="D148" s="1" t="s">
        <v>254</v>
      </c>
      <c r="E148" s="1">
        <v>2</v>
      </c>
      <c r="F148" s="1" t="s">
        <v>48</v>
      </c>
      <c r="G148" s="1">
        <v>3</v>
      </c>
      <c r="H148" s="1" t="b">
        <v>0</v>
      </c>
      <c r="I148" s="1" t="b">
        <v>0</v>
      </c>
      <c r="J148" s="1" t="s">
        <v>207</v>
      </c>
      <c r="K148" s="1">
        <v>2026201</v>
      </c>
      <c r="L148" s="1" t="b">
        <v>0</v>
      </c>
      <c r="M148" s="1" t="s">
        <v>254</v>
      </c>
      <c r="P148" s="1">
        <v>-1</v>
      </c>
    </row>
    <row r="149" spans="1:16">
      <c r="A149" s="1">
        <v>1026202</v>
      </c>
      <c r="C149" s="1">
        <v>1026202</v>
      </c>
      <c r="D149" s="1" t="s">
        <v>255</v>
      </c>
      <c r="E149" s="1">
        <v>2</v>
      </c>
      <c r="F149" s="1" t="s">
        <v>48</v>
      </c>
      <c r="G149" s="1">
        <v>3</v>
      </c>
      <c r="H149" s="1" t="b">
        <v>0</v>
      </c>
      <c r="I149" s="1" t="b">
        <v>0</v>
      </c>
      <c r="J149" s="1" t="s">
        <v>207</v>
      </c>
      <c r="K149" s="1">
        <v>2026202</v>
      </c>
      <c r="L149" s="1" t="b">
        <v>0</v>
      </c>
      <c r="M149" s="1" t="s">
        <v>255</v>
      </c>
      <c r="P149" s="1">
        <v>-1</v>
      </c>
    </row>
    <row r="150" spans="1:16">
      <c r="A150" s="1">
        <v>1026301</v>
      </c>
      <c r="C150" s="1">
        <v>1026301</v>
      </c>
      <c r="D150" s="1" t="s">
        <v>256</v>
      </c>
      <c r="E150" s="1">
        <v>2</v>
      </c>
      <c r="F150" s="1" t="s">
        <v>48</v>
      </c>
      <c r="G150" s="1">
        <v>4</v>
      </c>
      <c r="H150" s="1" t="b">
        <v>0</v>
      </c>
      <c r="I150" s="1" t="b">
        <v>0</v>
      </c>
      <c r="J150" s="1" t="s">
        <v>207</v>
      </c>
      <c r="K150" s="1">
        <v>2026301</v>
      </c>
      <c r="L150" s="1" t="b">
        <v>0</v>
      </c>
      <c r="M150" s="1" t="s">
        <v>256</v>
      </c>
      <c r="P150" s="1">
        <v>-1</v>
      </c>
    </row>
    <row r="151" spans="1:16">
      <c r="A151" s="1">
        <v>1026302</v>
      </c>
      <c r="C151" s="1">
        <v>1026302</v>
      </c>
      <c r="D151" s="1" t="s">
        <v>257</v>
      </c>
      <c r="E151" s="1">
        <v>2</v>
      </c>
      <c r="F151" s="1" t="s">
        <v>48</v>
      </c>
      <c r="G151" s="1">
        <v>4</v>
      </c>
      <c r="H151" s="1" t="b">
        <v>0</v>
      </c>
      <c r="I151" s="1" t="b">
        <v>0</v>
      </c>
      <c r="J151" s="1" t="s">
        <v>207</v>
      </c>
      <c r="K151" s="1">
        <v>2026302</v>
      </c>
      <c r="L151" s="1" t="b">
        <v>0</v>
      </c>
      <c r="M151" s="1" t="s">
        <v>257</v>
      </c>
      <c r="P151" s="1">
        <v>-1</v>
      </c>
    </row>
    <row r="152" spans="1:16">
      <c r="A152" s="1">
        <v>1026401</v>
      </c>
      <c r="C152" s="1">
        <v>1026401</v>
      </c>
      <c r="D152" s="1" t="s">
        <v>258</v>
      </c>
      <c r="E152" s="1">
        <v>2</v>
      </c>
      <c r="F152" s="1" t="s">
        <v>48</v>
      </c>
      <c r="G152" s="1">
        <v>5</v>
      </c>
      <c r="H152" s="1" t="b">
        <v>0</v>
      </c>
      <c r="I152" s="1" t="b">
        <v>0</v>
      </c>
      <c r="J152" s="1" t="s">
        <v>207</v>
      </c>
      <c r="K152" s="1">
        <v>2026401</v>
      </c>
      <c r="L152" s="1" t="b">
        <v>0</v>
      </c>
      <c r="M152" s="1" t="s">
        <v>258</v>
      </c>
      <c r="P152" s="1">
        <v>-1</v>
      </c>
    </row>
    <row r="153" spans="1:16">
      <c r="A153" s="1">
        <v>1026402</v>
      </c>
      <c r="C153" s="1">
        <v>1026402</v>
      </c>
      <c r="D153" s="1" t="s">
        <v>259</v>
      </c>
      <c r="E153" s="1">
        <v>2</v>
      </c>
      <c r="F153" s="1" t="s">
        <v>48</v>
      </c>
      <c r="G153" s="1">
        <v>5</v>
      </c>
      <c r="H153" s="1" t="b">
        <v>0</v>
      </c>
      <c r="I153" s="1" t="b">
        <v>0</v>
      </c>
      <c r="J153" s="1" t="s">
        <v>207</v>
      </c>
      <c r="K153" s="1">
        <v>2026402</v>
      </c>
      <c r="L153" s="1" t="b">
        <v>0</v>
      </c>
      <c r="M153" s="1" t="s">
        <v>259</v>
      </c>
      <c r="P153" s="1">
        <v>-1</v>
      </c>
    </row>
    <row r="154" spans="1:16">
      <c r="A154" s="1">
        <v>1027001</v>
      </c>
      <c r="C154" s="1">
        <v>1027001</v>
      </c>
      <c r="D154" s="1" t="s">
        <v>260</v>
      </c>
      <c r="E154" s="1">
        <v>2</v>
      </c>
      <c r="F154" s="1" t="s">
        <v>48</v>
      </c>
      <c r="G154" s="1">
        <v>1</v>
      </c>
      <c r="H154" s="1" t="b">
        <v>0</v>
      </c>
      <c r="I154" s="1" t="b">
        <v>0</v>
      </c>
      <c r="J154" s="1" t="s">
        <v>207</v>
      </c>
      <c r="K154" s="1">
        <v>2027001</v>
      </c>
      <c r="L154" s="1" t="b">
        <v>0</v>
      </c>
      <c r="M154" s="1" t="s">
        <v>260</v>
      </c>
      <c r="P154" s="1">
        <v>-1</v>
      </c>
    </row>
    <row r="155" spans="1:16">
      <c r="A155" s="1">
        <v>1027002</v>
      </c>
      <c r="C155" s="1">
        <v>1027002</v>
      </c>
      <c r="D155" s="1" t="s">
        <v>261</v>
      </c>
      <c r="E155" s="1">
        <v>2</v>
      </c>
      <c r="F155" s="1" t="s">
        <v>48</v>
      </c>
      <c r="G155" s="1">
        <v>1</v>
      </c>
      <c r="H155" s="1" t="b">
        <v>0</v>
      </c>
      <c r="I155" s="1" t="b">
        <v>0</v>
      </c>
      <c r="J155" s="1" t="s">
        <v>207</v>
      </c>
      <c r="K155" s="1">
        <v>2027002</v>
      </c>
      <c r="L155" s="1" t="b">
        <v>0</v>
      </c>
      <c r="M155" s="1" t="s">
        <v>261</v>
      </c>
      <c r="P155" s="1">
        <v>-1</v>
      </c>
    </row>
    <row r="156" spans="1:16">
      <c r="A156" s="1">
        <v>1027101</v>
      </c>
      <c r="C156" s="1">
        <v>1027101</v>
      </c>
      <c r="D156" s="1" t="s">
        <v>262</v>
      </c>
      <c r="E156" s="1">
        <v>2</v>
      </c>
      <c r="F156" s="1" t="s">
        <v>48</v>
      </c>
      <c r="G156" s="1">
        <v>2</v>
      </c>
      <c r="H156" s="1" t="b">
        <v>0</v>
      </c>
      <c r="I156" s="1" t="b">
        <v>0</v>
      </c>
      <c r="J156" s="1" t="s">
        <v>207</v>
      </c>
      <c r="K156" s="1">
        <v>2027101</v>
      </c>
      <c r="L156" s="1" t="b">
        <v>0</v>
      </c>
      <c r="M156" s="1" t="s">
        <v>262</v>
      </c>
      <c r="P156" s="1">
        <v>-1</v>
      </c>
    </row>
    <row r="157" spans="1:16">
      <c r="A157" s="1">
        <v>1027102</v>
      </c>
      <c r="C157" s="1">
        <v>1027102</v>
      </c>
      <c r="D157" s="1" t="s">
        <v>263</v>
      </c>
      <c r="E157" s="1">
        <v>2</v>
      </c>
      <c r="F157" s="1" t="s">
        <v>48</v>
      </c>
      <c r="G157" s="1">
        <v>2</v>
      </c>
      <c r="H157" s="1" t="b">
        <v>0</v>
      </c>
      <c r="I157" s="1" t="b">
        <v>0</v>
      </c>
      <c r="J157" s="1" t="s">
        <v>207</v>
      </c>
      <c r="K157" s="1">
        <v>2027102</v>
      </c>
      <c r="L157" s="1" t="b">
        <v>0</v>
      </c>
      <c r="M157" s="1" t="s">
        <v>263</v>
      </c>
      <c r="P157" s="1">
        <v>-1</v>
      </c>
    </row>
    <row r="158" spans="1:16">
      <c r="A158" s="1">
        <v>1027201</v>
      </c>
      <c r="C158" s="1">
        <v>1027201</v>
      </c>
      <c r="D158" s="1" t="s">
        <v>264</v>
      </c>
      <c r="E158" s="1">
        <v>2</v>
      </c>
      <c r="F158" s="1" t="s">
        <v>48</v>
      </c>
      <c r="G158" s="1">
        <v>3</v>
      </c>
      <c r="H158" s="1" t="b">
        <v>0</v>
      </c>
      <c r="I158" s="1" t="b">
        <v>0</v>
      </c>
      <c r="J158" s="1" t="s">
        <v>207</v>
      </c>
      <c r="K158" s="1">
        <v>2027201</v>
      </c>
      <c r="L158" s="1" t="b">
        <v>0</v>
      </c>
      <c r="M158" s="1" t="s">
        <v>264</v>
      </c>
      <c r="P158" s="1">
        <v>-1</v>
      </c>
    </row>
    <row r="159" spans="1:16">
      <c r="A159" s="1">
        <v>1027202</v>
      </c>
      <c r="C159" s="1">
        <v>1027202</v>
      </c>
      <c r="D159" s="1" t="s">
        <v>265</v>
      </c>
      <c r="E159" s="1">
        <v>2</v>
      </c>
      <c r="F159" s="1" t="s">
        <v>48</v>
      </c>
      <c r="G159" s="1">
        <v>3</v>
      </c>
      <c r="H159" s="1" t="b">
        <v>0</v>
      </c>
      <c r="I159" s="1" t="b">
        <v>0</v>
      </c>
      <c r="J159" s="1" t="s">
        <v>207</v>
      </c>
      <c r="K159" s="1">
        <v>2027202</v>
      </c>
      <c r="L159" s="1" t="b">
        <v>0</v>
      </c>
      <c r="M159" s="1" t="s">
        <v>265</v>
      </c>
      <c r="P159" s="1">
        <v>-1</v>
      </c>
    </row>
    <row r="160" spans="1:16">
      <c r="A160" s="1">
        <v>1027301</v>
      </c>
      <c r="C160" s="1">
        <v>1027301</v>
      </c>
      <c r="D160" s="1" t="s">
        <v>266</v>
      </c>
      <c r="E160" s="1">
        <v>2</v>
      </c>
      <c r="F160" s="1" t="s">
        <v>48</v>
      </c>
      <c r="G160" s="1">
        <v>4</v>
      </c>
      <c r="H160" s="1" t="b">
        <v>0</v>
      </c>
      <c r="I160" s="1" t="b">
        <v>0</v>
      </c>
      <c r="J160" s="1" t="s">
        <v>207</v>
      </c>
      <c r="K160" s="1">
        <v>2027301</v>
      </c>
      <c r="L160" s="1" t="b">
        <v>0</v>
      </c>
      <c r="M160" s="1" t="s">
        <v>266</v>
      </c>
      <c r="P160" s="1">
        <v>-1</v>
      </c>
    </row>
    <row r="161" spans="1:16">
      <c r="A161" s="1">
        <v>1027302</v>
      </c>
      <c r="C161" s="1">
        <v>1027302</v>
      </c>
      <c r="D161" s="1" t="s">
        <v>267</v>
      </c>
      <c r="E161" s="1">
        <v>2</v>
      </c>
      <c r="F161" s="1" t="s">
        <v>48</v>
      </c>
      <c r="G161" s="1">
        <v>4</v>
      </c>
      <c r="H161" s="1" t="b">
        <v>0</v>
      </c>
      <c r="I161" s="1" t="b">
        <v>0</v>
      </c>
      <c r="J161" s="1" t="s">
        <v>207</v>
      </c>
      <c r="K161" s="1">
        <v>2027302</v>
      </c>
      <c r="L161" s="1" t="b">
        <v>0</v>
      </c>
      <c r="M161" s="1" t="s">
        <v>267</v>
      </c>
      <c r="P161" s="1">
        <v>-1</v>
      </c>
    </row>
    <row r="162" spans="1:16">
      <c r="A162" s="1">
        <v>1027401</v>
      </c>
      <c r="C162" s="1">
        <v>1027401</v>
      </c>
      <c r="D162" s="1" t="s">
        <v>268</v>
      </c>
      <c r="E162" s="1">
        <v>2</v>
      </c>
      <c r="F162" s="1" t="s">
        <v>48</v>
      </c>
      <c r="G162" s="1">
        <v>5</v>
      </c>
      <c r="H162" s="1" t="b">
        <v>0</v>
      </c>
      <c r="I162" s="1" t="b">
        <v>0</v>
      </c>
      <c r="J162" s="1" t="s">
        <v>207</v>
      </c>
      <c r="K162" s="1">
        <v>2027401</v>
      </c>
      <c r="L162" s="1" t="b">
        <v>0</v>
      </c>
      <c r="M162" s="1" t="s">
        <v>268</v>
      </c>
      <c r="P162" s="1">
        <v>-1</v>
      </c>
    </row>
    <row r="163" spans="1:16">
      <c r="A163" s="1">
        <v>1027402</v>
      </c>
      <c r="C163" s="1">
        <v>1027402</v>
      </c>
      <c r="D163" s="1" t="s">
        <v>269</v>
      </c>
      <c r="E163" s="1">
        <v>2</v>
      </c>
      <c r="F163" s="1" t="s">
        <v>48</v>
      </c>
      <c r="G163" s="1">
        <v>5</v>
      </c>
      <c r="H163" s="1" t="b">
        <v>0</v>
      </c>
      <c r="I163" s="1" t="b">
        <v>0</v>
      </c>
      <c r="J163" s="1" t="s">
        <v>207</v>
      </c>
      <c r="K163" s="1">
        <v>2027402</v>
      </c>
      <c r="L163" s="1" t="b">
        <v>0</v>
      </c>
      <c r="M163" s="1" t="s">
        <v>269</v>
      </c>
      <c r="P163" s="1">
        <v>-1</v>
      </c>
    </row>
    <row r="164" spans="1:16">
      <c r="A164" s="1">
        <v>1028001</v>
      </c>
      <c r="C164" s="1">
        <v>1028001</v>
      </c>
      <c r="D164" s="1" t="s">
        <v>270</v>
      </c>
      <c r="E164" s="1">
        <v>2</v>
      </c>
      <c r="F164" s="1" t="s">
        <v>48</v>
      </c>
      <c r="G164" s="1">
        <v>1</v>
      </c>
      <c r="H164" s="1" t="b">
        <v>0</v>
      </c>
      <c r="I164" s="1" t="b">
        <v>0</v>
      </c>
      <c r="J164" s="1" t="s">
        <v>207</v>
      </c>
      <c r="K164" s="1">
        <v>2028001</v>
      </c>
      <c r="L164" s="1" t="b">
        <v>0</v>
      </c>
      <c r="M164" s="1" t="s">
        <v>270</v>
      </c>
      <c r="P164" s="1">
        <v>-1</v>
      </c>
    </row>
    <row r="165" spans="1:16">
      <c r="A165" s="1">
        <v>1028002</v>
      </c>
      <c r="C165" s="1">
        <v>1028002</v>
      </c>
      <c r="D165" s="1" t="s">
        <v>271</v>
      </c>
      <c r="E165" s="1">
        <v>2</v>
      </c>
      <c r="F165" s="1" t="s">
        <v>48</v>
      </c>
      <c r="G165" s="1">
        <v>1</v>
      </c>
      <c r="H165" s="1" t="b">
        <v>0</v>
      </c>
      <c r="I165" s="1" t="b">
        <v>0</v>
      </c>
      <c r="J165" s="1" t="s">
        <v>207</v>
      </c>
      <c r="K165" s="1">
        <v>2028002</v>
      </c>
      <c r="L165" s="1" t="b">
        <v>0</v>
      </c>
      <c r="M165" s="1" t="s">
        <v>271</v>
      </c>
      <c r="P165" s="1">
        <v>-1</v>
      </c>
    </row>
    <row r="166" spans="1:16">
      <c r="A166" s="1">
        <v>1028101</v>
      </c>
      <c r="C166" s="1">
        <v>1028101</v>
      </c>
      <c r="D166" s="1" t="s">
        <v>272</v>
      </c>
      <c r="E166" s="1">
        <v>2</v>
      </c>
      <c r="F166" s="1" t="s">
        <v>48</v>
      </c>
      <c r="G166" s="1">
        <v>2</v>
      </c>
      <c r="H166" s="1" t="b">
        <v>0</v>
      </c>
      <c r="I166" s="1" t="b">
        <v>0</v>
      </c>
      <c r="J166" s="1" t="s">
        <v>207</v>
      </c>
      <c r="K166" s="1">
        <v>2028101</v>
      </c>
      <c r="L166" s="1" t="b">
        <v>0</v>
      </c>
      <c r="M166" s="1" t="s">
        <v>272</v>
      </c>
      <c r="P166" s="1">
        <v>-1</v>
      </c>
    </row>
    <row r="167" spans="1:16">
      <c r="A167" s="1">
        <v>1028102</v>
      </c>
      <c r="C167" s="1">
        <v>1028102</v>
      </c>
      <c r="D167" s="1" t="s">
        <v>273</v>
      </c>
      <c r="E167" s="1">
        <v>2</v>
      </c>
      <c r="F167" s="1" t="s">
        <v>48</v>
      </c>
      <c r="G167" s="1">
        <v>2</v>
      </c>
      <c r="H167" s="1" t="b">
        <v>0</v>
      </c>
      <c r="I167" s="1" t="b">
        <v>0</v>
      </c>
      <c r="J167" s="1" t="s">
        <v>207</v>
      </c>
      <c r="K167" s="1">
        <v>2028102</v>
      </c>
      <c r="L167" s="1" t="b">
        <v>0</v>
      </c>
      <c r="M167" s="1" t="s">
        <v>273</v>
      </c>
      <c r="P167" s="1">
        <v>-1</v>
      </c>
    </row>
    <row r="168" spans="1:16">
      <c r="A168" s="1">
        <v>1028201</v>
      </c>
      <c r="C168" s="1">
        <v>1028201</v>
      </c>
      <c r="D168" s="1" t="s">
        <v>274</v>
      </c>
      <c r="E168" s="1">
        <v>2</v>
      </c>
      <c r="F168" s="1" t="s">
        <v>48</v>
      </c>
      <c r="G168" s="1">
        <v>3</v>
      </c>
      <c r="H168" s="1" t="b">
        <v>0</v>
      </c>
      <c r="I168" s="1" t="b">
        <v>0</v>
      </c>
      <c r="J168" s="1" t="s">
        <v>207</v>
      </c>
      <c r="K168" s="1">
        <v>2028201</v>
      </c>
      <c r="L168" s="1" t="b">
        <v>0</v>
      </c>
      <c r="M168" s="1" t="s">
        <v>274</v>
      </c>
      <c r="P168" s="1">
        <v>-1</v>
      </c>
    </row>
    <row r="169" spans="1:16">
      <c r="A169" s="1">
        <v>1028202</v>
      </c>
      <c r="C169" s="1">
        <v>1028202</v>
      </c>
      <c r="D169" s="1" t="s">
        <v>275</v>
      </c>
      <c r="E169" s="1">
        <v>2</v>
      </c>
      <c r="F169" s="1" t="s">
        <v>48</v>
      </c>
      <c r="G169" s="1">
        <v>3</v>
      </c>
      <c r="H169" s="1" t="b">
        <v>0</v>
      </c>
      <c r="I169" s="1" t="b">
        <v>0</v>
      </c>
      <c r="J169" s="1" t="s">
        <v>207</v>
      </c>
      <c r="K169" s="1">
        <v>2028202</v>
      </c>
      <c r="L169" s="1" t="b">
        <v>0</v>
      </c>
      <c r="M169" s="1" t="s">
        <v>275</v>
      </c>
      <c r="P169" s="1">
        <v>-1</v>
      </c>
    </row>
    <row r="170" spans="1:16">
      <c r="A170" s="1">
        <v>1028301</v>
      </c>
      <c r="C170" s="1">
        <v>1028301</v>
      </c>
      <c r="D170" s="1" t="s">
        <v>276</v>
      </c>
      <c r="E170" s="1">
        <v>2</v>
      </c>
      <c r="F170" s="1" t="s">
        <v>48</v>
      </c>
      <c r="G170" s="1">
        <v>4</v>
      </c>
      <c r="H170" s="1" t="b">
        <v>0</v>
      </c>
      <c r="I170" s="1" t="b">
        <v>0</v>
      </c>
      <c r="J170" s="1" t="s">
        <v>207</v>
      </c>
      <c r="K170" s="1">
        <v>2028301</v>
      </c>
      <c r="L170" s="1" t="b">
        <v>0</v>
      </c>
      <c r="M170" s="1" t="s">
        <v>276</v>
      </c>
      <c r="P170" s="1">
        <v>-1</v>
      </c>
    </row>
    <row r="171" spans="1:16">
      <c r="A171" s="1">
        <v>1028302</v>
      </c>
      <c r="C171" s="1">
        <v>1028302</v>
      </c>
      <c r="D171" s="1" t="s">
        <v>277</v>
      </c>
      <c r="E171" s="1">
        <v>2</v>
      </c>
      <c r="F171" s="1" t="s">
        <v>48</v>
      </c>
      <c r="G171" s="1">
        <v>4</v>
      </c>
      <c r="H171" s="1" t="b">
        <v>0</v>
      </c>
      <c r="I171" s="1" t="b">
        <v>0</v>
      </c>
      <c r="J171" s="1" t="s">
        <v>207</v>
      </c>
      <c r="K171" s="1">
        <v>2028302</v>
      </c>
      <c r="L171" s="1" t="b">
        <v>0</v>
      </c>
      <c r="M171" s="1" t="s">
        <v>277</v>
      </c>
      <c r="P171" s="1">
        <v>-1</v>
      </c>
    </row>
    <row r="172" spans="1:16">
      <c r="A172" s="1">
        <v>1028401</v>
      </c>
      <c r="C172" s="1">
        <v>1028401</v>
      </c>
      <c r="D172" s="1" t="s">
        <v>278</v>
      </c>
      <c r="E172" s="1">
        <v>2</v>
      </c>
      <c r="F172" s="1" t="s">
        <v>48</v>
      </c>
      <c r="G172" s="1">
        <v>5</v>
      </c>
      <c r="H172" s="1" t="b">
        <v>0</v>
      </c>
      <c r="I172" s="1" t="b">
        <v>0</v>
      </c>
      <c r="J172" s="1" t="s">
        <v>207</v>
      </c>
      <c r="K172" s="1">
        <v>2028401</v>
      </c>
      <c r="L172" s="1" t="b">
        <v>0</v>
      </c>
      <c r="M172" s="1" t="s">
        <v>278</v>
      </c>
      <c r="P172" s="1">
        <v>-1</v>
      </c>
    </row>
    <row r="173" spans="1:16">
      <c r="A173" s="1">
        <v>1028402</v>
      </c>
      <c r="C173" s="1">
        <v>1028402</v>
      </c>
      <c r="D173" s="1" t="s">
        <v>279</v>
      </c>
      <c r="E173" s="1">
        <v>2</v>
      </c>
      <c r="F173" s="1" t="s">
        <v>48</v>
      </c>
      <c r="G173" s="1">
        <v>5</v>
      </c>
      <c r="H173" s="1" t="b">
        <v>0</v>
      </c>
      <c r="I173" s="1" t="b">
        <v>0</v>
      </c>
      <c r="J173" s="1" t="s">
        <v>207</v>
      </c>
      <c r="K173" s="1">
        <v>2028402</v>
      </c>
      <c r="L173" s="1" t="b">
        <v>0</v>
      </c>
      <c r="M173" s="1" t="s">
        <v>279</v>
      </c>
      <c r="P173" s="1">
        <v>-1</v>
      </c>
    </row>
    <row r="174" spans="1:16">
      <c r="A174" s="1">
        <v>1126001</v>
      </c>
      <c r="C174" s="1">
        <v>1126001</v>
      </c>
      <c r="D174" s="1" t="str">
        <f>D144&amp;"碎片"</f>
        <v>威廉碎片</v>
      </c>
      <c r="E174" s="1">
        <v>2</v>
      </c>
      <c r="F174" s="1" t="s">
        <v>48</v>
      </c>
      <c r="G174" s="1">
        <v>1</v>
      </c>
      <c r="H174" s="1" t="b">
        <v>1</v>
      </c>
      <c r="I174" s="1" t="b">
        <v>1</v>
      </c>
      <c r="J174" s="1" t="s">
        <v>207</v>
      </c>
      <c r="K174" s="1">
        <v>2126001</v>
      </c>
      <c r="L174" s="1" t="b">
        <v>0</v>
      </c>
      <c r="M174" s="1" t="str">
        <f>D144&amp;"雇员的升星道具"</f>
        <v>威廉雇员的升星道具</v>
      </c>
      <c r="P174" s="1">
        <v>999999</v>
      </c>
    </row>
    <row r="175" spans="1:16">
      <c r="A175" s="1">
        <v>1126002</v>
      </c>
      <c r="C175" s="1">
        <v>1126002</v>
      </c>
      <c r="D175" s="1" t="str">
        <f t="shared" ref="D175:D203" si="2">D145&amp;"碎片"</f>
        <v>艾拉碎片</v>
      </c>
      <c r="E175" s="1">
        <v>2</v>
      </c>
      <c r="F175" s="1" t="s">
        <v>48</v>
      </c>
      <c r="G175" s="1">
        <v>1</v>
      </c>
      <c r="H175" s="1" t="b">
        <v>1</v>
      </c>
      <c r="I175" s="1" t="b">
        <v>1</v>
      </c>
      <c r="J175" s="1" t="s">
        <v>280</v>
      </c>
      <c r="K175" s="1">
        <v>2126002</v>
      </c>
      <c r="L175" s="1" t="b">
        <v>0</v>
      </c>
      <c r="M175" s="1" t="str">
        <f t="shared" ref="M175:M203" si="3">D145&amp;"雇员的升星道具"</f>
        <v>艾拉雇员的升星道具</v>
      </c>
      <c r="P175" s="1">
        <v>999999</v>
      </c>
    </row>
    <row r="176" spans="1:16">
      <c r="A176" s="1">
        <v>1126101</v>
      </c>
      <c r="C176" s="1">
        <v>1126101</v>
      </c>
      <c r="D176" s="1" t="str">
        <f t="shared" si="2"/>
        <v>亨利碎片</v>
      </c>
      <c r="E176" s="1">
        <v>2</v>
      </c>
      <c r="F176" s="1" t="s">
        <v>48</v>
      </c>
      <c r="G176" s="1">
        <v>2</v>
      </c>
      <c r="H176" s="1" t="b">
        <v>1</v>
      </c>
      <c r="I176" s="1" t="b">
        <v>1</v>
      </c>
      <c r="J176" s="1" t="s">
        <v>280</v>
      </c>
      <c r="K176" s="1">
        <v>2126101</v>
      </c>
      <c r="L176" s="1" t="b">
        <v>0</v>
      </c>
      <c r="M176" s="1" t="str">
        <f t="shared" si="3"/>
        <v>亨利雇员的升星道具</v>
      </c>
      <c r="P176" s="1">
        <v>999999</v>
      </c>
    </row>
    <row r="177" spans="1:16">
      <c r="A177" s="1">
        <v>1126102</v>
      </c>
      <c r="C177" s="1">
        <v>1126102</v>
      </c>
      <c r="D177" s="1" t="str">
        <f t="shared" si="2"/>
        <v>艾玛碎片</v>
      </c>
      <c r="E177" s="1">
        <v>2</v>
      </c>
      <c r="F177" s="1" t="s">
        <v>48</v>
      </c>
      <c r="G177" s="1">
        <v>2</v>
      </c>
      <c r="H177" s="1" t="b">
        <v>1</v>
      </c>
      <c r="I177" s="1" t="b">
        <v>1</v>
      </c>
      <c r="J177" s="1" t="s">
        <v>280</v>
      </c>
      <c r="K177" s="1">
        <v>2126102</v>
      </c>
      <c r="L177" s="1" t="b">
        <v>0</v>
      </c>
      <c r="M177" s="1" t="str">
        <f t="shared" si="3"/>
        <v>艾玛雇员的升星道具</v>
      </c>
      <c r="P177" s="1">
        <v>999999</v>
      </c>
    </row>
    <row r="178" spans="1:16">
      <c r="A178" s="1">
        <v>1126201</v>
      </c>
      <c r="C178" s="1">
        <v>1126201</v>
      </c>
      <c r="D178" s="1" t="str">
        <f t="shared" si="2"/>
        <v>乔治碎片</v>
      </c>
      <c r="E178" s="1">
        <v>2</v>
      </c>
      <c r="F178" s="1" t="s">
        <v>48</v>
      </c>
      <c r="G178" s="1">
        <v>3</v>
      </c>
      <c r="H178" s="1" t="b">
        <v>1</v>
      </c>
      <c r="I178" s="1" t="b">
        <v>1</v>
      </c>
      <c r="J178" s="1" t="s">
        <v>280</v>
      </c>
      <c r="K178" s="1">
        <v>2126201</v>
      </c>
      <c r="L178" s="1" t="b">
        <v>0</v>
      </c>
      <c r="M178" s="1" t="str">
        <f t="shared" si="3"/>
        <v>乔治雇员的升星道具</v>
      </c>
      <c r="P178" s="1">
        <v>999999</v>
      </c>
    </row>
    <row r="179" spans="1:16">
      <c r="A179" s="1">
        <v>1126202</v>
      </c>
      <c r="C179" s="1">
        <v>1126202</v>
      </c>
      <c r="D179" s="1" t="str">
        <f t="shared" si="2"/>
        <v>艾娃碎片</v>
      </c>
      <c r="E179" s="1">
        <v>2</v>
      </c>
      <c r="F179" s="1" t="s">
        <v>48</v>
      </c>
      <c r="G179" s="1">
        <v>3</v>
      </c>
      <c r="H179" s="1" t="b">
        <v>1</v>
      </c>
      <c r="I179" s="1" t="b">
        <v>1</v>
      </c>
      <c r="J179" s="1" t="s">
        <v>280</v>
      </c>
      <c r="K179" s="1">
        <v>2126202</v>
      </c>
      <c r="L179" s="1" t="b">
        <v>0</v>
      </c>
      <c r="M179" s="1" t="str">
        <f t="shared" si="3"/>
        <v>艾娃雇员的升星道具</v>
      </c>
      <c r="P179" s="1">
        <v>999999</v>
      </c>
    </row>
    <row r="180" spans="1:16">
      <c r="A180" s="1">
        <v>1126301</v>
      </c>
      <c r="C180" s="1">
        <v>1126301</v>
      </c>
      <c r="D180" s="1" t="str">
        <f t="shared" si="2"/>
        <v>亚瑟碎片</v>
      </c>
      <c r="E180" s="1">
        <v>2</v>
      </c>
      <c r="F180" s="1" t="s">
        <v>48</v>
      </c>
      <c r="G180" s="1">
        <v>4</v>
      </c>
      <c r="H180" s="1" t="b">
        <v>1</v>
      </c>
      <c r="I180" s="1" t="b">
        <v>1</v>
      </c>
      <c r="J180" s="1" t="s">
        <v>280</v>
      </c>
      <c r="K180" s="1">
        <v>2126301</v>
      </c>
      <c r="L180" s="1" t="b">
        <v>0</v>
      </c>
      <c r="M180" s="1" t="str">
        <f t="shared" si="3"/>
        <v>亚瑟雇员的升星道具</v>
      </c>
      <c r="P180" s="1">
        <v>999999</v>
      </c>
    </row>
    <row r="181" spans="1:16">
      <c r="A181" s="1">
        <v>1126302</v>
      </c>
      <c r="C181" s="1">
        <v>1126302</v>
      </c>
      <c r="D181" s="1" t="str">
        <f t="shared" si="2"/>
        <v>安娜碎片</v>
      </c>
      <c r="E181" s="1">
        <v>2</v>
      </c>
      <c r="F181" s="1" t="s">
        <v>48</v>
      </c>
      <c r="G181" s="1">
        <v>4</v>
      </c>
      <c r="H181" s="1" t="b">
        <v>1</v>
      </c>
      <c r="I181" s="1" t="b">
        <v>1</v>
      </c>
      <c r="J181" s="1" t="s">
        <v>280</v>
      </c>
      <c r="K181" s="1">
        <v>2126302</v>
      </c>
      <c r="L181" s="1" t="b">
        <v>0</v>
      </c>
      <c r="M181" s="1" t="str">
        <f t="shared" si="3"/>
        <v>安娜雇员的升星道具</v>
      </c>
      <c r="P181" s="1">
        <v>999999</v>
      </c>
    </row>
    <row r="182" spans="1:16">
      <c r="A182" s="1">
        <v>1126401</v>
      </c>
      <c r="C182" s="1">
        <v>1126401</v>
      </c>
      <c r="D182" s="1" t="str">
        <f t="shared" si="2"/>
        <v>马修碎片</v>
      </c>
      <c r="E182" s="1">
        <v>2</v>
      </c>
      <c r="F182" s="1" t="s">
        <v>48</v>
      </c>
      <c r="G182" s="1">
        <v>5</v>
      </c>
      <c r="H182" s="1" t="b">
        <v>1</v>
      </c>
      <c r="I182" s="1" t="b">
        <v>1</v>
      </c>
      <c r="J182" s="1" t="s">
        <v>280</v>
      </c>
      <c r="K182" s="1">
        <v>2126401</v>
      </c>
      <c r="L182" s="1" t="b">
        <v>0</v>
      </c>
      <c r="M182" s="1" t="str">
        <f t="shared" si="3"/>
        <v>马修雇员的升星道具</v>
      </c>
      <c r="P182" s="1">
        <v>999999</v>
      </c>
    </row>
    <row r="183" spans="1:16">
      <c r="A183" s="1">
        <v>1126402</v>
      </c>
      <c r="C183" s="1">
        <v>1126402</v>
      </c>
      <c r="D183" s="1" t="str">
        <f t="shared" si="2"/>
        <v>哈珀碎片</v>
      </c>
      <c r="E183" s="1">
        <v>2</v>
      </c>
      <c r="F183" s="1" t="s">
        <v>48</v>
      </c>
      <c r="G183" s="1">
        <v>5</v>
      </c>
      <c r="H183" s="1" t="b">
        <v>1</v>
      </c>
      <c r="I183" s="1" t="b">
        <v>1</v>
      </c>
      <c r="J183" s="1" t="s">
        <v>280</v>
      </c>
      <c r="K183" s="1">
        <v>2126402</v>
      </c>
      <c r="L183" s="1" t="b">
        <v>0</v>
      </c>
      <c r="M183" s="1" t="str">
        <f t="shared" si="3"/>
        <v>哈珀雇员的升星道具</v>
      </c>
      <c r="P183" s="1">
        <v>999999</v>
      </c>
    </row>
    <row r="184" spans="1:16">
      <c r="A184" s="1">
        <v>1127001</v>
      </c>
      <c r="C184" s="1">
        <v>1127001</v>
      </c>
      <c r="D184" s="1" t="str">
        <f t="shared" si="2"/>
        <v>拉斐尔碎片</v>
      </c>
      <c r="E184" s="1">
        <v>2</v>
      </c>
      <c r="F184" s="1" t="s">
        <v>48</v>
      </c>
      <c r="G184" s="1">
        <v>1</v>
      </c>
      <c r="H184" s="1" t="b">
        <v>1</v>
      </c>
      <c r="I184" s="1" t="b">
        <v>1</v>
      </c>
      <c r="J184" s="1" t="s">
        <v>280</v>
      </c>
      <c r="K184" s="1">
        <v>2127001</v>
      </c>
      <c r="L184" s="1" t="b">
        <v>0</v>
      </c>
      <c r="M184" s="1" t="str">
        <f t="shared" si="3"/>
        <v>拉斐尔雇员的升星道具</v>
      </c>
      <c r="P184" s="1">
        <v>999999</v>
      </c>
    </row>
    <row r="185" spans="1:16">
      <c r="A185" s="1">
        <v>1127002</v>
      </c>
      <c r="C185" s="1">
        <v>1127002</v>
      </c>
      <c r="D185" s="1" t="str">
        <f t="shared" si="2"/>
        <v>伊芙琳碎片</v>
      </c>
      <c r="E185" s="1">
        <v>2</v>
      </c>
      <c r="F185" s="1" t="s">
        <v>48</v>
      </c>
      <c r="G185" s="1">
        <v>1</v>
      </c>
      <c r="H185" s="1" t="b">
        <v>1</v>
      </c>
      <c r="I185" s="1" t="b">
        <v>1</v>
      </c>
      <c r="J185" s="1" t="s">
        <v>280</v>
      </c>
      <c r="K185" s="1">
        <v>2127002</v>
      </c>
      <c r="L185" s="1" t="b">
        <v>0</v>
      </c>
      <c r="M185" s="1" t="str">
        <f t="shared" si="3"/>
        <v>伊芙琳雇员的升星道具</v>
      </c>
      <c r="P185" s="1">
        <v>999999</v>
      </c>
    </row>
    <row r="186" spans="1:16">
      <c r="A186" s="1">
        <v>1127101</v>
      </c>
      <c r="C186" s="1">
        <v>1127101</v>
      </c>
      <c r="D186" s="1" t="str">
        <f t="shared" si="2"/>
        <v>埃米尔碎片</v>
      </c>
      <c r="E186" s="1">
        <v>2</v>
      </c>
      <c r="F186" s="1" t="s">
        <v>48</v>
      </c>
      <c r="G186" s="1">
        <v>2</v>
      </c>
      <c r="H186" s="1" t="b">
        <v>1</v>
      </c>
      <c r="I186" s="1" t="b">
        <v>1</v>
      </c>
      <c r="J186" s="1" t="s">
        <v>280</v>
      </c>
      <c r="K186" s="1">
        <v>2127101</v>
      </c>
      <c r="L186" s="1" t="b">
        <v>0</v>
      </c>
      <c r="M186" s="1" t="str">
        <f t="shared" si="3"/>
        <v>埃米尔雇员的升星道具</v>
      </c>
      <c r="P186" s="1">
        <v>999999</v>
      </c>
    </row>
    <row r="187" spans="1:16">
      <c r="A187" s="1">
        <v>1127102</v>
      </c>
      <c r="C187" s="1">
        <v>1127102</v>
      </c>
      <c r="D187" s="1" t="str">
        <f t="shared" si="2"/>
        <v>夏洛特碎片</v>
      </c>
      <c r="E187" s="1">
        <v>2</v>
      </c>
      <c r="F187" s="1" t="s">
        <v>48</v>
      </c>
      <c r="G187" s="1">
        <v>2</v>
      </c>
      <c r="H187" s="1" t="b">
        <v>1</v>
      </c>
      <c r="I187" s="1" t="b">
        <v>1</v>
      </c>
      <c r="J187" s="1" t="s">
        <v>280</v>
      </c>
      <c r="K187" s="1">
        <v>2127102</v>
      </c>
      <c r="L187" s="1" t="b">
        <v>0</v>
      </c>
      <c r="M187" s="1" t="str">
        <f t="shared" si="3"/>
        <v>夏洛特雇员的升星道具</v>
      </c>
      <c r="P187" s="1">
        <v>999999</v>
      </c>
    </row>
    <row r="188" spans="1:16">
      <c r="A188" s="1">
        <v>1127201</v>
      </c>
      <c r="C188" s="1">
        <v>1127201</v>
      </c>
      <c r="D188" s="1" t="str">
        <f t="shared" si="2"/>
        <v>雷蒙德碎片</v>
      </c>
      <c r="E188" s="1">
        <v>2</v>
      </c>
      <c r="F188" s="1" t="s">
        <v>48</v>
      </c>
      <c r="G188" s="1">
        <v>3</v>
      </c>
      <c r="H188" s="1" t="b">
        <v>1</v>
      </c>
      <c r="I188" s="1" t="b">
        <v>1</v>
      </c>
      <c r="J188" s="1" t="s">
        <v>280</v>
      </c>
      <c r="K188" s="1">
        <v>2127201</v>
      </c>
      <c r="L188" s="1" t="b">
        <v>0</v>
      </c>
      <c r="M188" s="1" t="str">
        <f t="shared" si="3"/>
        <v>雷蒙德雇员的升星道具</v>
      </c>
      <c r="P188" s="1">
        <v>999999</v>
      </c>
    </row>
    <row r="189" spans="1:16">
      <c r="A189" s="1">
        <v>1127202</v>
      </c>
      <c r="C189" s="1">
        <v>1127202</v>
      </c>
      <c r="D189" s="1" t="str">
        <f t="shared" si="2"/>
        <v>斯嘉丽碎片</v>
      </c>
      <c r="E189" s="1">
        <v>2</v>
      </c>
      <c r="F189" s="1" t="s">
        <v>48</v>
      </c>
      <c r="G189" s="1">
        <v>3</v>
      </c>
      <c r="H189" s="1" t="b">
        <v>1</v>
      </c>
      <c r="I189" s="1" t="b">
        <v>1</v>
      </c>
      <c r="J189" s="1" t="s">
        <v>280</v>
      </c>
      <c r="K189" s="1">
        <v>2127202</v>
      </c>
      <c r="L189" s="1" t="b">
        <v>0</v>
      </c>
      <c r="M189" s="1" t="str">
        <f t="shared" si="3"/>
        <v>斯嘉丽雇员的升星道具</v>
      </c>
      <c r="P189" s="1">
        <v>999999</v>
      </c>
    </row>
    <row r="190" spans="1:16">
      <c r="A190" s="1">
        <v>1127301</v>
      </c>
      <c r="C190" s="1">
        <v>1127301</v>
      </c>
      <c r="D190" s="1" t="str">
        <f t="shared" si="2"/>
        <v>丹尼尔碎片</v>
      </c>
      <c r="E190" s="1">
        <v>2</v>
      </c>
      <c r="F190" s="1" t="s">
        <v>48</v>
      </c>
      <c r="G190" s="1">
        <v>4</v>
      </c>
      <c r="H190" s="1" t="b">
        <v>1</v>
      </c>
      <c r="I190" s="1" t="b">
        <v>1</v>
      </c>
      <c r="J190" s="1" t="s">
        <v>280</v>
      </c>
      <c r="K190" s="1">
        <v>2127301</v>
      </c>
      <c r="L190" s="1" t="b">
        <v>0</v>
      </c>
      <c r="M190" s="1" t="str">
        <f t="shared" si="3"/>
        <v>丹尼尔雇员的升星道具</v>
      </c>
      <c r="P190" s="1">
        <v>999999</v>
      </c>
    </row>
    <row r="191" spans="1:16">
      <c r="A191" s="1">
        <v>1127302</v>
      </c>
      <c r="C191" s="1">
        <v>1127302</v>
      </c>
      <c r="D191" s="1" t="str">
        <f t="shared" si="2"/>
        <v>莉莉安碎片</v>
      </c>
      <c r="E191" s="1">
        <v>2</v>
      </c>
      <c r="F191" s="1" t="s">
        <v>48</v>
      </c>
      <c r="G191" s="1">
        <v>4</v>
      </c>
      <c r="H191" s="1" t="b">
        <v>1</v>
      </c>
      <c r="I191" s="1" t="b">
        <v>1</v>
      </c>
      <c r="J191" s="1" t="s">
        <v>280</v>
      </c>
      <c r="K191" s="1">
        <v>2127302</v>
      </c>
      <c r="L191" s="1" t="b">
        <v>0</v>
      </c>
      <c r="M191" s="1" t="str">
        <f t="shared" si="3"/>
        <v>莉莉安雇员的升星道具</v>
      </c>
      <c r="P191" s="1">
        <v>999999</v>
      </c>
    </row>
    <row r="192" spans="1:16">
      <c r="A192" s="1">
        <v>1127401</v>
      </c>
      <c r="C192" s="1">
        <v>1127401</v>
      </c>
      <c r="D192" s="1" t="str">
        <f t="shared" si="2"/>
        <v>卢卡斯碎片</v>
      </c>
      <c r="E192" s="1">
        <v>2</v>
      </c>
      <c r="F192" s="1" t="s">
        <v>48</v>
      </c>
      <c r="G192" s="1">
        <v>5</v>
      </c>
      <c r="H192" s="1" t="b">
        <v>1</v>
      </c>
      <c r="I192" s="1" t="b">
        <v>1</v>
      </c>
      <c r="J192" s="1" t="s">
        <v>280</v>
      </c>
      <c r="K192" s="1">
        <v>2127401</v>
      </c>
      <c r="L192" s="1" t="b">
        <v>0</v>
      </c>
      <c r="M192" s="1" t="str">
        <f t="shared" si="3"/>
        <v>卢卡斯雇员的升星道具</v>
      </c>
      <c r="P192" s="1">
        <v>999999</v>
      </c>
    </row>
    <row r="193" spans="1:16">
      <c r="A193" s="1">
        <v>1127402</v>
      </c>
      <c r="C193" s="1">
        <v>1127402</v>
      </c>
      <c r="D193" s="1" t="str">
        <f t="shared" si="2"/>
        <v>克拉拉碎片</v>
      </c>
      <c r="E193" s="1">
        <v>2</v>
      </c>
      <c r="F193" s="1" t="s">
        <v>48</v>
      </c>
      <c r="G193" s="1">
        <v>5</v>
      </c>
      <c r="H193" s="1" t="b">
        <v>1</v>
      </c>
      <c r="I193" s="1" t="b">
        <v>1</v>
      </c>
      <c r="J193" s="1" t="s">
        <v>280</v>
      </c>
      <c r="K193" s="1">
        <v>2127402</v>
      </c>
      <c r="L193" s="1" t="b">
        <v>0</v>
      </c>
      <c r="M193" s="1" t="str">
        <f t="shared" si="3"/>
        <v>克拉拉雇员的升星道具</v>
      </c>
      <c r="P193" s="1">
        <v>999999</v>
      </c>
    </row>
    <row r="194" spans="1:16">
      <c r="A194" s="1">
        <v>1128001</v>
      </c>
      <c r="C194" s="1">
        <v>1128001</v>
      </c>
      <c r="D194" s="1" t="str">
        <f t="shared" si="2"/>
        <v>尼古拉斯碎片</v>
      </c>
      <c r="E194" s="1">
        <v>2</v>
      </c>
      <c r="F194" s="1" t="s">
        <v>48</v>
      </c>
      <c r="G194" s="1">
        <v>1</v>
      </c>
      <c r="H194" s="1" t="b">
        <v>1</v>
      </c>
      <c r="I194" s="1" t="b">
        <v>1</v>
      </c>
      <c r="J194" s="1" t="s">
        <v>280</v>
      </c>
      <c r="K194" s="1">
        <v>2128001</v>
      </c>
      <c r="L194" s="1" t="b">
        <v>0</v>
      </c>
      <c r="M194" s="1" t="str">
        <f t="shared" si="3"/>
        <v>尼古拉斯雇员的升星道具</v>
      </c>
      <c r="P194" s="1">
        <v>999999</v>
      </c>
    </row>
    <row r="195" spans="1:16">
      <c r="A195" s="1">
        <v>1128002</v>
      </c>
      <c r="C195" s="1">
        <v>1128002</v>
      </c>
      <c r="D195" s="1" t="str">
        <f t="shared" si="2"/>
        <v>奥利维亚碎片</v>
      </c>
      <c r="E195" s="1">
        <v>2</v>
      </c>
      <c r="F195" s="1" t="s">
        <v>48</v>
      </c>
      <c r="G195" s="1">
        <v>1</v>
      </c>
      <c r="H195" s="1" t="b">
        <v>1</v>
      </c>
      <c r="I195" s="1" t="b">
        <v>1</v>
      </c>
      <c r="J195" s="1" t="s">
        <v>280</v>
      </c>
      <c r="K195" s="1">
        <v>2128002</v>
      </c>
      <c r="L195" s="1" t="b">
        <v>0</v>
      </c>
      <c r="M195" s="1" t="str">
        <f t="shared" si="3"/>
        <v>奥利维亚雇员的升星道具</v>
      </c>
      <c r="P195" s="1">
        <v>999999</v>
      </c>
    </row>
    <row r="196" spans="1:16">
      <c r="A196" s="1">
        <v>1128101</v>
      </c>
      <c r="C196" s="1">
        <v>1128101</v>
      </c>
      <c r="D196" s="1" t="str">
        <f t="shared" si="2"/>
        <v>亚历山大碎片</v>
      </c>
      <c r="E196" s="1">
        <v>2</v>
      </c>
      <c r="F196" s="1" t="s">
        <v>48</v>
      </c>
      <c r="G196" s="1">
        <v>2</v>
      </c>
      <c r="H196" s="1" t="b">
        <v>1</v>
      </c>
      <c r="I196" s="1" t="b">
        <v>1</v>
      </c>
      <c r="J196" s="1" t="s">
        <v>280</v>
      </c>
      <c r="K196" s="1">
        <v>2128101</v>
      </c>
      <c r="L196" s="1" t="b">
        <v>0</v>
      </c>
      <c r="M196" s="1" t="str">
        <f t="shared" si="3"/>
        <v>亚历山大雇员的升星道具</v>
      </c>
      <c r="P196" s="1">
        <v>999999</v>
      </c>
    </row>
    <row r="197" spans="1:16">
      <c r="A197" s="1">
        <v>1128102</v>
      </c>
      <c r="C197" s="1">
        <v>1128102</v>
      </c>
      <c r="D197" s="1" t="str">
        <f t="shared" si="2"/>
        <v>玛格丽特碎片</v>
      </c>
      <c r="E197" s="1">
        <v>2</v>
      </c>
      <c r="F197" s="1" t="s">
        <v>48</v>
      </c>
      <c r="G197" s="1">
        <v>2</v>
      </c>
      <c r="H197" s="1" t="b">
        <v>1</v>
      </c>
      <c r="I197" s="1" t="b">
        <v>1</v>
      </c>
      <c r="J197" s="1" t="s">
        <v>280</v>
      </c>
      <c r="K197" s="1">
        <v>2128102</v>
      </c>
      <c r="L197" s="1" t="b">
        <v>0</v>
      </c>
      <c r="M197" s="1" t="str">
        <f t="shared" si="3"/>
        <v>玛格丽特雇员的升星道具</v>
      </c>
      <c r="P197" s="1">
        <v>999999</v>
      </c>
    </row>
    <row r="198" spans="1:16">
      <c r="A198" s="1">
        <v>1128201</v>
      </c>
      <c r="C198" s="1">
        <v>1128201</v>
      </c>
      <c r="D198" s="1" t="str">
        <f t="shared" si="2"/>
        <v>奥古斯特碎片</v>
      </c>
      <c r="E198" s="1">
        <v>2</v>
      </c>
      <c r="F198" s="1" t="s">
        <v>48</v>
      </c>
      <c r="G198" s="1">
        <v>3</v>
      </c>
      <c r="H198" s="1" t="b">
        <v>1</v>
      </c>
      <c r="I198" s="1" t="b">
        <v>1</v>
      </c>
      <c r="J198" s="1" t="s">
        <v>280</v>
      </c>
      <c r="K198" s="1">
        <v>2128201</v>
      </c>
      <c r="L198" s="1" t="b">
        <v>0</v>
      </c>
      <c r="M198" s="1" t="str">
        <f t="shared" si="3"/>
        <v>奥古斯特雇员的升星道具</v>
      </c>
      <c r="P198" s="1">
        <v>999999</v>
      </c>
    </row>
    <row r="199" spans="1:16">
      <c r="A199" s="1">
        <v>1128202</v>
      </c>
      <c r="C199" s="1">
        <v>1128202</v>
      </c>
      <c r="D199" s="1" t="str">
        <f t="shared" si="2"/>
        <v>维奥莱特碎片</v>
      </c>
      <c r="E199" s="1">
        <v>2</v>
      </c>
      <c r="F199" s="1" t="s">
        <v>48</v>
      </c>
      <c r="G199" s="1">
        <v>3</v>
      </c>
      <c r="H199" s="1" t="b">
        <v>1</v>
      </c>
      <c r="I199" s="1" t="b">
        <v>1</v>
      </c>
      <c r="J199" s="1" t="s">
        <v>280</v>
      </c>
      <c r="K199" s="1">
        <v>2128202</v>
      </c>
      <c r="L199" s="1" t="b">
        <v>0</v>
      </c>
      <c r="M199" s="1" t="str">
        <f t="shared" si="3"/>
        <v>维奥莱特雇员的升星道具</v>
      </c>
      <c r="P199" s="1">
        <v>999999</v>
      </c>
    </row>
    <row r="200" spans="1:16">
      <c r="A200" s="1">
        <v>1128301</v>
      </c>
      <c r="C200" s="1">
        <v>1128301</v>
      </c>
      <c r="D200" s="1" t="str">
        <f t="shared" si="2"/>
        <v>费利克斯碎片</v>
      </c>
      <c r="E200" s="1">
        <v>2</v>
      </c>
      <c r="F200" s="1" t="s">
        <v>48</v>
      </c>
      <c r="G200" s="1">
        <v>4</v>
      </c>
      <c r="H200" s="1" t="b">
        <v>1</v>
      </c>
      <c r="I200" s="1" t="b">
        <v>1</v>
      </c>
      <c r="J200" s="1" t="s">
        <v>280</v>
      </c>
      <c r="K200" s="1">
        <v>2128301</v>
      </c>
      <c r="L200" s="1" t="b">
        <v>0</v>
      </c>
      <c r="M200" s="1" t="str">
        <f t="shared" si="3"/>
        <v>费利克斯雇员的升星道具</v>
      </c>
      <c r="P200" s="1">
        <v>999999</v>
      </c>
    </row>
    <row r="201" spans="1:16">
      <c r="A201" s="1">
        <v>1128302</v>
      </c>
      <c r="C201" s="1">
        <v>1128302</v>
      </c>
      <c r="D201" s="1" t="str">
        <f t="shared" si="2"/>
        <v>维多利亚碎片</v>
      </c>
      <c r="E201" s="1">
        <v>2</v>
      </c>
      <c r="F201" s="1" t="s">
        <v>48</v>
      </c>
      <c r="G201" s="1">
        <v>4</v>
      </c>
      <c r="H201" s="1" t="b">
        <v>1</v>
      </c>
      <c r="I201" s="1" t="b">
        <v>1</v>
      </c>
      <c r="J201" s="1" t="s">
        <v>280</v>
      </c>
      <c r="K201" s="1">
        <v>2128302</v>
      </c>
      <c r="L201" s="1" t="b">
        <v>0</v>
      </c>
      <c r="M201" s="1" t="str">
        <f t="shared" si="3"/>
        <v>维多利亚雇员的升星道具</v>
      </c>
      <c r="P201" s="1">
        <v>999999</v>
      </c>
    </row>
    <row r="202" spans="1:16">
      <c r="A202" s="1">
        <v>1128401</v>
      </c>
      <c r="C202" s="1">
        <v>1128401</v>
      </c>
      <c r="D202" s="1" t="str">
        <f t="shared" si="2"/>
        <v>阿尔弗雷德碎片</v>
      </c>
      <c r="E202" s="1">
        <v>2</v>
      </c>
      <c r="F202" s="1" t="s">
        <v>48</v>
      </c>
      <c r="G202" s="1">
        <v>5</v>
      </c>
      <c r="H202" s="1" t="b">
        <v>1</v>
      </c>
      <c r="I202" s="1" t="b">
        <v>1</v>
      </c>
      <c r="J202" s="1" t="s">
        <v>280</v>
      </c>
      <c r="K202" s="1">
        <v>2128401</v>
      </c>
      <c r="L202" s="1" t="b">
        <v>0</v>
      </c>
      <c r="M202" s="1" t="str">
        <f t="shared" si="3"/>
        <v>阿尔弗雷德雇员的升星道具</v>
      </c>
      <c r="P202" s="1">
        <v>999999</v>
      </c>
    </row>
    <row r="203" spans="1:16">
      <c r="A203" s="1">
        <v>1128402</v>
      </c>
      <c r="C203" s="1">
        <v>1128402</v>
      </c>
      <c r="D203" s="1" t="str">
        <f t="shared" si="2"/>
        <v>伊丽莎白碎片</v>
      </c>
      <c r="E203" s="1">
        <v>2</v>
      </c>
      <c r="F203" s="1" t="s">
        <v>48</v>
      </c>
      <c r="G203" s="1">
        <v>5</v>
      </c>
      <c r="H203" s="1" t="b">
        <v>1</v>
      </c>
      <c r="I203" s="1" t="b">
        <v>1</v>
      </c>
      <c r="J203" s="1" t="s">
        <v>280</v>
      </c>
      <c r="K203" s="1">
        <v>2128402</v>
      </c>
      <c r="L203" s="1" t="b">
        <v>0</v>
      </c>
      <c r="M203" s="1" t="str">
        <f t="shared" si="3"/>
        <v>伊丽莎白雇员的升星道具</v>
      </c>
      <c r="P203" s="1">
        <v>999999</v>
      </c>
    </row>
    <row r="204" spans="1:16">
      <c r="A204" s="1">
        <v>1150001</v>
      </c>
      <c r="C204" s="1">
        <v>1150001</v>
      </c>
      <c r="D204" s="1" t="s">
        <v>281</v>
      </c>
      <c r="E204" s="1">
        <v>2</v>
      </c>
      <c r="F204" s="1" t="s">
        <v>48</v>
      </c>
      <c r="G204" s="1">
        <v>2</v>
      </c>
      <c r="H204" s="1" t="b">
        <v>0</v>
      </c>
      <c r="I204" s="1" t="b">
        <v>0</v>
      </c>
      <c r="J204" s="1" t="s">
        <v>282</v>
      </c>
      <c r="K204" s="1">
        <v>2150001</v>
      </c>
      <c r="L204" s="1" t="b">
        <v>0</v>
      </c>
      <c r="M204" s="1" t="str">
        <f>"激活“"&amp;D204&amp;"”勋章\n获得途径：完成指定成就任务"</f>
        <v>激活“打卡卫士”勋章\n获得途径：完成指定成就任务</v>
      </c>
      <c r="P204" s="1">
        <v>1</v>
      </c>
    </row>
    <row r="205" spans="1:16">
      <c r="A205" s="1">
        <v>1150002</v>
      </c>
      <c r="C205" s="1">
        <v>1150002</v>
      </c>
      <c r="D205" s="1" t="s">
        <v>283</v>
      </c>
      <c r="E205" s="1">
        <v>2</v>
      </c>
      <c r="F205" s="1" t="s">
        <v>48</v>
      </c>
      <c r="G205" s="1">
        <v>2</v>
      </c>
      <c r="H205" s="1" t="b">
        <v>0</v>
      </c>
      <c r="I205" s="1" t="b">
        <v>0</v>
      </c>
      <c r="J205" s="1" t="s">
        <v>103</v>
      </c>
      <c r="K205" s="1">
        <v>2150002</v>
      </c>
      <c r="L205" s="1" t="b">
        <v>0</v>
      </c>
      <c r="M205" s="1" t="str">
        <f t="shared" ref="M205:M236" si="4">"激活“"&amp;D205&amp;"”勋章\n获得途径：完成指定成就任务"</f>
        <v>激活“成长之路”勋章\n获得途径：完成指定成就任务</v>
      </c>
      <c r="P205" s="1">
        <v>1</v>
      </c>
    </row>
    <row r="206" spans="1:16">
      <c r="A206" s="1">
        <v>1150003</v>
      </c>
      <c r="C206" s="1">
        <v>1150003</v>
      </c>
      <c r="D206" s="1" t="s">
        <v>284</v>
      </c>
      <c r="E206" s="1">
        <v>2</v>
      </c>
      <c r="F206" s="1" t="s">
        <v>48</v>
      </c>
      <c r="G206" s="1">
        <v>2</v>
      </c>
      <c r="H206" s="1" t="b">
        <v>0</v>
      </c>
      <c r="I206" s="1" t="b">
        <v>0</v>
      </c>
      <c r="J206" s="1" t="s">
        <v>103</v>
      </c>
      <c r="K206" s="1">
        <v>2150003</v>
      </c>
      <c r="L206" s="1" t="b">
        <v>0</v>
      </c>
      <c r="M206" s="1" t="str">
        <f t="shared" si="4"/>
        <v>激活“转轮高手”勋章\n获得途径：完成指定成就任务</v>
      </c>
      <c r="P206" s="1">
        <v>1</v>
      </c>
    </row>
    <row r="207" spans="1:16">
      <c r="A207" s="1">
        <v>1150004</v>
      </c>
      <c r="C207" s="1">
        <v>1150004</v>
      </c>
      <c r="D207" s="1" t="s">
        <v>285</v>
      </c>
      <c r="E207" s="1">
        <v>2</v>
      </c>
      <c r="F207" s="1" t="s">
        <v>48</v>
      </c>
      <c r="G207" s="1">
        <v>2</v>
      </c>
      <c r="H207" s="1" t="b">
        <v>0</v>
      </c>
      <c r="I207" s="1" t="b">
        <v>0</v>
      </c>
      <c r="J207" s="1" t="s">
        <v>103</v>
      </c>
      <c r="K207" s="1">
        <v>2150004</v>
      </c>
      <c r="L207" s="1" t="b">
        <v>0</v>
      </c>
      <c r="M207" s="1" t="str">
        <f t="shared" si="4"/>
        <v>激活“大赢家”勋章\n获得途径：完成指定成就任务</v>
      </c>
      <c r="P207" s="1">
        <v>1</v>
      </c>
    </row>
    <row r="208" spans="1:16">
      <c r="A208" s="1">
        <v>1150005</v>
      </c>
      <c r="C208" s="1">
        <v>1150005</v>
      </c>
      <c r="D208" s="1" t="s">
        <v>286</v>
      </c>
      <c r="E208" s="1">
        <v>2</v>
      </c>
      <c r="F208" s="1" t="s">
        <v>48</v>
      </c>
      <c r="G208" s="1">
        <v>2</v>
      </c>
      <c r="H208" s="1" t="b">
        <v>0</v>
      </c>
      <c r="I208" s="1" t="b">
        <v>0</v>
      </c>
      <c r="J208" s="1" t="s">
        <v>103</v>
      </c>
      <c r="K208" s="1">
        <v>2150005</v>
      </c>
      <c r="L208" s="1" t="b">
        <v>0</v>
      </c>
      <c r="M208" s="1" t="str">
        <f t="shared" si="4"/>
        <v>激活“转轮精英”勋章\n获得途径：完成指定成就任务</v>
      </c>
      <c r="P208" s="1">
        <v>1</v>
      </c>
    </row>
    <row r="209" spans="1:16">
      <c r="A209" s="1">
        <v>1150006</v>
      </c>
      <c r="C209" s="1">
        <v>1150006</v>
      </c>
      <c r="D209" s="1" t="s">
        <v>287</v>
      </c>
      <c r="E209" s="1">
        <v>2</v>
      </c>
      <c r="F209" s="1" t="s">
        <v>48</v>
      </c>
      <c r="G209" s="1">
        <v>2</v>
      </c>
      <c r="H209" s="1" t="b">
        <v>0</v>
      </c>
      <c r="I209" s="1" t="b">
        <v>0</v>
      </c>
      <c r="J209" s="1" t="s">
        <v>103</v>
      </c>
      <c r="K209" s="1">
        <v>2150006</v>
      </c>
      <c r="L209" s="1" t="b">
        <v>0</v>
      </c>
      <c r="M209" s="1" t="str">
        <f t="shared" si="4"/>
        <v>激活“幸运之星”勋章\n获得途径：完成指定成就任务</v>
      </c>
      <c r="P209" s="1">
        <v>1</v>
      </c>
    </row>
    <row r="210" spans="1:16">
      <c r="A210" s="1">
        <v>1150007</v>
      </c>
      <c r="C210" s="1">
        <v>1150007</v>
      </c>
      <c r="D210" s="1" t="s">
        <v>288</v>
      </c>
      <c r="E210" s="1">
        <v>2</v>
      </c>
      <c r="F210" s="1" t="s">
        <v>48</v>
      </c>
      <c r="G210" s="1">
        <v>2</v>
      </c>
      <c r="H210" s="1" t="b">
        <v>0</v>
      </c>
      <c r="I210" s="1" t="b">
        <v>0</v>
      </c>
      <c r="J210" s="1" t="s">
        <v>103</v>
      </c>
      <c r="K210" s="1">
        <v>2150007</v>
      </c>
      <c r="L210" s="1" t="b">
        <v>0</v>
      </c>
      <c r="M210" s="1" t="str">
        <f t="shared" si="4"/>
        <v>激活“游戏收集者”勋章\n获得途径：完成指定成就任务</v>
      </c>
      <c r="P210" s="1">
        <v>1</v>
      </c>
    </row>
    <row r="211" spans="1:16">
      <c r="A211" s="1">
        <v>1150008</v>
      </c>
      <c r="C211" s="1">
        <v>1150008</v>
      </c>
      <c r="D211" s="1" t="s">
        <v>289</v>
      </c>
      <c r="E211" s="1">
        <v>2</v>
      </c>
      <c r="F211" s="1" t="s">
        <v>48</v>
      </c>
      <c r="G211" s="1">
        <v>2</v>
      </c>
      <c r="H211" s="1" t="b">
        <v>0</v>
      </c>
      <c r="I211" s="1" t="b">
        <v>0</v>
      </c>
      <c r="J211" s="1" t="s">
        <v>103</v>
      </c>
      <c r="K211" s="1">
        <v>2150008</v>
      </c>
      <c r="L211" s="1" t="b">
        <v>0</v>
      </c>
      <c r="M211" s="1" t="str">
        <f t="shared" si="4"/>
        <v>激活“建筑能手”勋章\n获得途径：完成指定成就任务</v>
      </c>
      <c r="P211" s="1">
        <v>1</v>
      </c>
    </row>
    <row r="212" spans="1:16">
      <c r="A212" s="1">
        <v>1150009</v>
      </c>
      <c r="C212" s="1">
        <v>1150009</v>
      </c>
      <c r="D212" s="1" t="s">
        <v>290</v>
      </c>
      <c r="E212" s="1">
        <v>2</v>
      </c>
      <c r="F212" s="1" t="s">
        <v>48</v>
      </c>
      <c r="G212" s="1">
        <v>2</v>
      </c>
      <c r="H212" s="1" t="b">
        <v>0</v>
      </c>
      <c r="I212" s="1" t="b">
        <v>0</v>
      </c>
      <c r="J212" s="1" t="s">
        <v>103</v>
      </c>
      <c r="K212" s="1">
        <v>2150009</v>
      </c>
      <c r="L212" s="1" t="b">
        <v>0</v>
      </c>
      <c r="M212" s="1" t="str">
        <f t="shared" si="4"/>
        <v>激活“百万富豪”勋章\n获得途径：完成指定成就任务</v>
      </c>
      <c r="P212" s="1">
        <v>1</v>
      </c>
    </row>
    <row r="213" spans="1:16">
      <c r="A213" s="1">
        <v>1150010</v>
      </c>
      <c r="C213" s="1">
        <v>1150010</v>
      </c>
      <c r="D213" s="1" t="s">
        <v>291</v>
      </c>
      <c r="E213" s="1">
        <v>2</v>
      </c>
      <c r="F213" s="1" t="s">
        <v>48</v>
      </c>
      <c r="G213" s="1">
        <v>2</v>
      </c>
      <c r="H213" s="1" t="b">
        <v>0</v>
      </c>
      <c r="I213" s="1" t="b">
        <v>0</v>
      </c>
      <c r="J213" s="1" t="s">
        <v>103</v>
      </c>
      <c r="K213" s="1">
        <v>2150010</v>
      </c>
      <c r="L213" s="1" t="b">
        <v>0</v>
      </c>
      <c r="M213" s="1" t="str">
        <f t="shared" si="4"/>
        <v>激活“能量收集者”勋章\n获得途径：完成指定成就任务</v>
      </c>
      <c r="P213" s="1">
        <v>1</v>
      </c>
    </row>
    <row r="214" spans="1:16">
      <c r="A214" s="1">
        <v>1150011</v>
      </c>
      <c r="C214" s="1">
        <v>1150011</v>
      </c>
      <c r="D214" s="1" t="s">
        <v>292</v>
      </c>
      <c r="E214" s="1">
        <v>2</v>
      </c>
      <c r="F214" s="1" t="s">
        <v>48</v>
      </c>
      <c r="G214" s="1">
        <v>2</v>
      </c>
      <c r="H214" s="1" t="b">
        <v>0</v>
      </c>
      <c r="I214" s="1" t="b">
        <v>0</v>
      </c>
      <c r="J214" s="1" t="s">
        <v>103</v>
      </c>
      <c r="K214" s="1">
        <v>2150011</v>
      </c>
      <c r="L214" s="1" t="b">
        <v>0</v>
      </c>
      <c r="M214" s="1" t="str">
        <f t="shared" si="4"/>
        <v>激活“金币大师”勋章\n获得途径：完成指定成就任务</v>
      </c>
      <c r="P214" s="1">
        <v>1</v>
      </c>
    </row>
    <row r="215" spans="1:16">
      <c r="A215" s="1">
        <v>1150012</v>
      </c>
      <c r="C215" s="1">
        <v>1150012</v>
      </c>
      <c r="D215" s="1" t="s">
        <v>293</v>
      </c>
      <c r="E215" s="1">
        <v>2</v>
      </c>
      <c r="F215" s="1" t="s">
        <v>48</v>
      </c>
      <c r="G215" s="1">
        <v>2</v>
      </c>
      <c r="H215" s="1" t="b">
        <v>0</v>
      </c>
      <c r="I215" s="1" t="b">
        <v>0</v>
      </c>
      <c r="J215" s="1" t="s">
        <v>103</v>
      </c>
      <c r="K215" s="1">
        <v>2150012</v>
      </c>
      <c r="L215" s="1" t="b">
        <v>0</v>
      </c>
      <c r="M215" s="1" t="str">
        <f t="shared" si="4"/>
        <v>激活“钻石富豪”勋章\n获得途径：完成指定成就任务</v>
      </c>
      <c r="P215" s="1">
        <v>1</v>
      </c>
    </row>
    <row r="216" spans="1:16">
      <c r="A216" s="1">
        <v>1150013</v>
      </c>
      <c r="C216" s="1">
        <v>1150013</v>
      </c>
      <c r="D216" s="1" t="s">
        <v>294</v>
      </c>
      <c r="E216" s="1">
        <v>2</v>
      </c>
      <c r="F216" s="1" t="s">
        <v>48</v>
      </c>
      <c r="G216" s="1">
        <v>2</v>
      </c>
      <c r="H216" s="1" t="b">
        <v>0</v>
      </c>
      <c r="I216" s="1" t="b">
        <v>0</v>
      </c>
      <c r="J216" s="1" t="s">
        <v>103</v>
      </c>
      <c r="K216" s="1">
        <v>2150013</v>
      </c>
      <c r="L216" s="1" t="b">
        <v>0</v>
      </c>
      <c r="M216" s="1" t="str">
        <f t="shared" si="4"/>
        <v>激活“招商能手”勋章\n获得途径：完成指定成就任务</v>
      </c>
      <c r="P216" s="1">
        <v>1</v>
      </c>
    </row>
    <row r="217" spans="1:16">
      <c r="A217" s="1">
        <v>1150014</v>
      </c>
      <c r="C217" s="1">
        <v>1150014</v>
      </c>
      <c r="D217" s="1" t="s">
        <v>295</v>
      </c>
      <c r="E217" s="1">
        <v>2</v>
      </c>
      <c r="F217" s="1" t="s">
        <v>48</v>
      </c>
      <c r="G217" s="1">
        <v>2</v>
      </c>
      <c r="H217" s="1" t="b">
        <v>0</v>
      </c>
      <c r="I217" s="1" t="b">
        <v>0</v>
      </c>
      <c r="J217" s="1" t="s">
        <v>103</v>
      </c>
      <c r="K217" s="1">
        <v>2150014</v>
      </c>
      <c r="L217" s="1" t="b">
        <v>0</v>
      </c>
      <c r="M217" s="1" t="str">
        <f t="shared" si="4"/>
        <v>激活“娱乐CEO”勋章\n获得途径：完成指定成就任务</v>
      </c>
      <c r="P217" s="1">
        <v>1</v>
      </c>
    </row>
    <row r="218" spans="1:16">
      <c r="A218" s="1">
        <v>1150015</v>
      </c>
      <c r="C218" s="1">
        <v>1150015</v>
      </c>
      <c r="D218" s="1" t="s">
        <v>296</v>
      </c>
      <c r="E218" s="1">
        <v>2</v>
      </c>
      <c r="F218" s="1" t="s">
        <v>48</v>
      </c>
      <c r="G218" s="1">
        <v>2</v>
      </c>
      <c r="H218" s="1" t="b">
        <v>0</v>
      </c>
      <c r="I218" s="1" t="b">
        <v>0</v>
      </c>
      <c r="J218" s="1" t="s">
        <v>103</v>
      </c>
      <c r="K218" s="1">
        <v>2150015</v>
      </c>
      <c r="L218" s="1" t="b">
        <v>0</v>
      </c>
      <c r="M218" s="1" t="str">
        <f t="shared" si="4"/>
        <v>激活“人气爆棚”勋章\n获得途径：完成指定成就任务</v>
      </c>
      <c r="P218" s="1">
        <v>1</v>
      </c>
    </row>
    <row r="219" spans="1:16">
      <c r="A219" s="1">
        <v>1150016</v>
      </c>
      <c r="C219" s="1">
        <v>1150016</v>
      </c>
      <c r="D219" s="1" t="s">
        <v>297</v>
      </c>
      <c r="E219" s="1">
        <v>2</v>
      </c>
      <c r="F219" s="1" t="s">
        <v>48</v>
      </c>
      <c r="G219" s="1">
        <v>3</v>
      </c>
      <c r="H219" s="1" t="b">
        <v>0</v>
      </c>
      <c r="I219" s="1" t="b">
        <v>0</v>
      </c>
      <c r="J219" s="1" t="s">
        <v>298</v>
      </c>
      <c r="K219" s="1">
        <v>2150016</v>
      </c>
      <c r="L219" s="1" t="b">
        <v>0</v>
      </c>
      <c r="M219" s="1" t="str">
        <f t="shared" si="4"/>
        <v>激活“建筑大师”勋章\n获得途径：完成指定成就任务</v>
      </c>
      <c r="P219" s="1">
        <v>1</v>
      </c>
    </row>
    <row r="220" spans="1:16">
      <c r="A220" s="1">
        <v>1150017</v>
      </c>
      <c r="C220" s="1">
        <v>1150017</v>
      </c>
      <c r="D220" s="1" t="s">
        <v>299</v>
      </c>
      <c r="E220" s="1">
        <v>2</v>
      </c>
      <c r="F220" s="1" t="s">
        <v>48</v>
      </c>
      <c r="G220" s="1">
        <v>3</v>
      </c>
      <c r="H220" s="1" t="b">
        <v>0</v>
      </c>
      <c r="I220" s="1" t="b">
        <v>0</v>
      </c>
      <c r="J220" s="1" t="s">
        <v>300</v>
      </c>
      <c r="K220" s="1">
        <v>2150017</v>
      </c>
      <c r="L220" s="1" t="b">
        <v>0</v>
      </c>
      <c r="M220" s="1" t="str">
        <f t="shared" si="4"/>
        <v>激活“人气之王”勋章\n获得途径：完成指定成就任务</v>
      </c>
      <c r="P220" s="1">
        <v>1</v>
      </c>
    </row>
    <row r="221" spans="1:16">
      <c r="A221" s="1">
        <v>1150018</v>
      </c>
      <c r="C221" s="1">
        <v>1150018</v>
      </c>
      <c r="D221" s="1" t="s">
        <v>301</v>
      </c>
      <c r="E221" s="1">
        <v>2</v>
      </c>
      <c r="F221" s="1" t="s">
        <v>48</v>
      </c>
      <c r="G221" s="1">
        <v>3</v>
      </c>
      <c r="H221" s="1" t="b">
        <v>0</v>
      </c>
      <c r="I221" s="1" t="b">
        <v>0</v>
      </c>
      <c r="J221" s="1" t="s">
        <v>103</v>
      </c>
      <c r="K221" s="1">
        <v>2150018</v>
      </c>
      <c r="L221" s="1" t="b">
        <v>0</v>
      </c>
      <c r="M221" s="1" t="str">
        <f t="shared" si="4"/>
        <v>激活“团队高管”勋章\n获得途径：完成指定成就任务</v>
      </c>
      <c r="P221" s="1">
        <v>1</v>
      </c>
    </row>
    <row r="222" spans="1:16">
      <c r="A222" s="1">
        <v>1150019</v>
      </c>
      <c r="C222" s="1">
        <v>1150019</v>
      </c>
      <c r="D222" s="1" t="s">
        <v>302</v>
      </c>
      <c r="E222" s="1">
        <v>2</v>
      </c>
      <c r="F222" s="1" t="s">
        <v>48</v>
      </c>
      <c r="G222" s="1">
        <v>3</v>
      </c>
      <c r="H222" s="1" t="b">
        <v>0</v>
      </c>
      <c r="I222" s="1" t="b">
        <v>0</v>
      </c>
      <c r="J222" s="1" t="s">
        <v>103</v>
      </c>
      <c r="K222" s="1">
        <v>2150019</v>
      </c>
      <c r="L222" s="1" t="b">
        <v>0</v>
      </c>
      <c r="M222" s="1" t="str">
        <f t="shared" si="4"/>
        <v>激活“培养能手”勋章\n获得途径：完成指定成就任务</v>
      </c>
      <c r="P222" s="1">
        <v>1</v>
      </c>
    </row>
    <row r="223" spans="1:16">
      <c r="A223" s="1">
        <v>1150020</v>
      </c>
      <c r="C223" s="1">
        <v>1150020</v>
      </c>
      <c r="D223" s="1" t="s">
        <v>303</v>
      </c>
      <c r="E223" s="1">
        <v>2</v>
      </c>
      <c r="F223" s="1" t="s">
        <v>48</v>
      </c>
      <c r="G223" s="1">
        <v>3</v>
      </c>
      <c r="H223" s="1" t="b">
        <v>0</v>
      </c>
      <c r="I223" s="1" t="b">
        <v>0</v>
      </c>
      <c r="J223" s="1" t="s">
        <v>103</v>
      </c>
      <c r="K223" s="1">
        <v>2150020</v>
      </c>
      <c r="L223" s="1" t="b">
        <v>0</v>
      </c>
      <c r="M223" s="1" t="str">
        <f t="shared" si="4"/>
        <v>激活“培养大师”勋章\n获得途径：完成指定成就任务</v>
      </c>
      <c r="P223" s="1">
        <v>1</v>
      </c>
    </row>
    <row r="224" spans="1:16">
      <c r="A224" s="1">
        <v>1150021</v>
      </c>
      <c r="C224" s="1">
        <v>1150021</v>
      </c>
      <c r="D224" s="1" t="s">
        <v>304</v>
      </c>
      <c r="E224" s="1">
        <v>2</v>
      </c>
      <c r="F224" s="1" t="s">
        <v>48</v>
      </c>
      <c r="G224" s="1">
        <v>3</v>
      </c>
      <c r="H224" s="1" t="b">
        <v>0</v>
      </c>
      <c r="I224" s="1" t="b">
        <v>0</v>
      </c>
      <c r="J224" s="1" t="s">
        <v>103</v>
      </c>
      <c r="K224" s="1">
        <v>2150021</v>
      </c>
      <c r="L224" s="1" t="b">
        <v>0</v>
      </c>
      <c r="M224" s="1" t="str">
        <f t="shared" si="4"/>
        <v>激活“培养专家”勋章\n获得途径：完成指定成就任务</v>
      </c>
      <c r="P224" s="1">
        <v>1</v>
      </c>
    </row>
    <row r="225" spans="1:16">
      <c r="A225" s="1">
        <v>1150022</v>
      </c>
      <c r="C225" s="1">
        <v>1150022</v>
      </c>
      <c r="D225" s="1" t="s">
        <v>305</v>
      </c>
      <c r="E225" s="1">
        <v>2</v>
      </c>
      <c r="F225" s="1" t="s">
        <v>48</v>
      </c>
      <c r="G225" s="1">
        <v>3</v>
      </c>
      <c r="H225" s="1" t="b">
        <v>0</v>
      </c>
      <c r="I225" s="1" t="b">
        <v>0</v>
      </c>
      <c r="J225" s="1" t="s">
        <v>103</v>
      </c>
      <c r="K225" s="1">
        <v>2150022</v>
      </c>
      <c r="L225" s="1" t="b">
        <v>0</v>
      </c>
      <c r="M225" s="1" t="str">
        <f t="shared" si="4"/>
        <v>激活“有点小钱”勋章\n获得途径：完成指定成就任务</v>
      </c>
      <c r="P225" s="1">
        <v>1</v>
      </c>
    </row>
    <row r="226" spans="1:16">
      <c r="A226" s="1">
        <v>1150023</v>
      </c>
      <c r="C226" s="1">
        <v>1150023</v>
      </c>
      <c r="D226" s="1" t="s">
        <v>306</v>
      </c>
      <c r="E226" s="1">
        <v>2</v>
      </c>
      <c r="F226" s="1" t="s">
        <v>48</v>
      </c>
      <c r="G226" s="1">
        <v>3</v>
      </c>
      <c r="H226" s="1" t="b">
        <v>0</v>
      </c>
      <c r="I226" s="1" t="b">
        <v>0</v>
      </c>
      <c r="J226" s="1" t="s">
        <v>307</v>
      </c>
      <c r="K226" s="1">
        <v>2150023</v>
      </c>
      <c r="L226" s="1" t="b">
        <v>0</v>
      </c>
      <c r="M226" s="1" t="str">
        <f t="shared" si="4"/>
        <v>激活“小有成就”勋章\n获得途径：完成指定成就任务</v>
      </c>
      <c r="P226" s="1">
        <v>1</v>
      </c>
    </row>
    <row r="227" spans="1:16">
      <c r="A227" s="1">
        <v>1150024</v>
      </c>
      <c r="C227" s="1">
        <v>1150024</v>
      </c>
      <c r="D227" s="1" t="s">
        <v>308</v>
      </c>
      <c r="E227" s="1">
        <v>2</v>
      </c>
      <c r="F227" s="1" t="s">
        <v>48</v>
      </c>
      <c r="G227" s="1">
        <v>3</v>
      </c>
      <c r="H227" s="1" t="b">
        <v>0</v>
      </c>
      <c r="I227" s="1" t="b">
        <v>0</v>
      </c>
      <c r="J227" s="1" t="s">
        <v>103</v>
      </c>
      <c r="K227" s="1">
        <v>2150024</v>
      </c>
      <c r="L227" s="1" t="b">
        <v>0</v>
      </c>
      <c r="M227" s="1" t="str">
        <f t="shared" si="4"/>
        <v>激活“中奖能手”勋章\n获得途径：完成指定成就任务</v>
      </c>
      <c r="P227" s="1">
        <v>1</v>
      </c>
    </row>
    <row r="228" spans="1:16">
      <c r="A228" s="1">
        <v>1150025</v>
      </c>
      <c r="C228" s="1">
        <v>1150025</v>
      </c>
      <c r="D228" s="1" t="s">
        <v>309</v>
      </c>
      <c r="E228" s="1">
        <v>2</v>
      </c>
      <c r="F228" s="1" t="s">
        <v>48</v>
      </c>
      <c r="G228" s="1">
        <v>3</v>
      </c>
      <c r="H228" s="1" t="b">
        <v>0</v>
      </c>
      <c r="I228" s="1" t="b">
        <v>0</v>
      </c>
      <c r="J228" s="1" t="s">
        <v>103</v>
      </c>
      <c r="K228" s="1">
        <v>2150025</v>
      </c>
      <c r="L228" s="1" t="b">
        <v>0</v>
      </c>
      <c r="M228" s="1" t="str">
        <f t="shared" si="4"/>
        <v>激活“招财进宝”勋章\n获得途径：完成指定成就任务</v>
      </c>
      <c r="P228" s="1">
        <v>1</v>
      </c>
    </row>
    <row r="229" spans="1:16">
      <c r="A229" s="1">
        <v>1150026</v>
      </c>
      <c r="C229" s="1">
        <v>1150026</v>
      </c>
      <c r="D229" s="1" t="s">
        <v>310</v>
      </c>
      <c r="E229" s="1">
        <v>2</v>
      </c>
      <c r="F229" s="1" t="s">
        <v>48</v>
      </c>
      <c r="G229" s="1">
        <v>3</v>
      </c>
      <c r="H229" s="1" t="b">
        <v>0</v>
      </c>
      <c r="I229" s="1" t="b">
        <v>0</v>
      </c>
      <c r="J229" s="1" t="s">
        <v>311</v>
      </c>
      <c r="K229" s="1">
        <v>2150026</v>
      </c>
      <c r="L229" s="1" t="b">
        <v>0</v>
      </c>
      <c r="M229" s="1" t="str">
        <f t="shared" si="4"/>
        <v>激活“财富自由”勋章\n获得途径：完成指定成就任务</v>
      </c>
      <c r="P229" s="1">
        <v>1</v>
      </c>
    </row>
    <row r="230" spans="1:16">
      <c r="A230" s="1">
        <v>1150027</v>
      </c>
      <c r="C230" s="1">
        <v>1150027</v>
      </c>
      <c r="D230" s="1" t="s">
        <v>312</v>
      </c>
      <c r="E230" s="1">
        <v>2</v>
      </c>
      <c r="F230" s="1" t="s">
        <v>48</v>
      </c>
      <c r="G230" s="1">
        <v>3</v>
      </c>
      <c r="H230" s="1" t="b">
        <v>0</v>
      </c>
      <c r="I230" s="1" t="b">
        <v>0</v>
      </c>
      <c r="J230" s="1" t="s">
        <v>313</v>
      </c>
      <c r="K230" s="1">
        <v>2150027</v>
      </c>
      <c r="L230" s="1" t="b">
        <v>0</v>
      </c>
      <c r="M230" s="1" t="str">
        <f t="shared" si="4"/>
        <v>激活“超级赢家”勋章\n获得途径：完成指定成就任务</v>
      </c>
      <c r="P230" s="1">
        <v>1</v>
      </c>
    </row>
    <row r="231" spans="1:16">
      <c r="A231" s="1">
        <v>1150028</v>
      </c>
      <c r="C231" s="1">
        <v>1150028</v>
      </c>
      <c r="D231" s="1" t="s">
        <v>314</v>
      </c>
      <c r="E231" s="1">
        <v>2</v>
      </c>
      <c r="F231" s="1" t="s">
        <v>48</v>
      </c>
      <c r="G231" s="1">
        <v>4</v>
      </c>
      <c r="H231" s="1" t="b">
        <v>0</v>
      </c>
      <c r="I231" s="1" t="b">
        <v>0</v>
      </c>
      <c r="J231" s="1" t="s">
        <v>315</v>
      </c>
      <c r="K231" s="1">
        <v>2150028</v>
      </c>
      <c r="L231" s="1" t="b">
        <v>0</v>
      </c>
      <c r="M231" s="1" t="str">
        <f t="shared" si="4"/>
        <v>激活“VIP专享”勋章\n获得途径：完成指定成就任务</v>
      </c>
      <c r="P231" s="1">
        <v>1</v>
      </c>
    </row>
    <row r="232" spans="1:16">
      <c r="A232" s="1">
        <v>1150029</v>
      </c>
      <c r="C232" s="1">
        <v>1150029</v>
      </c>
      <c r="D232" s="1" t="s">
        <v>316</v>
      </c>
      <c r="E232" s="1">
        <v>2</v>
      </c>
      <c r="F232" s="1" t="s">
        <v>48</v>
      </c>
      <c r="G232" s="1">
        <v>4</v>
      </c>
      <c r="H232" s="1" t="b">
        <v>0</v>
      </c>
      <c r="I232" s="1" t="b">
        <v>0</v>
      </c>
      <c r="J232" s="1" t="s">
        <v>103</v>
      </c>
      <c r="K232" s="1">
        <v>2150029</v>
      </c>
      <c r="L232" s="1" t="b">
        <v>0</v>
      </c>
      <c r="M232" s="1" t="str">
        <f t="shared" si="4"/>
        <v>激活“研发院士”勋章\n获得途径：完成指定成就任务</v>
      </c>
      <c r="P232" s="1">
        <v>1</v>
      </c>
    </row>
    <row r="233" spans="1:16">
      <c r="A233" s="1">
        <v>1150030</v>
      </c>
      <c r="C233" s="1">
        <v>1150030</v>
      </c>
      <c r="D233" s="1" t="s">
        <v>317</v>
      </c>
      <c r="E233" s="1">
        <v>2</v>
      </c>
      <c r="F233" s="1" t="s">
        <v>48</v>
      </c>
      <c r="G233" s="1">
        <v>4</v>
      </c>
      <c r="H233" s="1" t="b">
        <v>0</v>
      </c>
      <c r="I233" s="1" t="b">
        <v>0</v>
      </c>
      <c r="J233" s="1" t="s">
        <v>103</v>
      </c>
      <c r="K233" s="1">
        <v>2150030</v>
      </c>
      <c r="L233" s="1" t="b">
        <v>0</v>
      </c>
      <c r="M233" s="1" t="str">
        <f>"激活“"&amp;D233&amp;"”勋章\n获得途径：完成指定活动"</f>
        <v>激活“社交精英”勋章\n获得途径：完成指定活动</v>
      </c>
      <c r="P233" s="1">
        <v>1</v>
      </c>
    </row>
    <row r="234" spans="1:16">
      <c r="A234" s="1">
        <v>1150031</v>
      </c>
      <c r="C234" s="1">
        <v>1150031</v>
      </c>
      <c r="D234" s="1" t="s">
        <v>318</v>
      </c>
      <c r="E234" s="1">
        <v>2</v>
      </c>
      <c r="F234" s="1" t="s">
        <v>48</v>
      </c>
      <c r="G234" s="1">
        <v>4</v>
      </c>
      <c r="H234" s="1" t="b">
        <v>0</v>
      </c>
      <c r="I234" s="1" t="b">
        <v>0</v>
      </c>
      <c r="J234" s="1" t="s">
        <v>103</v>
      </c>
      <c r="K234" s="1">
        <v>2150031</v>
      </c>
      <c r="L234" s="1" t="b">
        <v>0</v>
      </c>
      <c r="M234" s="1" t="str">
        <f t="shared" ref="M234:M264" si="5">"激活“"&amp;D234&amp;"”勋章\n获得途径：完成指定活动"</f>
        <v>激活“精英团队”勋章\n获得途径：完成指定活动</v>
      </c>
      <c r="P234" s="1">
        <v>1</v>
      </c>
    </row>
    <row r="235" spans="1:16">
      <c r="A235" s="1">
        <v>1150032</v>
      </c>
      <c r="C235" s="1">
        <v>1150032</v>
      </c>
      <c r="D235" s="1" t="s">
        <v>319</v>
      </c>
      <c r="E235" s="1">
        <v>2</v>
      </c>
      <c r="F235" s="1" t="s">
        <v>48</v>
      </c>
      <c r="G235" s="1">
        <v>4</v>
      </c>
      <c r="H235" s="1" t="b">
        <v>0</v>
      </c>
      <c r="I235" s="1" t="b">
        <v>0</v>
      </c>
      <c r="J235" s="1" t="s">
        <v>320</v>
      </c>
      <c r="K235" s="1">
        <v>2150032</v>
      </c>
      <c r="L235" s="1" t="b">
        <v>0</v>
      </c>
      <c r="M235" s="1" t="str">
        <f t="shared" si="5"/>
        <v>激活“游戏大亨”勋章\n获得途径：完成指定活动</v>
      </c>
      <c r="P235" s="1">
        <v>1</v>
      </c>
    </row>
    <row r="236" spans="1:16">
      <c r="A236" s="1">
        <v>1150033</v>
      </c>
      <c r="C236" s="1">
        <v>1150033</v>
      </c>
      <c r="D236" s="1" t="s">
        <v>321</v>
      </c>
      <c r="E236" s="1">
        <v>2</v>
      </c>
      <c r="F236" s="1" t="s">
        <v>48</v>
      </c>
      <c r="G236" s="1">
        <v>4</v>
      </c>
      <c r="H236" s="1" t="b">
        <v>0</v>
      </c>
      <c r="I236" s="1" t="b">
        <v>0</v>
      </c>
      <c r="J236" s="1" t="s">
        <v>103</v>
      </c>
      <c r="K236" s="1">
        <v>2150033</v>
      </c>
      <c r="L236" s="1" t="b">
        <v>0</v>
      </c>
      <c r="M236" s="1" t="str">
        <f t="shared" si="5"/>
        <v>激活“营销高手”勋章\n获得途径：完成指定活动</v>
      </c>
      <c r="P236" s="1">
        <v>1</v>
      </c>
    </row>
    <row r="237" spans="1:16">
      <c r="A237" s="1">
        <v>1150034</v>
      </c>
      <c r="C237" s="1">
        <v>1150034</v>
      </c>
      <c r="D237" s="1" t="s">
        <v>322</v>
      </c>
      <c r="E237" s="1">
        <v>2</v>
      </c>
      <c r="F237" s="1" t="s">
        <v>48</v>
      </c>
      <c r="G237" s="1">
        <v>4</v>
      </c>
      <c r="H237" s="1" t="b">
        <v>0</v>
      </c>
      <c r="I237" s="1" t="b">
        <v>0</v>
      </c>
      <c r="J237" s="1" t="s">
        <v>103</v>
      </c>
      <c r="K237" s="1">
        <v>2150034</v>
      </c>
      <c r="L237" s="1" t="b">
        <v>0</v>
      </c>
      <c r="M237" s="1" t="str">
        <f t="shared" si="5"/>
        <v>激活“招商经理”勋章\n获得途径：完成指定活动</v>
      </c>
      <c r="P237" s="1">
        <v>1</v>
      </c>
    </row>
    <row r="238" spans="1:16">
      <c r="A238" s="1">
        <v>1150035</v>
      </c>
      <c r="C238" s="1">
        <v>1150035</v>
      </c>
      <c r="D238" s="1" t="s">
        <v>323</v>
      </c>
      <c r="E238" s="1">
        <v>2</v>
      </c>
      <c r="F238" s="1" t="s">
        <v>48</v>
      </c>
      <c r="G238" s="1">
        <v>4</v>
      </c>
      <c r="H238" s="1" t="b">
        <v>0</v>
      </c>
      <c r="I238" s="1" t="b">
        <v>0</v>
      </c>
      <c r="J238" s="1" t="s">
        <v>103</v>
      </c>
      <c r="K238" s="1">
        <v>2150035</v>
      </c>
      <c r="L238" s="1" t="b">
        <v>0</v>
      </c>
      <c r="M238" s="1" t="str">
        <f t="shared" si="5"/>
        <v>激活“广告精英”勋章\n获得途径：完成指定活动</v>
      </c>
      <c r="P238" s="1">
        <v>1</v>
      </c>
    </row>
    <row r="239" spans="1:16">
      <c r="A239" s="1">
        <v>1150036</v>
      </c>
      <c r="C239" s="1">
        <v>1150036</v>
      </c>
      <c r="D239" s="1" t="s">
        <v>324</v>
      </c>
      <c r="E239" s="1">
        <v>2</v>
      </c>
      <c r="F239" s="1" t="s">
        <v>48</v>
      </c>
      <c r="G239" s="1">
        <v>4</v>
      </c>
      <c r="H239" s="1" t="b">
        <v>0</v>
      </c>
      <c r="I239" s="1" t="b">
        <v>0</v>
      </c>
      <c r="J239" s="1" t="s">
        <v>103</v>
      </c>
      <c r="K239" s="1">
        <v>2150036</v>
      </c>
      <c r="L239" s="1" t="b">
        <v>0</v>
      </c>
      <c r="M239" s="1" t="str">
        <f t="shared" si="5"/>
        <v>激活“招募精英”勋章\n获得途径：完成指定活动</v>
      </c>
      <c r="P239" s="1">
        <v>1</v>
      </c>
    </row>
    <row r="240" spans="1:16">
      <c r="A240" s="1">
        <v>1150037</v>
      </c>
      <c r="C240" s="1">
        <v>1150037</v>
      </c>
      <c r="D240" s="1" t="s">
        <v>325</v>
      </c>
      <c r="E240" s="1">
        <v>2</v>
      </c>
      <c r="F240" s="1" t="s">
        <v>48</v>
      </c>
      <c r="G240" s="1">
        <v>4</v>
      </c>
      <c r="H240" s="1" t="b">
        <v>0</v>
      </c>
      <c r="I240" s="1" t="b">
        <v>0</v>
      </c>
      <c r="J240" s="1" t="s">
        <v>103</v>
      </c>
      <c r="K240" s="1">
        <v>2150037</v>
      </c>
      <c r="L240" s="1" t="b">
        <v>0</v>
      </c>
      <c r="M240" s="1" t="str">
        <f t="shared" si="5"/>
        <v>激活“商界精英”勋章\n获得途径：完成指定活动</v>
      </c>
      <c r="P240" s="1">
        <v>1</v>
      </c>
    </row>
    <row r="241" spans="1:16">
      <c r="A241" s="1">
        <v>1150038</v>
      </c>
      <c r="C241" s="1">
        <v>1150038</v>
      </c>
      <c r="D241" s="1" t="s">
        <v>326</v>
      </c>
      <c r="E241" s="1">
        <v>2</v>
      </c>
      <c r="F241" s="1" t="s">
        <v>48</v>
      </c>
      <c r="G241" s="1">
        <v>4</v>
      </c>
      <c r="H241" s="1" t="b">
        <v>0</v>
      </c>
      <c r="I241" s="1" t="b">
        <v>0</v>
      </c>
      <c r="J241" s="1" t="s">
        <v>103</v>
      </c>
      <c r="K241" s="1">
        <v>2150038</v>
      </c>
      <c r="L241" s="1" t="b">
        <v>0</v>
      </c>
      <c r="M241" s="1" t="str">
        <f t="shared" si="5"/>
        <v>激活“策略大师”勋章\n获得途径：完成指定活动</v>
      </c>
      <c r="P241" s="1">
        <v>1</v>
      </c>
    </row>
    <row r="242" spans="1:16">
      <c r="A242" s="1">
        <v>1150039</v>
      </c>
      <c r="C242" s="1">
        <v>1150039</v>
      </c>
      <c r="D242" s="1" t="s">
        <v>327</v>
      </c>
      <c r="E242" s="1">
        <v>2</v>
      </c>
      <c r="F242" s="1" t="s">
        <v>48</v>
      </c>
      <c r="G242" s="1">
        <v>4</v>
      </c>
      <c r="H242" s="1" t="b">
        <v>0</v>
      </c>
      <c r="I242" s="1" t="b">
        <v>0</v>
      </c>
      <c r="J242" s="1" t="s">
        <v>328</v>
      </c>
      <c r="K242" s="1">
        <v>2150039</v>
      </c>
      <c r="L242" s="1" t="b">
        <v>0</v>
      </c>
      <c r="M242" s="1" t="str">
        <f t="shared" si="5"/>
        <v>激活“幸运之神”勋章\n获得途径：完成指定活动</v>
      </c>
      <c r="P242" s="1">
        <v>1</v>
      </c>
    </row>
    <row r="243" spans="1:16">
      <c r="A243" s="1">
        <v>1150040</v>
      </c>
      <c r="C243" s="1">
        <v>1150040</v>
      </c>
      <c r="D243" s="1" t="s">
        <v>329</v>
      </c>
      <c r="E243" s="1">
        <v>2</v>
      </c>
      <c r="F243" s="1" t="s">
        <v>48</v>
      </c>
      <c r="G243" s="1">
        <v>4</v>
      </c>
      <c r="H243" s="1" t="b">
        <v>0</v>
      </c>
      <c r="I243" s="1" t="b">
        <v>0</v>
      </c>
      <c r="J243" s="1" t="s">
        <v>103</v>
      </c>
      <c r="K243" s="1">
        <v>2150040</v>
      </c>
      <c r="L243" s="1" t="b">
        <v>0</v>
      </c>
      <c r="M243" s="1" t="str">
        <f t="shared" si="5"/>
        <v>激活“大奖得主”勋章\n获得途径：完成指定活动</v>
      </c>
      <c r="P243" s="1">
        <v>1</v>
      </c>
    </row>
    <row r="244" spans="1:16">
      <c r="A244" s="1">
        <v>1150041</v>
      </c>
      <c r="C244" s="1">
        <v>1150041</v>
      </c>
      <c r="D244" s="1" t="s">
        <v>330</v>
      </c>
      <c r="E244" s="1">
        <v>2</v>
      </c>
      <c r="F244" s="1" t="s">
        <v>48</v>
      </c>
      <c r="G244" s="1">
        <v>4</v>
      </c>
      <c r="H244" s="1" t="b">
        <v>0</v>
      </c>
      <c r="I244" s="1" t="b">
        <v>0</v>
      </c>
      <c r="J244" s="1" t="s">
        <v>103</v>
      </c>
      <c r="K244" s="1">
        <v>2150041</v>
      </c>
      <c r="L244" s="1" t="b">
        <v>0</v>
      </c>
      <c r="M244" s="1" t="str">
        <f t="shared" si="5"/>
        <v>激活“最佳经理人”勋章\n获得途径：完成指定活动</v>
      </c>
      <c r="P244" s="1">
        <v>1</v>
      </c>
    </row>
    <row r="245" spans="1:16">
      <c r="A245" s="1">
        <v>1150042</v>
      </c>
      <c r="C245" s="1">
        <v>1150042</v>
      </c>
      <c r="D245" s="1" t="s">
        <v>331</v>
      </c>
      <c r="E245" s="1">
        <v>2</v>
      </c>
      <c r="F245" s="1" t="s">
        <v>48</v>
      </c>
      <c r="G245" s="1">
        <v>5</v>
      </c>
      <c r="H245" s="1" t="b">
        <v>0</v>
      </c>
      <c r="I245" s="1" t="b">
        <v>0</v>
      </c>
      <c r="J245" s="1" t="s">
        <v>332</v>
      </c>
      <c r="K245" s="1">
        <v>2150042</v>
      </c>
      <c r="L245" s="1" t="b">
        <v>0</v>
      </c>
      <c r="M245" s="1" t="str">
        <f t="shared" si="5"/>
        <v>激活“财富神话”勋章\n获得途径：完成指定活动</v>
      </c>
      <c r="P245" s="1">
        <v>1</v>
      </c>
    </row>
    <row r="246" spans="1:16">
      <c r="A246" s="1">
        <v>1150043</v>
      </c>
      <c r="C246" s="1">
        <v>1150043</v>
      </c>
      <c r="D246" s="1" t="s">
        <v>333</v>
      </c>
      <c r="E246" s="1">
        <v>2</v>
      </c>
      <c r="F246" s="1" t="s">
        <v>48</v>
      </c>
      <c r="G246" s="1">
        <v>5</v>
      </c>
      <c r="H246" s="1" t="b">
        <v>0</v>
      </c>
      <c r="I246" s="1" t="b">
        <v>0</v>
      </c>
      <c r="J246" s="1" t="s">
        <v>103</v>
      </c>
      <c r="K246" s="1">
        <v>2150043</v>
      </c>
      <c r="L246" s="1" t="b">
        <v>0</v>
      </c>
      <c r="M246" s="1" t="str">
        <f t="shared" si="5"/>
        <v>激活“财运亨通”勋章\n获得途径：完成指定活动</v>
      </c>
      <c r="P246" s="1">
        <v>1</v>
      </c>
    </row>
    <row r="247" spans="1:16">
      <c r="A247" s="1">
        <v>1150044</v>
      </c>
      <c r="C247" s="1">
        <v>1150044</v>
      </c>
      <c r="D247" s="1" t="s">
        <v>334</v>
      </c>
      <c r="E247" s="1">
        <v>2</v>
      </c>
      <c r="F247" s="1" t="s">
        <v>48</v>
      </c>
      <c r="G247" s="1">
        <v>5</v>
      </c>
      <c r="H247" s="1" t="b">
        <v>0</v>
      </c>
      <c r="I247" s="1" t="b">
        <v>0</v>
      </c>
      <c r="J247" s="1" t="s">
        <v>103</v>
      </c>
      <c r="K247" s="1">
        <v>2150044</v>
      </c>
      <c r="L247" s="1" t="b">
        <v>0</v>
      </c>
      <c r="M247" s="1" t="str">
        <f t="shared" si="5"/>
        <v>激活“亿万富豪”勋章\n获得途径：完成指定活动</v>
      </c>
      <c r="P247" s="1">
        <v>1</v>
      </c>
    </row>
    <row r="248" spans="1:16">
      <c r="A248" s="1">
        <v>1150045</v>
      </c>
      <c r="C248" s="1">
        <v>1150045</v>
      </c>
      <c r="D248" s="1" t="s">
        <v>335</v>
      </c>
      <c r="E248" s="1">
        <v>2</v>
      </c>
      <c r="F248" s="1" t="s">
        <v>48</v>
      </c>
      <c r="G248" s="1">
        <v>5</v>
      </c>
      <c r="H248" s="1" t="b">
        <v>0</v>
      </c>
      <c r="I248" s="1" t="b">
        <v>0</v>
      </c>
      <c r="J248" s="1" t="s">
        <v>103</v>
      </c>
      <c r="K248" s="1">
        <v>2150045</v>
      </c>
      <c r="L248" s="1" t="b">
        <v>0</v>
      </c>
      <c r="M248" s="1" t="str">
        <f t="shared" si="5"/>
        <v>激活“巨富大亨”勋章\n获得途径：完成指定活动</v>
      </c>
      <c r="P248" s="1">
        <v>1</v>
      </c>
    </row>
    <row r="249" spans="1:16">
      <c r="A249" s="1">
        <v>1150046</v>
      </c>
      <c r="C249" s="1">
        <v>1150046</v>
      </c>
      <c r="D249" s="1" t="s">
        <v>336</v>
      </c>
      <c r="E249" s="1">
        <v>2</v>
      </c>
      <c r="F249" s="1" t="s">
        <v>48</v>
      </c>
      <c r="G249" s="1">
        <v>5</v>
      </c>
      <c r="H249" s="1" t="b">
        <v>0</v>
      </c>
      <c r="I249" s="1" t="b">
        <v>0</v>
      </c>
      <c r="J249" s="1" t="s">
        <v>103</v>
      </c>
      <c r="K249" s="1">
        <v>2150046</v>
      </c>
      <c r="L249" s="1" t="b">
        <v>0</v>
      </c>
      <c r="M249" s="1" t="str">
        <f t="shared" si="5"/>
        <v>激活“传奇赢家”勋章\n获得途径：完成指定活动</v>
      </c>
      <c r="P249" s="1">
        <v>1</v>
      </c>
    </row>
    <row r="250" spans="1:16">
      <c r="A250" s="1">
        <v>1150047</v>
      </c>
      <c r="C250" s="1">
        <v>1150047</v>
      </c>
      <c r="D250" s="1" t="s">
        <v>337</v>
      </c>
      <c r="E250" s="1">
        <v>2</v>
      </c>
      <c r="F250" s="1" t="s">
        <v>48</v>
      </c>
      <c r="G250" s="1">
        <v>5</v>
      </c>
      <c r="H250" s="1" t="b">
        <v>0</v>
      </c>
      <c r="I250" s="1" t="b">
        <v>0</v>
      </c>
      <c r="J250" s="1" t="s">
        <v>103</v>
      </c>
      <c r="K250" s="1">
        <v>2150047</v>
      </c>
      <c r="L250" s="1" t="b">
        <v>0</v>
      </c>
      <c r="M250" s="1" t="str">
        <f t="shared" si="5"/>
        <v>激活“营销冠军”勋章\n获得途径：完成指定活动</v>
      </c>
      <c r="P250" s="1">
        <v>1</v>
      </c>
    </row>
    <row r="251" spans="1:16">
      <c r="A251" s="1">
        <v>1150048</v>
      </c>
      <c r="C251" s="1">
        <v>1150048</v>
      </c>
      <c r="D251" s="1" t="s">
        <v>338</v>
      </c>
      <c r="E251" s="1">
        <v>2</v>
      </c>
      <c r="F251" s="1" t="s">
        <v>48</v>
      </c>
      <c r="G251" s="1">
        <v>5</v>
      </c>
      <c r="H251" s="1" t="b">
        <v>0</v>
      </c>
      <c r="I251" s="1" t="b">
        <v>0</v>
      </c>
      <c r="J251" s="1" t="s">
        <v>339</v>
      </c>
      <c r="K251" s="1">
        <v>2150048</v>
      </c>
      <c r="L251" s="1" t="b">
        <v>0</v>
      </c>
      <c r="M251" s="1" t="str">
        <f t="shared" si="5"/>
        <v>激活“产业巨头”勋章\n获得途径：完成指定活动</v>
      </c>
      <c r="P251" s="1">
        <v>1</v>
      </c>
    </row>
    <row r="252" spans="1:16">
      <c r="A252" s="1">
        <v>1150049</v>
      </c>
      <c r="C252" s="1">
        <v>1150049</v>
      </c>
      <c r="D252" s="1" t="s">
        <v>340</v>
      </c>
      <c r="E252" s="1">
        <v>2</v>
      </c>
      <c r="F252" s="1" t="s">
        <v>48</v>
      </c>
      <c r="G252" s="1">
        <v>5</v>
      </c>
      <c r="H252" s="1" t="b">
        <v>0</v>
      </c>
      <c r="I252" s="1" t="b">
        <v>0</v>
      </c>
      <c r="J252" s="1" t="s">
        <v>103</v>
      </c>
      <c r="K252" s="1">
        <v>2150049</v>
      </c>
      <c r="L252" s="1" t="b">
        <v>0</v>
      </c>
      <c r="M252" s="1" t="str">
        <f t="shared" si="5"/>
        <v>激活“管理大师”勋章\n获得途径：完成指定活动</v>
      </c>
      <c r="P252" s="1">
        <v>1</v>
      </c>
    </row>
    <row r="253" spans="1:16">
      <c r="A253" s="1">
        <v>1150050</v>
      </c>
      <c r="C253" s="1">
        <v>1150050</v>
      </c>
      <c r="D253" s="1" t="s">
        <v>341</v>
      </c>
      <c r="E253" s="1">
        <v>2</v>
      </c>
      <c r="F253" s="1" t="s">
        <v>48</v>
      </c>
      <c r="G253" s="1">
        <v>5</v>
      </c>
      <c r="H253" s="1" t="b">
        <v>0</v>
      </c>
      <c r="I253" s="1" t="b">
        <v>0</v>
      </c>
      <c r="J253" s="1" t="s">
        <v>103</v>
      </c>
      <c r="K253" s="1">
        <v>2150050</v>
      </c>
      <c r="L253" s="1" t="b">
        <v>0</v>
      </c>
      <c r="M253" s="1" t="str">
        <f t="shared" si="5"/>
        <v>激活“娱乐大亨”勋章\n获得途径：完成指定活动</v>
      </c>
      <c r="P253" s="1">
        <v>1</v>
      </c>
    </row>
    <row r="254" spans="1:16">
      <c r="A254" s="1">
        <v>1150051</v>
      </c>
      <c r="C254" s="1">
        <v>1150051</v>
      </c>
      <c r="D254" s="1" t="s">
        <v>342</v>
      </c>
      <c r="E254" s="1">
        <v>2</v>
      </c>
      <c r="F254" s="1" t="s">
        <v>48</v>
      </c>
      <c r="G254" s="1">
        <v>5</v>
      </c>
      <c r="H254" s="1" t="b">
        <v>0</v>
      </c>
      <c r="I254" s="1" t="b">
        <v>0</v>
      </c>
      <c r="J254" s="1" t="s">
        <v>103</v>
      </c>
      <c r="K254" s="1">
        <v>2150051</v>
      </c>
      <c r="L254" s="1" t="b">
        <v>0</v>
      </c>
      <c r="M254" s="1" t="str">
        <f t="shared" si="5"/>
        <v>激活“商界奇才”勋章\n获得途径：完成指定活动</v>
      </c>
      <c r="P254" s="1">
        <v>1</v>
      </c>
    </row>
    <row r="255" spans="1:16">
      <c r="A255" s="1">
        <v>1150052</v>
      </c>
      <c r="C255" s="1">
        <v>1150052</v>
      </c>
      <c r="D255" s="1" t="s">
        <v>343</v>
      </c>
      <c r="E255" s="1">
        <v>2</v>
      </c>
      <c r="F255" s="1" t="s">
        <v>48</v>
      </c>
      <c r="G255" s="1">
        <v>5</v>
      </c>
      <c r="H255" s="1" t="b">
        <v>0</v>
      </c>
      <c r="I255" s="1" t="b">
        <v>0</v>
      </c>
      <c r="J255" s="1" t="s">
        <v>103</v>
      </c>
      <c r="K255" s="1">
        <v>2150052</v>
      </c>
      <c r="L255" s="1" t="b">
        <v>0</v>
      </c>
      <c r="M255" s="1" t="str">
        <f t="shared" si="5"/>
        <v>激活“商界传奇”勋章\n获得途径：完成指定活动</v>
      </c>
      <c r="P255" s="1">
        <v>1</v>
      </c>
    </row>
    <row r="256" spans="1:16">
      <c r="A256" s="1">
        <v>1150053</v>
      </c>
      <c r="C256" s="1">
        <v>1150053</v>
      </c>
      <c r="D256" s="1" t="s">
        <v>344</v>
      </c>
      <c r="E256" s="1">
        <v>2</v>
      </c>
      <c r="F256" s="1" t="s">
        <v>48</v>
      </c>
      <c r="G256" s="1">
        <v>5</v>
      </c>
      <c r="H256" s="1" t="b">
        <v>0</v>
      </c>
      <c r="I256" s="1" t="b">
        <v>0</v>
      </c>
      <c r="J256" s="1" t="s">
        <v>103</v>
      </c>
      <c r="K256" s="1">
        <v>2150053</v>
      </c>
      <c r="L256" s="1" t="b">
        <v>0</v>
      </c>
      <c r="M256" s="1" t="str">
        <f t="shared" si="5"/>
        <v>激活“科研之王”勋章\n获得途径：完成指定活动</v>
      </c>
      <c r="P256" s="1">
        <v>1</v>
      </c>
    </row>
    <row r="257" spans="1:16">
      <c r="A257" s="1">
        <v>1150054</v>
      </c>
      <c r="C257" s="1">
        <v>1150054</v>
      </c>
      <c r="D257" s="1" t="s">
        <v>345</v>
      </c>
      <c r="E257" s="1">
        <v>2</v>
      </c>
      <c r="F257" s="1" t="s">
        <v>48</v>
      </c>
      <c r="G257" s="1">
        <v>5</v>
      </c>
      <c r="H257" s="1" t="b">
        <v>0</v>
      </c>
      <c r="I257" s="1" t="b">
        <v>0</v>
      </c>
      <c r="J257" s="1" t="s">
        <v>346</v>
      </c>
      <c r="K257" s="1">
        <v>2150054</v>
      </c>
      <c r="L257" s="1" t="b">
        <v>0</v>
      </c>
      <c r="M257" s="1" t="str">
        <f t="shared" si="5"/>
        <v>激活“转轮之王”勋章\n获得途径：完成指定活动</v>
      </c>
      <c r="P257" s="1">
        <v>1</v>
      </c>
    </row>
    <row r="258" spans="1:16">
      <c r="A258" s="1">
        <v>1150055</v>
      </c>
      <c r="C258" s="1">
        <v>1150055</v>
      </c>
      <c r="D258" s="1" t="s">
        <v>347</v>
      </c>
      <c r="E258" s="1">
        <v>2</v>
      </c>
      <c r="F258" s="1" t="s">
        <v>48</v>
      </c>
      <c r="G258" s="1">
        <v>5</v>
      </c>
      <c r="H258" s="1" t="b">
        <v>0</v>
      </c>
      <c r="I258" s="1" t="b">
        <v>0</v>
      </c>
      <c r="J258" s="1" t="s">
        <v>103</v>
      </c>
      <c r="K258" s="1">
        <v>2150055</v>
      </c>
      <c r="L258" s="1" t="b">
        <v>0</v>
      </c>
      <c r="M258" s="1" t="str">
        <f t="shared" si="5"/>
        <v>激活“赌场之王”勋章\n获得途径：完成指定活动</v>
      </c>
      <c r="P258" s="1">
        <v>1</v>
      </c>
    </row>
    <row r="259" spans="1:16">
      <c r="A259" s="1">
        <v>1150056</v>
      </c>
      <c r="C259" s="1">
        <v>1150056</v>
      </c>
      <c r="D259" s="1" t="s">
        <v>348</v>
      </c>
      <c r="E259" s="1">
        <v>2</v>
      </c>
      <c r="F259" s="1" t="s">
        <v>48</v>
      </c>
      <c r="G259" s="1">
        <v>5</v>
      </c>
      <c r="H259" s="1" t="b">
        <v>0</v>
      </c>
      <c r="I259" s="1" t="b">
        <v>0</v>
      </c>
      <c r="J259" s="1" t="s">
        <v>103</v>
      </c>
      <c r="K259" s="1">
        <v>2150056</v>
      </c>
      <c r="L259" s="1" t="b">
        <v>0</v>
      </c>
      <c r="M259" s="1" t="str">
        <f t="shared" si="5"/>
        <v>激活“全服名人”勋章\n获得途径：完成指定活动</v>
      </c>
      <c r="P259" s="1">
        <v>1</v>
      </c>
    </row>
    <row r="260" spans="1:16">
      <c r="A260" s="1">
        <v>1150057</v>
      </c>
      <c r="C260" s="1">
        <v>1150057</v>
      </c>
      <c r="D260" s="1" t="s">
        <v>349</v>
      </c>
      <c r="E260" s="1">
        <v>2</v>
      </c>
      <c r="F260" s="1" t="s">
        <v>48</v>
      </c>
      <c r="G260" s="1">
        <v>5</v>
      </c>
      <c r="H260" s="1" t="b">
        <v>0</v>
      </c>
      <c r="I260" s="1" t="b">
        <v>0</v>
      </c>
      <c r="J260" s="1" t="s">
        <v>103</v>
      </c>
      <c r="K260" s="1">
        <v>2150057</v>
      </c>
      <c r="L260" s="1" t="b">
        <v>0</v>
      </c>
      <c r="M260" s="1" t="str">
        <f t="shared" si="5"/>
        <v>激活“富贵逼人”勋章\n获得途径：完成指定活动</v>
      </c>
      <c r="P260" s="1">
        <v>1</v>
      </c>
    </row>
    <row r="261" spans="1:16">
      <c r="A261" s="1">
        <v>1150058</v>
      </c>
      <c r="C261" s="1">
        <v>1150058</v>
      </c>
      <c r="D261" s="1" t="s">
        <v>350</v>
      </c>
      <c r="E261" s="1">
        <v>2</v>
      </c>
      <c r="F261" s="1" t="s">
        <v>48</v>
      </c>
      <c r="G261" s="1">
        <v>5</v>
      </c>
      <c r="H261" s="1" t="b">
        <v>0</v>
      </c>
      <c r="I261" s="1" t="b">
        <v>0</v>
      </c>
      <c r="J261" s="1" t="s">
        <v>103</v>
      </c>
      <c r="K261" s="1">
        <v>2150058</v>
      </c>
      <c r="L261" s="1" t="b">
        <v>0</v>
      </c>
      <c r="M261" s="1" t="str">
        <f t="shared" si="5"/>
        <v>激活“辉煌人生”勋章\n获得途径：完成指定活动</v>
      </c>
      <c r="P261" s="1">
        <v>1</v>
      </c>
    </row>
    <row r="262" spans="1:16">
      <c r="A262" s="1">
        <v>1150059</v>
      </c>
      <c r="C262" s="1">
        <v>1150059</v>
      </c>
      <c r="D262" s="1" t="s">
        <v>351</v>
      </c>
      <c r="E262" s="1">
        <v>2</v>
      </c>
      <c r="F262" s="1" t="s">
        <v>48</v>
      </c>
      <c r="G262" s="1">
        <v>5</v>
      </c>
      <c r="H262" s="1" t="b">
        <v>0</v>
      </c>
      <c r="I262" s="1" t="b">
        <v>0</v>
      </c>
      <c r="J262" s="1" t="s">
        <v>103</v>
      </c>
      <c r="K262" s="1">
        <v>2150059</v>
      </c>
      <c r="L262" s="1" t="b">
        <v>0</v>
      </c>
      <c r="M262" s="1" t="str">
        <f t="shared" si="5"/>
        <v>激活“风云人物”勋章\n获得途径：完成指定活动</v>
      </c>
      <c r="P262" s="1">
        <v>1</v>
      </c>
    </row>
    <row r="263" spans="1:16">
      <c r="A263" s="1">
        <v>1150060</v>
      </c>
      <c r="C263" s="1">
        <v>1150060</v>
      </c>
      <c r="D263" s="1" t="s">
        <v>352</v>
      </c>
      <c r="E263" s="1">
        <v>2</v>
      </c>
      <c r="F263" s="1" t="s">
        <v>48</v>
      </c>
      <c r="G263" s="1">
        <v>5</v>
      </c>
      <c r="H263" s="1" t="b">
        <v>0</v>
      </c>
      <c r="I263" s="1" t="b">
        <v>0</v>
      </c>
      <c r="J263" s="1" t="s">
        <v>103</v>
      </c>
      <c r="K263" s="1">
        <v>2150060</v>
      </c>
      <c r="L263" s="1" t="b">
        <v>0</v>
      </c>
      <c r="M263" s="1" t="str">
        <f t="shared" si="5"/>
        <v>激活“名震世界”勋章\n获得途径：完成指定活动</v>
      </c>
      <c r="P263" s="1">
        <v>1</v>
      </c>
    </row>
    <row r="264" spans="1:16">
      <c r="A264" s="1">
        <v>1150061</v>
      </c>
      <c r="C264" s="1">
        <v>1150061</v>
      </c>
      <c r="D264" s="1" t="s">
        <v>353</v>
      </c>
      <c r="E264" s="1">
        <v>2</v>
      </c>
      <c r="F264" s="1" t="s">
        <v>48</v>
      </c>
      <c r="G264" s="1">
        <v>5</v>
      </c>
      <c r="H264" s="1" t="b">
        <v>0</v>
      </c>
      <c r="I264" s="1" t="b">
        <v>0</v>
      </c>
      <c r="J264" s="1" t="s">
        <v>103</v>
      </c>
      <c r="K264" s="1">
        <v>2150061</v>
      </c>
      <c r="L264" s="1" t="b">
        <v>0</v>
      </c>
      <c r="M264" s="1" t="str">
        <f t="shared" si="5"/>
        <v>激活“时代传说”勋章\n获得途径：完成指定活动</v>
      </c>
      <c r="P264" s="1">
        <v>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2025-07-14T07:23:00Z</dcterms:created>
  <dcterms:modified xsi:type="dcterms:W3CDTF">2026-07-06T12:09:05Z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474F67B9AFA54D54BA52F71126A1A698_11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