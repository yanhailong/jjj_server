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
7：金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TRUE:进背包
FALSE:不进背包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当值为1时，不在背包内显示
为0时，不处理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  <comment ref="A1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A1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A1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<sst xmlns="http://schemas.openxmlformats.org/spreadsheetml/2006/main" count="687" uniqueCount="257">
  <si>
    <t>道具ID</t>
  </si>
  <si>
    <t>名称多语言ID</t>
  </si>
  <si>
    <t>备注</t>
  </si>
  <si>
    <t>类型</t>
  </si>
  <si>
    <t>道具品质</t>
  </si>
  <si>
    <t>是否进背包</t>
  </si>
  <si>
    <t>是否允许在背包内展示</t>
  </si>
  <si>
    <t>图标资源名</t>
  </si>
  <si>
    <t>描述多语言ID</t>
  </si>
  <si>
    <t>是否需要调用多语言</t>
  </si>
  <si>
    <t>激活的装扮</t>
  </si>
  <si>
    <t>自动激活的图鉴ID</t>
  </si>
  <si>
    <t>最大堆叠数量</t>
  </si>
  <si>
    <t>使用道具后获得道具</t>
  </si>
  <si>
    <t>掉落ID</t>
  </si>
  <si>
    <t>价值/美元</t>
  </si>
  <si>
    <t>int</t>
  </si>
  <si>
    <t>bool</t>
  </si>
  <si>
    <t>string</t>
  </si>
  <si>
    <t>map&lt;int{_}long&gt;{;}</t>
  </si>
  <si>
    <t>id</t>
  </si>
  <si>
    <t>name</t>
  </si>
  <si>
    <t>type</t>
  </si>
  <si>
    <t>quality</t>
  </si>
  <si>
    <t>isBag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</si>
  <si>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</si>
  <si>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</si>
  <si>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</si>
  <si>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</si>
  <si>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</si>
  <si>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</si>
  <si>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</si>
  <si>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</si>
  <si>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dropId</t>
  </si>
  <si>
    <t>金币</t>
  </si>
  <si>
    <t>货币</t>
  </si>
  <si>
    <t>jinbi_1.png</t>
  </si>
  <si>
    <t>下注时需要用的货币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</si>
  <si>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</si>
  <si>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</si>
  <si>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</si>
  <si>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</si>
  <si>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</si>
  <si>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</si>
  <si>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</si>
  <si>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</si>
  <si>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</si>
  <si>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</si>
  <si>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</si>
  <si>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</si>
  <si>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</si>
  <si>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</si>
  <si>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</si>
  <si>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</si>
  <si>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</si>
  <si>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</si>
  <si>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赌场工具（普通）</t>
  </si>
  <si>
    <t>可使用道具</t>
  </si>
  <si>
    <t>wdcc_ccb_1.png</t>
  </si>
  <si>
    <t>使用后随机获得1~2星赌场建筑升级道具</t>
  </si>
  <si>
    <t>赌场工具（精良）</t>
  </si>
  <si>
    <t>wdcc_ccb_2.png</t>
  </si>
  <si>
    <t>赌场工具（优秀）</t>
  </si>
  <si>
    <t>wdcc_ccb_3.png</t>
  </si>
  <si>
    <t>使用后随机获得1~3星赌场建筑升级道具</t>
  </si>
  <si>
    <t>赌场工具（绝佳）</t>
  </si>
  <si>
    <t>itemicon_1010101.png</t>
  </si>
  <si>
    <t>使用后随机获得1~4星赌场建筑升级道具</t>
  </si>
  <si>
    <t>赌场工具（传奇）</t>
  </si>
  <si>
    <t>使用后随机获得1~5星赌场建筑升级道具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</si>
  <si>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</si>
  <si>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</si>
  <si>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</si>
  <si>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</si>
  <si>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</si>
  <si>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</si>
  <si>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</si>
  <si>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</si>
  <si>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</si>
  <si>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</si>
  <si>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</si>
  <si>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</si>
  <si>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</si>
  <si>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</si>
  <si>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</si>
  <si>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</si>
  <si>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</si>
  <si>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</si>
  <si>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</si>
  <si>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</si>
  <si>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</si>
  <si>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</si>
  <si>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</si>
  <si>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</si>
  <si>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</si>
  <si>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</si>
  <si>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</si>
  <si>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</si>
  <si>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</si>
  <si>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</si>
  <si>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</si>
  <si>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</si>
  <si>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</si>
  <si>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</si>
  <si>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</si>
  <si>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</si>
  <si>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</si>
  <si>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</si>
  <si>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</si>
  <si>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</si>
  <si>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</si>
  <si>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</si>
  <si>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</si>
  <si>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</si>
  <si>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</si>
  <si>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</si>
  <si>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</si>
  <si>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</si>
  <si>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</si>
  <si>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</si>
  <si>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</si>
  <si>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</si>
  <si>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</si>
  <si>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</si>
  <si>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</si>
  <si>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</si>
  <si>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</si>
  <si>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</si>
  <si>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</si>
  <si>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</si>
  <si>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</si>
  <si>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</si>
  <si>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</si>
  <si>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</si>
  <si>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</si>
  <si>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</si>
  <si>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</si>
  <si>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</si>
  <si>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</si>
  <si>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</si>
  <si>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</si>
  <si>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</si>
  <si>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</si>
  <si>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</si>
  <si>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</si>
  <si>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</si>
  <si>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</si>
  <si>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</si>
  <si>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</si>
  <si>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</si>
  <si>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</si>
  <si>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</si>
  <si>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</si>
  <si>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</si>
  <si>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</si>
  <si>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</si>
  <si>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</si>
  <si>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</si>
  <si>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</si>
  <si>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</si>
  <si>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</si>
  <si>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</si>
  <si>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daoju_nl.png</t>
  </si>
  <si>
    <t>SLOT游戏需求材料</t>
  </si>
  <si>
    <t>曝光度</t>
  </si>
  <si>
    <t>daoju_bgd.png</t>
  </si>
  <si>
    <t>建筑收益</t>
  </si>
  <si>
    <t>研究点</t>
  </si>
  <si>
    <t>升级游戏特殊词条</t>
  </si>
  <si>
    <t>稀有研究点</t>
  </si>
  <si>
    <t>加速卡</t>
  </si>
  <si>
    <t>daoju_jsk.png</t>
  </si>
  <si>
    <t>加速建筑升级的CD时间</t>
  </si>
  <si>
    <t>雇员升级材料1</t>
  </si>
  <si>
    <t>雇员升级材料2</t>
  </si>
  <si>
    <t>雇员升级材料3</t>
  </si>
  <si>
    <t>声誉值</t>
  </si>
  <si>
    <t>贡献值</t>
  </si>
  <si>
    <t>街头潮人</t>
  </si>
  <si>
    <t>复古绅士</t>
  </si>
  <si>
    <t>酷盖少年</t>
  </si>
  <si>
    <t>潮流先锋</t>
  </si>
  <si>
    <t>时尚教主</t>
  </si>
  <si>
    <t>街拍达人</t>
  </si>
  <si>
    <t>运动健将</t>
  </si>
  <si>
    <t>跑酷少年</t>
  </si>
  <si>
    <t>滑板高手</t>
  </si>
  <si>
    <t>甜心辣妹</t>
  </si>
  <si>
    <t>活力少女</t>
  </si>
  <si>
    <t>优雅女神</t>
  </si>
  <si>
    <t>健身狂魔</t>
  </si>
  <si>
    <t>单车骑士</t>
  </si>
  <si>
    <t>登山行者</t>
  </si>
  <si>
    <t>文艺青年</t>
  </si>
  <si>
    <t>书香少女</t>
  </si>
  <si>
    <t>民谣歌手</t>
  </si>
  <si>
    <t>马拉松客</t>
  </si>
  <si>
    <t>极限玩家</t>
  </si>
  <si>
    <t>科技极客</t>
  </si>
  <si>
    <t>独立画家</t>
  </si>
  <si>
    <t>浪漫诗人</t>
  </si>
  <si>
    <t>古典乐迷</t>
  </si>
  <si>
    <t>创业新贵</t>
  </si>
  <si>
    <t>摸金校尉</t>
  </si>
  <si>
    <t>氪金大佬</t>
  </si>
  <si>
    <t>穿搭博主</t>
  </si>
  <si>
    <t>美妆新秀</t>
  </si>
  <si>
    <t>高定女王</t>
  </si>
  <si>
    <t>威廉</t>
  </si>
  <si>
    <t>艾拉</t>
  </si>
  <si>
    <t>亨利</t>
  </si>
  <si>
    <t>艾玛</t>
  </si>
  <si>
    <t>乔治</t>
  </si>
  <si>
    <t>艾娃</t>
  </si>
  <si>
    <t>亚瑟</t>
  </si>
  <si>
    <t>安娜</t>
  </si>
  <si>
    <t>马修</t>
  </si>
  <si>
    <t>哈珀</t>
  </si>
  <si>
    <t>拉斐尔</t>
  </si>
  <si>
    <t>伊芙琳</t>
  </si>
  <si>
    <t>埃米尔</t>
  </si>
  <si>
    <t>夏洛特</t>
  </si>
  <si>
    <t>雷蒙德</t>
  </si>
  <si>
    <t>斯嘉丽</t>
  </si>
  <si>
    <t>丹尼尔</t>
  </si>
  <si>
    <t>莉莉安</t>
  </si>
  <si>
    <t>卢卡斯</t>
  </si>
  <si>
    <t>克拉拉</t>
  </si>
  <si>
    <t>尼古拉斯</t>
  </si>
  <si>
    <t>奥利维亚</t>
  </si>
  <si>
    <t>亚历山大</t>
  </si>
  <si>
    <t>玛格丽特</t>
  </si>
  <si>
    <t>奥古斯特</t>
  </si>
  <si>
    <t>维奥莱特</t>
  </si>
  <si>
    <t>费利克斯</t>
  </si>
  <si>
    <t>维多利亚</t>
  </si>
  <si>
    <t>阿尔弗雷德</t>
  </si>
  <si>
    <t>伊丽莎白</t>
  </si>
  <si>
    <t>旋转次数：转轮王者</t>
  </si>
  <si>
    <t>激活“转轮王者”勋章</t>
  </si>
  <si>
    <t>建筑升级：建筑大师</t>
  </si>
  <si>
    <t>激活“建筑大师”勋章</t>
  </si>
  <si>
    <t>观看广告：娱乐大哼</t>
  </si>
  <si>
    <t>激活“娱乐大哼”勋章</t>
  </si>
  <si>
    <t>雇员数量：经营CEO</t>
  </si>
  <si>
    <t>激活“经营CEO”勋章</t>
  </si>
  <si>
    <t>雇员星级：培养能手</t>
  </si>
  <si>
    <t>激活“培养能手”勋章</t>
  </si>
  <si>
    <t>金币收益：亿万富豪</t>
  </si>
  <si>
    <t>能量收益：收集达人</t>
  </si>
  <si>
    <t>激活“收集达人”勋章</t>
  </si>
  <si>
    <t>招商游客：招商干将</t>
  </si>
  <si>
    <t>激活“招商干将”勋章</t>
  </si>
  <si>
    <t>接待游客：人气之王</t>
  </si>
  <si>
    <t>激活“人气之王”勋章</t>
  </si>
  <si>
    <t>研发游戏：科研大佬</t>
  </si>
  <si>
    <t>激活“科研大佬”勋章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</si>
</sst>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3" fontId="1" fillId="2" borderId="0" xfId="0" applyNumberFormat="1" applyFont="1" applyFill="1">
      <alignment vertical="center"/>
    </xf>
    <xf numFmtId="0" fontId="0" fillId="2" borderId="0" xfId="0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9"/>
  <sheetViews>
    <sheetView tabSelected="1" zoomScale="85" zoomScaleNormal="85" workbookViewId="0">
      <pane ySplit="4" topLeftCell="A55" activePane="bottomLeft" state="frozen"/>
      <selection/>
      <selection pane="bottomLeft" activeCell="Q76" sqref="Q76"/>
    </sheetView>
  </sheetViews>
  <sheetFormatPr defaultColWidth="9" defaultRowHeight="13.5"/>
  <cols>
    <col min="1" max="1" width="8.375" customWidth="1"/>
    <col min="2" max="2" width="5.375" customWidth="1"/>
    <col min="3" max="3" width="13.125" customWidth="1"/>
    <col min="4" max="4" width="19.375" customWidth="1"/>
    <col min="5" max="5" width="5.375" customWidth="1"/>
    <col min="6" max="6" width="10.875" customWidth="1"/>
    <col min="7" max="7" width="8.875" customWidth="1"/>
    <col min="8" max="9" width="21.25" customWidth="1"/>
    <col min="10" max="10" width="26" customWidth="1"/>
    <col min="11" max="11" width="13.125" customWidth="1"/>
    <col min="12" max="12" width="15.8833333333333" customWidth="1"/>
    <col min="13" max="13" width="37.6416666666667" customWidth="1"/>
    <col min="14" max="14" width="10.875" customWidth="1"/>
    <col min="15" max="15" width="17.25" customWidth="1"/>
    <col min="16" max="16" width="12.875" customWidth="1"/>
    <col min="17" max="17" width="20.375" customWidth="1"/>
    <col min="18" max="18" width="8.375" customWidth="1"/>
    <col min="19" max="19" width="12.625" customWidth="1"/>
    <col min="22" max="22" width="9.375"/>
  </cols>
  <sheetData>
    <row r="1" spans="1:19">
      <c r="A1" s="4" t="s">
        <v>0</v>
      </c>
      <c r="B1" s="4"/>
      <c r="C1" s="5" t="s">
        <v>1</v>
      </c>
      <c r="D1" s="5" t="s">
        <v>2</v>
      </c>
      <c r="E1" s="5" t="s">
        <v>3</v>
      </c>
      <c r="F1" s="5"/>
      <c r="G1" s="5" t="s">
        <v>4</v>
      </c>
      <c r="H1" s="5" t="s">
        <v>5</v>
      </c>
      <c r="I1" s="5" t="s">
        <v>6</v>
      </c>
      <c r="J1" s="5" t="s">
        <v>7</v>
      </c>
      <c r="K1" t="s">
        <v>8</v>
      </c>
      <c r="L1" t="s">
        <v>9</v>
      </c>
      <c r="N1" t="s">
        <v>10</v>
      </c>
      <c r="O1" t="s">
        <v>11</v>
      </c>
      <c r="P1" s="5" t="s">
        <v>12</v>
      </c>
      <c r="Q1" t="s">
        <v>13</v>
      </c>
      <c r="R1" t="s">
        <v>14</v>
      </c>
      <c r="S1" t="s">
        <v>15</v>
      </c>
    </row>
    <row r="2" spans="1:19">
      <c r="A2" s="5" t="s">
        <v>16</v>
      </c>
      <c r="B2" s="5"/>
      <c r="C2" s="5" t="s">
        <v>16</v>
      </c>
      <c r="D2" s="5"/>
      <c r="E2" s="5" t="s">
        <v>16</v>
      </c>
      <c r="F2" s="6"/>
      <c r="G2" s="5" t="s">
        <v>16</v>
      </c>
      <c r="H2" s="5" t="s">
        <v>17</v>
      </c>
      <c r="I2" s="5" t="s">
        <v>16</v>
      </c>
      <c r="J2" s="5" t="s">
        <v>18</v>
      </c>
      <c r="K2" s="5" t="s">
        <v>16</v>
      </c>
      <c r="L2" s="5" t="s">
        <v>17</v>
      </c>
      <c r="M2" s="5"/>
      <c r="N2" s="5" t="s">
        <v>16</v>
      </c>
      <c r="O2" s="5" t="s">
        <v>16</v>
      </c>
      <c r="P2" s="5" t="s">
        <v>16</v>
      </c>
      <c r="Q2" t="s">
        <v>19</v>
      </c>
      <c r="R2" t="s">
        <v>16</v>
      </c>
    </row>
    <row r="3" spans="1:19">
      <c r="A3" s="4" t="s">
        <v>20</v>
      </c>
      <c r="B3" s="4"/>
      <c r="C3" s="5" t="s">
        <v>21</v>
      </c>
      <c r="D3" s="5"/>
      <c r="E3" s="5" t="s">
        <v>22</v>
      </c>
      <c r="F3" s="5"/>
      <c r="G3" s="5" t="s">
        <v>23</v>
      </c>
      <c r="H3" s="5" t="s">
        <v>24</v>
      </c>
      <c r="I3" s="5" t="s">
        <v>25</v>
      </c>
      <c r="J3" s="5" t="s">
        <v>26</v>
      </c>
      <c r="K3" t="s">
        <v>27</v>
      </c>
      <c r="L3" t="s">
        <v>28</v>
      </c>
      <c r="N3" t="s">
        <v>29</v>
      </c>
      <c r="O3" t="s">
        <v>30</v>
      </c>
      <c r="P3" s="5" t="s">
        <v>31</v>
      </c>
      <c r="Q3" t="s">
        <v>32</v>
      </c>
      <c r="R3" t="s">
        <v>33</v>
      </c>
    </row>
    <row r="4" spans="1:19">
      <c r="A4" s="7"/>
      <c r="B4" s="7"/>
    </row>
    <row r="5" spans="1:19">
      <c r="A5">
        <v>1990000</v>
      </c>
      <c r="B5" s="8">
        <v>0</v>
      </c>
      <c r="C5">
        <v>1990000</v>
      </c>
      <c r="D5" t="s">
        <v>34</v>
      </c>
      <c r="E5">
        <v>99</v>
      </c>
      <c r="F5" t="s">
        <v>35</v>
      </c>
      <c r="G5">
        <v>1</v>
      </c>
      <c r="H5" t="b">
        <v>1</v>
      </c>
      <c r="I5">
        <v>0</v>
      </c>
      <c r="J5" t="s">
        <v>36</v>
      </c>
      <c r="K5">
        <v>2990000</v>
      </c>
      <c r="L5" t="b">
        <v>0</v>
      </c>
      <c r="M5" t="s">
        <v>37</v>
      </c>
      <c r="P5">
        <v>-1</v>
      </c>
      <c r="S5">
        <f>1/700000</f>
        <v>1.42857142857143e-6</v>
      </c>
    </row>
    <row r="6" spans="1:19">
      <c r="A6">
        <v>1980000</v>
      </c>
      <c r="B6" s="8">
        <v>0</v>
      </c>
      <c r="C6">
        <v>1980000</v>
      </c>
      <c r="D6" t="s">
        <v>38</v>
      </c>
      <c r="E6">
        <v>98</v>
      </c>
      <c r="F6" t="s">
        <v>35</v>
      </c>
      <c r="G6">
        <v>1</v>
      </c>
      <c r="H6" t="b">
        <v>1</v>
      </c>
      <c r="I6">
        <v>0</v>
      </c>
      <c r="J6" t="s">
        <v>39</v>
      </c>
      <c r="K6">
        <v>2980000</v>
      </c>
      <c r="L6" t="b">
        <v>0</v>
      </c>
      <c r="M6" t="s">
        <v>40</v>
      </c>
      <c r="P6">
        <v>-1</v>
      </c>
      <c r="S6">
        <f>1/700</f>
        <v>0.00142857142857143</v>
      </c>
    </row>
    <row r="7" spans="1:19">
      <c r="A7">
        <v>1970000</v>
      </c>
      <c r="B7" s="8">
        <v>0</v>
      </c>
      <c r="C7">
        <v>1970000</v>
      </c>
      <c r="D7" t="s">
        <v>41</v>
      </c>
      <c r="E7">
        <v>97</v>
      </c>
      <c r="F7" t="s">
        <v>35</v>
      </c>
      <c r="G7">
        <v>1</v>
      </c>
      <c r="H7" t="b">
        <v>1</v>
      </c>
      <c r="I7">
        <v>0</v>
      </c>
      <c r="J7" t="s">
        <v>42</v>
      </c>
      <c r="K7">
        <v>2970000</v>
      </c>
      <c r="L7" t="b">
        <v>0</v>
      </c>
      <c r="M7" t="s">
        <v>43</v>
      </c>
      <c r="P7">
        <v>-1</v>
      </c>
    </row>
    <row r="8" spans="1:19">
      <c r="A8">
        <v>1020001</v>
      </c>
      <c r="B8" s="8">
        <v>1</v>
      </c>
      <c r="C8">
        <v>1020001</v>
      </c>
      <c r="D8" t="s">
        <v>44</v>
      </c>
      <c r="E8">
        <v>2</v>
      </c>
      <c r="F8" t="s">
        <v>45</v>
      </c>
      <c r="G8">
        <v>1</v>
      </c>
      <c r="H8" t="b">
        <v>1</v>
      </c>
      <c r="I8">
        <v>0</v>
      </c>
      <c r="J8" t="s">
        <v>46</v>
      </c>
      <c r="K8">
        <v>2020001</v>
      </c>
      <c r="L8" t="b">
        <v>0</v>
      </c>
      <c r="M8" t="s">
        <v>47</v>
      </c>
      <c r="P8">
        <v>999</v>
      </c>
    </row>
    <row r="9" spans="1:19">
      <c r="A9">
        <v>1022501</v>
      </c>
      <c r="B9">
        <v>2501</v>
      </c>
      <c r="C9">
        <v>1202501</v>
      </c>
      <c r="D9" t="s">
        <v>48</v>
      </c>
      <c r="E9">
        <v>2</v>
      </c>
      <c r="F9" t="s">
        <v>45</v>
      </c>
      <c r="G9">
        <v>1</v>
      </c>
      <c r="H9" t="b">
        <v>1</v>
      </c>
      <c r="I9">
        <v>0</v>
      </c>
      <c r="J9" t="s">
        <v>49</v>
      </c>
      <c r="K9">
        <v>2022501</v>
      </c>
      <c r="L9" t="b">
        <v>0</v>
      </c>
      <c r="M9" t="s">
        <v>50</v>
      </c>
      <c r="P9">
        <v>999</v>
      </c>
      <c r="S9">
        <v>0.05</v>
      </c>
    </row>
    <row r="10" spans="1:19">
      <c r="A10">
        <v>1022502</v>
      </c>
      <c r="B10">
        <v>2502</v>
      </c>
      <c r="C10">
        <v>1202502</v>
      </c>
      <c r="D10" t="s">
        <v>51</v>
      </c>
      <c r="E10">
        <v>2</v>
      </c>
      <c r="F10" t="s">
        <v>45</v>
      </c>
      <c r="G10">
        <v>1</v>
      </c>
      <c r="H10" t="b">
        <v>1</v>
      </c>
      <c r="I10">
        <v>0</v>
      </c>
      <c r="J10" t="s">
        <v>52</v>
      </c>
      <c r="K10">
        <v>2022502</v>
      </c>
      <c r="L10" t="b">
        <v>0</v>
      </c>
      <c r="M10" t="s">
        <v>53</v>
      </c>
      <c r="P10">
        <v>999</v>
      </c>
      <c r="S10">
        <v>0.99</v>
      </c>
    </row>
    <row r="11" spans="1:19">
      <c r="A11">
        <v>1022503</v>
      </c>
      <c r="B11">
        <v>2503</v>
      </c>
      <c r="C11">
        <v>1202503</v>
      </c>
      <c r="D11" t="s">
        <v>54</v>
      </c>
      <c r="E11">
        <v>2</v>
      </c>
      <c r="F11" t="s">
        <v>45</v>
      </c>
      <c r="G11">
        <v>1</v>
      </c>
      <c r="H11" t="b">
        <v>1</v>
      </c>
      <c r="I11">
        <v>0</v>
      </c>
      <c r="J11" t="s">
        <v>55</v>
      </c>
      <c r="K11">
        <v>2022503</v>
      </c>
      <c r="L11" t="b">
        <v>0</v>
      </c>
      <c r="M11" t="s">
        <v>53</v>
      </c>
      <c r="P11">
        <v>999</v>
      </c>
      <c r="S11">
        <v>0.99</v>
      </c>
    </row>
    <row r="12" s="1" customFormat="1" spans="1:19">
      <c r="A12" s="1">
        <v>1010301</v>
      </c>
      <c r="B12" s="1">
        <v>301</v>
      </c>
      <c r="C12" s="1">
        <v>1100301</v>
      </c>
      <c r="D12" s="1" t="s">
        <v>56</v>
      </c>
      <c r="E12" s="1">
        <v>1</v>
      </c>
      <c r="F12" s="1" t="s">
        <v>57</v>
      </c>
      <c r="G12" s="1">
        <v>2</v>
      </c>
      <c r="H12" t="b">
        <v>1</v>
      </c>
      <c r="I12">
        <v>0</v>
      </c>
      <c r="J12" s="1" t="s">
        <v>58</v>
      </c>
      <c r="K12" s="1">
        <v>2010301</v>
      </c>
      <c r="L12" t="b">
        <v>0</v>
      </c>
      <c r="M12" s="1" t="s">
        <v>59</v>
      </c>
      <c r="P12" s="1">
        <v>999</v>
      </c>
      <c r="Q12" s="9"/>
      <c r="R12" s="1">
        <v>1010301</v>
      </c>
      <c r="S12" s="1">
        <v>0.099</v>
      </c>
    </row>
    <row r="13" s="1" customFormat="1" spans="1:19">
      <c r="A13" s="1">
        <v>1010302</v>
      </c>
      <c r="B13" s="1">
        <v>302</v>
      </c>
      <c r="C13" s="1">
        <v>1100302</v>
      </c>
      <c r="D13" s="1" t="s">
        <v>60</v>
      </c>
      <c r="E13" s="1">
        <v>1</v>
      </c>
      <c r="F13" s="1" t="s">
        <v>57</v>
      </c>
      <c r="G13" s="1">
        <v>3</v>
      </c>
      <c r="H13" t="b">
        <v>1</v>
      </c>
      <c r="I13">
        <v>0</v>
      </c>
      <c r="J13" s="1" t="s">
        <v>61</v>
      </c>
      <c r="K13" s="1">
        <v>2010302</v>
      </c>
      <c r="L13" t="b">
        <v>0</v>
      </c>
      <c r="M13" s="1" t="s">
        <v>59</v>
      </c>
      <c r="P13" s="1">
        <v>999</v>
      </c>
      <c r="Q13" s="9"/>
      <c r="R13" s="1">
        <v>1010302</v>
      </c>
      <c r="S13" s="1">
        <f>S12*2</f>
        <v>0.198</v>
      </c>
    </row>
    <row r="14" s="1" customFormat="1" spans="1:19">
      <c r="A14" s="1">
        <v>1010303</v>
      </c>
      <c r="B14" s="1">
        <v>303</v>
      </c>
      <c r="C14" s="1">
        <v>1100303</v>
      </c>
      <c r="D14" s="1" t="s">
        <v>62</v>
      </c>
      <c r="E14" s="1">
        <v>1</v>
      </c>
      <c r="F14" s="1" t="s">
        <v>57</v>
      </c>
      <c r="G14" s="1">
        <v>4</v>
      </c>
      <c r="H14" t="b">
        <v>1</v>
      </c>
      <c r="I14">
        <v>0</v>
      </c>
      <c r="J14" s="1" t="s">
        <v>63</v>
      </c>
      <c r="K14" s="1">
        <v>2010303</v>
      </c>
      <c r="L14" t="b">
        <v>0</v>
      </c>
      <c r="M14" s="1" t="s">
        <v>64</v>
      </c>
      <c r="P14" s="1">
        <v>999</v>
      </c>
      <c r="Q14" s="9"/>
      <c r="R14" s="1">
        <v>1010303</v>
      </c>
      <c r="S14" s="1">
        <f>S12*6</f>
        <v>0.594</v>
      </c>
    </row>
    <row r="15" s="1" customFormat="1" spans="1:19">
      <c r="A15" s="1">
        <v>1010304</v>
      </c>
      <c r="B15" s="1">
        <v>304</v>
      </c>
      <c r="C15" s="1">
        <v>1100304</v>
      </c>
      <c r="D15" s="1" t="s">
        <v>65</v>
      </c>
      <c r="E15" s="1">
        <v>1</v>
      </c>
      <c r="F15" s="1" t="s">
        <v>57</v>
      </c>
      <c r="G15" s="1">
        <v>5</v>
      </c>
      <c r="H15" t="b">
        <v>1</v>
      </c>
      <c r="I15">
        <v>0</v>
      </c>
      <c r="J15" s="1" t="s">
        <v>66</v>
      </c>
      <c r="K15" s="1">
        <v>2010304</v>
      </c>
      <c r="L15" t="b">
        <v>0</v>
      </c>
      <c r="M15" s="1" t="s">
        <v>67</v>
      </c>
      <c r="P15" s="1">
        <v>999</v>
      </c>
      <c r="Q15" s="9"/>
      <c r="R15" s="1">
        <v>1010304</v>
      </c>
      <c r="S15" s="1">
        <f>S12*8</f>
        <v>0.792</v>
      </c>
    </row>
    <row r="16" s="1" customFormat="1" spans="1:19">
      <c r="A16" s="1">
        <v>1010305</v>
      </c>
      <c r="B16" s="1">
        <v>305</v>
      </c>
      <c r="C16" s="1">
        <v>1100305</v>
      </c>
      <c r="D16" s="1" t="s">
        <v>68</v>
      </c>
      <c r="E16" s="1">
        <v>1</v>
      </c>
      <c r="F16" s="1" t="s">
        <v>57</v>
      </c>
      <c r="G16" s="1">
        <v>6</v>
      </c>
      <c r="H16" t="b">
        <v>1</v>
      </c>
      <c r="I16">
        <v>0</v>
      </c>
      <c r="J16" s="1" t="s">
        <v>66</v>
      </c>
      <c r="K16" s="1">
        <v>2010305</v>
      </c>
      <c r="L16" t="b">
        <v>0</v>
      </c>
      <c r="M16" s="1" t="s">
        <v>69</v>
      </c>
      <c r="P16" s="1">
        <v>999</v>
      </c>
      <c r="Q16" s="9"/>
      <c r="R16" s="1">
        <v>1010305</v>
      </c>
      <c r="S16" s="1">
        <f>S12*10</f>
        <v>0.99</v>
      </c>
    </row>
    <row r="17" spans="1:16">
      <c r="A17">
        <v>1031001</v>
      </c>
      <c r="B17" s="8">
        <v>1001</v>
      </c>
      <c r="C17">
        <v>1301001</v>
      </c>
      <c r="D17" s="8" t="s">
        <v>70</v>
      </c>
      <c r="E17">
        <v>3</v>
      </c>
      <c r="F17" t="s">
        <v>45</v>
      </c>
      <c r="G17">
        <v>1</v>
      </c>
      <c r="H17" t="b">
        <v>1</v>
      </c>
      <c r="I17">
        <v>1</v>
      </c>
      <c r="J17" t="s">
        <v>71</v>
      </c>
      <c r="K17">
        <v>2031001</v>
      </c>
      <c r="L17" t="b">
        <v>0</v>
      </c>
      <c r="N17">
        <v>2</v>
      </c>
      <c r="P17">
        <v>1</v>
      </c>
    </row>
    <row r="18" spans="1:16">
      <c r="A18">
        <v>1031002</v>
      </c>
      <c r="B18" s="8">
        <v>1002</v>
      </c>
      <c r="C18">
        <v>1301002</v>
      </c>
      <c r="D18" s="8" t="s">
        <v>72</v>
      </c>
      <c r="E18">
        <v>3</v>
      </c>
      <c r="F18" t="s">
        <v>45</v>
      </c>
      <c r="G18">
        <v>1</v>
      </c>
      <c r="H18" t="b">
        <v>1</v>
      </c>
      <c r="I18">
        <v>1</v>
      </c>
      <c r="J18" t="s">
        <v>73</v>
      </c>
      <c r="K18">
        <v>2031002</v>
      </c>
      <c r="L18" t="b">
        <v>0</v>
      </c>
      <c r="N18">
        <v>3</v>
      </c>
      <c r="P18">
        <v>1</v>
      </c>
    </row>
    <row r="19" spans="1:16">
      <c r="A19">
        <v>1031201</v>
      </c>
      <c r="B19" s="8">
        <v>1201</v>
      </c>
      <c r="C19">
        <v>1301201</v>
      </c>
      <c r="D19" t="s">
        <v>74</v>
      </c>
      <c r="E19">
        <v>3</v>
      </c>
      <c r="F19" t="s">
        <v>45</v>
      </c>
      <c r="G19">
        <v>1</v>
      </c>
      <c r="H19" t="b">
        <v>1</v>
      </c>
      <c r="I19">
        <v>1</v>
      </c>
      <c r="J19" t="s">
        <v>75</v>
      </c>
      <c r="K19">
        <v>2031201</v>
      </c>
      <c r="L19" t="b">
        <v>0</v>
      </c>
      <c r="N19">
        <v>1002</v>
      </c>
      <c r="P19">
        <v>1</v>
      </c>
    </row>
    <row r="20" spans="1:16">
      <c r="A20">
        <v>1031202</v>
      </c>
      <c r="B20" s="8">
        <v>1202</v>
      </c>
      <c r="C20">
        <v>1301202</v>
      </c>
      <c r="D20" t="s">
        <v>76</v>
      </c>
      <c r="E20">
        <v>3</v>
      </c>
      <c r="F20" t="s">
        <v>45</v>
      </c>
      <c r="G20">
        <v>1</v>
      </c>
      <c r="H20" t="b">
        <v>1</v>
      </c>
      <c r="I20">
        <v>1</v>
      </c>
      <c r="J20" t="s">
        <v>77</v>
      </c>
      <c r="K20">
        <v>2031202</v>
      </c>
      <c r="L20" t="b">
        <v>0</v>
      </c>
      <c r="N20">
        <v>1003</v>
      </c>
      <c r="P20">
        <v>1</v>
      </c>
    </row>
    <row r="21" spans="1:16">
      <c r="A21">
        <v>1031350</v>
      </c>
      <c r="B21" s="8">
        <v>1350</v>
      </c>
      <c r="C21">
        <v>101801</v>
      </c>
      <c r="D21" t="s">
        <v>78</v>
      </c>
      <c r="E21">
        <v>3</v>
      </c>
      <c r="F21" t="s">
        <v>45</v>
      </c>
      <c r="G21">
        <v>1</v>
      </c>
      <c r="H21" t="b">
        <v>1</v>
      </c>
      <c r="I21">
        <v>1</v>
      </c>
      <c r="J21" t="s">
        <v>79</v>
      </c>
      <c r="K21">
        <v>201801</v>
      </c>
      <c r="L21" t="b">
        <v>0</v>
      </c>
      <c r="N21" s="2">
        <v>1005</v>
      </c>
      <c r="P21">
        <v>1</v>
      </c>
    </row>
    <row r="22" spans="1:16">
      <c r="A22">
        <v>1031351</v>
      </c>
      <c r="B22" s="8">
        <v>1351</v>
      </c>
      <c r="C22">
        <v>101802</v>
      </c>
      <c r="D22" t="s">
        <v>80</v>
      </c>
      <c r="E22">
        <v>3</v>
      </c>
      <c r="F22" t="s">
        <v>45</v>
      </c>
      <c r="G22">
        <v>1</v>
      </c>
      <c r="H22" t="b">
        <v>1</v>
      </c>
      <c r="I22">
        <v>1</v>
      </c>
      <c r="J22" t="s">
        <v>81</v>
      </c>
      <c r="K22">
        <v>201802</v>
      </c>
      <c r="L22" t="b">
        <v>0</v>
      </c>
      <c r="N22" s="2">
        <v>1006</v>
      </c>
      <c r="P22">
        <v>1</v>
      </c>
    </row>
    <row r="23" spans="1:16">
      <c r="A23">
        <v>1021401</v>
      </c>
      <c r="B23" s="8">
        <v>1401</v>
      </c>
      <c r="C23">
        <v>1201401</v>
      </c>
      <c r="D23" s="10" t="s">
        <v>82</v>
      </c>
      <c r="E23">
        <v>2</v>
      </c>
      <c r="F23" t="s">
        <v>45</v>
      </c>
      <c r="G23">
        <v>1</v>
      </c>
      <c r="H23" t="b">
        <v>1</v>
      </c>
      <c r="I23">
        <v>1</v>
      </c>
      <c r="J23" t="s">
        <v>83</v>
      </c>
      <c r="K23">
        <v>2021401</v>
      </c>
      <c r="L23" t="b">
        <v>0</v>
      </c>
      <c r="N23">
        <v>2002</v>
      </c>
      <c r="P23">
        <v>1</v>
      </c>
    </row>
    <row r="24" spans="1:16">
      <c r="A24">
        <v>1021402</v>
      </c>
      <c r="B24" s="8">
        <v>1402</v>
      </c>
      <c r="C24">
        <v>1201402</v>
      </c>
      <c r="D24" s="10" t="s">
        <v>84</v>
      </c>
      <c r="E24">
        <v>2</v>
      </c>
      <c r="F24" t="s">
        <v>45</v>
      </c>
      <c r="G24">
        <v>1</v>
      </c>
      <c r="H24" t="b">
        <v>1</v>
      </c>
      <c r="I24">
        <v>1</v>
      </c>
      <c r="J24" t="s">
        <v>83</v>
      </c>
      <c r="K24">
        <v>2021402</v>
      </c>
      <c r="L24" t="b">
        <v>0</v>
      </c>
      <c r="N24">
        <v>2003</v>
      </c>
      <c r="P24">
        <v>1</v>
      </c>
    </row>
    <row r="25" s="2" customFormat="1" spans="1:16">
      <c r="A25" s="2">
        <v>1031600</v>
      </c>
      <c r="B25" s="11">
        <v>1600</v>
      </c>
      <c r="C25" s="2">
        <v>103001</v>
      </c>
      <c r="D25" s="12" t="s">
        <v>85</v>
      </c>
      <c r="E25" s="2">
        <v>3</v>
      </c>
      <c r="F25" s="2" t="s">
        <v>45</v>
      </c>
      <c r="G25" s="2">
        <v>1</v>
      </c>
      <c r="H25" t="b">
        <v>1</v>
      </c>
      <c r="I25" s="2">
        <v>1</v>
      </c>
      <c r="J25" t="s">
        <v>86</v>
      </c>
      <c r="K25" s="2">
        <v>2031600</v>
      </c>
      <c r="L25" s="2" t="b">
        <v>1</v>
      </c>
      <c r="N25" s="2">
        <v>3001</v>
      </c>
      <c r="P25" s="2">
        <v>1</v>
      </c>
    </row>
    <row r="26" spans="1:16">
      <c r="A26">
        <v>1031601</v>
      </c>
      <c r="B26" s="8">
        <v>1601</v>
      </c>
      <c r="C26">
        <v>103002</v>
      </c>
      <c r="D26" s="13" t="s">
        <v>87</v>
      </c>
      <c r="E26">
        <v>3</v>
      </c>
      <c r="F26" t="s">
        <v>45</v>
      </c>
      <c r="G26">
        <v>1</v>
      </c>
      <c r="H26" t="b">
        <v>1</v>
      </c>
      <c r="I26">
        <v>1</v>
      </c>
      <c r="J26" t="s">
        <v>88</v>
      </c>
      <c r="K26">
        <v>2031601</v>
      </c>
      <c r="L26" s="2" t="b">
        <v>1</v>
      </c>
      <c r="N26">
        <v>3002</v>
      </c>
      <c r="P26">
        <v>1</v>
      </c>
    </row>
    <row r="27" spans="1:16">
      <c r="A27">
        <v>1031602</v>
      </c>
      <c r="B27" s="8">
        <v>1602</v>
      </c>
      <c r="C27">
        <v>103003</v>
      </c>
      <c r="D27" s="13" t="s">
        <v>89</v>
      </c>
      <c r="E27">
        <v>3</v>
      </c>
      <c r="F27" t="s">
        <v>45</v>
      </c>
      <c r="G27">
        <v>1</v>
      </c>
      <c r="H27" t="b">
        <v>1</v>
      </c>
      <c r="I27">
        <v>1</v>
      </c>
      <c r="J27" t="s">
        <v>90</v>
      </c>
      <c r="K27">
        <v>2031602</v>
      </c>
      <c r="L27" s="2" t="b">
        <v>1</v>
      </c>
      <c r="N27">
        <v>3003</v>
      </c>
      <c r="P27">
        <v>1</v>
      </c>
    </row>
    <row r="28" spans="1:16">
      <c r="A28">
        <v>1031801</v>
      </c>
      <c r="B28" s="8">
        <v>1801</v>
      </c>
      <c r="C28">
        <v>104002</v>
      </c>
      <c r="D28" s="14" t="s">
        <v>91</v>
      </c>
      <c r="E28">
        <v>3</v>
      </c>
      <c r="F28" t="s">
        <v>45</v>
      </c>
      <c r="G28">
        <v>1</v>
      </c>
      <c r="H28" t="b">
        <v>1</v>
      </c>
      <c r="I28">
        <v>1</v>
      </c>
      <c r="J28" t="s">
        <v>92</v>
      </c>
      <c r="K28">
        <v>2031801</v>
      </c>
      <c r="L28" t="b">
        <v>0</v>
      </c>
      <c r="N28">
        <v>4002</v>
      </c>
      <c r="P28">
        <v>1</v>
      </c>
    </row>
    <row r="29" spans="1:16">
      <c r="A29">
        <v>1031802</v>
      </c>
      <c r="B29" s="8">
        <v>1802</v>
      </c>
      <c r="C29">
        <v>104003</v>
      </c>
      <c r="D29" s="14" t="s">
        <v>93</v>
      </c>
      <c r="E29">
        <v>3</v>
      </c>
      <c r="F29" t="s">
        <v>45</v>
      </c>
      <c r="G29">
        <v>1</v>
      </c>
      <c r="H29" t="b">
        <v>1</v>
      </c>
      <c r="I29">
        <v>1</v>
      </c>
      <c r="J29" t="s">
        <v>94</v>
      </c>
      <c r="K29">
        <v>2031802</v>
      </c>
      <c r="L29" t="b">
        <v>0</v>
      </c>
      <c r="N29">
        <v>4003</v>
      </c>
      <c r="P29">
        <v>1</v>
      </c>
    </row>
    <row r="30" spans="1:16">
      <c r="A30">
        <v>1032001</v>
      </c>
      <c r="B30" s="8">
        <v>2001</v>
      </c>
      <c r="C30">
        <v>105002</v>
      </c>
      <c r="D30" s="15" t="s">
        <v>95</v>
      </c>
      <c r="E30">
        <v>3</v>
      </c>
      <c r="F30" t="s">
        <v>45</v>
      </c>
      <c r="G30">
        <v>1</v>
      </c>
      <c r="H30" t="b">
        <v>1</v>
      </c>
      <c r="I30">
        <v>1</v>
      </c>
      <c r="J30" t="s">
        <v>96</v>
      </c>
      <c r="K30">
        <v>2032001</v>
      </c>
      <c r="L30" t="b">
        <v>0</v>
      </c>
      <c r="N30">
        <v>5002</v>
      </c>
      <c r="P30">
        <v>1</v>
      </c>
    </row>
    <row r="31" spans="1:16">
      <c r="A31">
        <v>1032002</v>
      </c>
      <c r="B31" s="8">
        <v>2002</v>
      </c>
      <c r="C31">
        <v>105003</v>
      </c>
      <c r="D31" s="15" t="s">
        <v>97</v>
      </c>
      <c r="E31">
        <v>3</v>
      </c>
      <c r="F31" t="s">
        <v>45</v>
      </c>
      <c r="G31">
        <v>1</v>
      </c>
      <c r="H31" t="b">
        <v>1</v>
      </c>
      <c r="I31">
        <v>1</v>
      </c>
      <c r="J31" t="s">
        <v>98</v>
      </c>
      <c r="K31">
        <v>2032002</v>
      </c>
      <c r="L31" t="b">
        <v>0</v>
      </c>
      <c r="N31">
        <v>5003</v>
      </c>
      <c r="P31">
        <v>1</v>
      </c>
    </row>
    <row r="32" spans="1:16">
      <c r="A32">
        <v>1032201</v>
      </c>
      <c r="B32" s="8">
        <v>2201</v>
      </c>
      <c r="C32">
        <v>106002</v>
      </c>
      <c r="D32" s="16" t="s">
        <v>99</v>
      </c>
      <c r="E32">
        <v>3</v>
      </c>
      <c r="F32" t="s">
        <v>45</v>
      </c>
      <c r="G32">
        <v>1</v>
      </c>
      <c r="H32" t="b">
        <v>1</v>
      </c>
      <c r="I32">
        <v>1</v>
      </c>
      <c r="J32" t="s">
        <v>100</v>
      </c>
      <c r="K32">
        <v>2032201</v>
      </c>
      <c r="L32" t="b">
        <v>0</v>
      </c>
      <c r="N32">
        <v>6002</v>
      </c>
      <c r="P32">
        <v>1</v>
      </c>
    </row>
    <row r="33" spans="1:19">
      <c r="A33">
        <v>1032202</v>
      </c>
      <c r="B33" s="8">
        <v>2202</v>
      </c>
      <c r="C33">
        <v>106003</v>
      </c>
      <c r="D33" s="16" t="s">
        <v>101</v>
      </c>
      <c r="E33">
        <v>3</v>
      </c>
      <c r="F33" t="s">
        <v>45</v>
      </c>
      <c r="G33">
        <v>1</v>
      </c>
      <c r="H33" t="b">
        <v>1</v>
      </c>
      <c r="I33">
        <v>1</v>
      </c>
      <c r="J33" t="s">
        <v>102</v>
      </c>
      <c r="K33">
        <v>2032202</v>
      </c>
      <c r="L33" t="b">
        <v>0</v>
      </c>
      <c r="N33">
        <v>6003</v>
      </c>
      <c r="P33">
        <v>1</v>
      </c>
    </row>
    <row r="34" spans="1:19">
      <c r="A34">
        <v>1022504</v>
      </c>
      <c r="B34">
        <v>2504</v>
      </c>
      <c r="C34">
        <v>1202504</v>
      </c>
      <c r="D34" t="s">
        <v>103</v>
      </c>
      <c r="E34">
        <v>2</v>
      </c>
      <c r="F34" t="s">
        <v>45</v>
      </c>
      <c r="G34">
        <v>1</v>
      </c>
      <c r="H34" t="b">
        <v>1</v>
      </c>
      <c r="I34">
        <v>0</v>
      </c>
      <c r="J34" t="s">
        <v>104</v>
      </c>
      <c r="K34">
        <v>2022504</v>
      </c>
      <c r="L34" t="b">
        <v>0</v>
      </c>
      <c r="M34" t="s">
        <v>105</v>
      </c>
      <c r="P34">
        <v>999999999</v>
      </c>
    </row>
    <row r="35" spans="1:19">
      <c r="A35">
        <v>1023001</v>
      </c>
      <c r="B35" s="8"/>
      <c r="C35">
        <v>1023001</v>
      </c>
      <c r="D35" t="s">
        <v>106</v>
      </c>
      <c r="E35">
        <v>2</v>
      </c>
      <c r="F35" t="s">
        <v>45</v>
      </c>
      <c r="G35">
        <v>2</v>
      </c>
      <c r="H35" t="b">
        <v>1</v>
      </c>
      <c r="I35">
        <v>0</v>
      </c>
      <c r="J35" t="s">
        <v>107</v>
      </c>
      <c r="K35">
        <v>2023001</v>
      </c>
      <c r="L35" t="b">
        <v>0</v>
      </c>
      <c r="M35" t="s">
        <v>108</v>
      </c>
      <c r="P35">
        <v>999</v>
      </c>
      <c r="S35">
        <v>0.000544077728550903</v>
      </c>
    </row>
    <row r="36" spans="1:19">
      <c r="A36">
        <v>1023002</v>
      </c>
      <c r="B36" s="8"/>
      <c r="C36">
        <v>1023002</v>
      </c>
      <c r="D36" t="s">
        <v>109</v>
      </c>
      <c r="E36">
        <v>2</v>
      </c>
      <c r="F36" t="s">
        <v>45</v>
      </c>
      <c r="G36">
        <v>3</v>
      </c>
      <c r="H36" t="b">
        <v>1</v>
      </c>
      <c r="I36">
        <v>0</v>
      </c>
      <c r="J36" t="s">
        <v>110</v>
      </c>
      <c r="K36">
        <v>2023002</v>
      </c>
      <c r="L36" t="b">
        <v>0</v>
      </c>
      <c r="M36" t="s">
        <v>108</v>
      </c>
      <c r="P36">
        <v>999</v>
      </c>
      <c r="S36">
        <v>0.0045080726079932</v>
      </c>
    </row>
    <row r="37" spans="1:19">
      <c r="A37">
        <v>1023003</v>
      </c>
      <c r="B37" s="8"/>
      <c r="C37">
        <v>1023003</v>
      </c>
      <c r="D37" t="s">
        <v>111</v>
      </c>
      <c r="E37">
        <v>2</v>
      </c>
      <c r="F37" t="s">
        <v>45</v>
      </c>
      <c r="G37">
        <v>4</v>
      </c>
      <c r="H37" t="b">
        <v>1</v>
      </c>
      <c r="I37">
        <v>0</v>
      </c>
      <c r="J37" t="s">
        <v>112</v>
      </c>
      <c r="K37">
        <v>2023003</v>
      </c>
      <c r="L37" t="b">
        <v>0</v>
      </c>
      <c r="M37" t="s">
        <v>108</v>
      </c>
      <c r="P37">
        <v>999</v>
      </c>
      <c r="S37">
        <v>0.0067621089119898</v>
      </c>
    </row>
    <row r="38" spans="1:19">
      <c r="A38">
        <v>1023004</v>
      </c>
      <c r="B38" s="8"/>
      <c r="C38">
        <v>1023004</v>
      </c>
      <c r="D38" t="s">
        <v>113</v>
      </c>
      <c r="E38">
        <v>2</v>
      </c>
      <c r="F38" t="s">
        <v>45</v>
      </c>
      <c r="G38">
        <v>5</v>
      </c>
      <c r="H38" t="b">
        <v>1</v>
      </c>
      <c r="I38">
        <v>0</v>
      </c>
      <c r="J38" t="s">
        <v>114</v>
      </c>
      <c r="K38">
        <v>2023004</v>
      </c>
      <c r="L38" t="b">
        <v>0</v>
      </c>
      <c r="M38" t="s">
        <v>108</v>
      </c>
      <c r="P38">
        <v>999</v>
      </c>
      <c r="S38">
        <v>0.012622603302381</v>
      </c>
    </row>
    <row r="39" spans="1:19">
      <c r="A39">
        <v>1023005</v>
      </c>
      <c r="B39" s="8"/>
      <c r="C39">
        <v>1023005</v>
      </c>
      <c r="D39" t="s">
        <v>115</v>
      </c>
      <c r="E39">
        <v>2</v>
      </c>
      <c r="F39" t="s">
        <v>45</v>
      </c>
      <c r="G39">
        <v>6</v>
      </c>
      <c r="H39" t="b">
        <v>1</v>
      </c>
      <c r="I39">
        <v>0</v>
      </c>
      <c r="J39" t="s">
        <v>116</v>
      </c>
      <c r="K39">
        <v>2023005</v>
      </c>
      <c r="L39" t="b">
        <v>0</v>
      </c>
      <c r="M39" t="s">
        <v>108</v>
      </c>
      <c r="P39">
        <v>999</v>
      </c>
      <c r="S39">
        <v>0.0139155435712012</v>
      </c>
    </row>
    <row r="40" spans="1:19">
      <c r="A40">
        <v>1023101</v>
      </c>
      <c r="B40" s="8"/>
      <c r="C40">
        <v>1023101</v>
      </c>
      <c r="D40" t="s">
        <v>117</v>
      </c>
      <c r="E40">
        <v>2</v>
      </c>
      <c r="F40" t="s">
        <v>45</v>
      </c>
      <c r="G40">
        <v>2</v>
      </c>
      <c r="H40" t="b">
        <v>1</v>
      </c>
      <c r="I40">
        <v>0</v>
      </c>
      <c r="J40" t="s">
        <v>118</v>
      </c>
      <c r="K40">
        <v>2023101</v>
      </c>
      <c r="L40" t="b">
        <v>0</v>
      </c>
      <c r="M40" t="s">
        <v>119</v>
      </c>
      <c r="P40">
        <v>999</v>
      </c>
      <c r="S40">
        <v>0.00174104873136289</v>
      </c>
    </row>
    <row r="41" spans="1:19">
      <c r="A41">
        <v>1023102</v>
      </c>
      <c r="B41" s="8"/>
      <c r="C41">
        <v>1023102</v>
      </c>
      <c r="D41" t="s">
        <v>120</v>
      </c>
      <c r="E41">
        <v>2</v>
      </c>
      <c r="F41" t="s">
        <v>45</v>
      </c>
      <c r="G41">
        <v>3</v>
      </c>
      <c r="H41" t="b">
        <v>1</v>
      </c>
      <c r="I41">
        <v>0</v>
      </c>
      <c r="J41" t="s">
        <v>121</v>
      </c>
      <c r="K41">
        <v>2023102</v>
      </c>
      <c r="L41" t="b">
        <v>0</v>
      </c>
      <c r="M41" t="s">
        <v>119</v>
      </c>
      <c r="P41">
        <v>999</v>
      </c>
      <c r="S41">
        <v>0.0144258323455782</v>
      </c>
    </row>
    <row r="42" spans="1:19">
      <c r="A42">
        <v>1023103</v>
      </c>
      <c r="B42" s="8"/>
      <c r="C42">
        <v>1023103</v>
      </c>
      <c r="D42" t="s">
        <v>122</v>
      </c>
      <c r="E42">
        <v>2</v>
      </c>
      <c r="F42" t="s">
        <v>45</v>
      </c>
      <c r="G42">
        <v>4</v>
      </c>
      <c r="H42" t="b">
        <v>1</v>
      </c>
      <c r="I42">
        <v>0</v>
      </c>
      <c r="J42" t="s">
        <v>123</v>
      </c>
      <c r="K42">
        <v>2023103</v>
      </c>
      <c r="L42" t="b">
        <v>0</v>
      </c>
      <c r="M42" t="s">
        <v>119</v>
      </c>
      <c r="P42">
        <v>999</v>
      </c>
      <c r="S42">
        <v>0.0216387485183673</v>
      </c>
    </row>
    <row r="43" spans="1:19">
      <c r="A43">
        <v>1023104</v>
      </c>
      <c r="B43" s="8"/>
      <c r="C43">
        <v>1023104</v>
      </c>
      <c r="D43" t="s">
        <v>124</v>
      </c>
      <c r="E43">
        <v>2</v>
      </c>
      <c r="F43" t="s">
        <v>45</v>
      </c>
      <c r="G43">
        <v>5</v>
      </c>
      <c r="H43" t="b">
        <v>1</v>
      </c>
      <c r="I43">
        <v>0</v>
      </c>
      <c r="J43" t="s">
        <v>125</v>
      </c>
      <c r="K43">
        <v>2023104</v>
      </c>
      <c r="L43" t="b">
        <v>0</v>
      </c>
      <c r="M43" t="s">
        <v>119</v>
      </c>
      <c r="P43">
        <v>999</v>
      </c>
      <c r="S43">
        <v>0.0403923305676191</v>
      </c>
    </row>
    <row r="44" spans="1:19">
      <c r="A44">
        <v>1023105</v>
      </c>
      <c r="B44" s="8"/>
      <c r="C44">
        <v>1023105</v>
      </c>
      <c r="D44" t="s">
        <v>126</v>
      </c>
      <c r="E44">
        <v>2</v>
      </c>
      <c r="F44" t="s">
        <v>45</v>
      </c>
      <c r="G44">
        <v>6</v>
      </c>
      <c r="H44" t="b">
        <v>1</v>
      </c>
      <c r="I44">
        <v>0</v>
      </c>
      <c r="J44" t="s">
        <v>127</v>
      </c>
      <c r="K44">
        <v>2023105</v>
      </c>
      <c r="L44" t="b">
        <v>0</v>
      </c>
      <c r="M44" t="s">
        <v>119</v>
      </c>
      <c r="P44">
        <v>999</v>
      </c>
      <c r="S44">
        <v>0.0445297394278439</v>
      </c>
    </row>
    <row r="45" spans="1:19">
      <c r="A45">
        <v>1023201</v>
      </c>
      <c r="B45" s="8"/>
      <c r="C45">
        <v>1023201</v>
      </c>
      <c r="D45" t="s">
        <v>128</v>
      </c>
      <c r="E45">
        <v>2</v>
      </c>
      <c r="F45" t="s">
        <v>45</v>
      </c>
      <c r="G45">
        <v>2</v>
      </c>
      <c r="H45" t="b">
        <v>1</v>
      </c>
      <c r="I45">
        <v>0</v>
      </c>
      <c r="J45" t="s">
        <v>129</v>
      </c>
      <c r="K45">
        <v>2023201</v>
      </c>
      <c r="L45" t="b">
        <v>0</v>
      </c>
      <c r="M45" t="s">
        <v>130</v>
      </c>
      <c r="P45">
        <v>999</v>
      </c>
      <c r="S45">
        <v>0.00348209746272578</v>
      </c>
    </row>
    <row r="46" spans="1:19">
      <c r="A46">
        <v>1023202</v>
      </c>
      <c r="B46" s="8"/>
      <c r="C46">
        <v>1023202</v>
      </c>
      <c r="D46" t="s">
        <v>131</v>
      </c>
      <c r="E46">
        <v>2</v>
      </c>
      <c r="F46" t="s">
        <v>45</v>
      </c>
      <c r="G46">
        <v>3</v>
      </c>
      <c r="H46" t="b">
        <v>1</v>
      </c>
      <c r="I46">
        <v>0</v>
      </c>
      <c r="J46" t="s">
        <v>132</v>
      </c>
      <c r="K46">
        <v>2023202</v>
      </c>
      <c r="L46" t="b">
        <v>0</v>
      </c>
      <c r="M46" t="s">
        <v>130</v>
      </c>
      <c r="P46">
        <v>999</v>
      </c>
      <c r="S46">
        <v>0.0288516646911565</v>
      </c>
    </row>
    <row r="47" spans="1:19">
      <c r="A47">
        <v>1023203</v>
      </c>
      <c r="B47" s="8"/>
      <c r="C47">
        <v>1023203</v>
      </c>
      <c r="D47" t="s">
        <v>133</v>
      </c>
      <c r="E47">
        <v>2</v>
      </c>
      <c r="F47" t="s">
        <v>45</v>
      </c>
      <c r="G47">
        <v>4</v>
      </c>
      <c r="H47" t="b">
        <v>1</v>
      </c>
      <c r="I47">
        <v>0</v>
      </c>
      <c r="J47" t="s">
        <v>134</v>
      </c>
      <c r="K47">
        <v>2023203</v>
      </c>
      <c r="L47" t="b">
        <v>0</v>
      </c>
      <c r="M47" t="s">
        <v>130</v>
      </c>
      <c r="P47">
        <v>999</v>
      </c>
      <c r="S47">
        <v>0.0432774970367347</v>
      </c>
    </row>
    <row r="48" spans="1:19">
      <c r="A48">
        <v>1023204</v>
      </c>
      <c r="B48" s="8"/>
      <c r="C48">
        <v>1023204</v>
      </c>
      <c r="D48" t="s">
        <v>135</v>
      </c>
      <c r="E48">
        <v>2</v>
      </c>
      <c r="F48" t="s">
        <v>45</v>
      </c>
      <c r="G48">
        <v>5</v>
      </c>
      <c r="H48" t="b">
        <v>1</v>
      </c>
      <c r="I48">
        <v>0</v>
      </c>
      <c r="J48" t="s">
        <v>136</v>
      </c>
      <c r="K48">
        <v>2023204</v>
      </c>
      <c r="L48" t="b">
        <v>0</v>
      </c>
      <c r="M48" t="s">
        <v>130</v>
      </c>
      <c r="P48">
        <v>999</v>
      </c>
      <c r="S48">
        <v>0.0807846611352381</v>
      </c>
    </row>
    <row r="49" spans="1:19">
      <c r="A49">
        <v>1023205</v>
      </c>
      <c r="B49" s="8"/>
      <c r="C49">
        <v>1023205</v>
      </c>
      <c r="D49" t="s">
        <v>137</v>
      </c>
      <c r="E49">
        <v>2</v>
      </c>
      <c r="F49" t="s">
        <v>45</v>
      </c>
      <c r="G49">
        <v>6</v>
      </c>
      <c r="H49" t="b">
        <v>1</v>
      </c>
      <c r="I49">
        <v>0</v>
      </c>
      <c r="J49" t="s">
        <v>138</v>
      </c>
      <c r="K49">
        <v>2023205</v>
      </c>
      <c r="L49" t="b">
        <v>0</v>
      </c>
      <c r="M49" t="s">
        <v>130</v>
      </c>
      <c r="P49">
        <v>999</v>
      </c>
      <c r="S49">
        <v>0.0890594788556878</v>
      </c>
    </row>
    <row r="50" spans="1:19">
      <c r="A50">
        <v>1023301</v>
      </c>
      <c r="B50" s="8"/>
      <c r="C50">
        <v>1023301</v>
      </c>
      <c r="D50" t="s">
        <v>139</v>
      </c>
      <c r="E50">
        <v>2</v>
      </c>
      <c r="F50" t="s">
        <v>45</v>
      </c>
      <c r="G50">
        <v>2</v>
      </c>
      <c r="H50" t="b">
        <v>1</v>
      </c>
      <c r="I50">
        <v>0</v>
      </c>
      <c r="J50" t="s">
        <v>140</v>
      </c>
      <c r="K50">
        <v>2023301</v>
      </c>
      <c r="L50" t="b">
        <v>0</v>
      </c>
      <c r="M50" t="s">
        <v>141</v>
      </c>
      <c r="P50">
        <v>999</v>
      </c>
      <c r="S50">
        <v>0.0039173596455665</v>
      </c>
    </row>
    <row r="51" spans="1:19">
      <c r="A51">
        <v>1023302</v>
      </c>
      <c r="B51" s="8"/>
      <c r="C51">
        <v>1023302</v>
      </c>
      <c r="D51" t="s">
        <v>142</v>
      </c>
      <c r="E51">
        <v>2</v>
      </c>
      <c r="F51" t="s">
        <v>45</v>
      </c>
      <c r="G51">
        <v>3</v>
      </c>
      <c r="H51" t="b">
        <v>1</v>
      </c>
      <c r="I51">
        <v>0</v>
      </c>
      <c r="J51" t="s">
        <v>143</v>
      </c>
      <c r="K51">
        <v>2023302</v>
      </c>
      <c r="L51" t="b">
        <v>0</v>
      </c>
      <c r="M51" t="s">
        <v>141</v>
      </c>
      <c r="P51">
        <v>999</v>
      </c>
      <c r="S51">
        <v>0.032458122777551</v>
      </c>
    </row>
    <row r="52" spans="1:19">
      <c r="A52">
        <v>1023303</v>
      </c>
      <c r="B52" s="8"/>
      <c r="C52">
        <v>1023303</v>
      </c>
      <c r="D52" t="s">
        <v>144</v>
      </c>
      <c r="E52">
        <v>2</v>
      </c>
      <c r="F52" t="s">
        <v>45</v>
      </c>
      <c r="G52">
        <v>4</v>
      </c>
      <c r="H52" t="b">
        <v>1</v>
      </c>
      <c r="I52">
        <v>0</v>
      </c>
      <c r="J52" t="s">
        <v>145</v>
      </c>
      <c r="K52">
        <v>2023303</v>
      </c>
      <c r="L52" t="b">
        <v>0</v>
      </c>
      <c r="M52" t="s">
        <v>141</v>
      </c>
      <c r="P52">
        <v>999</v>
      </c>
      <c r="S52">
        <v>0.0486871841663265</v>
      </c>
    </row>
    <row r="53" spans="1:19">
      <c r="A53">
        <v>1023304</v>
      </c>
      <c r="B53" s="8"/>
      <c r="C53">
        <v>1023304</v>
      </c>
      <c r="D53" t="s">
        <v>146</v>
      </c>
      <c r="E53">
        <v>2</v>
      </c>
      <c r="F53" t="s">
        <v>45</v>
      </c>
      <c r="G53">
        <v>5</v>
      </c>
      <c r="H53" t="b">
        <v>1</v>
      </c>
      <c r="I53">
        <v>0</v>
      </c>
      <c r="J53" t="s">
        <v>147</v>
      </c>
      <c r="K53">
        <v>2023304</v>
      </c>
      <c r="L53" t="b">
        <v>0</v>
      </c>
      <c r="M53" t="s">
        <v>141</v>
      </c>
      <c r="P53">
        <v>999</v>
      </c>
      <c r="S53">
        <v>0.0908827437771429</v>
      </c>
    </row>
    <row r="54" spans="1:19">
      <c r="A54">
        <v>1023305</v>
      </c>
      <c r="B54" s="8"/>
      <c r="C54">
        <v>1023305</v>
      </c>
      <c r="D54" t="s">
        <v>148</v>
      </c>
      <c r="E54">
        <v>2</v>
      </c>
      <c r="F54" t="s">
        <v>45</v>
      </c>
      <c r="G54">
        <v>6</v>
      </c>
      <c r="H54" t="b">
        <v>1</v>
      </c>
      <c r="I54">
        <v>0</v>
      </c>
      <c r="J54" t="s">
        <v>149</v>
      </c>
      <c r="K54">
        <v>2023305</v>
      </c>
      <c r="L54" t="b">
        <v>0</v>
      </c>
      <c r="M54" t="s">
        <v>141</v>
      </c>
      <c r="P54">
        <v>999</v>
      </c>
      <c r="S54">
        <v>0.100191913712649</v>
      </c>
    </row>
    <row r="55" spans="1:19">
      <c r="A55">
        <v>1023401</v>
      </c>
      <c r="B55" s="8"/>
      <c r="C55">
        <v>1023401</v>
      </c>
      <c r="D55" t="s">
        <v>150</v>
      </c>
      <c r="E55">
        <v>2</v>
      </c>
      <c r="F55" t="s">
        <v>45</v>
      </c>
      <c r="G55">
        <v>2</v>
      </c>
      <c r="H55" t="b">
        <v>1</v>
      </c>
      <c r="I55">
        <v>0</v>
      </c>
      <c r="J55" t="s">
        <v>151</v>
      </c>
      <c r="K55">
        <v>2023401</v>
      </c>
      <c r="L55" t="b">
        <v>0</v>
      </c>
      <c r="M55" t="s">
        <v>152</v>
      </c>
      <c r="P55">
        <v>999</v>
      </c>
      <c r="S55">
        <v>0.00783471929113301</v>
      </c>
    </row>
    <row r="56" spans="1:19">
      <c r="A56">
        <v>1023402</v>
      </c>
      <c r="B56" s="8"/>
      <c r="C56">
        <v>1023402</v>
      </c>
      <c r="D56" t="s">
        <v>153</v>
      </c>
      <c r="E56">
        <v>2</v>
      </c>
      <c r="F56" t="s">
        <v>45</v>
      </c>
      <c r="G56">
        <v>3</v>
      </c>
      <c r="H56" t="b">
        <v>1</v>
      </c>
      <c r="I56">
        <v>0</v>
      </c>
      <c r="J56" t="s">
        <v>154</v>
      </c>
      <c r="K56">
        <v>2023402</v>
      </c>
      <c r="L56" t="b">
        <v>0</v>
      </c>
      <c r="M56" t="s">
        <v>152</v>
      </c>
      <c r="P56">
        <v>999</v>
      </c>
      <c r="S56">
        <v>0.064916245555102</v>
      </c>
    </row>
    <row r="57" spans="1:19">
      <c r="A57">
        <v>1023403</v>
      </c>
      <c r="B57" s="8"/>
      <c r="C57">
        <v>1023403</v>
      </c>
      <c r="D57" t="s">
        <v>155</v>
      </c>
      <c r="E57">
        <v>2</v>
      </c>
      <c r="F57" t="s">
        <v>45</v>
      </c>
      <c r="G57">
        <v>4</v>
      </c>
      <c r="H57" t="b">
        <v>1</v>
      </c>
      <c r="I57">
        <v>0</v>
      </c>
      <c r="J57" t="s">
        <v>156</v>
      </c>
      <c r="K57">
        <v>2023403</v>
      </c>
      <c r="L57" t="b">
        <v>0</v>
      </c>
      <c r="M57" t="s">
        <v>152</v>
      </c>
      <c r="P57">
        <v>999</v>
      </c>
      <c r="S57">
        <v>0.097374368332653</v>
      </c>
    </row>
    <row r="58" spans="1:19">
      <c r="A58">
        <v>1023404</v>
      </c>
      <c r="B58" s="8"/>
      <c r="C58">
        <v>1023404</v>
      </c>
      <c r="D58" t="s">
        <v>157</v>
      </c>
      <c r="E58">
        <v>2</v>
      </c>
      <c r="F58" t="s">
        <v>45</v>
      </c>
      <c r="G58">
        <v>5</v>
      </c>
      <c r="H58" t="b">
        <v>1</v>
      </c>
      <c r="I58">
        <v>0</v>
      </c>
      <c r="J58" t="s">
        <v>158</v>
      </c>
      <c r="K58">
        <v>2023404</v>
      </c>
      <c r="L58" t="b">
        <v>0</v>
      </c>
      <c r="M58" t="s">
        <v>152</v>
      </c>
      <c r="P58">
        <v>999</v>
      </c>
      <c r="S58">
        <v>0.181765487554286</v>
      </c>
    </row>
    <row r="59" spans="1:19">
      <c r="A59">
        <v>1023405</v>
      </c>
      <c r="B59" s="8"/>
      <c r="C59">
        <v>1023405</v>
      </c>
      <c r="D59" t="s">
        <v>159</v>
      </c>
      <c r="E59">
        <v>2</v>
      </c>
      <c r="F59" t="s">
        <v>45</v>
      </c>
      <c r="G59">
        <v>6</v>
      </c>
      <c r="H59" t="b">
        <v>1</v>
      </c>
      <c r="I59">
        <v>0</v>
      </c>
      <c r="J59" t="s">
        <v>160</v>
      </c>
      <c r="K59">
        <v>2023405</v>
      </c>
      <c r="L59" t="b">
        <v>0</v>
      </c>
      <c r="M59" t="s">
        <v>152</v>
      </c>
      <c r="P59">
        <v>999</v>
      </c>
      <c r="S59">
        <v>0.200383827425298</v>
      </c>
    </row>
    <row r="60" s="3" customFormat="1" spans="1:19">
      <c r="A60" s="3">
        <v>1024001</v>
      </c>
      <c r="C60" s="3">
        <v>1024001</v>
      </c>
      <c r="D60" s="3" t="s">
        <v>161</v>
      </c>
      <c r="E60" s="3">
        <v>2</v>
      </c>
      <c r="F60" s="3" t="s">
        <v>45</v>
      </c>
      <c r="G60" s="3">
        <v>1</v>
      </c>
      <c r="H60" t="b">
        <v>0</v>
      </c>
      <c r="I60" s="3">
        <v>1</v>
      </c>
      <c r="J60" s="3" t="s">
        <v>162</v>
      </c>
      <c r="K60" s="3">
        <v>2024001</v>
      </c>
      <c r="L60" s="3" t="b">
        <v>0</v>
      </c>
      <c r="M60" s="3" t="s">
        <v>163</v>
      </c>
      <c r="P60" s="3">
        <v>-1</v>
      </c>
    </row>
    <row r="61" s="3" customFormat="1" spans="1:19">
      <c r="A61" s="3">
        <v>1024003</v>
      </c>
      <c r="C61" s="3">
        <v>1024003</v>
      </c>
      <c r="D61" s="3" t="s">
        <v>164</v>
      </c>
      <c r="E61" s="3">
        <v>2</v>
      </c>
      <c r="F61" s="3" t="s">
        <v>45</v>
      </c>
      <c r="G61" s="3">
        <v>1</v>
      </c>
      <c r="H61" t="b">
        <v>0</v>
      </c>
      <c r="I61" s="3">
        <v>1</v>
      </c>
      <c r="J61" s="3" t="s">
        <v>165</v>
      </c>
      <c r="K61" s="3">
        <v>2024003</v>
      </c>
      <c r="L61" s="3" t="b">
        <v>0</v>
      </c>
      <c r="M61" s="3" t="s">
        <v>166</v>
      </c>
      <c r="P61" s="3">
        <v>-1</v>
      </c>
    </row>
    <row r="62" spans="1:19">
      <c r="A62">
        <v>1024005</v>
      </c>
      <c r="C62">
        <v>1024005</v>
      </c>
      <c r="D62" t="s">
        <v>167</v>
      </c>
      <c r="E62">
        <v>2</v>
      </c>
      <c r="F62" t="s">
        <v>45</v>
      </c>
      <c r="G62">
        <v>1</v>
      </c>
      <c r="H62" t="b">
        <v>0</v>
      </c>
      <c r="I62">
        <v>1</v>
      </c>
      <c r="J62" t="s">
        <v>160</v>
      </c>
      <c r="K62">
        <v>2024005</v>
      </c>
      <c r="L62" t="b">
        <v>0</v>
      </c>
      <c r="M62" t="s">
        <v>168</v>
      </c>
      <c r="P62">
        <v>-1</v>
      </c>
    </row>
    <row r="63" spans="1:19">
      <c r="A63">
        <v>1024006</v>
      </c>
      <c r="C63">
        <v>1024006</v>
      </c>
      <c r="D63" t="s">
        <v>169</v>
      </c>
      <c r="E63">
        <v>2</v>
      </c>
      <c r="F63" t="s">
        <v>45</v>
      </c>
      <c r="G63">
        <v>5</v>
      </c>
      <c r="H63" t="b">
        <v>0</v>
      </c>
      <c r="I63">
        <v>1</v>
      </c>
      <c r="J63" t="s">
        <v>160</v>
      </c>
      <c r="K63">
        <v>2024006</v>
      </c>
      <c r="L63" t="b">
        <v>0</v>
      </c>
      <c r="M63" t="s">
        <v>168</v>
      </c>
      <c r="P63">
        <v>-1</v>
      </c>
    </row>
    <row r="64" s="3" customFormat="1" spans="1:19">
      <c r="A64" s="3">
        <v>1024007</v>
      </c>
      <c r="C64" s="3">
        <v>1024007</v>
      </c>
      <c r="D64" s="3" t="s">
        <v>170</v>
      </c>
      <c r="E64" s="3">
        <v>2</v>
      </c>
      <c r="F64" s="3" t="s">
        <v>45</v>
      </c>
      <c r="G64" s="3">
        <v>1</v>
      </c>
      <c r="H64" t="b">
        <v>1</v>
      </c>
      <c r="I64" s="3">
        <v>1</v>
      </c>
      <c r="J64" s="3" t="s">
        <v>171</v>
      </c>
      <c r="K64" s="3">
        <v>2024007</v>
      </c>
      <c r="L64" s="3" t="b">
        <v>0</v>
      </c>
      <c r="M64" s="3" t="s">
        <v>172</v>
      </c>
      <c r="P64" s="3">
        <v>999</v>
      </c>
    </row>
    <row r="65" spans="1:16">
      <c r="A65">
        <v>1024008</v>
      </c>
      <c r="C65">
        <v>1024008</v>
      </c>
      <c r="D65" t="s">
        <v>173</v>
      </c>
      <c r="E65">
        <v>2</v>
      </c>
      <c r="F65" t="s">
        <v>45</v>
      </c>
      <c r="G65">
        <v>1</v>
      </c>
      <c r="H65" t="b">
        <v>1</v>
      </c>
      <c r="I65">
        <v>1</v>
      </c>
      <c r="J65" t="s">
        <v>160</v>
      </c>
      <c r="K65">
        <v>2024008</v>
      </c>
      <c r="L65" t="b">
        <v>0</v>
      </c>
      <c r="M65" t="s">
        <v>173</v>
      </c>
      <c r="P65">
        <v>999</v>
      </c>
    </row>
    <row r="66" spans="1:16">
      <c r="A66">
        <v>1024009</v>
      </c>
      <c r="C66">
        <v>1024009</v>
      </c>
      <c r="D66" t="s">
        <v>174</v>
      </c>
      <c r="E66">
        <v>2</v>
      </c>
      <c r="F66" t="s">
        <v>45</v>
      </c>
      <c r="G66">
        <v>1</v>
      </c>
      <c r="H66" t="b">
        <v>1</v>
      </c>
      <c r="I66">
        <v>1</v>
      </c>
      <c r="J66" t="s">
        <v>160</v>
      </c>
      <c r="K66">
        <v>2024009</v>
      </c>
      <c r="L66" t="b">
        <v>0</v>
      </c>
      <c r="M66" t="s">
        <v>174</v>
      </c>
      <c r="P66">
        <v>999</v>
      </c>
    </row>
    <row r="67" spans="1:16">
      <c r="A67">
        <v>1024010</v>
      </c>
      <c r="C67">
        <v>1024010</v>
      </c>
      <c r="D67" t="s">
        <v>175</v>
      </c>
      <c r="E67">
        <v>2</v>
      </c>
      <c r="F67" t="s">
        <v>45</v>
      </c>
      <c r="G67">
        <v>1</v>
      </c>
      <c r="H67" t="b">
        <v>1</v>
      </c>
      <c r="I67">
        <v>1</v>
      </c>
      <c r="J67" t="s">
        <v>160</v>
      </c>
      <c r="K67">
        <v>2024010</v>
      </c>
      <c r="L67" t="b">
        <v>0</v>
      </c>
      <c r="M67" t="s">
        <v>175</v>
      </c>
      <c r="P67">
        <v>999</v>
      </c>
    </row>
    <row r="68" spans="1:16">
      <c r="A68">
        <v>1024011</v>
      </c>
      <c r="C68">
        <v>1024011</v>
      </c>
      <c r="D68" t="s">
        <v>176</v>
      </c>
      <c r="E68">
        <v>2</v>
      </c>
      <c r="F68" t="s">
        <v>45</v>
      </c>
      <c r="G68">
        <v>1</v>
      </c>
      <c r="H68" t="b">
        <v>0</v>
      </c>
      <c r="I68">
        <v>1</v>
      </c>
      <c r="J68" t="s">
        <v>160</v>
      </c>
      <c r="K68">
        <v>2024011</v>
      </c>
      <c r="L68" t="b">
        <v>0</v>
      </c>
      <c r="M68" t="s">
        <v>176</v>
      </c>
      <c r="P68">
        <v>-1</v>
      </c>
    </row>
    <row r="69" spans="1:16">
      <c r="A69">
        <v>1024012</v>
      </c>
      <c r="C69">
        <v>1024012</v>
      </c>
      <c r="D69" t="s">
        <v>177</v>
      </c>
      <c r="E69">
        <v>2</v>
      </c>
      <c r="F69" t="s">
        <v>45</v>
      </c>
      <c r="G69">
        <v>1</v>
      </c>
      <c r="H69" t="b">
        <v>0</v>
      </c>
      <c r="I69">
        <v>1</v>
      </c>
      <c r="J69" t="s">
        <v>160</v>
      </c>
      <c r="K69">
        <v>2024012</v>
      </c>
      <c r="L69" t="b">
        <v>0</v>
      </c>
      <c r="M69" t="s">
        <v>177</v>
      </c>
      <c r="P69">
        <v>-1</v>
      </c>
    </row>
    <row r="70" spans="1:16">
      <c r="A70">
        <v>1025101</v>
      </c>
      <c r="C70">
        <v>1025101</v>
      </c>
      <c r="D70" t="s">
        <v>178</v>
      </c>
      <c r="E70">
        <v>2</v>
      </c>
      <c r="F70" t="s">
        <v>45</v>
      </c>
      <c r="G70">
        <v>1</v>
      </c>
      <c r="H70" t="b">
        <v>1</v>
      </c>
      <c r="I70">
        <v>1</v>
      </c>
      <c r="J70" t="s">
        <v>160</v>
      </c>
      <c r="K70">
        <v>2025101</v>
      </c>
      <c r="L70" t="b">
        <v>0</v>
      </c>
      <c r="M70" t="s">
        <v>178</v>
      </c>
      <c r="P70">
        <v>-1</v>
      </c>
    </row>
    <row r="71" spans="1:16">
      <c r="A71">
        <v>1025102</v>
      </c>
      <c r="C71">
        <v>1025102</v>
      </c>
      <c r="D71" t="s">
        <v>179</v>
      </c>
      <c r="E71">
        <v>2</v>
      </c>
      <c r="F71" t="s">
        <v>45</v>
      </c>
      <c r="G71">
        <v>1</v>
      </c>
      <c r="H71" t="b">
        <v>1</v>
      </c>
      <c r="I71">
        <v>1</v>
      </c>
      <c r="J71" t="s">
        <v>160</v>
      </c>
      <c r="K71">
        <v>2025102</v>
      </c>
      <c r="L71" t="b">
        <v>0</v>
      </c>
      <c r="M71" t="s">
        <v>179</v>
      </c>
      <c r="P71">
        <v>-1</v>
      </c>
    </row>
    <row r="72" spans="1:16">
      <c r="A72">
        <v>1025103</v>
      </c>
      <c r="C72">
        <v>1025103</v>
      </c>
      <c r="D72" t="s">
        <v>180</v>
      </c>
      <c r="E72">
        <v>2</v>
      </c>
      <c r="F72" t="s">
        <v>45</v>
      </c>
      <c r="G72">
        <v>1</v>
      </c>
      <c r="H72" t="b">
        <v>1</v>
      </c>
      <c r="I72">
        <v>1</v>
      </c>
      <c r="J72" t="s">
        <v>160</v>
      </c>
      <c r="K72">
        <v>2025103</v>
      </c>
      <c r="L72" t="b">
        <v>0</v>
      </c>
      <c r="M72" t="s">
        <v>180</v>
      </c>
      <c r="P72">
        <v>-1</v>
      </c>
    </row>
    <row r="73" spans="1:16">
      <c r="A73">
        <v>1025104</v>
      </c>
      <c r="C73">
        <v>1025104</v>
      </c>
      <c r="D73" t="s">
        <v>181</v>
      </c>
      <c r="E73">
        <v>2</v>
      </c>
      <c r="F73" t="s">
        <v>45</v>
      </c>
      <c r="G73">
        <v>1</v>
      </c>
      <c r="H73" t="b">
        <v>1</v>
      </c>
      <c r="I73">
        <v>1</v>
      </c>
      <c r="J73" t="s">
        <v>160</v>
      </c>
      <c r="K73">
        <v>2025104</v>
      </c>
      <c r="L73" t="b">
        <v>0</v>
      </c>
      <c r="M73" t="s">
        <v>181</v>
      </c>
      <c r="P73">
        <v>-1</v>
      </c>
    </row>
    <row r="74" spans="1:16">
      <c r="A74">
        <v>1025105</v>
      </c>
      <c r="C74">
        <v>1025105</v>
      </c>
      <c r="D74" t="s">
        <v>182</v>
      </c>
      <c r="E74">
        <v>2</v>
      </c>
      <c r="F74" t="s">
        <v>45</v>
      </c>
      <c r="G74">
        <v>1</v>
      </c>
      <c r="H74" t="b">
        <v>1</v>
      </c>
      <c r="I74">
        <v>1</v>
      </c>
      <c r="J74" t="s">
        <v>160</v>
      </c>
      <c r="K74">
        <v>2025105</v>
      </c>
      <c r="L74" t="b">
        <v>0</v>
      </c>
      <c r="M74" t="s">
        <v>182</v>
      </c>
      <c r="P74">
        <v>-1</v>
      </c>
    </row>
    <row r="75" spans="1:16">
      <c r="A75">
        <v>1025106</v>
      </c>
      <c r="C75">
        <v>1025106</v>
      </c>
      <c r="D75" t="s">
        <v>183</v>
      </c>
      <c r="E75">
        <v>2</v>
      </c>
      <c r="F75" t="s">
        <v>45</v>
      </c>
      <c r="G75">
        <v>1</v>
      </c>
      <c r="H75" t="b">
        <v>1</v>
      </c>
      <c r="I75">
        <v>1</v>
      </c>
      <c r="J75" t="s">
        <v>160</v>
      </c>
      <c r="K75">
        <v>2025106</v>
      </c>
      <c r="L75" t="b">
        <v>0</v>
      </c>
      <c r="M75" t="s">
        <v>183</v>
      </c>
      <c r="P75">
        <v>-1</v>
      </c>
    </row>
    <row r="76" spans="1:16">
      <c r="A76">
        <v>1025201</v>
      </c>
      <c r="C76">
        <v>1025201</v>
      </c>
      <c r="D76" t="s">
        <v>184</v>
      </c>
      <c r="E76">
        <v>2</v>
      </c>
      <c r="F76" t="s">
        <v>45</v>
      </c>
      <c r="G76">
        <v>2</v>
      </c>
      <c r="H76" t="b">
        <v>1</v>
      </c>
      <c r="I76">
        <v>1</v>
      </c>
      <c r="J76" t="s">
        <v>160</v>
      </c>
      <c r="K76">
        <v>2025201</v>
      </c>
      <c r="L76" t="b">
        <v>0</v>
      </c>
      <c r="M76" t="s">
        <v>184</v>
      </c>
      <c r="P76">
        <v>-1</v>
      </c>
    </row>
    <row r="77" spans="1:16">
      <c r="A77">
        <v>1025202</v>
      </c>
      <c r="C77">
        <v>1025202</v>
      </c>
      <c r="D77" t="s">
        <v>185</v>
      </c>
      <c r="E77">
        <v>2</v>
      </c>
      <c r="F77" t="s">
        <v>45</v>
      </c>
      <c r="G77">
        <v>2</v>
      </c>
      <c r="H77" t="b">
        <v>1</v>
      </c>
      <c r="I77">
        <v>1</v>
      </c>
      <c r="J77" t="s">
        <v>160</v>
      </c>
      <c r="K77">
        <v>2025202</v>
      </c>
      <c r="L77" t="b">
        <v>0</v>
      </c>
      <c r="M77" t="s">
        <v>185</v>
      </c>
      <c r="P77">
        <v>-1</v>
      </c>
    </row>
    <row r="78" spans="1:16">
      <c r="A78">
        <v>1025203</v>
      </c>
      <c r="C78">
        <v>1025203</v>
      </c>
      <c r="D78" t="s">
        <v>186</v>
      </c>
      <c r="E78">
        <v>2</v>
      </c>
      <c r="F78" t="s">
        <v>45</v>
      </c>
      <c r="G78">
        <v>2</v>
      </c>
      <c r="H78" t="b">
        <v>1</v>
      </c>
      <c r="I78">
        <v>1</v>
      </c>
      <c r="J78" t="s">
        <v>160</v>
      </c>
      <c r="K78">
        <v>2025203</v>
      </c>
      <c r="L78" t="b">
        <v>0</v>
      </c>
      <c r="M78" t="s">
        <v>186</v>
      </c>
      <c r="P78">
        <v>-1</v>
      </c>
    </row>
    <row r="79" spans="1:16">
      <c r="A79">
        <v>1025204</v>
      </c>
      <c r="C79">
        <v>1025204</v>
      </c>
      <c r="D79" t="s">
        <v>187</v>
      </c>
      <c r="E79">
        <v>2</v>
      </c>
      <c r="F79" t="s">
        <v>45</v>
      </c>
      <c r="G79">
        <v>2</v>
      </c>
      <c r="H79" t="b">
        <v>1</v>
      </c>
      <c r="I79">
        <v>1</v>
      </c>
      <c r="J79" t="s">
        <v>160</v>
      </c>
      <c r="K79">
        <v>2025204</v>
      </c>
      <c r="L79" t="b">
        <v>0</v>
      </c>
      <c r="M79" t="s">
        <v>187</v>
      </c>
      <c r="P79">
        <v>-1</v>
      </c>
    </row>
    <row r="80" spans="1:16">
      <c r="A80">
        <v>1025205</v>
      </c>
      <c r="C80">
        <v>1025205</v>
      </c>
      <c r="D80" t="s">
        <v>188</v>
      </c>
      <c r="E80">
        <v>2</v>
      </c>
      <c r="F80" t="s">
        <v>45</v>
      </c>
      <c r="G80">
        <v>2</v>
      </c>
      <c r="H80" t="b">
        <v>1</v>
      </c>
      <c r="I80">
        <v>1</v>
      </c>
      <c r="J80" t="s">
        <v>160</v>
      </c>
      <c r="K80">
        <v>2025205</v>
      </c>
      <c r="L80" t="b">
        <v>0</v>
      </c>
      <c r="M80" t="s">
        <v>188</v>
      </c>
      <c r="P80">
        <v>-1</v>
      </c>
    </row>
    <row r="81" spans="1:16">
      <c r="A81">
        <v>1025206</v>
      </c>
      <c r="C81">
        <v>1025206</v>
      </c>
      <c r="D81" t="s">
        <v>189</v>
      </c>
      <c r="E81">
        <v>2</v>
      </c>
      <c r="F81" t="s">
        <v>45</v>
      </c>
      <c r="G81">
        <v>2</v>
      </c>
      <c r="H81" t="b">
        <v>1</v>
      </c>
      <c r="I81">
        <v>1</v>
      </c>
      <c r="J81" t="s">
        <v>160</v>
      </c>
      <c r="K81">
        <v>2025206</v>
      </c>
      <c r="L81" t="b">
        <v>0</v>
      </c>
      <c r="M81" t="s">
        <v>189</v>
      </c>
      <c r="P81">
        <v>-1</v>
      </c>
    </row>
    <row r="82" spans="1:16">
      <c r="A82">
        <v>1025301</v>
      </c>
      <c r="C82">
        <v>1025301</v>
      </c>
      <c r="D82" t="s">
        <v>190</v>
      </c>
      <c r="E82">
        <v>2</v>
      </c>
      <c r="F82" t="s">
        <v>45</v>
      </c>
      <c r="G82">
        <v>3</v>
      </c>
      <c r="H82" t="b">
        <v>1</v>
      </c>
      <c r="I82">
        <v>1</v>
      </c>
      <c r="J82" t="s">
        <v>160</v>
      </c>
      <c r="K82">
        <v>2025301</v>
      </c>
      <c r="L82" t="b">
        <v>0</v>
      </c>
      <c r="M82" t="s">
        <v>190</v>
      </c>
      <c r="P82">
        <v>-1</v>
      </c>
    </row>
    <row r="83" spans="1:16">
      <c r="A83">
        <v>1025302</v>
      </c>
      <c r="C83">
        <v>1025302</v>
      </c>
      <c r="D83" t="s">
        <v>191</v>
      </c>
      <c r="E83">
        <v>2</v>
      </c>
      <c r="F83" t="s">
        <v>45</v>
      </c>
      <c r="G83">
        <v>3</v>
      </c>
      <c r="H83" t="b">
        <v>1</v>
      </c>
      <c r="I83">
        <v>1</v>
      </c>
      <c r="J83" t="s">
        <v>160</v>
      </c>
      <c r="K83">
        <v>2025302</v>
      </c>
      <c r="L83" t="b">
        <v>0</v>
      </c>
      <c r="M83" t="s">
        <v>191</v>
      </c>
      <c r="P83">
        <v>-1</v>
      </c>
    </row>
    <row r="84" spans="1:16">
      <c r="A84">
        <v>1025303</v>
      </c>
      <c r="C84">
        <v>1025303</v>
      </c>
      <c r="D84" t="s">
        <v>192</v>
      </c>
      <c r="E84">
        <v>2</v>
      </c>
      <c r="F84" t="s">
        <v>45</v>
      </c>
      <c r="G84">
        <v>3</v>
      </c>
      <c r="H84" t="b">
        <v>1</v>
      </c>
      <c r="I84">
        <v>1</v>
      </c>
      <c r="J84" t="s">
        <v>160</v>
      </c>
      <c r="K84">
        <v>2025303</v>
      </c>
      <c r="L84" t="b">
        <v>0</v>
      </c>
      <c r="M84" t="s">
        <v>192</v>
      </c>
      <c r="P84">
        <v>-1</v>
      </c>
    </row>
    <row r="85" spans="1:16">
      <c r="A85">
        <v>1025304</v>
      </c>
      <c r="C85">
        <v>1025304</v>
      </c>
      <c r="D85" t="s">
        <v>193</v>
      </c>
      <c r="E85">
        <v>2</v>
      </c>
      <c r="F85" t="s">
        <v>45</v>
      </c>
      <c r="G85">
        <v>3</v>
      </c>
      <c r="H85" t="b">
        <v>1</v>
      </c>
      <c r="I85">
        <v>1</v>
      </c>
      <c r="J85" t="s">
        <v>160</v>
      </c>
      <c r="K85">
        <v>2025304</v>
      </c>
      <c r="L85" t="b">
        <v>0</v>
      </c>
      <c r="M85" t="s">
        <v>193</v>
      </c>
      <c r="P85">
        <v>-1</v>
      </c>
    </row>
    <row r="86" spans="1:16">
      <c r="A86">
        <v>1025305</v>
      </c>
      <c r="C86">
        <v>1025305</v>
      </c>
      <c r="D86" t="s">
        <v>194</v>
      </c>
      <c r="E86">
        <v>2</v>
      </c>
      <c r="F86" t="s">
        <v>45</v>
      </c>
      <c r="G86">
        <v>3</v>
      </c>
      <c r="H86" t="b">
        <v>1</v>
      </c>
      <c r="I86">
        <v>1</v>
      </c>
      <c r="J86" t="s">
        <v>160</v>
      </c>
      <c r="K86">
        <v>2025305</v>
      </c>
      <c r="L86" t="b">
        <v>0</v>
      </c>
      <c r="M86" t="s">
        <v>194</v>
      </c>
      <c r="P86">
        <v>-1</v>
      </c>
    </row>
    <row r="87" spans="1:16">
      <c r="A87">
        <v>1025306</v>
      </c>
      <c r="C87">
        <v>1025306</v>
      </c>
      <c r="D87" t="s">
        <v>195</v>
      </c>
      <c r="E87">
        <v>2</v>
      </c>
      <c r="F87" t="s">
        <v>45</v>
      </c>
      <c r="G87">
        <v>3</v>
      </c>
      <c r="H87" t="b">
        <v>1</v>
      </c>
      <c r="I87">
        <v>1</v>
      </c>
      <c r="J87" t="s">
        <v>160</v>
      </c>
      <c r="K87">
        <v>2025306</v>
      </c>
      <c r="L87" t="b">
        <v>0</v>
      </c>
      <c r="M87" t="s">
        <v>195</v>
      </c>
      <c r="P87">
        <v>-1</v>
      </c>
    </row>
    <row r="88" spans="1:16">
      <c r="A88">
        <v>1025401</v>
      </c>
      <c r="C88">
        <v>1025401</v>
      </c>
      <c r="D88" t="s">
        <v>196</v>
      </c>
      <c r="E88">
        <v>2</v>
      </c>
      <c r="F88" t="s">
        <v>45</v>
      </c>
      <c r="G88">
        <v>4</v>
      </c>
      <c r="H88" t="b">
        <v>1</v>
      </c>
      <c r="I88">
        <v>1</v>
      </c>
      <c r="J88" t="s">
        <v>160</v>
      </c>
      <c r="K88">
        <v>2025401</v>
      </c>
      <c r="L88" t="b">
        <v>0</v>
      </c>
      <c r="M88" t="s">
        <v>196</v>
      </c>
      <c r="P88">
        <v>-1</v>
      </c>
    </row>
    <row r="89" spans="1:16">
      <c r="A89">
        <v>1025402</v>
      </c>
      <c r="C89">
        <v>1025402</v>
      </c>
      <c r="D89" t="s">
        <v>197</v>
      </c>
      <c r="E89">
        <v>2</v>
      </c>
      <c r="F89" t="s">
        <v>45</v>
      </c>
      <c r="G89">
        <v>4</v>
      </c>
      <c r="H89" t="b">
        <v>1</v>
      </c>
      <c r="I89">
        <v>1</v>
      </c>
      <c r="J89" t="s">
        <v>160</v>
      </c>
      <c r="K89">
        <v>2025402</v>
      </c>
      <c r="L89" t="b">
        <v>0</v>
      </c>
      <c r="M89" t="s">
        <v>197</v>
      </c>
      <c r="P89">
        <v>-1</v>
      </c>
    </row>
    <row r="90" spans="1:16">
      <c r="A90">
        <v>1025403</v>
      </c>
      <c r="C90">
        <v>1025403</v>
      </c>
      <c r="D90" t="s">
        <v>198</v>
      </c>
      <c r="E90">
        <v>2</v>
      </c>
      <c r="F90" t="s">
        <v>45</v>
      </c>
      <c r="G90">
        <v>4</v>
      </c>
      <c r="H90" t="b">
        <v>1</v>
      </c>
      <c r="I90">
        <v>1</v>
      </c>
      <c r="J90" t="s">
        <v>160</v>
      </c>
      <c r="K90">
        <v>2025403</v>
      </c>
      <c r="L90" t="b">
        <v>0</v>
      </c>
      <c r="M90" t="s">
        <v>198</v>
      </c>
      <c r="P90">
        <v>-1</v>
      </c>
    </row>
    <row r="91" spans="1:16">
      <c r="A91">
        <v>1025404</v>
      </c>
      <c r="C91">
        <v>1025404</v>
      </c>
      <c r="D91" t="s">
        <v>199</v>
      </c>
      <c r="E91">
        <v>2</v>
      </c>
      <c r="F91" t="s">
        <v>45</v>
      </c>
      <c r="G91">
        <v>4</v>
      </c>
      <c r="H91" t="b">
        <v>1</v>
      </c>
      <c r="I91">
        <v>1</v>
      </c>
      <c r="J91" t="s">
        <v>160</v>
      </c>
      <c r="K91">
        <v>2025404</v>
      </c>
      <c r="L91" t="b">
        <v>0</v>
      </c>
      <c r="M91" t="s">
        <v>199</v>
      </c>
      <c r="P91">
        <v>-1</v>
      </c>
    </row>
    <row r="92" spans="1:16">
      <c r="A92">
        <v>1025405</v>
      </c>
      <c r="C92">
        <v>1025405</v>
      </c>
      <c r="D92" t="s">
        <v>200</v>
      </c>
      <c r="E92">
        <v>2</v>
      </c>
      <c r="F92" t="s">
        <v>45</v>
      </c>
      <c r="G92">
        <v>4</v>
      </c>
      <c r="H92" t="b">
        <v>1</v>
      </c>
      <c r="I92">
        <v>1</v>
      </c>
      <c r="J92" t="s">
        <v>160</v>
      </c>
      <c r="K92">
        <v>2025405</v>
      </c>
      <c r="L92" t="b">
        <v>0</v>
      </c>
      <c r="M92" t="s">
        <v>200</v>
      </c>
      <c r="P92">
        <v>-1</v>
      </c>
    </row>
    <row r="93" spans="1:16">
      <c r="A93">
        <v>1025406</v>
      </c>
      <c r="C93">
        <v>1025406</v>
      </c>
      <c r="D93" t="s">
        <v>201</v>
      </c>
      <c r="E93">
        <v>2</v>
      </c>
      <c r="F93" t="s">
        <v>45</v>
      </c>
      <c r="G93">
        <v>4</v>
      </c>
      <c r="H93" t="b">
        <v>1</v>
      </c>
      <c r="I93">
        <v>1</v>
      </c>
      <c r="J93" t="s">
        <v>160</v>
      </c>
      <c r="K93">
        <v>2025406</v>
      </c>
      <c r="L93" t="b">
        <v>0</v>
      </c>
      <c r="M93" t="s">
        <v>201</v>
      </c>
      <c r="P93">
        <v>-1</v>
      </c>
    </row>
    <row r="94" spans="1:16">
      <c r="A94">
        <v>1025501</v>
      </c>
      <c r="C94">
        <v>1025501</v>
      </c>
      <c r="D94" t="s">
        <v>202</v>
      </c>
      <c r="E94">
        <v>2</v>
      </c>
      <c r="F94" t="s">
        <v>45</v>
      </c>
      <c r="G94">
        <v>7</v>
      </c>
      <c r="H94" t="b">
        <v>1</v>
      </c>
      <c r="I94">
        <v>1</v>
      </c>
      <c r="J94" t="s">
        <v>160</v>
      </c>
      <c r="K94">
        <v>2025501</v>
      </c>
      <c r="L94" t="b">
        <v>0</v>
      </c>
      <c r="M94" t="s">
        <v>202</v>
      </c>
      <c r="P94">
        <v>-1</v>
      </c>
    </row>
    <row r="95" spans="1:16">
      <c r="A95">
        <v>1025502</v>
      </c>
      <c r="C95">
        <v>1025502</v>
      </c>
      <c r="D95" t="s">
        <v>203</v>
      </c>
      <c r="E95">
        <v>2</v>
      </c>
      <c r="F95" t="s">
        <v>45</v>
      </c>
      <c r="G95">
        <v>7</v>
      </c>
      <c r="H95" t="b">
        <v>1</v>
      </c>
      <c r="I95">
        <v>1</v>
      </c>
      <c r="J95" t="s">
        <v>160</v>
      </c>
      <c r="K95">
        <v>2025502</v>
      </c>
      <c r="L95" t="b">
        <v>0</v>
      </c>
      <c r="M95" t="s">
        <v>203</v>
      </c>
      <c r="P95">
        <v>-1</v>
      </c>
    </row>
    <row r="96" spans="1:16">
      <c r="A96">
        <v>1025503</v>
      </c>
      <c r="C96">
        <v>1025503</v>
      </c>
      <c r="D96" t="s">
        <v>204</v>
      </c>
      <c r="E96">
        <v>2</v>
      </c>
      <c r="F96" t="s">
        <v>45</v>
      </c>
      <c r="G96">
        <v>7</v>
      </c>
      <c r="H96" t="b">
        <v>1</v>
      </c>
      <c r="I96">
        <v>1</v>
      </c>
      <c r="J96" t="s">
        <v>160</v>
      </c>
      <c r="K96">
        <v>2025503</v>
      </c>
      <c r="L96" t="b">
        <v>0</v>
      </c>
      <c r="M96" t="s">
        <v>204</v>
      </c>
      <c r="P96">
        <v>-1</v>
      </c>
    </row>
    <row r="97" spans="1:16">
      <c r="A97">
        <v>1025504</v>
      </c>
      <c r="C97">
        <v>1025504</v>
      </c>
      <c r="D97" t="s">
        <v>205</v>
      </c>
      <c r="E97">
        <v>2</v>
      </c>
      <c r="F97" t="s">
        <v>45</v>
      </c>
      <c r="G97">
        <v>7</v>
      </c>
      <c r="H97" t="b">
        <v>1</v>
      </c>
      <c r="I97">
        <v>1</v>
      </c>
      <c r="J97" t="s">
        <v>160</v>
      </c>
      <c r="K97">
        <v>2025504</v>
      </c>
      <c r="L97" t="b">
        <v>0</v>
      </c>
      <c r="M97" t="s">
        <v>205</v>
      </c>
      <c r="P97">
        <v>-1</v>
      </c>
    </row>
    <row r="98" spans="1:16">
      <c r="A98">
        <v>1025505</v>
      </c>
      <c r="C98">
        <v>1025505</v>
      </c>
      <c r="D98" t="s">
        <v>206</v>
      </c>
      <c r="E98">
        <v>2</v>
      </c>
      <c r="F98" t="s">
        <v>45</v>
      </c>
      <c r="G98">
        <v>7</v>
      </c>
      <c r="H98" t="b">
        <v>1</v>
      </c>
      <c r="I98">
        <v>1</v>
      </c>
      <c r="J98" t="s">
        <v>160</v>
      </c>
      <c r="K98">
        <v>2025505</v>
      </c>
      <c r="L98" t="b">
        <v>0</v>
      </c>
      <c r="M98" t="s">
        <v>206</v>
      </c>
      <c r="P98">
        <v>-1</v>
      </c>
    </row>
    <row r="99" spans="1:16">
      <c r="A99">
        <v>1025506</v>
      </c>
      <c r="C99">
        <v>1025506</v>
      </c>
      <c r="D99" t="s">
        <v>207</v>
      </c>
      <c r="E99">
        <v>2</v>
      </c>
      <c r="F99" t="s">
        <v>45</v>
      </c>
      <c r="G99">
        <v>7</v>
      </c>
      <c r="H99" t="b">
        <v>1</v>
      </c>
      <c r="I99">
        <v>1</v>
      </c>
      <c r="J99" t="s">
        <v>160</v>
      </c>
      <c r="K99">
        <v>2025506</v>
      </c>
      <c r="L99" t="b">
        <v>0</v>
      </c>
      <c r="M99" t="s">
        <v>207</v>
      </c>
      <c r="P99">
        <v>-1</v>
      </c>
    </row>
    <row r="100" spans="1:16">
      <c r="A100">
        <v>1125101</v>
      </c>
      <c r="C100">
        <v>1125101</v>
      </c>
      <c r="D100" t="str">
        <f>D70&amp;"碎片"</f>
        <v>街头潮人碎片</v>
      </c>
      <c r="E100">
        <v>2</v>
      </c>
      <c r="F100" t="s">
        <v>45</v>
      </c>
      <c r="G100">
        <v>1</v>
      </c>
      <c r="H100" t="b">
        <v>1</v>
      </c>
      <c r="I100">
        <v>1</v>
      </c>
      <c r="J100" t="s">
        <v>160</v>
      </c>
      <c r="K100">
        <v>2125101</v>
      </c>
      <c r="L100" t="b">
        <v>0</v>
      </c>
      <c r="M100" t="str">
        <f>D70&amp;"游客的升星道具"</f>
        <v>街头潮人游客的升星道具</v>
      </c>
      <c r="P100">
        <v>999</v>
      </c>
    </row>
    <row r="101" spans="1:16">
      <c r="A101">
        <v>1125102</v>
      </c>
      <c r="C101">
        <v>1125102</v>
      </c>
      <c r="D101" t="str">
        <f t="shared" ref="D101:D129" si="0">D71&amp;"碎片"</f>
        <v>复古绅士碎片</v>
      </c>
      <c r="E101">
        <v>2</v>
      </c>
      <c r="F101" t="s">
        <v>45</v>
      </c>
      <c r="G101">
        <v>1</v>
      </c>
      <c r="H101" t="b">
        <v>1</v>
      </c>
      <c r="I101">
        <v>1</v>
      </c>
      <c r="J101" t="s">
        <v>160</v>
      </c>
      <c r="K101">
        <v>2125102</v>
      </c>
      <c r="L101" t="b">
        <v>0</v>
      </c>
      <c r="M101" t="str">
        <f t="shared" ref="M101:M129" si="1">D71&amp;"游客的升星道具"</f>
        <v>复古绅士游客的升星道具</v>
      </c>
      <c r="P101">
        <v>999</v>
      </c>
    </row>
    <row r="102" spans="1:16">
      <c r="A102">
        <v>1125103</v>
      </c>
      <c r="C102">
        <v>1125103</v>
      </c>
      <c r="D102" t="str">
        <f t="shared" si="0"/>
        <v>酷盖少年碎片</v>
      </c>
      <c r="E102">
        <v>2</v>
      </c>
      <c r="F102" t="s">
        <v>45</v>
      </c>
      <c r="G102">
        <v>1</v>
      </c>
      <c r="H102" t="b">
        <v>1</v>
      </c>
      <c r="I102">
        <v>1</v>
      </c>
      <c r="J102" t="s">
        <v>160</v>
      </c>
      <c r="K102">
        <v>2125103</v>
      </c>
      <c r="L102" t="b">
        <v>0</v>
      </c>
      <c r="M102" t="str">
        <f t="shared" si="1"/>
        <v>酷盖少年游客的升星道具</v>
      </c>
      <c r="P102">
        <v>999</v>
      </c>
    </row>
    <row r="103" spans="1:16">
      <c r="A103">
        <v>1125104</v>
      </c>
      <c r="C103">
        <v>1125104</v>
      </c>
      <c r="D103" t="str">
        <f t="shared" si="0"/>
        <v>潮流先锋碎片</v>
      </c>
      <c r="E103">
        <v>2</v>
      </c>
      <c r="F103" t="s">
        <v>45</v>
      </c>
      <c r="G103">
        <v>1</v>
      </c>
      <c r="H103" t="b">
        <v>1</v>
      </c>
      <c r="I103">
        <v>1</v>
      </c>
      <c r="J103" t="s">
        <v>160</v>
      </c>
      <c r="K103">
        <v>2125104</v>
      </c>
      <c r="L103" t="b">
        <v>0</v>
      </c>
      <c r="M103" t="str">
        <f t="shared" si="1"/>
        <v>潮流先锋游客的升星道具</v>
      </c>
      <c r="P103">
        <v>999</v>
      </c>
    </row>
    <row r="104" spans="1:16">
      <c r="A104">
        <v>1125105</v>
      </c>
      <c r="C104">
        <v>1125105</v>
      </c>
      <c r="D104" t="str">
        <f t="shared" si="0"/>
        <v>时尚教主碎片</v>
      </c>
      <c r="E104">
        <v>2</v>
      </c>
      <c r="F104" t="s">
        <v>45</v>
      </c>
      <c r="G104">
        <v>1</v>
      </c>
      <c r="H104" t="b">
        <v>1</v>
      </c>
      <c r="I104">
        <v>1</v>
      </c>
      <c r="J104" t="s">
        <v>160</v>
      </c>
      <c r="K104">
        <v>2125105</v>
      </c>
      <c r="L104" t="b">
        <v>0</v>
      </c>
      <c r="M104" t="str">
        <f t="shared" si="1"/>
        <v>时尚教主游客的升星道具</v>
      </c>
      <c r="P104">
        <v>999</v>
      </c>
    </row>
    <row r="105" spans="1:16">
      <c r="A105">
        <v>1125106</v>
      </c>
      <c r="C105">
        <v>1125106</v>
      </c>
      <c r="D105" t="str">
        <f t="shared" si="0"/>
        <v>街拍达人碎片</v>
      </c>
      <c r="E105">
        <v>2</v>
      </c>
      <c r="F105" t="s">
        <v>45</v>
      </c>
      <c r="G105">
        <v>1</v>
      </c>
      <c r="H105" t="b">
        <v>1</v>
      </c>
      <c r="I105">
        <v>1</v>
      </c>
      <c r="J105" t="s">
        <v>160</v>
      </c>
      <c r="K105">
        <v>2125106</v>
      </c>
      <c r="L105" t="b">
        <v>0</v>
      </c>
      <c r="M105" t="str">
        <f t="shared" si="1"/>
        <v>街拍达人游客的升星道具</v>
      </c>
      <c r="P105">
        <v>999</v>
      </c>
    </row>
    <row r="106" spans="1:16">
      <c r="A106">
        <v>1125201</v>
      </c>
      <c r="C106">
        <v>1125201</v>
      </c>
      <c r="D106" t="str">
        <f t="shared" si="0"/>
        <v>运动健将碎片</v>
      </c>
      <c r="E106">
        <v>2</v>
      </c>
      <c r="F106" t="s">
        <v>45</v>
      </c>
      <c r="G106">
        <v>2</v>
      </c>
      <c r="H106" t="b">
        <v>1</v>
      </c>
      <c r="I106">
        <v>1</v>
      </c>
      <c r="J106" t="s">
        <v>160</v>
      </c>
      <c r="K106">
        <v>2125201</v>
      </c>
      <c r="L106" t="b">
        <v>0</v>
      </c>
      <c r="M106" t="str">
        <f t="shared" si="1"/>
        <v>运动健将游客的升星道具</v>
      </c>
      <c r="P106">
        <v>999</v>
      </c>
    </row>
    <row r="107" spans="1:16">
      <c r="A107">
        <v>1125202</v>
      </c>
      <c r="C107">
        <v>1125202</v>
      </c>
      <c r="D107" t="str">
        <f t="shared" si="0"/>
        <v>跑酷少年碎片</v>
      </c>
      <c r="E107">
        <v>2</v>
      </c>
      <c r="F107" t="s">
        <v>45</v>
      </c>
      <c r="G107">
        <v>2</v>
      </c>
      <c r="H107" t="b">
        <v>1</v>
      </c>
      <c r="I107">
        <v>1</v>
      </c>
      <c r="J107" t="s">
        <v>160</v>
      </c>
      <c r="K107">
        <v>2125202</v>
      </c>
      <c r="L107" t="b">
        <v>0</v>
      </c>
      <c r="M107" t="str">
        <f t="shared" si="1"/>
        <v>跑酷少年游客的升星道具</v>
      </c>
      <c r="P107">
        <v>999</v>
      </c>
    </row>
    <row r="108" spans="1:16">
      <c r="A108">
        <v>1125203</v>
      </c>
      <c r="C108">
        <v>1125203</v>
      </c>
      <c r="D108" t="str">
        <f t="shared" si="0"/>
        <v>滑板高手碎片</v>
      </c>
      <c r="E108">
        <v>2</v>
      </c>
      <c r="F108" t="s">
        <v>45</v>
      </c>
      <c r="G108">
        <v>2</v>
      </c>
      <c r="H108" t="b">
        <v>1</v>
      </c>
      <c r="I108">
        <v>1</v>
      </c>
      <c r="J108" t="s">
        <v>160</v>
      </c>
      <c r="K108">
        <v>2125203</v>
      </c>
      <c r="L108" t="b">
        <v>0</v>
      </c>
      <c r="M108" t="str">
        <f t="shared" si="1"/>
        <v>滑板高手游客的升星道具</v>
      </c>
      <c r="P108">
        <v>999</v>
      </c>
    </row>
    <row r="109" spans="1:16">
      <c r="A109">
        <v>1125204</v>
      </c>
      <c r="C109">
        <v>1125204</v>
      </c>
      <c r="D109" t="str">
        <f t="shared" si="0"/>
        <v>甜心辣妹碎片</v>
      </c>
      <c r="E109">
        <v>2</v>
      </c>
      <c r="F109" t="s">
        <v>45</v>
      </c>
      <c r="G109">
        <v>2</v>
      </c>
      <c r="H109" t="b">
        <v>1</v>
      </c>
      <c r="I109">
        <v>1</v>
      </c>
      <c r="J109" t="s">
        <v>160</v>
      </c>
      <c r="K109">
        <v>2125204</v>
      </c>
      <c r="L109" t="b">
        <v>0</v>
      </c>
      <c r="M109" t="str">
        <f t="shared" si="1"/>
        <v>甜心辣妹游客的升星道具</v>
      </c>
      <c r="P109">
        <v>999</v>
      </c>
    </row>
    <row r="110" spans="1:16">
      <c r="A110">
        <v>1125205</v>
      </c>
      <c r="C110">
        <v>1125205</v>
      </c>
      <c r="D110" t="str">
        <f t="shared" si="0"/>
        <v>活力少女碎片</v>
      </c>
      <c r="E110">
        <v>2</v>
      </c>
      <c r="F110" t="s">
        <v>45</v>
      </c>
      <c r="G110">
        <v>2</v>
      </c>
      <c r="H110" t="b">
        <v>1</v>
      </c>
      <c r="I110">
        <v>1</v>
      </c>
      <c r="J110" t="s">
        <v>160</v>
      </c>
      <c r="K110">
        <v>2125205</v>
      </c>
      <c r="L110" t="b">
        <v>0</v>
      </c>
      <c r="M110" t="str">
        <f t="shared" si="1"/>
        <v>活力少女游客的升星道具</v>
      </c>
      <c r="P110">
        <v>999</v>
      </c>
    </row>
    <row r="111" spans="1:16">
      <c r="A111">
        <v>1125206</v>
      </c>
      <c r="C111">
        <v>1125206</v>
      </c>
      <c r="D111" t="str">
        <f t="shared" si="0"/>
        <v>优雅女神碎片</v>
      </c>
      <c r="E111">
        <v>2</v>
      </c>
      <c r="F111" t="s">
        <v>45</v>
      </c>
      <c r="G111">
        <v>2</v>
      </c>
      <c r="H111" t="b">
        <v>1</v>
      </c>
      <c r="I111">
        <v>1</v>
      </c>
      <c r="J111" t="s">
        <v>160</v>
      </c>
      <c r="K111">
        <v>2125206</v>
      </c>
      <c r="L111" t="b">
        <v>0</v>
      </c>
      <c r="M111" t="str">
        <f t="shared" si="1"/>
        <v>优雅女神游客的升星道具</v>
      </c>
      <c r="P111">
        <v>999</v>
      </c>
    </row>
    <row r="112" spans="1:16">
      <c r="A112">
        <v>1125301</v>
      </c>
      <c r="C112">
        <v>1125301</v>
      </c>
      <c r="D112" t="str">
        <f t="shared" si="0"/>
        <v>健身狂魔碎片</v>
      </c>
      <c r="E112">
        <v>2</v>
      </c>
      <c r="F112" t="s">
        <v>45</v>
      </c>
      <c r="G112">
        <v>3</v>
      </c>
      <c r="H112" t="b">
        <v>1</v>
      </c>
      <c r="I112">
        <v>1</v>
      </c>
      <c r="J112" t="s">
        <v>160</v>
      </c>
      <c r="K112">
        <v>2125301</v>
      </c>
      <c r="L112" t="b">
        <v>0</v>
      </c>
      <c r="M112" t="str">
        <f t="shared" si="1"/>
        <v>健身狂魔游客的升星道具</v>
      </c>
      <c r="P112">
        <v>999</v>
      </c>
    </row>
    <row r="113" spans="1:16">
      <c r="A113">
        <v>1125302</v>
      </c>
      <c r="C113">
        <v>1125302</v>
      </c>
      <c r="D113" t="str">
        <f t="shared" si="0"/>
        <v>单车骑士碎片</v>
      </c>
      <c r="E113">
        <v>2</v>
      </c>
      <c r="F113" t="s">
        <v>45</v>
      </c>
      <c r="G113">
        <v>3</v>
      </c>
      <c r="H113" t="b">
        <v>1</v>
      </c>
      <c r="I113">
        <v>1</v>
      </c>
      <c r="J113" t="s">
        <v>160</v>
      </c>
      <c r="K113">
        <v>2125302</v>
      </c>
      <c r="L113" t="b">
        <v>0</v>
      </c>
      <c r="M113" t="str">
        <f t="shared" si="1"/>
        <v>单车骑士游客的升星道具</v>
      </c>
      <c r="P113">
        <v>999</v>
      </c>
    </row>
    <row r="114" spans="1:16">
      <c r="A114">
        <v>1125303</v>
      </c>
      <c r="C114">
        <v>1125303</v>
      </c>
      <c r="D114" t="str">
        <f t="shared" si="0"/>
        <v>登山行者碎片</v>
      </c>
      <c r="E114">
        <v>2</v>
      </c>
      <c r="F114" t="s">
        <v>45</v>
      </c>
      <c r="G114">
        <v>3</v>
      </c>
      <c r="H114" t="b">
        <v>1</v>
      </c>
      <c r="I114">
        <v>1</v>
      </c>
      <c r="J114" t="s">
        <v>160</v>
      </c>
      <c r="K114">
        <v>2125303</v>
      </c>
      <c r="L114" t="b">
        <v>0</v>
      </c>
      <c r="M114" t="str">
        <f t="shared" si="1"/>
        <v>登山行者游客的升星道具</v>
      </c>
      <c r="P114">
        <v>999</v>
      </c>
    </row>
    <row r="115" spans="1:16">
      <c r="A115">
        <v>1125304</v>
      </c>
      <c r="C115">
        <v>1125304</v>
      </c>
      <c r="D115" t="str">
        <f t="shared" si="0"/>
        <v>文艺青年碎片</v>
      </c>
      <c r="E115">
        <v>2</v>
      </c>
      <c r="F115" t="s">
        <v>45</v>
      </c>
      <c r="G115">
        <v>3</v>
      </c>
      <c r="H115" t="b">
        <v>1</v>
      </c>
      <c r="I115">
        <v>1</v>
      </c>
      <c r="J115" t="s">
        <v>160</v>
      </c>
      <c r="K115">
        <v>2125304</v>
      </c>
      <c r="L115" t="b">
        <v>0</v>
      </c>
      <c r="M115" t="str">
        <f t="shared" si="1"/>
        <v>文艺青年游客的升星道具</v>
      </c>
      <c r="P115">
        <v>999</v>
      </c>
    </row>
    <row r="116" spans="1:16">
      <c r="A116">
        <v>1125305</v>
      </c>
      <c r="C116">
        <v>1125305</v>
      </c>
      <c r="D116" t="str">
        <f t="shared" si="0"/>
        <v>书香少女碎片</v>
      </c>
      <c r="E116">
        <v>2</v>
      </c>
      <c r="F116" t="s">
        <v>45</v>
      </c>
      <c r="G116">
        <v>3</v>
      </c>
      <c r="H116" t="b">
        <v>1</v>
      </c>
      <c r="I116">
        <v>1</v>
      </c>
      <c r="J116" t="s">
        <v>160</v>
      </c>
      <c r="K116">
        <v>2125305</v>
      </c>
      <c r="L116" t="b">
        <v>0</v>
      </c>
      <c r="M116" t="str">
        <f t="shared" si="1"/>
        <v>书香少女游客的升星道具</v>
      </c>
      <c r="P116">
        <v>999</v>
      </c>
    </row>
    <row r="117" spans="1:16">
      <c r="A117">
        <v>1125306</v>
      </c>
      <c r="C117">
        <v>1125306</v>
      </c>
      <c r="D117" t="str">
        <f t="shared" si="0"/>
        <v>民谣歌手碎片</v>
      </c>
      <c r="E117">
        <v>2</v>
      </c>
      <c r="F117" t="s">
        <v>45</v>
      </c>
      <c r="G117">
        <v>3</v>
      </c>
      <c r="H117" t="b">
        <v>1</v>
      </c>
      <c r="I117">
        <v>1</v>
      </c>
      <c r="J117" t="s">
        <v>160</v>
      </c>
      <c r="K117">
        <v>2125306</v>
      </c>
      <c r="L117" t="b">
        <v>0</v>
      </c>
      <c r="M117" t="str">
        <f t="shared" si="1"/>
        <v>民谣歌手游客的升星道具</v>
      </c>
      <c r="P117">
        <v>999</v>
      </c>
    </row>
    <row r="118" spans="1:16">
      <c r="A118">
        <v>1125401</v>
      </c>
      <c r="C118">
        <v>1125401</v>
      </c>
      <c r="D118" t="str">
        <f t="shared" si="0"/>
        <v>马拉松客碎片</v>
      </c>
      <c r="E118">
        <v>2</v>
      </c>
      <c r="F118" t="s">
        <v>45</v>
      </c>
      <c r="G118">
        <v>4</v>
      </c>
      <c r="H118" t="b">
        <v>1</v>
      </c>
      <c r="I118">
        <v>1</v>
      </c>
      <c r="J118" t="s">
        <v>160</v>
      </c>
      <c r="K118">
        <v>2125401</v>
      </c>
      <c r="L118" t="b">
        <v>0</v>
      </c>
      <c r="M118" t="str">
        <f t="shared" si="1"/>
        <v>马拉松客游客的升星道具</v>
      </c>
      <c r="P118">
        <v>999</v>
      </c>
    </row>
    <row r="119" spans="1:16">
      <c r="A119">
        <v>1125402</v>
      </c>
      <c r="C119">
        <v>1125402</v>
      </c>
      <c r="D119" t="str">
        <f t="shared" si="0"/>
        <v>极限玩家碎片</v>
      </c>
      <c r="E119">
        <v>2</v>
      </c>
      <c r="F119" t="s">
        <v>45</v>
      </c>
      <c r="G119">
        <v>4</v>
      </c>
      <c r="H119" t="b">
        <v>1</v>
      </c>
      <c r="I119">
        <v>1</v>
      </c>
      <c r="J119" t="s">
        <v>160</v>
      </c>
      <c r="K119">
        <v>2125402</v>
      </c>
      <c r="L119" t="b">
        <v>0</v>
      </c>
      <c r="M119" t="str">
        <f t="shared" si="1"/>
        <v>极限玩家游客的升星道具</v>
      </c>
      <c r="P119">
        <v>999</v>
      </c>
    </row>
    <row r="120" spans="1:16">
      <c r="A120">
        <v>1125403</v>
      </c>
      <c r="C120">
        <v>1125403</v>
      </c>
      <c r="D120" t="str">
        <f t="shared" si="0"/>
        <v>科技极客碎片</v>
      </c>
      <c r="E120">
        <v>2</v>
      </c>
      <c r="F120" t="s">
        <v>45</v>
      </c>
      <c r="G120">
        <v>4</v>
      </c>
      <c r="H120" t="b">
        <v>1</v>
      </c>
      <c r="I120">
        <v>1</v>
      </c>
      <c r="J120" t="s">
        <v>160</v>
      </c>
      <c r="K120">
        <v>2125403</v>
      </c>
      <c r="L120" t="b">
        <v>0</v>
      </c>
      <c r="M120" t="str">
        <f t="shared" si="1"/>
        <v>科技极客游客的升星道具</v>
      </c>
      <c r="P120">
        <v>999</v>
      </c>
    </row>
    <row r="121" spans="1:16">
      <c r="A121">
        <v>1125404</v>
      </c>
      <c r="C121">
        <v>1125404</v>
      </c>
      <c r="D121" t="str">
        <f t="shared" si="0"/>
        <v>独立画家碎片</v>
      </c>
      <c r="E121">
        <v>2</v>
      </c>
      <c r="F121" t="s">
        <v>45</v>
      </c>
      <c r="G121">
        <v>4</v>
      </c>
      <c r="H121" t="b">
        <v>1</v>
      </c>
      <c r="I121">
        <v>1</v>
      </c>
      <c r="J121" t="s">
        <v>160</v>
      </c>
      <c r="K121">
        <v>2125404</v>
      </c>
      <c r="L121" t="b">
        <v>0</v>
      </c>
      <c r="M121" t="str">
        <f t="shared" si="1"/>
        <v>独立画家游客的升星道具</v>
      </c>
      <c r="P121">
        <v>999</v>
      </c>
    </row>
    <row r="122" spans="1:16">
      <c r="A122">
        <v>1125405</v>
      </c>
      <c r="C122">
        <v>1125405</v>
      </c>
      <c r="D122" t="str">
        <f t="shared" si="0"/>
        <v>浪漫诗人碎片</v>
      </c>
      <c r="E122">
        <v>2</v>
      </c>
      <c r="F122" t="s">
        <v>45</v>
      </c>
      <c r="G122">
        <v>4</v>
      </c>
      <c r="H122" t="b">
        <v>1</v>
      </c>
      <c r="I122">
        <v>1</v>
      </c>
      <c r="J122" t="s">
        <v>160</v>
      </c>
      <c r="K122">
        <v>2125405</v>
      </c>
      <c r="L122" t="b">
        <v>0</v>
      </c>
      <c r="M122" t="str">
        <f t="shared" si="1"/>
        <v>浪漫诗人游客的升星道具</v>
      </c>
      <c r="P122">
        <v>999</v>
      </c>
    </row>
    <row r="123" spans="1:16">
      <c r="A123">
        <v>1125406</v>
      </c>
      <c r="C123">
        <v>1125406</v>
      </c>
      <c r="D123" t="str">
        <f t="shared" si="0"/>
        <v>古典乐迷碎片</v>
      </c>
      <c r="E123">
        <v>2</v>
      </c>
      <c r="F123" t="s">
        <v>45</v>
      </c>
      <c r="G123">
        <v>4</v>
      </c>
      <c r="H123" t="b">
        <v>1</v>
      </c>
      <c r="I123">
        <v>1</v>
      </c>
      <c r="J123" t="s">
        <v>160</v>
      </c>
      <c r="K123">
        <v>2125406</v>
      </c>
      <c r="L123" t="b">
        <v>0</v>
      </c>
      <c r="M123" t="str">
        <f t="shared" si="1"/>
        <v>古典乐迷游客的升星道具</v>
      </c>
      <c r="P123">
        <v>999</v>
      </c>
    </row>
    <row r="124" spans="1:16">
      <c r="A124">
        <v>1125501</v>
      </c>
      <c r="C124">
        <v>1125501</v>
      </c>
      <c r="D124" t="str">
        <f t="shared" si="0"/>
        <v>创业新贵碎片</v>
      </c>
      <c r="E124">
        <v>2</v>
      </c>
      <c r="F124" t="s">
        <v>45</v>
      </c>
      <c r="G124">
        <v>7</v>
      </c>
      <c r="H124" t="b">
        <v>1</v>
      </c>
      <c r="I124">
        <v>1</v>
      </c>
      <c r="J124" t="s">
        <v>160</v>
      </c>
      <c r="K124">
        <v>2125501</v>
      </c>
      <c r="L124" t="b">
        <v>0</v>
      </c>
      <c r="M124" t="str">
        <f t="shared" si="1"/>
        <v>创业新贵游客的升星道具</v>
      </c>
      <c r="P124">
        <v>999</v>
      </c>
    </row>
    <row r="125" spans="1:16">
      <c r="A125">
        <v>1125502</v>
      </c>
      <c r="C125">
        <v>1125502</v>
      </c>
      <c r="D125" t="str">
        <f t="shared" si="0"/>
        <v>摸金校尉碎片</v>
      </c>
      <c r="E125">
        <v>2</v>
      </c>
      <c r="F125" t="s">
        <v>45</v>
      </c>
      <c r="G125">
        <v>7</v>
      </c>
      <c r="H125" t="b">
        <v>1</v>
      </c>
      <c r="I125">
        <v>1</v>
      </c>
      <c r="J125" t="s">
        <v>160</v>
      </c>
      <c r="K125">
        <v>2125502</v>
      </c>
      <c r="L125" t="b">
        <v>0</v>
      </c>
      <c r="M125" t="str">
        <f t="shared" si="1"/>
        <v>摸金校尉游客的升星道具</v>
      </c>
      <c r="P125">
        <v>999</v>
      </c>
    </row>
    <row r="126" spans="1:16">
      <c r="A126">
        <v>1125503</v>
      </c>
      <c r="C126">
        <v>1125503</v>
      </c>
      <c r="D126" t="str">
        <f t="shared" si="0"/>
        <v>氪金大佬碎片</v>
      </c>
      <c r="E126">
        <v>2</v>
      </c>
      <c r="F126" t="s">
        <v>45</v>
      </c>
      <c r="G126">
        <v>7</v>
      </c>
      <c r="H126" t="b">
        <v>1</v>
      </c>
      <c r="I126">
        <v>1</v>
      </c>
      <c r="J126" t="s">
        <v>160</v>
      </c>
      <c r="K126">
        <v>2125503</v>
      </c>
      <c r="L126" t="b">
        <v>0</v>
      </c>
      <c r="M126" t="str">
        <f t="shared" si="1"/>
        <v>氪金大佬游客的升星道具</v>
      </c>
      <c r="P126">
        <v>999</v>
      </c>
    </row>
    <row r="127" spans="1:16">
      <c r="A127">
        <v>1125504</v>
      </c>
      <c r="C127">
        <v>1125504</v>
      </c>
      <c r="D127" t="str">
        <f t="shared" si="0"/>
        <v>穿搭博主碎片</v>
      </c>
      <c r="E127">
        <v>2</v>
      </c>
      <c r="F127" t="s">
        <v>45</v>
      </c>
      <c r="G127">
        <v>7</v>
      </c>
      <c r="H127" t="b">
        <v>1</v>
      </c>
      <c r="I127">
        <v>1</v>
      </c>
      <c r="J127" t="s">
        <v>160</v>
      </c>
      <c r="K127">
        <v>2125504</v>
      </c>
      <c r="L127" t="b">
        <v>0</v>
      </c>
      <c r="M127" t="str">
        <f t="shared" si="1"/>
        <v>穿搭博主游客的升星道具</v>
      </c>
      <c r="P127">
        <v>999</v>
      </c>
    </row>
    <row r="128" spans="1:16">
      <c r="A128">
        <v>1125505</v>
      </c>
      <c r="C128">
        <v>1125505</v>
      </c>
      <c r="D128" t="str">
        <f t="shared" si="0"/>
        <v>美妆新秀碎片</v>
      </c>
      <c r="E128">
        <v>2</v>
      </c>
      <c r="F128" t="s">
        <v>45</v>
      </c>
      <c r="G128">
        <v>7</v>
      </c>
      <c r="H128" t="b">
        <v>1</v>
      </c>
      <c r="I128">
        <v>1</v>
      </c>
      <c r="J128" t="s">
        <v>160</v>
      </c>
      <c r="K128">
        <v>2125505</v>
      </c>
      <c r="L128" t="b">
        <v>0</v>
      </c>
      <c r="M128" t="str">
        <f t="shared" si="1"/>
        <v>美妆新秀游客的升星道具</v>
      </c>
      <c r="P128">
        <v>999</v>
      </c>
    </row>
    <row r="129" spans="1:16">
      <c r="A129">
        <v>1125506</v>
      </c>
      <c r="C129">
        <v>1125506</v>
      </c>
      <c r="D129" t="str">
        <f t="shared" si="0"/>
        <v>高定女王碎片</v>
      </c>
      <c r="E129">
        <v>2</v>
      </c>
      <c r="F129" t="s">
        <v>45</v>
      </c>
      <c r="G129">
        <v>7</v>
      </c>
      <c r="H129" t="b">
        <v>1</v>
      </c>
      <c r="I129">
        <v>1</v>
      </c>
      <c r="J129" t="s">
        <v>160</v>
      </c>
      <c r="K129">
        <v>2125506</v>
      </c>
      <c r="L129" t="b">
        <v>0</v>
      </c>
      <c r="M129" t="str">
        <f t="shared" si="1"/>
        <v>高定女王游客的升星道具</v>
      </c>
      <c r="P129">
        <v>999</v>
      </c>
    </row>
    <row r="130" spans="1:16">
      <c r="A130">
        <v>1026001</v>
      </c>
      <c r="C130">
        <v>1026001</v>
      </c>
      <c r="D130" t="s">
        <v>208</v>
      </c>
      <c r="E130">
        <v>2</v>
      </c>
      <c r="F130" t="s">
        <v>45</v>
      </c>
      <c r="G130">
        <v>1</v>
      </c>
      <c r="H130" t="b">
        <v>1</v>
      </c>
      <c r="I130">
        <v>1</v>
      </c>
      <c r="J130" t="s">
        <v>160</v>
      </c>
      <c r="K130">
        <v>2026001</v>
      </c>
      <c r="L130" t="b">
        <v>0</v>
      </c>
      <c r="M130" t="s">
        <v>208</v>
      </c>
      <c r="P130">
        <v>-1</v>
      </c>
    </row>
    <row r="131" spans="1:16">
      <c r="A131">
        <v>1026002</v>
      </c>
      <c r="C131">
        <v>1026002</v>
      </c>
      <c r="D131" t="s">
        <v>209</v>
      </c>
      <c r="E131">
        <v>2</v>
      </c>
      <c r="F131" t="s">
        <v>45</v>
      </c>
      <c r="G131">
        <v>1</v>
      </c>
      <c r="H131" t="b">
        <v>1</v>
      </c>
      <c r="I131">
        <v>1</v>
      </c>
      <c r="J131" t="s">
        <v>160</v>
      </c>
      <c r="K131">
        <v>2026002</v>
      </c>
      <c r="L131" t="b">
        <v>0</v>
      </c>
      <c r="M131" t="s">
        <v>209</v>
      </c>
      <c r="P131">
        <v>-1</v>
      </c>
    </row>
    <row r="132" spans="1:16">
      <c r="A132">
        <v>1026101</v>
      </c>
      <c r="C132">
        <v>1026101</v>
      </c>
      <c r="D132" t="s">
        <v>210</v>
      </c>
      <c r="E132">
        <v>2</v>
      </c>
      <c r="F132" t="s">
        <v>45</v>
      </c>
      <c r="G132">
        <v>2</v>
      </c>
      <c r="H132" t="b">
        <v>1</v>
      </c>
      <c r="I132">
        <v>1</v>
      </c>
      <c r="J132" t="s">
        <v>160</v>
      </c>
      <c r="K132">
        <v>2026101</v>
      </c>
      <c r="L132" t="b">
        <v>0</v>
      </c>
      <c r="M132" t="s">
        <v>210</v>
      </c>
      <c r="P132">
        <v>-1</v>
      </c>
    </row>
    <row r="133" spans="1:16">
      <c r="A133">
        <v>1026102</v>
      </c>
      <c r="C133">
        <v>1026102</v>
      </c>
      <c r="D133" t="s">
        <v>211</v>
      </c>
      <c r="E133">
        <v>2</v>
      </c>
      <c r="F133" t="s">
        <v>45</v>
      </c>
      <c r="G133">
        <v>2</v>
      </c>
      <c r="H133" t="b">
        <v>1</v>
      </c>
      <c r="I133">
        <v>1</v>
      </c>
      <c r="J133" t="s">
        <v>160</v>
      </c>
      <c r="K133">
        <v>2026102</v>
      </c>
      <c r="L133" t="b">
        <v>0</v>
      </c>
      <c r="M133" t="s">
        <v>211</v>
      </c>
      <c r="P133">
        <v>-1</v>
      </c>
    </row>
    <row r="134" spans="1:16">
      <c r="A134">
        <v>1026201</v>
      </c>
      <c r="C134">
        <v>1026201</v>
      </c>
      <c r="D134" t="s">
        <v>212</v>
      </c>
      <c r="E134">
        <v>2</v>
      </c>
      <c r="F134" t="s">
        <v>45</v>
      </c>
      <c r="G134">
        <v>3</v>
      </c>
      <c r="H134" t="b">
        <v>1</v>
      </c>
      <c r="I134">
        <v>1</v>
      </c>
      <c r="J134" t="s">
        <v>160</v>
      </c>
      <c r="K134">
        <v>2026201</v>
      </c>
      <c r="L134" t="b">
        <v>0</v>
      </c>
      <c r="M134" t="s">
        <v>212</v>
      </c>
      <c r="P134">
        <v>-1</v>
      </c>
    </row>
    <row r="135" spans="1:16">
      <c r="A135">
        <v>1026202</v>
      </c>
      <c r="C135">
        <v>1026202</v>
      </c>
      <c r="D135" t="s">
        <v>213</v>
      </c>
      <c r="E135">
        <v>2</v>
      </c>
      <c r="F135" t="s">
        <v>45</v>
      </c>
      <c r="G135">
        <v>3</v>
      </c>
      <c r="H135" t="b">
        <v>1</v>
      </c>
      <c r="I135">
        <v>1</v>
      </c>
      <c r="J135" t="s">
        <v>160</v>
      </c>
      <c r="K135">
        <v>2026202</v>
      </c>
      <c r="L135" t="b">
        <v>0</v>
      </c>
      <c r="M135" t="s">
        <v>213</v>
      </c>
      <c r="P135">
        <v>-1</v>
      </c>
    </row>
    <row r="136" spans="1:16">
      <c r="A136">
        <v>1026301</v>
      </c>
      <c r="C136">
        <v>1026301</v>
      </c>
      <c r="D136" t="s">
        <v>214</v>
      </c>
      <c r="E136">
        <v>2</v>
      </c>
      <c r="F136" t="s">
        <v>45</v>
      </c>
      <c r="G136">
        <v>4</v>
      </c>
      <c r="H136" t="b">
        <v>1</v>
      </c>
      <c r="I136">
        <v>1</v>
      </c>
      <c r="J136" t="s">
        <v>160</v>
      </c>
      <c r="K136">
        <v>2026301</v>
      </c>
      <c r="L136" t="b">
        <v>0</v>
      </c>
      <c r="M136" t="s">
        <v>214</v>
      </c>
      <c r="P136">
        <v>-1</v>
      </c>
    </row>
    <row r="137" spans="1:16">
      <c r="A137">
        <v>1026302</v>
      </c>
      <c r="C137">
        <v>1026302</v>
      </c>
      <c r="D137" t="s">
        <v>215</v>
      </c>
      <c r="E137">
        <v>2</v>
      </c>
      <c r="F137" t="s">
        <v>45</v>
      </c>
      <c r="G137">
        <v>4</v>
      </c>
      <c r="H137" t="b">
        <v>1</v>
      </c>
      <c r="I137">
        <v>1</v>
      </c>
      <c r="J137" t="s">
        <v>160</v>
      </c>
      <c r="K137">
        <v>2026302</v>
      </c>
      <c r="L137" t="b">
        <v>0</v>
      </c>
      <c r="M137" t="s">
        <v>215</v>
      </c>
      <c r="P137">
        <v>-1</v>
      </c>
    </row>
    <row r="138" spans="1:16">
      <c r="A138">
        <v>1026401</v>
      </c>
      <c r="C138">
        <v>1026401</v>
      </c>
      <c r="D138" t="s">
        <v>216</v>
      </c>
      <c r="E138">
        <v>2</v>
      </c>
      <c r="F138" t="s">
        <v>45</v>
      </c>
      <c r="G138">
        <v>7</v>
      </c>
      <c r="H138" t="b">
        <v>1</v>
      </c>
      <c r="I138">
        <v>1</v>
      </c>
      <c r="J138" t="s">
        <v>160</v>
      </c>
      <c r="K138">
        <v>2026401</v>
      </c>
      <c r="L138" t="b">
        <v>0</v>
      </c>
      <c r="M138" t="s">
        <v>216</v>
      </c>
      <c r="P138">
        <v>-1</v>
      </c>
    </row>
    <row r="139" spans="1:16">
      <c r="A139">
        <v>1026402</v>
      </c>
      <c r="C139">
        <v>1026402</v>
      </c>
      <c r="D139" t="s">
        <v>217</v>
      </c>
      <c r="E139">
        <v>2</v>
      </c>
      <c r="F139" t="s">
        <v>45</v>
      </c>
      <c r="G139">
        <v>7</v>
      </c>
      <c r="H139" t="b">
        <v>1</v>
      </c>
      <c r="I139">
        <v>1</v>
      </c>
      <c r="J139" t="s">
        <v>160</v>
      </c>
      <c r="K139">
        <v>2026402</v>
      </c>
      <c r="L139" t="b">
        <v>0</v>
      </c>
      <c r="M139" t="s">
        <v>217</v>
      </c>
      <c r="P139">
        <v>-1</v>
      </c>
    </row>
    <row r="140" spans="1:16">
      <c r="A140">
        <v>1027001</v>
      </c>
      <c r="C140">
        <v>1027001</v>
      </c>
      <c r="D140" t="s">
        <v>218</v>
      </c>
      <c r="E140">
        <v>2</v>
      </c>
      <c r="F140" t="s">
        <v>45</v>
      </c>
      <c r="G140">
        <v>1</v>
      </c>
      <c r="H140" t="b">
        <v>1</v>
      </c>
      <c r="I140">
        <v>1</v>
      </c>
      <c r="J140" t="s">
        <v>160</v>
      </c>
      <c r="K140">
        <v>2027001</v>
      </c>
      <c r="L140" t="b">
        <v>0</v>
      </c>
      <c r="M140" t="s">
        <v>218</v>
      </c>
      <c r="P140">
        <v>-1</v>
      </c>
    </row>
    <row r="141" spans="1:16">
      <c r="A141">
        <v>1027002</v>
      </c>
      <c r="C141">
        <v>1027002</v>
      </c>
      <c r="D141" t="s">
        <v>219</v>
      </c>
      <c r="E141">
        <v>2</v>
      </c>
      <c r="F141" t="s">
        <v>45</v>
      </c>
      <c r="G141">
        <v>1</v>
      </c>
      <c r="H141" t="b">
        <v>1</v>
      </c>
      <c r="I141">
        <v>1</v>
      </c>
      <c r="J141" t="s">
        <v>160</v>
      </c>
      <c r="K141">
        <v>2027002</v>
      </c>
      <c r="L141" t="b">
        <v>0</v>
      </c>
      <c r="M141" t="s">
        <v>219</v>
      </c>
      <c r="P141">
        <v>-1</v>
      </c>
    </row>
    <row r="142" spans="1:16">
      <c r="A142">
        <v>1027101</v>
      </c>
      <c r="C142">
        <v>1027101</v>
      </c>
      <c r="D142" t="s">
        <v>220</v>
      </c>
      <c r="E142">
        <v>2</v>
      </c>
      <c r="F142" t="s">
        <v>45</v>
      </c>
      <c r="G142">
        <v>2</v>
      </c>
      <c r="H142" t="b">
        <v>1</v>
      </c>
      <c r="I142">
        <v>1</v>
      </c>
      <c r="J142" t="s">
        <v>160</v>
      </c>
      <c r="K142">
        <v>2027101</v>
      </c>
      <c r="L142" t="b">
        <v>0</v>
      </c>
      <c r="M142" t="s">
        <v>220</v>
      </c>
      <c r="P142">
        <v>-1</v>
      </c>
    </row>
    <row r="143" spans="1:16">
      <c r="A143">
        <v>1027102</v>
      </c>
      <c r="C143">
        <v>1027102</v>
      </c>
      <c r="D143" t="s">
        <v>221</v>
      </c>
      <c r="E143">
        <v>2</v>
      </c>
      <c r="F143" t="s">
        <v>45</v>
      </c>
      <c r="G143">
        <v>2</v>
      </c>
      <c r="H143" t="b">
        <v>1</v>
      </c>
      <c r="I143">
        <v>1</v>
      </c>
      <c r="J143" t="s">
        <v>160</v>
      </c>
      <c r="K143">
        <v>2027102</v>
      </c>
      <c r="L143" t="b">
        <v>0</v>
      </c>
      <c r="M143" t="s">
        <v>221</v>
      </c>
      <c r="P143">
        <v>-1</v>
      </c>
    </row>
    <row r="144" spans="1:16">
      <c r="A144">
        <v>1027201</v>
      </c>
      <c r="C144">
        <v>1027201</v>
      </c>
      <c r="D144" t="s">
        <v>222</v>
      </c>
      <c r="E144">
        <v>2</v>
      </c>
      <c r="F144" t="s">
        <v>45</v>
      </c>
      <c r="G144">
        <v>3</v>
      </c>
      <c r="H144" t="b">
        <v>1</v>
      </c>
      <c r="I144">
        <v>1</v>
      </c>
      <c r="J144" t="s">
        <v>160</v>
      </c>
      <c r="K144">
        <v>2027201</v>
      </c>
      <c r="L144" t="b">
        <v>0</v>
      </c>
      <c r="M144" t="s">
        <v>222</v>
      </c>
      <c r="P144">
        <v>-1</v>
      </c>
    </row>
    <row r="145" spans="1:16">
      <c r="A145">
        <v>1027202</v>
      </c>
      <c r="C145">
        <v>1027202</v>
      </c>
      <c r="D145" t="s">
        <v>223</v>
      </c>
      <c r="E145">
        <v>2</v>
      </c>
      <c r="F145" t="s">
        <v>45</v>
      </c>
      <c r="G145">
        <v>3</v>
      </c>
      <c r="H145" t="b">
        <v>1</v>
      </c>
      <c r="I145">
        <v>1</v>
      </c>
      <c r="J145" t="s">
        <v>160</v>
      </c>
      <c r="K145">
        <v>2027202</v>
      </c>
      <c r="L145" t="b">
        <v>0</v>
      </c>
      <c r="M145" t="s">
        <v>223</v>
      </c>
      <c r="P145">
        <v>-1</v>
      </c>
    </row>
    <row r="146" spans="1:16">
      <c r="A146">
        <v>1027301</v>
      </c>
      <c r="C146">
        <v>1027301</v>
      </c>
      <c r="D146" t="s">
        <v>224</v>
      </c>
      <c r="E146">
        <v>2</v>
      </c>
      <c r="F146" t="s">
        <v>45</v>
      </c>
      <c r="G146">
        <v>4</v>
      </c>
      <c r="H146" t="b">
        <v>1</v>
      </c>
      <c r="I146">
        <v>1</v>
      </c>
      <c r="J146" t="s">
        <v>160</v>
      </c>
      <c r="K146">
        <v>2027301</v>
      </c>
      <c r="L146" t="b">
        <v>0</v>
      </c>
      <c r="M146" t="s">
        <v>224</v>
      </c>
      <c r="P146">
        <v>-1</v>
      </c>
    </row>
    <row r="147" spans="1:16">
      <c r="A147">
        <v>1027302</v>
      </c>
      <c r="C147">
        <v>1027302</v>
      </c>
      <c r="D147" t="s">
        <v>225</v>
      </c>
      <c r="E147">
        <v>2</v>
      </c>
      <c r="F147" t="s">
        <v>45</v>
      </c>
      <c r="G147">
        <v>4</v>
      </c>
      <c r="H147" t="b">
        <v>1</v>
      </c>
      <c r="I147">
        <v>1</v>
      </c>
      <c r="J147" t="s">
        <v>160</v>
      </c>
      <c r="K147">
        <v>2027302</v>
      </c>
      <c r="L147" t="b">
        <v>0</v>
      </c>
      <c r="M147" t="s">
        <v>225</v>
      </c>
      <c r="P147">
        <v>-1</v>
      </c>
    </row>
    <row r="148" spans="1:16">
      <c r="A148">
        <v>1027401</v>
      </c>
      <c r="C148">
        <v>1027401</v>
      </c>
      <c r="D148" t="s">
        <v>226</v>
      </c>
      <c r="E148">
        <v>2</v>
      </c>
      <c r="F148" t="s">
        <v>45</v>
      </c>
      <c r="G148">
        <v>7</v>
      </c>
      <c r="H148" t="b">
        <v>1</v>
      </c>
      <c r="I148">
        <v>1</v>
      </c>
      <c r="J148" t="s">
        <v>160</v>
      </c>
      <c r="K148">
        <v>2027401</v>
      </c>
      <c r="L148" t="b">
        <v>0</v>
      </c>
      <c r="M148" t="s">
        <v>226</v>
      </c>
      <c r="P148">
        <v>-1</v>
      </c>
    </row>
    <row r="149" spans="1:16">
      <c r="A149">
        <v>1027402</v>
      </c>
      <c r="C149">
        <v>1027402</v>
      </c>
      <c r="D149" t="s">
        <v>227</v>
      </c>
      <c r="E149">
        <v>2</v>
      </c>
      <c r="F149" t="s">
        <v>45</v>
      </c>
      <c r="G149">
        <v>7</v>
      </c>
      <c r="H149" t="b">
        <v>1</v>
      </c>
      <c r="I149">
        <v>1</v>
      </c>
      <c r="J149" t="s">
        <v>160</v>
      </c>
      <c r="K149">
        <v>2027402</v>
      </c>
      <c r="L149" t="b">
        <v>0</v>
      </c>
      <c r="M149" t="s">
        <v>227</v>
      </c>
      <c r="P149">
        <v>-1</v>
      </c>
    </row>
    <row r="150" spans="1:16">
      <c r="A150">
        <v>1028001</v>
      </c>
      <c r="C150">
        <v>1028001</v>
      </c>
      <c r="D150" t="s">
        <v>228</v>
      </c>
      <c r="E150">
        <v>2</v>
      </c>
      <c r="F150" t="s">
        <v>45</v>
      </c>
      <c r="G150">
        <v>1</v>
      </c>
      <c r="H150" t="b">
        <v>1</v>
      </c>
      <c r="I150">
        <v>1</v>
      </c>
      <c r="J150" t="s">
        <v>160</v>
      </c>
      <c r="K150">
        <v>2028001</v>
      </c>
      <c r="L150" t="b">
        <v>0</v>
      </c>
      <c r="M150" t="s">
        <v>228</v>
      </c>
      <c r="P150">
        <v>-1</v>
      </c>
    </row>
    <row r="151" spans="1:16">
      <c r="A151">
        <v>1028002</v>
      </c>
      <c r="C151">
        <v>1028002</v>
      </c>
      <c r="D151" t="s">
        <v>229</v>
      </c>
      <c r="E151">
        <v>2</v>
      </c>
      <c r="F151" t="s">
        <v>45</v>
      </c>
      <c r="G151">
        <v>1</v>
      </c>
      <c r="H151" t="b">
        <v>1</v>
      </c>
      <c r="I151">
        <v>1</v>
      </c>
      <c r="J151" t="s">
        <v>160</v>
      </c>
      <c r="K151">
        <v>2028002</v>
      </c>
      <c r="L151" t="b">
        <v>0</v>
      </c>
      <c r="M151" t="s">
        <v>229</v>
      </c>
      <c r="P151">
        <v>-1</v>
      </c>
    </row>
    <row r="152" spans="1:16">
      <c r="A152">
        <v>1028101</v>
      </c>
      <c r="C152">
        <v>1028101</v>
      </c>
      <c r="D152" t="s">
        <v>230</v>
      </c>
      <c r="E152">
        <v>2</v>
      </c>
      <c r="F152" t="s">
        <v>45</v>
      </c>
      <c r="G152">
        <v>2</v>
      </c>
      <c r="H152" t="b">
        <v>1</v>
      </c>
      <c r="I152">
        <v>1</v>
      </c>
      <c r="J152" t="s">
        <v>160</v>
      </c>
      <c r="K152">
        <v>2028101</v>
      </c>
      <c r="L152" t="b">
        <v>0</v>
      </c>
      <c r="M152" t="s">
        <v>230</v>
      </c>
      <c r="P152">
        <v>-1</v>
      </c>
    </row>
    <row r="153" spans="1:16">
      <c r="A153">
        <v>1028102</v>
      </c>
      <c r="C153">
        <v>1028102</v>
      </c>
      <c r="D153" t="s">
        <v>231</v>
      </c>
      <c r="E153">
        <v>2</v>
      </c>
      <c r="F153" t="s">
        <v>45</v>
      </c>
      <c r="G153">
        <v>2</v>
      </c>
      <c r="H153" t="b">
        <v>1</v>
      </c>
      <c r="I153">
        <v>1</v>
      </c>
      <c r="J153" t="s">
        <v>160</v>
      </c>
      <c r="K153">
        <v>2028102</v>
      </c>
      <c r="L153" t="b">
        <v>0</v>
      </c>
      <c r="M153" t="s">
        <v>231</v>
      </c>
      <c r="P153">
        <v>-1</v>
      </c>
    </row>
    <row r="154" spans="1:16">
      <c r="A154">
        <v>1028201</v>
      </c>
      <c r="C154">
        <v>1028201</v>
      </c>
      <c r="D154" t="s">
        <v>232</v>
      </c>
      <c r="E154">
        <v>2</v>
      </c>
      <c r="F154" t="s">
        <v>45</v>
      </c>
      <c r="G154">
        <v>3</v>
      </c>
      <c r="H154" t="b">
        <v>1</v>
      </c>
      <c r="I154">
        <v>1</v>
      </c>
      <c r="J154" t="s">
        <v>160</v>
      </c>
      <c r="K154">
        <v>2028201</v>
      </c>
      <c r="L154" t="b">
        <v>0</v>
      </c>
      <c r="M154" t="s">
        <v>232</v>
      </c>
      <c r="P154">
        <v>-1</v>
      </c>
    </row>
    <row r="155" spans="1:16">
      <c r="A155">
        <v>1028202</v>
      </c>
      <c r="C155">
        <v>1028202</v>
      </c>
      <c r="D155" t="s">
        <v>233</v>
      </c>
      <c r="E155">
        <v>2</v>
      </c>
      <c r="F155" t="s">
        <v>45</v>
      </c>
      <c r="G155">
        <v>3</v>
      </c>
      <c r="H155" t="b">
        <v>1</v>
      </c>
      <c r="I155">
        <v>1</v>
      </c>
      <c r="J155" t="s">
        <v>160</v>
      </c>
      <c r="K155">
        <v>2028202</v>
      </c>
      <c r="L155" t="b">
        <v>0</v>
      </c>
      <c r="M155" t="s">
        <v>233</v>
      </c>
      <c r="P155">
        <v>-1</v>
      </c>
    </row>
    <row r="156" spans="1:16">
      <c r="A156">
        <v>1028301</v>
      </c>
      <c r="C156">
        <v>1028301</v>
      </c>
      <c r="D156" t="s">
        <v>234</v>
      </c>
      <c r="E156">
        <v>2</v>
      </c>
      <c r="F156" t="s">
        <v>45</v>
      </c>
      <c r="G156">
        <v>4</v>
      </c>
      <c r="H156" t="b">
        <v>1</v>
      </c>
      <c r="I156">
        <v>1</v>
      </c>
      <c r="J156" t="s">
        <v>160</v>
      </c>
      <c r="K156">
        <v>2028301</v>
      </c>
      <c r="L156" t="b">
        <v>0</v>
      </c>
      <c r="M156" t="s">
        <v>234</v>
      </c>
      <c r="P156">
        <v>-1</v>
      </c>
    </row>
    <row r="157" spans="1:16">
      <c r="A157">
        <v>1028302</v>
      </c>
      <c r="C157">
        <v>1028302</v>
      </c>
      <c r="D157" t="s">
        <v>235</v>
      </c>
      <c r="E157">
        <v>2</v>
      </c>
      <c r="F157" t="s">
        <v>45</v>
      </c>
      <c r="G157">
        <v>4</v>
      </c>
      <c r="H157" t="b">
        <v>1</v>
      </c>
      <c r="I157">
        <v>1</v>
      </c>
      <c r="J157" t="s">
        <v>160</v>
      </c>
      <c r="K157">
        <v>2028302</v>
      </c>
      <c r="L157" t="b">
        <v>0</v>
      </c>
      <c r="M157" t="s">
        <v>235</v>
      </c>
      <c r="P157">
        <v>-1</v>
      </c>
    </row>
    <row r="158" spans="1:16">
      <c r="A158">
        <v>1028401</v>
      </c>
      <c r="C158">
        <v>1028401</v>
      </c>
      <c r="D158" t="s">
        <v>236</v>
      </c>
      <c r="E158">
        <v>2</v>
      </c>
      <c r="F158" t="s">
        <v>45</v>
      </c>
      <c r="G158">
        <v>7</v>
      </c>
      <c r="H158" t="b">
        <v>1</v>
      </c>
      <c r="I158">
        <v>1</v>
      </c>
      <c r="J158" t="s">
        <v>160</v>
      </c>
      <c r="K158">
        <v>2028401</v>
      </c>
      <c r="L158" t="b">
        <v>0</v>
      </c>
      <c r="M158" t="s">
        <v>236</v>
      </c>
      <c r="P158">
        <v>-1</v>
      </c>
    </row>
    <row r="159" spans="1:16">
      <c r="A159">
        <v>1028402</v>
      </c>
      <c r="C159">
        <v>1028402</v>
      </c>
      <c r="D159" t="s">
        <v>237</v>
      </c>
      <c r="E159">
        <v>2</v>
      </c>
      <c r="F159" t="s">
        <v>45</v>
      </c>
      <c r="G159">
        <v>7</v>
      </c>
      <c r="H159" t="b">
        <v>1</v>
      </c>
      <c r="I159">
        <v>1</v>
      </c>
      <c r="J159" t="s">
        <v>160</v>
      </c>
      <c r="K159">
        <v>2028402</v>
      </c>
      <c r="L159" t="b">
        <v>0</v>
      </c>
      <c r="M159" t="s">
        <v>237</v>
      </c>
      <c r="P159">
        <v>-1</v>
      </c>
    </row>
    <row r="160" spans="1:16">
      <c r="A160">
        <v>1126001</v>
      </c>
      <c r="C160">
        <v>1126001</v>
      </c>
      <c r="D160" t="str">
        <f>D130&amp;"碎片"</f>
        <v>威廉碎片</v>
      </c>
      <c r="E160">
        <v>2</v>
      </c>
      <c r="F160" t="s">
        <v>45</v>
      </c>
      <c r="G160">
        <v>1</v>
      </c>
      <c r="H160" t="b">
        <v>1</v>
      </c>
      <c r="I160">
        <v>1</v>
      </c>
      <c r="J160" t="s">
        <v>160</v>
      </c>
      <c r="K160">
        <v>2126001</v>
      </c>
      <c r="L160" t="b">
        <v>0</v>
      </c>
      <c r="M160" t="str">
        <f>D130&amp;"雇员的升星道具"</f>
        <v>威廉雇员的升星道具</v>
      </c>
      <c r="P160">
        <v>999</v>
      </c>
    </row>
    <row r="161" spans="1:16">
      <c r="A161">
        <v>1126002</v>
      </c>
      <c r="C161">
        <v>1126002</v>
      </c>
      <c r="D161" t="str">
        <f t="shared" ref="D161:D189" si="2">D131&amp;"碎片"</f>
        <v>艾拉碎片</v>
      </c>
      <c r="E161">
        <v>2</v>
      </c>
      <c r="F161" t="s">
        <v>45</v>
      </c>
      <c r="G161">
        <v>1</v>
      </c>
      <c r="H161" t="b">
        <v>1</v>
      </c>
      <c r="I161">
        <v>1</v>
      </c>
      <c r="J161" t="s">
        <v>160</v>
      </c>
      <c r="K161">
        <v>2126002</v>
      </c>
      <c r="L161" t="b">
        <v>0</v>
      </c>
      <c r="M161" t="str">
        <f t="shared" ref="M161:M189" si="3">D131&amp;"雇员的升星道具"</f>
        <v>艾拉雇员的升星道具</v>
      </c>
      <c r="P161">
        <v>999</v>
      </c>
    </row>
    <row r="162" spans="1:16">
      <c r="A162">
        <v>1126101</v>
      </c>
      <c r="C162">
        <v>1126101</v>
      </c>
      <c r="D162" t="str">
        <f t="shared" si="2"/>
        <v>亨利碎片</v>
      </c>
      <c r="E162">
        <v>2</v>
      </c>
      <c r="F162" t="s">
        <v>45</v>
      </c>
      <c r="G162">
        <v>2</v>
      </c>
      <c r="H162" t="b">
        <v>1</v>
      </c>
      <c r="I162">
        <v>1</v>
      </c>
      <c r="J162" t="s">
        <v>160</v>
      </c>
      <c r="K162">
        <v>2126101</v>
      </c>
      <c r="L162" t="b">
        <v>0</v>
      </c>
      <c r="M162" t="str">
        <f t="shared" si="3"/>
        <v>亨利雇员的升星道具</v>
      </c>
      <c r="P162">
        <v>999</v>
      </c>
    </row>
    <row r="163" spans="1:16">
      <c r="A163">
        <v>1126102</v>
      </c>
      <c r="C163">
        <v>1126102</v>
      </c>
      <c r="D163" t="str">
        <f t="shared" si="2"/>
        <v>艾玛碎片</v>
      </c>
      <c r="E163">
        <v>2</v>
      </c>
      <c r="F163" t="s">
        <v>45</v>
      </c>
      <c r="G163">
        <v>2</v>
      </c>
      <c r="H163" t="b">
        <v>1</v>
      </c>
      <c r="I163">
        <v>1</v>
      </c>
      <c r="J163" t="s">
        <v>160</v>
      </c>
      <c r="K163">
        <v>2126102</v>
      </c>
      <c r="L163" t="b">
        <v>0</v>
      </c>
      <c r="M163" t="str">
        <f t="shared" si="3"/>
        <v>艾玛雇员的升星道具</v>
      </c>
      <c r="P163">
        <v>999</v>
      </c>
    </row>
    <row r="164" spans="1:16">
      <c r="A164">
        <v>1126201</v>
      </c>
      <c r="C164">
        <v>1126201</v>
      </c>
      <c r="D164" t="str">
        <f t="shared" si="2"/>
        <v>乔治碎片</v>
      </c>
      <c r="E164">
        <v>2</v>
      </c>
      <c r="F164" t="s">
        <v>45</v>
      </c>
      <c r="G164">
        <v>3</v>
      </c>
      <c r="H164" t="b">
        <v>1</v>
      </c>
      <c r="I164">
        <v>1</v>
      </c>
      <c r="J164" t="s">
        <v>160</v>
      </c>
      <c r="K164">
        <v>2126201</v>
      </c>
      <c r="L164" t="b">
        <v>0</v>
      </c>
      <c r="M164" t="str">
        <f t="shared" si="3"/>
        <v>乔治雇员的升星道具</v>
      </c>
      <c r="P164">
        <v>999</v>
      </c>
    </row>
    <row r="165" spans="1:16">
      <c r="A165">
        <v>1126202</v>
      </c>
      <c r="C165">
        <v>1126202</v>
      </c>
      <c r="D165" t="str">
        <f t="shared" si="2"/>
        <v>艾娃碎片</v>
      </c>
      <c r="E165">
        <v>2</v>
      </c>
      <c r="F165" t="s">
        <v>45</v>
      </c>
      <c r="G165">
        <v>3</v>
      </c>
      <c r="H165" t="b">
        <v>1</v>
      </c>
      <c r="I165">
        <v>1</v>
      </c>
      <c r="J165" t="s">
        <v>160</v>
      </c>
      <c r="K165">
        <v>2126202</v>
      </c>
      <c r="L165" t="b">
        <v>0</v>
      </c>
      <c r="M165" t="str">
        <f t="shared" si="3"/>
        <v>艾娃雇员的升星道具</v>
      </c>
      <c r="P165">
        <v>999</v>
      </c>
    </row>
    <row r="166" spans="1:16">
      <c r="A166">
        <v>1126301</v>
      </c>
      <c r="C166">
        <v>1126301</v>
      </c>
      <c r="D166" t="str">
        <f t="shared" si="2"/>
        <v>亚瑟碎片</v>
      </c>
      <c r="E166">
        <v>2</v>
      </c>
      <c r="F166" t="s">
        <v>45</v>
      </c>
      <c r="G166">
        <v>4</v>
      </c>
      <c r="H166" t="b">
        <v>1</v>
      </c>
      <c r="I166">
        <v>1</v>
      </c>
      <c r="J166" t="s">
        <v>160</v>
      </c>
      <c r="K166">
        <v>2126301</v>
      </c>
      <c r="L166" t="b">
        <v>0</v>
      </c>
      <c r="M166" t="str">
        <f t="shared" si="3"/>
        <v>亚瑟雇员的升星道具</v>
      </c>
      <c r="P166">
        <v>999</v>
      </c>
    </row>
    <row r="167" spans="1:16">
      <c r="A167">
        <v>1126302</v>
      </c>
      <c r="C167">
        <v>1126302</v>
      </c>
      <c r="D167" t="str">
        <f t="shared" si="2"/>
        <v>安娜碎片</v>
      </c>
      <c r="E167">
        <v>2</v>
      </c>
      <c r="F167" t="s">
        <v>45</v>
      </c>
      <c r="G167">
        <v>4</v>
      </c>
      <c r="H167" t="b">
        <v>1</v>
      </c>
      <c r="I167">
        <v>1</v>
      </c>
      <c r="J167" t="s">
        <v>160</v>
      </c>
      <c r="K167">
        <v>2126302</v>
      </c>
      <c r="L167" t="b">
        <v>0</v>
      </c>
      <c r="M167" t="str">
        <f t="shared" si="3"/>
        <v>安娜雇员的升星道具</v>
      </c>
      <c r="P167">
        <v>999</v>
      </c>
    </row>
    <row r="168" spans="1:16">
      <c r="A168">
        <v>1126401</v>
      </c>
      <c r="C168">
        <v>1126401</v>
      </c>
      <c r="D168" t="str">
        <f t="shared" si="2"/>
        <v>马修碎片</v>
      </c>
      <c r="E168">
        <v>2</v>
      </c>
      <c r="F168" t="s">
        <v>45</v>
      </c>
      <c r="G168">
        <v>7</v>
      </c>
      <c r="H168" t="b">
        <v>1</v>
      </c>
      <c r="I168">
        <v>1</v>
      </c>
      <c r="J168" t="s">
        <v>160</v>
      </c>
      <c r="K168">
        <v>2126401</v>
      </c>
      <c r="L168" t="b">
        <v>0</v>
      </c>
      <c r="M168" t="str">
        <f t="shared" si="3"/>
        <v>马修雇员的升星道具</v>
      </c>
      <c r="P168">
        <v>999</v>
      </c>
    </row>
    <row r="169" spans="1:16">
      <c r="A169">
        <v>1126402</v>
      </c>
      <c r="C169">
        <v>1126402</v>
      </c>
      <c r="D169" t="str">
        <f t="shared" si="2"/>
        <v>哈珀碎片</v>
      </c>
      <c r="E169">
        <v>2</v>
      </c>
      <c r="F169" t="s">
        <v>45</v>
      </c>
      <c r="G169">
        <v>7</v>
      </c>
      <c r="H169" t="b">
        <v>1</v>
      </c>
      <c r="I169">
        <v>1</v>
      </c>
      <c r="J169" t="s">
        <v>160</v>
      </c>
      <c r="K169">
        <v>2126402</v>
      </c>
      <c r="L169" t="b">
        <v>0</v>
      </c>
      <c r="M169" t="str">
        <f t="shared" si="3"/>
        <v>哈珀雇员的升星道具</v>
      </c>
      <c r="P169">
        <v>999</v>
      </c>
    </row>
    <row r="170" spans="1:16">
      <c r="A170">
        <v>1127001</v>
      </c>
      <c r="C170">
        <v>1127001</v>
      </c>
      <c r="D170" t="str">
        <f t="shared" si="2"/>
        <v>拉斐尔碎片</v>
      </c>
      <c r="E170">
        <v>2</v>
      </c>
      <c r="F170" t="s">
        <v>45</v>
      </c>
      <c r="G170">
        <v>1</v>
      </c>
      <c r="H170" t="b">
        <v>1</v>
      </c>
      <c r="I170">
        <v>1</v>
      </c>
      <c r="J170" t="s">
        <v>160</v>
      </c>
      <c r="K170">
        <v>2127001</v>
      </c>
      <c r="L170" t="b">
        <v>0</v>
      </c>
      <c r="M170" t="str">
        <f t="shared" si="3"/>
        <v>拉斐尔雇员的升星道具</v>
      </c>
      <c r="P170">
        <v>999</v>
      </c>
    </row>
    <row r="171" spans="1:16">
      <c r="A171">
        <v>1127002</v>
      </c>
      <c r="C171">
        <v>1127002</v>
      </c>
      <c r="D171" t="str">
        <f t="shared" si="2"/>
        <v>伊芙琳碎片</v>
      </c>
      <c r="E171">
        <v>2</v>
      </c>
      <c r="F171" t="s">
        <v>45</v>
      </c>
      <c r="G171">
        <v>1</v>
      </c>
      <c r="H171" t="b">
        <v>1</v>
      </c>
      <c r="I171">
        <v>1</v>
      </c>
      <c r="J171" t="s">
        <v>160</v>
      </c>
      <c r="K171">
        <v>2127002</v>
      </c>
      <c r="L171" t="b">
        <v>0</v>
      </c>
      <c r="M171" t="str">
        <f t="shared" si="3"/>
        <v>伊芙琳雇员的升星道具</v>
      </c>
      <c r="P171">
        <v>999</v>
      </c>
    </row>
    <row r="172" spans="1:16">
      <c r="A172">
        <v>1127101</v>
      </c>
      <c r="C172">
        <v>1127101</v>
      </c>
      <c r="D172" t="str">
        <f t="shared" si="2"/>
        <v>埃米尔碎片</v>
      </c>
      <c r="E172">
        <v>2</v>
      </c>
      <c r="F172" t="s">
        <v>45</v>
      </c>
      <c r="G172">
        <v>2</v>
      </c>
      <c r="H172" t="b">
        <v>1</v>
      </c>
      <c r="I172">
        <v>1</v>
      </c>
      <c r="J172" t="s">
        <v>160</v>
      </c>
      <c r="K172">
        <v>2127101</v>
      </c>
      <c r="L172" t="b">
        <v>0</v>
      </c>
      <c r="M172" t="str">
        <f t="shared" si="3"/>
        <v>埃米尔雇员的升星道具</v>
      </c>
      <c r="P172">
        <v>999</v>
      </c>
    </row>
    <row r="173" spans="1:16">
      <c r="A173">
        <v>1127102</v>
      </c>
      <c r="C173">
        <v>1127102</v>
      </c>
      <c r="D173" t="str">
        <f t="shared" si="2"/>
        <v>夏洛特碎片</v>
      </c>
      <c r="E173">
        <v>2</v>
      </c>
      <c r="F173" t="s">
        <v>45</v>
      </c>
      <c r="G173">
        <v>2</v>
      </c>
      <c r="H173" t="b">
        <v>1</v>
      </c>
      <c r="I173">
        <v>1</v>
      </c>
      <c r="J173" t="s">
        <v>160</v>
      </c>
      <c r="K173">
        <v>2127102</v>
      </c>
      <c r="L173" t="b">
        <v>0</v>
      </c>
      <c r="M173" t="str">
        <f t="shared" si="3"/>
        <v>夏洛特雇员的升星道具</v>
      </c>
      <c r="P173">
        <v>999</v>
      </c>
    </row>
    <row r="174" spans="1:16">
      <c r="A174">
        <v>1127201</v>
      </c>
      <c r="C174">
        <v>1127201</v>
      </c>
      <c r="D174" t="str">
        <f t="shared" si="2"/>
        <v>雷蒙德碎片</v>
      </c>
      <c r="E174">
        <v>2</v>
      </c>
      <c r="F174" t="s">
        <v>45</v>
      </c>
      <c r="G174">
        <v>3</v>
      </c>
      <c r="H174" t="b">
        <v>1</v>
      </c>
      <c r="I174">
        <v>1</v>
      </c>
      <c r="J174" t="s">
        <v>160</v>
      </c>
      <c r="K174">
        <v>2127201</v>
      </c>
      <c r="L174" t="b">
        <v>0</v>
      </c>
      <c r="M174" t="str">
        <f t="shared" si="3"/>
        <v>雷蒙德雇员的升星道具</v>
      </c>
      <c r="P174">
        <v>999</v>
      </c>
    </row>
    <row r="175" spans="1:16">
      <c r="A175">
        <v>1127202</v>
      </c>
      <c r="C175">
        <v>1127202</v>
      </c>
      <c r="D175" t="str">
        <f t="shared" si="2"/>
        <v>斯嘉丽碎片</v>
      </c>
      <c r="E175">
        <v>2</v>
      </c>
      <c r="F175" t="s">
        <v>45</v>
      </c>
      <c r="G175">
        <v>3</v>
      </c>
      <c r="H175" t="b">
        <v>1</v>
      </c>
      <c r="I175">
        <v>1</v>
      </c>
      <c r="J175" t="s">
        <v>160</v>
      </c>
      <c r="K175">
        <v>2127202</v>
      </c>
      <c r="L175" t="b">
        <v>0</v>
      </c>
      <c r="M175" t="str">
        <f t="shared" si="3"/>
        <v>斯嘉丽雇员的升星道具</v>
      </c>
      <c r="P175">
        <v>999</v>
      </c>
    </row>
    <row r="176" spans="1:16">
      <c r="A176">
        <v>1127301</v>
      </c>
      <c r="C176">
        <v>1127301</v>
      </c>
      <c r="D176" t="str">
        <f t="shared" si="2"/>
        <v>丹尼尔碎片</v>
      </c>
      <c r="E176">
        <v>2</v>
      </c>
      <c r="F176" t="s">
        <v>45</v>
      </c>
      <c r="G176">
        <v>4</v>
      </c>
      <c r="H176" t="b">
        <v>1</v>
      </c>
      <c r="I176">
        <v>1</v>
      </c>
      <c r="J176" t="s">
        <v>160</v>
      </c>
      <c r="K176">
        <v>2127301</v>
      </c>
      <c r="L176" t="b">
        <v>0</v>
      </c>
      <c r="M176" t="str">
        <f t="shared" si="3"/>
        <v>丹尼尔雇员的升星道具</v>
      </c>
      <c r="P176">
        <v>999</v>
      </c>
    </row>
    <row r="177" spans="1:16">
      <c r="A177">
        <v>1127302</v>
      </c>
      <c r="C177">
        <v>1127302</v>
      </c>
      <c r="D177" t="str">
        <f t="shared" si="2"/>
        <v>莉莉安碎片</v>
      </c>
      <c r="E177">
        <v>2</v>
      </c>
      <c r="F177" t="s">
        <v>45</v>
      </c>
      <c r="G177">
        <v>4</v>
      </c>
      <c r="H177" t="b">
        <v>1</v>
      </c>
      <c r="I177">
        <v>1</v>
      </c>
      <c r="J177" t="s">
        <v>160</v>
      </c>
      <c r="K177">
        <v>2127302</v>
      </c>
      <c r="L177" t="b">
        <v>0</v>
      </c>
      <c r="M177" t="str">
        <f t="shared" si="3"/>
        <v>莉莉安雇员的升星道具</v>
      </c>
      <c r="P177">
        <v>999</v>
      </c>
    </row>
    <row r="178" spans="1:16">
      <c r="A178">
        <v>1127401</v>
      </c>
      <c r="C178">
        <v>1127401</v>
      </c>
      <c r="D178" t="str">
        <f t="shared" si="2"/>
        <v>卢卡斯碎片</v>
      </c>
      <c r="E178">
        <v>2</v>
      </c>
      <c r="F178" t="s">
        <v>45</v>
      </c>
      <c r="G178">
        <v>7</v>
      </c>
      <c r="H178" t="b">
        <v>1</v>
      </c>
      <c r="I178">
        <v>1</v>
      </c>
      <c r="J178" t="s">
        <v>160</v>
      </c>
      <c r="K178">
        <v>2127401</v>
      </c>
      <c r="L178" t="b">
        <v>0</v>
      </c>
      <c r="M178" t="str">
        <f t="shared" si="3"/>
        <v>卢卡斯雇员的升星道具</v>
      </c>
      <c r="P178">
        <v>999</v>
      </c>
    </row>
    <row r="179" spans="1:16">
      <c r="A179">
        <v>1127402</v>
      </c>
      <c r="C179">
        <v>1127402</v>
      </c>
      <c r="D179" t="str">
        <f t="shared" si="2"/>
        <v>克拉拉碎片</v>
      </c>
      <c r="E179">
        <v>2</v>
      </c>
      <c r="F179" t="s">
        <v>45</v>
      </c>
      <c r="G179">
        <v>7</v>
      </c>
      <c r="H179" t="b">
        <v>1</v>
      </c>
      <c r="I179">
        <v>1</v>
      </c>
      <c r="J179" t="s">
        <v>160</v>
      </c>
      <c r="K179">
        <v>2127402</v>
      </c>
      <c r="L179" t="b">
        <v>0</v>
      </c>
      <c r="M179" t="str">
        <f t="shared" si="3"/>
        <v>克拉拉雇员的升星道具</v>
      </c>
      <c r="P179">
        <v>999</v>
      </c>
    </row>
    <row r="180" spans="1:16">
      <c r="A180">
        <v>1128001</v>
      </c>
      <c r="C180">
        <v>1128001</v>
      </c>
      <c r="D180" t="str">
        <f t="shared" si="2"/>
        <v>尼古拉斯碎片</v>
      </c>
      <c r="E180">
        <v>2</v>
      </c>
      <c r="F180" t="s">
        <v>45</v>
      </c>
      <c r="G180">
        <v>1</v>
      </c>
      <c r="H180" t="b">
        <v>1</v>
      </c>
      <c r="I180">
        <v>1</v>
      </c>
      <c r="J180" t="s">
        <v>160</v>
      </c>
      <c r="K180">
        <v>2128001</v>
      </c>
      <c r="L180" t="b">
        <v>0</v>
      </c>
      <c r="M180" t="str">
        <f t="shared" si="3"/>
        <v>尼古拉斯雇员的升星道具</v>
      </c>
      <c r="P180">
        <v>999</v>
      </c>
    </row>
    <row r="181" spans="1:16">
      <c r="A181">
        <v>1128002</v>
      </c>
      <c r="C181">
        <v>1128002</v>
      </c>
      <c r="D181" t="str">
        <f t="shared" si="2"/>
        <v>奥利维亚碎片</v>
      </c>
      <c r="E181">
        <v>2</v>
      </c>
      <c r="F181" t="s">
        <v>45</v>
      </c>
      <c r="G181">
        <v>1</v>
      </c>
      <c r="H181" t="b">
        <v>1</v>
      </c>
      <c r="I181">
        <v>1</v>
      </c>
      <c r="J181" t="s">
        <v>160</v>
      </c>
      <c r="K181">
        <v>2128002</v>
      </c>
      <c r="L181" t="b">
        <v>0</v>
      </c>
      <c r="M181" t="str">
        <f t="shared" si="3"/>
        <v>奥利维亚雇员的升星道具</v>
      </c>
      <c r="P181">
        <v>999</v>
      </c>
    </row>
    <row r="182" spans="1:16">
      <c r="A182">
        <v>1128101</v>
      </c>
      <c r="C182">
        <v>1128101</v>
      </c>
      <c r="D182" t="str">
        <f t="shared" si="2"/>
        <v>亚历山大碎片</v>
      </c>
      <c r="E182">
        <v>2</v>
      </c>
      <c r="F182" t="s">
        <v>45</v>
      </c>
      <c r="G182">
        <v>2</v>
      </c>
      <c r="H182" t="b">
        <v>1</v>
      </c>
      <c r="I182">
        <v>1</v>
      </c>
      <c r="J182" t="s">
        <v>160</v>
      </c>
      <c r="K182">
        <v>2128101</v>
      </c>
      <c r="L182" t="b">
        <v>0</v>
      </c>
      <c r="M182" t="str">
        <f t="shared" si="3"/>
        <v>亚历山大雇员的升星道具</v>
      </c>
      <c r="P182">
        <v>999</v>
      </c>
    </row>
    <row r="183" spans="1:16">
      <c r="A183">
        <v>1128102</v>
      </c>
      <c r="C183">
        <v>1128102</v>
      </c>
      <c r="D183" t="str">
        <f t="shared" si="2"/>
        <v>玛格丽特碎片</v>
      </c>
      <c r="E183">
        <v>2</v>
      </c>
      <c r="F183" t="s">
        <v>45</v>
      </c>
      <c r="G183">
        <v>2</v>
      </c>
      <c r="H183" t="b">
        <v>1</v>
      </c>
      <c r="I183">
        <v>1</v>
      </c>
      <c r="J183" t="s">
        <v>160</v>
      </c>
      <c r="K183">
        <v>2128102</v>
      </c>
      <c r="L183" t="b">
        <v>0</v>
      </c>
      <c r="M183" t="str">
        <f t="shared" si="3"/>
        <v>玛格丽特雇员的升星道具</v>
      </c>
      <c r="P183">
        <v>999</v>
      </c>
    </row>
    <row r="184" spans="1:16">
      <c r="A184">
        <v>1128201</v>
      </c>
      <c r="C184">
        <v>1128201</v>
      </c>
      <c r="D184" t="str">
        <f t="shared" si="2"/>
        <v>奥古斯特碎片</v>
      </c>
      <c r="E184">
        <v>2</v>
      </c>
      <c r="F184" t="s">
        <v>45</v>
      </c>
      <c r="G184">
        <v>3</v>
      </c>
      <c r="H184" t="b">
        <v>1</v>
      </c>
      <c r="I184">
        <v>1</v>
      </c>
      <c r="J184" t="s">
        <v>160</v>
      </c>
      <c r="K184">
        <v>2128201</v>
      </c>
      <c r="L184" t="b">
        <v>0</v>
      </c>
      <c r="M184" t="str">
        <f t="shared" si="3"/>
        <v>奥古斯特雇员的升星道具</v>
      </c>
      <c r="P184">
        <v>999</v>
      </c>
    </row>
    <row r="185" spans="1:16">
      <c r="A185">
        <v>1128202</v>
      </c>
      <c r="C185">
        <v>1128202</v>
      </c>
      <c r="D185" t="str">
        <f t="shared" si="2"/>
        <v>维奥莱特碎片</v>
      </c>
      <c r="E185">
        <v>2</v>
      </c>
      <c r="F185" t="s">
        <v>45</v>
      </c>
      <c r="G185">
        <v>3</v>
      </c>
      <c r="H185" t="b">
        <v>1</v>
      </c>
      <c r="I185">
        <v>1</v>
      </c>
      <c r="J185" t="s">
        <v>160</v>
      </c>
      <c r="K185">
        <v>2128202</v>
      </c>
      <c r="L185" t="b">
        <v>0</v>
      </c>
      <c r="M185" t="str">
        <f t="shared" si="3"/>
        <v>维奥莱特雇员的升星道具</v>
      </c>
      <c r="P185">
        <v>999</v>
      </c>
    </row>
    <row r="186" spans="1:16">
      <c r="A186">
        <v>1128301</v>
      </c>
      <c r="C186">
        <v>1128301</v>
      </c>
      <c r="D186" t="str">
        <f t="shared" si="2"/>
        <v>费利克斯碎片</v>
      </c>
      <c r="E186">
        <v>2</v>
      </c>
      <c r="F186" t="s">
        <v>45</v>
      </c>
      <c r="G186">
        <v>4</v>
      </c>
      <c r="H186" t="b">
        <v>1</v>
      </c>
      <c r="I186">
        <v>1</v>
      </c>
      <c r="J186" t="s">
        <v>160</v>
      </c>
      <c r="K186">
        <v>2128301</v>
      </c>
      <c r="L186" t="b">
        <v>0</v>
      </c>
      <c r="M186" t="str">
        <f t="shared" si="3"/>
        <v>费利克斯雇员的升星道具</v>
      </c>
      <c r="P186">
        <v>999</v>
      </c>
    </row>
    <row r="187" spans="1:16">
      <c r="A187">
        <v>1128302</v>
      </c>
      <c r="C187">
        <v>1128302</v>
      </c>
      <c r="D187" t="str">
        <f t="shared" si="2"/>
        <v>维多利亚碎片</v>
      </c>
      <c r="E187">
        <v>2</v>
      </c>
      <c r="F187" t="s">
        <v>45</v>
      </c>
      <c r="G187">
        <v>4</v>
      </c>
      <c r="H187" t="b">
        <v>1</v>
      </c>
      <c r="I187">
        <v>1</v>
      </c>
      <c r="J187" t="s">
        <v>160</v>
      </c>
      <c r="K187">
        <v>2128302</v>
      </c>
      <c r="L187" t="b">
        <v>0</v>
      </c>
      <c r="M187" t="str">
        <f t="shared" si="3"/>
        <v>维多利亚雇员的升星道具</v>
      </c>
      <c r="P187">
        <v>999</v>
      </c>
    </row>
    <row r="188" spans="1:16">
      <c r="A188">
        <v>1128401</v>
      </c>
      <c r="C188">
        <v>1128401</v>
      </c>
      <c r="D188" t="str">
        <f t="shared" si="2"/>
        <v>阿尔弗雷德碎片</v>
      </c>
      <c r="E188">
        <v>2</v>
      </c>
      <c r="F188" t="s">
        <v>45</v>
      </c>
      <c r="G188">
        <v>7</v>
      </c>
      <c r="H188" t="b">
        <v>1</v>
      </c>
      <c r="I188">
        <v>1</v>
      </c>
      <c r="J188" t="s">
        <v>160</v>
      </c>
      <c r="K188">
        <v>2128401</v>
      </c>
      <c r="L188" t="b">
        <v>0</v>
      </c>
      <c r="M188" t="str">
        <f t="shared" si="3"/>
        <v>阿尔弗雷德雇员的升星道具</v>
      </c>
      <c r="P188">
        <v>999</v>
      </c>
    </row>
    <row r="189" spans="1:16">
      <c r="A189">
        <v>1128402</v>
      </c>
      <c r="C189">
        <v>1128402</v>
      </c>
      <c r="D189" t="str">
        <f t="shared" si="2"/>
        <v>伊丽莎白碎片</v>
      </c>
      <c r="E189">
        <v>2</v>
      </c>
      <c r="F189" t="s">
        <v>45</v>
      </c>
      <c r="G189">
        <v>7</v>
      </c>
      <c r="H189" t="b">
        <v>1</v>
      </c>
      <c r="I189">
        <v>1</v>
      </c>
      <c r="J189" t="s">
        <v>160</v>
      </c>
      <c r="K189">
        <v>2128402</v>
      </c>
      <c r="L189" t="b">
        <v>0</v>
      </c>
      <c r="M189" t="str">
        <f t="shared" si="3"/>
        <v>伊丽莎白雇员的升星道具</v>
      </c>
      <c r="P189">
        <v>999</v>
      </c>
    </row>
    <row r="190" spans="1:16">
      <c r="A190">
        <v>1200001</v>
      </c>
      <c r="C190">
        <v>1200001</v>
      </c>
      <c r="D190" t="s">
        <v>238</v>
      </c>
      <c r="E190">
        <v>2</v>
      </c>
      <c r="F190" t="s">
        <v>45</v>
      </c>
      <c r="G190">
        <v>1</v>
      </c>
      <c r="H190" t="b">
        <v>0</v>
      </c>
      <c r="I190">
        <v>0</v>
      </c>
      <c r="J190" t="s">
        <v>160</v>
      </c>
      <c r="K190">
        <v>2200001</v>
      </c>
      <c r="L190" t="b">
        <v>0</v>
      </c>
      <c r="M190" t="s">
        <v>239</v>
      </c>
      <c r="P190">
        <v>0</v>
      </c>
    </row>
    <row r="191" spans="1:16">
      <c r="A191">
        <v>1200002</v>
      </c>
      <c r="C191">
        <v>1200002</v>
      </c>
      <c r="D191" t="s">
        <v>240</v>
      </c>
      <c r="E191">
        <v>2</v>
      </c>
      <c r="F191" t="s">
        <v>45</v>
      </c>
      <c r="G191">
        <v>1</v>
      </c>
      <c r="H191" t="b">
        <v>0</v>
      </c>
      <c r="I191">
        <v>0</v>
      </c>
      <c r="J191" t="s">
        <v>160</v>
      </c>
      <c r="K191">
        <v>2200002</v>
      </c>
      <c r="L191" t="b">
        <v>0</v>
      </c>
      <c r="M191" t="s">
        <v>241</v>
      </c>
      <c r="P191">
        <v>0</v>
      </c>
    </row>
    <row r="192" spans="1:16">
      <c r="A192">
        <v>1200003</v>
      </c>
      <c r="C192">
        <v>1200003</v>
      </c>
      <c r="D192" t="s">
        <v>242</v>
      </c>
      <c r="E192">
        <v>2</v>
      </c>
      <c r="F192" t="s">
        <v>45</v>
      </c>
      <c r="G192">
        <v>1</v>
      </c>
      <c r="H192" t="b">
        <v>0</v>
      </c>
      <c r="I192">
        <v>0</v>
      </c>
      <c r="J192" t="s">
        <v>160</v>
      </c>
      <c r="K192">
        <v>2200003</v>
      </c>
      <c r="L192" t="b">
        <v>0</v>
      </c>
      <c r="M192" t="s">
        <v>243</v>
      </c>
      <c r="P192">
        <v>0</v>
      </c>
    </row>
    <row r="193" spans="1:16">
      <c r="A193">
        <v>1200004</v>
      </c>
      <c r="C193">
        <v>1200004</v>
      </c>
      <c r="D193" t="s">
        <v>244</v>
      </c>
      <c r="E193">
        <v>2</v>
      </c>
      <c r="F193" t="s">
        <v>45</v>
      </c>
      <c r="G193">
        <v>1</v>
      </c>
      <c r="H193" t="b">
        <v>0</v>
      </c>
      <c r="I193">
        <v>0</v>
      </c>
      <c r="J193" t="s">
        <v>160</v>
      </c>
      <c r="K193">
        <v>2200004</v>
      </c>
      <c r="L193" t="b">
        <v>0</v>
      </c>
      <c r="M193" t="s">
        <v>245</v>
      </c>
      <c r="P193">
        <v>0</v>
      </c>
    </row>
    <row r="194" spans="1:16">
      <c r="A194">
        <v>1200005</v>
      </c>
      <c r="C194">
        <v>1200005</v>
      </c>
      <c r="D194" t="s">
        <v>246</v>
      </c>
      <c r="E194">
        <v>2</v>
      </c>
      <c r="F194" t="s">
        <v>45</v>
      </c>
      <c r="G194">
        <v>1</v>
      </c>
      <c r="H194" t="b">
        <v>0</v>
      </c>
      <c r="I194">
        <v>0</v>
      </c>
      <c r="J194" t="s">
        <v>160</v>
      </c>
      <c r="K194">
        <v>2200005</v>
      </c>
      <c r="L194" t="b">
        <v>0</v>
      </c>
      <c r="M194" t="s">
        <v>247</v>
      </c>
      <c r="P194">
        <v>0</v>
      </c>
    </row>
    <row r="195" spans="1:16">
      <c r="A195">
        <v>1200006</v>
      </c>
      <c r="C195">
        <v>1200006</v>
      </c>
      <c r="D195" t="s">
        <v>248</v>
      </c>
      <c r="E195">
        <v>2</v>
      </c>
      <c r="F195" t="s">
        <v>45</v>
      </c>
      <c r="G195">
        <v>1</v>
      </c>
      <c r="H195" t="b">
        <v>0</v>
      </c>
      <c r="I195">
        <v>0</v>
      </c>
      <c r="J195" t="s">
        <v>160</v>
      </c>
      <c r="K195">
        <v>2200006</v>
      </c>
      <c r="L195" t="b">
        <v>0</v>
      </c>
      <c r="M195" t="s">
        <v>239</v>
      </c>
      <c r="P195">
        <v>0</v>
      </c>
    </row>
    <row r="196" spans="1:16">
      <c r="A196">
        <v>1200007</v>
      </c>
      <c r="C196">
        <v>1200007</v>
      </c>
      <c r="D196" t="s">
        <v>249</v>
      </c>
      <c r="E196">
        <v>2</v>
      </c>
      <c r="F196" t="s">
        <v>45</v>
      </c>
      <c r="G196">
        <v>1</v>
      </c>
      <c r="H196" t="b">
        <v>0</v>
      </c>
      <c r="I196">
        <v>0</v>
      </c>
      <c r="J196" t="s">
        <v>160</v>
      </c>
      <c r="K196">
        <v>2200007</v>
      </c>
      <c r="L196" t="b">
        <v>0</v>
      </c>
      <c r="M196" t="s">
        <v>250</v>
      </c>
      <c r="P196">
        <v>0</v>
      </c>
    </row>
    <row r="197" spans="1:16">
      <c r="A197">
        <v>1200008</v>
      </c>
      <c r="C197">
        <v>1200008</v>
      </c>
      <c r="D197" t="s">
        <v>251</v>
      </c>
      <c r="E197">
        <v>2</v>
      </c>
      <c r="F197" t="s">
        <v>45</v>
      </c>
      <c r="G197">
        <v>1</v>
      </c>
      <c r="H197" t="b">
        <v>0</v>
      </c>
      <c r="I197">
        <v>0</v>
      </c>
      <c r="J197" t="s">
        <v>160</v>
      </c>
      <c r="K197">
        <v>2200008</v>
      </c>
      <c r="L197" t="b">
        <v>0</v>
      </c>
      <c r="M197" t="s">
        <v>252</v>
      </c>
      <c r="P197">
        <v>0</v>
      </c>
    </row>
    <row r="198" spans="1:16">
      <c r="A198">
        <v>1200009</v>
      </c>
      <c r="C198">
        <v>1200009</v>
      </c>
      <c r="D198" t="s">
        <v>253</v>
      </c>
      <c r="E198">
        <v>2</v>
      </c>
      <c r="F198" t="s">
        <v>45</v>
      </c>
      <c r="G198">
        <v>1</v>
      </c>
      <c r="H198" t="b">
        <v>0</v>
      </c>
      <c r="I198">
        <v>0</v>
      </c>
      <c r="J198" t="s">
        <v>160</v>
      </c>
      <c r="K198">
        <v>2200009</v>
      </c>
      <c r="L198" t="b">
        <v>0</v>
      </c>
      <c r="M198" t="s">
        <v>254</v>
      </c>
      <c r="P198">
        <v>0</v>
      </c>
    </row>
    <row r="199" spans="1:16">
      <c r="A199">
        <v>1200010</v>
      </c>
      <c r="C199">
        <v>1200010</v>
      </c>
      <c r="D199" t="s">
        <v>255</v>
      </c>
      <c r="E199">
        <v>2</v>
      </c>
      <c r="F199" t="s">
        <v>45</v>
      </c>
      <c r="G199">
        <v>1</v>
      </c>
      <c r="H199" t="b">
        <v>0</v>
      </c>
      <c r="I199">
        <v>0</v>
      </c>
      <c r="J199" t="s">
        <v>160</v>
      </c>
      <c r="K199">
        <v>2200010</v>
      </c>
      <c r="L199" t="b">
        <v>0</v>
      </c>
      <c r="M199" t="s">
        <v>256</v>
      </c>
      <c r="P199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2025-07-14T07:23:00Z</dcterms:created>
  <dcterms:modified xsi:type="dcterms:W3CDTF">2026-06-08T01:15:03Z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