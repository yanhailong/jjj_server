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F:\A-work\config_SimMgmtVert1.0\游戏配置表\common\"/>
    </mc:Choice>
  </mc:AlternateContent>
  <bookViews>
    <workbookView windowWidth="27945" windowHeight="11805"/>
  </bookViews>
  <sheets>
    <sheet name="task" sheetId="1" r:id="rId1"/>
    <sheet name="Sheet1" sheetId="2" r:id="rId2"/>
    <sheet name="Sheet2" sheetId="3" r:id="rId3"/>
    <sheet name="Sheet3" sheetId="4" r:id="rId4"/>
  </sheets>
  <externalReferences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[积分大奖]任务
2. [主线]任务
3. [成就]任务
4. [多人]任务
5. [联盟]任务
6.新手赛季【试炼】任务
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相同任务类型，在当前时间下，任务组ID只会读取一个进行显示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 condition.xlsx 文件中的ID
充值类型的单位是分，比如要求充值9.99美元，需要填 999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根据活动结束要清除数据，单独字段配置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填写道具Item资源文件夹中的道具名称</t>
        </r>
      </text>
    </comment>
    <comment ref="O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读取jumpData.xlsx表中的ID</t>
        </r>
      </text>
    </comment>
    <comment ref="Q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空值：表示默认数据
有日期：对应月份读取的数据，日期格式  “1号 - 9号”配置成“01 - 09” 2字符书写
</t>
        </r>
      </text>
    </comment>
    <comment ref="R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1.当值为空或者0时，表示该任务没有品质
2.当值为1时，表示任务品质为-简单
3.当值为2时，表示任务品质为-中等
4.当值为3时，表示任务品质为-困难</t>
        </r>
      </text>
    </comment>
    <comment ref="S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当值为空时，表示没有时间上限</t>
        </r>
      </text>
    </comment>
    <comment ref="T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1.当值为false或空时，表示不能放弃；
2.当值为true时，表示可以放弃
</t>
        </r>
      </text>
    </comment>
    <comment ref="U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1.当值为空或0时，表示任务不能放弃，则没有放弃冷却时间；
2.当值为具体数值时，表示冷却时间，单位为妙</t>
        </r>
      </text>
    </comment>
    <comment ref="X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任务参与最低人数_任务参与最高人数</t>
        </r>
      </text>
    </comment>
    <comment ref="Y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“jumpType” 字段没值时 才填写该值</t>
        </r>
      </text>
    </comment>
    <comment ref="Z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有值： 填写游戏ID_游戏ID_游戏ID
负值：-1  表示 所有游戏中显示
空值：  表示 游戏界面中不显示</t>
        </r>
      </text>
    </comment>
  </commentList>
</comments>
</file>

<file path=xl/comments2.xml><?xml version="1.0" encoding="utf-8"?>
<comments xmlns="http://schemas.openxmlformats.org/spreadsheetml/2006/main">
  <authors>
    <author>Administrator</author>
  </authors>
  <commentList>
    <comment ref="B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[积分大奖]任务
</t>
        </r>
      </text>
    </comment>
    <comment ref="C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相同任务类型，在当前时间下，任务组ID只会读取一个进行显示</t>
        </r>
      </text>
    </comment>
    <comment ref="E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 condition.xlsx 文件中的ID</t>
        </r>
      </text>
    </comment>
    <comment ref="G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根据活动结束要清除数据，单独字段配置</t>
        </r>
      </text>
    </comment>
    <comment ref="H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填写道具Item资源文件夹中的道具名称</t>
        </r>
      </text>
    </comment>
    <comment ref="I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读取jumpData.xlsx表中的ID</t>
        </r>
      </text>
    </comment>
    <comment ref="K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空值：表示默认数据
有日期：对应月份读取的数据，日期格式  “1号 - 9号”配置成“01 - 09” 2字符书写
</t>
        </r>
      </text>
    </comment>
    <comment ref="E4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</commentList>
</comments>
</file>

<file path=xl/sharedStrings.xml><?xml version="1.0" encoding="utf-8"?>
<sst xmlns="http://schemas.openxmlformats.org/spreadsheetml/2006/main" count="7260" uniqueCount="3253">
  <si>
    <t>任务ID</t>
  </si>
  <si>
    <t>任务类型</t>
  </si>
  <si>
    <t>#备注</t>
  </si>
  <si>
    <t>勋章ID</t>
  </si>
  <si>
    <t>任务组</t>
  </si>
  <si>
    <t>后置任务ID</t>
  </si>
  <si>
    <t>任务条件</t>
  </si>
  <si>
    <t>解锁功能ID</t>
  </si>
  <si>
    <t>道具奖励</t>
  </si>
  <si>
    <t>积分奖励</t>
  </si>
  <si>
    <t>积分ICON</t>
  </si>
  <si>
    <t>按钮跳转类型</t>
  </si>
  <si>
    <t>任务图标</t>
  </si>
  <si>
    <t>开启时间</t>
  </si>
  <si>
    <t>任务品质</t>
  </si>
  <si>
    <t>持续时间（分）</t>
  </si>
  <si>
    <t>是否允许放弃</t>
  </si>
  <si>
    <t>放弃的冷却时间（秒）</t>
  </si>
  <si>
    <t>任务描述</t>
  </si>
  <si>
    <t>赛季任务开启天数</t>
  </si>
  <si>
    <t>任务人数上下限</t>
  </si>
  <si>
    <t>任务没跳转目标的提示</t>
  </si>
  <si>
    <t>任务图标显示在游戏中</t>
  </si>
  <si>
    <t>#任务描述</t>
  </si>
  <si>
    <t>价值</t>
  </si>
  <si>
    <t>int</t>
  </si>
  <si>
    <t>list&lt;long&gt;{_}</t>
  </si>
  <si>
    <t>map&lt;int{_}long&gt;{|}</t>
  </si>
  <si>
    <t>string</t>
  </si>
  <si>
    <t>boolean</t>
  </si>
  <si>
    <t>List&lt;int&gt;{_}</t>
  </si>
  <si>
    <t>id</t>
  </si>
  <si>
    <t>taskType</t>
  </si>
  <si>
    <t>BadgeID</t>
  </si>
  <si>
    <t>group</t>
  </si>
  <si>
    <t>taskConditionId</t>
  </si>
  <si>
    <t>FunctionId</t>
  </si>
  <si>
    <t>getItem</t>
  </si>
  <si>
    <t>integralNum</t>
  </si>
  <si>
    <t>integralIcon</t>
  </si>
  <si>
    <t>jumpType</t>
  </si>
  <si>
    <t>taskIcon</t>
  </si>
  <si>
    <t>time</t>
  </si>
  <si>
    <t>Quality</t>
  </si>
  <si>
    <t>Duration</t>
  </si>
  <si>
    <t>AllowAbandon</t>
  </si>
  <si>
    <t>AbandonCooldown</t>
  </si>
  <si>
    <t>language</t>
  </si>
  <si>
    <t>day</t>
  </si>
  <si>
    <t>MinandMax</t>
  </si>
  <si>
    <t>JumpTips</t>
  </si>
  <si>
    <t>gameTaskIcon</t>
  </si>
  <si>
    <t>client</t>
  </si>
  <si>
    <t>积分大奖</t>
  </si>
  <si>
    <t>11002_300_0</t>
  </si>
  <si>
    <t>itemicon_1022504.png</t>
  </si>
  <si>
    <t>task_500001.png</t>
  </si>
  <si>
    <t>累積充值達到 3 $</t>
  </si>
  <si>
    <t>累计充值</t>
  </si>
  <si>
    <t xml:space="preserve">300 </t>
  </si>
  <si>
    <t>Cumulative top-up reaches 3 $</t>
  </si>
  <si>
    <t>Tích lũy nạp tiền đạt 3 $</t>
  </si>
  <si>
    <t>Recarga acumulada atinge 3 $</t>
  </si>
  <si>
    <t>11002_1400_0</t>
  </si>
  <si>
    <t>累積充值達到 14 $</t>
  </si>
  <si>
    <t xml:space="preserve">1,400 </t>
  </si>
  <si>
    <t>Cumulative top-up reaches 14 $</t>
  </si>
  <si>
    <t>Tích lũy nạp tiền đạt 14 $</t>
  </si>
  <si>
    <t>Recarga acumulada atinge 14 $</t>
  </si>
  <si>
    <t>11002_2800_0</t>
  </si>
  <si>
    <t>累積充值達到 28 $</t>
  </si>
  <si>
    <t xml:space="preserve">2,800 </t>
  </si>
  <si>
    <t>Cumulative top-up reaches 28 $</t>
  </si>
  <si>
    <t>Tích lũy nạp tiền đạt 28 $</t>
  </si>
  <si>
    <t>Recarga acumulada atinge 28 $</t>
  </si>
  <si>
    <t>11002_8500_0</t>
  </si>
  <si>
    <t>累積充值達到 85 $</t>
  </si>
  <si>
    <t xml:space="preserve">8,500 </t>
  </si>
  <si>
    <t>Cumulative top-up reaches 85 $</t>
  </si>
  <si>
    <t>Tích lũy nạp tiền đạt 85 $</t>
  </si>
  <si>
    <t>Recarga acumulada atinge 85 $</t>
  </si>
  <si>
    <t>11002_18700_0</t>
  </si>
  <si>
    <t>累積充值達到 187 $</t>
  </si>
  <si>
    <t xml:space="preserve">18,700 </t>
  </si>
  <si>
    <t>Cumulative top-up reaches 187 $</t>
  </si>
  <si>
    <t>Tích lũy nạp tiền đạt 187 $</t>
  </si>
  <si>
    <t>Recarga acumulada atinge 187 $</t>
  </si>
  <si>
    <t>11002_28300_0</t>
  </si>
  <si>
    <t>累積充值達到 283 $</t>
  </si>
  <si>
    <t xml:space="preserve">28,300 </t>
  </si>
  <si>
    <t>Cumulative top-up reaches 283 $</t>
  </si>
  <si>
    <t>Tích lũy nạp tiền đạt 283 $</t>
  </si>
  <si>
    <t>Recarga acumulada atinge 283 $</t>
  </si>
  <si>
    <t>12001_100700_144000</t>
  </si>
  <si>
    <t>task_100700.png</t>
  </si>
  <si>
    <t xml:space="preserve">在[麻将胡了]電子遊戲中，金币有效下注累積達到 144,000 </t>
  </si>
  <si>
    <t>游戏有效下注</t>
  </si>
  <si>
    <t>麻将胡了</t>
  </si>
  <si>
    <t xml:space="preserve">144,000 </t>
  </si>
  <si>
    <t>Mahjong Hu</t>
  </si>
  <si>
    <t xml:space="preserve">In the [Mahjong Hu] electronic game, the cumulative valid coin bets reach 144,000 </t>
  </si>
  <si>
    <t>Mạt chược</t>
  </si>
  <si>
    <t xml:space="preserve">Trong trò chơi [Mạt chược], tích lũy đặt cược hợp lệ tiền vàng đạt 144,000 </t>
  </si>
  <si>
    <t>Mahjong H</t>
  </si>
  <si>
    <t xml:space="preserve">No videogame [Mahjong H], as apostas válidas acumuladas em Moedas de Ouro atingem 144,000 </t>
  </si>
  <si>
    <t>12001_100300_144000</t>
  </si>
  <si>
    <t>task_100300.png</t>
  </si>
  <si>
    <t xml:space="preserve">在[超级明星]電子遊戲中，金币有效下注累積達到 144,000 </t>
  </si>
  <si>
    <t>超级明星</t>
  </si>
  <si>
    <t>Super Star</t>
  </si>
  <si>
    <t xml:space="preserve">In the [Super Star] electronic game, the cumulative valid coin bets reach 144,000 </t>
  </si>
  <si>
    <t>Siêu Sao</t>
  </si>
  <si>
    <t xml:space="preserve">Trong trò chơi [Siêu Sao], tích lũy đặt cược hợp lệ tiền vàng đạt 144,000 </t>
  </si>
  <si>
    <t xml:space="preserve">No videogame [Super Star], as apostas válidas acumuladas em Moedas de Ouro atingem 144,000 </t>
  </si>
  <si>
    <t>12001_101200_144000</t>
  </si>
  <si>
    <t>task_101200.png</t>
  </si>
  <si>
    <t xml:space="preserve">在[财神]電子遊戲中，金币有效下注累積達到 144,000 </t>
  </si>
  <si>
    <t>财神</t>
  </si>
  <si>
    <t>God of Wealth</t>
  </si>
  <si>
    <t xml:space="preserve">In the [God of Wealth] electronic game, the cumulative valid coin bets reach 144,000 </t>
  </si>
  <si>
    <t>Thần Tài</t>
  </si>
  <si>
    <t xml:space="preserve">Trong trò chơi [Thần Tài], tích lũy đặt cược hợp lệ tiền vàng đạt 144,000 </t>
  </si>
  <si>
    <t xml:space="preserve">No videogame [God of Wealth], as apostas válidas acumuladas em Moedas de Ouro atingem 144,000 </t>
  </si>
  <si>
    <t>12001_101400_144000</t>
  </si>
  <si>
    <t>task_101400.png</t>
  </si>
  <si>
    <t xml:space="preserve">在[埃及艳后]電子遊戲中，金币有效下注累積達到 144,000 </t>
  </si>
  <si>
    <t>埃及艳后</t>
  </si>
  <si>
    <t>Cleopatra</t>
  </si>
  <si>
    <t xml:space="preserve">In the [Cleopatra] electronic game, the cumulative valid coin bets reach 144,000 </t>
  </si>
  <si>
    <t>Nữ hoàng Ai Cập</t>
  </si>
  <si>
    <t xml:space="preserve">Trong trò chơi [Nữ hoàng Ai Cập], tích lũy đặt cược hợp lệ tiền vàng đạt 144,000 </t>
  </si>
  <si>
    <t>Cleópatra</t>
  </si>
  <si>
    <t xml:space="preserve">No videogame [Cleópatra], as apostas válidas acumuladas em Moedas de Ouro atingem 144,000 </t>
  </si>
  <si>
    <t>12001_0_144000</t>
  </si>
  <si>
    <t>task_500007.png</t>
  </si>
  <si>
    <t xml:space="preserve">在任意遊戲中，金币有效下注累積達到 144,000 </t>
  </si>
  <si>
    <t>任意有效下注</t>
  </si>
  <si>
    <t>通用</t>
  </si>
  <si>
    <t>any game</t>
  </si>
  <si>
    <t xml:space="preserve">In any game, the cumulative valid coin bets reach 144,000 </t>
  </si>
  <si>
    <t>bất kỳ</t>
  </si>
  <si>
    <t xml:space="preserve">Trong trò chơi [bất kỳ], tích lũy đặt cược hợp lệ tiền vàng đạt 144,000 </t>
  </si>
  <si>
    <t>qualquer jogo</t>
  </si>
  <si>
    <t xml:space="preserve">No videogame [qualquer jogo], as apostas válidas acumuladas em Moedas de Ouro atingem 144,000 </t>
  </si>
  <si>
    <t>12001_101700_144000</t>
  </si>
  <si>
    <t>task_101700.png</t>
  </si>
  <si>
    <t xml:space="preserve">在[圣诞狂欢夜]電子遊戲中，金币有效下注累積達到 144,000 </t>
  </si>
  <si>
    <t>圣诞狂欢夜</t>
  </si>
  <si>
    <t xml:space="preserve">Christmas Eve Party </t>
  </si>
  <si>
    <t xml:space="preserve">In the [Christmas Eve Party ] electronic game, the cumulative valid coin bets reach 144,000 </t>
  </si>
  <si>
    <t>Đại tiệc Giáng Sinh</t>
  </si>
  <si>
    <t xml:space="preserve">Trong trò chơi [Đại tiệc Giáng Sinh], tích lũy đặt cược hợp lệ tiền vàng đạt 144,000 </t>
  </si>
  <si>
    <t>Noite de festa de Natal</t>
  </si>
  <si>
    <t xml:space="preserve">No videogame [Noite de festa de Natal], as apostas válidas acumuladas em Moedas de Ouro atingem 144,000 </t>
  </si>
  <si>
    <t>12001_102100_144000</t>
  </si>
  <si>
    <t>task_102100.png</t>
  </si>
  <si>
    <t xml:space="preserve">在[杰克船长]電子遊戲中，金币有效下注累積達到 144,000 </t>
  </si>
  <si>
    <t>杰克船长</t>
  </si>
  <si>
    <t>Captain Jack</t>
  </si>
  <si>
    <t xml:space="preserve">In the [Captain Jack] electronic game, the cumulative valid coin bets reach 144,000 </t>
  </si>
  <si>
    <t>Thuyền trưởng Jack</t>
  </si>
  <si>
    <t xml:space="preserve">Trong trò chơi [Thuyền trưởng Jack], tích lũy đặt cược hợp lệ tiền vàng đạt 144,000 </t>
  </si>
  <si>
    <t>Capitão Jack</t>
  </si>
  <si>
    <t xml:space="preserve">No videogame [Capitão Jack], as apostas válidas acumuladas em Moedas de Ouro atingem 144,000 </t>
  </si>
  <si>
    <t>12001_102200_144000</t>
  </si>
  <si>
    <t>task_102200.png</t>
  </si>
  <si>
    <t xml:space="preserve">在[雷神]電子遊戲中，金币有效下注累積達到 144,000 </t>
  </si>
  <si>
    <t>雷神</t>
  </si>
  <si>
    <t>Thor</t>
  </si>
  <si>
    <t xml:space="preserve">In the [Thor] electronic game, the cumulative valid coin bets reach 144,000 </t>
  </si>
  <si>
    <t>Thần Sấm</t>
  </si>
  <si>
    <t xml:space="preserve">Trong trò chơi [Thần Sấm], tích lũy đặt cược hợp lệ tiền vàng đạt 144,000 </t>
  </si>
  <si>
    <t xml:space="preserve">No videogame [Thor], as apostas válidas acumuladas em Moedas de Ouro atingem 144,000 </t>
  </si>
  <si>
    <t>12001_102300_144000</t>
  </si>
  <si>
    <t>task_102300.png</t>
  </si>
  <si>
    <t xml:space="preserve">在[蒸汽时代]電子遊戲中，金币有效下注累積達到 144,000 </t>
  </si>
  <si>
    <t>蒸汽时代</t>
  </si>
  <si>
    <t>Steam Era</t>
  </si>
  <si>
    <t xml:space="preserve">In the [Steam Era] electronic game, the cumulative valid coin bets reach 144,000 </t>
  </si>
  <si>
    <t>Kỷ nguyên hơi nước</t>
  </si>
  <si>
    <t xml:space="preserve">Trong trò chơi [Kỷ nguyên hơi nước], tích lũy đặt cược hợp lệ tiền vàng đạt 144,000 </t>
  </si>
  <si>
    <t>Era do Vapor</t>
  </si>
  <si>
    <t xml:space="preserve">No videogame [Era do Vapor], as apostas válidas acumuladas em Moedas de Ouro atingem 144,000 </t>
  </si>
  <si>
    <t>12001_102400_144000</t>
  </si>
  <si>
    <t>task_102400.png</t>
  </si>
  <si>
    <t xml:space="preserve">在[财富银行]電子遊戲中，金币有效下注累積達到 144,000 </t>
  </si>
  <si>
    <t>财富银行</t>
  </si>
  <si>
    <t>Wealth Bank</t>
  </si>
  <si>
    <t xml:space="preserve">In the [Wealth Bank] electronic game, the cumulative valid coin bets reach 144,000 </t>
  </si>
  <si>
    <t>Ngân Hàng</t>
  </si>
  <si>
    <t xml:space="preserve">Trong trò chơi [Ngân Hàng], tích lũy đặt cược hợp lệ tiền vàng đạt 144,000 </t>
  </si>
  <si>
    <t>Banco da Riqueza</t>
  </si>
  <si>
    <t xml:space="preserve">No videogame [Banco da Riqueza], as apostas válidas acumuladas em Moedas de Ouro atingem 144,000 </t>
  </si>
  <si>
    <t>12001_100700_713000</t>
  </si>
  <si>
    <t xml:space="preserve">在[麻将胡了]電子遊戲中，金币有效下注累積達到 713,000 </t>
  </si>
  <si>
    <t xml:space="preserve">713,000 </t>
  </si>
  <si>
    <t xml:space="preserve">In the [Mahjong Hu] electronic game, the cumulative valid coin bets reach 713,000 </t>
  </si>
  <si>
    <t xml:space="preserve">Trong trò chơi [Mạt chược], tích lũy đặt cược hợp lệ tiền vàng đạt 713,000 </t>
  </si>
  <si>
    <t xml:space="preserve">No videogame [Mahjong H], as apostas válidas acumuladas em Moedas de Ouro atingem 713,000 </t>
  </si>
  <si>
    <t>12001_100300_713000</t>
  </si>
  <si>
    <t xml:space="preserve">在[超级明星]電子遊戲中，金币有效下注累積達到 713,000 </t>
  </si>
  <si>
    <t xml:space="preserve">In the [Super Star] electronic game, the cumulative valid coin bets reach 713,000 </t>
  </si>
  <si>
    <t xml:space="preserve">Trong trò chơi [Siêu Sao], tích lũy đặt cược hợp lệ tiền vàng đạt 713,000 </t>
  </si>
  <si>
    <t xml:space="preserve">No videogame [Super Star], as apostas válidas acumuladas em Moedas de Ouro atingem 713,000 </t>
  </si>
  <si>
    <t>12001_101200_713000</t>
  </si>
  <si>
    <t xml:space="preserve">在[财神]電子遊戲中，金币有效下注累積達到 713,000 </t>
  </si>
  <si>
    <t xml:space="preserve">In the [God of Wealth] electronic game, the cumulative valid coin bets reach 713,000 </t>
  </si>
  <si>
    <t xml:space="preserve">Trong trò chơi [Thần Tài], tích lũy đặt cược hợp lệ tiền vàng đạt 713,000 </t>
  </si>
  <si>
    <t xml:space="preserve">No videogame [God of Wealth], as apostas válidas acumuladas em Moedas de Ouro atingem 713,000 </t>
  </si>
  <si>
    <t>12001_101400_713000</t>
  </si>
  <si>
    <t xml:space="preserve">在[埃及艳后]電子遊戲中，金币有效下注累積達到 713,000 </t>
  </si>
  <si>
    <t xml:space="preserve">In the [Cleopatra] electronic game, the cumulative valid coin bets reach 713,000 </t>
  </si>
  <si>
    <t xml:space="preserve">Trong trò chơi [Nữ hoàng Ai Cập], tích lũy đặt cược hợp lệ tiền vàng đạt 713,000 </t>
  </si>
  <si>
    <t xml:space="preserve">No videogame [Cleópatra], as apostas válidas acumuladas em Moedas de Ouro atingem 713,000 </t>
  </si>
  <si>
    <t>12001_0_713000</t>
  </si>
  <si>
    <t xml:space="preserve">在任意遊戲中，金币有效下注累積達到 713,000 </t>
  </si>
  <si>
    <t xml:space="preserve">In any game, the cumulative valid coin bets reach 713,000 </t>
  </si>
  <si>
    <t xml:space="preserve">Trong trò chơi [bất kỳ], tích lũy đặt cược hợp lệ tiền vàng đạt 713,000 </t>
  </si>
  <si>
    <t xml:space="preserve">No videogame [qualquer jogo], as apostas válidas acumuladas em Moedas de Ouro atingem 713,000 </t>
  </si>
  <si>
    <t>12001_101700_713000</t>
  </si>
  <si>
    <t xml:space="preserve">在[圣诞狂欢夜]電子遊戲中，金币有效下注累積達到 713,000 </t>
  </si>
  <si>
    <t xml:space="preserve">In the [Christmas Eve Party ] electronic game, the cumulative valid coin bets reach 713,000 </t>
  </si>
  <si>
    <t xml:space="preserve">Trong trò chơi [Đại tiệc Giáng Sinh], tích lũy đặt cược hợp lệ tiền vàng đạt 713,000 </t>
  </si>
  <si>
    <t xml:space="preserve">No videogame [Noite de festa de Natal], as apostas válidas acumuladas em Moedas de Ouro atingem 713,000 </t>
  </si>
  <si>
    <t>12001_102100_713000</t>
  </si>
  <si>
    <t xml:space="preserve">在[杰克船长]電子遊戲中，金币有效下注累積達到 713,000 </t>
  </si>
  <si>
    <t xml:space="preserve">In the [Captain Jack] electronic game, the cumulative valid coin bets reach 713,000 </t>
  </si>
  <si>
    <t xml:space="preserve">Trong trò chơi [Thuyền trưởng Jack], tích lũy đặt cược hợp lệ tiền vàng đạt 713,000 </t>
  </si>
  <si>
    <t xml:space="preserve">No videogame [Capitão Jack], as apostas válidas acumuladas em Moedas de Ouro atingem 713,000 </t>
  </si>
  <si>
    <t>12001_102200_713000</t>
  </si>
  <si>
    <t xml:space="preserve">在[雷神]電子遊戲中，金币有效下注累積達到 713,000 </t>
  </si>
  <si>
    <t xml:space="preserve">In the [Thor] electronic game, the cumulative valid coin bets reach 713,000 </t>
  </si>
  <si>
    <t xml:space="preserve">Trong trò chơi [Thần Sấm], tích lũy đặt cược hợp lệ tiền vàng đạt 713,000 </t>
  </si>
  <si>
    <t xml:space="preserve">No videogame [Thor], as apostas válidas acumuladas em Moedas de Ouro atingem 713,000 </t>
  </si>
  <si>
    <t>12001_102300_713000</t>
  </si>
  <si>
    <t xml:space="preserve">在[蒸汽时代]電子遊戲中，金币有效下注累積達到 713,000 </t>
  </si>
  <si>
    <t xml:space="preserve">In the [Steam Era] electronic game, the cumulative valid coin bets reach 713,000 </t>
  </si>
  <si>
    <t xml:space="preserve">Trong trò chơi [Kỷ nguyên hơi nước], tích lũy đặt cược hợp lệ tiền vàng đạt 713,000 </t>
  </si>
  <si>
    <t xml:space="preserve">No videogame [Era do Vapor], as apostas válidas acumuladas em Moedas de Ouro atingem 713,000 </t>
  </si>
  <si>
    <t>12001_102400_713000</t>
  </si>
  <si>
    <t xml:space="preserve">在[财富银行]電子遊戲中，金币有效下注累積達到 713,000 </t>
  </si>
  <si>
    <t xml:space="preserve">In the [Wealth Bank] electronic game, the cumulative valid coin bets reach 713,000 </t>
  </si>
  <si>
    <t xml:space="preserve">Trong trò chơi [Ngân Hàng], tích lũy đặt cược hợp lệ tiền vàng đạt 713,000 </t>
  </si>
  <si>
    <t xml:space="preserve">No videogame [Banco da Riqueza], as apostas válidas acumuladas em Moedas de Ouro atingem 713,000 </t>
  </si>
  <si>
    <t>12001_100700_2138000</t>
  </si>
  <si>
    <t xml:space="preserve">在[麻将胡了]電子遊戲中，金币有效下注累積達到 2,138,000 </t>
  </si>
  <si>
    <t xml:space="preserve">2,138,000 </t>
  </si>
  <si>
    <t xml:space="preserve">In the [Mahjong Hu] electronic game, the cumulative valid coin bets reach 2,138,000 </t>
  </si>
  <si>
    <t xml:space="preserve">Trong trò chơi [Mạt chược], tích lũy đặt cược hợp lệ tiền vàng đạt 2,138,000 </t>
  </si>
  <si>
    <t xml:space="preserve">No videogame [Mahjong H], as apostas válidas acumuladas em Moedas de Ouro atingem 2,138,000 </t>
  </si>
  <si>
    <t>12001_100300_2138000</t>
  </si>
  <si>
    <t xml:space="preserve">在[超级明星]電子遊戲中，金币有效下注累積達到 2,138,000 </t>
  </si>
  <si>
    <t xml:space="preserve">In the [Super Star] electronic game, the cumulative valid coin bets reach 2,138,000 </t>
  </si>
  <si>
    <t xml:space="preserve">Trong trò chơi [Siêu Sao], tích lũy đặt cược hợp lệ tiền vàng đạt 2,138,000 </t>
  </si>
  <si>
    <t xml:space="preserve">No videogame [Super Star], as apostas válidas acumuladas em Moedas de Ouro atingem 2,138,000 </t>
  </si>
  <si>
    <t>12001_101200_2138000</t>
  </si>
  <si>
    <t xml:space="preserve">在[财神]電子遊戲中，金币有效下注累積達到 2,138,000 </t>
  </si>
  <si>
    <t xml:space="preserve">In the [God of Wealth] electronic game, the cumulative valid coin bets reach 2,138,000 </t>
  </si>
  <si>
    <t xml:space="preserve">Trong trò chơi [Thần Tài], tích lũy đặt cược hợp lệ tiền vàng đạt 2,138,000 </t>
  </si>
  <si>
    <t xml:space="preserve">No videogame [God of Wealth], as apostas válidas acumuladas em Moedas de Ouro atingem 2,138,000 </t>
  </si>
  <si>
    <t>12001_101400_2138000</t>
  </si>
  <si>
    <t xml:space="preserve">在[埃及艳后]電子遊戲中，金币有效下注累積達到 2,138,000 </t>
  </si>
  <si>
    <t xml:space="preserve">In the [Cleopatra] electronic game, the cumulative valid coin bets reach 2,138,000 </t>
  </si>
  <si>
    <t xml:space="preserve">Trong trò chơi [Nữ hoàng Ai Cập], tích lũy đặt cược hợp lệ tiền vàng đạt 2,138,000 </t>
  </si>
  <si>
    <t xml:space="preserve">No videogame [Cleópatra], as apostas válidas acumuladas em Moedas de Ouro atingem 2,138,000 </t>
  </si>
  <si>
    <t>12001_0_2138000</t>
  </si>
  <si>
    <t xml:space="preserve">在任意遊戲中，金币有效下注累積達到 2,138,000 </t>
  </si>
  <si>
    <t xml:space="preserve">In any game, the cumulative valid coin bets reach 2,138,000 </t>
  </si>
  <si>
    <t xml:space="preserve">Trong trò chơi [bất kỳ], tích lũy đặt cược hợp lệ tiền vàng đạt 2,138,000 </t>
  </si>
  <si>
    <t xml:space="preserve">No videogame [qualquer jogo], as apostas válidas acumuladas em Moedas de Ouro atingem 2,138,000 </t>
  </si>
  <si>
    <t>12001_101700_2138000</t>
  </si>
  <si>
    <t xml:space="preserve">在[圣诞狂欢夜]電子遊戲中，金币有效下注累積達到 2,138,000 </t>
  </si>
  <si>
    <t xml:space="preserve">In the [Christmas Eve Party ] electronic game, the cumulative valid coin bets reach 2,138,000 </t>
  </si>
  <si>
    <t xml:space="preserve">Trong trò chơi [Đại tiệc Giáng Sinh], tích lũy đặt cược hợp lệ tiền vàng đạt 2,138,000 </t>
  </si>
  <si>
    <t xml:space="preserve">No videogame [Noite de festa de Natal], as apostas válidas acumuladas em Moedas de Ouro atingem 2,138,000 </t>
  </si>
  <si>
    <t>12001_102100_2138000</t>
  </si>
  <si>
    <t xml:space="preserve">在[杰克船长]電子遊戲中，金币有效下注累積達到 2,138,000 </t>
  </si>
  <si>
    <t xml:space="preserve">In the [Captain Jack] electronic game, the cumulative valid coin bets reach 2,138,000 </t>
  </si>
  <si>
    <t xml:space="preserve">Trong trò chơi [Thuyền trưởng Jack], tích lũy đặt cược hợp lệ tiền vàng đạt 2,138,000 </t>
  </si>
  <si>
    <t xml:space="preserve">No videogame [Capitão Jack], as apostas válidas acumuladas em Moedas de Ouro atingem 2,138,000 </t>
  </si>
  <si>
    <t>12001_102200_2138000</t>
  </si>
  <si>
    <t xml:space="preserve">在[雷神]電子遊戲中，金币有效下注累積達到 2,138,000 </t>
  </si>
  <si>
    <t xml:space="preserve">In the [Thor] electronic game, the cumulative valid coin bets reach 2,138,000 </t>
  </si>
  <si>
    <t xml:space="preserve">Trong trò chơi [Thần Sấm], tích lũy đặt cược hợp lệ tiền vàng đạt 2,138,000 </t>
  </si>
  <si>
    <t xml:space="preserve">No videogame [Thor], as apostas válidas acumuladas em Moedas de Ouro atingem 2,138,000 </t>
  </si>
  <si>
    <t>12001_102300_2138000</t>
  </si>
  <si>
    <t xml:space="preserve">在[蒸汽时代]電子遊戲中，金币有效下注累積達到 2,138,000 </t>
  </si>
  <si>
    <t xml:space="preserve">In the [Steam Era] electronic game, the cumulative valid coin bets reach 2,138,000 </t>
  </si>
  <si>
    <t xml:space="preserve">Trong trò chơi [Kỷ nguyên hơi nước], tích lũy đặt cược hợp lệ tiền vàng đạt 2,138,000 </t>
  </si>
  <si>
    <t xml:space="preserve">No videogame [Era do Vapor], as apostas válidas acumuladas em Moedas de Ouro atingem 2,138,000 </t>
  </si>
  <si>
    <t>12001_102400_2138000</t>
  </si>
  <si>
    <t xml:space="preserve">在[财富银行]電子遊戲中，金币有效下注累積達到 2,138,000 </t>
  </si>
  <si>
    <t xml:space="preserve">In the [Wealth Bank] electronic game, the cumulative valid coin bets reach 2,138,000 </t>
  </si>
  <si>
    <t xml:space="preserve">Trong trò chơi [Ngân Hàng], tích lũy đặt cược hợp lệ tiền vàng đạt 2,138,000 </t>
  </si>
  <si>
    <t xml:space="preserve">No videogame [Banco da Riqueza], as apostas válidas acumuladas em Moedas de Ouro atingem 2,138,000 </t>
  </si>
  <si>
    <t>12001_100700_4277000</t>
  </si>
  <si>
    <t xml:space="preserve">在[麻将胡了]電子遊戲中，金币有效下注累積達到 4,277,000 </t>
  </si>
  <si>
    <t xml:space="preserve">4,277,000 </t>
  </si>
  <si>
    <t xml:space="preserve">In the [Mahjong Hu] electronic game, the cumulative valid coin bets reach 4,277,000 </t>
  </si>
  <si>
    <t xml:space="preserve">Trong trò chơi [Mạt chược], tích lũy đặt cược hợp lệ tiền vàng đạt 4,277,000 </t>
  </si>
  <si>
    <t xml:space="preserve">No videogame [Mahjong H], as apostas válidas acumuladas em Moedas de Ouro atingem 4,277,000 </t>
  </si>
  <si>
    <t>12001_100300_4277000</t>
  </si>
  <si>
    <t xml:space="preserve">在[超级明星]電子遊戲中，金币有效下注累積達到 4,277,000 </t>
  </si>
  <si>
    <t xml:space="preserve">In the [Super Star] electronic game, the cumulative valid coin bets reach 4,277,000 </t>
  </si>
  <si>
    <t xml:space="preserve">Trong trò chơi [Siêu Sao], tích lũy đặt cược hợp lệ tiền vàng đạt 4,277,000 </t>
  </si>
  <si>
    <t xml:space="preserve">No videogame [Super Star], as apostas válidas acumuladas em Moedas de Ouro atingem 4,277,000 </t>
  </si>
  <si>
    <t>12001_101200_4277000</t>
  </si>
  <si>
    <t xml:space="preserve">在[财神]電子遊戲中，金币有效下注累積達到 4,277,000 </t>
  </si>
  <si>
    <t xml:space="preserve">In the [God of Wealth] electronic game, the cumulative valid coin bets reach 4,277,000 </t>
  </si>
  <si>
    <t xml:space="preserve">Trong trò chơi [Thần Tài], tích lũy đặt cược hợp lệ tiền vàng đạt 4,277,000 </t>
  </si>
  <si>
    <t xml:space="preserve">No videogame [God of Wealth], as apostas válidas acumuladas em Moedas de Ouro atingem 4,277,000 </t>
  </si>
  <si>
    <t>12001_101400_4277000</t>
  </si>
  <si>
    <t xml:space="preserve">在[埃及艳后]電子遊戲中，金币有效下注累積達到 4,277,000 </t>
  </si>
  <si>
    <t xml:space="preserve">In the [Cleopatra] electronic game, the cumulative valid coin bets reach 4,277,000 </t>
  </si>
  <si>
    <t xml:space="preserve">Trong trò chơi [Nữ hoàng Ai Cập], tích lũy đặt cược hợp lệ tiền vàng đạt 4,277,000 </t>
  </si>
  <si>
    <t xml:space="preserve">No videogame [Cleópatra], as apostas válidas acumuladas em Moedas de Ouro atingem 4,277,000 </t>
  </si>
  <si>
    <t>12001_0_4277000</t>
  </si>
  <si>
    <t xml:space="preserve">在任意遊戲中，金币有效下注累積達到 4,277,000 </t>
  </si>
  <si>
    <t xml:space="preserve">In any game, the cumulative valid coin bets reach 4,277,000 </t>
  </si>
  <si>
    <t xml:space="preserve">Trong trò chơi [bất kỳ], tích lũy đặt cược hợp lệ tiền vàng đạt 4,277,000 </t>
  </si>
  <si>
    <t xml:space="preserve">No videogame [qualquer jogo], as apostas válidas acumuladas em Moedas de Ouro atingem 4,277,000 </t>
  </si>
  <si>
    <t>12001_101700_4277000</t>
  </si>
  <si>
    <t xml:space="preserve">在[圣诞狂欢夜]電子遊戲中，金币有效下注累積達到 4,277,000 </t>
  </si>
  <si>
    <t xml:space="preserve">In the [Christmas Eve Party ] electronic game, the cumulative valid coin bets reach 4,277,000 </t>
  </si>
  <si>
    <t xml:space="preserve">Trong trò chơi [Đại tiệc Giáng Sinh], tích lũy đặt cược hợp lệ tiền vàng đạt 4,277,000 </t>
  </si>
  <si>
    <t xml:space="preserve">No videogame [Noite de festa de Natal], as apostas válidas acumuladas em Moedas de Ouro atingem 4,277,000 </t>
  </si>
  <si>
    <t>12001_102100_4277000</t>
  </si>
  <si>
    <t xml:space="preserve">在[杰克船长]電子遊戲中，金币有效下注累積達到 4,277,000 </t>
  </si>
  <si>
    <t xml:space="preserve">In the [Captain Jack] electronic game, the cumulative valid coin bets reach 4,277,000 </t>
  </si>
  <si>
    <t xml:space="preserve">Trong trò chơi [Thuyền trưởng Jack], tích lũy đặt cược hợp lệ tiền vàng đạt 4,277,000 </t>
  </si>
  <si>
    <t xml:space="preserve">No videogame [Capitão Jack], as apostas válidas acumuladas em Moedas de Ouro atingem 4,277,000 </t>
  </si>
  <si>
    <t>12001_102200_4277000</t>
  </si>
  <si>
    <t xml:space="preserve">在[雷神]電子遊戲中，金币有效下注累積達到 4,277,000 </t>
  </si>
  <si>
    <t xml:space="preserve">In the [Thor] electronic game, the cumulative valid coin bets reach 4,277,000 </t>
  </si>
  <si>
    <t xml:space="preserve">Trong trò chơi [Thần Sấm], tích lũy đặt cược hợp lệ tiền vàng đạt 4,277,000 </t>
  </si>
  <si>
    <t xml:space="preserve">No videogame [Thor], as apostas válidas acumuladas em Moedas de Ouro atingem 4,277,000 </t>
  </si>
  <si>
    <t>12001_102300_4277000</t>
  </si>
  <si>
    <t xml:space="preserve">在[蒸汽时代]電子遊戲中，金币有效下注累積達到 4,277,000 </t>
  </si>
  <si>
    <t xml:space="preserve">In the [Steam Era] electronic game, the cumulative valid coin bets reach 4,277,000 </t>
  </si>
  <si>
    <t xml:space="preserve">Trong trò chơi [Kỷ nguyên hơi nước], tích lũy đặt cược hợp lệ tiền vàng đạt 4,277,000 </t>
  </si>
  <si>
    <t xml:space="preserve">No videogame [Era do Vapor], as apostas válidas acumuladas em Moedas de Ouro atingem 4,277,000 </t>
  </si>
  <si>
    <t>12001_102400_4277000</t>
  </si>
  <si>
    <t xml:space="preserve">在[财富银行]電子遊戲中，金币有效下注累積達到 4,277,000 </t>
  </si>
  <si>
    <t xml:space="preserve">In the [Wealth Bank] electronic game, the cumulative valid coin bets reach 4,277,000 </t>
  </si>
  <si>
    <t xml:space="preserve">Trong trò chơi [Ngân Hàng], tích lũy đặt cược hợp lệ tiền vàng đạt 4,277,000 </t>
  </si>
  <si>
    <t xml:space="preserve">No videogame [Banco da Riqueza], as apostas válidas acumuladas em Moedas de Ouro atingem 4,277,000 </t>
  </si>
  <si>
    <t>12001_100700_7128000</t>
  </si>
  <si>
    <t xml:space="preserve">在[麻将胡了]電子遊戲中，金币有效下注累積達到 7,128,000 </t>
  </si>
  <si>
    <t xml:space="preserve">7,128,000 </t>
  </si>
  <si>
    <t xml:space="preserve">In the [Mahjong Hu] electronic game, the cumulative valid coin bets reach 7,128,000 </t>
  </si>
  <si>
    <t xml:space="preserve">Trong trò chơi [Mạt chược], tích lũy đặt cược hợp lệ tiền vàng đạt 7,128,000 </t>
  </si>
  <si>
    <t xml:space="preserve">No videogame [Mahjong H], as apostas válidas acumuladas em Moedas de Ouro atingem 7,128,000 </t>
  </si>
  <si>
    <t>12001_100300_7128000</t>
  </si>
  <si>
    <t xml:space="preserve">在[超级明星]電子遊戲中，金币有效下注累積達到 7,128,000 </t>
  </si>
  <si>
    <t xml:space="preserve">In the [Super Star] electronic game, the cumulative valid coin bets reach 7,128,000 </t>
  </si>
  <si>
    <t xml:space="preserve">Trong trò chơi [Siêu Sao], tích lũy đặt cược hợp lệ tiền vàng đạt 7,128,000 </t>
  </si>
  <si>
    <t xml:space="preserve">No videogame [Super Star], as apostas válidas acumuladas em Moedas de Ouro atingem 7,128,000 </t>
  </si>
  <si>
    <t>12001_101200_7128000</t>
  </si>
  <si>
    <t xml:space="preserve">在[财神]電子遊戲中，金币有效下注累積達到 7,128,000 </t>
  </si>
  <si>
    <t xml:space="preserve">In the [God of Wealth] electronic game, the cumulative valid coin bets reach 7,128,000 </t>
  </si>
  <si>
    <t xml:space="preserve">Trong trò chơi [Thần Tài], tích lũy đặt cược hợp lệ tiền vàng đạt 7,128,000 </t>
  </si>
  <si>
    <t xml:space="preserve">No videogame [God of Wealth], as apostas válidas acumuladas em Moedas de Ouro atingem 7,128,000 </t>
  </si>
  <si>
    <t>12001_101400_7128000</t>
  </si>
  <si>
    <t xml:space="preserve">在[埃及艳后]電子遊戲中，金币有效下注累積達到 7,128,000 </t>
  </si>
  <si>
    <t xml:space="preserve">In the [Cleopatra] electronic game, the cumulative valid coin bets reach 7,128,000 </t>
  </si>
  <si>
    <t xml:space="preserve">Trong trò chơi [Nữ hoàng Ai Cập], tích lũy đặt cược hợp lệ tiền vàng đạt 7,128,000 </t>
  </si>
  <si>
    <t xml:space="preserve">No videogame [Cleópatra], as apostas válidas acumuladas em Moedas de Ouro atingem 7,128,000 </t>
  </si>
  <si>
    <t>12001_0_7128000</t>
  </si>
  <si>
    <t xml:space="preserve">在任意遊戲中，金币有效下注累積達到 7,128,000 </t>
  </si>
  <si>
    <t xml:space="preserve">In any game, the cumulative valid coin bets reach 7,128,000 </t>
  </si>
  <si>
    <t xml:space="preserve">Trong trò chơi [bất kỳ], tích lũy đặt cược hợp lệ tiền vàng đạt 7,128,000 </t>
  </si>
  <si>
    <t xml:space="preserve">No videogame [qualquer jogo], as apostas válidas acumuladas em Moedas de Ouro atingem 7,128,000 </t>
  </si>
  <si>
    <t>12001_101700_7128000</t>
  </si>
  <si>
    <t xml:space="preserve">在[圣诞狂欢夜]電子遊戲中，金币有效下注累積達到 7,128,000 </t>
  </si>
  <si>
    <t xml:space="preserve">In the [Christmas Eve Party ] electronic game, the cumulative valid coin bets reach 7,128,000 </t>
  </si>
  <si>
    <t xml:space="preserve">Trong trò chơi [Đại tiệc Giáng Sinh], tích lũy đặt cược hợp lệ tiền vàng đạt 7,128,000 </t>
  </si>
  <si>
    <t xml:space="preserve">No videogame [Noite de festa de Natal], as apostas válidas acumuladas em Moedas de Ouro atingem 7,128,000 </t>
  </si>
  <si>
    <t>12001_102100_7128000</t>
  </si>
  <si>
    <t xml:space="preserve">在[杰克船长]電子遊戲中，金币有效下注累積達到 7,128,000 </t>
  </si>
  <si>
    <t xml:space="preserve">In the [Captain Jack] electronic game, the cumulative valid coin bets reach 7,128,000 </t>
  </si>
  <si>
    <t xml:space="preserve">Trong trò chơi [Thuyền trưởng Jack], tích lũy đặt cược hợp lệ tiền vàng đạt 7,128,000 </t>
  </si>
  <si>
    <t xml:space="preserve">No videogame [Capitão Jack], as apostas válidas acumuladas em Moedas de Ouro atingem 7,128,000 </t>
  </si>
  <si>
    <t>12001_102200_7128000</t>
  </si>
  <si>
    <t xml:space="preserve">在[雷神]電子遊戲中，金币有效下注累積達到 7,128,000 </t>
  </si>
  <si>
    <t xml:space="preserve">In the [Thor] electronic game, the cumulative valid coin bets reach 7,128,000 </t>
  </si>
  <si>
    <t xml:space="preserve">Trong trò chơi [Thần Sấm], tích lũy đặt cược hợp lệ tiền vàng đạt 7,128,000 </t>
  </si>
  <si>
    <t xml:space="preserve">No videogame [Thor], as apostas válidas acumuladas em Moedas de Ouro atingem 7,128,000 </t>
  </si>
  <si>
    <t>12001_102300_7128000</t>
  </si>
  <si>
    <t xml:space="preserve">在[蒸汽时代]電子遊戲中，金币有效下注累積達到 7,128,000 </t>
  </si>
  <si>
    <t xml:space="preserve">In the [Steam Era] electronic game, the cumulative valid coin bets reach 7,128,000 </t>
  </si>
  <si>
    <t xml:space="preserve">Trong trò chơi [Kỷ nguyên hơi nước], tích lũy đặt cược hợp lệ tiền vàng đạt 7,128,000 </t>
  </si>
  <si>
    <t xml:space="preserve">No videogame [Era do Vapor], as apostas válidas acumuladas em Moedas de Ouro atingem 7,128,000 </t>
  </si>
  <si>
    <t>12001_102400_7128000</t>
  </si>
  <si>
    <t xml:space="preserve">在[财富银行]電子遊戲中，金币有效下注累積達到 7,128,000 </t>
  </si>
  <si>
    <t xml:space="preserve">In the [Wealth Bank] electronic game, the cumulative valid coin bets reach 7,128,000 </t>
  </si>
  <si>
    <t xml:space="preserve">Trong trò chơi [Ngân Hàng], tích lũy đặt cược hợp lệ tiền vàng đạt 7,128,000 </t>
  </si>
  <si>
    <t xml:space="preserve">No videogame [Banco da Riqueza], as apostas válidas acumuladas em Moedas de Ouro atingem 7,128,000 </t>
  </si>
  <si>
    <t>10003_100700_1_400000_1990000</t>
  </si>
  <si>
    <t xml:space="preserve">在[麻将胡了]電子遊戲中，金币累積贏獎達到 400,000 </t>
  </si>
  <si>
    <t>游戏累计赢奖</t>
  </si>
  <si>
    <t xml:space="preserve">400,000 </t>
  </si>
  <si>
    <t xml:space="preserve">In the [Mahjong Hu] electronic game, the accumulated coin winnings have reached 400,000 </t>
  </si>
  <si>
    <t xml:space="preserve">Trong trò chơi [Mạt chược], tổng số vàng thắng được đạt 400,000 </t>
  </si>
  <si>
    <t xml:space="preserve">No jogo [Mahjong H], o total de moedas de ouro ganhas atingiu 400,000 </t>
  </si>
  <si>
    <t>10003_100300_1_400000_1990000</t>
  </si>
  <si>
    <t xml:space="preserve">在[超级明星]電子遊戲中，金币累積贏獎達到 400,000 </t>
  </si>
  <si>
    <t xml:space="preserve">In the [Super Star] electronic game, the accumulated coin winnings have reached 400,000 </t>
  </si>
  <si>
    <t xml:space="preserve">Trong trò chơi [Siêu Sao], tổng số vàng thắng được đạt 400,000 </t>
  </si>
  <si>
    <t xml:space="preserve">No jogo [Super Star], o total de moedas de ouro ganhas atingiu 400,000 </t>
  </si>
  <si>
    <t>10003_101200_1_400000_1990000</t>
  </si>
  <si>
    <t xml:space="preserve">在[财神]電子遊戲中，金币累積贏獎達到 400,000 </t>
  </si>
  <si>
    <t xml:space="preserve">In the [God of Wealth] electronic game, the accumulated coin winnings have reached 400,000 </t>
  </si>
  <si>
    <t xml:space="preserve">Trong trò chơi [Thần Tài], tổng số vàng thắng được đạt 400,000 </t>
  </si>
  <si>
    <t xml:space="preserve">No jogo [God of Wealth], o total de moedas de ouro ganhas atingiu 400,000 </t>
  </si>
  <si>
    <t>10003_101400_1_400000_1990000</t>
  </si>
  <si>
    <t xml:space="preserve">在[埃及艳后]電子遊戲中，金币累積贏獎達到 400,000 </t>
  </si>
  <si>
    <t xml:space="preserve">In the [Cleopatra] electronic game, the accumulated coin winnings have reached 400,000 </t>
  </si>
  <si>
    <t xml:space="preserve">Trong trò chơi [Nữ hoàng Ai Cập], tổng số vàng thắng được đạt 400,000 </t>
  </si>
  <si>
    <t xml:space="preserve">No jogo [Cleópatra], o total de moedas de ouro ganhas atingiu 400,000 </t>
  </si>
  <si>
    <t>10003_0_1_400000_1990000</t>
  </si>
  <si>
    <t>task_500006.png</t>
  </si>
  <si>
    <t xml:space="preserve">在任意遊戲中，金币累積贏獎達到 400,000 </t>
  </si>
  <si>
    <t>金币赢奖</t>
  </si>
  <si>
    <t xml:space="preserve">In any game, the accumulated coin winnings have reached 400,000 </t>
  </si>
  <si>
    <t xml:space="preserve">Trong trò chơi [bất kỳ], tổng số vàng thắng được đạt 400,000 </t>
  </si>
  <si>
    <t xml:space="preserve">No jogo [qualquer jogo], o total de moedas de ouro ganhas atingiu 400,000 </t>
  </si>
  <si>
    <t>10003_101700_1_400000_1990000</t>
  </si>
  <si>
    <t xml:space="preserve">在[圣诞狂欢夜]電子遊戲中，金币累積贏獎達到 400,000 </t>
  </si>
  <si>
    <t xml:space="preserve">In the [Christmas Eve Party ] electronic game, the accumulated coin winnings have reached 400,000 </t>
  </si>
  <si>
    <t xml:space="preserve">Trong trò chơi [Đại tiệc Giáng Sinh], tổng số vàng thắng được đạt 400,000 </t>
  </si>
  <si>
    <t xml:space="preserve">No jogo [Noite de festa de Natal], o total de moedas de ouro ganhas atingiu 400,000 </t>
  </si>
  <si>
    <t>10003_102100_1_400000_1990000</t>
  </si>
  <si>
    <t xml:space="preserve">在[杰克船长]電子遊戲中，金币累積贏獎達到 400,000 </t>
  </si>
  <si>
    <t xml:space="preserve">In the [Captain Jack] electronic game, the accumulated coin winnings have reached 400,000 </t>
  </si>
  <si>
    <t xml:space="preserve">Trong trò chơi [Thuyền trưởng Jack], tổng số vàng thắng được đạt 400,000 </t>
  </si>
  <si>
    <t xml:space="preserve">No jogo [Capitão Jack], o total de moedas de ouro ganhas atingiu 400,000 </t>
  </si>
  <si>
    <t>10003_102200_1_400000_1990000</t>
  </si>
  <si>
    <t xml:space="preserve">在[雷神]電子遊戲中，金币累積贏獎達到 400,000 </t>
  </si>
  <si>
    <t xml:space="preserve">In the [Thor] electronic game, the accumulated coin winnings have reached 400,000 </t>
  </si>
  <si>
    <t xml:space="preserve">Trong trò chơi [Thần Sấm], tổng số vàng thắng được đạt 400,000 </t>
  </si>
  <si>
    <t xml:space="preserve">No jogo [Thor], o total de moedas de ouro ganhas atingiu 400,000 </t>
  </si>
  <si>
    <t>10003_102300_1_400000_1990000</t>
  </si>
  <si>
    <t xml:space="preserve">在[蒸汽时代]電子遊戲中，金币累積贏獎達到 400,000 </t>
  </si>
  <si>
    <t xml:space="preserve">In the [Steam Era] electronic game, the accumulated coin winnings have reached 400,000 </t>
  </si>
  <si>
    <t xml:space="preserve">Trong trò chơi [Kỷ nguyên hơi nước], tổng số vàng thắng được đạt 400,000 </t>
  </si>
  <si>
    <t xml:space="preserve">No jogo [Era do Vapor], o total de moedas de ouro ganhas atingiu 400,000 </t>
  </si>
  <si>
    <t>10003_102400_1_400000_1990000</t>
  </si>
  <si>
    <t xml:space="preserve">在[财富银行]電子遊戲中，金币累積贏獎達到 400,000 </t>
  </si>
  <si>
    <t xml:space="preserve">In the [Wealth Bank] electronic game, the accumulated coin winnings have reached 400,000 </t>
  </si>
  <si>
    <t xml:space="preserve">Trong trò chơi [Ngân Hàng], tổng số vàng thắng được đạt 400,000 </t>
  </si>
  <si>
    <t xml:space="preserve">No jogo [Banco da Riqueza], o total de moedas de ouro ganhas atingiu 400,000 </t>
  </si>
  <si>
    <t>10003_100700_1_800000_1990000</t>
  </si>
  <si>
    <t xml:space="preserve">在[麻将胡了]電子遊戲中，金币累積贏獎達到 800,000 </t>
  </si>
  <si>
    <t xml:space="preserve">800,000 </t>
  </si>
  <si>
    <t xml:space="preserve">In the [Mahjong Hu] electronic game, the accumulated coin winnings have reached 800,000 </t>
  </si>
  <si>
    <t xml:space="preserve">Trong trò chơi [Mạt chược], tổng số vàng thắng được đạt 800,000 </t>
  </si>
  <si>
    <t xml:space="preserve">No jogo [Mahjong H], o total de moedas de ouro ganhas atingiu 800,000 </t>
  </si>
  <si>
    <t>10003_100300_1_800000_1990000</t>
  </si>
  <si>
    <t xml:space="preserve">在[超级明星]電子遊戲中，金币累積贏獎達到 800,000 </t>
  </si>
  <si>
    <t xml:space="preserve">In the [Super Star] electronic game, the accumulated coin winnings have reached 800,000 </t>
  </si>
  <si>
    <t xml:space="preserve">Trong trò chơi [Siêu Sao], tổng số vàng thắng được đạt 800,000 </t>
  </si>
  <si>
    <t xml:space="preserve">No jogo [Super Star], o total de moedas de ouro ganhas atingiu 800,000 </t>
  </si>
  <si>
    <t>10003_101200_1_800000_1990000</t>
  </si>
  <si>
    <t xml:space="preserve">在[财神]電子遊戲中，金币累積贏獎達到 800,000 </t>
  </si>
  <si>
    <t xml:space="preserve">In the [God of Wealth] electronic game, the accumulated coin winnings have reached 800,000 </t>
  </si>
  <si>
    <t xml:space="preserve">Trong trò chơi [Thần Tài], tổng số vàng thắng được đạt 800,000 </t>
  </si>
  <si>
    <t xml:space="preserve">No jogo [God of Wealth], o total de moedas de ouro ganhas atingiu 800,000 </t>
  </si>
  <si>
    <t>10003_101400_1_800000_1990000</t>
  </si>
  <si>
    <t xml:space="preserve">在[埃及艳后]電子遊戲中，金币累積贏獎達到 800,000 </t>
  </si>
  <si>
    <t xml:space="preserve">In the [Cleopatra] electronic game, the accumulated coin winnings have reached 800,000 </t>
  </si>
  <si>
    <t xml:space="preserve">Trong trò chơi [Nữ hoàng Ai Cập], tổng số vàng thắng được đạt 800,000 </t>
  </si>
  <si>
    <t xml:space="preserve">No jogo [Cleópatra], o total de moedas de ouro ganhas atingiu 800,000 </t>
  </si>
  <si>
    <t>10003_0_1_800000_1990000</t>
  </si>
  <si>
    <t xml:space="preserve">在任意遊戲中，金币累積贏獎達到 800,000 </t>
  </si>
  <si>
    <t xml:space="preserve">In any game, the accumulated coin winnings have reached 800,000 </t>
  </si>
  <si>
    <t xml:space="preserve">Trong trò chơi [bất kỳ], tổng số vàng thắng được đạt 800,000 </t>
  </si>
  <si>
    <t xml:space="preserve">No jogo [qualquer jogo], o total de moedas de ouro ganhas atingiu 800,000 </t>
  </si>
  <si>
    <t>10003_101700_1_800000_1990000</t>
  </si>
  <si>
    <t xml:space="preserve">在[圣诞狂欢夜]電子遊戲中，金币累積贏獎達到 800,000 </t>
  </si>
  <si>
    <t xml:space="preserve">In the [Christmas Eve Party ] electronic game, the accumulated coin winnings have reached 800,000 </t>
  </si>
  <si>
    <t xml:space="preserve">Trong trò chơi [Đại tiệc Giáng Sinh], tổng số vàng thắng được đạt 800,000 </t>
  </si>
  <si>
    <t xml:space="preserve">No jogo [Noite de festa de Natal], o total de moedas de ouro ganhas atingiu 800,000 </t>
  </si>
  <si>
    <t>10003_102100_1_800000_1990000</t>
  </si>
  <si>
    <t xml:space="preserve">在[杰克船长]電子遊戲中，金币累積贏獎達到 800,000 </t>
  </si>
  <si>
    <t xml:space="preserve">In the [Captain Jack] electronic game, the accumulated coin winnings have reached 800,000 </t>
  </si>
  <si>
    <t xml:space="preserve">Trong trò chơi [Thuyền trưởng Jack], tổng số vàng thắng được đạt 800,000 </t>
  </si>
  <si>
    <t xml:space="preserve">No jogo [Capitão Jack], o total de moedas de ouro ganhas atingiu 800,000 </t>
  </si>
  <si>
    <t>10003_102200_1_800000_1990000</t>
  </si>
  <si>
    <t xml:space="preserve">在[雷神]電子遊戲中，金币累積贏獎達到 800,000 </t>
  </si>
  <si>
    <t xml:space="preserve">In the [Thor] electronic game, the accumulated coin winnings have reached 800,000 </t>
  </si>
  <si>
    <t xml:space="preserve">Trong trò chơi [Thần Sấm], tổng số vàng thắng được đạt 800,000 </t>
  </si>
  <si>
    <t xml:space="preserve">No jogo [Thor], o total de moedas de ouro ganhas atingiu 800,000 </t>
  </si>
  <si>
    <t>10003_102300_1_800000_1990000</t>
  </si>
  <si>
    <t xml:space="preserve">在[蒸汽时代]電子遊戲中，金币累積贏獎達到 800,000 </t>
  </si>
  <si>
    <t xml:space="preserve">In the [Steam Era] electronic game, the accumulated coin winnings have reached 800,000 </t>
  </si>
  <si>
    <t xml:space="preserve">Trong trò chơi [Kỷ nguyên hơi nước], tổng số vàng thắng được đạt 800,000 </t>
  </si>
  <si>
    <t xml:space="preserve">No jogo [Era do Vapor], o total de moedas de ouro ganhas atingiu 800,000 </t>
  </si>
  <si>
    <t>10003_102400_1_800000_1990000</t>
  </si>
  <si>
    <t xml:space="preserve">在[财富银行]電子遊戲中，金币累積贏獎達到 800,000 </t>
  </si>
  <si>
    <t xml:space="preserve">In the [Wealth Bank] electronic game, the accumulated coin winnings have reached 800,000 </t>
  </si>
  <si>
    <t xml:space="preserve">Trong trò chơi [Ngân Hàng], tổng số vàng thắng được đạt 800,000 </t>
  </si>
  <si>
    <t xml:space="preserve">No jogo [Banco da Riqueza], o total de moedas de ouro ganhas atingiu 800,000 </t>
  </si>
  <si>
    <t>10003_100700_1_2000000_1990000</t>
  </si>
  <si>
    <t xml:space="preserve">在[麻将胡了]電子遊戲中，金币累積贏獎達到 2,000,000 </t>
  </si>
  <si>
    <t xml:space="preserve">2,000,000 </t>
  </si>
  <si>
    <t xml:space="preserve">In the [Mahjong Hu] electronic game, the accumulated coin winnings have reached 2,000,000 </t>
  </si>
  <si>
    <t xml:space="preserve">Trong trò chơi [Mạt chược], tổng số vàng thắng được đạt 2,000,000 </t>
  </si>
  <si>
    <t xml:space="preserve">No jogo [Mahjong H], o total de moedas de ouro ganhas atingiu 2,000,000 </t>
  </si>
  <si>
    <t>10003_100300_1_2000000_1990000</t>
  </si>
  <si>
    <t xml:space="preserve">在[超级明星]電子遊戲中，金币累積贏獎達到 2,000,000 </t>
  </si>
  <si>
    <t xml:space="preserve">In the [Super Star] electronic game, the accumulated coin winnings have reached 2,000,000 </t>
  </si>
  <si>
    <t xml:space="preserve">Trong trò chơi [Siêu Sao], tổng số vàng thắng được đạt 2,000,000 </t>
  </si>
  <si>
    <t xml:space="preserve">No jogo [Super Star], o total de moedas de ouro ganhas atingiu 2,000,000 </t>
  </si>
  <si>
    <t>10003_101200_1_2000000_1990000</t>
  </si>
  <si>
    <t xml:space="preserve">在[财神]電子遊戲中，金币累積贏獎達到 2,000,000 </t>
  </si>
  <si>
    <t xml:space="preserve">In the [God of Wealth] electronic game, the accumulated coin winnings have reached 2,000,000 </t>
  </si>
  <si>
    <t xml:space="preserve">Trong trò chơi [Thần Tài], tổng số vàng thắng được đạt 2,000,000 </t>
  </si>
  <si>
    <t xml:space="preserve">No jogo [God of Wealth], o total de moedas de ouro ganhas atingiu 2,000,000 </t>
  </si>
  <si>
    <t>10003_101400_1_2000000_1990000</t>
  </si>
  <si>
    <t xml:space="preserve">在[埃及艳后]電子遊戲中，金币累積贏獎達到 2,000,000 </t>
  </si>
  <si>
    <t xml:space="preserve">In the [Cleopatra] electronic game, the accumulated coin winnings have reached 2,000,000 </t>
  </si>
  <si>
    <t xml:space="preserve">Trong trò chơi [Nữ hoàng Ai Cập], tổng số vàng thắng được đạt 2,000,000 </t>
  </si>
  <si>
    <t xml:space="preserve">No jogo [Cleópatra], o total de moedas de ouro ganhas atingiu 2,000,000 </t>
  </si>
  <si>
    <t>10003_0_1_2000000_1990000</t>
  </si>
  <si>
    <t xml:space="preserve">在任意遊戲中，金币累積贏獎達到 2,000,000 </t>
  </si>
  <si>
    <t xml:space="preserve">In any game, the accumulated coin winnings have reached 2,000,000 </t>
  </si>
  <si>
    <t xml:space="preserve">Trong trò chơi [bất kỳ], tổng số vàng thắng được đạt 2,000,000 </t>
  </si>
  <si>
    <t xml:space="preserve">No jogo [qualquer jogo], o total de moedas de ouro ganhas atingiu 2,000,000 </t>
  </si>
  <si>
    <t>10003_101700_1_2000000_1990000</t>
  </si>
  <si>
    <t xml:space="preserve">在[圣诞狂欢夜]電子遊戲中，金币累積贏獎達到 2,000,000 </t>
  </si>
  <si>
    <t xml:space="preserve">In the [Christmas Eve Party ] electronic game, the accumulated coin winnings have reached 2,000,000 </t>
  </si>
  <si>
    <t xml:space="preserve">Trong trò chơi [Đại tiệc Giáng Sinh], tổng số vàng thắng được đạt 2,000,000 </t>
  </si>
  <si>
    <t xml:space="preserve">No jogo [Noite de festa de Natal], o total de moedas de ouro ganhas atingiu 2,000,000 </t>
  </si>
  <si>
    <t>10003_102100_1_2000000_1990000</t>
  </si>
  <si>
    <t xml:space="preserve">在[杰克船长]電子遊戲中，金币累積贏獎達到 2,000,000 </t>
  </si>
  <si>
    <t xml:space="preserve">In the [Captain Jack] electronic game, the accumulated coin winnings have reached 2,000,000 </t>
  </si>
  <si>
    <t xml:space="preserve">Trong trò chơi [Thuyền trưởng Jack], tổng số vàng thắng được đạt 2,000,000 </t>
  </si>
  <si>
    <t xml:space="preserve">No jogo [Capitão Jack], o total de moedas de ouro ganhas atingiu 2,000,000 </t>
  </si>
  <si>
    <t>10003_102200_1_2000000_1990000</t>
  </si>
  <si>
    <t xml:space="preserve">在[雷神]電子遊戲中，金币累積贏獎達到 2,000,000 </t>
  </si>
  <si>
    <t xml:space="preserve">In the [Thor] electronic game, the accumulated coin winnings have reached 2,000,000 </t>
  </si>
  <si>
    <t xml:space="preserve">Trong trò chơi [Thần Sấm], tổng số vàng thắng được đạt 2,000,000 </t>
  </si>
  <si>
    <t xml:space="preserve">No jogo [Thor], o total de moedas de ouro ganhas atingiu 2,000,000 </t>
  </si>
  <si>
    <t>10003_102300_1_2000000_1990000</t>
  </si>
  <si>
    <t xml:space="preserve">在[蒸汽时代]電子遊戲中，金币累積贏獎達到 2,000,000 </t>
  </si>
  <si>
    <t xml:space="preserve">In the [Steam Era] electronic game, the accumulated coin winnings have reached 2,000,000 </t>
  </si>
  <si>
    <t xml:space="preserve">Trong trò chơi [Kỷ nguyên hơi nước], tổng số vàng thắng được đạt 2,000,000 </t>
  </si>
  <si>
    <t xml:space="preserve">No jogo [Era do Vapor], o total de moedas de ouro ganhas atingiu 2,000,000 </t>
  </si>
  <si>
    <t>10003_102400_1_2000000_1990000</t>
  </si>
  <si>
    <t xml:space="preserve">在[财富银行]電子遊戲中，金币累積贏獎達到 2,000,000 </t>
  </si>
  <si>
    <t xml:space="preserve">In the [Wealth Bank] electronic game, the accumulated coin winnings have reached 2,000,000 </t>
  </si>
  <si>
    <t xml:space="preserve">Trong trò chơi [Ngân Hàng], tổng số vàng thắng được đạt 2,000,000 </t>
  </si>
  <si>
    <t xml:space="preserve">No jogo [Banco da Riqueza], o total de moedas de ouro ganhas atingiu 2,000,000 </t>
  </si>
  <si>
    <t>10003_100700_1_4000000_1990000</t>
  </si>
  <si>
    <t xml:space="preserve">在[麻将胡了]電子遊戲中，金币累積贏獎達到 4,000,000 </t>
  </si>
  <si>
    <t xml:space="preserve">4,000,000 </t>
  </si>
  <si>
    <t xml:space="preserve">In the [Mahjong Hu] electronic game, the accumulated coin winnings have reached 4,000,000 </t>
  </si>
  <si>
    <t xml:space="preserve">Trong trò chơi [Mạt chược], tổng số vàng thắng được đạt 4,000,000 </t>
  </si>
  <si>
    <t xml:space="preserve">No jogo [Mahjong H], o total de moedas de ouro ganhas atingiu 4,000,000 </t>
  </si>
  <si>
    <t>10003_100300_1_4000000_1990000</t>
  </si>
  <si>
    <t xml:space="preserve">在[超级明星]電子遊戲中，金币累積贏獎達到 4,000,000 </t>
  </si>
  <si>
    <t xml:space="preserve">In the [Super Star] electronic game, the accumulated coin winnings have reached 4,000,000 </t>
  </si>
  <si>
    <t xml:space="preserve">Trong trò chơi [Siêu Sao], tổng số vàng thắng được đạt 4,000,000 </t>
  </si>
  <si>
    <t xml:space="preserve">No jogo [Super Star], o total de moedas de ouro ganhas atingiu 4,000,000 </t>
  </si>
  <si>
    <t>10003_101200_1_4000000_1990000</t>
  </si>
  <si>
    <t xml:space="preserve">在[财神]電子遊戲中，金币累積贏獎達到 4,000,000 </t>
  </si>
  <si>
    <t xml:space="preserve">In the [God of Wealth] electronic game, the accumulated coin winnings have reached 4,000,000 </t>
  </si>
  <si>
    <t xml:space="preserve">Trong trò chơi [Thần Tài], tổng số vàng thắng được đạt 4,000,000 </t>
  </si>
  <si>
    <t xml:space="preserve">No jogo [God of Wealth], o total de moedas de ouro ganhas atingiu 4,000,000 </t>
  </si>
  <si>
    <t>10003_101400_1_4000000_1990000</t>
  </si>
  <si>
    <t xml:space="preserve">在[埃及艳后]電子遊戲中，金币累積贏獎達到 4,000,000 </t>
  </si>
  <si>
    <t xml:space="preserve">In the [Cleopatra] electronic game, the accumulated coin winnings have reached 4,000,000 </t>
  </si>
  <si>
    <t xml:space="preserve">Trong trò chơi [Nữ hoàng Ai Cập], tổng số vàng thắng được đạt 4,000,000 </t>
  </si>
  <si>
    <t xml:space="preserve">No jogo [Cleópatra], o total de moedas de ouro ganhas atingiu 4,000,000 </t>
  </si>
  <si>
    <t>10003_0_1_4000000_1990000</t>
  </si>
  <si>
    <t xml:space="preserve">在任意遊戲中，金币累積贏獎達到 4,000,000 </t>
  </si>
  <si>
    <t xml:space="preserve">In any game, the accumulated coin winnings have reached 4,000,000 </t>
  </si>
  <si>
    <t xml:space="preserve">Trong trò chơi [bất kỳ], tổng số vàng thắng được đạt 4,000,000 </t>
  </si>
  <si>
    <t xml:space="preserve">No jogo [qualquer jogo], o total de moedas de ouro ganhas atingiu 4,000,000 </t>
  </si>
  <si>
    <t>10003_101700_1_4000000_1990000</t>
  </si>
  <si>
    <t xml:space="preserve">在[圣诞狂欢夜]電子遊戲中，金币累積贏獎達到 4,000,000 </t>
  </si>
  <si>
    <t xml:space="preserve">In the [Christmas Eve Party ] electronic game, the accumulated coin winnings have reached 4,000,000 </t>
  </si>
  <si>
    <t xml:space="preserve">Trong trò chơi [Đại tiệc Giáng Sinh], tổng số vàng thắng được đạt 4,000,000 </t>
  </si>
  <si>
    <t xml:space="preserve">No jogo [Noite de festa de Natal], o total de moedas de ouro ganhas atingiu 4,000,000 </t>
  </si>
  <si>
    <t>10003_102100_1_4000000_1990000</t>
  </si>
  <si>
    <t xml:space="preserve">在[杰克船长]電子遊戲中，金币累積贏獎達到 4,000,000 </t>
  </si>
  <si>
    <t xml:space="preserve">In the [Captain Jack] electronic game, the accumulated coin winnings have reached 4,000,000 </t>
  </si>
  <si>
    <t xml:space="preserve">Trong trò chơi [Thuyền trưởng Jack], tổng số vàng thắng được đạt 4,000,000 </t>
  </si>
  <si>
    <t xml:space="preserve">No jogo [Capitão Jack], o total de moedas de ouro ganhas atingiu 4,000,000 </t>
  </si>
  <si>
    <t>10003_102200_1_4000000_1990000</t>
  </si>
  <si>
    <t xml:space="preserve">在[雷神]電子遊戲中，金币累積贏獎達到 4,000,000 </t>
  </si>
  <si>
    <t xml:space="preserve">In the [Thor] electronic game, the accumulated coin winnings have reached 4,000,000 </t>
  </si>
  <si>
    <t xml:space="preserve">Trong trò chơi [Thần Sấm], tổng số vàng thắng được đạt 4,000,000 </t>
  </si>
  <si>
    <t xml:space="preserve">No jogo [Thor], o total de moedas de ouro ganhas atingiu 4,000,000 </t>
  </si>
  <si>
    <t>10003_102300_1_4000000_1990000</t>
  </si>
  <si>
    <t xml:space="preserve">在[蒸汽时代]電子遊戲中，金币累積贏獎達到 4,000,000 </t>
  </si>
  <si>
    <t xml:space="preserve">In the [Steam Era] electronic game, the accumulated coin winnings have reached 4,000,000 </t>
  </si>
  <si>
    <t xml:space="preserve">Trong trò chơi [Kỷ nguyên hơi nước], tổng số vàng thắng được đạt 4,000,000 </t>
  </si>
  <si>
    <t xml:space="preserve">No jogo [Era do Vapor], o total de moedas de ouro ganhas atingiu 4,000,000 </t>
  </si>
  <si>
    <t>10003_102400_1_4000000_1990000</t>
  </si>
  <si>
    <t xml:space="preserve">在[财富银行]電子遊戲中，金币累積贏獎達到 4,000,000 </t>
  </si>
  <si>
    <t xml:space="preserve">In the [Wealth Bank] electronic game, the accumulated coin winnings have reached 4,000,000 </t>
  </si>
  <si>
    <t xml:space="preserve">Trong trò chơi [Ngân Hàng], tổng số vàng thắng được đạt 4,000,000 </t>
  </si>
  <si>
    <t xml:space="preserve">No jogo [Banco da Riqueza], o total de moedas de ouro ganhas atingiu 4,000,000 </t>
  </si>
  <si>
    <t>10001_100700_1_1000</t>
  </si>
  <si>
    <t>在[麻将胡了]電子遊戲中，累積旋轉 1,000 次</t>
  </si>
  <si>
    <t>游戏累计旋转</t>
  </si>
  <si>
    <t xml:space="preserve">1,000 </t>
  </si>
  <si>
    <t>In the game [Mahjong Hu] electronic game, a total of 1,000  spins have been accumulated.</t>
  </si>
  <si>
    <t>Trong trò chơi [Mạt chược], tích lũy quay 1,000  lần.</t>
  </si>
  <si>
    <t>No jogo [Mahjong Hu], foram acumuladas 1,000  rodadas.</t>
  </si>
  <si>
    <t>10001_100300_1_1000</t>
  </si>
  <si>
    <t>在[超级明星]電子遊戲中，累積旋轉 1,000 次</t>
  </si>
  <si>
    <t>In the game [Super Star] electronic game, a total of 1,000  spins have been accumulated.</t>
  </si>
  <si>
    <t>Trong trò chơi [Siêu Sao], tích lũy quay 1,000  lần.</t>
  </si>
  <si>
    <t>No jogo [Super Star], foram acumuladas 1,000  rodadas.</t>
  </si>
  <si>
    <t>10001_101200_1_1000</t>
  </si>
  <si>
    <t>在[财神]電子遊戲中，累積旋轉 1,000 次</t>
  </si>
  <si>
    <t>In the game [God of Wealth] electronic game, a total of 1,000  spins have been accumulated.</t>
  </si>
  <si>
    <t>Trong trò chơi [Thần Tài], tích lũy quay 1,000  lần.</t>
  </si>
  <si>
    <t>No jogo [God of Wealth], foram acumuladas 1,000  rodadas.</t>
  </si>
  <si>
    <t>10001_101400_1_1000</t>
  </si>
  <si>
    <t>在[埃及艳后]電子遊戲中，累積旋轉 1,000 次</t>
  </si>
  <si>
    <t>In the game [Cleopatra] electronic game, a total of 1,000  spins have been accumulated.</t>
  </si>
  <si>
    <t>Trong trò chơi [Nữ hoàng Ai Cập], tích lũy quay 1,000  lần.</t>
  </si>
  <si>
    <t>No jogo [Cleopatra], foram acumuladas 1,000  rodadas.</t>
  </si>
  <si>
    <t>10001_0_1_1000</t>
  </si>
  <si>
    <t>task_500004.png</t>
  </si>
  <si>
    <t>在任意電子遊戲中，累積旋轉 1,000 次</t>
  </si>
  <si>
    <t>任意累计旋转</t>
  </si>
  <si>
    <t>In any electronic game, a total of 1,000  spins have been accumulated.</t>
  </si>
  <si>
    <t>Trong trò chơi [bất kỳ], tích lũy quay 1,000  lần.</t>
  </si>
  <si>
    <t>No jogo [any game], foram acumuladas 1,000  rodadas.</t>
  </si>
  <si>
    <t>12001_101700_1000</t>
  </si>
  <si>
    <t>在[圣诞狂欢夜]電子遊戲中，累積旋轉 1,000 次</t>
  </si>
  <si>
    <t>In the game [Christmas Eve Party ] electronic game, a total of 1,000  spins have been accumulated.</t>
  </si>
  <si>
    <t>Trong trò chơi [Đại tiệc Giáng Sinh], tích lũy quay 1,000  lần.</t>
  </si>
  <si>
    <t>No jogo [Christmas Eve Party ], foram acumuladas 1,000  rodadas.</t>
  </si>
  <si>
    <t>12001_102100_1000</t>
  </si>
  <si>
    <t>在[杰克船长]電子遊戲中，累積旋轉 1,000 次</t>
  </si>
  <si>
    <t>In the game [Captain Jack] electronic game, a total of 1,000  spins have been accumulated.</t>
  </si>
  <si>
    <t>Trong trò chơi [Thuyền trưởng Jack], tích lũy quay 1,000  lần.</t>
  </si>
  <si>
    <t>No jogo [Captain Jack], foram acumuladas 1,000  rodadas.</t>
  </si>
  <si>
    <t>12001_102200_1000</t>
  </si>
  <si>
    <t>在[雷神]電子遊戲中，累積旋轉 1,000 次</t>
  </si>
  <si>
    <t>In the game [Thor] electronic game, a total of 1,000  spins have been accumulated.</t>
  </si>
  <si>
    <t>Trong trò chơi [Thần Sấm], tích lũy quay 1,000  lần.</t>
  </si>
  <si>
    <t>No jogo [Thor], foram acumuladas 1,000  rodadas.</t>
  </si>
  <si>
    <t>12001_102300_1000</t>
  </si>
  <si>
    <t>在[蒸汽时代]電子遊戲中，累積旋轉 1,000 次</t>
  </si>
  <si>
    <t>In the game [Steam Era] electronic game, a total of 1,000  spins have been accumulated.</t>
  </si>
  <si>
    <t>Trong trò chơi [Kỷ nguyên hơi nước], tích lũy quay 1,000  lần.</t>
  </si>
  <si>
    <t>No jogo [Steam Era], foram acumuladas 1,000  rodadas.</t>
  </si>
  <si>
    <t>12001_102400_1000</t>
  </si>
  <si>
    <t>在[财富银行]電子遊戲中，累積旋轉 1,000 次</t>
  </si>
  <si>
    <t>In the game [Wealth Bank] electronic game, a total of 1,000  spins have been accumulated.</t>
  </si>
  <si>
    <t>Trong trò chơi [Ngân Hàng], tích lũy quay 1,000  lần.</t>
  </si>
  <si>
    <t>No jogo [Wealth Bank], foram acumuladas 1,000  rodadas.</t>
  </si>
  <si>
    <t>主线任务</t>
  </si>
  <si>
    <t>12273_1_1101</t>
  </si>
  <si>
    <t>1990000_100000|1024007_5|1024081_30|1022505_50</t>
  </si>
  <si>
    <t>解锁&lt;color=#00bfff&gt;[萌宠小队]&lt;/color&gt;游戏建筑</t>
  </si>
  <si>
    <t>12207_1101_3</t>
  </si>
  <si>
    <t>1024005_30|1980000_30|1022505_12</t>
  </si>
  <si>
    <t>[萌宠小队]建筑&lt;color=#00bfff&gt;升到3级&lt;/color&gt;</t>
  </si>
  <si>
    <t>12277_103900_10390003_1</t>
  </si>
  <si>
    <t>1024001_1000|1990000_100000|1022505_12</t>
  </si>
  <si>
    <t>解锁萌宠小队的&lt;color=#00bfff&gt;[SWEET WIN 大奖]&lt;/color&gt;技能</t>
  </si>
  <si>
    <t>12221_103900_2</t>
  </si>
  <si>
    <t>1980000_50|1024007_3|1022505_12</t>
  </si>
  <si>
    <t>在[萌宠小队]游戏中&lt;color=#00bfff&gt;投注2次&lt;/color&gt;</t>
  </si>
  <si>
    <t>12207_1301_2</t>
  </si>
  <si>
    <t>1980000_100|1024007_3|1022505_12</t>
  </si>
  <si>
    <t>[接等区]建筑&lt;color=#00bfff&gt;升到2级&lt;/color&gt;</t>
  </si>
  <si>
    <t>12207_1101_4</t>
  </si>
  <si>
    <t>快速获取资源</t>
  </si>
  <si>
    <t>1024005_30|1990000_100000|1022505_28</t>
  </si>
  <si>
    <t>[萌宠小队]建筑&lt;color=#00bfff&gt;升到4级&lt;/color&gt;</t>
  </si>
  <si>
    <t>12277_103900_10390004_5</t>
  </si>
  <si>
    <t>1980000_30|1990000_100000|1022505_28</t>
  </si>
  <si>
    <t>把萌宠小队的&lt;color=#00bfff&gt;[SWEET WIN 大奖升到5级]&lt;/color&gt;</t>
  </si>
  <si>
    <t>12225_103900_1990000_50000</t>
  </si>
  <si>
    <t>1990000_100000|1024007_5|1022505_28</t>
  </si>
  <si>
    <t>在[萌宠小队]游戏中&lt;color=#00bfff&gt;赢取5万金币&lt;/color&gt;</t>
  </si>
  <si>
    <t>12277_103900_10390004_10</t>
  </si>
  <si>
    <t>把萌宠小队的&lt;color=#00bfff&gt;[SWEET WIN 大奖升到10级]&lt;/color&gt;</t>
  </si>
  <si>
    <t>12273_1_1202</t>
  </si>
  <si>
    <t>1024005_30|1024007_3|1022505_28</t>
  </si>
  <si>
    <t>解锁&lt;color=#00bfff&gt;[休息区]&lt;/color&gt;建筑</t>
  </si>
  <si>
    <t>12207_1202_2</t>
  </si>
  <si>
    <t>1980000_30|1024007_5|1022505_28</t>
  </si>
  <si>
    <t>[休息区]建筑&lt;color=#00bfff&gt;升到2级&lt;/color&gt;</t>
  </si>
  <si>
    <t>12277_103900_10390005_1</t>
  </si>
  <si>
    <t>1990000_100000|1024001_6000|1022505_28</t>
  </si>
  <si>
    <t>解锁萌宠小队的&lt;color=#00bfff&gt;[BIG WIN 大奖]&lt;/color&gt;技能</t>
  </si>
  <si>
    <t>12207_1301_3</t>
  </si>
  <si>
    <t>1024014_1|1126101_20|1024008_20|1022505_44</t>
  </si>
  <si>
    <t>[接等区]建筑&lt;color=#00bfff&gt;升到3级&lt;/color&gt;</t>
  </si>
  <si>
    <t>12304_103900_1</t>
  </si>
  <si>
    <t>雇员</t>
  </si>
  <si>
    <t>1980000_30|1990000_100000|1022505_44</t>
  </si>
  <si>
    <t>[萌宠小队]游戏&lt;color=#00bfff&gt;技能升级1次&lt;/color&gt;</t>
  </si>
  <si>
    <t>12303_20001_1</t>
  </si>
  <si>
    <t>1024007_5|1980000_30|1022505_44</t>
  </si>
  <si>
    <t>在[雇员]招聘会上&lt;color=#00bfff&gt;招募1个雇员&lt;/color&gt;</t>
  </si>
  <si>
    <t>12259_10_1_2</t>
  </si>
  <si>
    <t>拥有&lt;color=#00bfff&gt;1个2星的游戏经理&lt;/color&gt;</t>
  </si>
  <si>
    <t>12277_103900_10390006_5</t>
  </si>
  <si>
    <t>把萌宠小队的&lt;color=#00bfff&gt;[BIG WIN 大奖升到5级]&lt;/color&gt;</t>
  </si>
  <si>
    <t>12225_103900_1990000_150000</t>
  </si>
  <si>
    <t>1990000_120000|1024007_5|1022505_44</t>
  </si>
  <si>
    <t>在[萌宠小队]游戏中&lt;color=#00bfff&gt;赢取15万金币&lt;/color&gt;</t>
  </si>
  <si>
    <t>12277_103900_10390002_1</t>
  </si>
  <si>
    <t>把萌宠小队的&lt;color=#00bfff&gt;[中奖概率升到1级]&lt;/color&gt;</t>
  </si>
  <si>
    <t>12207_1301_4</t>
  </si>
  <si>
    <t>1980000_30|1022502_3|1022505_44</t>
  </si>
  <si>
    <t>[接等区]建筑&lt;color=#00bfff&gt;升到4级&lt;/color&gt;</t>
  </si>
  <si>
    <t>12207_1101_5</t>
  </si>
  <si>
    <t>1980000_30|1990000_100000|1022505_71</t>
  </si>
  <si>
    <t>[萌宠小队]建筑&lt;color=#00bfff&gt;升到5级&lt;/color&gt;</t>
  </si>
  <si>
    <t>12277_103900_10390013_1</t>
  </si>
  <si>
    <t>1990000_100000|1024001_6000|1022505_71</t>
  </si>
  <si>
    <t>解锁萌宠小队的&lt;color=#00bfff&gt;[免费模式]&lt;/color&gt;技能</t>
  </si>
  <si>
    <t>12273_1_1303</t>
  </si>
  <si>
    <t>1980000_30|1024007_3|1022505_71</t>
  </si>
  <si>
    <t>解锁&lt;color=#00bfff&gt;[运营部]&lt;/color&gt;建筑</t>
  </si>
  <si>
    <t>12207_1303_2</t>
  </si>
  <si>
    <t>1980000_30|1024007_5|1022505_71</t>
  </si>
  <si>
    <t>[运营部]建筑&lt;color=#00bfff&gt;升到2级&lt;/color&gt;</t>
  </si>
  <si>
    <t>12207_1101_6</t>
  </si>
  <si>
    <t>[萌宠小队]建筑&lt;color=#00bfff&gt;升到6级&lt;/color&gt;</t>
  </si>
  <si>
    <t>12277_103900_10390014_1</t>
  </si>
  <si>
    <t>解锁萌宠小队的&lt;color=#00bfff&gt;[免费模式20-50倍大奖]&lt;/color&gt;技能</t>
  </si>
  <si>
    <t>12273_1_1304</t>
  </si>
  <si>
    <t>解锁&lt;color=#00bfff&gt;[营销部]&lt;/color&gt;建筑</t>
  </si>
  <si>
    <t>12207_1304_2</t>
  </si>
  <si>
    <t>1980000_30|1022502_3|1022505_71</t>
  </si>
  <si>
    <t>[营销部]建筑&lt;color=#00bfff&gt;升到2级&lt;/color&gt;</t>
  </si>
  <si>
    <t>12225_103900_1990000_200000</t>
  </si>
  <si>
    <t>1990000_150000|1024007_5|1022505_71</t>
  </si>
  <si>
    <t>在[萌宠小队]游戏中&lt;color=#00bfff&gt;赢取20万金币&lt;/color&gt;</t>
  </si>
  <si>
    <t>12207_1301_5</t>
  </si>
  <si>
    <t>[接等区]建筑&lt;color=#00bfff&gt;升到5级&lt;/color&gt;</t>
  </si>
  <si>
    <t>12207_1202_3</t>
  </si>
  <si>
    <t>[休息区]建筑&lt;color=#00bfff&gt;升到3级&lt;/color&gt;</t>
  </si>
  <si>
    <t>12277_103900_10390002_5</t>
  </si>
  <si>
    <t>把萌宠小队的&lt;color=#00bfff&gt;[中奖概率升到5级]&lt;/color&gt;</t>
  </si>
  <si>
    <t>12207_1301_6</t>
  </si>
  <si>
    <t>[接等区]建筑&lt;color=#00bfff&gt;升到6级&lt;/color&gt;</t>
  </si>
  <si>
    <t>12277_103900_10390002_10</t>
  </si>
  <si>
    <t>把萌宠小队的&lt;color=#00bfff&gt;[中奖概率升到10级]&lt;/color&gt;</t>
  </si>
  <si>
    <t>12207_1101_8</t>
  </si>
  <si>
    <t>1980000_30|1990000_100000|1022505_200</t>
  </si>
  <si>
    <t>[萌宠小队]建筑&lt;color=#00bfff&gt;升到8级&lt;/color&gt;</t>
  </si>
  <si>
    <t>12273_1_1102</t>
  </si>
  <si>
    <t>1980000_30|1024083_50|1022505_200</t>
  </si>
  <si>
    <t>解锁&lt;color=#00bfff&gt;[象财神]&lt;/color&gt;游戏建筑</t>
  </si>
  <si>
    <t>12207_1102_2</t>
  </si>
  <si>
    <t>1990000_150000|1024007_5|1022505_200</t>
  </si>
  <si>
    <t>[象财神]建筑&lt;color=#00bfff&gt;升到2级&lt;/color&gt;</t>
  </si>
  <si>
    <t>12277_102700_10270003_1</t>
  </si>
  <si>
    <t>1990000_150000|1022502_3|1022505_200</t>
  </si>
  <si>
    <t>解锁象财神的&lt;color=#00bfff&gt;[SWEET WIN 大奖]&lt;/color&gt;技能</t>
  </si>
  <si>
    <t>12221_102700_10</t>
  </si>
  <si>
    <t>1980000_50|1024007_3|1022505_200</t>
  </si>
  <si>
    <t>102700_103900</t>
  </si>
  <si>
    <t>在[象财神]游戏中&lt;color=#00bfff&gt;投注10次&lt;/color&gt;</t>
  </si>
  <si>
    <t>12277_102700_10270004_5</t>
  </si>
  <si>
    <t>1024013_1|1990000_150000|1022505_200</t>
  </si>
  <si>
    <t>把象财神的&lt;color=#00bfff&gt;[SWEET WIN 大奖升到5级]&lt;/color&gt;</t>
  </si>
  <si>
    <t>12303_10002_1</t>
  </si>
  <si>
    <t>1980000_30|1990000_150000|1022505_200</t>
  </si>
  <si>
    <t>在[游客]招商会中&lt;color=#00bfff&gt;邀请1次&lt;/color&gt;游客</t>
  </si>
  <si>
    <t>1024014_1|1022502_3|1022505_200</t>
  </si>
  <si>
    <t>12207_1202_4</t>
  </si>
  <si>
    <t>1980000_30|1024007_5|1022505_200</t>
  </si>
  <si>
    <t>[休息区]建筑&lt;color=#00bfff&gt;升到4级&lt;/color&gt;</t>
  </si>
  <si>
    <t>12277_102700_10270004_10</t>
  </si>
  <si>
    <t>1980000_30|1960000_5000|1022505_200</t>
  </si>
  <si>
    <t>把象财神的&lt;color=#00bfff&gt;[SWEET WIN 大奖升到10级]&lt;/color&gt;</t>
  </si>
  <si>
    <t>12225_102700_1990000_250000</t>
  </si>
  <si>
    <t>赛季</t>
  </si>
  <si>
    <t>1980000_30|1990000_150000|1022505_461</t>
  </si>
  <si>
    <t>在[象财神]游戏中&lt;color=#00bfff&gt;赢取25万金币&lt;/color&gt;</t>
  </si>
  <si>
    <t>12610_0_1_10</t>
  </si>
  <si>
    <t>1990000_150000|1960000_5000|1022505_461</t>
  </si>
  <si>
    <t>在赛季电子游戏中投注&lt;color=#00bfff&gt;10次&lt;/color&gt;</t>
  </si>
  <si>
    <t>12223_1</t>
  </si>
  <si>
    <t>参与并&lt;color=#00bfff&gt;完成1次[Aether Trial]游戏&lt;/color&gt;</t>
  </si>
  <si>
    <t>12226_1</t>
  </si>
  <si>
    <t>1131106_10|1980000_30|1022505_461</t>
  </si>
  <si>
    <t>在[赛季-商店]中&lt;color=#00bfff&gt;购买1次商品&lt;/color&gt;</t>
  </si>
  <si>
    <t>12227_1</t>
  </si>
  <si>
    <t>1990000_150000|1024001_5000|1022505_461</t>
  </si>
  <si>
    <t>在[赛季-宝石]功能中&lt;color=#00bfff&gt;镶嵌1次宝石&lt;/color&gt;</t>
  </si>
  <si>
    <t>12207_1102_3</t>
  </si>
  <si>
    <t>1990000_150000|1024007_5|1022505_461</t>
  </si>
  <si>
    <t>[象财神]建筑&lt;color=#00bfff&gt;升到3级&lt;/color&gt;</t>
  </si>
  <si>
    <t>12207_1303_4</t>
  </si>
  <si>
    <t>1980000_30|1024007_5|1022505_461</t>
  </si>
  <si>
    <t>[运营部]建筑&lt;color=#00bfff&gt;升到4级&lt;/color&gt;</t>
  </si>
  <si>
    <t>12277_102700_10270005_1</t>
  </si>
  <si>
    <t>1990000_150000|1022502_3|1022505_461</t>
  </si>
  <si>
    <t>解锁象财神的&lt;color=#00bfff&gt;[BIG WIN 大奖]&lt;/color&gt;技能</t>
  </si>
  <si>
    <t>12207_1304_4</t>
  </si>
  <si>
    <t>[营销部]建筑&lt;color=#00bfff&gt;升到4级&lt;/color&gt;</t>
  </si>
  <si>
    <t>12207_1102_6</t>
  </si>
  <si>
    <t>1980000_30|1960000_5000|1022505_461</t>
  </si>
  <si>
    <t>[象财神]建筑&lt;color=#00bfff&gt;等级升到6级&lt;/color&gt;</t>
  </si>
  <si>
    <t>12277_102700_10270002_1</t>
  </si>
  <si>
    <t>1024057_5|1990000_150000|1022505_461</t>
  </si>
  <si>
    <t>把象财神的&lt;color=#00bfff&gt;[中奖概率升到1级]&lt;/color&gt;</t>
  </si>
  <si>
    <t>12222_0_1</t>
  </si>
  <si>
    <t>1024013_1|1980000_30|1022505_461</t>
  </si>
  <si>
    <t>在&lt;color=#00bfff&gt;特邀游客功能中邀请游客1次&lt;/color&gt;</t>
  </si>
  <si>
    <t>12207_1102_8</t>
  </si>
  <si>
    <t>[象财神]建筑&lt;color=#00bfff&gt;等级升到8级&lt;/color&gt;</t>
  </si>
  <si>
    <t>12225_102700_1990000_300000</t>
  </si>
  <si>
    <t>联盟</t>
  </si>
  <si>
    <t>1024049_5|1024007_5|1022505_181</t>
  </si>
  <si>
    <t>在[象财神]游戏中&lt;color=#00bfff&gt;赢取30万金币&lt;/color&gt;</t>
  </si>
  <si>
    <t>12273_1_1110</t>
  </si>
  <si>
    <t>1024001_5000|1024030_30|1022505_181</t>
  </si>
  <si>
    <t>解锁&lt;color=#00bfff&gt;[麻将胡了]&lt;/color&gt;游戏建筑</t>
  </si>
  <si>
    <t>12207_1110_2</t>
  </si>
  <si>
    <t>1980000_30|1022502_3|1022505_181</t>
  </si>
  <si>
    <t>[麻将胡了]建筑&lt;color=#00bfff&gt;等级升到2级&lt;/color&gt;</t>
  </si>
  <si>
    <t>12277_100700_10070003_1</t>
  </si>
  <si>
    <t>1990000_200000|1024007_5|1022505_181</t>
  </si>
  <si>
    <t>解锁麻将胡了的&lt;color=#00bfff&gt;[SWEET WIN 大奖]&lt;/color&gt;技能</t>
  </si>
  <si>
    <t>12221_100700_10</t>
  </si>
  <si>
    <t>1980000_30|1024007_3|1022505_181</t>
  </si>
  <si>
    <t>在[麻将胡了]游戏中&lt;color=#00bfff&gt;投注10次&lt;/color&gt;</t>
  </si>
  <si>
    <t>12277_100700_10070004_5</t>
  </si>
  <si>
    <t>1980000_30|1990000_200000|1022505_181</t>
  </si>
  <si>
    <t>把麻将胡了的&lt;color=#00bfff&gt;[SWEET WIN 大奖升到5级]&lt;/color&gt;</t>
  </si>
  <si>
    <t>12207_1301_7</t>
  </si>
  <si>
    <t>1024014_1|1022502_3|1022505_181</t>
  </si>
  <si>
    <t>[接等区]建筑&lt;color=#00bfff&gt;升到7级&lt;/color&gt;</t>
  </si>
  <si>
    <t>12285_1</t>
  </si>
  <si>
    <t>完成&lt;color=#00bfff&gt;1次赛季通行证任务&lt;/color&gt;</t>
  </si>
  <si>
    <t>12277_100700_10070004_10</t>
  </si>
  <si>
    <t>把麻将胡了的&lt;color=#00bfff&gt;[SWEET WIN 大奖升到10级]&lt;/color&gt;</t>
  </si>
  <si>
    <t>12284_1</t>
  </si>
  <si>
    <t>1990000_200000|1980000_30|1022505_181</t>
  </si>
  <si>
    <t>今天&lt;color=#00bfff&gt;观看1次广告&lt;/color&gt;</t>
  </si>
  <si>
    <t>12277_100700_10070005_1</t>
  </si>
  <si>
    <t>解锁麻将胡了的&lt;color=#00bfff&gt;[BIG WIN 大奖]&lt;/color&gt;技能</t>
  </si>
  <si>
    <t>12207_1110_4</t>
  </si>
  <si>
    <t>1024001_5000|1990000_200000|1022505_166</t>
  </si>
  <si>
    <t>[麻将胡了]建筑&lt;color=#00bfff&gt;等级升到4级&lt;/color&gt;</t>
  </si>
  <si>
    <t>12277_100700_10070006_5</t>
  </si>
  <si>
    <t>1980000_30|1990000_200000|1022505_166</t>
  </si>
  <si>
    <t>把麻将胡了的&lt;color=#00bfff&gt;[BIG WIN 大奖升到5级]&lt;/color&gt;</t>
  </si>
  <si>
    <t>12207_1202_6</t>
  </si>
  <si>
    <t>1980000_30|1024007_5|1022505_166</t>
  </si>
  <si>
    <t>[休息区]建筑&lt;color=#00bfff&gt;升到6级&lt;/color&gt;</t>
  </si>
  <si>
    <t>1980000_30|1960000_5000|1022505_166</t>
  </si>
  <si>
    <t>12207_1110_6</t>
  </si>
  <si>
    <t>[麻将胡了]建筑&lt;color=#00bfff&gt;等级升到6级&lt;/color&gt;</t>
  </si>
  <si>
    <t>12277_100700_10070006_10</t>
  </si>
  <si>
    <t>把麻将胡了的&lt;color=#00bfff&gt;[BIG WIN 大奖升到10级]&lt;/color&gt;</t>
  </si>
  <si>
    <t>12225_100700_1990000_400000</t>
  </si>
  <si>
    <t>1022502_3|1990000_200000|1022505_166</t>
  </si>
  <si>
    <t>在[麻将胡了]游戏中&lt;color=#00bfff&gt;赢取40万金币&lt;/color&gt;</t>
  </si>
  <si>
    <t>12277_100700_10070013_1</t>
  </si>
  <si>
    <t>1990000_200000|1024007_5|1022505_166</t>
  </si>
  <si>
    <t>解锁麻将胡了的&lt;color=#00bfff&gt;[免费模式]&lt;/color&gt;技能</t>
  </si>
  <si>
    <t>12207_1303_6</t>
  </si>
  <si>
    <t>1024013_1|1024007_5|1022505_166</t>
  </si>
  <si>
    <t>[运营部]建筑&lt;color=#00bfff&gt;升到6级&lt;/color&gt;</t>
  </si>
  <si>
    <t>12207_1304_6</t>
  </si>
  <si>
    <t>1024014_1|1024007_5|1022505_166</t>
  </si>
  <si>
    <t>[营销部]建筑&lt;color=#00bfff&gt;升到6级&lt;/color&gt;</t>
  </si>
  <si>
    <t>12207_1110_8</t>
  </si>
  <si>
    <t>[麻将胡了]建筑&lt;color=#00bfff&gt;等级升到8级&lt;/color&gt;</t>
  </si>
  <si>
    <t>12277_100700_10070014_1</t>
  </si>
  <si>
    <t>1990000_200000|1024007_5|1022505_285</t>
  </si>
  <si>
    <t>解锁麻将胡了的&lt;color=#00bfff&gt;[免费模式20-50倍 大奖]&lt;/color&gt;技能</t>
  </si>
  <si>
    <t>12273_1_1107</t>
  </si>
  <si>
    <t>1024001_5000|1024076_30|1022505_285</t>
  </si>
  <si>
    <t>解锁&lt;color=#00bfff&gt;[篮球巨星]&lt;/color&gt;游戏建筑</t>
  </si>
  <si>
    <t>12207_1107_2</t>
  </si>
  <si>
    <t>1980000_30|1022502_3|1022505_285</t>
  </si>
  <si>
    <t>[篮球巨星]建筑&lt;color=#00bfff&gt;等级升到2级&lt;/color&gt;</t>
  </si>
  <si>
    <t>12277_101800_10180003_1</t>
  </si>
  <si>
    <t>1990000_250000|1024007_5|1022505_285</t>
  </si>
  <si>
    <t>解锁篮球巨星的&lt;color=#00bfff&gt;[SWEET WIN 大奖]&lt;/color&gt;技能</t>
  </si>
  <si>
    <t>12221_101800_10</t>
  </si>
  <si>
    <t>1980000_30|1024007_3|1022505_285</t>
  </si>
  <si>
    <t>在[篮球巨星]游戏中&lt;color=#00bfff&gt;投注10次&lt;/color&gt;</t>
  </si>
  <si>
    <t>12277_101800_10180004_5</t>
  </si>
  <si>
    <t>1980000_30|1990000_250000|1022505_285</t>
  </si>
  <si>
    <t>把篮球巨星的&lt;color=#00bfff&gt;[SWEET WIN 大奖升到5级]&lt;/color&gt;</t>
  </si>
  <si>
    <t>1980000_30|1022502_3|1022505_250</t>
  </si>
  <si>
    <t>12277_101800_10180004_10</t>
  </si>
  <si>
    <t>1980000_30|1990000_250000|1022505_250</t>
  </si>
  <si>
    <t>把篮球巨星的&lt;color=#00bfff&gt;[SWEET WIN 大奖升到10级]&lt;/color&gt;</t>
  </si>
  <si>
    <t>12277_101800_10180005_1</t>
  </si>
  <si>
    <t>1990000_250000|1024007_5|1022505_250</t>
  </si>
  <si>
    <t>解锁篮球巨星的&lt;color=#00bfff&gt;[BIG WIN 大奖]&lt;/color&gt;技能</t>
  </si>
  <si>
    <t>12207_1107_4</t>
  </si>
  <si>
    <t>1024001_5000|1990000_250000|1022505_250</t>
  </si>
  <si>
    <t>[篮球巨星]建筑&lt;color=#00bfff&gt;等级升到4级&lt;/color&gt;</t>
  </si>
  <si>
    <t>12277_101800_10180006_5</t>
  </si>
  <si>
    <t>把篮球巨星的&lt;color=#00bfff&gt;[BIG WIN 大奖升到5级]&lt;/color&gt;</t>
  </si>
  <si>
    <t>1980000_30|1024007_5|1022505_250</t>
  </si>
  <si>
    <t>1980000_30|1960000_5000|1022505_250</t>
  </si>
  <si>
    <t>12207_1107_6</t>
  </si>
  <si>
    <t>[篮球巨星]建筑&lt;color=#00bfff&gt;等级升到6级&lt;/color&gt;</t>
  </si>
  <si>
    <t>12277_101800_10180006_10</t>
  </si>
  <si>
    <t>把篮球巨星的&lt;color=#00bfff&gt;[BIG WIN 大奖升到10级]&lt;/color&gt;</t>
  </si>
  <si>
    <t>12225_101800_1990000_400000</t>
  </si>
  <si>
    <t>1022502_3|1990000_250000|1022505_250</t>
  </si>
  <si>
    <t>在[篮球巨星]游戏中&lt;color=#00bfff&gt;赢取40万金币&lt;/color&gt;</t>
  </si>
  <si>
    <t>12277_101800_10180013_1</t>
  </si>
  <si>
    <t>解锁篮球巨星的&lt;color=#00bfff&gt;[免费模式]&lt;/color&gt;技能</t>
  </si>
  <si>
    <t>1024013_1|1024007_5|1022505_250</t>
  </si>
  <si>
    <t>12207_1107_8</t>
  </si>
  <si>
    <t>[篮球巨星]建筑&lt;color=#00bfff&gt;等级升到8级&lt;/color&gt;</t>
  </si>
  <si>
    <t>12277_101800_10180014_1</t>
  </si>
  <si>
    <t>1990000_250000|1024007_5|1022505_200</t>
  </si>
  <si>
    <t>解锁篮球巨星的&lt;color=#00bfff&gt;[免费模式20倍-50倍 大奖]&lt;/color&gt;技能</t>
  </si>
  <si>
    <t>12273_1_1106</t>
  </si>
  <si>
    <t>1024001_5000|1024078_30|1022505_200</t>
  </si>
  <si>
    <t>解锁&lt;color=#00bfff&gt;[绿巨人]&lt;/color&gt;游戏建筑</t>
  </si>
  <si>
    <t>12207_1106_2</t>
  </si>
  <si>
    <t>1980000_30|1022502_3|1022505_200</t>
  </si>
  <si>
    <t>[绿巨人]建筑&lt;color=#00bfff&gt;等级升到2级&lt;/color&gt;</t>
  </si>
  <si>
    <t>12277_103100_10310003_1</t>
  </si>
  <si>
    <t>1024014_1|1024007_5|1022505_200</t>
  </si>
  <si>
    <t>解锁绿巨人的&lt;color=#00bfff&gt;[SWEET WIN 大奖]&lt;/color&gt;技能</t>
  </si>
  <si>
    <t>12221_103100_10</t>
  </si>
  <si>
    <t>1980000_30|1024007_3|1022505_200</t>
  </si>
  <si>
    <t>在[绿巨人]游戏中&lt;color=#00bfff&gt;投注10次&lt;/color&gt;</t>
  </si>
  <si>
    <t>12277_103100_10310004_5</t>
  </si>
  <si>
    <t>1980000_30|1990000_300000|1022505_1000</t>
  </si>
  <si>
    <t>把绿巨人的&lt;color=#00bfff&gt;[SWEET WIN 大奖升到5级]&lt;/color&gt;</t>
  </si>
  <si>
    <t>1980000_30|1022502_3|1022505_1000</t>
  </si>
  <si>
    <t>12277_103100_10310004_10</t>
  </si>
  <si>
    <t>把绿巨人的&lt;color=#00bfff&gt;[SWEET WIN 大奖升到10级]&lt;/color&gt;</t>
  </si>
  <si>
    <t>12277_103100_10310005_1</t>
  </si>
  <si>
    <t>1990000_300000|1024007_5|1022505_3760</t>
  </si>
  <si>
    <t>解锁绿巨人的&lt;color=#00bfff&gt;[BIG WIN 大奖]&lt;/color&gt;技能</t>
  </si>
  <si>
    <t>12207_1106_4</t>
  </si>
  <si>
    <t>1024001_5000|1990000_300000|1022505_3760</t>
  </si>
  <si>
    <t>[绿巨人]建筑&lt;color=#00bfff&gt;等级升到4级&lt;/color&gt;</t>
  </si>
  <si>
    <t>12277_103100_10310006_5</t>
  </si>
  <si>
    <t>1980000_30|1990000_300000|1022505_3760</t>
  </si>
  <si>
    <t>把绿巨人的&lt;color=#00bfff&gt;[BIG WIN 大奖升到5级]&lt;/color&gt;</t>
  </si>
  <si>
    <t>1980000_30|1022502_3|1022505_3760</t>
  </si>
  <si>
    <t>1980000_30|1990000_250000|1022505_3760</t>
  </si>
  <si>
    <t>1980000_30|1960000_5000|1022505_3760</t>
  </si>
  <si>
    <t>12207_1106_6</t>
  </si>
  <si>
    <t>1024001_5000|1990000_300000|1022505_3655</t>
  </si>
  <si>
    <t>[绿巨人]建筑&lt;color=#00bfff&gt;等级升到6级&lt;/color&gt;</t>
  </si>
  <si>
    <t>12277_103100_10310006_10</t>
  </si>
  <si>
    <t>1980000_30|1990000_300000|1022505_3655</t>
  </si>
  <si>
    <t>把绿巨人的&lt;color=#00bfff&gt;[BIG WIN 大奖升到10级]&lt;/color&gt;</t>
  </si>
  <si>
    <t>12225_103100_1990000_400000</t>
  </si>
  <si>
    <t>1022502_3|1990000_300000|1022505_3655</t>
  </si>
  <si>
    <t>在[绿巨人]游戏中&lt;color=#00bfff&gt;赢取40万金币&lt;/color&gt;</t>
  </si>
  <si>
    <t>12277_103100_10310013_1</t>
  </si>
  <si>
    <t>1990000_300000|1024007_5|1022505_3655</t>
  </si>
  <si>
    <t>解锁绿巨人的&lt;color=#00bfff&gt;[免费模式]&lt;/color&gt;技能</t>
  </si>
  <si>
    <t>1980000_30|1022502_3|1022505_3655</t>
  </si>
  <si>
    <t>1024013_1|1024007_5|1022505_3655</t>
  </si>
  <si>
    <t>12207_1106_8</t>
  </si>
  <si>
    <t>[绿巨人]建筑&lt;color=#00bfff&gt;等级升到8级&lt;/color&gt;</t>
  </si>
  <si>
    <t>12277_103100_10310014_1</t>
  </si>
  <si>
    <t>1990000_300000|1024007_5|1022505_7365</t>
  </si>
  <si>
    <t>解锁绿巨人的&lt;color=#00bfff&gt;[免费模式20-50倍 大奖]&lt;/color&gt;技能</t>
  </si>
  <si>
    <t>12273_1_1105</t>
  </si>
  <si>
    <t>1024001_5000|1024077_30|1022505_7365</t>
  </si>
  <si>
    <t>解锁&lt;color=#00bfff&gt;[寒冰王座]&lt;/color&gt;游戏建筑</t>
  </si>
  <si>
    <t>12207_1105_2</t>
  </si>
  <si>
    <t>1980000_30|1022502_3|1022505_7365</t>
  </si>
  <si>
    <t>[寒冰王座]建筑&lt;color=#00bfff&gt;等级升到2级&lt;/color&gt;</t>
  </si>
  <si>
    <t>12277_102500_10250003_1</t>
  </si>
  <si>
    <t>1990000_350000|1024007_5|1022505_7365</t>
  </si>
  <si>
    <t>解锁寒冰王座的&lt;color=#00bfff&gt;[SWEET WIN 大奖]&lt;/color&gt;技能</t>
  </si>
  <si>
    <t>12221_102500_10</t>
  </si>
  <si>
    <t>1980000_30|1024007_3|1022505_8310</t>
  </si>
  <si>
    <t>在[寒冰王座]游戏中&lt;color=#00bfff&gt;投注10次&lt;/color&gt;</t>
  </si>
  <si>
    <t>12277_102500_10250004_5</t>
  </si>
  <si>
    <t>1980000_30|1990000_350000|1022505_8310</t>
  </si>
  <si>
    <t>把寒冰王座的&lt;color=#00bfff&gt;[SWEET WIN 大奖升到5级]&lt;/color&gt;</t>
  </si>
  <si>
    <t>1980000_30|1022502_3|1022505_8310</t>
  </si>
  <si>
    <t>1024014_1|1022502_3|1022505_8310</t>
  </si>
  <si>
    <t>12277_102500_10250004_10</t>
  </si>
  <si>
    <t>把寒冰王座的&lt;color=#00bfff&gt;[SWEET WIN 大奖升到10级]&lt;/color&gt;</t>
  </si>
  <si>
    <t>12277_102500_10250005_1</t>
  </si>
  <si>
    <t>1990000_350000|1024007_5|1022505_8310</t>
  </si>
  <si>
    <t>解锁寒冰王座的&lt;color=#00bfff&gt;[BIG WIN 大奖]&lt;/color&gt;技能</t>
  </si>
  <si>
    <t>12207_1105_4</t>
  </si>
  <si>
    <t>1024001_5000|1990000_350000|1022505_8310</t>
  </si>
  <si>
    <t>[寒冰王座]建筑&lt;color=#00bfff&gt;等级升到4级&lt;/color&gt;</t>
  </si>
  <si>
    <t>12277_102500_10250006_5</t>
  </si>
  <si>
    <t>1980000_30|1990000_350000|1022505_8376</t>
  </si>
  <si>
    <t>把寒冰王座的&lt;color=#00bfff&gt;[BIG WIN 大奖升到5级]&lt;/color&gt;</t>
  </si>
  <si>
    <t>1024013_1|1024007_5|1022505_8376</t>
  </si>
  <si>
    <t>1980000_30|1990000_250000|1022505_8376</t>
  </si>
  <si>
    <t>1980000_30|1960000_5000|1022505_8376</t>
  </si>
  <si>
    <t>12207_1105_6</t>
  </si>
  <si>
    <t>1024001_5000|1990000_350000|1022505_8376</t>
  </si>
  <si>
    <t>[寒冰王座]建筑&lt;color=#00bfff&gt;等级升到6级&lt;/color&gt;</t>
  </si>
  <si>
    <t>12277_102500_10250006_10</t>
  </si>
  <si>
    <t>把寒冰王座的&lt;color=#00bfff&gt;[BIG WIN 大奖升到10级]&lt;/color&gt;</t>
  </si>
  <si>
    <t>12225_102500_1990000_400000</t>
  </si>
  <si>
    <t>1022502_3|1990000_350000|1022505_8376</t>
  </si>
  <si>
    <t>在[寒冰王座]游戏中&lt;color=#00bfff&gt;赢取40万金币&lt;/color&gt;</t>
  </si>
  <si>
    <t>12277_102500_10250013_1</t>
  </si>
  <si>
    <t>1990000_350000|1024007_5|1022505_8376</t>
  </si>
  <si>
    <t>解锁寒冰王座的&lt;color=#00bfff&gt;[免费模式]&lt;/color&gt;技能</t>
  </si>
  <si>
    <t>1980000_30|1022502_3|1022505_8376</t>
  </si>
  <si>
    <t>1980000_30|1024007_5|1022505_12795</t>
  </si>
  <si>
    <t>12207_1105_8</t>
  </si>
  <si>
    <t>1024001_5000|1990000_350000|1022505_12795</t>
  </si>
  <si>
    <t>[寒冰王座]建筑&lt;color=#00bfff&gt;等级升到8级&lt;/color&gt;</t>
  </si>
  <si>
    <t>12277_102500_10250014_1</t>
  </si>
  <si>
    <t>1990000_350000|1024007_5|1022505_12795</t>
  </si>
  <si>
    <t>解锁寒冰王座的&lt;color=#00bfff&gt;[免费模式20-50倍 大奖]&lt;/color&gt;技能</t>
  </si>
  <si>
    <t>12273_1_1104</t>
  </si>
  <si>
    <t>1024001_5000|1024040_30|1022505_12795</t>
  </si>
  <si>
    <t>解锁&lt;color=#00bfff&gt;[财神来了]&lt;/color&gt;游戏建筑</t>
  </si>
  <si>
    <t>12207_1104_2</t>
  </si>
  <si>
    <t>1980000_30|1022502_3|1022505_14122</t>
  </si>
  <si>
    <t>[财神来了]建筑&lt;color=#00bfff&gt;等级升到2级&lt;/color&gt;</t>
  </si>
  <si>
    <t>12277_101200_10250003_1</t>
  </si>
  <si>
    <t>1024013_1|1024007_5|1022505_14122</t>
  </si>
  <si>
    <t>解锁财神来了的&lt;color=#00bfff&gt;[SWEET WIN 大奖]&lt;/color&gt;技能</t>
  </si>
  <si>
    <t>12221_101200_10</t>
  </si>
  <si>
    <t>1980000_30|1024007_3|1022505_14122</t>
  </si>
  <si>
    <t>在[财神来了]游戏中&lt;color=#00bfff&gt;投注10次&lt;/color&gt;</t>
  </si>
  <si>
    <t>12277_101200_10250004_5</t>
  </si>
  <si>
    <t>1980000_30|1990000_400000|1022505_20580</t>
  </si>
  <si>
    <t>把财神来了的&lt;color=#00bfff&gt;[SWEET WIN 大奖升到5级]&lt;/color&gt;</t>
  </si>
  <si>
    <t>1980000_30|1022502_3|1022505_20580</t>
  </si>
  <si>
    <t>1024014_1|1022502_3|1022505_22410</t>
  </si>
  <si>
    <t>12277_101200_10250004_10</t>
  </si>
  <si>
    <t>1980000_30|1990000_400000|1022505_22410</t>
  </si>
  <si>
    <t>把财神来了的&lt;color=#00bfff&gt;[SWEET WIN 大奖升到10级]&lt;/color&gt;</t>
  </si>
  <si>
    <t>12277_101200_10250005_1</t>
  </si>
  <si>
    <t>1990000_400000|1024007_5|1022505_22410</t>
  </si>
  <si>
    <t>解锁财神来了的&lt;color=#00bfff&gt;[BIG WIN 大奖]&lt;/color&gt;技能</t>
  </si>
  <si>
    <t>12207_1104_4</t>
  </si>
  <si>
    <t>1024001_5000|1990000_400000|1022505_24420</t>
  </si>
  <si>
    <t>[财神来了]建筑&lt;color=#00bfff&gt;等级升到4级&lt;/color&gt;</t>
  </si>
  <si>
    <t>12277_101200_10250006_5</t>
  </si>
  <si>
    <t>1980000_30|1990000_400000|1022505_24420</t>
  </si>
  <si>
    <t>把财神来了的&lt;color=#00bfff&gt;[BIG WIN 大奖升到5级]&lt;/color&gt;</t>
  </si>
  <si>
    <t>1980000_30|1022502_3|1022505_24420</t>
  </si>
  <si>
    <t>1980000_30|1990000_250000|1022505_26420</t>
  </si>
  <si>
    <t>1980000_30|1960000_5000|1022505_26420</t>
  </si>
  <si>
    <t>12207_1104_6</t>
  </si>
  <si>
    <t>[财神来了]建筑&lt;color=#00bfff&gt;等级升到6级&lt;/color&gt;</t>
  </si>
  <si>
    <t>12277_101200_10250006_10</t>
  </si>
  <si>
    <t>1980000_30|1990000_400000|1022505_28490</t>
  </si>
  <si>
    <t>把财神来了的&lt;color=#00bfff&gt;[BIG WIN 大奖升到10级]&lt;/color&gt;</t>
  </si>
  <si>
    <t>12225_101200_1990000_400000</t>
  </si>
  <si>
    <t>1022502_3|1990000_400000|1022505_28490</t>
  </si>
  <si>
    <t>在[财神来了]游戏中&lt;color=#00bfff&gt;赢取40万金币&lt;/color&gt;</t>
  </si>
  <si>
    <t>12277_101200_10250013_1</t>
  </si>
  <si>
    <t>1990000_400000|1024007_5|1022505_28490</t>
  </si>
  <si>
    <t>解锁财神来了的&lt;color=#00bfff&gt;[免费模式]&lt;/color&gt;技能</t>
  </si>
  <si>
    <t>1980000_30|1022502_3|1022505_30740</t>
  </si>
  <si>
    <t>1980000_30|1024007_5|1022505_30740</t>
  </si>
  <si>
    <t>12207_1104_8</t>
  </si>
  <si>
    <t>1024001_5000|1990000_400000|1022505_30740</t>
  </si>
  <si>
    <t>[财神来了]建筑&lt;color=#00bfff&gt;等级升到8级&lt;/color&gt;</t>
  </si>
  <si>
    <t>12277_101200_10250014_1</t>
  </si>
  <si>
    <t>1990000_400000|1022502_3|1022505_4301</t>
  </si>
  <si>
    <t>解锁财神来了的&lt;color=#00bfff&gt;[免费模式20-50倍 大奖]&lt;/color&gt;技能</t>
  </si>
  <si>
    <t>12273_1_1103</t>
  </si>
  <si>
    <t>1024001_5000|1024024_30|1022505_4301</t>
  </si>
  <si>
    <t>解锁&lt;color=#00bfff&gt;[超级明星]&lt;/color&gt;游戏建筑</t>
  </si>
  <si>
    <t>12207_1103_2</t>
  </si>
  <si>
    <t>1024013_1|1022502_3|1022505_4301</t>
  </si>
  <si>
    <t>[超级明星]建筑&lt;color=#00bfff&gt;等级升到2级&lt;/color&gt;</t>
  </si>
  <si>
    <t>12277_100300_10030003_1</t>
  </si>
  <si>
    <t>1990000_450000|1024007_5|1022505_4301</t>
  </si>
  <si>
    <t>解锁超级明星的&lt;color=#00bfff&gt;[SWEET WIN 大奖]&lt;/color&gt;技能</t>
  </si>
  <si>
    <t>12221_100300_10</t>
  </si>
  <si>
    <t>1980000_30|1024007_3|1022505_4301</t>
  </si>
  <si>
    <t>在[超级明星]游戏中&lt;color=#00bfff&gt;投注10次&lt;/color&gt;</t>
  </si>
  <si>
    <t>12277_100300_10030004_5</t>
  </si>
  <si>
    <t>1980000_30|1990000_450000|1022505_4301</t>
  </si>
  <si>
    <t>把超级明星的&lt;color=#00bfff&gt;[SWEET WIN 大奖升到5级]&lt;/color&gt;</t>
  </si>
  <si>
    <t>1980000_30|1022502_3|1022505_4301</t>
  </si>
  <si>
    <t>1024014_1|1022502_3|1022505_4301</t>
  </si>
  <si>
    <t>12277_100300_10030004_10</t>
  </si>
  <si>
    <t>把超级明星的&lt;color=#00bfff&gt;[SWEET WIN 大奖升到10级]&lt;/color&gt;</t>
  </si>
  <si>
    <t>12277_100300_10030005_1</t>
  </si>
  <si>
    <t>解锁超级明星的&lt;color=#00bfff&gt;[BIG WIN 大奖]&lt;/color&gt;技能</t>
  </si>
  <si>
    <t>12207_1103_4</t>
  </si>
  <si>
    <t>1024001_5000|1990000_450000|1022505_4301</t>
  </si>
  <si>
    <t>[超级明星]建筑&lt;color=#00bfff&gt;等级升到4级&lt;/color&gt;</t>
  </si>
  <si>
    <t>12277_100300_10030006_5</t>
  </si>
  <si>
    <t>把超级明星的&lt;color=#00bfff&gt;[BIG WIN 大奖升到5级]&lt;/color&gt;</t>
  </si>
  <si>
    <t>1980000_30|1024007_5|1022505_4301</t>
  </si>
  <si>
    <t>1980000_30|1990000_250000|1022505_4301</t>
  </si>
  <si>
    <t>1980000_30|1960000_5000|1022505_4301</t>
  </si>
  <si>
    <t>12207_1103_6</t>
  </si>
  <si>
    <t>[超级明星]建筑&lt;color=#00bfff&gt;等级升到6级&lt;/color&gt;</t>
  </si>
  <si>
    <t>12277_100300_10030006_10</t>
  </si>
  <si>
    <t>把超级明星的&lt;color=#00bfff&gt;[BIG WIN 大奖升到10级]&lt;/color&gt;</t>
  </si>
  <si>
    <t>12225_100300_1990000_400000</t>
  </si>
  <si>
    <t>1022502_3|1990000_450000|1022505_4301</t>
  </si>
  <si>
    <t>在[超级明星]游戏中&lt;color=#00bfff&gt;赢取40万金币&lt;/color&gt;</t>
  </si>
  <si>
    <t>12277_100300_10030013_1</t>
  </si>
  <si>
    <t>解锁超级明星的&lt;color=#00bfff&gt;[樱桃符号中奖概率提升]&lt;/color&gt;技能</t>
  </si>
  <si>
    <t>12207_1103_8</t>
  </si>
  <si>
    <t>[超级明星]建筑&lt;color=#00bfff&gt;等级升到8级&lt;/color&gt;</t>
  </si>
  <si>
    <t>12277_100300_10030002_5</t>
  </si>
  <si>
    <t>1980000_30|1990000_450000|1022505_6581</t>
  </si>
  <si>
    <t>把超级明星的&lt;color=#00bfff&gt;[中奖概率升到5级]&lt;/color&gt;</t>
  </si>
  <si>
    <t>12273_1_1109</t>
  </si>
  <si>
    <t>1024001_5000|1024084_30|1022505_6581</t>
  </si>
  <si>
    <t>解锁&lt;color=#00bfff&gt;[狼月]&lt;/color&gt;游戏建筑</t>
  </si>
  <si>
    <t>12207_1109_2</t>
  </si>
  <si>
    <t>1980000_30|1022502_3|1022505_6581</t>
  </si>
  <si>
    <t>[狼月]建筑&lt;color=#00bfff&gt;等级升到2级&lt;/color&gt;</t>
  </si>
  <si>
    <t>12277_101500_10150003_1</t>
  </si>
  <si>
    <t>1990000_500000|1024007_5|1022505_6581</t>
  </si>
  <si>
    <t>解锁狼月的&lt;color=#00bfff&gt;[SWEET WIN 大奖]&lt;/color&gt;技能</t>
  </si>
  <si>
    <t>12221_101500_10</t>
  </si>
  <si>
    <t>1980000_30|1024007_3|1022505_6581</t>
  </si>
  <si>
    <t>在[狼月]游戏中&lt;color=#00bfff&gt;投注10次&lt;/color&gt;</t>
  </si>
  <si>
    <t>12277_101500_10150004_5</t>
  </si>
  <si>
    <t>1980000_30|1990000_500000|1022505_6581</t>
  </si>
  <si>
    <t>把狼月的&lt;color=#00bfff&gt;[SWEET WIN 大奖升到5级]&lt;/color&gt;</t>
  </si>
  <si>
    <t>1024014_1|1990000_500000|1022505_6581</t>
  </si>
  <si>
    <t>12277_101500_10150004_10</t>
  </si>
  <si>
    <t>把狼月的&lt;color=#00bfff&gt;[SWEET WIN 大奖升到10级]&lt;/color&gt;</t>
  </si>
  <si>
    <t>12277_101500_10150005_1</t>
  </si>
  <si>
    <t>解锁狼月的&lt;color=#00bfff&gt;[BIG WIN 大奖]&lt;/color&gt;技能</t>
  </si>
  <si>
    <t>12207_1109_4</t>
  </si>
  <si>
    <t>1024001_5000|1990000_500000|1022505_6581</t>
  </si>
  <si>
    <t>[狼月]建筑&lt;color=#00bfff&gt;等级升到4级&lt;/color&gt;</t>
  </si>
  <si>
    <t>12277_101500_10150006_5</t>
  </si>
  <si>
    <t>1024013_1|1990000_500000|1022505_6581</t>
  </si>
  <si>
    <t>把狼月的&lt;color=#00bfff&gt;[BIG WIN 大奖升到5级]&lt;/color&gt;</t>
  </si>
  <si>
    <t>1980000_30|1024007_5|1022505_6581</t>
  </si>
  <si>
    <t>1980000_30|1990000_250000|1022505_6581</t>
  </si>
  <si>
    <t>1980000_30|1960000_5000|1022505_6581</t>
  </si>
  <si>
    <t>12207_1109_6</t>
  </si>
  <si>
    <t>[狼月]建筑&lt;color=#00bfff&gt;等级升到6级&lt;/color&gt;</t>
  </si>
  <si>
    <t>12277_101500_10150006_10</t>
  </si>
  <si>
    <t>把狼月的&lt;color=#00bfff&gt;[BIG WIN 大奖升到10级]&lt;/color&gt;</t>
  </si>
  <si>
    <t>12225_101500_1990000_400000</t>
  </si>
  <si>
    <t>1022502_3|1990000_500000|1022505_6581</t>
  </si>
  <si>
    <t>在[狼月]游戏中&lt;color=#00bfff&gt;赢取40万金币&lt;/color&gt;</t>
  </si>
  <si>
    <t>12277_101500_10150013_1</t>
  </si>
  <si>
    <t>解锁狼月的&lt;color=#00bfff&gt;[免费模式]&lt;/color&gt;技能</t>
  </si>
  <si>
    <t>12207_1109_8</t>
  </si>
  <si>
    <t>[狼月]建筑&lt;color=#00bfff&gt;等级升到8级&lt;/color&gt;</t>
  </si>
  <si>
    <t>12277_101500_10150014_1</t>
  </si>
  <si>
    <t>1990000_550000|1024007_5|1022505_9363</t>
  </si>
  <si>
    <t>解锁狼月的&lt;color=#00bfff&gt;[免费模式20-50倍 大奖]&lt;/color&gt;技能</t>
  </si>
  <si>
    <t>12273_1_1108</t>
  </si>
  <si>
    <t>1024001_5000|1024082_30|1022505_9363</t>
  </si>
  <si>
    <t>解锁&lt;color=#00bfff&gt;[宙斯vs哈迪斯]&lt;/color&gt;游戏建筑</t>
  </si>
  <si>
    <t>12207_1108_2</t>
  </si>
  <si>
    <t>1980000_30|1022502_3|1022505_9363</t>
  </si>
  <si>
    <t>[宙斯vs哈迪斯]建筑&lt;color=#00bfff&gt;等级升到2级&lt;/color&gt;</t>
  </si>
  <si>
    <t>12277_102000_10200003_1</t>
  </si>
  <si>
    <t>1024013_1|1024007_5|1022505_9363</t>
  </si>
  <si>
    <t>解锁宙斯vs哈迪斯的&lt;color=#00bfff&gt;[SWEET WIN 大奖]&lt;/color&gt;技能</t>
  </si>
  <si>
    <t>12221_102000_10</t>
  </si>
  <si>
    <t>1024014_1|1022502_3|1022505_9363</t>
  </si>
  <si>
    <t>在[宙斯vs哈迪斯]游戏中&lt;color=#00bfff&gt;投注10次&lt;/color&gt;</t>
  </si>
  <si>
    <t>12277_102000_10200004_5</t>
  </si>
  <si>
    <t>1980000_30|1990000_550000|1022505_9363</t>
  </si>
  <si>
    <t>把宙斯vs哈迪斯的&lt;color=#00bfff&gt;[SWEET WIN 大奖升到5级]&lt;/color&gt;</t>
  </si>
  <si>
    <t>12277_102000_10200004_10</t>
  </si>
  <si>
    <t>把宙斯vs哈迪斯的&lt;color=#00bfff&gt;[SWEET WIN 大奖升到10级]&lt;/color&gt;</t>
  </si>
  <si>
    <t>1024001_5000|1990000_550000|1022505_9363</t>
  </si>
  <si>
    <t>12277_102000_10200005_1</t>
  </si>
  <si>
    <t>解锁宙斯vs哈迪斯的&lt;color=#00bfff&gt;[BIG WIN 大奖]&lt;/color&gt;技能</t>
  </si>
  <si>
    <t>12207_1108_4</t>
  </si>
  <si>
    <t>[宙斯vs哈迪斯]建筑&lt;color=#00bfff&gt;等级升到4级&lt;/color&gt;</t>
  </si>
  <si>
    <t>12277_102000_10200006_5</t>
  </si>
  <si>
    <t>把宙斯vs哈迪斯的&lt;color=#00bfff&gt;[BIG WIN 大奖升到5级]&lt;/color&gt;</t>
  </si>
  <si>
    <t>1980000_30|1024007_5|1022505_9363</t>
  </si>
  <si>
    <t>1980000_30|1990000_250000|1022505_9363</t>
  </si>
  <si>
    <t>1980000_30|1960000_5000|1022505_9363</t>
  </si>
  <si>
    <t>12207_1108_6</t>
  </si>
  <si>
    <t>[宙斯vs哈迪斯]建筑&lt;color=#00bfff&gt;等级升到6级&lt;/color&gt;</t>
  </si>
  <si>
    <t>12277_102000_10200006_10</t>
  </si>
  <si>
    <t>把宙斯vs哈迪斯的&lt;color=#00bfff&gt;[BIG WIN 大奖升到10级]&lt;/color&gt;</t>
  </si>
  <si>
    <t>12225_102000_1990000_400000</t>
  </si>
  <si>
    <t>1022502_3|1990000_550000|1022505_9363</t>
  </si>
  <si>
    <t>在[宙斯vs哈迪斯]游戏中&lt;color=#00bfff&gt;赢取40万金币&lt;/color&gt;</t>
  </si>
  <si>
    <t>12277_102000_10200013_1</t>
  </si>
  <si>
    <t>解锁宙斯vs哈迪斯的&lt;color=#00bfff&gt;[免费模式]&lt;/color&gt;技能</t>
  </si>
  <si>
    <t>12207_1108_8</t>
  </si>
  <si>
    <t>[宙斯vs哈迪斯]建筑&lt;color=#00bfff&gt;等级升到8级&lt;/color&gt;</t>
  </si>
  <si>
    <t>12277_102000_10200014_1</t>
  </si>
  <si>
    <t>1990000_600000|1024007_5|1022505_12543</t>
  </si>
  <si>
    <t>解锁宙斯vs哈迪斯的&lt;color=#00bfff&gt;[免费模式20-50倍 大奖]&lt;/color&gt;技能</t>
  </si>
  <si>
    <t>12273_1_1112</t>
  </si>
  <si>
    <t>1024001_5000|1024080_30|1022505_12543</t>
  </si>
  <si>
    <t>解锁&lt;color=#00bfff&gt;[杰克船长]&lt;/color&gt;游戏建筑</t>
  </si>
  <si>
    <t>12207_1112_2</t>
  </si>
  <si>
    <t>1980000_30|1022502_3|1022505_12543</t>
  </si>
  <si>
    <t>[杰克船长]建筑&lt;color=#00bfff&gt;等级升到2级&lt;/color&gt;</t>
  </si>
  <si>
    <t>12277_102100_10210003_1</t>
  </si>
  <si>
    <t>解锁杰克船长的&lt;color=#00bfff&gt;[SWEET WIN 大奖]&lt;/color&gt;技能</t>
  </si>
  <si>
    <t>12221_102100_10</t>
  </si>
  <si>
    <t>1980000_30|1024007_3|1022505_12543</t>
  </si>
  <si>
    <t>在[杰克船长]游戏中&lt;color=#00bfff&gt;投注10次&lt;/color&gt;</t>
  </si>
  <si>
    <t>12277_102100_10210004_5</t>
  </si>
  <si>
    <t>1980000_30|1990000_600000|1022505_12543</t>
  </si>
  <si>
    <t>把杰克船长的&lt;color=#00bfff&gt;[SWEET WIN 大奖升到5级]&lt;/color&gt;</t>
  </si>
  <si>
    <t>12277_102100_10210004_10</t>
  </si>
  <si>
    <t>1024014_1|1990000_600000|1022505_12543</t>
  </si>
  <si>
    <t>把杰克船长的&lt;color=#00bfff&gt;[SWEET WIN 大奖升到10级]&lt;/color&gt;</t>
  </si>
  <si>
    <t>1024001_5000|1990000_600000|1022505_12543</t>
  </si>
  <si>
    <t>12277_102100_10210005_1</t>
  </si>
  <si>
    <t>解锁杰克船长的&lt;color=#00bfff&gt;[BIG WIN 大奖]&lt;/color&gt;技能</t>
  </si>
  <si>
    <t>12207_1112_4</t>
  </si>
  <si>
    <t>[杰克船长]建筑&lt;color=#00bfff&gt;等级升到4级&lt;/color&gt;</t>
  </si>
  <si>
    <t>12277_102100_10210006_5</t>
  </si>
  <si>
    <t>把杰克船长的&lt;color=#00bfff&gt;[BIG WIN 大奖升到5级]&lt;/color&gt;</t>
  </si>
  <si>
    <t>1980000_30|1024007_5|1022505_12543</t>
  </si>
  <si>
    <t>1980000_30|1990000_250000|1022505_12543</t>
  </si>
  <si>
    <t>1980000_30|1960000_5000|1022505_12543</t>
  </si>
  <si>
    <t>12207_1112_6</t>
  </si>
  <si>
    <t>[杰克船长]建筑&lt;color=#00bfff&gt;等级升到6级&lt;/color&gt;</t>
  </si>
  <si>
    <t>12277_102100_10210006_10</t>
  </si>
  <si>
    <t>把杰克船长的&lt;color=#00bfff&gt;[BIG WIN 大奖升到10级]&lt;/color&gt;</t>
  </si>
  <si>
    <t>12225_102100_1990000_400000</t>
  </si>
  <si>
    <t>1022502_3|1990000_600000|1022505_12543</t>
  </si>
  <si>
    <t>在[杰克船长]游戏中&lt;color=#00bfff&gt;赢取40万金币&lt;/color&gt;</t>
  </si>
  <si>
    <t>12277_102100_10210013_1</t>
  </si>
  <si>
    <t>解锁杰克船长的&lt;color=#00bfff&gt;[免费模式]&lt;/color&gt;技能</t>
  </si>
  <si>
    <t>1024013_1|1024007_5|1022505_12543</t>
  </si>
  <si>
    <t>12207_1112_8</t>
  </si>
  <si>
    <t>[杰克船长]建筑&lt;color=#00bfff&gt;等级升到8级&lt;/color&gt;</t>
  </si>
  <si>
    <t>12277_102100_10210014_1</t>
  </si>
  <si>
    <t>1990000_650000|1024007_5|1022505_17216</t>
  </si>
  <si>
    <t>解锁杰克船长的&lt;color=#00bfff&gt;[免费模式20-50倍 大奖]&lt;/color&gt;技能</t>
  </si>
  <si>
    <t>12273_1_1111</t>
  </si>
  <si>
    <t>1024001_5000|1024079_30|1022505_17216</t>
  </si>
  <si>
    <t>解锁&lt;color=#00bfff&gt;[雷神]&lt;/color&gt;游戏建筑</t>
  </si>
  <si>
    <t>12207_1111_2</t>
  </si>
  <si>
    <t>1980000_30|1022502_3|1022505_17216</t>
  </si>
  <si>
    <t>[雷神]建筑&lt;color=#00bfff&gt;等级升到2级&lt;/color&gt;</t>
  </si>
  <si>
    <t>12277_102200_10220003_1</t>
  </si>
  <si>
    <t>1980000_30|1024007_5|1022505_17216</t>
  </si>
  <si>
    <t>解锁雷神的&lt;color=#00bfff&gt;[SWEET WIN 大奖]&lt;/color&gt;技能</t>
  </si>
  <si>
    <t>12221_102200_10</t>
  </si>
  <si>
    <t>1980000_30|1024007_3|1022505_17216</t>
  </si>
  <si>
    <t>在[雷神]游戏中&lt;color=#00bfff&gt;投注10次&lt;/color&gt;</t>
  </si>
  <si>
    <t>12277_102200_10220004_5</t>
  </si>
  <si>
    <t>1024014_1|1990000_650000|1022505_17216</t>
  </si>
  <si>
    <t>把雷神的&lt;color=#00bfff&gt;[SWEET WIN 大奖升到5级]&lt;/color&gt;</t>
  </si>
  <si>
    <t>1024001_5000|1990000_600000|1022505_17216</t>
  </si>
  <si>
    <t>12277_102200_10220004_10</t>
  </si>
  <si>
    <t>1980000_30|1990000_650000|1022505_17216</t>
  </si>
  <si>
    <t>把雷神的&lt;color=#00bfff&gt;[SWEET WIN 大奖升到10级]&lt;/color&gt;</t>
  </si>
  <si>
    <t>12277_102200_10220005_1</t>
  </si>
  <si>
    <t>解锁雷神的&lt;color=#00bfff&gt;[BIG WIN 大奖]&lt;/color&gt;技能</t>
  </si>
  <si>
    <t>12207_1111_4</t>
  </si>
  <si>
    <t>1024001_5000|1990000_650000|1022505_17216</t>
  </si>
  <si>
    <t>[雷神]建筑&lt;color=#00bfff&gt;等级升到4级&lt;/color&gt;</t>
  </si>
  <si>
    <t>12277_102200_10220006_5</t>
  </si>
  <si>
    <t>把雷神的&lt;color=#00bfff&gt;[BIG WIN 大奖升到5级]&lt;/color&gt;</t>
  </si>
  <si>
    <t>1980000_30|1990000_250000|1022505_17216</t>
  </si>
  <si>
    <t>1980000_30|1960000_5000|1022505_17216</t>
  </si>
  <si>
    <t>12207_1111_6</t>
  </si>
  <si>
    <t>[雷神]建筑&lt;color=#00bfff&gt;等级升到6级&lt;/color&gt;</t>
  </si>
  <si>
    <t>12277_102200_10220006_10</t>
  </si>
  <si>
    <t>把雷神的&lt;color=#00bfff&gt;[BIG WIN 大奖升到10级]&lt;/color&gt;</t>
  </si>
  <si>
    <t>12225_102200_1990000_400000</t>
  </si>
  <si>
    <t>1022502_3|1990000_650000|1022505_17216</t>
  </si>
  <si>
    <t>在[雷神]游戏中&lt;color=#00bfff&gt;赢取40万金币&lt;/color&gt;</t>
  </si>
  <si>
    <t>12277_102200_10220013_1</t>
  </si>
  <si>
    <t>解锁雷神的&lt;color=#00bfff&gt;[免费模式]&lt;/color&gt;技能</t>
  </si>
  <si>
    <t>1024013_1|1022502_3|1022505_17216</t>
  </si>
  <si>
    <t>1024014_1|1024007_5|1022505_17216</t>
  </si>
  <si>
    <t>12207_1111_8</t>
  </si>
  <si>
    <t>[雷神]建筑&lt;color=#00bfff&gt;等级升到8级&lt;/color&gt;</t>
  </si>
  <si>
    <t>12277_102200_10220014_1</t>
  </si>
  <si>
    <t>1990000_650000|1024007_5|1022505_60196</t>
  </si>
  <si>
    <t>解锁雷神的&lt;color=#00bfff&gt;[免费模式20-50倍 大奖]&lt;/color&gt;技能</t>
  </si>
  <si>
    <t>12225_0_1990000_1000000</t>
  </si>
  <si>
    <t>1022502_3|1990000_500000|1022505_60196</t>
  </si>
  <si>
    <t>在任意游戏中&lt;color=#00bfff&gt;赢取100万金币&lt;/color&gt;</t>
  </si>
  <si>
    <t>12284_3</t>
  </si>
  <si>
    <t>1980000_30|1990000_500000|1022505_60196</t>
  </si>
  <si>
    <t>今天&lt;color=#00bfff&gt;观看3次广告&lt;/color&gt;</t>
  </si>
  <si>
    <t>12609_0_1_200000</t>
  </si>
  <si>
    <t>在赛季电子游戏中赢取&lt;color=#00bfff&gt;20万赛季币&lt;/color&gt;</t>
  </si>
  <si>
    <t>12223_3</t>
  </si>
  <si>
    <t>1980000_30|1960000_5000|1022505_60196</t>
  </si>
  <si>
    <t>参与并&lt;color=#00bfff&gt;完成3次[Aether Trial]游戏&lt;/color&gt;</t>
  </si>
  <si>
    <t>12610_0_1_50</t>
  </si>
  <si>
    <t>在赛季电子游戏中投注&lt;color=#00bfff&gt;50次&lt;/color&gt;</t>
  </si>
  <si>
    <t>12701_10</t>
  </si>
  <si>
    <t>在赛季矿洞大冒险游戏中&lt;color=#00bfff&gt;挖掘10个格子&lt;/color&gt;</t>
  </si>
  <si>
    <t>12226_3</t>
  </si>
  <si>
    <t>在[赛季-商店]中&lt;color=#00bfff&gt;购买3次商品&lt;/color&gt;</t>
  </si>
  <si>
    <t>12222_0_3</t>
  </si>
  <si>
    <t>通过特邀游客功能&lt;color=#00bfff&gt;邀请3次&lt;/color&gt;</t>
  </si>
  <si>
    <t>成就任务</t>
  </si>
  <si>
    <t>12265_1</t>
  </si>
  <si>
    <t>1150001_1|1980000_200</t>
  </si>
  <si>
    <t/>
  </si>
  <si>
    <t>1150001.png</t>
  </si>
  <si>
    <t>累积登陆&lt;color=#00bfff&gt;1天&lt;/color&gt;</t>
  </si>
  <si>
    <t>12265_2</t>
  </si>
  <si>
    <t>1990000_400000|1980000_400</t>
  </si>
  <si>
    <t>累积登陆&lt;color=#00bfff&gt;2天&lt;/color&gt;</t>
  </si>
  <si>
    <t>12265_3</t>
  </si>
  <si>
    <t>1990000_400000|1980000_600</t>
  </si>
  <si>
    <t>累积登陆&lt;color=#00bfff&gt;3天&lt;/color&gt;</t>
  </si>
  <si>
    <t>12265_4</t>
  </si>
  <si>
    <t>1990000_600000|1980000_800</t>
  </si>
  <si>
    <t>累积登陆&lt;color=#00bfff&gt;4天&lt;/color&gt;</t>
  </si>
  <si>
    <t>12265_5</t>
  </si>
  <si>
    <t>1990000_1000000|1980000_1000</t>
  </si>
  <si>
    <t>累积登陆&lt;color=#00bfff&gt;5天&lt;/color&gt;</t>
  </si>
  <si>
    <t>12265_6</t>
  </si>
  <si>
    <t>1150032_1|1980000_1200</t>
  </si>
  <si>
    <t>累积登陆&lt;color=#00bfff&gt;6天&lt;/color&gt;</t>
  </si>
  <si>
    <t>12268_1_5</t>
  </si>
  <si>
    <t>1990000_200000|1980000_200</t>
  </si>
  <si>
    <t>1150002.png</t>
  </si>
  <si>
    <t>赌场等级达到&lt;color=#00bfff&gt;5级&lt;/color&gt;</t>
  </si>
  <si>
    <t>12268_1_10</t>
  </si>
  <si>
    <t>赌场等级达到&lt;color=#00bfff&gt;10级&lt;/color&gt;</t>
  </si>
  <si>
    <t>12268_1_15</t>
  </si>
  <si>
    <t>1150002_1|1980000_600</t>
  </si>
  <si>
    <t>赌场等级达到&lt;color=#00bfff&gt;15级&lt;/color&gt;</t>
  </si>
  <si>
    <t>12268_1_20</t>
  </si>
  <si>
    <t>赌场等级达到&lt;color=#00bfff&gt;20级&lt;/color&gt;</t>
  </si>
  <si>
    <t>12268_1_30</t>
  </si>
  <si>
    <t>赌场等级达到&lt;color=#00bfff&gt;30级&lt;/color&gt;</t>
  </si>
  <si>
    <t>12268_1_40</t>
  </si>
  <si>
    <t>1150053_1|1980000_1200</t>
  </si>
  <si>
    <t>赌场等级达到&lt;color=#00bfff&gt;40级&lt;/color&gt;</t>
  </si>
  <si>
    <t>12256_5_5</t>
  </si>
  <si>
    <t>1150016.png</t>
  </si>
  <si>
    <t>拥有&lt;color=#00bfff&gt;5个5级以上的游戏建筑&lt;/color&gt;</t>
  </si>
  <si>
    <t>12256_10_5</t>
  </si>
  <si>
    <t>拥有&lt;color=#00bfff&gt;10个5级以上的游戏建筑&lt;/color&gt;</t>
  </si>
  <si>
    <t>12256_5_20</t>
  </si>
  <si>
    <t>1150016_1|1980000_600</t>
  </si>
  <si>
    <t>拥有&lt;color=#00bfff&gt;5个20级以上的游戏建筑&lt;/color&gt;</t>
  </si>
  <si>
    <t>12256_10_20</t>
  </si>
  <si>
    <t>拥有&lt;color=#00bfff&gt;10个20级以上的游戏建筑&lt;/color&gt;</t>
  </si>
  <si>
    <t>12256_8_30</t>
  </si>
  <si>
    <t>拥有&lt;color=#00bfff&gt;8个30级以上的游戏建筑&lt;/color&gt;</t>
  </si>
  <si>
    <t>12256_5_40</t>
  </si>
  <si>
    <t>1150029_1|1980000_1200</t>
  </si>
  <si>
    <t>拥有&lt;color=#00bfff&gt;5个40级以上的游戏建筑&lt;/color&gt;</t>
  </si>
  <si>
    <t>12257_10</t>
  </si>
  <si>
    <t>1150035.png</t>
  </si>
  <si>
    <t>观看&lt;color=#00bfff&gt;10次广告&lt;/color&gt;</t>
  </si>
  <si>
    <t>12257_20</t>
  </si>
  <si>
    <t>观看&lt;color=#00bfff&gt;20次广告&lt;/color&gt;</t>
  </si>
  <si>
    <t>12257_50</t>
  </si>
  <si>
    <t>1150030_1|1980000_600</t>
  </si>
  <si>
    <t>观看&lt;color=#00bfff&gt;50次广告&lt;/color&gt;</t>
  </si>
  <si>
    <t>12257_100</t>
  </si>
  <si>
    <t>观看&lt;color=#00bfff&gt;100次广告&lt;/color&gt;</t>
  </si>
  <si>
    <t>12257_150</t>
  </si>
  <si>
    <t>观看&lt;color=#00bfff&gt;150次广告&lt;/color&gt;</t>
  </si>
  <si>
    <t>12257_200</t>
  </si>
  <si>
    <t>1150028_1|1980000_1200</t>
  </si>
  <si>
    <t>观看&lt;color=#00bfff&gt;200次广告&lt;/color&gt;</t>
  </si>
  <si>
    <t>12259_10_3_3</t>
  </si>
  <si>
    <t>1150017.png</t>
  </si>
  <si>
    <t>拥有&lt;color=#00bfff&gt;3个3星游戏经理&lt;/color&gt;</t>
  </si>
  <si>
    <t>12259_10_4_5</t>
  </si>
  <si>
    <t>拥有&lt;color=#00bfff&gt;4个5星游戏经理&lt;/color&gt;</t>
  </si>
  <si>
    <t>12259_20_3_3</t>
  </si>
  <si>
    <t>1150017_1|1980000_600</t>
  </si>
  <si>
    <t>拥有&lt;color=#00bfff&gt;3个3星服务经理&lt;/color&gt;</t>
  </si>
  <si>
    <t>12259_20_4_5</t>
  </si>
  <si>
    <t>1150018.png</t>
  </si>
  <si>
    <t>拥有&lt;color=#00bfff&gt;4个5星服务经理&lt;/color&gt;</t>
  </si>
  <si>
    <t>12259_30_3_3</t>
  </si>
  <si>
    <t>拥有&lt;color=#00bfff&gt;3个3星公关经理&lt;/color&gt;</t>
  </si>
  <si>
    <t>12259_30_4_5</t>
  </si>
  <si>
    <t>1150018_1|1980000_1200</t>
  </si>
  <si>
    <t>拥有&lt;color=#00bfff&gt;4个5星公关经理&lt;/color&gt;</t>
  </si>
  <si>
    <t>12263_2</t>
  </si>
  <si>
    <t>1150009.png</t>
  </si>
  <si>
    <t>解锁&lt;color=#00bfff&gt;2个SLOT游戏&lt;/color&gt;</t>
  </si>
  <si>
    <t>12263_4</t>
  </si>
  <si>
    <t>解锁&lt;color=#00bfff&gt;4个SLOT游戏&lt;/color&gt;</t>
  </si>
  <si>
    <t>12263_6</t>
  </si>
  <si>
    <t>1150031_1|1980000_600</t>
  </si>
  <si>
    <t>解锁&lt;color=#00bfff&gt;6个SLOT游戏&lt;/color&gt;</t>
  </si>
  <si>
    <t>12263_8</t>
  </si>
  <si>
    <t>解锁&lt;color=#00bfff&gt;8个SLOT游戏&lt;/color&gt;</t>
  </si>
  <si>
    <t>12263_10</t>
  </si>
  <si>
    <t>解锁&lt;color=#00bfff&gt;10个SLOT游戏&lt;/color&gt;</t>
  </si>
  <si>
    <t>12263_12</t>
  </si>
  <si>
    <t>1150048_1|1980000_1200</t>
  </si>
  <si>
    <t>解锁&lt;color=#00bfff&gt;12个SLOT游戏&lt;/color&gt;</t>
  </si>
  <si>
    <t>多人任务</t>
  </si>
  <si>
    <t>12501_100300_120_2_2</t>
  </si>
  <si>
    <t>1024013_1|1024014_1</t>
  </si>
  <si>
    <t>1_3</t>
  </si>
  <si>
    <t>在[超级明星]游戏中120次旋转内中2次樱桃符号</t>
  </si>
  <si>
    <t>12501_100300_240_2_5</t>
  </si>
  <si>
    <t>1024013_2|1024014_2</t>
  </si>
  <si>
    <t>1_4</t>
  </si>
  <si>
    <t>在[超级明星]游戏中240次旋转内中5次樱桃符号</t>
  </si>
  <si>
    <t>12501_100300_360_2_10</t>
  </si>
  <si>
    <t>1024013_3|1024014_3</t>
  </si>
  <si>
    <t>1_5</t>
  </si>
  <si>
    <t>在[超级明星]游戏中360次旋转内中10次樱桃符号</t>
  </si>
  <si>
    <t>12501_100700_120_2_1</t>
  </si>
  <si>
    <t>在[麻将胡了]游戏中120次旋转内中1次免费模式</t>
  </si>
  <si>
    <t>12501_100700_240_2_3</t>
  </si>
  <si>
    <t>在[麻将胡了]游戏中240次旋转内中3次免费模式</t>
  </si>
  <si>
    <t>12501_100700_360_2_6</t>
  </si>
  <si>
    <t>在[麻将胡了]游戏中360次旋转内中6次免费模式</t>
  </si>
  <si>
    <t>12501_101200_120_3_1</t>
  </si>
  <si>
    <t>在[财神来了]游戏中120次旋转内中1次财神到模式</t>
  </si>
  <si>
    <t>12501_101200_240_3_3</t>
  </si>
  <si>
    <t>在[财神来了]游戏中240次旋转内中3次财神到模式</t>
  </si>
  <si>
    <t>12501_101200_360_3_6</t>
  </si>
  <si>
    <t>在[财神来了]游戏中360次旋转内中6次财神到模式</t>
  </si>
  <si>
    <t>12501_102500_120_2_1</t>
  </si>
  <si>
    <t>在[寒冰王座]游戏中120次旋转内中1次免费模式</t>
  </si>
  <si>
    <t>12501_102500_240_2_3</t>
  </si>
  <si>
    <t>在[寒冰王座]游戏中240次旋转内中3次免费模式</t>
  </si>
  <si>
    <t>12501_102500_360_2_6</t>
  </si>
  <si>
    <t>在[寒冰王座]游戏中360次旋转内中6次免费模式</t>
  </si>
  <si>
    <t>12501_101800_120_2_1</t>
  </si>
  <si>
    <t>在[篮球巨星]游戏中120次旋转内中1次免费模式</t>
  </si>
  <si>
    <t>12501_101800_240_2_3</t>
  </si>
  <si>
    <t>在[篮球巨星]游戏中240次旋转内中3次免费模式</t>
  </si>
  <si>
    <t>12501_101800_360_2_6</t>
  </si>
  <si>
    <t>在[篮球巨星]游戏中360次旋转内中6次免费模式</t>
  </si>
  <si>
    <t>12501_102200_120_2_1</t>
  </si>
  <si>
    <t>在[雷神]游戏中120次旋转内中1次免费模式</t>
  </si>
  <si>
    <t>12501_102200_240_2_3</t>
  </si>
  <si>
    <t>在[雷神]游戏中240次旋转内中3次免费模式</t>
  </si>
  <si>
    <t>12501_102200_360_2_6</t>
  </si>
  <si>
    <t>在[雷神]游戏中360次旋转内中6次免费模式</t>
  </si>
  <si>
    <t>12501_103900_120_2_1</t>
  </si>
  <si>
    <t>在[愤怒的小鸟]游戏中120次旋转内中1次免费模式</t>
  </si>
  <si>
    <t>12501_103900_240_2_3</t>
  </si>
  <si>
    <t>在[愤怒的小鸟]游戏中240次旋转内中3次免费模式</t>
  </si>
  <si>
    <t>12501_103900_360_2_6</t>
  </si>
  <si>
    <t>在[愤怒的小鸟]游戏中360次旋转内中6次免费模式</t>
  </si>
  <si>
    <t>12501_102000_120_2_1</t>
  </si>
  <si>
    <t>在[宙斯VS哈迪斯]游戏中120次旋转内中1次免费模式</t>
  </si>
  <si>
    <t>12501_102000_240_2_3</t>
  </si>
  <si>
    <t>在[宙斯VS哈迪斯]游戏中240次旋转内中3次免费模式</t>
  </si>
  <si>
    <t>12501_102000_360_2_6</t>
  </si>
  <si>
    <t>在[宙斯VS哈迪斯]游戏中360次旋转内中6次免费模式</t>
  </si>
  <si>
    <t>12501_102100_120_2_1</t>
  </si>
  <si>
    <t>在[杰克船长]游戏中120次旋转内中1次免费模式</t>
  </si>
  <si>
    <t>12501_102100_240_2_3</t>
  </si>
  <si>
    <t>在[杰克船长]游戏中240次旋转内中3次免费模式</t>
  </si>
  <si>
    <t>12501_102100_360_2_6</t>
  </si>
  <si>
    <t>在[杰克船长]游戏中360次旋转内中6次免费模式</t>
  </si>
  <si>
    <t>12501_102100_180_3_1</t>
  </si>
  <si>
    <t>在[杰克船长]游戏中180次旋转内中1次奖励模式</t>
  </si>
  <si>
    <t>12501_102100_360_3_3</t>
  </si>
  <si>
    <t>在[杰克船长]游戏中360次旋转内中3次奖励模式</t>
  </si>
  <si>
    <t>12501_102100_540_3_6</t>
  </si>
  <si>
    <t>在[杰克船长]游戏中540次旋转内中6次奖励模式</t>
  </si>
  <si>
    <t>12501_103100_120_2_1</t>
  </si>
  <si>
    <t>在[绿巨人]游戏中120次旋转内中1次免费模式</t>
  </si>
  <si>
    <t>12501_103100_240_2_3</t>
  </si>
  <si>
    <t>在[绿巨人]游戏中240次旋转内中3次免费模式</t>
  </si>
  <si>
    <t>12501_103100_360_2_6</t>
  </si>
  <si>
    <t>在[绿巨人]游戏中360次旋转内中6次免费模式</t>
  </si>
  <si>
    <t>12501_103100_180_3_1</t>
  </si>
  <si>
    <t>在[绿巨人]游戏中180次旋转内中1次奖励模式</t>
  </si>
  <si>
    <t>12501_103100_360_3_3</t>
  </si>
  <si>
    <t>在[绿巨人]游戏中360次旋转内中3次奖励模式</t>
  </si>
  <si>
    <t>12501_103100_540_3_6</t>
  </si>
  <si>
    <t>在[绿巨人]游戏中540次旋转内中6次奖励模式</t>
  </si>
  <si>
    <t>12502_0_60_100000</t>
  </si>
  <si>
    <t>在任意游戏中60次旋转内累计赢奖100000</t>
  </si>
  <si>
    <t>12502_0_120_200000</t>
  </si>
  <si>
    <t>在任意游戏中120次旋转内累计赢奖200000</t>
  </si>
  <si>
    <t>12502_0_180_300000</t>
  </si>
  <si>
    <t>在任意游戏中180次旋转内累计赢奖300000</t>
  </si>
  <si>
    <t>12502_0_60_200000</t>
  </si>
  <si>
    <t>在任意游戏中60次旋转内累计赢奖200000</t>
  </si>
  <si>
    <t>12502_0_120_400000</t>
  </si>
  <si>
    <t>在任意游戏中120次旋转内累计赢奖400000</t>
  </si>
  <si>
    <t>12502_0_180_600000</t>
  </si>
  <si>
    <t>在任意游戏中180次旋转内累计赢奖600000</t>
  </si>
  <si>
    <t>12502_0_60_400000</t>
  </si>
  <si>
    <t>在任意游戏中60次旋转内累计赢奖400000</t>
  </si>
  <si>
    <t>12502_0_120_800000</t>
  </si>
  <si>
    <t>在任意游戏中120次旋转内累计赢奖800000</t>
  </si>
  <si>
    <t>12502_0_180_1200000</t>
  </si>
  <si>
    <t>在任意游戏中180次旋转内累计赢奖1200000</t>
  </si>
  <si>
    <t>12503_0_120_5_5</t>
  </si>
  <si>
    <t>在任意游戏中120次旋转内中5次5倍及以上大奖</t>
  </si>
  <si>
    <t>12503_0_240_5_10</t>
  </si>
  <si>
    <t>在任意游戏中240次旋转内中10次5倍及以上大奖</t>
  </si>
  <si>
    <t>12503_0_360_5_15</t>
  </si>
  <si>
    <t>在任意游戏中360次旋转内中15次5倍及以上大奖</t>
  </si>
  <si>
    <t>12503_0_120_5_7</t>
  </si>
  <si>
    <t>在任意游戏中120次旋转内中7次5倍及以上大奖</t>
  </si>
  <si>
    <t>12503_0_240_5_14</t>
  </si>
  <si>
    <t>在任意游戏中240次旋转内中14次5倍及以上大奖</t>
  </si>
  <si>
    <t>12503_0_360_5_21</t>
  </si>
  <si>
    <t>在任意游戏中360次旋转内中21次5倍及以上大奖</t>
  </si>
  <si>
    <t>12503_0_120_5_10</t>
  </si>
  <si>
    <t>在任意游戏中120次旋转内中10次5倍及以上大奖</t>
  </si>
  <si>
    <t>12503_0_240_5_20</t>
  </si>
  <si>
    <t>在任意游戏中240次旋转内中20次5倍及以上大奖</t>
  </si>
  <si>
    <t>12503_0_360_5_30</t>
  </si>
  <si>
    <t>在任意游戏中360次旋转内中30次5倍及以上大奖</t>
  </si>
  <si>
    <t>12503_0_120_10_2</t>
  </si>
  <si>
    <t>在任意游戏中120次旋转内中2次10倍及以上大奖</t>
  </si>
  <si>
    <t>12503_0_240_10_4</t>
  </si>
  <si>
    <t>在任意游戏中240次旋转内中4次10倍及以上大奖</t>
  </si>
  <si>
    <t>12503_0_360_10_6</t>
  </si>
  <si>
    <t>在任意游戏中360次旋转内中6次10倍及以上大奖</t>
  </si>
  <si>
    <t>12503_0_120_10_3</t>
  </si>
  <si>
    <t>在任意游戏中120次旋转内中3次10倍及以上大奖</t>
  </si>
  <si>
    <t>12503_0_240_10_6</t>
  </si>
  <si>
    <t>在任意游戏中240次旋转内中6次10倍及以上大奖</t>
  </si>
  <si>
    <t>12503_0_360_10_9</t>
  </si>
  <si>
    <t>在任意游戏中360次旋转内中9次10倍及以上大奖</t>
  </si>
  <si>
    <t>12503_0_120_10_4</t>
  </si>
  <si>
    <t>在任意游戏中120次旋转内中4次10倍及以上大奖</t>
  </si>
  <si>
    <t>12503_0_240_10_8</t>
  </si>
  <si>
    <t>在任意游戏中240次旋转内中8次10倍及以上大奖</t>
  </si>
  <si>
    <t>12503_0_360_10_12</t>
  </si>
  <si>
    <t>在任意游戏中360次旋转内中12次10倍及以上大奖</t>
  </si>
  <si>
    <t>12503_0_240_20_2</t>
  </si>
  <si>
    <t>在任意游戏中240次旋转内中2次20倍及以上大奖</t>
  </si>
  <si>
    <t>12503_0_360_20_3</t>
  </si>
  <si>
    <t>在任意游戏中360次旋转内中3次20倍及以上大奖</t>
  </si>
  <si>
    <t>12503_0_480_20_4</t>
  </si>
  <si>
    <t>在任意游戏中480次旋转内中4次20倍及以上大奖</t>
  </si>
  <si>
    <t>12503_0_240_20_3</t>
  </si>
  <si>
    <t>在任意游戏中240次旋转内中3次20倍及以上大奖</t>
  </si>
  <si>
    <t>12503_0_360_20_5</t>
  </si>
  <si>
    <t>在任意游戏中360次旋转内中5次20倍及以上大奖</t>
  </si>
  <si>
    <t>12503_0_480_20_6</t>
  </si>
  <si>
    <t>在任意游戏中480次旋转内中6次20倍及以上大奖</t>
  </si>
  <si>
    <t>12504_0_60_100000</t>
  </si>
  <si>
    <t>1_2</t>
  </si>
  <si>
    <t>在任意游戏中60次旋转累计下注100000</t>
  </si>
  <si>
    <t>12504_0_120_200000</t>
  </si>
  <si>
    <t>在任意游戏中120次旋转累计下注200000</t>
  </si>
  <si>
    <t>12504_0_180_300000</t>
  </si>
  <si>
    <t>在任意游戏中180次旋转累计下注300000</t>
  </si>
  <si>
    <t>12504_0_60_10000000</t>
  </si>
  <si>
    <t>在任意游戏中60次旋转累计下注10000000</t>
  </si>
  <si>
    <t>12504_0_120_20000000</t>
  </si>
  <si>
    <t>在任意游戏中120次旋转累计下注20000000</t>
  </si>
  <si>
    <t>12504_0_180_30000000</t>
  </si>
  <si>
    <t>在任意游戏中180次旋转累计下注30000000</t>
  </si>
  <si>
    <t>12504_0_60_100000000</t>
  </si>
  <si>
    <t>在任意游戏中60次旋转累计下注100000000</t>
  </si>
  <si>
    <t>12504_0_120_200000000</t>
  </si>
  <si>
    <t>在任意游戏中120次旋转累计下注200000000</t>
  </si>
  <si>
    <t>12504_0_180_300000000</t>
  </si>
  <si>
    <t>在任意游戏中180次旋转累计下注300000000</t>
  </si>
  <si>
    <t>联盟任务</t>
  </si>
  <si>
    <t>12301_0_1_5_1</t>
  </si>
  <si>
    <t>1024011_50|1024012_50</t>
  </si>
  <si>
    <t>中1次5倍奖励</t>
  </si>
  <si>
    <t>12301_0_1_5_3</t>
  </si>
  <si>
    <t>1024011_150|1024012_150</t>
  </si>
  <si>
    <t>中3次5倍奖励</t>
  </si>
  <si>
    <t>12301_0_1_5_5</t>
  </si>
  <si>
    <t>1024011_250|1024012_250</t>
  </si>
  <si>
    <t>中5次5倍奖励</t>
  </si>
  <si>
    <t>12301_0_1_5_10</t>
  </si>
  <si>
    <t>1024011_500|1024012_500</t>
  </si>
  <si>
    <t>中10次5倍奖励</t>
  </si>
  <si>
    <t>12301_0_1_5_20</t>
  </si>
  <si>
    <t>1024011_1000|1024012_1000</t>
  </si>
  <si>
    <t>中20次5倍奖励</t>
  </si>
  <si>
    <t>12301_0_1_5_30</t>
  </si>
  <si>
    <t>1024011_1500|1024012_1500</t>
  </si>
  <si>
    <t>中30次5倍奖励</t>
  </si>
  <si>
    <t>12301_0_1_5_50</t>
  </si>
  <si>
    <t>1024011_2500|1024012_2500</t>
  </si>
  <si>
    <t>中50次5倍奖励</t>
  </si>
  <si>
    <t>12301_0_1_10_1</t>
  </si>
  <si>
    <t>1024011_100|1024012_100</t>
  </si>
  <si>
    <t>中1次10倍奖励</t>
  </si>
  <si>
    <t>12301_0_1_10_3</t>
  </si>
  <si>
    <t>1024011_300|1024012_300</t>
  </si>
  <si>
    <t>中3次10倍奖励</t>
  </si>
  <si>
    <t>12301_0_1_10_5</t>
  </si>
  <si>
    <t>中5次10倍奖励</t>
  </si>
  <si>
    <t>12301_0_1_10_10</t>
  </si>
  <si>
    <t>中10次10倍奖励</t>
  </si>
  <si>
    <t>12301_0_1_10_20</t>
  </si>
  <si>
    <t>1024011_2000|1024012_2000</t>
  </si>
  <si>
    <t>中20次10倍奖励</t>
  </si>
  <si>
    <t>12301_0_1_10_30</t>
  </si>
  <si>
    <t>1024011_3000|1024012_3000</t>
  </si>
  <si>
    <t>中30次10倍奖励</t>
  </si>
  <si>
    <t>12301_0_1_10_50</t>
  </si>
  <si>
    <t>1024011_5000|1024012_5000</t>
  </si>
  <si>
    <t>中50次10倍奖励</t>
  </si>
  <si>
    <t>12301_0_1_20_1</t>
  </si>
  <si>
    <t>1024011_500|1024012_100</t>
  </si>
  <si>
    <t>中1次20倍奖励</t>
  </si>
  <si>
    <t>12301_0_1_20_3</t>
  </si>
  <si>
    <t>1024011_1500|1024012_300</t>
  </si>
  <si>
    <t>中3次20倍奖励</t>
  </si>
  <si>
    <t>12301_0_1_20_5</t>
  </si>
  <si>
    <t>1024011_2500|1024012_500</t>
  </si>
  <si>
    <t>中5次20倍奖励</t>
  </si>
  <si>
    <t>12301_0_1_20_10</t>
  </si>
  <si>
    <t>1024011_5000|1024012_1000</t>
  </si>
  <si>
    <t>中10次20倍奖励</t>
  </si>
  <si>
    <t>12301_0_1_20_20</t>
  </si>
  <si>
    <t>1024011_10000|1024012_2000</t>
  </si>
  <si>
    <t>中20次20倍奖励</t>
  </si>
  <si>
    <t>12301_0_1_20_30</t>
  </si>
  <si>
    <t>1024011_15000|1024012_3000</t>
  </si>
  <si>
    <t>中30次20倍奖励</t>
  </si>
  <si>
    <t>12301_0_1_20_50</t>
  </si>
  <si>
    <t>1024011_25000|1024012_5000</t>
  </si>
  <si>
    <t>中50次20倍奖励</t>
  </si>
  <si>
    <t>12302_0_1_10</t>
  </si>
  <si>
    <t>1024011_20|1024012_20</t>
  </si>
  <si>
    <t>下注10次</t>
  </si>
  <si>
    <t>12302_0_1_20</t>
  </si>
  <si>
    <t>1024011_40|1024012_40</t>
  </si>
  <si>
    <t>下注20次</t>
  </si>
  <si>
    <t>12302_0_1_50</t>
  </si>
  <si>
    <t>下注50次</t>
  </si>
  <si>
    <t>12302_0_1_80</t>
  </si>
  <si>
    <t>1024011_160|1024012_160</t>
  </si>
  <si>
    <t>下注80次</t>
  </si>
  <si>
    <t>12302_0_1_100</t>
  </si>
  <si>
    <t>1024011_200|1024012_200</t>
  </si>
  <si>
    <t>下注100次</t>
  </si>
  <si>
    <t>12302_0_1_200</t>
  </si>
  <si>
    <t>1024011_400|1024012_400</t>
  </si>
  <si>
    <t>下注200次</t>
  </si>
  <si>
    <t>12302_0_1_300</t>
  </si>
  <si>
    <t>1024011_600|1024012_600</t>
  </si>
  <si>
    <t>下注300次</t>
  </si>
  <si>
    <t>12302_0_1_500</t>
  </si>
  <si>
    <t>下注500次</t>
  </si>
  <si>
    <t>12302_0_1_800</t>
  </si>
  <si>
    <t>1024011_1600|1024012_1600</t>
  </si>
  <si>
    <t>下注800次</t>
  </si>
  <si>
    <t>12302_0_1_1000</t>
  </si>
  <si>
    <t>下注1000次</t>
  </si>
  <si>
    <t>12303_0_5</t>
  </si>
  <si>
    <t>卡池抽奖5次</t>
  </si>
  <si>
    <t>12303_0_10</t>
  </si>
  <si>
    <t>卡池抽奖10次</t>
  </si>
  <si>
    <t>12303_0_20</t>
  </si>
  <si>
    <t>卡池抽奖20次</t>
  </si>
  <si>
    <t>12303_0_30</t>
  </si>
  <si>
    <t>卡池抽奖30次</t>
  </si>
  <si>
    <t>12303_0_50</t>
  </si>
  <si>
    <t>卡池抽奖50次</t>
  </si>
  <si>
    <t>12303_0_100</t>
  </si>
  <si>
    <t>卡池抽奖100次</t>
  </si>
  <si>
    <t>12303_0_150</t>
  </si>
  <si>
    <t>卡池抽奖150次</t>
  </si>
  <si>
    <t>12305_0_2</t>
  </si>
  <si>
    <t>联盟捐献2次</t>
  </si>
  <si>
    <t>12305_0_4</t>
  </si>
  <si>
    <t>联盟捐献4次</t>
  </si>
  <si>
    <t>12305_0_6</t>
  </si>
  <si>
    <t>联盟捐献6次</t>
  </si>
  <si>
    <t>12305_0_8</t>
  </si>
  <si>
    <t>联盟捐献8次</t>
  </si>
  <si>
    <t>12305_0_10</t>
  </si>
  <si>
    <t>联盟捐献10次</t>
  </si>
  <si>
    <t>12305_0_12</t>
  </si>
  <si>
    <t>联盟捐献12次</t>
  </si>
  <si>
    <t>12305_0_15</t>
  </si>
  <si>
    <t>1024011_750|1024012_750</t>
  </si>
  <si>
    <t>联盟捐献15次</t>
  </si>
  <si>
    <t>12304_0_5</t>
  </si>
  <si>
    <t>技能研究5次</t>
  </si>
  <si>
    <t>12304_0_10</t>
  </si>
  <si>
    <t>技能研究10次</t>
  </si>
  <si>
    <t>12304_0_15</t>
  </si>
  <si>
    <t>技能研究15次</t>
  </si>
  <si>
    <t>12304_0_20</t>
  </si>
  <si>
    <t>1024011_800|1024012_800</t>
  </si>
  <si>
    <t>技能研究20次</t>
  </si>
  <si>
    <t>12304_0_25</t>
  </si>
  <si>
    <t>技能研究25次</t>
  </si>
  <si>
    <t>12304_0_30</t>
  </si>
  <si>
    <t>1024011_1200|1024012_1200</t>
  </si>
  <si>
    <t>技能研究30次</t>
  </si>
  <si>
    <t>12206_0_5</t>
  </si>
  <si>
    <t>建筑升级5次</t>
  </si>
  <si>
    <t>12206_0_10</t>
  </si>
  <si>
    <t>建筑升级10次</t>
  </si>
  <si>
    <t>12206_0_15</t>
  </si>
  <si>
    <t>建筑升级15次</t>
  </si>
  <si>
    <t>12206_0_20</t>
  </si>
  <si>
    <t>建筑升级20次</t>
  </si>
  <si>
    <t>12206_0_25</t>
  </si>
  <si>
    <t>建筑升级25次</t>
  </si>
  <si>
    <t>12206_0_30</t>
  </si>
  <si>
    <t>建筑升级30次</t>
  </si>
  <si>
    <t>12306_0_1_1990000_100000</t>
  </si>
  <si>
    <t>游戏中累计赢奖100000</t>
  </si>
  <si>
    <t>12306_0_1_1990000_200000</t>
  </si>
  <si>
    <t>游戏中累计赢奖200000</t>
  </si>
  <si>
    <t>12306_0_1_1990000_300000</t>
  </si>
  <si>
    <t>1024011_60|1024012_60</t>
  </si>
  <si>
    <t>游戏中累计赢奖300000</t>
  </si>
  <si>
    <t>12306_0_1_1990000_500000</t>
  </si>
  <si>
    <t>游戏中累计赢奖500000</t>
  </si>
  <si>
    <t>12306_0_1_1990000_800000</t>
  </si>
  <si>
    <t>游戏中累计赢奖800000</t>
  </si>
  <si>
    <t>12306_0_1_1990000_1000000</t>
  </si>
  <si>
    <t>游戏中累计赢奖1000000</t>
  </si>
  <si>
    <t>12306_0_1_1990000_1500000</t>
  </si>
  <si>
    <t>游戏中累计赢奖1500000</t>
  </si>
  <si>
    <t>12306_0_1_1990000_2000000</t>
  </si>
  <si>
    <t>游戏中累计赢奖2000000</t>
  </si>
  <si>
    <t>12306_0_1_1990000_2500000</t>
  </si>
  <si>
    <t>游戏中累计赢奖2500000</t>
  </si>
  <si>
    <t>12306_0_1_1990000_3000000</t>
  </si>
  <si>
    <t>游戏中累计赢奖3000000</t>
  </si>
  <si>
    <t>12306_0_1_1990000_4000000</t>
  </si>
  <si>
    <t>游戏中累计赢奖4000000</t>
  </si>
  <si>
    <t>12306_0_1_1990000_5000000</t>
  </si>
  <si>
    <t>游戏中累计赢奖5000000</t>
  </si>
  <si>
    <t>12307_0_500</t>
  </si>
  <si>
    <t>累计充值金额5</t>
  </si>
  <si>
    <t>12307_0_1000</t>
  </si>
  <si>
    <t>累计充值金额10</t>
  </si>
  <si>
    <t>12307_0_2000</t>
  </si>
  <si>
    <t>累计充值金额20</t>
  </si>
  <si>
    <t>12307_0_3000</t>
  </si>
  <si>
    <t>累计充值金额30</t>
  </si>
  <si>
    <t>12307_0_5000</t>
  </si>
  <si>
    <t>累计充值金额50</t>
  </si>
  <si>
    <t>12307_0_10000</t>
  </si>
  <si>
    <t>1024011_4000|1024012_4000</t>
  </si>
  <si>
    <t>累计充值金额100</t>
  </si>
  <si>
    <t>试炼任务</t>
  </si>
  <si>
    <t>12601_100300_400</t>
  </si>
  <si>
    <t>1960000_50</t>
  </si>
  <si>
    <t>5局收益达到400</t>
  </si>
  <si>
    <t>12601_100300_600</t>
  </si>
  <si>
    <t>1960000_100</t>
  </si>
  <si>
    <t>5局收益达到600</t>
  </si>
  <si>
    <t>12601_100300_800</t>
  </si>
  <si>
    <t>1960000_200</t>
  </si>
  <si>
    <t>5局收益达到800</t>
  </si>
  <si>
    <t>12602_2_1</t>
  </si>
  <si>
    <t>100局触发一次樱桃</t>
  </si>
  <si>
    <t>12602_2_2</t>
  </si>
  <si>
    <t>100局触发二次樱桃</t>
  </si>
  <si>
    <t>12602_2_3</t>
  </si>
  <si>
    <t>100局触发三次樱桃</t>
  </si>
  <si>
    <t>12603_100300_1</t>
  </si>
  <si>
    <t>30局触发1次2倍奖励</t>
  </si>
  <si>
    <t>12603_100300_2</t>
  </si>
  <si>
    <t>30局触发2次2倍奖励</t>
  </si>
  <si>
    <t>12603_100300_3</t>
  </si>
  <si>
    <t>30局触发3次2倍奖励</t>
  </si>
  <si>
    <t>12604_100300_1</t>
  </si>
  <si>
    <t>5局内中奖1次</t>
  </si>
  <si>
    <t>12604_100300_2</t>
  </si>
  <si>
    <t>5局内中奖2次</t>
  </si>
  <si>
    <t>12604_100300_3</t>
  </si>
  <si>
    <t>5局内中奖3次</t>
  </si>
  <si>
    <t>12611_100300_1</t>
  </si>
  <si>
    <t>50局触发1次5倍奖励</t>
  </si>
  <si>
    <t>12611_100300_2</t>
  </si>
  <si>
    <t>50局触发2次5倍奖励</t>
  </si>
  <si>
    <t>12611_100300_3</t>
  </si>
  <si>
    <t>50局触发3次5倍奖励</t>
  </si>
  <si>
    <t>12605_4_1</t>
  </si>
  <si>
    <t>5局出现铃铛图标1次</t>
  </si>
  <si>
    <t>12605_4_2</t>
  </si>
  <si>
    <t>5局出现铃铛图标2次</t>
  </si>
  <si>
    <t>12605_4_3</t>
  </si>
  <si>
    <t>5局出现铃铛图标3次</t>
  </si>
  <si>
    <r>
      <rPr>
        <sz val="11"/>
        <color theme="1"/>
        <rFont val="微软雅黑"/>
        <charset val="134"/>
      </rPr>
      <t>自由搭配，</t>
    </r>
    <r>
      <rPr>
        <sz val="10.5"/>
        <color theme="1"/>
        <rFont val="微软雅黑"/>
        <charset val="134"/>
      </rPr>
      <t>5局总收益≥800</t>
    </r>
  </si>
  <si>
    <t>12601_100300_1000</t>
  </si>
  <si>
    <r>
      <rPr>
        <sz val="11"/>
        <color theme="1"/>
        <rFont val="微软雅黑"/>
        <charset val="134"/>
      </rPr>
      <t>自由搭配，</t>
    </r>
    <r>
      <rPr>
        <sz val="10.5"/>
        <color theme="1"/>
        <rFont val="微软雅黑"/>
        <charset val="134"/>
      </rPr>
      <t>5局总收益≥1000</t>
    </r>
  </si>
  <si>
    <t>12601_100300_1200</t>
  </si>
  <si>
    <t>自由搭配，5局总收益≥1200</t>
  </si>
  <si>
    <t>12606_100300_200</t>
  </si>
  <si>
    <r>
      <rPr>
        <sz val="11"/>
        <color theme="1"/>
        <rFont val="微软雅黑"/>
        <charset val="134"/>
      </rPr>
      <t>3</t>
    </r>
    <r>
      <rPr>
        <sz val="10.5"/>
        <color theme="1"/>
        <rFont val="微软雅黑"/>
        <charset val="134"/>
      </rPr>
      <t>局内单局最高收益≥200</t>
    </r>
  </si>
  <si>
    <t>12606_100300_300</t>
  </si>
  <si>
    <r>
      <rPr>
        <sz val="11"/>
        <color theme="1"/>
        <rFont val="微软雅黑"/>
        <charset val="134"/>
      </rPr>
      <t>3</t>
    </r>
    <r>
      <rPr>
        <sz val="10.5"/>
        <color theme="1"/>
        <rFont val="微软雅黑"/>
        <charset val="134"/>
      </rPr>
      <t>局内单局最高收益≥300</t>
    </r>
  </si>
  <si>
    <t>12606_100300_400</t>
  </si>
  <si>
    <r>
      <rPr>
        <sz val="11"/>
        <color theme="1"/>
        <rFont val="微软雅黑"/>
        <charset val="134"/>
      </rPr>
      <t>3</t>
    </r>
    <r>
      <rPr>
        <sz val="10.5"/>
        <color theme="1"/>
        <rFont val="微软雅黑"/>
        <charset val="134"/>
      </rPr>
      <t>局内单局最高收益≥400</t>
    </r>
  </si>
  <si>
    <t>11002_0_5</t>
  </si>
  <si>
    <t>11002_0_10</t>
  </si>
  <si>
    <t>11002_0_20</t>
  </si>
  <si>
    <t>游戏成就</t>
  </si>
  <si>
    <t>萌宠小队</t>
  </si>
  <si>
    <t>12207_1101_10</t>
  </si>
  <si>
    <t>1990000_1000000</t>
  </si>
  <si>
    <t>jzdj.png</t>
  </si>
  <si>
    <t>[愤怒的小鸟]建筑&lt;color=#00bfff&gt;等级达到10级&lt;/color&gt;</t>
  </si>
  <si>
    <t>12207_1101_20</t>
  </si>
  <si>
    <t>1990000_2000000</t>
  </si>
  <si>
    <t>[愤怒的小鸟]建筑&lt;color=#00bfff&gt;等级达到20级&lt;/color&gt;</t>
  </si>
  <si>
    <t>12207_1101_30</t>
  </si>
  <si>
    <t>1990000_4000000</t>
  </si>
  <si>
    <t>[愤怒的小鸟]建筑&lt;color=#00bfff&gt;等级达到30级&lt;/color&gt;</t>
  </si>
  <si>
    <t>12207_1101_40</t>
  </si>
  <si>
    <t>1990000_8000000</t>
  </si>
  <si>
    <t>[愤怒的小鸟]建筑&lt;color=#00bfff&gt;等级达到40级&lt;/color&gt;</t>
  </si>
  <si>
    <t>12207_1101_50</t>
  </si>
  <si>
    <t>1990000_16000000</t>
  </si>
  <si>
    <t>[愤怒的小鸟]建筑&lt;color=#00bfff&gt;等级达到50级&lt;/color&gt;</t>
  </si>
  <si>
    <t>12207_1101_60</t>
  </si>
  <si>
    <t>1990000_32000000</t>
  </si>
  <si>
    <t>[愤怒的小鸟]建筑&lt;color=#00bfff&gt;等级达到60级&lt;/color&gt;</t>
  </si>
  <si>
    <t>12269_103900_5000</t>
  </si>
  <si>
    <t>jnzl.png</t>
  </si>
  <si>
    <t>[愤怒的小鸟]游戏&lt;color=#00bfff&gt;技能战力达到5000以上&lt;/color&gt;</t>
  </si>
  <si>
    <t>12269_103900_10000</t>
  </si>
  <si>
    <t>[愤怒的小鸟]游戏&lt;color=#00bfff&gt;技能战力达到10000以上&lt;/color&gt;</t>
  </si>
  <si>
    <t>12269_103900_20000</t>
  </si>
  <si>
    <t>[愤怒的小鸟]游戏&lt;color=#00bfff&gt;技能战力达到20000以上&lt;/color&gt;</t>
  </si>
  <si>
    <t>12269_103900_40000</t>
  </si>
  <si>
    <t>[愤怒的小鸟]游戏&lt;color=#00bfff&gt;技能战力达到40000以上&lt;/color&gt;</t>
  </si>
  <si>
    <t>12269_103900_70000</t>
  </si>
  <si>
    <t>[愤怒的小鸟]游戏&lt;color=#00bfff&gt;技能战力达到70000以上&lt;/color&gt;</t>
  </si>
  <si>
    <t>12269_103900_100000</t>
  </si>
  <si>
    <t>[愤怒的小鸟]游戏&lt;color=#00bfff&gt;技能战力达到100000以上&lt;/color&gt;</t>
  </si>
  <si>
    <t>12252_103900_1_10</t>
  </si>
  <si>
    <t>dj.png</t>
  </si>
  <si>
    <t>在[愤怒的小鸟]SLOT游戏中&lt;color=#00bfff&gt;触发10次SWEET WIN奖&lt;/color&gt;</t>
  </si>
  <si>
    <t>12252_103900_1_20</t>
  </si>
  <si>
    <t>在[愤怒的小鸟]SLOT游戏中&lt;color=#00bfff&gt;触发20次SWEET WIN奖&lt;/color&gt;</t>
  </si>
  <si>
    <t>12252_103900_1_30</t>
  </si>
  <si>
    <t>在[愤怒的小鸟]SLOT游戏中&lt;color=#00bfff&gt;触发30次SWEET WIN奖&lt;/color&gt;</t>
  </si>
  <si>
    <t>12252_103900_1_40</t>
  </si>
  <si>
    <t>在[愤怒的小鸟]SLOT游戏中&lt;color=#00bfff&gt;触发40次SWEET WIN奖&lt;/color&gt;</t>
  </si>
  <si>
    <t>12252_103900_1_50</t>
  </si>
  <si>
    <t>在[愤怒的小鸟]SLOT游戏中&lt;color=#00bfff&gt;触发50次SWEET WIN奖&lt;/color&gt;</t>
  </si>
  <si>
    <t>12252_103900_1_60</t>
  </si>
  <si>
    <t>在[愤怒的小鸟]SLOT游戏中&lt;color=#00bfff&gt;触发60次SWEET WIN奖&lt;/color&gt;</t>
  </si>
  <si>
    <t>12272_103900_200</t>
  </si>
  <si>
    <t>tzcs.png</t>
  </si>
  <si>
    <t>在[愤怒的小鸟]SLOT游戏中&lt;color=#00bfff&gt;投注200次&lt;/color&gt;</t>
  </si>
  <si>
    <t>12272_103900_500</t>
  </si>
  <si>
    <t>在[愤怒的小鸟]SLOT游戏中&lt;color=#00bfff&gt;投注500次&lt;/color&gt;</t>
  </si>
  <si>
    <t>12272_103900_1000</t>
  </si>
  <si>
    <t>在[愤怒的小鸟]SLOT游戏中&lt;color=#00bfff&gt;投注1000次&lt;/color&gt;</t>
  </si>
  <si>
    <t>12272_103900_2000</t>
  </si>
  <si>
    <t>在[愤怒的小鸟]SLOT游戏中&lt;color=#00bfff&gt;投注2000次&lt;/color&gt;</t>
  </si>
  <si>
    <t>12272_103900_5000</t>
  </si>
  <si>
    <t>在[愤怒的小鸟]SLOT游戏中&lt;color=#00bfff&gt;投注5000次&lt;/color&gt;</t>
  </si>
  <si>
    <t>12272_103900_10000</t>
  </si>
  <si>
    <t>在[愤怒的小鸟]SLOT游戏中&lt;color=#00bfff&gt;投注10000次&lt;/color&gt;</t>
  </si>
  <si>
    <t>12254_103900_1</t>
  </si>
  <si>
    <t>mfyx.png</t>
  </si>
  <si>
    <t>在[愤怒的小鸟]SLOT游戏中旋转&lt;color=#00bfff&gt;触发1次免费模式&lt;/color&gt;</t>
  </si>
  <si>
    <t>12254_103900_2</t>
  </si>
  <si>
    <t>在[愤怒的小鸟]SLOT游戏中旋转&lt;color=#00bfff&gt;触发2次免费模式&lt;/color&gt;</t>
  </si>
  <si>
    <t>12254_103900_5</t>
  </si>
  <si>
    <t>在[愤怒的小鸟]SLOT游戏中旋转&lt;color=#00bfff&gt;触发5次免费模式&lt;/color&gt;</t>
  </si>
  <si>
    <t>12254_103900_10</t>
  </si>
  <si>
    <t>在[愤怒的小鸟]SLOT游戏中旋转&lt;color=#00bfff&gt;触发10次免费模式&lt;/color&gt;</t>
  </si>
  <si>
    <t>12254_103900_20</t>
  </si>
  <si>
    <t>在[愤怒的小鸟]SLOT游戏中旋转&lt;color=#00bfff&gt;触发20次免费模式&lt;/color&gt;</t>
  </si>
  <si>
    <t>12254_103900_50</t>
  </si>
  <si>
    <t>在[愤怒的小鸟]SLOT游戏中旋转&lt;color=#00bfff&gt;触发50次免费模式&lt;/color&gt;</t>
  </si>
  <si>
    <t>12251_103900_1024081_1</t>
  </si>
  <si>
    <t>hqzsyjd.png</t>
  </si>
  <si>
    <t>在[愤怒的小鸟]SLOT游戏中旋转获得&lt;color=#00bfff&gt;1个专属研究点&lt;/color&gt;</t>
  </si>
  <si>
    <t>12251_103900_1024081_2</t>
  </si>
  <si>
    <t>在[愤怒的小鸟]SLOT游戏中旋转获得&lt;color=#00bfff&gt;2个专属研究点&lt;/color&gt;</t>
  </si>
  <si>
    <t>12251_103900_1024081_3</t>
  </si>
  <si>
    <t>在[愤怒的小鸟]SLOT游戏中旋转获得&lt;color=#00bfff&gt;3个专属研究点&lt;/color&gt;</t>
  </si>
  <si>
    <t>12251_103900_1024081_4</t>
  </si>
  <si>
    <t>在[愤怒的小鸟]SLOT游戏中旋转获得&lt;color=#00bfff&gt;4个专属研究点&lt;/color&gt;</t>
  </si>
  <si>
    <t>12251_103900_1024081_5</t>
  </si>
  <si>
    <t>在[愤怒的小鸟]SLOT游戏中旋转获得&lt;color=#00bfff&gt;5个专属研究点&lt;/color&gt;</t>
  </si>
  <si>
    <t>12251_103900_1024081_6</t>
  </si>
  <si>
    <t>在[愤怒的小鸟]SLOT游戏中旋转获得&lt;color=#00bfff&gt;6个专属研究点&lt;/color&gt;</t>
  </si>
  <si>
    <t>12274_103900_1990000_500000</t>
  </si>
  <si>
    <t>yqjb.png</t>
  </si>
  <si>
    <t>在[愤怒的小鸟]SLOT游戏中&lt;color=#00bfff&gt;赢取50万金币&lt;/color&gt;</t>
  </si>
  <si>
    <t>12274_103900_1990000_1000000</t>
  </si>
  <si>
    <t>在[愤怒的小鸟]SLOT游戏中&lt;color=#00bfff&gt;赢取100万金币&lt;/color&gt;</t>
  </si>
  <si>
    <t>12274_103900_1990000_2000000</t>
  </si>
  <si>
    <t>1990000_3000000</t>
  </si>
  <si>
    <t>在[愤怒的小鸟]SLOT游戏中&lt;color=#00bfff&gt;赢取200万金币&lt;/color&gt;</t>
  </si>
  <si>
    <t>12274_103900_1990000_3000000</t>
  </si>
  <si>
    <t>在[愤怒的小鸟]SLOT游戏中&lt;color=#00bfff&gt;赢取300万金币&lt;/color&gt;</t>
  </si>
  <si>
    <t>12274_103900_1990000_5000000</t>
  </si>
  <si>
    <t>1990000_5000000</t>
  </si>
  <si>
    <t>在[愤怒的小鸟]SLOT游戏中&lt;color=#00bfff&gt;赢取500万金币&lt;/color&gt;</t>
  </si>
  <si>
    <t>12274_103900_1990000_10000000</t>
  </si>
  <si>
    <t>1990000_6000000</t>
  </si>
  <si>
    <t>在[愤怒的小鸟]SLOT游戏中&lt;color=#00bfff&gt;赢取1000万金币&lt;/color&gt;</t>
  </si>
  <si>
    <t>12274_103900_1990000_20000000</t>
  </si>
  <si>
    <t>1990000_7000000</t>
  </si>
  <si>
    <t>在[愤怒的小鸟]SLOT游戏中&lt;color=#00bfff&gt;赢取2000万金币&lt;/color&gt;</t>
  </si>
  <si>
    <t>12274_103900_1990000_50000000</t>
  </si>
  <si>
    <t>在[愤怒的小鸟]SLOT游戏中&lt;color=#00bfff&gt;赢取5000万金币&lt;/color&gt;</t>
  </si>
  <si>
    <t>12253_103900_1_1</t>
  </si>
  <si>
    <t>jc.png</t>
  </si>
  <si>
    <t>在[愤怒的小鸟]SLOT游戏中&lt;color=#00bfff&gt;触发1次MINI奖池&lt;/color&gt;</t>
  </si>
  <si>
    <t>12253_103900_1_2</t>
  </si>
  <si>
    <t>在[愤怒的小鸟]SLOT游戏中&lt;color=#00bfff&gt;触发2次MINI奖池&lt;/color&gt;</t>
  </si>
  <si>
    <t>12253_103900_1_3</t>
  </si>
  <si>
    <t>在[愤怒的小鸟]SLOT游戏中&lt;color=#00bfff&gt;触发3次MINI奖池&lt;/color&gt;</t>
  </si>
  <si>
    <t>12253_103900_1_4</t>
  </si>
  <si>
    <t>在[愤怒的小鸟]SLOT游戏中&lt;color=#00bfff&gt;触发4次MINI奖池&lt;/color&gt;</t>
  </si>
  <si>
    <t>12253_103900_1_5</t>
  </si>
  <si>
    <t>在[愤怒的小鸟]SLOT游戏中&lt;color=#00bfff&gt;触发5次MINI奖池&lt;/color&gt;</t>
  </si>
  <si>
    <t>12253_103900_1_6</t>
  </si>
  <si>
    <t>在[愤怒的小鸟]SLOT游戏中&lt;color=#00bfff&gt;触发6次MINI奖池&lt;/color&gt;</t>
  </si>
  <si>
    <t>象财神</t>
  </si>
  <si>
    <t>12207_1102_10</t>
  </si>
  <si>
    <t>[象财神]建筑&lt;color=#00bfff&gt;等级达到10级&lt;/color&gt;</t>
  </si>
  <si>
    <t>12207_1102_20</t>
  </si>
  <si>
    <t>[象财神]建筑&lt;color=#00bfff&gt;等级达到20级&lt;/color&gt;</t>
  </si>
  <si>
    <t>12207_1102_30</t>
  </si>
  <si>
    <t>[象财神]建筑&lt;color=#00bfff&gt;等级达到30级&lt;/color&gt;</t>
  </si>
  <si>
    <t>12207_1102_40</t>
  </si>
  <si>
    <t>[象财神]建筑&lt;color=#00bfff&gt;等级达到40级&lt;/color&gt;</t>
  </si>
  <si>
    <t>12207_1102_50</t>
  </si>
  <si>
    <t>[象财神]建筑&lt;color=#00bfff&gt;等级达到50级&lt;/color&gt;</t>
  </si>
  <si>
    <t>12207_1102_60</t>
  </si>
  <si>
    <t>[象财神]建筑&lt;color=#00bfff&gt;等级达到60级&lt;/color&gt;</t>
  </si>
  <si>
    <t>12269_102700_5000</t>
  </si>
  <si>
    <t>[象财神]游戏&lt;color=#00bfff&gt;技能战力达到5000以上&lt;/color&gt;</t>
  </si>
  <si>
    <t>12269_102700_10000</t>
  </si>
  <si>
    <t>[象财神]游戏&lt;color=#00bfff&gt;技能战力达到10000以上&lt;/color&gt;</t>
  </si>
  <si>
    <t>12269_102700_20000</t>
  </si>
  <si>
    <t>[象财神]游戏&lt;color=#00bfff&gt;技能战力达到20000以上&lt;/color&gt;</t>
  </si>
  <si>
    <t>12269_102700_40000</t>
  </si>
  <si>
    <t>[象财神]游戏&lt;color=#00bfff&gt;技能战力达到40000以上&lt;/color&gt;</t>
  </si>
  <si>
    <t>12269_102700_70000</t>
  </si>
  <si>
    <t>[象财神]游戏&lt;color=#00bfff&gt;技能战力达到70000以上&lt;/color&gt;</t>
  </si>
  <si>
    <t>12269_102700_90000</t>
  </si>
  <si>
    <t>[象财神]游戏&lt;color=#00bfff&gt;技能战力达到94000以上&lt;/color&gt;</t>
  </si>
  <si>
    <t>12252_102700_1_10</t>
  </si>
  <si>
    <t>在[象财神]SLOT游戏中&lt;color=#00bfff&gt;触发10次SWEET WIN奖&lt;/color&gt;</t>
  </si>
  <si>
    <t>12252_102700_1_20</t>
  </si>
  <si>
    <t>在[象财神]SLOT游戏中&lt;color=#00bfff&gt;触发20次SWEET WIN奖&lt;/color&gt;</t>
  </si>
  <si>
    <t>12252_102700_1_30</t>
  </si>
  <si>
    <t>在[象财神]SLOT游戏中&lt;color=#00bfff&gt;触发30次SWEET WIN奖&lt;/color&gt;</t>
  </si>
  <si>
    <t>12252_102700_1_40</t>
  </si>
  <si>
    <t>在[象财神]SLOT游戏中&lt;color=#00bfff&gt;触发40次SWEET WIN奖&lt;/color&gt;</t>
  </si>
  <si>
    <t>12252_102700_1_50</t>
  </si>
  <si>
    <t>在[象财神]SLOT游戏中&lt;color=#00bfff&gt;触发50次SWEET WIN奖&lt;/color&gt;</t>
  </si>
  <si>
    <t>12252_102700_1_60</t>
  </si>
  <si>
    <t>在[象财神]SLOT游戏中&lt;color=#00bfff&gt;触发60次SWEET WIN奖&lt;/color&gt;</t>
  </si>
  <si>
    <t>12272_102700_200</t>
  </si>
  <si>
    <t>在[象财神]SLOT游戏中&lt;color=#00bfff&gt;投注200次&lt;/color&gt;</t>
  </si>
  <si>
    <t>12272_102700_500</t>
  </si>
  <si>
    <t>在[象财神]SLOT游戏中&lt;color=#00bfff&gt;投注500次&lt;/color&gt;</t>
  </si>
  <si>
    <t>12272_102700_1000</t>
  </si>
  <si>
    <t>在[象财神]SLOT游戏中&lt;color=#00bfff&gt;投注1000次&lt;/color&gt;</t>
  </si>
  <si>
    <t>12272_102700_2000</t>
  </si>
  <si>
    <t>在[象财神]SLOT游戏中&lt;color=#00bfff&gt;投注2000次&lt;/color&gt;</t>
  </si>
  <si>
    <t>12272_102700_5000</t>
  </si>
  <si>
    <t>在[象财神]SLOT游戏中&lt;color=#00bfff&gt;投注5000次&lt;/color&gt;</t>
  </si>
  <si>
    <t>12272_102700_10000</t>
  </si>
  <si>
    <t>在[象财神]SLOT游戏中&lt;color=#00bfff&gt;投注10000次&lt;/color&gt;</t>
  </si>
  <si>
    <t>12254_102700_1</t>
  </si>
  <si>
    <t>在[象财神]SLOT游戏中旋转&lt;color=#00bfff&gt;触发1次免费模式&lt;/color&gt;</t>
  </si>
  <si>
    <t>12254_102700_2</t>
  </si>
  <si>
    <t>在[象财神]SLOT游戏中旋转&lt;color=#00bfff&gt;触发2次免费模式&lt;/color&gt;</t>
  </si>
  <si>
    <t>12254_102700_5</t>
  </si>
  <si>
    <t>在[象财神]SLOT游戏中旋转&lt;color=#00bfff&gt;触发5次免费模式&lt;/color&gt;</t>
  </si>
  <si>
    <t>12254_102700_10</t>
  </si>
  <si>
    <t>在[象财神]SLOT游戏中旋转&lt;color=#00bfff&gt;触发10次免费模式&lt;/color&gt;</t>
  </si>
  <si>
    <t>12254_102700_20</t>
  </si>
  <si>
    <t>在[象财神]SLOT游戏中旋转&lt;color=#00bfff&gt;触发20次免费模式&lt;/color&gt;</t>
  </si>
  <si>
    <t>12254_102700_50</t>
  </si>
  <si>
    <t>在[象财神]SLOT游戏中旋转&lt;color=#00bfff&gt;触发50次免费模式&lt;/color&gt;</t>
  </si>
  <si>
    <t>12251_102700_1024083_1</t>
  </si>
  <si>
    <t>在[象财神]SLOT游戏中旋转获得&lt;color=#00bfff&gt;1个专属研究点&lt;/color&gt;</t>
  </si>
  <si>
    <t>12251_102700_1024083_2</t>
  </si>
  <si>
    <t>在[象财神]SLOT游戏中旋转获得&lt;color=#00bfff&gt;2个专属研究点&lt;/color&gt;</t>
  </si>
  <si>
    <t>12251_102700_1024083_3</t>
  </si>
  <si>
    <t>在[象财神]SLOT游戏中旋转获得&lt;color=#00bfff&gt;3个专属研究点&lt;/color&gt;</t>
  </si>
  <si>
    <t>12251_102700_1024083_4</t>
  </si>
  <si>
    <t>在[象财神]SLOT游戏中旋转获得&lt;color=#00bfff&gt;4个专属研究点&lt;/color&gt;</t>
  </si>
  <si>
    <t>12251_102700_1024083_5</t>
  </si>
  <si>
    <t>在[象财神]SLOT游戏中旋转获得&lt;color=#00bfff&gt;5个专属研究点&lt;/color&gt;</t>
  </si>
  <si>
    <t>12251_102700_1024083_6</t>
  </si>
  <si>
    <t>在[象财神]SLOT游戏中旋转获得&lt;color=#00bfff&gt;6个专属研究点&lt;/color&gt;</t>
  </si>
  <si>
    <t>12274_102700_1990000_500000</t>
  </si>
  <si>
    <t>在[象财神]SLOT游戏中&lt;color=#00bfff&gt;赢取50万金币&lt;/color&gt;</t>
  </si>
  <si>
    <t>12274_102700_1990000_1000000</t>
  </si>
  <si>
    <t>在[象财神]SLOT游戏中&lt;color=#00bfff&gt;赢取100万金币&lt;/color&gt;</t>
  </si>
  <si>
    <t>12274_102700_1990000_2000000</t>
  </si>
  <si>
    <t>在[象财神]SLOT游戏中&lt;color=#00bfff&gt;赢取200万金币&lt;/color&gt;</t>
  </si>
  <si>
    <t>12274_102700_1990000_3000000</t>
  </si>
  <si>
    <t>在[象财神]SLOT游戏中&lt;color=#00bfff&gt;赢取300万金币&lt;/color&gt;</t>
  </si>
  <si>
    <t>12274_102700_1990000_5000000</t>
  </si>
  <si>
    <t>在[象财神]SLOT游戏中&lt;color=#00bfff&gt;赢取500万金币&lt;/color&gt;</t>
  </si>
  <si>
    <t>12274_102700_1990000_10000000</t>
  </si>
  <si>
    <t>在[象财神]SLOT游戏中&lt;color=#00bfff&gt;赢取1000万金币&lt;/color&gt;</t>
  </si>
  <si>
    <t>12274_102700_1990000_20000000</t>
  </si>
  <si>
    <t>在[象财神]SLOT游戏中&lt;color=#00bfff&gt;赢取2000万金币&lt;/color&gt;</t>
  </si>
  <si>
    <t>12274_102700_1990000_50000000</t>
  </si>
  <si>
    <t>在[象财神]SLOT游戏中&lt;color=#00bfff&gt;赢取5000万金币&lt;/color&gt;</t>
  </si>
  <si>
    <t>12253_102700_1_1</t>
  </si>
  <si>
    <t>在[象财神]SLOT游戏中&lt;color=#00bfff&gt;触发1次MINI奖池&lt;/color&gt;</t>
  </si>
  <si>
    <t>12253_102700_1_2</t>
  </si>
  <si>
    <t>在[象财神]SLOT游戏中&lt;color=#00bfff&gt;触发2次MINI奖池&lt;/color&gt;</t>
  </si>
  <si>
    <t>12253_102700_1_3</t>
  </si>
  <si>
    <t>在[象财神]SLOT游戏中&lt;color=#00bfff&gt;触发3次MINI奖池&lt;/color&gt;</t>
  </si>
  <si>
    <t>12253_102700_1_4</t>
  </si>
  <si>
    <t>在[象财神]SLOT游戏中&lt;color=#00bfff&gt;触发4次MINI奖池&lt;/color&gt;</t>
  </si>
  <si>
    <t>12253_102700_1_5</t>
  </si>
  <si>
    <t>在[象财神]SLOT游戏中&lt;color=#00bfff&gt;触发5次MINI奖池&lt;/color&gt;</t>
  </si>
  <si>
    <t>12253_102700_1_6</t>
  </si>
  <si>
    <t>在[象财神]SLOT游戏中&lt;color=#00bfff&gt;触发6次MINI奖池&lt;/color&gt;</t>
  </si>
  <si>
    <t>12207_1103_10</t>
  </si>
  <si>
    <t>[超级明星]建筑&lt;color=#00bfff&gt;等级达到10级&lt;/color&gt;</t>
  </si>
  <si>
    <t>12207_1103_20</t>
  </si>
  <si>
    <t>[超级明星]建筑&lt;color=#00bfff&gt;等级达到20级&lt;/color&gt;</t>
  </si>
  <si>
    <t>12207_1103_30</t>
  </si>
  <si>
    <t>[超级明星]建筑&lt;color=#00bfff&gt;等级达到30级&lt;/color&gt;</t>
  </si>
  <si>
    <t>12207_1103_40</t>
  </si>
  <si>
    <t>[超级明星]建筑&lt;color=#00bfff&gt;等级达到40级&lt;/color&gt;</t>
  </si>
  <si>
    <t>12207_1103_50</t>
  </si>
  <si>
    <t>[超级明星]建筑&lt;color=#00bfff&gt;等级达到50级&lt;/color&gt;</t>
  </si>
  <si>
    <t>12207_1103_60</t>
  </si>
  <si>
    <t>[超级明星]建筑&lt;color=#00bfff&gt;等级达到60级&lt;/color&gt;</t>
  </si>
  <si>
    <t>12269_100300_5000</t>
  </si>
  <si>
    <t>[超级明星]游戏&lt;color=#00bfff&gt;技能战力达到5000以上&lt;/color&gt;</t>
  </si>
  <si>
    <t>12269_100300_10000</t>
  </si>
  <si>
    <t>[超级明星]游戏&lt;color=#00bfff&gt;技能战力达到10000以上&lt;/color&gt;</t>
  </si>
  <si>
    <t>12269_100300_20000</t>
  </si>
  <si>
    <t>[超级明星]游戏&lt;color=#00bfff&gt;技能战力达到20000以上&lt;/color&gt;</t>
  </si>
  <si>
    <t>12269_100300_40000</t>
  </si>
  <si>
    <t>[超级明星]游戏&lt;color=#00bfff&gt;技能战力达到40000以上&lt;/color&gt;</t>
  </si>
  <si>
    <t>12269_100300_60000</t>
  </si>
  <si>
    <t>[超级明星]游戏&lt;color=#00bfff&gt;技能战力达到60000以上&lt;/color&gt;</t>
  </si>
  <si>
    <t>12269_100300_80000</t>
  </si>
  <si>
    <t>[超级明星]游戏&lt;color=#00bfff&gt;技能战力达到86000以上&lt;/color&gt;</t>
  </si>
  <si>
    <t>12252_100300_1_10</t>
  </si>
  <si>
    <t>在[超级明星]SLOT游戏中&lt;color=#00bfff&gt;触发10次SWEET WIN奖&lt;/color&gt;</t>
  </si>
  <si>
    <t>12252_100300_1_20</t>
  </si>
  <si>
    <t>在[超级明星]SLOT游戏中&lt;color=#00bfff&gt;触发20次SWEET WIN奖&lt;/color&gt;</t>
  </si>
  <si>
    <t>12252_100300_1_30</t>
  </si>
  <si>
    <t>在[超级明星]SLOT游戏中&lt;color=#00bfff&gt;触发30次SWEET WIN奖&lt;/color&gt;</t>
  </si>
  <si>
    <t>12252_100300_1_40</t>
  </si>
  <si>
    <t>在[超级明星]SLOT游戏中&lt;color=#00bfff&gt;触发40次SWEET WIN奖&lt;/color&gt;</t>
  </si>
  <si>
    <t>12252_100300_1_50</t>
  </si>
  <si>
    <t>在[超级明星]SLOT游戏中&lt;color=#00bfff&gt;触发50次SWEET WIN奖&lt;/color&gt;</t>
  </si>
  <si>
    <t>12252_100300_1_60</t>
  </si>
  <si>
    <t>在[超级明星]SLOT游戏中&lt;color=#00bfff&gt;触发60次SWEET WIN奖&lt;/color&gt;</t>
  </si>
  <si>
    <t>12272_100300_200</t>
  </si>
  <si>
    <t>在[超级明星]SLOT游戏中&lt;color=#00bfff&gt;投注200次&lt;/color&gt;</t>
  </si>
  <si>
    <t>12272_100300_500</t>
  </si>
  <si>
    <t>在[超级明星]SLOT游戏中&lt;color=#00bfff&gt;投注500次&lt;/color&gt;</t>
  </si>
  <si>
    <t>12272_100300_1000</t>
  </si>
  <si>
    <t>在[超级明星]SLOT游戏中&lt;color=#00bfff&gt;投注1000次&lt;/color&gt;</t>
  </si>
  <si>
    <t>12272_100300_2000</t>
  </si>
  <si>
    <t>在[超级明星]SLOT游戏中&lt;color=#00bfff&gt;投注2000次&lt;/color&gt;</t>
  </si>
  <si>
    <t>12272_100300_5000</t>
  </si>
  <si>
    <t>在[超级明星]SLOT游戏中&lt;color=#00bfff&gt;投注5000次&lt;/color&gt;</t>
  </si>
  <si>
    <t>12272_100300_10000</t>
  </si>
  <si>
    <t>在[超级明星]SLOT游戏中&lt;color=#00bfff&gt;投注10000次&lt;/color&gt;</t>
  </si>
  <si>
    <t>12253_100300_5_1</t>
  </si>
  <si>
    <t>在[超级明星]SLOT游戏中旋转&lt;color=#00bfff&gt;触发1次jackpot&lt;/color&gt;</t>
  </si>
  <si>
    <t>12253_100300_5_2</t>
  </si>
  <si>
    <t>在[超级明星]SLOT游戏中旋转&lt;color=#00bfff&gt;触发2次jackpot&lt;/color&gt;</t>
  </si>
  <si>
    <t>12253_100300_5_3</t>
  </si>
  <si>
    <t>在[超级明星]SLOT游戏中旋转&lt;color=#00bfff&gt;触发5次jackpot&lt;/color&gt;</t>
  </si>
  <si>
    <t>12253_100300_5_4</t>
  </si>
  <si>
    <t>在[超级明星]SLOT游戏中旋转&lt;color=#00bfff&gt;触发10次jackpot&lt;/color&gt;</t>
  </si>
  <si>
    <t>12253_100300_5_5</t>
  </si>
  <si>
    <t>在[超级明星]SLOT游戏中旋转&lt;color=#00bfff&gt;触发20次jackpot&lt;/color&gt;</t>
  </si>
  <si>
    <t>12253_100300_5_6</t>
  </si>
  <si>
    <t>在[超级明星]SLOT游戏中旋转&lt;color=#00bfff&gt;触发50次jackpot&lt;/color&gt;</t>
  </si>
  <si>
    <t>12251_100300_1024024_1</t>
  </si>
  <si>
    <t>在[超级明星]SLOT游戏中旋转获得&lt;color=#00bfff&gt;1个专属研究点&lt;/color&gt;</t>
  </si>
  <si>
    <t>12251_100300_1024024_2</t>
  </si>
  <si>
    <t>在[超级明星]SLOT游戏中旋转获得&lt;color=#00bfff&gt;2个专属研究点&lt;/color&gt;</t>
  </si>
  <si>
    <t>12251_100300_1024024_3</t>
  </si>
  <si>
    <t>在[超级明星]SLOT游戏中旋转获得&lt;color=#00bfff&gt;3个专属研究点&lt;/color&gt;</t>
  </si>
  <si>
    <t>12251_100300_1024024_4</t>
  </si>
  <si>
    <t>在[超级明星]SLOT游戏中旋转获得&lt;color=#00bfff&gt;4个专属研究点&lt;/color&gt;</t>
  </si>
  <si>
    <t>12251_100300_1024024_5</t>
  </si>
  <si>
    <t>在[超级明星]SLOT游戏中旋转获得&lt;color=#00bfff&gt;5个专属研究点&lt;/color&gt;</t>
  </si>
  <si>
    <t>12251_100300_1024024_6</t>
  </si>
  <si>
    <t>在[超级明星]SLOT游戏中旋转获得&lt;color=#00bfff&gt;6个专属研究点&lt;/color&gt;</t>
  </si>
  <si>
    <t>12274_100300_1990000_5000000</t>
  </si>
  <si>
    <t>在[超级明星]SLOT游戏中&lt;color=#00bfff&gt;赢取500万金币&lt;/color&gt;</t>
  </si>
  <si>
    <t>12274_100300_1990000_10000000</t>
  </si>
  <si>
    <t>在[超级明星]SLOT游戏中&lt;color=#00bfff&gt;赢取1000万金币&lt;/color&gt;</t>
  </si>
  <si>
    <t>12274_100300_1990000_20000000</t>
  </si>
  <si>
    <t>在[超级明星]SLOT游戏中&lt;color=#00bfff&gt;赢取2000万金币&lt;/color&gt;</t>
  </si>
  <si>
    <t>12274_100300_1990000_30000000</t>
  </si>
  <si>
    <t>在[超级明星]SLOT游戏中&lt;color=#00bfff&gt;赢取3000万金币&lt;/color&gt;</t>
  </si>
  <si>
    <t>12274_100300_1990000_50000000</t>
  </si>
  <si>
    <t>在[超级明星]SLOT游戏中&lt;color=#00bfff&gt;赢取5000万金币&lt;/color&gt;</t>
  </si>
  <si>
    <t>12274_100300_1990000_100000000</t>
  </si>
  <si>
    <t>在[超级明星]SLOT游戏中&lt;color=#00bfff&gt;赢取1亿金币&lt;/color&gt;</t>
  </si>
  <si>
    <t>12274_100300_1990000_200000000</t>
  </si>
  <si>
    <t>在[超级明星]SLOT游戏中&lt;color=#00bfff&gt;赢取2亿金币&lt;/color&gt;</t>
  </si>
  <si>
    <t>12274_100300_1990000_500000000</t>
  </si>
  <si>
    <t>在[超级明星]SLOT游戏中&lt;color=#00bfff&gt;赢取5亿金币&lt;/color&gt;</t>
  </si>
  <si>
    <t>12253_100300_1_1</t>
  </si>
  <si>
    <t>在[超级明星]SLOT游戏中&lt;color=#00bfff&gt;触发1次MINI奖池&lt;/color&gt;</t>
  </si>
  <si>
    <t>12253_100300_1_2</t>
  </si>
  <si>
    <t>在[超级明星]SLOT游戏中&lt;color=#00bfff&gt;触发2次MINI奖池&lt;/color&gt;</t>
  </si>
  <si>
    <t>12253_100300_1_3</t>
  </si>
  <si>
    <t>在[超级明星]SLOT游戏中&lt;color=#00bfff&gt;触发3次MINI奖池&lt;/color&gt;</t>
  </si>
  <si>
    <t>12253_100300_1_4</t>
  </si>
  <si>
    <t>在[超级明星]SLOT游戏中&lt;color=#00bfff&gt;触发4次MINI奖池&lt;/color&gt;</t>
  </si>
  <si>
    <t>12253_100300_1_5</t>
  </si>
  <si>
    <t>在[超级明星]SLOT游戏中&lt;color=#00bfff&gt;触发5次MINI奖池&lt;/color&gt;</t>
  </si>
  <si>
    <t>12253_100300_1_6</t>
  </si>
  <si>
    <t>在[超级明星]SLOT游戏中&lt;color=#00bfff&gt;触发6次MINI奖池&lt;/color&gt;</t>
  </si>
  <si>
    <t>财神来了</t>
  </si>
  <si>
    <t>12207_1104_10</t>
  </si>
  <si>
    <t>[财神来了]建筑&lt;color=#00bfff&gt;等级达到10级&lt;/color&gt;</t>
  </si>
  <si>
    <t>12207_1104_20</t>
  </si>
  <si>
    <t>[财神来了]建筑&lt;color=#00bfff&gt;等级达到20级&lt;/color&gt;</t>
  </si>
  <si>
    <t>12207_1104_30</t>
  </si>
  <si>
    <t>[财神来了]建筑&lt;color=#00bfff&gt;等级达到30级&lt;/color&gt;</t>
  </si>
  <si>
    <t>12207_1104_40</t>
  </si>
  <si>
    <t>[财神来了]建筑&lt;color=#00bfff&gt;等级达到40级&lt;/color&gt;</t>
  </si>
  <si>
    <t>12207_1104_50</t>
  </si>
  <si>
    <t>[财神来了]建筑&lt;color=#00bfff&gt;等级达到50级&lt;/color&gt;</t>
  </si>
  <si>
    <t>12207_1104_60</t>
  </si>
  <si>
    <t>[财神来了]建筑&lt;color=#00bfff&gt;等级达到60级&lt;/color&gt;</t>
  </si>
  <si>
    <t>12269_101200_5000</t>
  </si>
  <si>
    <t>[财神来了]游戏&lt;color=#00bfff&gt;技能战力达到5000以上&lt;/color&gt;</t>
  </si>
  <si>
    <t>12269_101200_10000</t>
  </si>
  <si>
    <t>[财神来了]游戏&lt;color=#00bfff&gt;技能战力达到10000以上&lt;/color&gt;</t>
  </si>
  <si>
    <t>12269_101200_20000</t>
  </si>
  <si>
    <t>[财神来了]游戏&lt;color=#00bfff&gt;技能战力达到20000以上&lt;/color&gt;</t>
  </si>
  <si>
    <t>12269_101200_35000</t>
  </si>
  <si>
    <t>[财神来了]游戏&lt;color=#00bfff&gt;技能战力达到35000以上&lt;/color&gt;</t>
  </si>
  <si>
    <t>12269_101200_50000</t>
  </si>
  <si>
    <t>[财神来了]游戏&lt;color=#00bfff&gt;技能战力达到50000以上&lt;/color&gt;</t>
  </si>
  <si>
    <t>12269_101200_60000</t>
  </si>
  <si>
    <t>[财神来了]游戏&lt;color=#00bfff&gt;技能战力达到66000以上&lt;/color&gt;</t>
  </si>
  <si>
    <t>12252_101200_1_10</t>
  </si>
  <si>
    <t>在[财神来了]SLOT游戏中&lt;color=#00bfff&gt;触发10次SWEET WIN奖&lt;/color&gt;</t>
  </si>
  <si>
    <t>12252_101200_1_20</t>
  </si>
  <si>
    <t>在[财神来了]SLOT游戏中&lt;color=#00bfff&gt;触发20次SWEET WIN奖&lt;/color&gt;</t>
  </si>
  <si>
    <t>12252_101200_1_30</t>
  </si>
  <si>
    <t>在[财神来了]SLOT游戏中&lt;color=#00bfff&gt;触发30次SWEET WIN奖&lt;/color&gt;</t>
  </si>
  <si>
    <t>12252_101200_1_40</t>
  </si>
  <si>
    <t>在[财神来了]SLOT游戏中&lt;color=#00bfff&gt;触发40次SWEET WIN奖&lt;/color&gt;</t>
  </si>
  <si>
    <t>12252_101200_1_50</t>
  </si>
  <si>
    <t>在[财神来了]SLOT游戏中&lt;color=#00bfff&gt;触发50次SWEET WIN奖&lt;/color&gt;</t>
  </si>
  <si>
    <t>12252_101200_1_60</t>
  </si>
  <si>
    <t>在[财神来了]SLOT游戏中&lt;color=#00bfff&gt;触发60次SWEET WIN奖&lt;/color&gt;</t>
  </si>
  <si>
    <t>12272_101200_200</t>
  </si>
  <si>
    <t>在[财神来了]SLOT游戏中&lt;color=#00bfff&gt;投注200次&lt;/color&gt;</t>
  </si>
  <si>
    <t>12272_101200_500</t>
  </si>
  <si>
    <t>在[财神来了]SLOT游戏中&lt;color=#00bfff&gt;投注500次&lt;/color&gt;</t>
  </si>
  <si>
    <t>12272_101200_1000</t>
  </si>
  <si>
    <t>在[财神来了]SLOT游戏中&lt;color=#00bfff&gt;投注1000次&lt;/color&gt;</t>
  </si>
  <si>
    <t>12272_101200_2000</t>
  </si>
  <si>
    <t>在[财神来了]SLOT游戏中&lt;color=#00bfff&gt;投注2000次&lt;/color&gt;</t>
  </si>
  <si>
    <t>12272_101200_5000</t>
  </si>
  <si>
    <t>在[财神来了]SLOT游戏中&lt;color=#00bfff&gt;投注5000次&lt;/color&gt;</t>
  </si>
  <si>
    <t>12272_101200_10000</t>
  </si>
  <si>
    <t>在[财神来了]SLOT游戏中&lt;color=#00bfff&gt;投注10000次&lt;/color&gt;</t>
  </si>
  <si>
    <t>12275_1</t>
  </si>
  <si>
    <t>在[财神来了]SLOT游戏中旋转&lt;color=#00bfff&gt;触发1次财神到模式&lt;/color&gt;</t>
  </si>
  <si>
    <t>12275_2</t>
  </si>
  <si>
    <t>在[财神来了]SLOT游戏中旋转&lt;color=#00bfff&gt;触发2次财神到模式&lt;/color&gt;</t>
  </si>
  <si>
    <t>12275_5</t>
  </si>
  <si>
    <t>在[财神来了]SLOT游戏中旋转&lt;color=#00bfff&gt;触发5次财神到模式&lt;/color&gt;</t>
  </si>
  <si>
    <t>12275_10</t>
  </si>
  <si>
    <t>在[财神来了]SLOT游戏中旋转&lt;color=#00bfff&gt;触发10次财神到模式&lt;/color&gt;</t>
  </si>
  <si>
    <t>12275_20</t>
  </si>
  <si>
    <t>在[财神来了]SLOT游戏中旋转&lt;color=#00bfff&gt;触发20次财神到模式&lt;/color&gt;</t>
  </si>
  <si>
    <t>12275_50</t>
  </si>
  <si>
    <t>在[财神来了]SLOT游戏中旋转&lt;color=#00bfff&gt;触发50次财神到模式&lt;/color&gt;</t>
  </si>
  <si>
    <t>12251_101200_1024040_1</t>
  </si>
  <si>
    <t>在[财神来了]SLOT游戏中旋转获得&lt;color=#00bfff&gt;1个专属研究点&lt;/color&gt;</t>
  </si>
  <si>
    <t>12251_101200_1024040_2</t>
  </si>
  <si>
    <t>在[财神来了]SLOT游戏中旋转获得&lt;color=#00bfff&gt;2个专属研究点&lt;/color&gt;</t>
  </si>
  <si>
    <t>12251_101200_1024040_3</t>
  </si>
  <si>
    <t>在[财神来了]SLOT游戏中旋转获得&lt;color=#00bfff&gt;3个专属研究点&lt;/color&gt;</t>
  </si>
  <si>
    <t>12251_101200_1024040_4</t>
  </si>
  <si>
    <t>在[财神来了]SLOT游戏中旋转获得&lt;color=#00bfff&gt;4个专属研究点&lt;/color&gt;</t>
  </si>
  <si>
    <t>12251_101200_1024040_5</t>
  </si>
  <si>
    <t>在[财神来了]SLOT游戏中旋转获得&lt;color=#00bfff&gt;5个专属研究点&lt;/color&gt;</t>
  </si>
  <si>
    <t>12251_101200_1024040_6</t>
  </si>
  <si>
    <t>在[财神来了]SLOT游戏中旋转获得&lt;color=#00bfff&gt;6个专属研究点&lt;/color&gt;</t>
  </si>
  <si>
    <t>12274_101200_1990000_500000</t>
  </si>
  <si>
    <t>在[财神来了]SLOT游戏中&lt;color=#00bfff&gt;赢取500万金币&lt;/color&gt;</t>
  </si>
  <si>
    <t>12274_101200_1990000_1000000</t>
  </si>
  <si>
    <t>在[财神来了]SLOT游戏中&lt;color=#00bfff&gt;赢取1000万金币&lt;/color&gt;</t>
  </si>
  <si>
    <t>12274_101200_1990000_2000000</t>
  </si>
  <si>
    <t>在[财神来了]SLOT游戏中&lt;color=#00bfff&gt;赢取2000万金币&lt;/color&gt;</t>
  </si>
  <si>
    <t>12274_101200_1990000_3000000</t>
  </si>
  <si>
    <t>在[财神来了]SLOT游戏中&lt;color=#00bfff&gt;赢取3000万金币&lt;/color&gt;</t>
  </si>
  <si>
    <t>12274_101200_1990000_5000000</t>
  </si>
  <si>
    <t>在[财神来了]SLOT游戏中&lt;color=#00bfff&gt;赢取5000万金币&lt;/color&gt;</t>
  </si>
  <si>
    <t>12274_101200_1990000_10000000</t>
  </si>
  <si>
    <t>在[财神来了]SLOT游戏中&lt;color=#00bfff&gt;赢取1亿金币&lt;/color&gt;</t>
  </si>
  <si>
    <t>12274_101200_1990000_20000000</t>
  </si>
  <si>
    <t>在[财神来了]SLOT游戏中&lt;color=#00bfff&gt;赢取2亿金币&lt;/color&gt;</t>
  </si>
  <si>
    <t>12274_101200_1990000_50000000</t>
  </si>
  <si>
    <t>在[财神来了]SLOT游戏中&lt;color=#00bfff&gt;赢取5亿金币&lt;/color&gt;</t>
  </si>
  <si>
    <t>12253_101200_5_1</t>
  </si>
  <si>
    <t>在[财神来了]SLOT游戏中&lt;color=#00bfff&gt;触发1次jackpot&lt;/color&gt;</t>
  </si>
  <si>
    <t>12253_101200_5_2</t>
  </si>
  <si>
    <t>在[财神来了]SLOT游戏中&lt;color=#00bfff&gt;触发2次jackpot&lt;/color&gt;</t>
  </si>
  <si>
    <t>12253_101200_5_3</t>
  </si>
  <si>
    <t>在[财神来了]SLOT游戏中&lt;color=#00bfff&gt;触发3次jackpot&lt;/color&gt;</t>
  </si>
  <si>
    <t>12253_101200_5_4</t>
  </si>
  <si>
    <t>在[财神来了]SLOT游戏中&lt;color=#00bfff&gt;触发4次jackpot&lt;/color&gt;</t>
  </si>
  <si>
    <t>12253_101200_5_5</t>
  </si>
  <si>
    <t>在[财神来了]SLOT游戏中&lt;color=#00bfff&gt;触发5次jackpot&lt;/color&gt;</t>
  </si>
  <si>
    <t>12253_101200_5_6</t>
  </si>
  <si>
    <t>在[财神来了]SLOT游戏中&lt;color=#00bfff&gt;触发6次jackpot&lt;/color&gt;</t>
  </si>
  <si>
    <t>寒冰王座</t>
  </si>
  <si>
    <t>12207_1105_10</t>
  </si>
  <si>
    <t>[寒冰王座]建筑&lt;color=#00bfff&gt;等级达到10级&lt;/color&gt;</t>
  </si>
  <si>
    <t>12207_1105_20</t>
  </si>
  <si>
    <t>[寒冰王座]建筑&lt;color=#00bfff&gt;等级达到20级&lt;/color&gt;</t>
  </si>
  <si>
    <t>12207_1105_30</t>
  </si>
  <si>
    <t>[寒冰王座]建筑&lt;color=#00bfff&gt;等级达到30级&lt;/color&gt;</t>
  </si>
  <si>
    <t>12207_1105_40</t>
  </si>
  <si>
    <t>[寒冰王座]建筑&lt;color=#00bfff&gt;等级达到40级&lt;/color&gt;</t>
  </si>
  <si>
    <t>12207_1105_50</t>
  </si>
  <si>
    <t>[寒冰王座]建筑&lt;color=#00bfff&gt;等级达到50级&lt;/color&gt;</t>
  </si>
  <si>
    <t>12207_1105_60</t>
  </si>
  <si>
    <t>[寒冰王座]建筑&lt;color=#00bfff&gt;等级达到60级&lt;/color&gt;</t>
  </si>
  <si>
    <t>12269_102500_5000</t>
  </si>
  <si>
    <t>[寒冰王座]游戏&lt;color=#00bfff&gt;技能战力达到5000以上&lt;/color&gt;</t>
  </si>
  <si>
    <t>12269_102500_10000</t>
  </si>
  <si>
    <t>[寒冰王座]游戏&lt;color=#00bfff&gt;技能战力达到10000以上&lt;/color&gt;</t>
  </si>
  <si>
    <t>12269_102500_20000</t>
  </si>
  <si>
    <t>[寒冰王座]游戏&lt;color=#00bfff&gt;技能战力达到20000以上&lt;/color&gt;</t>
  </si>
  <si>
    <t>12269_102500_40000</t>
  </si>
  <si>
    <t>[寒冰王座]游戏&lt;color=#00bfff&gt;技能战力达到40000以上&lt;/color&gt;</t>
  </si>
  <si>
    <t>12269_102500_70000</t>
  </si>
  <si>
    <t>[寒冰王座]游戏&lt;color=#00bfff&gt;技能战力达到70000以上&lt;/color&gt;</t>
  </si>
  <si>
    <t>12269_102500_96000</t>
  </si>
  <si>
    <t>[寒冰王座]游戏&lt;color=#00bfff&gt;技能战力达到96000以上&lt;/color&gt;</t>
  </si>
  <si>
    <t>12252_102500_1_10</t>
  </si>
  <si>
    <t>在[寒冰王座]SLOT游戏中&lt;color=#00bfff&gt;触发10次SWEET WIN奖&lt;/color&gt;</t>
  </si>
  <si>
    <t>12252_102500_1_20</t>
  </si>
  <si>
    <t>在[寒冰王座]SLOT游戏中&lt;color=#00bfff&gt;触发20次SWEET WIN奖&lt;/color&gt;</t>
  </si>
  <si>
    <t>12252_102500_1_30</t>
  </si>
  <si>
    <t>在[寒冰王座]SLOT游戏中&lt;color=#00bfff&gt;触发30次SWEET WIN奖&lt;/color&gt;</t>
  </si>
  <si>
    <t>12252_102500_1_40</t>
  </si>
  <si>
    <t>在[寒冰王座]SLOT游戏中&lt;color=#00bfff&gt;触发40次SWEET WIN奖&lt;/color&gt;</t>
  </si>
  <si>
    <t>12252_102500_1_50</t>
  </si>
  <si>
    <t>在[寒冰王座]SLOT游戏中&lt;color=#00bfff&gt;触发50次SWEET WIN奖&lt;/color&gt;</t>
  </si>
  <si>
    <t>12252_102500_1_60</t>
  </si>
  <si>
    <t>在[寒冰王座]SLOT游戏中&lt;color=#00bfff&gt;触发60次SWEET WIN奖&lt;/color&gt;</t>
  </si>
  <si>
    <t>12272_102500_200</t>
  </si>
  <si>
    <t>在[寒冰王座]SLOT游戏中&lt;color=#00bfff&gt;投注200次&lt;/color&gt;</t>
  </si>
  <si>
    <t>12272_102500_500</t>
  </si>
  <si>
    <t>在[寒冰王座]SLOT游戏中&lt;color=#00bfff&gt;投注500次&lt;/color&gt;</t>
  </si>
  <si>
    <t>12272_102500_1000</t>
  </si>
  <si>
    <t>在[寒冰王座]SLOT游戏中&lt;color=#00bfff&gt;投注1000次&lt;/color&gt;</t>
  </si>
  <si>
    <t>12272_102500_2000</t>
  </si>
  <si>
    <t>在[寒冰王座]SLOT游戏中&lt;color=#00bfff&gt;投注2000次&lt;/color&gt;</t>
  </si>
  <si>
    <t>12272_102500_5000</t>
  </si>
  <si>
    <t>在[寒冰王座]SLOT游戏中&lt;color=#00bfff&gt;投注5000次&lt;/color&gt;</t>
  </si>
  <si>
    <t>12272_102500_10000</t>
  </si>
  <si>
    <t>在[寒冰王座]SLOT游戏中&lt;color=#00bfff&gt;投注10000次&lt;/color&gt;</t>
  </si>
  <si>
    <t>12254_102500_1</t>
  </si>
  <si>
    <t>在[寒冰王座]SLOT游戏中旋转&lt;color=#00bfff&gt;触发1次免费模式&lt;/color&gt;</t>
  </si>
  <si>
    <t>12254_102500_2</t>
  </si>
  <si>
    <t>在[寒冰王座]SLOT游戏中旋转&lt;color=#00bfff&gt;触发2次免费模式&lt;/color&gt;</t>
  </si>
  <si>
    <t>12254_102500_5</t>
  </si>
  <si>
    <t>在[寒冰王座]SLOT游戏中旋转&lt;color=#00bfff&gt;触发5次免费模式&lt;/color&gt;</t>
  </si>
  <si>
    <t>12254_102500_10</t>
  </si>
  <si>
    <t>在[寒冰王座]SLOT游戏中旋转&lt;color=#00bfff&gt;触发10次免费模式&lt;/color&gt;</t>
  </si>
  <si>
    <t>12254_102500_20</t>
  </si>
  <si>
    <t>在[寒冰王座]SLOT游戏中旋转&lt;color=#00bfff&gt;触发20次免费模式&lt;/color&gt;</t>
  </si>
  <si>
    <t>12254_102500_50</t>
  </si>
  <si>
    <t>在[寒冰王座]SLOT游戏中旋转&lt;color=#00bfff&gt;触发50次免费模式&lt;/color&gt;</t>
  </si>
  <si>
    <t>12251_102500_1024077_1</t>
  </si>
  <si>
    <t>在[寒冰王座]SLOT游戏中旋转获得&lt;color=#00bfff&gt;1个专属研究点&lt;/color&gt;</t>
  </si>
  <si>
    <t>12251_102500_1024077_2</t>
  </si>
  <si>
    <t>在[寒冰王座]SLOT游戏中旋转获得&lt;color=#00bfff&gt;2个专属研究点&lt;/color&gt;</t>
  </si>
  <si>
    <t>12251_102500_1024077_3</t>
  </si>
  <si>
    <t>在[寒冰王座]SLOT游戏中旋转获得&lt;color=#00bfff&gt;3个专属研究点&lt;/color&gt;</t>
  </si>
  <si>
    <t>12251_102500_1024077_4</t>
  </si>
  <si>
    <t>在[寒冰王座]SLOT游戏中旋转获得&lt;color=#00bfff&gt;4个专属研究点&lt;/color&gt;</t>
  </si>
  <si>
    <t>12251_102500_1024077_5</t>
  </si>
  <si>
    <t>在[寒冰王座]SLOT游戏中旋转获得&lt;color=#00bfff&gt;5个专属研究点&lt;/color&gt;</t>
  </si>
  <si>
    <t>12251_102500_1024077_6</t>
  </si>
  <si>
    <t>在[寒冰王座]SLOT游戏中旋转获得&lt;color=#00bfff&gt;6个专属研究点&lt;/color&gt;</t>
  </si>
  <si>
    <t>12274_102500_1990000_5000000</t>
  </si>
  <si>
    <t>在[寒冰王座]SLOT游戏中&lt;color=#00bfff&gt;赢取500万金币&lt;/color&gt;</t>
  </si>
  <si>
    <t>12274_102500_1990000_10000000</t>
  </si>
  <si>
    <t>在[寒冰王座]SLOT游戏中&lt;color=#00bfff&gt;赢取1000万金币&lt;/color&gt;</t>
  </si>
  <si>
    <t>12274_102500_1990000_20000000</t>
  </si>
  <si>
    <t>在[寒冰王座]SLOT游戏中&lt;color=#00bfff&gt;赢取2000万金币&lt;/color&gt;</t>
  </si>
  <si>
    <t>12274_102500_1990000_30000000</t>
  </si>
  <si>
    <t>在[寒冰王座]SLOT游戏中&lt;color=#00bfff&gt;赢取3000万金币&lt;/color&gt;</t>
  </si>
  <si>
    <t>12274_102500_1990000_50000000</t>
  </si>
  <si>
    <t>在[寒冰王座]SLOT游戏中&lt;color=#00bfff&gt;赢取5000万金币&lt;/color&gt;</t>
  </si>
  <si>
    <t>12274_102500_1990000_100000000</t>
  </si>
  <si>
    <t>在[寒冰王座]SLOT游戏中&lt;color=#00bfff&gt;赢取1亿金币&lt;/color&gt;</t>
  </si>
  <si>
    <t>12274_102500_1990000_200000000</t>
  </si>
  <si>
    <t>在[寒冰王座]SLOT游戏中&lt;color=#00bfff&gt;赢取2亿金币&lt;/color&gt;</t>
  </si>
  <si>
    <t>12274_102500_1990000_500000000</t>
  </si>
  <si>
    <t>在[寒冰王座]SLOT游戏中&lt;color=#00bfff&gt;赢取5亿金币&lt;/color&gt;</t>
  </si>
  <si>
    <t>12253_102500_1_1</t>
  </si>
  <si>
    <t>在[寒冰王座]SLOT游戏中&lt;color=#00bfff&gt;触发1次MINI奖池&lt;/color&gt;</t>
  </si>
  <si>
    <t>12253_102500_1_2</t>
  </si>
  <si>
    <t>在[寒冰王座]SLOT游戏中&lt;color=#00bfff&gt;触发2次MINI奖池&lt;/color&gt;</t>
  </si>
  <si>
    <t>12253_102500_1_3</t>
  </si>
  <si>
    <t>在[寒冰王座]SLOT游戏中&lt;color=#00bfff&gt;触发3次MINI奖池&lt;/color&gt;</t>
  </si>
  <si>
    <t>12253_102500_1_4</t>
  </si>
  <si>
    <t>在[寒冰王座]SLOT游戏中&lt;color=#00bfff&gt;触发4次MINI奖池&lt;/color&gt;</t>
  </si>
  <si>
    <t>12253_102500_1_5</t>
  </si>
  <si>
    <t>在[寒冰王座]SLOT游戏中&lt;color=#00bfff&gt;触发5次MINI奖池&lt;/color&gt;</t>
  </si>
  <si>
    <t>12253_102500_1_6</t>
  </si>
  <si>
    <t>在[寒冰王座]SLOT游戏中&lt;color=#00bfff&gt;触发6次MINI奖池&lt;/color&gt;</t>
  </si>
  <si>
    <t>绿巨人</t>
  </si>
  <si>
    <t>12207_1106_10</t>
  </si>
  <si>
    <t>[绿巨人]建筑&lt;color=#00bfff&gt;等级达到10级&lt;/color&gt;</t>
  </si>
  <si>
    <t>12207_1106_20</t>
  </si>
  <si>
    <t>[绿巨人]建筑&lt;color=#00bfff&gt;等级达到20级&lt;/color&gt;</t>
  </si>
  <si>
    <t>12207_1106_30</t>
  </si>
  <si>
    <t>[绿巨人]建筑&lt;color=#00bfff&gt;等级达到30级&lt;/color&gt;</t>
  </si>
  <si>
    <t>12207_1106_40</t>
  </si>
  <si>
    <t>[绿巨人]建筑&lt;color=#00bfff&gt;等级达到40级&lt;/color&gt;</t>
  </si>
  <si>
    <t>12207_1106_50</t>
  </si>
  <si>
    <t>[绿巨人]建筑&lt;color=#00bfff&gt;等级达到50级&lt;/color&gt;</t>
  </si>
  <si>
    <t>12207_1106_60</t>
  </si>
  <si>
    <t>[绿巨人]建筑&lt;color=#00bfff&gt;等级达到60级&lt;/color&gt;</t>
  </si>
  <si>
    <t>12269_103100_5000</t>
  </si>
  <si>
    <t>[绿巨人]游戏&lt;color=#00bfff&gt;技能战力达到5000以上&lt;/color&gt;</t>
  </si>
  <si>
    <t>12269_103100_10000</t>
  </si>
  <si>
    <t>[绿巨人]游戏&lt;color=#00bfff&gt;技能战力达到10000以上&lt;/color&gt;</t>
  </si>
  <si>
    <t>12269_103100_30000</t>
  </si>
  <si>
    <t>[绿巨人]游戏&lt;color=#00bfff&gt;技能战力达到30000以上&lt;/color&gt;</t>
  </si>
  <si>
    <t>12269_103100_60000</t>
  </si>
  <si>
    <t>[绿巨人]游戏&lt;color=#00bfff&gt;技能战力达到60000以上&lt;/color&gt;</t>
  </si>
  <si>
    <t>12269_103100_100000</t>
  </si>
  <si>
    <t>[绿巨人]游戏&lt;color=#00bfff&gt;技能战力达到100000以上&lt;/color&gt;</t>
  </si>
  <si>
    <t>12269_103100_135000</t>
  </si>
  <si>
    <t>[绿巨人]游戏&lt;color=#00bfff&gt;技能战力达到135000以上&lt;/color&gt;</t>
  </si>
  <si>
    <t>12252_103100_1_10</t>
  </si>
  <si>
    <t>在[绿巨人]SLOT游戏中&lt;color=#00bfff&gt;触发10次SWEET WIN奖&lt;/color&gt;</t>
  </si>
  <si>
    <t>12252_103100_1_20</t>
  </si>
  <si>
    <t>在[绿巨人]SLOT游戏中&lt;color=#00bfff&gt;触发20次SWEET WIN奖&lt;/color&gt;</t>
  </si>
  <si>
    <t>12252_103100_1_30</t>
  </si>
  <si>
    <t>在[绿巨人]SLOT游戏中&lt;color=#00bfff&gt;触发30次SWEET WIN奖&lt;/color&gt;</t>
  </si>
  <si>
    <t>12252_103100_1_40</t>
  </si>
  <si>
    <t>在[绿巨人]SLOT游戏中&lt;color=#00bfff&gt;触发40次SWEET WIN奖&lt;/color&gt;</t>
  </si>
  <si>
    <t>12252_103100_1_50</t>
  </si>
  <si>
    <t>在[绿巨人]SLOT游戏中&lt;color=#00bfff&gt;触发50次SWEET WIN奖&lt;/color&gt;</t>
  </si>
  <si>
    <t>12252_103100_1_60</t>
  </si>
  <si>
    <t>在[绿巨人]SLOT游戏中&lt;color=#00bfff&gt;触发60次SWEET WIN奖&lt;/color&gt;</t>
  </si>
  <si>
    <t>12272_103100_200</t>
  </si>
  <si>
    <t>在[绿巨人]SLOT游戏中&lt;color=#00bfff&gt;投注200次&lt;/color&gt;</t>
  </si>
  <si>
    <t>12272_103100_500</t>
  </si>
  <si>
    <t>在[绿巨人]SLOT游戏中&lt;color=#00bfff&gt;投注500次&lt;/color&gt;</t>
  </si>
  <si>
    <t>12272_103100_1000</t>
  </si>
  <si>
    <t>在[绿巨人]SLOT游戏中&lt;color=#00bfff&gt;投注1000次&lt;/color&gt;</t>
  </si>
  <si>
    <t>12272_103100_2000</t>
  </si>
  <si>
    <t>在[绿巨人]SLOT游戏中&lt;color=#00bfff&gt;投注2000次&lt;/color&gt;</t>
  </si>
  <si>
    <t>12272_103100_5000</t>
  </si>
  <si>
    <t>在[绿巨人]SLOT游戏中&lt;color=#00bfff&gt;投注5000次&lt;/color&gt;</t>
  </si>
  <si>
    <t>12272_103100_10000</t>
  </si>
  <si>
    <t>在[绿巨人]SLOT游戏中&lt;color=#00bfff&gt;投注10000次&lt;/color&gt;</t>
  </si>
  <si>
    <t>12254_103100_1</t>
  </si>
  <si>
    <t>在[绿巨人]SLOT游戏中旋转&lt;color=#00bfff&gt;触发1次免费模式&lt;/color&gt;</t>
  </si>
  <si>
    <t>12254_103100_2</t>
  </si>
  <si>
    <t>在[绿巨人]SLOT游戏中旋转&lt;color=#00bfff&gt;触发2次免费模式&lt;/color&gt;</t>
  </si>
  <si>
    <t>12254_103100_5</t>
  </si>
  <si>
    <t>在[绿巨人]SLOT游戏中旋转&lt;color=#00bfff&gt;触发5次免费模式&lt;/color&gt;</t>
  </si>
  <si>
    <t>12254_103100_10</t>
  </si>
  <si>
    <t>在[绿巨人]SLOT游戏中旋转&lt;color=#00bfff&gt;触发10次免费模式&lt;/color&gt;</t>
  </si>
  <si>
    <t>12254_103100_20</t>
  </si>
  <si>
    <t>在[绿巨人]SLOT游戏中旋转&lt;color=#00bfff&gt;触发20次免费模式&lt;/color&gt;</t>
  </si>
  <si>
    <t>12254_103100_50</t>
  </si>
  <si>
    <t>在[绿巨人]SLOT游戏中旋转&lt;color=#00bfff&gt;触发50次免费模式&lt;/color&gt;</t>
  </si>
  <si>
    <t>12251_103100_1024078_1</t>
  </si>
  <si>
    <t>在[绿巨人]SLOT游戏中旋转获得&lt;color=#00bfff&gt;1个专属研究点&lt;/color&gt;</t>
  </si>
  <si>
    <t>12251_103100_1024078_2</t>
  </si>
  <si>
    <t>在[绿巨人]SLOT游戏中旋转获得&lt;color=#00bfff&gt;2个专属研究点&lt;/color&gt;</t>
  </si>
  <si>
    <t>12251_103100_1024078_3</t>
  </si>
  <si>
    <t>在[绿巨人]SLOT游戏中旋转获得&lt;color=#00bfff&gt;3个专属研究点&lt;/color&gt;</t>
  </si>
  <si>
    <t>12251_103100_1024078_4</t>
  </si>
  <si>
    <t>在[绿巨人]SLOT游戏中旋转获得&lt;color=#00bfff&gt;4个专属研究点&lt;/color&gt;</t>
  </si>
  <si>
    <t>12251_103100_1024078_5</t>
  </si>
  <si>
    <t>在[绿巨人]SLOT游戏中旋转获得&lt;color=#00bfff&gt;5个专属研究点&lt;/color&gt;</t>
  </si>
  <si>
    <t>12251_103100_1024078_6</t>
  </si>
  <si>
    <t>在[绿巨人]SLOT游戏中旋转获得&lt;color=#00bfff&gt;6个专属研究点&lt;/color&gt;</t>
  </si>
  <si>
    <t>12274_103100_1990000_5000000</t>
  </si>
  <si>
    <t>在[绿巨人]SLOT游戏中&lt;color=#00bfff&gt;赢取500万金币&lt;/color&gt;</t>
  </si>
  <si>
    <t>12274_103100_1990000_10000000</t>
  </si>
  <si>
    <t>在[绿巨人]SLOT游戏中&lt;color=#00bfff&gt;赢取1000万金币&lt;/color&gt;</t>
  </si>
  <si>
    <t>12274_103100_1990000_20000000</t>
  </si>
  <si>
    <t>在[绿巨人]SLOT游戏中&lt;color=#00bfff&gt;赢取2000万金币&lt;/color&gt;</t>
  </si>
  <si>
    <t>12274_103100_1990000_30000000</t>
  </si>
  <si>
    <t>在[绿巨人]SLOT游戏中&lt;color=#00bfff&gt;赢取3000万金币&lt;/color&gt;</t>
  </si>
  <si>
    <t>12274_103100_1990000_50000000</t>
  </si>
  <si>
    <t>在[绿巨人]SLOT游戏中&lt;color=#00bfff&gt;赢取5000万金币&lt;/color&gt;</t>
  </si>
  <si>
    <t>12274_103100_1990000_100000000</t>
  </si>
  <si>
    <t>在[绿巨人]SLOT游戏中&lt;color=#00bfff&gt;赢取1亿金币&lt;/color&gt;</t>
  </si>
  <si>
    <t>12274_103100_1990000_200000000</t>
  </si>
  <si>
    <t>在[绿巨人]SLOT游戏中&lt;color=#00bfff&gt;赢取2亿金币&lt;/color&gt;</t>
  </si>
  <si>
    <t>12274_103100_1990000_500000000</t>
  </si>
  <si>
    <t>在[绿巨人]SLOT游戏中&lt;color=#00bfff&gt;赢取5亿金币&lt;/color&gt;</t>
  </si>
  <si>
    <t>12253_103100_1_1</t>
  </si>
  <si>
    <t>在[绿巨人]SLOT游戏中&lt;color=#00bfff&gt;触发1次MINI奖池&lt;/color&gt;</t>
  </si>
  <si>
    <t>12253_103100_1_2</t>
  </si>
  <si>
    <t>在[绿巨人]SLOT游戏中&lt;color=#00bfff&gt;触发2次MINI奖池&lt;/color&gt;</t>
  </si>
  <si>
    <t>12253_103100_1_3</t>
  </si>
  <si>
    <t>在[绿巨人]SLOT游戏中&lt;color=#00bfff&gt;触发3次MINI奖池&lt;/color&gt;</t>
  </si>
  <si>
    <t>12253_103100_1_4</t>
  </si>
  <si>
    <t>在[绿巨人]SLOT游戏中&lt;color=#00bfff&gt;触发4次MINI奖池&lt;/color&gt;</t>
  </si>
  <si>
    <t>12253_103100_1_5</t>
  </si>
  <si>
    <t>在[绿巨人]SLOT游戏中&lt;color=#00bfff&gt;触发5次MINI奖池&lt;/color&gt;</t>
  </si>
  <si>
    <t>12253_103100_1_6</t>
  </si>
  <si>
    <t>在[绿巨人]SLOT游戏中&lt;color=#00bfff&gt;触发6次MINI奖池&lt;/color&gt;</t>
  </si>
  <si>
    <t>篮球巨星</t>
  </si>
  <si>
    <t>12207_1107_10</t>
  </si>
  <si>
    <t>[篮球巨星]建筑&lt;color=#00bfff&gt;等级达到10级&lt;/color&gt;</t>
  </si>
  <si>
    <t>12207_1107_20</t>
  </si>
  <si>
    <t>[篮球巨星]建筑&lt;color=#00bfff&gt;等级达到20级&lt;/color&gt;</t>
  </si>
  <si>
    <t>12207_1107_30</t>
  </si>
  <si>
    <t>[篮球巨星]建筑&lt;color=#00bfff&gt;等级达到30级&lt;/color&gt;</t>
  </si>
  <si>
    <t>12207_1107_40</t>
  </si>
  <si>
    <t>[篮球巨星]建筑&lt;color=#00bfff&gt;等级达到40级&lt;/color&gt;</t>
  </si>
  <si>
    <t>12207_1107_50</t>
  </si>
  <si>
    <t>[篮球巨星]建筑&lt;color=#00bfff&gt;等级达到50级&lt;/color&gt;</t>
  </si>
  <si>
    <t>12207_1107_60</t>
  </si>
  <si>
    <t>[篮球巨星]建筑&lt;color=#00bfff&gt;等级达到60级&lt;/color&gt;</t>
  </si>
  <si>
    <t>12269_101800_5000</t>
  </si>
  <si>
    <t>[篮球巨星]游戏&lt;color=#00bfff&gt;技能战力达到5000以上&lt;/color&gt;</t>
  </si>
  <si>
    <t>12269_101800_10000</t>
  </si>
  <si>
    <t>[篮球巨星]游戏&lt;color=#00bfff&gt;技能战力达到10000以上&lt;/color&gt;</t>
  </si>
  <si>
    <t>12269_101800_30000</t>
  </si>
  <si>
    <t>[篮球巨星]游戏&lt;color=#00bfff&gt;技能战力达到30000以上&lt;/color&gt;</t>
  </si>
  <si>
    <t>12269_101800_50000</t>
  </si>
  <si>
    <t>[篮球巨星]游戏&lt;color=#00bfff&gt;技能战力达到50000以上&lt;/color&gt;</t>
  </si>
  <si>
    <t>12269_101800_70000</t>
  </si>
  <si>
    <t>[篮球巨星]游戏&lt;color=#00bfff&gt;技能战力达到70000以上&lt;/color&gt;</t>
  </si>
  <si>
    <t>12269_101800_100000</t>
  </si>
  <si>
    <t>[篮球巨星]游戏&lt;color=#00bfff&gt;技能战力达到105000以上&lt;/color&gt;</t>
  </si>
  <si>
    <t>12252_101800_1_10</t>
  </si>
  <si>
    <t>在[篮球巨星]SLOT游戏中&lt;color=#00bfff&gt;触发10次SWEET WIN奖&lt;/color&gt;</t>
  </si>
  <si>
    <t>12252_101800_1_20</t>
  </si>
  <si>
    <t>在[篮球巨星]SLOT游戏中&lt;color=#00bfff&gt;触发20次SWEET WIN奖&lt;/color&gt;</t>
  </si>
  <si>
    <t>12252_101800_1_30</t>
  </si>
  <si>
    <t>在[篮球巨星]SLOT游戏中&lt;color=#00bfff&gt;触发30次SWEET WIN奖&lt;/color&gt;</t>
  </si>
  <si>
    <t>12252_101800_1_40</t>
  </si>
  <si>
    <t>在[篮球巨星]SLOT游戏中&lt;color=#00bfff&gt;触发40次SWEET WIN奖&lt;/color&gt;</t>
  </si>
  <si>
    <t>12252_101800_1_50</t>
  </si>
  <si>
    <t>在[篮球巨星]SLOT游戏中&lt;color=#00bfff&gt;触发50次SWEET WIN奖&lt;/color&gt;</t>
  </si>
  <si>
    <t>12252_101800_1_60</t>
  </si>
  <si>
    <t>在[篮球巨星]SLOT游戏中&lt;color=#00bfff&gt;触发60次SWEET WIN奖&lt;/color&gt;</t>
  </si>
  <si>
    <t>12272_101800_200</t>
  </si>
  <si>
    <t>在[篮球巨星]SLOT游戏中&lt;color=#00bfff&gt;投注200次&lt;/color&gt;</t>
  </si>
  <si>
    <t>12272_101800_500</t>
  </si>
  <si>
    <t>在[篮球巨星]SLOT游戏中&lt;color=#00bfff&gt;投注500次&lt;/color&gt;</t>
  </si>
  <si>
    <t>12272_101800_1000</t>
  </si>
  <si>
    <t>在[篮球巨星]SLOT游戏中&lt;color=#00bfff&gt;投注1000次&lt;/color&gt;</t>
  </si>
  <si>
    <t>12272_101800_2000</t>
  </si>
  <si>
    <t>在[篮球巨星]SLOT游戏中&lt;color=#00bfff&gt;投注2000次&lt;/color&gt;</t>
  </si>
  <si>
    <t>12272_101800_5000</t>
  </si>
  <si>
    <t>在[篮球巨星]SLOT游戏中&lt;color=#00bfff&gt;投注5000次&lt;/color&gt;</t>
  </si>
  <si>
    <t>12272_101800_10000</t>
  </si>
  <si>
    <t>在[篮球巨星]SLOT游戏中&lt;color=#00bfff&gt;投注10000次&lt;/color&gt;</t>
  </si>
  <si>
    <t>12254_101800_1</t>
  </si>
  <si>
    <t>在[篮球巨星]SLOT游戏中旋转&lt;color=#00bfff&gt;触发1次免费模式&lt;/color&gt;</t>
  </si>
  <si>
    <t>12254_101800_2</t>
  </si>
  <si>
    <t>在[篮球巨星]SLOT游戏中旋转&lt;color=#00bfff&gt;触发2次免费模式&lt;/color&gt;</t>
  </si>
  <si>
    <t>12254_101800_5</t>
  </si>
  <si>
    <t>在[篮球巨星]SLOT游戏中旋转&lt;color=#00bfff&gt;触发5次免费模式&lt;/color&gt;</t>
  </si>
  <si>
    <t>12254_101800_10</t>
  </si>
  <si>
    <t>在[篮球巨星]SLOT游戏中旋转&lt;color=#00bfff&gt;触发10次免费模式&lt;/color&gt;</t>
  </si>
  <si>
    <t>12254_101800_20</t>
  </si>
  <si>
    <t>在[篮球巨星]SLOT游戏中旋转&lt;color=#00bfff&gt;触发20次免费模式&lt;/color&gt;</t>
  </si>
  <si>
    <t>12254_101800_50</t>
  </si>
  <si>
    <t>在[篮球巨星]SLOT游戏中旋转&lt;color=#00bfff&gt;触发50次免费模式&lt;/color&gt;</t>
  </si>
  <si>
    <t>12251_101800_1024076_1</t>
  </si>
  <si>
    <t>在[篮球巨星]SLOT游戏中旋转获得&lt;color=#00bfff&gt;1个专属研究点&lt;/color&gt;</t>
  </si>
  <si>
    <t>12251_101800_1024076_2</t>
  </si>
  <si>
    <t>在[篮球巨星]SLOT游戏中旋转获得&lt;color=#00bfff&gt;2个专属研究点&lt;/color&gt;</t>
  </si>
  <si>
    <t>12251_101800_1024076_3</t>
  </si>
  <si>
    <t>在[篮球巨星]SLOT游戏中旋转获得&lt;color=#00bfff&gt;3个专属研究点&lt;/color&gt;</t>
  </si>
  <si>
    <t>12251_101800_1024076_4</t>
  </si>
  <si>
    <t>在[篮球巨星]SLOT游戏中旋转获得&lt;color=#00bfff&gt;4个专属研究点&lt;/color&gt;</t>
  </si>
  <si>
    <t>12251_101800_1024076_5</t>
  </si>
  <si>
    <t>在[篮球巨星]SLOT游戏中旋转获得&lt;color=#00bfff&gt;5个专属研究点&lt;/color&gt;</t>
  </si>
  <si>
    <t>12251_101800_1024076_6</t>
  </si>
  <si>
    <t>在[篮球巨星]SLOT游戏中旋转获得&lt;color=#00bfff&gt;6个专属研究点&lt;/color&gt;</t>
  </si>
  <si>
    <t>12274_101800_1990000_5000000</t>
  </si>
  <si>
    <t>在[篮球巨星]SLOT游戏中&lt;color=#00bfff&gt;赢取500万金币&lt;/color&gt;</t>
  </si>
  <si>
    <t>12274_101800_1990000_10000000</t>
  </si>
  <si>
    <t>在[篮球巨星]SLOT游戏中&lt;color=#00bfff&gt;赢取1000万金币&lt;/color&gt;</t>
  </si>
  <si>
    <t>12274_101800_1990000_20000000</t>
  </si>
  <si>
    <t>在[篮球巨星]SLOT游戏中&lt;color=#00bfff&gt;赢取2000万金币&lt;/color&gt;</t>
  </si>
  <si>
    <t>12274_101800_1990000_30000000</t>
  </si>
  <si>
    <t>在[篮球巨星]SLOT游戏中&lt;color=#00bfff&gt;赢取3000万金币&lt;/color&gt;</t>
  </si>
  <si>
    <t>12274_101800_1990000_50000000</t>
  </si>
  <si>
    <t>在[篮球巨星]SLOT游戏中&lt;color=#00bfff&gt;赢取5000万金币&lt;/color&gt;</t>
  </si>
  <si>
    <t>12274_101800_1990000_100000000</t>
  </si>
  <si>
    <t>在[篮球巨星]SLOT游戏中&lt;color=#00bfff&gt;赢取1亿金币&lt;/color&gt;</t>
  </si>
  <si>
    <t>12274_101800_1990000_200000000</t>
  </si>
  <si>
    <t>在[篮球巨星]SLOT游戏中&lt;color=#00bfff&gt;赢取2亿金币&lt;/color&gt;</t>
  </si>
  <si>
    <t>12274_101800_1990000_500000000</t>
  </si>
  <si>
    <t>在[篮球巨星]SLOT游戏中&lt;color=#00bfff&gt;赢取5亿金币&lt;/color&gt;</t>
  </si>
  <si>
    <t>12253_101800_1_1</t>
  </si>
  <si>
    <t>在[篮球巨星]SLOT游戏中&lt;color=#00bfff&gt;触发1次MINI奖池&lt;/color&gt;</t>
  </si>
  <si>
    <t>12253_101800_1_2</t>
  </si>
  <si>
    <t>在[篮球巨星]SLOT游戏中&lt;color=#00bfff&gt;触发2次MINI奖池&lt;/color&gt;</t>
  </si>
  <si>
    <t>12253_101800_1_3</t>
  </si>
  <si>
    <t>在[篮球巨星]SLOT游戏中&lt;color=#00bfff&gt;触发3次MINI奖池&lt;/color&gt;</t>
  </si>
  <si>
    <t>12253_101800_1_4</t>
  </si>
  <si>
    <t>在[篮球巨星]SLOT游戏中&lt;color=#00bfff&gt;触发4次MINI奖池&lt;/color&gt;</t>
  </si>
  <si>
    <t>12253_101800_1_5</t>
  </si>
  <si>
    <t>在[篮球巨星]SLOT游戏中&lt;color=#00bfff&gt;触发5次MINI奖池&lt;/color&gt;</t>
  </si>
  <si>
    <t>12253_101800_1_6</t>
  </si>
  <si>
    <t>在[篮球巨星]SLOT游戏中&lt;color=#00bfff&gt;触发6次MINI奖池&lt;/color&gt;</t>
  </si>
  <si>
    <r>
      <rPr>
        <sz val="11"/>
        <color theme="1"/>
        <rFont val="等线"/>
        <charset val="134"/>
        <scheme val="minor"/>
      </rPr>
      <t>宙斯</t>
    </r>
    <r>
      <rPr>
        <sz val="10"/>
        <color theme="1"/>
        <rFont val="Arial"/>
        <charset val="134"/>
      </rPr>
      <t>VS</t>
    </r>
    <r>
      <rPr>
        <sz val="10"/>
        <color theme="1"/>
        <rFont val="微软雅黑"/>
        <charset val="134"/>
      </rPr>
      <t>哈迪斯</t>
    </r>
  </si>
  <si>
    <t>12207_1108_10</t>
  </si>
  <si>
    <t>[宙斯VS哈迪斯]建筑&lt;color=#00bfff&gt;等级达到10级&lt;/color&gt;</t>
  </si>
  <si>
    <t>12207_1108_20</t>
  </si>
  <si>
    <t>[宙斯VS哈迪斯]建筑&lt;color=#00bfff&gt;等级达到20级&lt;/color&gt;</t>
  </si>
  <si>
    <t>12207_1108_30</t>
  </si>
  <si>
    <t>[宙斯VS哈迪斯]建筑&lt;color=#00bfff&gt;等级达到30级&lt;/color&gt;</t>
  </si>
  <si>
    <t>12207_1108_40</t>
  </si>
  <si>
    <t>[宙斯VS哈迪斯]建筑&lt;color=#00bfff&gt;等级达到40级&lt;/color&gt;</t>
  </si>
  <si>
    <t>12207_1108_50</t>
  </si>
  <si>
    <t>[宙斯VS哈迪斯]建筑&lt;color=#00bfff&gt;等级达到50级&lt;/color&gt;</t>
  </si>
  <si>
    <t>12207_1108_60</t>
  </si>
  <si>
    <t>[宙斯VS哈迪斯]建筑&lt;color=#00bfff&gt;等级达到60级&lt;/color&gt;</t>
  </si>
  <si>
    <t>12269_102000_5000</t>
  </si>
  <si>
    <t>[宙斯VS哈迪斯]游戏&lt;color=#00bfff&gt;技能战力达到5000以上&lt;/color&gt;</t>
  </si>
  <si>
    <t>12269_102000_10000</t>
  </si>
  <si>
    <t>[宙斯VS哈迪斯]游戏&lt;color=#00bfff&gt;技能战力达到10000以上&lt;/color&gt;</t>
  </si>
  <si>
    <t>12269_102000_30000</t>
  </si>
  <si>
    <t>[宙斯VS哈迪斯]游戏&lt;color=#00bfff&gt;技能战力达到30000以上&lt;/color&gt;</t>
  </si>
  <si>
    <t>12269_102000_50000</t>
  </si>
  <si>
    <t>[宙斯VS哈迪斯]游戏&lt;color=#00bfff&gt;技能战力达到50000以上&lt;/color&gt;</t>
  </si>
  <si>
    <t>12269_102000_70000</t>
  </si>
  <si>
    <t>[宙斯VS哈迪斯]游戏&lt;color=#00bfff&gt;技能战力达到70000以上&lt;/color&gt;</t>
  </si>
  <si>
    <t>12269_102000_105000</t>
  </si>
  <si>
    <t>[宙斯VS哈迪斯]游戏&lt;color=#00bfff&gt;技能战力达到105000以上&lt;/color&gt;</t>
  </si>
  <si>
    <t>12252_102000_1_10</t>
  </si>
  <si>
    <t>在[宙斯VS哈迪斯]SLOT游戏中&lt;color=#00bfff&gt;触发10次SWEET WIN奖&lt;/color&gt;</t>
  </si>
  <si>
    <t>12252_102000_1_20</t>
  </si>
  <si>
    <t>在[宙斯VS哈迪斯]SLOT游戏中&lt;color=#00bfff&gt;触发20次SWEET WIN奖&lt;/color&gt;</t>
  </si>
  <si>
    <t>12252_102000_1_30</t>
  </si>
  <si>
    <t>在[宙斯VS哈迪斯]SLOT游戏中&lt;color=#00bfff&gt;触发30次SWEET WIN奖&lt;/color&gt;</t>
  </si>
  <si>
    <t>12252_102000_1_40</t>
  </si>
  <si>
    <t>在[宙斯VS哈迪斯]SLOT游戏中&lt;color=#00bfff&gt;触发40次SWEET WIN奖&lt;/color&gt;</t>
  </si>
  <si>
    <t>12252_102000_1_50</t>
  </si>
  <si>
    <t>在[宙斯VS哈迪斯]SLOT游戏中&lt;color=#00bfff&gt;触发50次SWEET WIN奖&lt;/color&gt;</t>
  </si>
  <si>
    <t>12252_102000_1_60</t>
  </si>
  <si>
    <t>在[宙斯VS哈迪斯]SLOT游戏中&lt;color=#00bfff&gt;触发60次SWEET WIN奖&lt;/color&gt;</t>
  </si>
  <si>
    <t>12272_102000_200</t>
  </si>
  <si>
    <t>在[宙斯VS哈迪斯]SLOT游戏中&lt;color=#00bfff&gt;投注200次&lt;/color&gt;</t>
  </si>
  <si>
    <t>12272_102000_500</t>
  </si>
  <si>
    <t>在[宙斯VS哈迪斯]SLOT游戏中&lt;color=#00bfff&gt;投注500次&lt;/color&gt;</t>
  </si>
  <si>
    <t>12272_102000_1000</t>
  </si>
  <si>
    <t>在[宙斯VS哈迪斯]SLOT游戏中&lt;color=#00bfff&gt;投注1000次&lt;/color&gt;</t>
  </si>
  <si>
    <t>12272_102000_2000</t>
  </si>
  <si>
    <t>在[宙斯VS哈迪斯]SLOT游戏中&lt;color=#00bfff&gt;投注2000次&lt;/color&gt;</t>
  </si>
  <si>
    <t>12272_102000_5000</t>
  </si>
  <si>
    <t>在[宙斯VS哈迪斯]SLOT游戏中&lt;color=#00bfff&gt;投注5000次&lt;/color&gt;</t>
  </si>
  <si>
    <t>12272_102000_10000</t>
  </si>
  <si>
    <t>在[宙斯VS哈迪斯]SLOT游戏中&lt;color=#00bfff&gt;投注10000次&lt;/color&gt;</t>
  </si>
  <si>
    <t>12254_102000_1</t>
  </si>
  <si>
    <t>在[宙斯VS哈迪斯]SLOT游戏中旋转&lt;color=#00bfff&gt;触发1次免费模式&lt;/color&gt;</t>
  </si>
  <si>
    <t>12254_102000_2</t>
  </si>
  <si>
    <t>在[宙斯VS哈迪斯]SLOT游戏中旋转&lt;color=#00bfff&gt;触发2次免费模式&lt;/color&gt;</t>
  </si>
  <si>
    <t>12254_102000_5</t>
  </si>
  <si>
    <t>在[宙斯VS哈迪斯]SLOT游戏中旋转&lt;color=#00bfff&gt;触发5次免费模式&lt;/color&gt;</t>
  </si>
  <si>
    <t>12254_102000_10</t>
  </si>
  <si>
    <t>在[宙斯VS哈迪斯]SLOT游戏中旋转&lt;color=#00bfff&gt;触发10次免费模式&lt;/color&gt;</t>
  </si>
  <si>
    <t>12254_102000_20</t>
  </si>
  <si>
    <t>在[宙斯VS哈迪斯]SLOT游戏中旋转&lt;color=#00bfff&gt;触发20次免费模式&lt;/color&gt;</t>
  </si>
  <si>
    <t>12254_102000_50</t>
  </si>
  <si>
    <t>在[宙斯VS哈迪斯]SLOT游戏中旋转&lt;color=#00bfff&gt;触发50次免费模式&lt;/color&gt;</t>
  </si>
  <si>
    <t>12251_102000_1024082_1</t>
  </si>
  <si>
    <t>在[宙斯VS哈迪斯]SLOT游戏中旋转获得&lt;color=#00bfff&gt;1个专属研究点&lt;/color&gt;</t>
  </si>
  <si>
    <t>12251_102000_1024082_2</t>
  </si>
  <si>
    <t>在[宙斯VS哈迪斯]SLOT游戏中旋转获得&lt;color=#00bfff&gt;2个专属研究点&lt;/color&gt;</t>
  </si>
  <si>
    <t>12251_102000_1024082_3</t>
  </si>
  <si>
    <t>在[宙斯VS哈迪斯]SLOT游戏中旋转获得&lt;color=#00bfff&gt;3个专属研究点&lt;/color&gt;</t>
  </si>
  <si>
    <t>12251_102000_1024082_4</t>
  </si>
  <si>
    <t>在[宙斯VS哈迪斯]SLOT游戏中旋转获得&lt;color=#00bfff&gt;4个专属研究点&lt;/color&gt;</t>
  </si>
  <si>
    <t>12251_102000_1024082_5</t>
  </si>
  <si>
    <t>在[宙斯VS哈迪斯]SLOT游戏中旋转获得&lt;color=#00bfff&gt;5个专属研究点&lt;/color&gt;</t>
  </si>
  <si>
    <t>12251_102000_1024082_6</t>
  </si>
  <si>
    <t>在[宙斯VS哈迪斯]SLOT游戏中旋转获得&lt;color=#00bfff&gt;6个专属研究点&lt;/color&gt;</t>
  </si>
  <si>
    <t>12274_102000_1990000_5000000</t>
  </si>
  <si>
    <t>在[宙斯VS哈迪斯]SLOT游戏中&lt;color=#00bfff&gt;赢取500万金币&lt;/color&gt;</t>
  </si>
  <si>
    <t>12274_102000_1990000_10000000</t>
  </si>
  <si>
    <t>在[宙斯VS哈迪斯]SLOT游戏中&lt;color=#00bfff&gt;赢取1000万金币&lt;/color&gt;</t>
  </si>
  <si>
    <t>12274_102000_1990000_20000000</t>
  </si>
  <si>
    <t>在[宙斯VS哈迪斯]SLOT游戏中&lt;color=#00bfff&gt;赢取2000万金币&lt;/color&gt;</t>
  </si>
  <si>
    <t>12274_102000_1990000_50000000</t>
  </si>
  <si>
    <t>在[宙斯VS哈迪斯]SLOT游戏中&lt;color=#00bfff&gt;赢取5000万金币&lt;/color&gt;</t>
  </si>
  <si>
    <t>12274_102000_1990000_100000000</t>
  </si>
  <si>
    <t>在[宙斯VS哈迪斯]SLOT游戏中&lt;color=#00bfff&gt;赢取1亿金币&lt;/color&gt;</t>
  </si>
  <si>
    <t>12274_102000_1990000_500000000</t>
  </si>
  <si>
    <t>在[宙斯VS哈迪斯]SLOT游戏中&lt;color=#00bfff&gt;赢取5亿金币&lt;/color&gt;</t>
  </si>
  <si>
    <t>12274_102000_1990000_1000000000</t>
  </si>
  <si>
    <t>在[宙斯VS哈迪斯]SLOT游戏中&lt;color=#00bfff&gt;赢取10亿金币&lt;/color&gt;</t>
  </si>
  <si>
    <t>12274_102000_1990000_5000000000</t>
  </si>
  <si>
    <t>在[宙斯VS哈迪斯]SLOT游戏中&lt;color=#00bfff&gt;赢取50亿金币&lt;/color&gt;</t>
  </si>
  <si>
    <t>12253_102000_1_1</t>
  </si>
  <si>
    <t>在[宙斯VS哈迪斯]SLOT游戏中&lt;color=#00bfff&gt;触发1次MINI奖池&lt;/color&gt;</t>
  </si>
  <si>
    <t>12253_102000_1_2</t>
  </si>
  <si>
    <t>在[宙斯VS哈迪斯]SLOT游戏中&lt;color=#00bfff&gt;触发2次MINI奖池&lt;/color&gt;</t>
  </si>
  <si>
    <t>12253_102000_1_3</t>
  </si>
  <si>
    <t>在[宙斯VS哈迪斯]SLOT游戏中&lt;color=#00bfff&gt;触发3次MINI奖池&lt;/color&gt;</t>
  </si>
  <si>
    <t>12253_102000_1_4</t>
  </si>
  <si>
    <t>在[宙斯VS哈迪斯]SLOT游戏中&lt;color=#00bfff&gt;触发4次MINI奖池&lt;/color&gt;</t>
  </si>
  <si>
    <t>12253_102000_1_5</t>
  </si>
  <si>
    <t>在[宙斯VS哈迪斯]SLOT游戏中&lt;color=#00bfff&gt;触发5次MINI奖池&lt;/color&gt;</t>
  </si>
  <si>
    <t>12253_102000_1_6</t>
  </si>
  <si>
    <t>在[宙斯VS哈迪斯]SLOT游戏中&lt;color=#00bfff&gt;触发6次MINI奖池&lt;/color&gt;</t>
  </si>
  <si>
    <t>狼月</t>
  </si>
  <si>
    <t>12207_1109_10</t>
  </si>
  <si>
    <t>[狼月]建筑&lt;color=#00bfff&gt;等级达到10级&lt;/color&gt;</t>
  </si>
  <si>
    <t>12207_1109_20</t>
  </si>
  <si>
    <t>[狼月]建筑&lt;color=#00bfff&gt;等级达到20级&lt;/color&gt;</t>
  </si>
  <si>
    <t>12207_1109_30</t>
  </si>
  <si>
    <t>[狼月]建筑&lt;color=#00bfff&gt;等级达到30级&lt;/color&gt;</t>
  </si>
  <si>
    <t>12207_1109_40</t>
  </si>
  <si>
    <t>[狼月]建筑&lt;color=#00bfff&gt;等级达到40级&lt;/color&gt;</t>
  </si>
  <si>
    <t>12207_1109_50</t>
  </si>
  <si>
    <t>[狼月]建筑&lt;color=#00bfff&gt;等级达到50级&lt;/color&gt;</t>
  </si>
  <si>
    <t>12207_1109_60</t>
  </si>
  <si>
    <t>[狼月]建筑&lt;color=#00bfff&gt;等级达到60级&lt;/color&gt;</t>
  </si>
  <si>
    <t>12269_101500_5000</t>
  </si>
  <si>
    <t>[狼月]游戏&lt;color=#00bfff&gt;技能战力达到5000以上&lt;/color&gt;</t>
  </si>
  <si>
    <t>12269_101500_20000</t>
  </si>
  <si>
    <t>[狼月]游戏&lt;color=#00bfff&gt;技能战力达到20000以上&lt;/color&gt;</t>
  </si>
  <si>
    <t>12269_101500_50000</t>
  </si>
  <si>
    <t>[狼月]游戏&lt;color=#00bfff&gt;技能战力达到50000以上&lt;/color&gt;</t>
  </si>
  <si>
    <t>12269_101500_80000</t>
  </si>
  <si>
    <t>[狼月]游戏&lt;color=#00bfff&gt;技能战力达到80000以上&lt;/color&gt;</t>
  </si>
  <si>
    <t>12269_101500_120000</t>
  </si>
  <si>
    <t>[狼月]游戏&lt;color=#00bfff&gt;技能战力达到120000以上&lt;/color&gt;</t>
  </si>
  <si>
    <t>12269_101500_150000</t>
  </si>
  <si>
    <t>[狼月]游戏&lt;color=#00bfff&gt;技能战力达到155000以上&lt;/color&gt;</t>
  </si>
  <si>
    <t>12252_101500_1_10</t>
  </si>
  <si>
    <t>在[狼月]SLOT游戏中&lt;color=#00bfff&gt;触发10次SWEET WIN奖&lt;/color&gt;</t>
  </si>
  <si>
    <t>12252_101500_1_20</t>
  </si>
  <si>
    <t>在[狼月]SLOT游戏中&lt;color=#00bfff&gt;触发20次SWEET WIN奖&lt;/color&gt;</t>
  </si>
  <si>
    <t>12252_101500_1_30</t>
  </si>
  <si>
    <t>在[狼月]SLOT游戏中&lt;color=#00bfff&gt;触发30次SWEET WIN奖&lt;/color&gt;</t>
  </si>
  <si>
    <t>12252_101500_1_40</t>
  </si>
  <si>
    <t>在[狼月]SLOT游戏中&lt;color=#00bfff&gt;触发40次SWEET WIN奖&lt;/color&gt;</t>
  </si>
  <si>
    <t>12252_101500_1_50</t>
  </si>
  <si>
    <t>在[狼月]SLOT游戏中&lt;color=#00bfff&gt;触发50次SWEET WIN奖&lt;/color&gt;</t>
  </si>
  <si>
    <t>12252_101500_1_60</t>
  </si>
  <si>
    <t>在[狼月]SLOT游戏中&lt;color=#00bfff&gt;触发60次SWEET WIN奖&lt;/color&gt;</t>
  </si>
  <si>
    <t>12272_101500_200</t>
  </si>
  <si>
    <t>在[狼月]SLOT游戏中&lt;color=#00bfff&gt;投注200次&lt;/color&gt;</t>
  </si>
  <si>
    <t>12272_101500_500</t>
  </si>
  <si>
    <t>在[狼月]SLOT游戏中&lt;color=#00bfff&gt;投注500次&lt;/color&gt;</t>
  </si>
  <si>
    <t>12272_101500_1000</t>
  </si>
  <si>
    <t>在[狼月]SLOT游戏中&lt;color=#00bfff&gt;投注1000次&lt;/color&gt;</t>
  </si>
  <si>
    <t>12272_101500_2000</t>
  </si>
  <si>
    <t>在[狼月]SLOT游戏中&lt;color=#00bfff&gt;投注2000次&lt;/color&gt;</t>
  </si>
  <si>
    <t>12272_101500_5000</t>
  </si>
  <si>
    <t>在[狼月]SLOT游戏中&lt;color=#00bfff&gt;投注5000次&lt;/color&gt;</t>
  </si>
  <si>
    <t>12272_101500_10000</t>
  </si>
  <si>
    <t>在[狼月]SLOT游戏中&lt;color=#00bfff&gt;投注10000次&lt;/color&gt;</t>
  </si>
  <si>
    <t>12254_101500_1</t>
  </si>
  <si>
    <t>在[狼月]SLOT游戏中旋转&lt;color=#00bfff&gt;触发1次免费模式&lt;/color&gt;</t>
  </si>
  <si>
    <t>12254_101500_2</t>
  </si>
  <si>
    <t>在[狼月]SLOT游戏中旋转&lt;color=#00bfff&gt;触发2次免费模式&lt;/color&gt;</t>
  </si>
  <si>
    <t>12254_101500_5</t>
  </si>
  <si>
    <t>在[狼月]SLOT游戏中旋转&lt;color=#00bfff&gt;触发5次免费模式&lt;/color&gt;</t>
  </si>
  <si>
    <t>12254_101500_10</t>
  </si>
  <si>
    <t>在[狼月]SLOT游戏中旋转&lt;color=#00bfff&gt;触发10次免费模式&lt;/color&gt;</t>
  </si>
  <si>
    <t>12254_101500_20</t>
  </si>
  <si>
    <t>在[狼月]SLOT游戏中旋转&lt;color=#00bfff&gt;触发20次免费模式&lt;/color&gt;</t>
  </si>
  <si>
    <t>12254_101500_50</t>
  </si>
  <si>
    <t>在[狼月]SLOT游戏中旋转&lt;color=#00bfff&gt;触发50次免费模式&lt;/color&gt;</t>
  </si>
  <si>
    <t>12251_101500_1024084_1</t>
  </si>
  <si>
    <t>在[狼月]SLOT游戏中旋转获得&lt;color=#00bfff&gt;1个专属研究点&lt;/color&gt;</t>
  </si>
  <si>
    <t>12251_101500_1024084_2</t>
  </si>
  <si>
    <t>在[狼月]SLOT游戏中旋转获得&lt;color=#00bfff&gt;2个专属研究点&lt;/color&gt;</t>
  </si>
  <si>
    <t>12251_101500_1024084_3</t>
  </si>
  <si>
    <t>在[狼月]SLOT游戏中旋转获得&lt;color=#00bfff&gt;3个专属研究点&lt;/color&gt;</t>
  </si>
  <si>
    <t>12251_101500_1024084_4</t>
  </si>
  <si>
    <t>在[狼月]SLOT游戏中旋转获得&lt;color=#00bfff&gt;4个专属研究点&lt;/color&gt;</t>
  </si>
  <si>
    <t>12251_101500_1024084_5</t>
  </si>
  <si>
    <t>在[狼月]SLOT游戏中旋转获得&lt;color=#00bfff&gt;5个专属研究点&lt;/color&gt;</t>
  </si>
  <si>
    <t>12251_101500_1024084_6</t>
  </si>
  <si>
    <t>在[狼月]SLOT游戏中旋转获得&lt;color=#00bfff&gt;6个专属研究点&lt;/color&gt;</t>
  </si>
  <si>
    <t>12274_101500_1990000_5000000</t>
  </si>
  <si>
    <t>在[狼月]SLOT游戏中&lt;color=#00bfff&gt;赢取500万金币&lt;/color&gt;</t>
  </si>
  <si>
    <t>12274_101500_1990000_10000000</t>
  </si>
  <si>
    <t>在[狼月]SLOT游戏中&lt;color=#00bfff&gt;赢取1000万金币&lt;/color&gt;</t>
  </si>
  <si>
    <t>12274_101500_1990000_20000000</t>
  </si>
  <si>
    <t>在[狼月]SLOT游戏中&lt;color=#00bfff&gt;赢取2000万金币&lt;/color&gt;</t>
  </si>
  <si>
    <t>12274_101500_1990000_50000000</t>
  </si>
  <si>
    <t>在[狼月]SLOT游戏中&lt;color=#00bfff&gt;赢取5000万金币&lt;/color&gt;</t>
  </si>
  <si>
    <t>12274_101500_1990000_100000000</t>
  </si>
  <si>
    <t>在[狼月]SLOT游戏中&lt;color=#00bfff&gt;赢取1亿金币&lt;/color&gt;</t>
  </si>
  <si>
    <t>12274_101500_1990000_200000000</t>
  </si>
  <si>
    <t>在[狼月]SLOT游戏中&lt;color=#00bfff&gt;赢取2亿金币&lt;/color&gt;</t>
  </si>
  <si>
    <t>12274_101500_1990000_500000000</t>
  </si>
  <si>
    <t>在[狼月]SLOT游戏中&lt;color=#00bfff&gt;赢取5亿金币&lt;/color&gt;</t>
  </si>
  <si>
    <t>12274_101500_1990000_1000000000</t>
  </si>
  <si>
    <t>在[狼月]SLOT游戏中&lt;color=#00bfff&gt;赢取10亿金币&lt;/color&gt;</t>
  </si>
  <si>
    <t>12253_101500_1_1</t>
  </si>
  <si>
    <t>在[狼月]SLOT游戏中&lt;color=#00bfff&gt;触发1次MINI奖池&lt;/color&gt;</t>
  </si>
  <si>
    <t>12253_101500_1_2</t>
  </si>
  <si>
    <t>在[狼月]SLOT游戏中&lt;color=#00bfff&gt;触发2次MINI奖池&lt;/color&gt;</t>
  </si>
  <si>
    <t>12253_101500_1_3</t>
  </si>
  <si>
    <t>在[狼月]SLOT游戏中&lt;color=#00bfff&gt;触发3次MINI奖池&lt;/color&gt;</t>
  </si>
  <si>
    <t>12253_101500_1_4</t>
  </si>
  <si>
    <t>在[狼月]SLOT游戏中&lt;color=#00bfff&gt;触发4次MINI奖池&lt;/color&gt;</t>
  </si>
  <si>
    <t>12253_101500_1_5</t>
  </si>
  <si>
    <t>在[狼月]SLOT游戏中&lt;color=#00bfff&gt;触发5次MINI奖池&lt;/color&gt;</t>
  </si>
  <si>
    <t>12253_101500_1_6</t>
  </si>
  <si>
    <t>在[狼月]SLOT游戏中&lt;color=#00bfff&gt;触发6次MINI奖池&lt;/color&gt;</t>
  </si>
  <si>
    <t>12207_1110_10</t>
  </si>
  <si>
    <t>[麻将胡了]建筑&lt;color=#00bfff&gt;等级达到10级&lt;/color&gt;</t>
  </si>
  <si>
    <t>12207_1110_20</t>
  </si>
  <si>
    <t>[麻将胡了]建筑&lt;color=#00bfff&gt;等级达到20级&lt;/color&gt;</t>
  </si>
  <si>
    <t>12207_1110_30</t>
  </si>
  <si>
    <t>[麻将胡了]建筑&lt;color=#00bfff&gt;等级达到30级&lt;/color&gt;</t>
  </si>
  <si>
    <t>12207_1110_40</t>
  </si>
  <si>
    <t>[麻将胡了]建筑&lt;color=#00bfff&gt;等级达到40级&lt;/color&gt;</t>
  </si>
  <si>
    <t>12207_1110_50</t>
  </si>
  <si>
    <t>[麻将胡了]建筑&lt;color=#00bfff&gt;等级达到50级&lt;/color&gt;</t>
  </si>
  <si>
    <t>12207_1110_60</t>
  </si>
  <si>
    <t>[麻将胡了]建筑&lt;color=#00bfff&gt;等级达到60级&lt;/color&gt;</t>
  </si>
  <si>
    <t>12269_100700_5000</t>
  </si>
  <si>
    <t>[麻将胡了]游戏&lt;color=#00bfff&gt;技能战力达到5000以上&lt;/color&gt;</t>
  </si>
  <si>
    <t>12269_100700_10000</t>
  </si>
  <si>
    <t>[麻将胡了]游戏&lt;color=#00bfff&gt;技能战力达到10000以上&lt;/color&gt;</t>
  </si>
  <si>
    <t>12269_100700_30000</t>
  </si>
  <si>
    <t>[麻将胡了]游戏&lt;color=#00bfff&gt;技能战力达到30000以上&lt;/color&gt;</t>
  </si>
  <si>
    <t>12269_100700_50000</t>
  </si>
  <si>
    <t>[麻将胡了]游戏&lt;color=#00bfff&gt;技能战力达到50000以上&lt;/color&gt;</t>
  </si>
  <si>
    <t>12269_100700_70000</t>
  </si>
  <si>
    <t>[麻将胡了]游戏&lt;color=#00bfff&gt;技能战力达到70000以上&lt;/color&gt;</t>
  </si>
  <si>
    <t>12269_100700_90000</t>
  </si>
  <si>
    <t>[麻将胡了]游戏&lt;color=#00bfff&gt;技能战力达到95000以上&lt;/color&gt;</t>
  </si>
  <si>
    <t>12252_100700_1_10</t>
  </si>
  <si>
    <t>在[麻将胡了]SLOT游戏中&lt;color=#00bfff&gt;触发10次SWEET WIN奖&lt;/color&gt;</t>
  </si>
  <si>
    <t>12252_100700_1_20</t>
  </si>
  <si>
    <t>在[麻将胡了]SLOT游戏中&lt;color=#00bfff&gt;触发20次SWEET WIN奖&lt;/color&gt;</t>
  </si>
  <si>
    <t>12252_100700_1_30</t>
  </si>
  <si>
    <t>在[麻将胡了]SLOT游戏中&lt;color=#00bfff&gt;触发30次SWEET WIN奖&lt;/color&gt;</t>
  </si>
  <si>
    <t>12252_100700_1_40</t>
  </si>
  <si>
    <t>在[麻将胡了]SLOT游戏中&lt;color=#00bfff&gt;触发40次SWEET WIN奖&lt;/color&gt;</t>
  </si>
  <si>
    <t>12252_100700_1_50</t>
  </si>
  <si>
    <t>在[麻将胡了]SLOT游戏中&lt;color=#00bfff&gt;触发50次SWEET WIN奖&lt;/color&gt;</t>
  </si>
  <si>
    <t>12252_100700_1_60</t>
  </si>
  <si>
    <t>在[麻将胡了]SLOT游戏中&lt;color=#00bfff&gt;触发60次SWEET WIN奖&lt;/color&gt;</t>
  </si>
  <si>
    <t>12272_100700_200</t>
  </si>
  <si>
    <t>在[麻将胡了]SLOT游戏中&lt;color=#00bfff&gt;投注200次&lt;/color&gt;</t>
  </si>
  <si>
    <t>12272_100700_500</t>
  </si>
  <si>
    <t>在[麻将胡了]SLOT游戏中&lt;color=#00bfff&gt;投注500次&lt;/color&gt;</t>
  </si>
  <si>
    <t>12272_100700_1000</t>
  </si>
  <si>
    <t>在[麻将胡了]SLOT游戏中&lt;color=#00bfff&gt;投注1000次&lt;/color&gt;</t>
  </si>
  <si>
    <t>12272_100700_2000</t>
  </si>
  <si>
    <t>在[麻将胡了]SLOT游戏中&lt;color=#00bfff&gt;投注2000次&lt;/color&gt;</t>
  </si>
  <si>
    <t>12272_100700_5000</t>
  </si>
  <si>
    <t>在[麻将胡了]SLOT游戏中&lt;color=#00bfff&gt;投注5000次&lt;/color&gt;</t>
  </si>
  <si>
    <t>12272_100700_10000</t>
  </si>
  <si>
    <t>在[麻将胡了]SLOT游戏中&lt;color=#00bfff&gt;投注10000次&lt;/color&gt;</t>
  </si>
  <si>
    <t>12254_100700_1</t>
  </si>
  <si>
    <t>在[麻将胡了]SLOT游戏中旋转&lt;color=#00bfff&gt;触发1次免费模式&lt;/color&gt;</t>
  </si>
  <si>
    <t>12254_100700_2</t>
  </si>
  <si>
    <t>在[麻将胡了]SLOT游戏中旋转&lt;color=#00bfff&gt;触发2次免费模式&lt;/color&gt;</t>
  </si>
  <si>
    <t>12254_100700_5</t>
  </si>
  <si>
    <t>在[麻将胡了]SLOT游戏中旋转&lt;color=#00bfff&gt;触发5次免费模式&lt;/color&gt;</t>
  </si>
  <si>
    <t>12254_100700_10</t>
  </si>
  <si>
    <t>在[麻将胡了]SLOT游戏中旋转&lt;color=#00bfff&gt;触发10次免费模式&lt;/color&gt;</t>
  </si>
  <si>
    <t>12254_100700_20</t>
  </si>
  <si>
    <t>在[麻将胡了]SLOT游戏中旋转&lt;color=#00bfff&gt;触发20次免费模式&lt;/color&gt;</t>
  </si>
  <si>
    <t>12254_100700_50</t>
  </si>
  <si>
    <t>在[麻将胡了]SLOT游戏中旋转&lt;color=#00bfff&gt;触发50次免费模式&lt;/color&gt;</t>
  </si>
  <si>
    <t>12251_100700_1024030_1</t>
  </si>
  <si>
    <t>在[麻将胡了]SLOT游戏中旋转获得&lt;color=#00bfff&gt;1个专属研究点&lt;/color&gt;</t>
  </si>
  <si>
    <t>12251_100700_1024030_2</t>
  </si>
  <si>
    <t>在[麻将胡了]SLOT游戏中旋转获得&lt;color=#00bfff&gt;2个专属研究点&lt;/color&gt;</t>
  </si>
  <si>
    <t>12251_100700_1024030_3</t>
  </si>
  <si>
    <t>在[麻将胡了]SLOT游戏中旋转获得&lt;color=#00bfff&gt;3个专属研究点&lt;/color&gt;</t>
  </si>
  <si>
    <t>12251_100700_1024030_4</t>
  </si>
  <si>
    <t>在[麻将胡了]SLOT游戏中旋转获得&lt;color=#00bfff&gt;4个专属研究点&lt;/color&gt;</t>
  </si>
  <si>
    <t>12251_100700_1024030_5</t>
  </si>
  <si>
    <t>在[麻将胡了]SLOT游戏中旋转获得&lt;color=#00bfff&gt;5个专属研究点&lt;/color&gt;</t>
  </si>
  <si>
    <t>12251_100700_1024030_6</t>
  </si>
  <si>
    <t>在[麻将胡了]SLOT游戏中旋转获得&lt;color=#00bfff&gt;6个专属研究点&lt;/color&gt;</t>
  </si>
  <si>
    <t>12274_100700_1990000_500000</t>
  </si>
  <si>
    <t>在[麻将胡了]SLOT游戏中&lt;color=#00bfff&gt;赢取50万金币&lt;/color&gt;</t>
  </si>
  <si>
    <t>12274_100700_1990000_1000000</t>
  </si>
  <si>
    <t>在[麻将胡了]SLOT游戏中&lt;color=#00bfff&gt;赢取100万金币&lt;/color&gt;</t>
  </si>
  <si>
    <t>12274_100700_1990000_2000000</t>
  </si>
  <si>
    <t>在[麻将胡了]SLOT游戏中&lt;color=#00bfff&gt;赢取200万金币&lt;/color&gt;</t>
  </si>
  <si>
    <t>12274_100700_1990000_5000000</t>
  </si>
  <si>
    <t>在[麻将胡了]SLOT游戏中&lt;color=#00bfff&gt;赢取500万金币&lt;/color&gt;</t>
  </si>
  <si>
    <t>12274_100700_1990000_10000000</t>
  </si>
  <si>
    <t>在[麻将胡了]SLOT游戏中&lt;color=#00bfff&gt;赢取1000万金币&lt;/color&gt;</t>
  </si>
  <si>
    <t>12274_100700_1990000_20000000</t>
  </si>
  <si>
    <t>在[麻将胡了]SLOT游戏中&lt;color=#00bfff&gt;赢取2000万金币&lt;/color&gt;</t>
  </si>
  <si>
    <t>12274_100700_1990000_50000000</t>
  </si>
  <si>
    <t>在[麻将胡了]SLOT游戏中&lt;color=#00bfff&gt;赢取5000万金币&lt;/color&gt;</t>
  </si>
  <si>
    <t>12274_100700_1990000_100000000</t>
  </si>
  <si>
    <t>在[麻将胡了]SLOT游戏中&lt;color=#00bfff&gt;赢取1亿金币&lt;/color&gt;</t>
  </si>
  <si>
    <t>12252_100700_3_5</t>
  </si>
  <si>
    <t>在[麻将胡了]SLOT游戏中&lt;color=#00bfff&gt;触发5次mega win奖&lt;/color&gt;</t>
  </si>
  <si>
    <t>12252_100700_3_10</t>
  </si>
  <si>
    <t>在[麻将胡了]SLOT游戏中&lt;color=#00bfff&gt;触发10次mega win奖&lt;/color&gt;</t>
  </si>
  <si>
    <t>12252_100700_3_15</t>
  </si>
  <si>
    <t>在[麻将胡了]SLOT游戏中&lt;color=#00bfff&gt;触发15次mega win奖&lt;/color&gt;</t>
  </si>
  <si>
    <t>12252_100700_3_20</t>
  </si>
  <si>
    <t>在[麻将胡了]SLOT游戏中&lt;color=#00bfff&gt;触发20次mega win奖&lt;/color&gt;</t>
  </si>
  <si>
    <t>12252_100700_3_25</t>
  </si>
  <si>
    <t>在[麻将胡了]SLOT游戏中&lt;color=#00bfff&gt;触发25次mega win奖&lt;/color&gt;</t>
  </si>
  <si>
    <t>12252_100700_3_30</t>
  </si>
  <si>
    <t>在[麻将胡了]SLOT游戏中&lt;color=#00bfff&gt;触发30次mega win奖&lt;/color&gt;</t>
  </si>
  <si>
    <t>12207_1111_10</t>
  </si>
  <si>
    <t>[雷神]建筑&lt;color=#00bfff&gt;等级达到10级&lt;/color&gt;</t>
  </si>
  <si>
    <t>12207_1111_20</t>
  </si>
  <si>
    <t>[雷神]建筑&lt;color=#00bfff&gt;等级达到20级&lt;/color&gt;</t>
  </si>
  <si>
    <t>12207_1111_30</t>
  </si>
  <si>
    <t>[雷神]建筑&lt;color=#00bfff&gt;等级达到30级&lt;/color&gt;</t>
  </si>
  <si>
    <t>12207_1111_40</t>
  </si>
  <si>
    <t>[雷神]建筑&lt;color=#00bfff&gt;等级达到40级&lt;/color&gt;</t>
  </si>
  <si>
    <t>12207_1111_50</t>
  </si>
  <si>
    <t>[雷神]建筑&lt;color=#00bfff&gt;等级达到50级&lt;/color&gt;</t>
  </si>
  <si>
    <t>12207_1111_60</t>
  </si>
  <si>
    <t>[雷神]建筑&lt;color=#00bfff&gt;等级达到60级&lt;/color&gt;</t>
  </si>
  <si>
    <t>12269_102200_5000</t>
  </si>
  <si>
    <t>[雷神]游戏&lt;color=#00bfff&gt;技能战力达到5000以上&lt;/color&gt;</t>
  </si>
  <si>
    <t>12269_102200_10000</t>
  </si>
  <si>
    <t>[雷神]游戏&lt;color=#00bfff&gt;技能战力达到10000以上&lt;/color&gt;</t>
  </si>
  <si>
    <t>12269_102200_30000</t>
  </si>
  <si>
    <t>[雷神]游戏&lt;color=#00bfff&gt;技能战力达到30000以上&lt;/color&gt;</t>
  </si>
  <si>
    <t>12269_102200_50000</t>
  </si>
  <si>
    <t>[雷神]游戏&lt;color=#00bfff&gt;技能战力达到50000以上&lt;/color&gt;</t>
  </si>
  <si>
    <t>12269_102200_70000</t>
  </si>
  <si>
    <t>[雷神]游戏&lt;color=#00bfff&gt;技能战力达到70000以上&lt;/color&gt;</t>
  </si>
  <si>
    <t>12269_102200_90000</t>
  </si>
  <si>
    <t>[雷神]游戏&lt;color=#00bfff&gt;技能战力达到95000以上&lt;/color&gt;</t>
  </si>
  <si>
    <t>12252_102200_1_10</t>
  </si>
  <si>
    <t>在[雷神]SLOT游戏中&lt;color=#00bfff&gt;触发10次SWEET WIN奖&lt;/color&gt;</t>
  </si>
  <si>
    <t>12252_102200_1_20</t>
  </si>
  <si>
    <t>在[雷神]SLOT游戏中&lt;color=#00bfff&gt;触发20次SWEET WIN奖&lt;/color&gt;</t>
  </si>
  <si>
    <t>12252_102200_1_30</t>
  </si>
  <si>
    <t>在[雷神]SLOT游戏中&lt;color=#00bfff&gt;触发30次SWEET WIN奖&lt;/color&gt;</t>
  </si>
  <si>
    <t>12252_102200_1_40</t>
  </si>
  <si>
    <t>在[雷神]SLOT游戏中&lt;color=#00bfff&gt;触发40次SWEET WIN奖&lt;/color&gt;</t>
  </si>
  <si>
    <t>12252_102200_1_50</t>
  </si>
  <si>
    <t>在[雷神]SLOT游戏中&lt;color=#00bfff&gt;触发50次SWEET WIN奖&lt;/color&gt;</t>
  </si>
  <si>
    <t>12252_102200_1_60</t>
  </si>
  <si>
    <t>在[雷神]SLOT游戏中&lt;color=#00bfff&gt;触发60次SWEET WIN奖&lt;/color&gt;</t>
  </si>
  <si>
    <t>12272_102200_200</t>
  </si>
  <si>
    <t>在[雷神]SLOT游戏中&lt;color=#00bfff&gt;投注200次&lt;/color&gt;</t>
  </si>
  <si>
    <t>12272_102200_500</t>
  </si>
  <si>
    <t>在[雷神]SLOT游戏中&lt;color=#00bfff&gt;投注500次&lt;/color&gt;</t>
  </si>
  <si>
    <t>12272_102200_1000</t>
  </si>
  <si>
    <t>在[雷神]SLOT游戏中&lt;color=#00bfff&gt;投注1000次&lt;/color&gt;</t>
  </si>
  <si>
    <t>12272_102200_2000</t>
  </si>
  <si>
    <t>在[雷神]SLOT游戏中&lt;color=#00bfff&gt;投注2000次&lt;/color&gt;</t>
  </si>
  <si>
    <t>12272_102200_5000</t>
  </si>
  <si>
    <t>在[雷神]SLOT游戏中&lt;color=#00bfff&gt;投注5000次&lt;/color&gt;</t>
  </si>
  <si>
    <t>12272_102200_10000</t>
  </si>
  <si>
    <t>在[雷神]SLOT游戏中&lt;color=#00bfff&gt;投注10000次&lt;/color&gt;</t>
  </si>
  <si>
    <t>12254_102200_1</t>
  </si>
  <si>
    <t>在[雷神]SLOT游戏中旋转&lt;color=#00bfff&gt;触发1次免费模式&lt;/color&gt;</t>
  </si>
  <si>
    <t>12254_102200_2</t>
  </si>
  <si>
    <t>在[雷神]SLOT游戏中旋转&lt;color=#00bfff&gt;触发2次免费模式&lt;/color&gt;</t>
  </si>
  <si>
    <t>12254_102200_5</t>
  </si>
  <si>
    <t>在[雷神]SLOT游戏中旋转&lt;color=#00bfff&gt;触发5次免费模式&lt;/color&gt;</t>
  </si>
  <si>
    <t>12254_102200_10</t>
  </si>
  <si>
    <t>在[雷神]SLOT游戏中旋转&lt;color=#00bfff&gt;触发10次免费模式&lt;/color&gt;</t>
  </si>
  <si>
    <t>12254_102200_20</t>
  </si>
  <si>
    <t>在[雷神]SLOT游戏中旋转&lt;color=#00bfff&gt;触发20次免费模式&lt;/color&gt;</t>
  </si>
  <si>
    <t>12254_102200_50</t>
  </si>
  <si>
    <t>在[雷神]SLOT游戏中旋转&lt;color=#00bfff&gt;触发50次免费模式&lt;/color&gt;</t>
  </si>
  <si>
    <t>12251_102200_1024079_1</t>
  </si>
  <si>
    <t>在[雷神]SLOT游戏中旋转获得&lt;color=#00bfff&gt;1个专属研究点&lt;/color&gt;</t>
  </si>
  <si>
    <t>12251_102200_1024079_2</t>
  </si>
  <si>
    <t>在[雷神]SLOT游戏中旋转获得&lt;color=#00bfff&gt;2个专属研究点&lt;/color&gt;</t>
  </si>
  <si>
    <t>12251_102200_1024079_3</t>
  </si>
  <si>
    <t>在[雷神]SLOT游戏中旋转获得&lt;color=#00bfff&gt;3个专属研究点&lt;/color&gt;</t>
  </si>
  <si>
    <t>12251_102200_1024079_4</t>
  </si>
  <si>
    <t>在[雷神]SLOT游戏中旋转获得&lt;color=#00bfff&gt;4个专属研究点&lt;/color&gt;</t>
  </si>
  <si>
    <t>12251_102200_1024079_5</t>
  </si>
  <si>
    <t>在[雷神]SLOT游戏中旋转获得&lt;color=#00bfff&gt;5个专属研究点&lt;/color&gt;</t>
  </si>
  <si>
    <t>12251_102200_1024079_6</t>
  </si>
  <si>
    <t>在[雷神]SLOT游戏中旋转获得&lt;color=#00bfff&gt;6个专属研究点&lt;/color&gt;</t>
  </si>
  <si>
    <t>12274_102200_1990000_5000000</t>
  </si>
  <si>
    <t>在[雷神]SLOT游戏中&lt;color=#00bfff&gt;赢取500万金币&lt;/color&gt;</t>
  </si>
  <si>
    <t>12274_102200_1990000_10000000</t>
  </si>
  <si>
    <t>在[雷神]SLOT游戏中&lt;color=#00bfff&gt;赢取1000万金币&lt;/color&gt;</t>
  </si>
  <si>
    <t>12274_102200_1990000_20000000</t>
  </si>
  <si>
    <t>在[雷神]SLOT游戏中&lt;color=#00bfff&gt;赢取2000万金币&lt;/color&gt;</t>
  </si>
  <si>
    <t>12274_102200_1990000_50000000</t>
  </si>
  <si>
    <t>在[雷神]SLOT游戏中&lt;color=#00bfff&gt;赢取5000万金币&lt;/color&gt;</t>
  </si>
  <si>
    <t>12274_102200_1990000_100000000</t>
  </si>
  <si>
    <t>在[雷神]SLOT游戏中&lt;color=#00bfff&gt;赢取1亿金币&lt;/color&gt;</t>
  </si>
  <si>
    <t>12274_102200_1990000_200000000</t>
  </si>
  <si>
    <t>在[雷神]SLOT游戏中&lt;color=#00bfff&gt;赢取2亿金币&lt;/color&gt;</t>
  </si>
  <si>
    <t>12274_102200_1990000_500000000</t>
  </si>
  <si>
    <t>在[雷神]SLOT游戏中&lt;color=#00bfff&gt;赢取5亿金币&lt;/color&gt;</t>
  </si>
  <si>
    <t>12274_102200_1990000_1000000000</t>
  </si>
  <si>
    <t>在[雷神]SLOT游戏中&lt;color=#00bfff&gt;赢取10亿金币&lt;/color&gt;</t>
  </si>
  <si>
    <t>12253_102200_1_1</t>
  </si>
  <si>
    <t>在[雷神]SLOT游戏中&lt;color=#00bfff&gt;触发1次MINI奖池&lt;/color&gt;</t>
  </si>
  <si>
    <t>12253_102200_1_2</t>
  </si>
  <si>
    <t>在[雷神]SLOT游戏中&lt;color=#00bfff&gt;触发2次MINI奖池&lt;/color&gt;</t>
  </si>
  <si>
    <t>12253_102200_1_3</t>
  </si>
  <si>
    <t>在[雷神]SLOT游戏中&lt;color=#00bfff&gt;触发3次MINI奖池&lt;/color&gt;</t>
  </si>
  <si>
    <t>12253_102200_1_4</t>
  </si>
  <si>
    <t>在[雷神]SLOT游戏中&lt;color=#00bfff&gt;触发4次MINI奖池&lt;/color&gt;</t>
  </si>
  <si>
    <t>12253_102200_1_5</t>
  </si>
  <si>
    <t>在[雷神]SLOT游戏中&lt;color=#00bfff&gt;触发5次MINI奖池&lt;/color&gt;</t>
  </si>
  <si>
    <t>12253_102200_1_6</t>
  </si>
  <si>
    <t>在[雷神]SLOT游戏中&lt;color=#00bfff&gt;触发6次MINI奖池&lt;/color&gt;</t>
  </si>
  <si>
    <t>12207_1112_10</t>
  </si>
  <si>
    <t>[杰克船长]建筑&lt;color=#00bfff&gt;等级达到10级&lt;/color&gt;</t>
  </si>
  <si>
    <t>12207_1112_20</t>
  </si>
  <si>
    <t>[杰克船长]建筑&lt;color=#00bfff&gt;等级达到20级&lt;/color&gt;</t>
  </si>
  <si>
    <t>12207_1112_30</t>
  </si>
  <si>
    <t>[杰克船长]建筑&lt;color=#00bfff&gt;等级达到30级&lt;/color&gt;</t>
  </si>
  <si>
    <t>12207_1112_40</t>
  </si>
  <si>
    <t>[杰克船长]建筑&lt;color=#00bfff&gt;等级达到40级&lt;/color&gt;</t>
  </si>
  <si>
    <t>12207_1112_50</t>
  </si>
  <si>
    <t>[杰克船长]建筑&lt;color=#00bfff&gt;等级达到50级&lt;/color&gt;</t>
  </si>
  <si>
    <t>12207_1112_60</t>
  </si>
  <si>
    <t>[杰克船长]建筑&lt;color=#00bfff&gt;等级达到60级&lt;/color&gt;</t>
  </si>
  <si>
    <t>12269_102100_5000</t>
  </si>
  <si>
    <t>[杰克船长]游戏&lt;color=#00bfff&gt;技能战力达到5000以上&lt;/color&gt;</t>
  </si>
  <si>
    <t>12269_102100_10000</t>
  </si>
  <si>
    <t>[杰克船长]游戏&lt;color=#00bfff&gt;技能战力达到10000以上&lt;/color&gt;</t>
  </si>
  <si>
    <t>12269_102100_40000</t>
  </si>
  <si>
    <t>[杰克船长]游戏&lt;color=#00bfff&gt;技能战力达到40000以上&lt;/color&gt;</t>
  </si>
  <si>
    <t>12269_102100_70000</t>
  </si>
  <si>
    <t>[杰克船长]游戏&lt;color=#00bfff&gt;技能战力达到70000以上&lt;/color&gt;</t>
  </si>
  <si>
    <t>12269_102100_100000</t>
  </si>
  <si>
    <t>[杰克船长]游戏&lt;color=#00bfff&gt;技能战力达到100000以上&lt;/color&gt;</t>
  </si>
  <si>
    <t>12269_102100_125000</t>
  </si>
  <si>
    <t>[杰克船长]游戏&lt;color=#00bfff&gt;技能战力达到135000以上&lt;/color&gt;</t>
  </si>
  <si>
    <t>12252_102100_1_10</t>
  </si>
  <si>
    <t>在[杰克船长]SLOT游戏中&lt;color=#00bfff&gt;触发10次SWEET WIN奖&lt;/color&gt;</t>
  </si>
  <si>
    <t>12252_102100_1_20</t>
  </si>
  <si>
    <t>在[杰克船长]SLOT游戏中&lt;color=#00bfff&gt;触发20次SWEET WIN奖&lt;/color&gt;</t>
  </si>
  <si>
    <t>12252_102100_1_30</t>
  </si>
  <si>
    <t>在[杰克船长]SLOT游戏中&lt;color=#00bfff&gt;触发30次SWEET WIN奖&lt;/color&gt;</t>
  </si>
  <si>
    <t>12252_102100_1_40</t>
  </si>
  <si>
    <t>在[杰克船长]SLOT游戏中&lt;color=#00bfff&gt;触发40次SWEET WIN奖&lt;/color&gt;</t>
  </si>
  <si>
    <t>12252_102100_1_50</t>
  </si>
  <si>
    <t>在[杰克船长]SLOT游戏中&lt;color=#00bfff&gt;触发50次SWEET WIN奖&lt;/color&gt;</t>
  </si>
  <si>
    <t>12252_102100_1_60</t>
  </si>
  <si>
    <t>在[杰克船长]SLOT游戏中&lt;color=#00bfff&gt;触发60次SWEET WIN奖&lt;/color&gt;</t>
  </si>
  <si>
    <t>12272_102100_200</t>
  </si>
  <si>
    <t>在[杰克船长]SLOT游戏中&lt;color=#00bfff&gt;投注200次&lt;/color&gt;</t>
  </si>
  <si>
    <t>12272_102100_500</t>
  </si>
  <si>
    <t>在[杰克船长]SLOT游戏中&lt;color=#00bfff&gt;投注500次&lt;/color&gt;</t>
  </si>
  <si>
    <t>12272_102100_1000</t>
  </si>
  <si>
    <t>在[杰克船长]SLOT游戏中&lt;color=#00bfff&gt;投注1000次&lt;/color&gt;</t>
  </si>
  <si>
    <t>12272_102100_2000</t>
  </si>
  <si>
    <t>在[杰克船长]SLOT游戏中&lt;color=#00bfff&gt;投注2000次&lt;/color&gt;</t>
  </si>
  <si>
    <t>12272_102100_5000</t>
  </si>
  <si>
    <t>在[杰克船长]SLOT游戏中&lt;color=#00bfff&gt;投注5000次&lt;/color&gt;</t>
  </si>
  <si>
    <t>12272_102100_10000</t>
  </si>
  <si>
    <t>在[杰克船长]SLOT游戏中&lt;color=#00bfff&gt;投注10000次&lt;/color&gt;</t>
  </si>
  <si>
    <t>12254_102100_1</t>
  </si>
  <si>
    <t>在[杰克船长]SLOT游戏中旋转&lt;color=#00bfff&gt;触发1次免费模式&lt;/color&gt;</t>
  </si>
  <si>
    <t>12254_102100_2</t>
  </si>
  <si>
    <t>在[杰克船长]SLOT游戏中旋转&lt;color=#00bfff&gt;触发2次免费模式&lt;/color&gt;</t>
  </si>
  <si>
    <t>12254_102100_5</t>
  </si>
  <si>
    <t>在[杰克船长]SLOT游戏中旋转&lt;color=#00bfff&gt;触发5次免费模式&lt;/color&gt;</t>
  </si>
  <si>
    <t>12254_102100_10</t>
  </si>
  <si>
    <t>在[杰克船长]SLOT游戏中旋转&lt;color=#00bfff&gt;触发10次免费模式&lt;/color&gt;</t>
  </si>
  <si>
    <t>12254_102100_20</t>
  </si>
  <si>
    <t>在[杰克船长]SLOT游戏中旋转&lt;color=#00bfff&gt;触发20次免费模式&lt;/color&gt;</t>
  </si>
  <si>
    <t>12254_102100_50</t>
  </si>
  <si>
    <t>在[杰克船长]SLOT游戏中旋转&lt;color=#00bfff&gt;触发50次免费模式&lt;/color&gt;</t>
  </si>
  <si>
    <t>12251_102100_1024080_1</t>
  </si>
  <si>
    <t>在[杰克船长]SLOT游戏中旋转获得&lt;color=#00bfff&gt;1个专属研究点&lt;/color&gt;</t>
  </si>
  <si>
    <t>12251_102100_1024080_2</t>
  </si>
  <si>
    <t>在[杰克船长]SLOT游戏中旋转获得&lt;color=#00bfff&gt;2个专属研究点&lt;/color&gt;</t>
  </si>
  <si>
    <t>12251_102100_1024080_3</t>
  </si>
  <si>
    <t>在[杰克船长]SLOT游戏中旋转获得&lt;color=#00bfff&gt;3个专属研究点&lt;/color&gt;</t>
  </si>
  <si>
    <t>12251_102100_1024080_4</t>
  </si>
  <si>
    <t>在[杰克船长]SLOT游戏中旋转获得&lt;color=#00bfff&gt;4个专属研究点&lt;/color&gt;</t>
  </si>
  <si>
    <t>12251_102100_1024080_5</t>
  </si>
  <si>
    <t>在[杰克船长]SLOT游戏中旋转获得&lt;color=#00bfff&gt;5个专属研究点&lt;/color&gt;</t>
  </si>
  <si>
    <t>12251_102100_1024080_6</t>
  </si>
  <si>
    <t>在[杰克船长]SLOT游戏中旋转获得&lt;color=#00bfff&gt;6个专属研究点&lt;/color&gt;</t>
  </si>
  <si>
    <t>12274_102100_1990000_5000000</t>
  </si>
  <si>
    <t>在[杰克船长]SLOT游戏中&lt;color=#00bfff&gt;赢取500万金币&lt;/color&gt;</t>
  </si>
  <si>
    <t>12274_102100_1990000_10000000</t>
  </si>
  <si>
    <t>在[杰克船长]SLOT游戏中&lt;color=#00bfff&gt;赢取1000万金币&lt;/color&gt;</t>
  </si>
  <si>
    <t>12274_102100_1990000_20000000</t>
  </si>
  <si>
    <t>在[杰克船长]SLOT游戏中&lt;color=#00bfff&gt;赢取2000万金币&lt;/color&gt;</t>
  </si>
  <si>
    <t>12274_102100_1990000_50000000</t>
  </si>
  <si>
    <t>在[杰克船长]SLOT游戏中&lt;color=#00bfff&gt;赢取5000万金币&lt;/color&gt;</t>
  </si>
  <si>
    <t>12274_102100_1990000_100000000</t>
  </si>
  <si>
    <t>在[杰克船长]SLOT游戏中&lt;color=#00bfff&gt;赢取1亿金币&lt;/color&gt;</t>
  </si>
  <si>
    <t>12274_102100_1990000_200000000</t>
  </si>
  <si>
    <t>在[杰克船长]SLOT游戏中&lt;color=#00bfff&gt;赢取2亿金币&lt;/color&gt;</t>
  </si>
  <si>
    <t>12274_102100_1990000_500000000</t>
  </si>
  <si>
    <t>在[杰克船长]SLOT游戏中&lt;color=#00bfff&gt;赢取5亿金币&lt;/color&gt;</t>
  </si>
  <si>
    <t>12274_102100_1990000_1000000000</t>
  </si>
  <si>
    <t>在[杰克船长]SLOT游戏中&lt;color=#00bfff&gt;赢取10亿金币&lt;/color&gt;</t>
  </si>
  <si>
    <t>12253_102100_1_1</t>
  </si>
  <si>
    <t>在[杰克船长]SLOT游戏中&lt;color=#00bfff&gt;触发1次MINI奖池&lt;/color&gt;</t>
  </si>
  <si>
    <t>12253_102100_1_2</t>
  </si>
  <si>
    <t>在[杰克船长]SLOT游戏中&lt;color=#00bfff&gt;触发2次MINI奖池&lt;/color&gt;</t>
  </si>
  <si>
    <t>12253_102100_1_3</t>
  </si>
  <si>
    <t>在[杰克船长]SLOT游戏中&lt;color=#00bfff&gt;触发3次MINI奖池&lt;/color&gt;</t>
  </si>
  <si>
    <t>12253_102100_1_4</t>
  </si>
  <si>
    <t>在[杰克船长]SLOT游戏中&lt;color=#00bfff&gt;触发4次MINI奖池&lt;/color&gt;</t>
  </si>
  <si>
    <t>12253_102100_1_5</t>
  </si>
  <si>
    <t>在[杰克船长]SLOT游戏中&lt;color=#00bfff&gt;触发5次MINI奖池&lt;/color&gt;</t>
  </si>
  <si>
    <t>12253_102100_1_6</t>
  </si>
  <si>
    <t>在[杰克船长]SLOT游戏中&lt;color=#00bfff&gt;触发6次MINI奖池&lt;/color&gt;</t>
  </si>
  <si>
    <t>以下游戏可用来配置,【策划看】</t>
  </si>
  <si>
    <t>参与N次X活动 专用，以下活动可用来配置,【策划看】</t>
  </si>
  <si>
    <t>401、402 任务类型 专用，以下道具可用来配置,【策划看】</t>
  </si>
  <si>
    <t>达成条件</t>
  </si>
  <si>
    <t>游戏ID</t>
  </si>
  <si>
    <t>游戏名称</t>
  </si>
  <si>
    <t>活动ID</t>
  </si>
  <si>
    <t>活动名称</t>
  </si>
  <si>
    <t>道具ID</t>
  </si>
  <si>
    <t>道具名称</t>
  </si>
  <si>
    <t>进行N次单笔X以上的充值</t>
  </si>
  <si>
    <t>任意渠道充值</t>
  </si>
  <si>
    <t>普通游戏</t>
  </si>
  <si>
    <t>金礦大亨-普通</t>
  </si>
  <si>
    <t>每日奖金</t>
  </si>
  <si>
    <t>领取任意奖励</t>
  </si>
  <si>
    <t>祈福卡</t>
  </si>
  <si>
    <t>游戏中产出 (不是礼包获得)</t>
  </si>
  <si>
    <t>累积充值达到X以上</t>
  </si>
  <si>
    <t>超级明星-普通</t>
  </si>
  <si>
    <t>摇钱树</t>
  </si>
  <si>
    <t>祈福任意摇钱树</t>
  </si>
  <si>
    <t>刮刮卡</t>
  </si>
  <si>
    <t>在N游戏中，金币有效下注累积达到X</t>
  </si>
  <si>
    <t>指定游戏</t>
  </si>
  <si>
    <t>麻将胡了-普通</t>
  </si>
  <si>
    <t>储钱罐</t>
  </si>
  <si>
    <t>领取任意罐子</t>
  </si>
  <si>
    <t>赌场材料随机包(普通)</t>
  </si>
  <si>
    <t>在任意游戏中，金币有效下注累积达到X</t>
  </si>
  <si>
    <t>所有游戏</t>
  </si>
  <si>
    <t>财神-普通</t>
  </si>
  <si>
    <t>消耗任意道具数量</t>
  </si>
  <si>
    <t>赌场材料随机包(豪华)</t>
  </si>
  <si>
    <t>在N游戏中，金币累积赢奖达到X</t>
  </si>
  <si>
    <t>埃及艳后-普通</t>
  </si>
  <si>
    <t>推广分享</t>
  </si>
  <si>
    <t>领取任意收益奖励</t>
  </si>
  <si>
    <t>赌场材料随机包(尊贵)</t>
  </si>
  <si>
    <t>在任意游戏中，金币累积赢奖达到X</t>
  </si>
  <si>
    <t>紅黑大戰-普通</t>
  </si>
  <si>
    <t>每日充值(未研发)</t>
  </si>
  <si>
    <t>领取任意充值奖励</t>
  </si>
  <si>
    <t>拼图随机礼包(一星)</t>
  </si>
  <si>
    <t>在N私人房间中钻石有效下注累积达到X</t>
  </si>
  <si>
    <t>指定房间游戏</t>
  </si>
  <si>
    <t>龍虎鬥-普通</t>
  </si>
  <si>
    <t>拼图随机礼包(二星)</t>
  </si>
  <si>
    <t>在任意私人房间中钻石有效下注累积达到X</t>
  </si>
  <si>
    <t>所有房间游戏</t>
  </si>
  <si>
    <t>飛禽走獸-普通</t>
  </si>
  <si>
    <t>拼图随机礼包(三星)</t>
  </si>
  <si>
    <t>在N私人房间中钻石累积赢奖达到X</t>
  </si>
  <si>
    <t>豪車俱樂部-普通</t>
  </si>
  <si>
    <t>拼图随机礼包(四星)</t>
  </si>
  <si>
    <t>在任意私人房间中钻石累积赢奖达到X</t>
  </si>
  <si>
    <t>百家樂-普通</t>
  </si>
  <si>
    <t>拼图随机礼包(五星)</t>
  </si>
  <si>
    <t>在N游戏中，累积获得X个i</t>
  </si>
  <si>
    <t>骰子-普通</t>
  </si>
  <si>
    <t>在任意游戏中,累积获得X个i</t>
  </si>
  <si>
    <t>越南色碟-普通</t>
  </si>
  <si>
    <t>累积消耗X个i</t>
  </si>
  <si>
    <t>查看501专用</t>
  </si>
  <si>
    <t>大小骰子-普通</t>
  </si>
  <si>
    <t>501 任务类型专用，以下道具可用来配置,【策划看】</t>
  </si>
  <si>
    <t>参与N次X活动</t>
  </si>
  <si>
    <t>查看502专用</t>
  </si>
  <si>
    <t>魚蝦蟹-普通</t>
  </si>
  <si>
    <t>在N电子游戏中，累积旋转X次</t>
  </si>
  <si>
    <t>指定SLOT游戏</t>
  </si>
  <si>
    <t>水果機-普通</t>
  </si>
  <si>
    <t>摇钱树中使用即可</t>
  </si>
  <si>
    <t>在任意电子游戏中，累积旋转X次</t>
  </si>
  <si>
    <t>所有SLOT游戏</t>
  </si>
  <si>
    <t>21點-普通</t>
  </si>
  <si>
    <t>刮刮卡中使用即可</t>
  </si>
  <si>
    <t>德州-普通</t>
  </si>
  <si>
    <t>钻石</t>
  </si>
  <si>
    <t>购买\兑换\赌场升级\房间消耗</t>
  </si>
  <si>
    <t>私人游戏</t>
  </si>
  <si>
    <t>紅黑大戰-房间</t>
  </si>
  <si>
    <t>龍虎鬥-房间</t>
  </si>
  <si>
    <t>飛禽走獸-房间</t>
  </si>
  <si>
    <t>豪車俱樂部-房间</t>
  </si>
  <si>
    <t>百家樂-房间</t>
  </si>
  <si>
    <t>骰子-房间</t>
  </si>
  <si>
    <t>越南色碟-房间</t>
  </si>
  <si>
    <t>大小骰子-房间</t>
  </si>
  <si>
    <t>魚蝦蟹-房间</t>
  </si>
  <si>
    <t>德州-房间</t>
  </si>
  <si>
    <t>价值转化</t>
  </si>
  <si>
    <t>美分</t>
  </si>
  <si>
    <t>道具价值</t>
  </si>
  <si>
    <t>金币价值</t>
  </si>
  <si>
    <t>积分</t>
  </si>
  <si>
    <t>list&lt;int&gt;{_}</t>
  </si>
  <si>
    <t>12101_1022501_10</t>
  </si>
  <si>
    <t>task_600000.png</t>
  </si>
  <si>
    <t>在[搖錢樹]活動中累積使用10個[祈福卡]</t>
  </si>
  <si>
    <t>12101_1022501_30</t>
  </si>
  <si>
    <t>72101</t>
  </si>
  <si>
    <t>在[搖錢樹]活動中累積使用30個[祈福卡]</t>
  </si>
  <si>
    <t>12101_1022501_100</t>
  </si>
  <si>
    <t>72102</t>
  </si>
  <si>
    <t>在[搖錢樹]活動中累積使用100個[祈福卡]</t>
  </si>
  <si>
    <t>11001_999_2_0</t>
  </si>
  <si>
    <t>task_500000.png</t>
  </si>
  <si>
    <t>70001</t>
  </si>
  <si>
    <t>進行2次單筆充值$9.99</t>
  </si>
  <si>
    <t>单笔充值</t>
  </si>
  <si>
    <t>11001_99_1_0</t>
  </si>
  <si>
    <t>71101</t>
  </si>
  <si>
    <t>進行1次單筆充值$0.99</t>
  </si>
  <si>
    <t>11001_499_1_0</t>
  </si>
  <si>
    <t>71102</t>
  </si>
  <si>
    <t>進行1次單筆充值$4.99</t>
  </si>
  <si>
    <t>11001_999_1_0</t>
  </si>
  <si>
    <t>71103</t>
  </si>
  <si>
    <t>進行1次單筆充值$9.99</t>
  </si>
  <si>
    <t>贡献值ID</t>
  </si>
  <si>
    <t>声誉值ID</t>
  </si>
  <si>
    <t>声誉数量</t>
  </si>
  <si>
    <t>贡献数量</t>
  </si>
  <si>
    <t>累積充值達到$1.00</t>
  </si>
  <si>
    <t>在[金礦大亨]電子遊戲中，金币有效下注累積達到1,000,000</t>
  </si>
  <si>
    <t>在任意遊戲中，金币有效下注累積達到4,000,000</t>
  </si>
  <si>
    <t>在[金礦大亨]電子遊戲中，金币累積贏獎達到1,000,000</t>
  </si>
  <si>
    <t>充值商城</t>
  </si>
  <si>
    <t>在任意遊戲中，金币累積贏獎達到20,000,000</t>
  </si>
  <si>
    <t>在私人房間中鑽石累積贏獎達到1,000</t>
  </si>
  <si>
    <t>在[金礦大亨]電子遊戲中，累積旋轉100次</t>
  </si>
  <si>
    <t>在任意電子遊戲中，累積旋轉2500次</t>
  </si>
  <si>
    <t>在[超级明星]電子遊戲中，累積旋轉500次</t>
  </si>
  <si>
    <t>在[麻将胡了]電子遊戲中，累積旋轉500次</t>
  </si>
  <si>
    <t>金矿大亨</t>
  </si>
  <si>
    <t>在[财神]電子遊戲中，累積旋轉500次</t>
  </si>
  <si>
    <t>在[埃及艳后]電子遊戲中，累積旋轉500次</t>
  </si>
  <si>
    <t>在[超级明星]電子遊戲中，金币累積贏獎達到35,000,000</t>
  </si>
  <si>
    <t>在[超级明星]電子遊戲中，金币累積贏獎達到350,000,000</t>
  </si>
  <si>
    <t>在[超级明星]電子遊戲中，金币累積贏獎達到1,400,000,000</t>
  </si>
  <si>
    <t>在[麻将胡了]電子遊戲中，金币累積贏獎達到35,000,000</t>
  </si>
  <si>
    <t>在[麻将胡了]電子遊戲中，金币累積贏獎達到350,000,000</t>
  </si>
  <si>
    <t>在[麻将胡了]電子遊戲中，金币累積贏獎達到1,400,000,000</t>
  </si>
  <si>
    <t>在[财神]電子遊戲中，金币累積贏獎達到35,000,000</t>
  </si>
  <si>
    <t>在[财神]電子遊戲中，金币累積贏獎達到350,000,000</t>
  </si>
  <si>
    <t>在[财神]電子遊戲中，金币累積贏獎達到1,400,000,000</t>
  </si>
  <si>
    <t>在[埃及艳后]電子遊戲中，金币累積贏獎達到35,000,000</t>
  </si>
  <si>
    <t>在[埃及艳后]電子遊戲中，金币累積贏獎達到350,000,000</t>
  </si>
  <si>
    <t>在[埃及艳后]電子遊戲中，金币累積贏獎達到1,400,000,000</t>
  </si>
  <si>
    <t>在私人房間中鑽石累積贏獎達到7,000</t>
  </si>
  <si>
    <t>在私人房間中鑽石累積贏獎達到70,000</t>
  </si>
  <si>
    <t>在私人房間中鑽石累積贏獎達到700,000</t>
  </si>
  <si>
    <t>在任意遊戲中，金币累積贏獎達到210,000,000</t>
  </si>
  <si>
    <t>在任意遊戲中，金币累積贏獎達到2,100,000,000</t>
  </si>
  <si>
    <t>在任意遊戲中，金币累積贏獎達到4,200,000,000</t>
  </si>
  <si>
    <t>创建房间</t>
  </si>
  <si>
    <t>累積充值達到$200.00</t>
  </si>
  <si>
    <t>累積充值達到$500.00</t>
  </si>
  <si>
    <t>在[金礦大亨]電子遊戲中，金币有效下注累積達到70,000,000</t>
  </si>
  <si>
    <t>在[麻将胡了]電子遊戲中，金币有效下注累積達到700,000,000</t>
  </si>
  <si>
    <t>10003_0_1_1000_1980000</t>
  </si>
  <si>
    <t>task_win diamonds</t>
  </si>
  <si>
    <t>赢奖钻石</t>
  </si>
  <si>
    <t>10003_0_1_7000_1980000</t>
  </si>
  <si>
    <t>70381</t>
  </si>
  <si>
    <t>10003_0_1_70000_1980000</t>
  </si>
  <si>
    <t>70382</t>
  </si>
  <si>
    <t>10003_0_1_700000_1980000</t>
  </si>
  <si>
    <t>70383</t>
  </si>
  <si>
    <t>2025/10/01 00:00:00</t>
  </si>
  <si>
    <t>11001_9_2_0</t>
  </si>
  <si>
    <t>task_Recharge</t>
  </si>
  <si>
    <t>2026/10/01 00:00:00</t>
  </si>
  <si>
    <t>11002_100_0</t>
  </si>
  <si>
    <t>累積充值達到$100.00</t>
  </si>
  <si>
    <t>12001_100100_1000000</t>
  </si>
  <si>
    <t>task_GoldMineTycoon</t>
  </si>
  <si>
    <t>12001_0_4000000</t>
  </si>
  <si>
    <t>task_Anygame</t>
  </si>
  <si>
    <t>10003_100100_1_1000000_1990000</t>
  </si>
  <si>
    <t>在任意遊戲中，金币累積贏獎達到2,000,000</t>
  </si>
  <si>
    <t>task_MoneyTree</t>
  </si>
  <si>
    <t>10001_100100_1_100</t>
  </si>
  <si>
    <t>task_rotation times</t>
  </si>
  <si>
    <t>10001_0_1_500</t>
  </si>
  <si>
    <t>在任意電子遊戲中，累積旋轉500次</t>
  </si>
  <si>
    <t>新图标名称[task_游戏ID]</t>
  </si>
  <si>
    <t>task_100100.png</t>
  </si>
  <si>
    <t>task_102500.png</t>
  </si>
  <si>
    <t>红黑大战</t>
  </si>
  <si>
    <t>task_200100.png</t>
  </si>
  <si>
    <t>龙虎斗</t>
  </si>
  <si>
    <t>task_200101.png</t>
  </si>
  <si>
    <t>飞禽走兽</t>
  </si>
  <si>
    <t>task_200300.png</t>
  </si>
  <si>
    <t>豪车俱乐部</t>
  </si>
  <si>
    <t>task_200400.png</t>
  </si>
  <si>
    <t>百家乐</t>
  </si>
  <si>
    <t>task_200500.png</t>
  </si>
  <si>
    <t>骰子</t>
  </si>
  <si>
    <t>task_200600.png</t>
  </si>
  <si>
    <t>越南色碟</t>
  </si>
  <si>
    <t>task_200700.png</t>
  </si>
  <si>
    <t>大小骰子</t>
  </si>
  <si>
    <t>task_200800.png</t>
  </si>
  <si>
    <t>鱼虾蟹</t>
  </si>
  <si>
    <t>task_200900.png</t>
  </si>
  <si>
    <t>21点</t>
  </si>
  <si>
    <t>task_300100.png</t>
  </si>
  <si>
    <t>德州</t>
  </si>
  <si>
    <t>task_300200.png</t>
  </si>
  <si>
    <t>下注</t>
  </si>
  <si>
    <t>task_500002.png</t>
  </si>
  <si>
    <t>任意消费</t>
  </si>
  <si>
    <t>task_500003.png</t>
  </si>
  <si>
    <t>转动次数</t>
  </si>
  <si>
    <t>钻石赢奖</t>
  </si>
  <si>
    <t>task_500005.png</t>
  </si>
  <si>
    <t>task_600001.png</t>
  </si>
  <si>
    <t>特权卡</t>
  </si>
  <si>
    <t>task_600002.png</t>
  </si>
  <si>
    <t>task_600003.png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</si>
</sst>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34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name val="等线"/>
      <charset val="134"/>
      <scheme val="minor"/>
    </font>
    <font>
      <sz val="11"/>
      <color rgb="FFFF0000"/>
      <name val="微软雅黑"/>
      <charset val="134"/>
    </font>
    <font>
      <sz val="11"/>
      <color rgb="FF00B0F0"/>
      <name val="微软雅黑"/>
      <charset val="134"/>
    </font>
    <font>
      <sz val="11"/>
      <color theme="0" tint="-0.35"/>
      <name val="微软雅黑"/>
      <charset val="134"/>
    </font>
    <font>
      <sz val="11"/>
      <color theme="0" tint="-0.25"/>
      <name val="微软雅黑"/>
      <charset val="134"/>
    </font>
    <font>
      <sz val="11"/>
      <color rgb="FF7030A0"/>
      <name val="微软雅黑"/>
      <charset val="134"/>
    </font>
    <font>
      <sz val="11"/>
      <color rgb="FFFF000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0"/>
      <color theme="1"/>
      <name val="Arial"/>
      <charset val="134"/>
    </font>
    <font>
      <sz val="10"/>
      <color theme="1"/>
      <name val="微软雅黑"/>
      <charset val="134"/>
    </font>
    <font>
      <sz val="10.5"/>
      <color theme="1"/>
      <name val="微软雅黑"/>
      <charset val="134"/>
    </font>
    <font>
      <b/>
      <sz val="9"/>
      <name val="宋体"/>
      <charset val="134"/>
    </font>
    <font>
      <sz val="9"/>
      <name val="宋体"/>
      <charset val="134"/>
    </font>
  </fonts>
  <fills count="4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3" tint="0.9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15" borderId="1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2" applyNumberFormat="0" applyFill="0" applyAlignment="0" applyProtection="0">
      <alignment vertical="center"/>
    </xf>
    <xf numFmtId="0" fontId="16" fillId="0" borderId="2" applyNumberFormat="0" applyFill="0" applyAlignment="0" applyProtection="0">
      <alignment vertical="center"/>
    </xf>
    <xf numFmtId="0" fontId="17" fillId="0" borderId="3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16" borderId="4" applyNumberFormat="0" applyAlignment="0" applyProtection="0">
      <alignment vertical="center"/>
    </xf>
    <xf numFmtId="0" fontId="19" fillId="17" borderId="5" applyNumberFormat="0" applyAlignment="0" applyProtection="0">
      <alignment vertical="center"/>
    </xf>
    <xf numFmtId="0" fontId="20" fillId="17" borderId="4" applyNumberFormat="0" applyAlignment="0" applyProtection="0">
      <alignment vertical="center"/>
    </xf>
    <xf numFmtId="0" fontId="21" fillId="18" borderId="6" applyNumberFormat="0" applyAlignment="0" applyProtection="0">
      <alignment vertical="center"/>
    </xf>
    <xf numFmtId="0" fontId="22" fillId="0" borderId="7" applyNumberFormat="0" applyFill="0" applyAlignment="0" applyProtection="0">
      <alignment vertical="center"/>
    </xf>
    <xf numFmtId="0" fontId="23" fillId="0" borderId="8" applyNumberFormat="0" applyFill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8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7" fillId="37" borderId="0" applyNumberFormat="0" applyBorder="0" applyAlignment="0" applyProtection="0">
      <alignment vertical="center"/>
    </xf>
    <xf numFmtId="0" fontId="28" fillId="38" borderId="0" applyNumberFormat="0" applyBorder="0" applyAlignment="0" applyProtection="0">
      <alignment vertical="center"/>
    </xf>
    <xf numFmtId="0" fontId="28" fillId="39" borderId="0" applyNumberFormat="0" applyBorder="0" applyAlignment="0" applyProtection="0">
      <alignment vertical="center"/>
    </xf>
    <xf numFmtId="0" fontId="27" fillId="40" borderId="0" applyNumberFormat="0" applyBorder="0" applyAlignment="0" applyProtection="0">
      <alignment vertical="center"/>
    </xf>
    <xf numFmtId="0" fontId="27" fillId="41" borderId="0" applyNumberFormat="0" applyBorder="0" applyAlignment="0" applyProtection="0">
      <alignment vertical="center"/>
    </xf>
    <xf numFmtId="0" fontId="28" fillId="42" borderId="0" applyNumberFormat="0" applyBorder="0" applyAlignment="0" applyProtection="0">
      <alignment vertical="center"/>
    </xf>
    <xf numFmtId="0" fontId="28" fillId="43" borderId="0" applyNumberFormat="0" applyBorder="0" applyAlignment="0" applyProtection="0">
      <alignment vertical="center"/>
    </xf>
    <xf numFmtId="0" fontId="27" fillId="44" borderId="0" applyNumberFormat="0" applyBorder="0" applyAlignment="0" applyProtection="0">
      <alignment vertical="center"/>
    </xf>
  </cellStyleXfs>
  <cellXfs count="61">
    <xf numFmtId="0" fontId="0" fillId="0" borderId="0" xfId="0">
      <alignment vertical="center"/>
    </xf>
    <xf numFmtId="0" fontId="0" fillId="0" borderId="0" xfId="0" applyAlignment="1">
      <alignment vertical="center"/>
    </xf>
    <xf numFmtId="0" fontId="0" fillId="2" borderId="0" xfId="0" applyFill="1" applyAlignment="1">
      <alignment vertical="center"/>
    </xf>
    <xf numFmtId="0" fontId="1" fillId="0" borderId="0" xfId="0" applyFont="1">
      <alignment vertical="center"/>
    </xf>
    <xf numFmtId="0" fontId="1" fillId="0" borderId="0" xfId="0" applyFont="1" applyFill="1">
      <alignment vertical="center"/>
    </xf>
    <xf numFmtId="0" fontId="1" fillId="0" borderId="0" xfId="0" applyFont="1" applyAlignment="1">
      <alignment horizontal="left" vertical="center"/>
    </xf>
    <xf numFmtId="0" fontId="1" fillId="3" borderId="0" xfId="0" applyNumberFormat="1" applyFont="1" applyFill="1" applyAlignment="1">
      <alignment horizontal="left" vertical="center"/>
    </xf>
    <xf numFmtId="0" fontId="1" fillId="4" borderId="0" xfId="0" applyFont="1" applyFill="1" applyAlignment="1">
      <alignment horizontal="left" vertical="center"/>
    </xf>
    <xf numFmtId="49" fontId="1" fillId="3" borderId="0" xfId="0" applyNumberFormat="1" applyFont="1" applyFill="1" applyAlignment="1">
      <alignment horizontal="left" vertical="center"/>
    </xf>
    <xf numFmtId="0" fontId="1" fillId="4" borderId="0" xfId="0" applyNumberFormat="1" applyFont="1" applyFill="1" applyBorder="1" applyAlignment="1" applyProtection="1">
      <alignment horizontal="left" vertical="center"/>
    </xf>
    <xf numFmtId="0" fontId="1" fillId="3" borderId="0" xfId="0" applyFont="1" applyFill="1" applyAlignment="1">
      <alignment horizontal="left" vertical="center"/>
    </xf>
    <xf numFmtId="0" fontId="1" fillId="5" borderId="0" xfId="0" applyFont="1" applyFill="1" applyAlignment="1">
      <alignment horizontal="left" vertical="center"/>
    </xf>
    <xf numFmtId="0" fontId="1" fillId="3" borderId="0" xfId="0" applyFont="1" applyFill="1">
      <alignment vertical="center"/>
    </xf>
    <xf numFmtId="0" fontId="1" fillId="3" borderId="0" xfId="0" applyNumberFormat="1" applyFont="1" applyFill="1">
      <alignment vertical="center"/>
    </xf>
    <xf numFmtId="0" fontId="1" fillId="5" borderId="0" xfId="0" applyFont="1" applyFill="1">
      <alignment vertical="center"/>
    </xf>
    <xf numFmtId="0" fontId="1" fillId="5" borderId="0" xfId="0" applyNumberFormat="1" applyFont="1" applyFill="1">
      <alignment vertical="center"/>
    </xf>
    <xf numFmtId="49" fontId="2" fillId="5" borderId="0" xfId="0" applyNumberFormat="1" applyFont="1" applyFill="1">
      <alignment vertical="center"/>
    </xf>
    <xf numFmtId="0" fontId="3" fillId="0" borderId="0" xfId="0" applyFont="1" applyFill="1">
      <alignment vertical="center"/>
    </xf>
    <xf numFmtId="0" fontId="2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2" fillId="6" borderId="0" xfId="0" applyFont="1" applyFill="1">
      <alignment vertical="center"/>
    </xf>
    <xf numFmtId="0" fontId="2" fillId="7" borderId="0" xfId="0" applyFont="1" applyFill="1">
      <alignment vertical="center"/>
    </xf>
    <xf numFmtId="0" fontId="2" fillId="8" borderId="0" xfId="0" applyFont="1" applyFill="1">
      <alignment vertical="center"/>
    </xf>
    <xf numFmtId="0" fontId="2" fillId="9" borderId="0" xfId="0" applyFont="1" applyFill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1" fillId="10" borderId="0" xfId="0" applyFont="1" applyFill="1">
      <alignment vertical="center"/>
    </xf>
    <xf numFmtId="0" fontId="1" fillId="4" borderId="0" xfId="0" applyFont="1" applyFill="1">
      <alignment vertical="center"/>
    </xf>
    <xf numFmtId="0" fontId="1" fillId="4" borderId="0" xfId="0" applyNumberFormat="1" applyFont="1" applyFill="1">
      <alignment vertical="center"/>
    </xf>
    <xf numFmtId="49" fontId="1" fillId="4" borderId="0" xfId="0" applyNumberFormat="1" applyFont="1" applyFill="1" applyAlignment="1">
      <alignment horizontal="left" vertical="center"/>
    </xf>
    <xf numFmtId="0" fontId="1" fillId="10" borderId="0" xfId="0" applyNumberFormat="1" applyFont="1" applyFill="1" applyBorder="1" applyAlignment="1" applyProtection="1">
      <alignment horizontal="left" vertical="center"/>
    </xf>
    <xf numFmtId="49" fontId="1" fillId="4" borderId="0" xfId="0" applyNumberFormat="1" applyFont="1" applyFill="1" applyAlignment="1" applyProtection="1">
      <alignment horizontal="left" vertical="center"/>
    </xf>
    <xf numFmtId="0" fontId="1" fillId="10" borderId="0" xfId="0" applyNumberFormat="1" applyFont="1" applyFill="1" applyAlignment="1" applyProtection="1">
      <alignment horizontal="left" vertical="center"/>
    </xf>
    <xf numFmtId="0" fontId="1" fillId="10" borderId="0" xfId="0" applyNumberFormat="1" applyFont="1" applyFill="1">
      <alignment vertical="center"/>
    </xf>
    <xf numFmtId="0" fontId="9" fillId="0" borderId="0" xfId="0" applyFont="1">
      <alignment vertical="center"/>
    </xf>
    <xf numFmtId="0" fontId="1" fillId="0" borderId="0" xfId="0" applyNumberFormat="1" applyFont="1" applyFill="1">
      <alignment vertical="center"/>
    </xf>
    <xf numFmtId="0" fontId="1" fillId="0" borderId="0" xfId="0" applyFont="1" applyFill="1" applyAlignment="1">
      <alignment horizontal="left" vertical="center"/>
    </xf>
    <xf numFmtId="49" fontId="1" fillId="0" borderId="0" xfId="0" applyNumberFormat="1" applyFont="1" applyFill="1" applyAlignment="1">
      <alignment horizontal="left" vertical="center"/>
    </xf>
    <xf numFmtId="49" fontId="1" fillId="0" borderId="0" xfId="0" applyNumberFormat="1" applyFont="1" applyFill="1">
      <alignment vertical="center"/>
    </xf>
    <xf numFmtId="0" fontId="1" fillId="11" borderId="0" xfId="0" applyFont="1" applyFill="1">
      <alignment vertical="center"/>
    </xf>
    <xf numFmtId="0" fontId="1" fillId="11" borderId="0" xfId="0" applyNumberFormat="1" applyFont="1" applyFill="1">
      <alignment vertical="center"/>
    </xf>
    <xf numFmtId="0" fontId="1" fillId="11" borderId="0" xfId="0" applyFont="1" applyFill="1" applyAlignment="1">
      <alignment horizontal="left" vertical="center"/>
    </xf>
    <xf numFmtId="49" fontId="1" fillId="11" borderId="0" xfId="0" applyNumberFormat="1" applyFont="1" applyFill="1" applyAlignment="1">
      <alignment horizontal="left" vertical="center"/>
    </xf>
    <xf numFmtId="0" fontId="1" fillId="11" borderId="0" xfId="0" applyNumberFormat="1" applyFont="1" applyFill="1" applyBorder="1" applyAlignment="1" applyProtection="1">
      <alignment horizontal="left" vertical="center"/>
    </xf>
    <xf numFmtId="49" fontId="1" fillId="11" borderId="0" xfId="0" applyNumberFormat="1" applyFont="1" applyFill="1" applyAlignment="1" applyProtection="1">
      <alignment horizontal="left" vertical="center"/>
    </xf>
    <xf numFmtId="0" fontId="1" fillId="11" borderId="0" xfId="0" applyNumberFormat="1" applyFont="1" applyFill="1" applyAlignment="1" applyProtection="1">
      <alignment horizontal="left" vertical="center"/>
    </xf>
    <xf numFmtId="0" fontId="1" fillId="12" borderId="0" xfId="0" applyFont="1" applyFill="1" applyAlignment="1">
      <alignment horizontal="right" vertical="center"/>
    </xf>
    <xf numFmtId="0" fontId="1" fillId="12" borderId="0" xfId="0" applyFont="1" applyFill="1">
      <alignment vertical="center"/>
    </xf>
    <xf numFmtId="0" fontId="1" fillId="0" borderId="0" xfId="0" applyNumberFormat="1" applyFont="1" applyFill="1" applyAlignment="1">
      <alignment horizontal="left" vertical="center"/>
    </xf>
    <xf numFmtId="0" fontId="0" fillId="0" borderId="0" xfId="0" applyFill="1" applyAlignment="1">
      <alignment vertical="center"/>
    </xf>
    <xf numFmtId="176" fontId="1" fillId="0" borderId="0" xfId="0" applyNumberFormat="1" applyFont="1" applyFill="1">
      <alignment vertical="center"/>
    </xf>
    <xf numFmtId="0" fontId="1" fillId="13" borderId="0" xfId="0" applyFont="1" applyFill="1">
      <alignment vertical="center"/>
    </xf>
    <xf numFmtId="0" fontId="1" fillId="13" borderId="0" xfId="0" applyNumberFormat="1" applyFont="1" applyFill="1">
      <alignment vertical="center"/>
    </xf>
    <xf numFmtId="0" fontId="1" fillId="13" borderId="0" xfId="0" applyFont="1" applyFill="1" applyAlignment="1">
      <alignment horizontal="left" vertical="center"/>
    </xf>
    <xf numFmtId="49" fontId="1" fillId="13" borderId="0" xfId="0" applyNumberFormat="1" applyFont="1" applyFill="1" applyAlignment="1">
      <alignment horizontal="left" vertical="center"/>
    </xf>
    <xf numFmtId="0" fontId="1" fillId="13" borderId="0" xfId="0" applyNumberFormat="1" applyFont="1" applyFill="1" applyAlignment="1">
      <alignment horizontal="left" vertical="center"/>
    </xf>
    <xf numFmtId="0" fontId="3" fillId="0" borderId="0" xfId="0" applyFont="1">
      <alignment vertical="center"/>
    </xf>
    <xf numFmtId="0" fontId="2" fillId="0" borderId="0" xfId="0" applyFont="1" applyAlignment="1">
      <alignment horizontal="left" vertical="center"/>
    </xf>
    <xf numFmtId="0" fontId="1" fillId="14" borderId="0" xfId="0" applyFont="1" applyFill="1" applyAlignment="1">
      <alignment horizontal="left" vertical="center"/>
    </xf>
    <xf numFmtId="49" fontId="1" fillId="0" borderId="0" xfId="0" applyNumberFormat="1" applyFont="1" applyFill="1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jumpData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jumpData"/>
      <sheetName val="Sheet1"/>
    </sheetNames>
    <sheetDataSet>
      <sheetData sheetId="0">
        <row r="1">
          <cell r="A1" t="str">
            <v>跳转ID</v>
          </cell>
        </row>
        <row r="1">
          <cell r="F1" t="str">
            <v>打开界面需要导入的脚本</v>
          </cell>
        </row>
        <row r="2">
          <cell r="A2" t="str">
            <v>int</v>
          </cell>
        </row>
        <row r="2">
          <cell r="F2" t="str">
            <v>string</v>
          </cell>
        </row>
        <row r="3">
          <cell r="A3" t="str">
            <v>id</v>
          </cell>
        </row>
        <row r="3">
          <cell r="F3" t="str">
            <v>jumpRequire</v>
          </cell>
        </row>
        <row r="5">
          <cell r="A5">
            <v>11001</v>
          </cell>
        </row>
        <row r="6">
          <cell r="A6">
            <v>11003</v>
          </cell>
        </row>
        <row r="7">
          <cell r="A7">
            <v>11007</v>
          </cell>
        </row>
        <row r="8">
          <cell r="A8">
            <v>11012</v>
          </cell>
        </row>
        <row r="9">
          <cell r="A9">
            <v>11014</v>
          </cell>
        </row>
        <row r="10">
          <cell r="A10">
            <v>11017</v>
          </cell>
        </row>
        <row r="11">
          <cell r="A11">
            <v>11021</v>
          </cell>
        </row>
        <row r="12">
          <cell r="A12">
            <v>11022</v>
          </cell>
        </row>
        <row r="13">
          <cell r="A13">
            <v>11023</v>
          </cell>
        </row>
        <row r="14">
          <cell r="A14">
            <v>11024</v>
          </cell>
        </row>
        <row r="15">
          <cell r="A15">
            <v>11025</v>
          </cell>
        </row>
        <row r="16">
          <cell r="A16">
            <v>11026</v>
          </cell>
        </row>
        <row r="17">
          <cell r="A17">
            <v>11027</v>
          </cell>
        </row>
        <row r="18">
          <cell r="A18">
            <v>11028</v>
          </cell>
        </row>
        <row r="19">
          <cell r="A19">
            <v>11029</v>
          </cell>
        </row>
        <row r="20">
          <cell r="A20">
            <v>11030</v>
          </cell>
        </row>
        <row r="21">
          <cell r="A21">
            <v>11031</v>
          </cell>
        </row>
        <row r="22">
          <cell r="A22">
            <v>11032</v>
          </cell>
        </row>
        <row r="23">
          <cell r="A23">
            <v>11033</v>
          </cell>
        </row>
        <row r="24">
          <cell r="A24">
            <v>11034</v>
          </cell>
        </row>
        <row r="25">
          <cell r="A25">
            <v>11035</v>
          </cell>
        </row>
        <row r="26">
          <cell r="A26">
            <v>11036</v>
          </cell>
        </row>
        <row r="27">
          <cell r="A27">
            <v>11037</v>
          </cell>
        </row>
        <row r="28">
          <cell r="A28">
            <v>11038</v>
          </cell>
        </row>
        <row r="29">
          <cell r="A29">
            <v>11039</v>
          </cell>
        </row>
        <row r="30">
          <cell r="A30">
            <v>11040</v>
          </cell>
        </row>
        <row r="31">
          <cell r="A31">
            <v>11041</v>
          </cell>
        </row>
        <row r="32">
          <cell r="A32">
            <v>11042</v>
          </cell>
        </row>
        <row r="33">
          <cell r="A33">
            <v>11043</v>
          </cell>
        </row>
        <row r="34">
          <cell r="A34">
            <v>11044</v>
          </cell>
        </row>
        <row r="35">
          <cell r="A35">
            <v>11045</v>
          </cell>
        </row>
        <row r="36">
          <cell r="A36">
            <v>11046</v>
          </cell>
        </row>
        <row r="37">
          <cell r="A37">
            <v>11047</v>
          </cell>
        </row>
        <row r="38">
          <cell r="A38">
            <v>2001</v>
          </cell>
        </row>
        <row r="39">
          <cell r="A39">
            <v>2002</v>
          </cell>
        </row>
        <row r="40">
          <cell r="A40">
            <v>2003</v>
          </cell>
        </row>
        <row r="41">
          <cell r="A41">
            <v>2004</v>
          </cell>
        </row>
        <row r="42">
          <cell r="A42">
            <v>2005</v>
          </cell>
        </row>
        <row r="43">
          <cell r="A43">
            <v>2006</v>
          </cell>
        </row>
        <row r="44">
          <cell r="A44">
            <v>2007</v>
          </cell>
        </row>
        <row r="45">
          <cell r="A45">
            <v>2008</v>
          </cell>
        </row>
        <row r="46">
          <cell r="A46">
            <v>3001</v>
          </cell>
        </row>
        <row r="47">
          <cell r="A47">
            <v>3002</v>
          </cell>
        </row>
        <row r="48">
          <cell r="A48">
            <v>3003</v>
          </cell>
        </row>
        <row r="49">
          <cell r="A49">
            <v>3004</v>
          </cell>
        </row>
        <row r="50">
          <cell r="A50">
            <v>3005</v>
          </cell>
        </row>
        <row r="51">
          <cell r="A51">
            <v>3006</v>
          </cell>
        </row>
        <row r="52">
          <cell r="A52">
            <v>3007</v>
          </cell>
        </row>
        <row r="53">
          <cell r="A53">
            <v>3011</v>
          </cell>
        </row>
        <row r="53">
          <cell r="F53" t="str">
            <v>PlatformHall/UIHall/MVCHead</v>
          </cell>
        </row>
        <row r="54">
          <cell r="A54">
            <v>3012</v>
          </cell>
        </row>
        <row r="54">
          <cell r="F54" t="str">
            <v>PlatformHall/UIHall/MVCHead</v>
          </cell>
        </row>
        <row r="55">
          <cell r="A55">
            <v>3013</v>
          </cell>
        </row>
        <row r="55">
          <cell r="F55" t="str">
            <v>PlatformHall/UIFriends/MVCHead</v>
          </cell>
        </row>
        <row r="56">
          <cell r="A56">
            <v>3014</v>
          </cell>
        </row>
        <row r="56">
          <cell r="F56" t="str">
            <v>PlatformHall/Alliance/MVCHead</v>
          </cell>
        </row>
        <row r="57">
          <cell r="A57">
            <v>3015</v>
          </cell>
        </row>
        <row r="57">
          <cell r="F57" t="str">
            <v>PlatformHall/UISeason/MVCHead</v>
          </cell>
        </row>
        <row r="58">
          <cell r="A58">
            <v>4001</v>
          </cell>
        </row>
        <row r="58">
          <cell r="F58" t="str">
            <v>PlatformHall/UISeason/MVCHead</v>
          </cell>
        </row>
        <row r="59">
          <cell r="A59">
            <v>4002</v>
          </cell>
        </row>
        <row r="59">
          <cell r="F59" t="str">
            <v>PlatformHall/UISeason/MVCHead</v>
          </cell>
        </row>
        <row r="60">
          <cell r="A60">
            <v>4003</v>
          </cell>
        </row>
        <row r="60">
          <cell r="F60" t="str">
            <v>PlatformHall/UISeason/MVCHead</v>
          </cell>
        </row>
        <row r="61">
          <cell r="A61">
            <v>4004</v>
          </cell>
        </row>
        <row r="61">
          <cell r="F61" t="str">
            <v>PlatformHall/UISeason/MVCHead</v>
          </cell>
        </row>
        <row r="62">
          <cell r="A62">
            <v>4005</v>
          </cell>
        </row>
        <row r="62">
          <cell r="F62" t="str">
            <v>PlatformHall/UISeason/MVCHead</v>
          </cell>
        </row>
        <row r="63">
          <cell r="A63">
            <v>3016</v>
          </cell>
        </row>
        <row r="63">
          <cell r="F63" t="str">
            <v>PlatformHall/UIActivities/UISignIn/MVCHead</v>
          </cell>
        </row>
        <row r="64">
          <cell r="A64">
            <v>3017</v>
          </cell>
        </row>
        <row r="64">
          <cell r="F64" t="str">
            <v>PlatformHall/SimulationGame/MVCHead</v>
          </cell>
        </row>
        <row r="65">
          <cell r="A65">
            <v>3018</v>
          </cell>
        </row>
        <row r="65">
          <cell r="F65" t="str">
            <v>PlatformHall/SimulationGame/MVCHead</v>
          </cell>
        </row>
        <row r="66">
          <cell r="A66">
            <v>3019</v>
          </cell>
        </row>
        <row r="66">
          <cell r="F66" t="str">
            <v>PlatformHall/SimulationGame/MVCHead</v>
          </cell>
        </row>
        <row r="67">
          <cell r="A67">
            <v>3020</v>
          </cell>
        </row>
        <row r="67">
          <cell r="F67" t="str">
            <v>PlatformHall/UIInviteGuest/MVCHead</v>
          </cell>
        </row>
        <row r="68">
          <cell r="A68">
            <v>3021</v>
          </cell>
        </row>
        <row r="68">
          <cell r="F68" t="str">
            <v>PlatformHall/UIActivities/UILookAds/MVCHead</v>
          </cell>
        </row>
        <row r="69">
          <cell r="A69">
            <v>3101</v>
          </cell>
        </row>
        <row r="69">
          <cell r="F69" t="str">
            <v>PlatformHall/Alliance/MVCHead</v>
          </cell>
        </row>
        <row r="70">
          <cell r="A70">
            <v>3102</v>
          </cell>
        </row>
        <row r="70">
          <cell r="F70" t="str">
            <v>PlatformHall/Alliance/MVCHead</v>
          </cell>
        </row>
        <row r="71">
          <cell r="A71">
            <v>3103</v>
          </cell>
        </row>
        <row r="71">
          <cell r="F71" t="str">
            <v>PlatformHall/Alliance/MVCHead</v>
          </cell>
        </row>
        <row r="72">
          <cell r="A72">
            <v>3104</v>
          </cell>
        </row>
        <row r="72">
          <cell r="F72" t="str">
            <v>PlatformHall/Alliance/MVCHead</v>
          </cell>
        </row>
        <row r="73">
          <cell r="A73">
            <v>3111</v>
          </cell>
        </row>
        <row r="73">
          <cell r="F73" t="str">
            <v>PlatformHall/UISeason/MVCHead</v>
          </cell>
        </row>
        <row r="74">
          <cell r="A74">
            <v>3112</v>
          </cell>
        </row>
        <row r="74">
          <cell r="F74" t="str">
            <v>PlatformHall/UISeason/MVCHead</v>
          </cell>
        </row>
        <row r="75">
          <cell r="A75">
            <v>3113</v>
          </cell>
        </row>
        <row r="75">
          <cell r="F75" t="str">
            <v>PlatformHall/UISeason/MVCHead</v>
          </cell>
        </row>
        <row r="76">
          <cell r="A76">
            <v>3114</v>
          </cell>
        </row>
        <row r="76">
          <cell r="F76" t="str">
            <v>PlatformHall/UISeason/MVCHead</v>
          </cell>
        </row>
        <row r="77">
          <cell r="A77">
            <v>3121</v>
          </cell>
        </row>
        <row r="77">
          <cell r="F77" t="str">
            <v>PlatformHall/SimulationGame/MVCHead</v>
          </cell>
        </row>
        <row r="78">
          <cell r="A78">
            <v>3122</v>
          </cell>
        </row>
        <row r="78">
          <cell r="F78" t="str">
            <v>PlatformHall/SimulationGame/MVCHead</v>
          </cell>
        </row>
        <row r="79">
          <cell r="A79">
            <v>3123</v>
          </cell>
        </row>
        <row r="79">
          <cell r="F79" t="str">
            <v>PlatformHall/SimulationGame/MVCHead</v>
          </cell>
        </row>
        <row r="80">
          <cell r="A80">
            <v>3131</v>
          </cell>
        </row>
        <row r="80">
          <cell r="F80" t="str">
            <v>PlatformHall/UITaskSystem/MVCHead</v>
          </cell>
        </row>
        <row r="81">
          <cell r="A81">
            <v>3132</v>
          </cell>
        </row>
        <row r="81">
          <cell r="F81" t="str">
            <v>PlatformHall/UITaskSystem/MVCHead</v>
          </cell>
        </row>
        <row r="82">
          <cell r="A82">
            <v>3133</v>
          </cell>
        </row>
        <row r="82">
          <cell r="F82" t="str">
            <v>PlatformHall/UITaskSystem/MVCHead</v>
          </cell>
        </row>
        <row r="83">
          <cell r="A83">
            <v>3134</v>
          </cell>
        </row>
        <row r="84">
          <cell r="A84">
            <v>3141</v>
          </cell>
        </row>
        <row r="85">
          <cell r="A85">
            <v>3142</v>
          </cell>
        </row>
        <row r="85">
          <cell r="F85" t="str">
            <v>PlatformHall/UIUserInfo/MVCHead</v>
          </cell>
        </row>
        <row r="86">
          <cell r="A86">
            <v>3151</v>
          </cell>
        </row>
        <row r="86">
          <cell r="F86" t="str">
            <v>PlatformHall/UIActivities/UIMall/MVCHead</v>
          </cell>
        </row>
        <row r="87">
          <cell r="A87">
            <v>3152</v>
          </cell>
        </row>
        <row r="87">
          <cell r="F87" t="str">
            <v>PlatformHall/UIActivities/UIMall/MVCHead</v>
          </cell>
        </row>
        <row r="88">
          <cell r="A88">
            <v>3153</v>
          </cell>
        </row>
        <row r="88">
          <cell r="F88" t="str">
            <v>PlatformHall/UIActivities/UIMall/MVCHead</v>
          </cell>
        </row>
        <row r="89">
          <cell r="A89">
            <v>3201</v>
          </cell>
        </row>
        <row r="89">
          <cell r="F89" t="str">
            <v>PlatformHall/SimulationGame/MVCHead</v>
          </cell>
        </row>
        <row r="90">
          <cell r="A90">
            <v>4011</v>
          </cell>
        </row>
        <row r="90">
          <cell r="F90" t="str">
            <v>PlatformHall/SimulationGame/MVCHead</v>
          </cell>
        </row>
        <row r="91">
          <cell r="A91">
            <v>4012</v>
          </cell>
        </row>
        <row r="91">
          <cell r="F91" t="str">
            <v>PlatformHall/SimulationGame/MVCHead</v>
          </cell>
        </row>
        <row r="92">
          <cell r="A92">
            <v>4013</v>
          </cell>
        </row>
        <row r="92">
          <cell r="F92" t="str">
            <v>PlatformHall/SimulationGame/MVCHead</v>
          </cell>
        </row>
        <row r="93">
          <cell r="A93">
            <v>3202</v>
          </cell>
        </row>
        <row r="93">
          <cell r="F93" t="str">
            <v>PlatformHall/SimulationGame/MVCHead</v>
          </cell>
        </row>
        <row r="94">
          <cell r="A94">
            <v>4021</v>
          </cell>
        </row>
        <row r="94">
          <cell r="F94" t="str">
            <v>PlatformHall/SimulationGame/MVCHead</v>
          </cell>
        </row>
        <row r="95">
          <cell r="A95">
            <v>4022</v>
          </cell>
        </row>
        <row r="95">
          <cell r="F95" t="str">
            <v>PlatformHall/SimulationGame/MVCHead</v>
          </cell>
        </row>
        <row r="96">
          <cell r="A96">
            <v>4023</v>
          </cell>
        </row>
        <row r="96">
          <cell r="F96" t="str">
            <v>PlatformHall/SimulationGame/MVCHead</v>
          </cell>
        </row>
        <row r="97">
          <cell r="A97">
            <v>3203</v>
          </cell>
        </row>
        <row r="97">
          <cell r="F97" t="str">
            <v>PlatformHall/SimulationGame/MVCHead</v>
          </cell>
        </row>
        <row r="98">
          <cell r="A98">
            <v>4031</v>
          </cell>
        </row>
        <row r="98">
          <cell r="F98" t="str">
            <v>PlatformHall/SimulationGame/MVCHead</v>
          </cell>
        </row>
        <row r="99">
          <cell r="A99">
            <v>4032</v>
          </cell>
        </row>
        <row r="99">
          <cell r="F99" t="str">
            <v>PlatformHall/SimulationGame/MVCHead</v>
          </cell>
        </row>
        <row r="100">
          <cell r="A100">
            <v>4033</v>
          </cell>
        </row>
        <row r="100">
          <cell r="F100" t="str">
            <v>PlatformHall/SimulationGame/MVCHead</v>
          </cell>
        </row>
        <row r="101">
          <cell r="A101">
            <v>3204</v>
          </cell>
        </row>
        <row r="101">
          <cell r="F101" t="str">
            <v>PlatformHall/SimulationGame/MVCHead</v>
          </cell>
        </row>
        <row r="102">
          <cell r="A102">
            <v>3205</v>
          </cell>
        </row>
        <row r="102">
          <cell r="F102" t="str">
            <v>PlatformHall/SimulationGame/MVCHead</v>
          </cell>
        </row>
        <row r="103">
          <cell r="A103">
            <v>3206</v>
          </cell>
        </row>
        <row r="103">
          <cell r="F103" t="str">
            <v>PlatformHall/SimulationGame/MVCHead</v>
          </cell>
        </row>
        <row r="104">
          <cell r="A104">
            <v>3207</v>
          </cell>
        </row>
        <row r="104">
          <cell r="F104" t="str">
            <v>PlatformHall/SimulationGame/MVCHead</v>
          </cell>
        </row>
        <row r="105">
          <cell r="A105">
            <v>3208</v>
          </cell>
        </row>
        <row r="105">
          <cell r="F105" t="str">
            <v>PlatformHall/SimulationGame/MVCHead</v>
          </cell>
        </row>
        <row r="106">
          <cell r="A106">
            <v>3209</v>
          </cell>
        </row>
        <row r="106">
          <cell r="F106" t="str">
            <v>PlatformHall/SimulationGame/MVCHead</v>
          </cell>
        </row>
        <row r="107">
          <cell r="A107">
            <v>3210</v>
          </cell>
        </row>
        <row r="107">
          <cell r="F107" t="str">
            <v>PlatformHall/SimulationGame/MVCHead</v>
          </cell>
        </row>
        <row r="108">
          <cell r="A108">
            <v>3211</v>
          </cell>
        </row>
        <row r="108">
          <cell r="F108" t="str">
            <v>PlatformHall/SimulationGame/MVCHead</v>
          </cell>
        </row>
        <row r="109">
          <cell r="A109">
            <v>3212</v>
          </cell>
        </row>
        <row r="109">
          <cell r="F109" t="str">
            <v>PlatformHall/SimulationGame/MVCHead</v>
          </cell>
        </row>
        <row r="110">
          <cell r="A110">
            <v>3551</v>
          </cell>
        </row>
        <row r="110">
          <cell r="F110" t="str">
            <v>PlatformHall/SimulationGame/MVCHead</v>
          </cell>
        </row>
        <row r="111">
          <cell r="A111">
            <v>3552</v>
          </cell>
        </row>
        <row r="111">
          <cell r="F111" t="str">
            <v>PlatformHall/SimulationGame/MVCHead</v>
          </cell>
        </row>
        <row r="112">
          <cell r="A112">
            <v>3553</v>
          </cell>
        </row>
        <row r="112">
          <cell r="F112" t="str">
            <v>PlatformHall/SimulationGame/MVCHead</v>
          </cell>
        </row>
        <row r="113">
          <cell r="A113">
            <v>3554</v>
          </cell>
        </row>
        <row r="113">
          <cell r="F113" t="str">
            <v>PlatformHall/SimulationGame/MVCHead</v>
          </cell>
        </row>
        <row r="114">
          <cell r="A114">
            <v>4041</v>
          </cell>
        </row>
        <row r="114">
          <cell r="F114" t="str">
            <v>PlatformHall/SimulationGame/MVCHead</v>
          </cell>
        </row>
        <row r="115">
          <cell r="A115">
            <v>4042</v>
          </cell>
        </row>
        <row r="115">
          <cell r="F115" t="str">
            <v>PlatformHall/SimulationGame/MVCHead</v>
          </cell>
        </row>
        <row r="116">
          <cell r="A116">
            <v>4043</v>
          </cell>
        </row>
        <row r="116">
          <cell r="F116" t="str">
            <v>PlatformHall/SimulationGame/MVCHead</v>
          </cell>
        </row>
        <row r="117">
          <cell r="A117">
            <v>4044</v>
          </cell>
        </row>
        <row r="117">
          <cell r="F117" t="str">
            <v>PlatformHall/SimulationGame/MVCHead</v>
          </cell>
        </row>
        <row r="118">
          <cell r="A118">
            <v>3301</v>
          </cell>
        </row>
        <row r="118">
          <cell r="F118" t="str">
            <v>PlatformHall/UIHall/MVCHead</v>
          </cell>
        </row>
        <row r="119">
          <cell r="A119">
            <v>3302</v>
          </cell>
        </row>
        <row r="119">
          <cell r="F119" t="str">
            <v>PlatformHall/UIHall/MVCHead</v>
          </cell>
        </row>
        <row r="120">
          <cell r="A120">
            <v>3303</v>
          </cell>
        </row>
        <row r="120">
          <cell r="F120" t="str">
            <v>PlatformHall/UIHall/MVCHead</v>
          </cell>
        </row>
        <row r="121">
          <cell r="A121">
            <v>3304</v>
          </cell>
        </row>
        <row r="121">
          <cell r="F121" t="str">
            <v>PlatformHall/UIHall/MVCHead</v>
          </cell>
        </row>
        <row r="122">
          <cell r="A122">
            <v>3305</v>
          </cell>
        </row>
        <row r="122">
          <cell r="F122" t="str">
            <v>PlatformHall/UIHall/MVCHead</v>
          </cell>
        </row>
        <row r="123">
          <cell r="A123">
            <v>3306</v>
          </cell>
        </row>
        <row r="123">
          <cell r="F123" t="str">
            <v>PlatformHall/UIHall/MVCHead</v>
          </cell>
        </row>
        <row r="124">
          <cell r="A124">
            <v>3307</v>
          </cell>
        </row>
        <row r="124">
          <cell r="F124" t="str">
            <v>PlatformHall/UIHall/MVCHead</v>
          </cell>
        </row>
        <row r="125">
          <cell r="A125">
            <v>3308</v>
          </cell>
        </row>
        <row r="125">
          <cell r="F125" t="str">
            <v>PlatformHall/UIHall/MVCHead</v>
          </cell>
        </row>
        <row r="126">
          <cell r="A126">
            <v>3309</v>
          </cell>
        </row>
        <row r="126">
          <cell r="F126" t="str">
            <v>PlatformHall/UIHall/MVCHead</v>
          </cell>
        </row>
        <row r="127">
          <cell r="A127">
            <v>3310</v>
          </cell>
        </row>
        <row r="127">
          <cell r="F127" t="str">
            <v>PlatformHall/UIHall/MVCHead</v>
          </cell>
        </row>
        <row r="128">
          <cell r="A128">
            <v>3311</v>
          </cell>
        </row>
        <row r="128">
          <cell r="F128" t="str">
            <v>PlatformHall/UIHall/MVCHead</v>
          </cell>
        </row>
        <row r="129">
          <cell r="A129">
            <v>3312</v>
          </cell>
        </row>
        <row r="129">
          <cell r="F129" t="str">
            <v>PlatformHall/UIHall/MVCHead</v>
          </cell>
        </row>
        <row r="130">
          <cell r="A130">
            <v>3401</v>
          </cell>
        </row>
        <row r="131">
          <cell r="A131">
            <v>3402</v>
          </cell>
        </row>
        <row r="132">
          <cell r="A132">
            <v>3403</v>
          </cell>
        </row>
        <row r="133">
          <cell r="A133">
            <v>3404</v>
          </cell>
        </row>
        <row r="134">
          <cell r="A134">
            <v>3405</v>
          </cell>
        </row>
        <row r="135">
          <cell r="A135">
            <v>3406</v>
          </cell>
        </row>
        <row r="136">
          <cell r="A136">
            <v>3407</v>
          </cell>
        </row>
        <row r="137">
          <cell r="A137">
            <v>3408</v>
          </cell>
        </row>
        <row r="138">
          <cell r="A138">
            <v>3409</v>
          </cell>
        </row>
        <row r="139">
          <cell r="A139">
            <v>3410</v>
          </cell>
        </row>
        <row r="140">
          <cell r="A140">
            <v>3411</v>
          </cell>
        </row>
        <row r="141">
          <cell r="A141">
            <v>3412</v>
          </cell>
        </row>
        <row r="142">
          <cell r="A142">
            <v>3501</v>
          </cell>
        </row>
        <row r="143">
          <cell r="A143">
            <v>3502</v>
          </cell>
        </row>
        <row r="144">
          <cell r="A144">
            <v>3503</v>
          </cell>
        </row>
        <row r="145">
          <cell r="A145">
            <v>5001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P1256"/>
  <sheetViews>
    <sheetView tabSelected="1" zoomScale="85" zoomScaleNormal="85" workbookViewId="0">
      <pane xSplit="3" ySplit="4" topLeftCell="K375" activePane="bottomRight" state="frozen"/>
      <selection/>
      <selection pane="topRight"/>
      <selection pane="bottomLeft"/>
      <selection pane="bottomRight" activeCell="Z406" sqref="Z406"/>
    </sheetView>
  </sheetViews>
  <sheetFormatPr defaultColWidth="9" defaultRowHeight="16.5"/>
  <cols>
    <col min="1" max="1" width="11.625" style="4" customWidth="1"/>
    <col min="2" max="4" width="9.125" style="4" customWidth="1"/>
    <col min="5" max="5" width="9.85" style="4" customWidth="1"/>
    <col min="6" max="7" width="9.125" style="4" customWidth="1"/>
    <col min="8" max="8" width="15.7083333333333" style="4" customWidth="1"/>
    <col min="9" max="9" width="58.5" style="4" customWidth="1"/>
    <col min="10" max="10" width="11.125" style="4" customWidth="1"/>
    <col min="11" max="11" width="12.875" style="4" customWidth="1"/>
    <col min="12" max="12" width="58.5" style="4" customWidth="1"/>
    <col min="13" max="13" width="9.55" style="4" customWidth="1"/>
    <col min="14" max="14" width="9.55" style="37" customWidth="1"/>
    <col min="15" max="15" width="12.875" style="38" customWidth="1"/>
    <col min="16" max="16" width="16.6166666666667" style="38" customWidth="1"/>
    <col min="17" max="24" width="9.55" style="39" customWidth="1"/>
    <col min="25" max="25" width="21.25" style="39" customWidth="1"/>
    <col min="26" max="26" width="26.025" style="39" customWidth="1"/>
    <col min="27" max="27" width="78.8166666666667" style="4" customWidth="1"/>
    <col min="28" max="29" width="12.3416666666667" style="4" customWidth="1"/>
    <col min="30" max="32" width="14.5" style="4" customWidth="1"/>
    <col min="33" max="34" width="12.875" style="40"/>
    <col min="35" max="35" width="16.5" style="4"/>
    <col min="36" max="37" width="9" style="4"/>
    <col min="38" max="38" width="19.85" style="4" customWidth="1"/>
    <col min="39" max="16384" width="9" style="4"/>
  </cols>
  <sheetData>
    <row r="1" spans="1:42">
      <c r="A1" s="41" t="s">
        <v>0</v>
      </c>
      <c r="B1" s="41" t="s">
        <v>1</v>
      </c>
      <c r="C1" s="41" t="s">
        <v>2</v>
      </c>
      <c r="D1" s="41" t="s">
        <v>3</v>
      </c>
      <c r="E1" s="41" t="s">
        <v>2</v>
      </c>
      <c r="F1" s="41" t="s">
        <v>4</v>
      </c>
      <c r="G1" s="41" t="s">
        <v>2</v>
      </c>
      <c r="H1" s="41" t="s">
        <v>5</v>
      </c>
      <c r="I1" s="41" t="s">
        <v>6</v>
      </c>
      <c r="J1" s="41" t="s">
        <v>7</v>
      </c>
      <c r="K1" s="41" t="s">
        <v>2</v>
      </c>
      <c r="L1" s="41" t="s">
        <v>8</v>
      </c>
      <c r="M1" s="41" t="s">
        <v>9</v>
      </c>
      <c r="N1" s="42" t="s">
        <v>10</v>
      </c>
      <c r="O1" s="43" t="s">
        <v>11</v>
      </c>
      <c r="P1" s="43" t="s">
        <v>12</v>
      </c>
      <c r="Q1" s="44" t="s">
        <v>13</v>
      </c>
      <c r="R1" s="44" t="s">
        <v>14</v>
      </c>
      <c r="S1" s="44" t="s">
        <v>15</v>
      </c>
      <c r="T1" s="44" t="s">
        <v>16</v>
      </c>
      <c r="U1" s="44" t="s">
        <v>17</v>
      </c>
      <c r="V1" s="44" t="s">
        <v>18</v>
      </c>
      <c r="W1" s="44" t="s">
        <v>19</v>
      </c>
      <c r="X1" s="44" t="s">
        <v>20</v>
      </c>
      <c r="Y1" s="44" t="s">
        <v>21</v>
      </c>
      <c r="Z1" s="44" t="s">
        <v>22</v>
      </c>
      <c r="AA1" s="4" t="s">
        <v>23</v>
      </c>
      <c r="AI1" s="4" t="s">
        <v>24</v>
      </c>
    </row>
    <row r="2" spans="1:42">
      <c r="A2" s="41" t="s">
        <v>25</v>
      </c>
      <c r="B2" s="41" t="s">
        <v>25</v>
      </c>
      <c r="C2" s="41"/>
      <c r="D2" s="41" t="s">
        <v>25</v>
      </c>
      <c r="E2" s="41"/>
      <c r="F2" s="41" t="s">
        <v>25</v>
      </c>
      <c r="G2" s="41"/>
      <c r="H2" s="41"/>
      <c r="I2" s="41" t="s">
        <v>26</v>
      </c>
      <c r="J2" s="41" t="s">
        <v>25</v>
      </c>
      <c r="K2" s="41"/>
      <c r="L2" s="45" t="s">
        <v>27</v>
      </c>
      <c r="M2" s="45" t="s">
        <v>25</v>
      </c>
      <c r="N2" s="45" t="s">
        <v>28</v>
      </c>
      <c r="O2" s="45" t="s">
        <v>25</v>
      </c>
      <c r="P2" s="45" t="s">
        <v>28</v>
      </c>
      <c r="Q2" s="46" t="s">
        <v>28</v>
      </c>
      <c r="R2" s="46" t="s">
        <v>25</v>
      </c>
      <c r="S2" s="46" t="s">
        <v>25</v>
      </c>
      <c r="T2" s="46" t="s">
        <v>29</v>
      </c>
      <c r="U2" s="46" t="s">
        <v>25</v>
      </c>
      <c r="V2" s="46" t="s">
        <v>25</v>
      </c>
      <c r="W2" s="47" t="s">
        <v>25</v>
      </c>
      <c r="X2" s="46" t="s">
        <v>30</v>
      </c>
      <c r="Y2" s="46" t="s">
        <v>25</v>
      </c>
      <c r="Z2" s="46" t="s">
        <v>30</v>
      </c>
    </row>
    <row r="3" spans="1:42">
      <c r="A3" s="41" t="s">
        <v>31</v>
      </c>
      <c r="B3" s="41" t="s">
        <v>32</v>
      </c>
      <c r="C3" s="41"/>
      <c r="D3" s="41" t="s">
        <v>33</v>
      </c>
      <c r="E3" s="41"/>
      <c r="F3" s="41" t="s">
        <v>34</v>
      </c>
      <c r="G3" s="41"/>
      <c r="H3" s="41"/>
      <c r="I3" s="41" t="s">
        <v>35</v>
      </c>
      <c r="J3" s="41" t="s">
        <v>36</v>
      </c>
      <c r="K3" s="41"/>
      <c r="L3" s="45" t="s">
        <v>37</v>
      </c>
      <c r="M3" s="47" t="s">
        <v>38</v>
      </c>
      <c r="N3" s="47" t="s">
        <v>39</v>
      </c>
      <c r="O3" s="43" t="s">
        <v>40</v>
      </c>
      <c r="P3" s="43" t="s">
        <v>41</v>
      </c>
      <c r="Q3" s="44" t="s">
        <v>42</v>
      </c>
      <c r="R3" s="46" t="s">
        <v>43</v>
      </c>
      <c r="S3" s="46" t="s">
        <v>44</v>
      </c>
      <c r="T3" s="46" t="s">
        <v>45</v>
      </c>
      <c r="U3" s="46" t="s">
        <v>46</v>
      </c>
      <c r="V3" s="44" t="s">
        <v>47</v>
      </c>
      <c r="W3" s="44" t="s">
        <v>48</v>
      </c>
      <c r="X3" s="44" t="s">
        <v>49</v>
      </c>
      <c r="Y3" s="44" t="s">
        <v>50</v>
      </c>
      <c r="Z3" s="44" t="s">
        <v>51</v>
      </c>
    </row>
    <row r="4" spans="1:42">
      <c r="A4" s="41"/>
      <c r="B4" s="41"/>
      <c r="C4" s="41"/>
      <c r="D4" s="41"/>
      <c r="E4" s="41"/>
      <c r="F4" s="41"/>
      <c r="G4" s="41"/>
      <c r="H4" s="41"/>
      <c r="I4" s="41"/>
      <c r="J4" s="41"/>
      <c r="K4" s="41"/>
      <c r="L4" s="41"/>
      <c r="M4" s="41"/>
      <c r="N4" s="42"/>
      <c r="O4" s="43"/>
      <c r="P4" s="43"/>
      <c r="Q4" s="44"/>
      <c r="R4" s="46"/>
      <c r="S4" s="44"/>
      <c r="T4" s="44"/>
      <c r="U4" s="44"/>
      <c r="V4" s="44"/>
      <c r="W4" s="44"/>
      <c r="X4" s="44"/>
      <c r="Y4" s="44"/>
      <c r="Z4" s="44" t="s">
        <v>52</v>
      </c>
    </row>
    <row r="5" s="4" customFormat="1" spans="1:42">
      <c r="A5" s="48">
        <v>110020001</v>
      </c>
      <c r="B5" s="49">
        <v>1</v>
      </c>
      <c r="C5" s="49" t="s">
        <v>53</v>
      </c>
      <c r="F5" s="4">
        <v>1100200</v>
      </c>
      <c r="G5" s="4">
        <v>1</v>
      </c>
      <c r="H5" s="4"/>
      <c r="I5" s="4" t="s">
        <v>54</v>
      </c>
      <c r="M5" s="37">
        <v>10</v>
      </c>
      <c r="N5" s="37" t="s">
        <v>55</v>
      </c>
      <c r="O5" s="38">
        <v>2003</v>
      </c>
      <c r="P5" s="38" t="s">
        <v>56</v>
      </c>
      <c r="Q5" s="39"/>
      <c r="R5" s="50"/>
      <c r="S5" s="50"/>
      <c r="T5" t="b">
        <v>0</v>
      </c>
      <c r="U5" s="50"/>
      <c r="V5" s="50">
        <v>70001</v>
      </c>
      <c r="W5" s="50"/>
      <c r="X5" s="50"/>
      <c r="Y5" s="50"/>
      <c r="Z5" s="50"/>
      <c r="AA5" s="4" t="s">
        <v>57</v>
      </c>
      <c r="AB5" s="51" t="s">
        <v>58</v>
      </c>
      <c r="AC5" s="51">
        <v>11002</v>
      </c>
      <c r="AD5" s="51"/>
      <c r="AE5" s="51"/>
      <c r="AF5" s="51">
        <v>2003</v>
      </c>
      <c r="AG5" s="40">
        <v>300</v>
      </c>
      <c r="AH5" s="61" t="s">
        <v>59</v>
      </c>
      <c r="AI5" s="52">
        <v>10</v>
      </c>
      <c r="AJ5" s="4">
        <v>1</v>
      </c>
      <c r="AK5" s="4"/>
      <c r="AL5" s="4" t="s">
        <v>60</v>
      </c>
      <c r="AM5" s="4"/>
      <c r="AN5" s="4" t="s">
        <v>61</v>
      </c>
      <c r="AO5" s="4"/>
      <c r="AP5" s="4" t="s">
        <v>62</v>
      </c>
    </row>
    <row r="6" s="4" customFormat="1" spans="1:42">
      <c r="A6" s="48">
        <v>110020101</v>
      </c>
      <c r="B6" s="49">
        <v>1</v>
      </c>
      <c r="C6" s="49" t="s">
        <v>53</v>
      </c>
      <c r="F6" s="4">
        <v>1100201</v>
      </c>
      <c r="G6" s="4">
        <v>1</v>
      </c>
      <c r="H6" s="4"/>
      <c r="I6" s="4" t="s">
        <v>63</v>
      </c>
      <c r="M6" s="37">
        <v>50</v>
      </c>
      <c r="N6" s="37" t="s">
        <v>55</v>
      </c>
      <c r="O6" s="38">
        <v>2003</v>
      </c>
      <c r="P6" s="38" t="s">
        <v>56</v>
      </c>
      <c r="Q6" s="39"/>
      <c r="R6" s="50"/>
      <c r="S6" s="50"/>
      <c r="T6" t="b">
        <v>0</v>
      </c>
      <c r="U6" s="50"/>
      <c r="V6" s="50">
        <v>70002</v>
      </c>
      <c r="W6" s="50"/>
      <c r="X6" s="50"/>
      <c r="Y6" s="50"/>
      <c r="Z6" s="50"/>
      <c r="AA6" s="4" t="s">
        <v>64</v>
      </c>
      <c r="AB6" s="51" t="s">
        <v>58</v>
      </c>
      <c r="AC6" s="51">
        <v>11002</v>
      </c>
      <c r="AD6" s="51"/>
      <c r="AE6" s="51"/>
      <c r="AF6" s="51">
        <v>2003</v>
      </c>
      <c r="AG6" s="40">
        <v>1400</v>
      </c>
      <c r="AH6" s="61" t="s">
        <v>65</v>
      </c>
      <c r="AI6" s="52">
        <v>50</v>
      </c>
      <c r="AJ6" s="4">
        <v>2</v>
      </c>
      <c r="AK6" s="4"/>
      <c r="AL6" s="4" t="s">
        <v>66</v>
      </c>
      <c r="AM6" s="4"/>
      <c r="AN6" s="4" t="s">
        <v>67</v>
      </c>
      <c r="AO6" s="4"/>
      <c r="AP6" s="4" t="s">
        <v>68</v>
      </c>
    </row>
    <row r="7" s="4" customFormat="1" spans="1:42">
      <c r="A7" s="48">
        <v>110020201</v>
      </c>
      <c r="B7" s="49">
        <v>1</v>
      </c>
      <c r="C7" s="49" t="s">
        <v>53</v>
      </c>
      <c r="F7" s="4">
        <v>1100202</v>
      </c>
      <c r="G7" s="4">
        <v>1</v>
      </c>
      <c r="H7" s="4"/>
      <c r="I7" s="4" t="s">
        <v>69</v>
      </c>
      <c r="M7" s="37">
        <v>99</v>
      </c>
      <c r="N7" s="37" t="s">
        <v>55</v>
      </c>
      <c r="O7" s="38">
        <v>2003</v>
      </c>
      <c r="P7" s="38" t="s">
        <v>56</v>
      </c>
      <c r="Q7" s="39"/>
      <c r="R7" s="50"/>
      <c r="S7" s="50"/>
      <c r="T7" t="b">
        <v>0</v>
      </c>
      <c r="U7" s="50"/>
      <c r="V7" s="50">
        <v>70003</v>
      </c>
      <c r="W7" s="50"/>
      <c r="X7" s="50"/>
      <c r="Y7" s="50"/>
      <c r="Z7" s="50"/>
      <c r="AA7" s="4" t="s">
        <v>70</v>
      </c>
      <c r="AB7" s="51" t="s">
        <v>58</v>
      </c>
      <c r="AC7" s="51">
        <v>11002</v>
      </c>
      <c r="AD7" s="51"/>
      <c r="AE7" s="51"/>
      <c r="AF7" s="51">
        <v>2003</v>
      </c>
      <c r="AG7" s="40">
        <v>2800</v>
      </c>
      <c r="AH7" s="61" t="s">
        <v>71</v>
      </c>
      <c r="AI7" s="52">
        <v>99</v>
      </c>
      <c r="AJ7" s="4">
        <v>3</v>
      </c>
      <c r="AK7" s="4"/>
      <c r="AL7" s="4" t="s">
        <v>72</v>
      </c>
      <c r="AM7" s="4"/>
      <c r="AN7" s="4" t="s">
        <v>73</v>
      </c>
      <c r="AO7" s="4"/>
      <c r="AP7" s="4" t="s">
        <v>74</v>
      </c>
    </row>
    <row r="8" s="4" customFormat="1" spans="1:42">
      <c r="A8" s="48">
        <v>110020301</v>
      </c>
      <c r="B8" s="49">
        <v>1</v>
      </c>
      <c r="C8" s="49" t="s">
        <v>53</v>
      </c>
      <c r="F8" s="4">
        <v>1100203</v>
      </c>
      <c r="G8" s="4">
        <v>1</v>
      </c>
      <c r="H8" s="4"/>
      <c r="I8" s="4" t="s">
        <v>75</v>
      </c>
      <c r="M8" s="37">
        <v>297</v>
      </c>
      <c r="N8" s="37" t="s">
        <v>55</v>
      </c>
      <c r="O8" s="38">
        <v>2003</v>
      </c>
      <c r="P8" s="38" t="s">
        <v>56</v>
      </c>
      <c r="Q8" s="39"/>
      <c r="R8" s="50"/>
      <c r="S8" s="50"/>
      <c r="T8" t="b">
        <v>0</v>
      </c>
      <c r="U8" s="50"/>
      <c r="V8" s="50">
        <v>70004</v>
      </c>
      <c r="W8" s="50"/>
      <c r="X8" s="50"/>
      <c r="Y8" s="50"/>
      <c r="Z8"/>
      <c r="AA8" s="4" t="s">
        <v>76</v>
      </c>
      <c r="AB8" s="51" t="s">
        <v>58</v>
      </c>
      <c r="AC8" s="51">
        <v>11002</v>
      </c>
      <c r="AD8" s="51"/>
      <c r="AE8" s="51"/>
      <c r="AF8" s="51">
        <v>2003</v>
      </c>
      <c r="AG8" s="40">
        <v>8500</v>
      </c>
      <c r="AH8" s="61" t="s">
        <v>77</v>
      </c>
      <c r="AI8" s="52">
        <v>297</v>
      </c>
      <c r="AJ8" s="4">
        <v>4</v>
      </c>
      <c r="AK8" s="4"/>
      <c r="AL8" s="4" t="s">
        <v>78</v>
      </c>
      <c r="AM8" s="4"/>
      <c r="AN8" s="4" t="s">
        <v>79</v>
      </c>
      <c r="AO8" s="4"/>
      <c r="AP8" s="4" t="s">
        <v>80</v>
      </c>
    </row>
    <row r="9" s="4" customFormat="1" spans="1:42">
      <c r="A9" s="48">
        <v>110020401</v>
      </c>
      <c r="B9" s="49">
        <v>1</v>
      </c>
      <c r="C9" s="49" t="s">
        <v>53</v>
      </c>
      <c r="F9" s="4">
        <v>1100204</v>
      </c>
      <c r="G9" s="4">
        <v>1</v>
      </c>
      <c r="I9" s="4" t="s">
        <v>81</v>
      </c>
      <c r="M9" s="37">
        <v>654</v>
      </c>
      <c r="N9" s="37" t="s">
        <v>55</v>
      </c>
      <c r="O9" s="38">
        <v>2003</v>
      </c>
      <c r="P9" s="38" t="s">
        <v>56</v>
      </c>
      <c r="Q9" s="39"/>
      <c r="R9" s="50"/>
      <c r="S9" s="50"/>
      <c r="T9" t="b">
        <v>0</v>
      </c>
      <c r="U9" s="50"/>
      <c r="V9" s="50">
        <v>70005</v>
      </c>
      <c r="W9" s="50"/>
      <c r="X9" s="50"/>
      <c r="Y9" s="50"/>
      <c r="Z9" s="50"/>
      <c r="AA9" s="4" t="s">
        <v>82</v>
      </c>
      <c r="AB9" s="51" t="s">
        <v>58</v>
      </c>
      <c r="AC9" s="51">
        <v>11002</v>
      </c>
      <c r="AD9" s="51"/>
      <c r="AE9" s="51"/>
      <c r="AF9" s="51">
        <v>2003</v>
      </c>
      <c r="AG9" s="40">
        <v>18700</v>
      </c>
      <c r="AH9" s="61" t="s">
        <v>83</v>
      </c>
      <c r="AI9" s="52">
        <v>654</v>
      </c>
      <c r="AJ9" s="4">
        <v>5</v>
      </c>
      <c r="AK9" s="4"/>
      <c r="AL9" s="4" t="s">
        <v>84</v>
      </c>
      <c r="AN9" s="4" t="s">
        <v>85</v>
      </c>
      <c r="AP9" s="4" t="s">
        <v>86</v>
      </c>
    </row>
    <row r="10" s="4" customFormat="1" spans="1:42">
      <c r="A10" s="48">
        <v>110020501</v>
      </c>
      <c r="B10" s="49">
        <v>1</v>
      </c>
      <c r="C10" s="49" t="s">
        <v>53</v>
      </c>
      <c r="F10" s="4">
        <v>1100205</v>
      </c>
      <c r="G10" s="4">
        <v>1</v>
      </c>
      <c r="I10" s="4" t="s">
        <v>87</v>
      </c>
      <c r="M10" s="37">
        <v>991</v>
      </c>
      <c r="N10" s="37" t="s">
        <v>55</v>
      </c>
      <c r="O10" s="38">
        <v>2003</v>
      </c>
      <c r="P10" s="38" t="s">
        <v>56</v>
      </c>
      <c r="Q10" s="39"/>
      <c r="R10" s="50"/>
      <c r="S10" s="50"/>
      <c r="T10" t="b">
        <v>0</v>
      </c>
      <c r="U10" s="50"/>
      <c r="V10" s="50">
        <v>70006</v>
      </c>
      <c r="W10" s="50"/>
      <c r="X10" s="50"/>
      <c r="Y10" s="50"/>
      <c r="Z10" s="50"/>
      <c r="AA10" s="4" t="s">
        <v>88</v>
      </c>
      <c r="AB10" s="51" t="s">
        <v>58</v>
      </c>
      <c r="AC10" s="51">
        <v>11002</v>
      </c>
      <c r="AD10" s="51"/>
      <c r="AE10" s="51"/>
      <c r="AF10" s="51">
        <v>2003</v>
      </c>
      <c r="AG10" s="40">
        <v>28300</v>
      </c>
      <c r="AH10" s="61" t="s">
        <v>89</v>
      </c>
      <c r="AI10" s="52">
        <v>991</v>
      </c>
      <c r="AJ10" s="4">
        <v>6</v>
      </c>
      <c r="AK10" s="4"/>
      <c r="AL10" s="4" t="s">
        <v>90</v>
      </c>
      <c r="AN10" s="4" t="s">
        <v>91</v>
      </c>
      <c r="AP10" s="4" t="s">
        <v>92</v>
      </c>
    </row>
    <row r="11" s="4" customFormat="1" spans="1:42">
      <c r="A11" s="48">
        <v>120010001</v>
      </c>
      <c r="B11" s="49">
        <v>1</v>
      </c>
      <c r="C11" s="49" t="s">
        <v>53</v>
      </c>
      <c r="F11" s="4">
        <v>1200100</v>
      </c>
      <c r="G11" s="4">
        <v>1</v>
      </c>
      <c r="H11" s="4"/>
      <c r="I11" s="4" t="s">
        <v>93</v>
      </c>
      <c r="M11" s="37">
        <v>24</v>
      </c>
      <c r="N11" s="37" t="s">
        <v>55</v>
      </c>
      <c r="O11" s="38">
        <v>11007</v>
      </c>
      <c r="P11" s="38" t="s">
        <v>94</v>
      </c>
      <c r="Q11" s="39"/>
      <c r="R11" s="50"/>
      <c r="S11" s="50"/>
      <c r="T11" t="b">
        <v>0</v>
      </c>
      <c r="U11" s="50"/>
      <c r="V11" s="50">
        <v>71001</v>
      </c>
      <c r="W11" s="50"/>
      <c r="X11" s="50"/>
      <c r="Y11" s="50"/>
      <c r="Z11" s="50"/>
      <c r="AA11" s="4" t="s">
        <v>95</v>
      </c>
      <c r="AB11" s="4" t="s">
        <v>96</v>
      </c>
      <c r="AC11" s="4">
        <v>12001</v>
      </c>
      <c r="AD11" s="51" t="s">
        <v>97</v>
      </c>
      <c r="AE11" s="51">
        <v>100700</v>
      </c>
      <c r="AF11" s="51">
        <v>11007</v>
      </c>
      <c r="AG11" s="40">
        <v>144000</v>
      </c>
      <c r="AH11" s="61" t="s">
        <v>98</v>
      </c>
      <c r="AI11" s="52">
        <v>24</v>
      </c>
      <c r="AJ11" s="4">
        <v>1</v>
      </c>
      <c r="AK11" s="4" t="s">
        <v>99</v>
      </c>
      <c r="AL11" s="4" t="s">
        <v>100</v>
      </c>
      <c r="AM11" s="4" t="s">
        <v>101</v>
      </c>
      <c r="AN11" s="4" t="s">
        <v>102</v>
      </c>
      <c r="AO11" s="4" t="s">
        <v>103</v>
      </c>
      <c r="AP11" s="4" t="s">
        <v>104</v>
      </c>
    </row>
    <row r="12" s="4" customFormat="1" spans="1:42">
      <c r="A12" s="48">
        <v>120010002</v>
      </c>
      <c r="B12" s="49">
        <v>1</v>
      </c>
      <c r="C12" s="49" t="s">
        <v>53</v>
      </c>
      <c r="F12" s="4">
        <v>1200100</v>
      </c>
      <c r="G12" s="4">
        <v>2</v>
      </c>
      <c r="H12" s="4"/>
      <c r="I12" s="4" t="s">
        <v>105</v>
      </c>
      <c r="M12" s="37">
        <v>24</v>
      </c>
      <c r="N12" s="37" t="s">
        <v>55</v>
      </c>
      <c r="O12" s="38">
        <v>11003</v>
      </c>
      <c r="P12" s="38" t="s">
        <v>106</v>
      </c>
      <c r="Q12" s="39"/>
      <c r="R12" s="50"/>
      <c r="S12" s="50"/>
      <c r="T12" t="b">
        <v>0</v>
      </c>
      <c r="U12" s="50"/>
      <c r="V12" s="50">
        <v>71002</v>
      </c>
      <c r="W12" s="50"/>
      <c r="X12" s="50"/>
      <c r="Y12" s="50"/>
      <c r="Z12" s="50"/>
      <c r="AA12" s="4" t="s">
        <v>107</v>
      </c>
      <c r="AB12" s="4" t="s">
        <v>96</v>
      </c>
      <c r="AC12" s="4">
        <v>12001</v>
      </c>
      <c r="AD12" s="51" t="s">
        <v>108</v>
      </c>
      <c r="AE12" s="51">
        <v>100300</v>
      </c>
      <c r="AF12" s="51">
        <v>11003</v>
      </c>
      <c r="AG12" s="40">
        <v>144000</v>
      </c>
      <c r="AH12" s="61" t="s">
        <v>98</v>
      </c>
      <c r="AI12" s="52">
        <v>24</v>
      </c>
      <c r="AJ12" s="4">
        <v>1</v>
      </c>
      <c r="AK12" s="4" t="s">
        <v>109</v>
      </c>
      <c r="AL12" s="4" t="s">
        <v>110</v>
      </c>
      <c r="AM12" s="4" t="s">
        <v>111</v>
      </c>
      <c r="AN12" s="4" t="s">
        <v>112</v>
      </c>
      <c r="AO12" s="4" t="s">
        <v>109</v>
      </c>
      <c r="AP12" s="4" t="s">
        <v>113</v>
      </c>
    </row>
    <row r="13" s="4" customFormat="1" spans="1:42">
      <c r="A13" s="48">
        <v>120010003</v>
      </c>
      <c r="B13" s="49">
        <v>1</v>
      </c>
      <c r="C13" s="49" t="s">
        <v>53</v>
      </c>
      <c r="F13" s="4">
        <v>1200100</v>
      </c>
      <c r="G13" s="4">
        <v>3</v>
      </c>
      <c r="H13" s="4"/>
      <c r="I13" s="4" t="s">
        <v>114</v>
      </c>
      <c r="M13" s="37">
        <v>24</v>
      </c>
      <c r="N13" s="37" t="s">
        <v>55</v>
      </c>
      <c r="O13" s="38">
        <v>11012</v>
      </c>
      <c r="P13" s="38" t="s">
        <v>115</v>
      </c>
      <c r="Q13" s="39"/>
      <c r="R13" s="50"/>
      <c r="S13" s="50"/>
      <c r="T13" t="b">
        <v>0</v>
      </c>
      <c r="U13" s="50"/>
      <c r="V13" s="50">
        <v>71003</v>
      </c>
      <c r="W13" s="50"/>
      <c r="X13" s="50"/>
      <c r="Y13" s="50"/>
      <c r="Z13" s="50"/>
      <c r="AA13" s="4" t="s">
        <v>116</v>
      </c>
      <c r="AB13" s="4" t="s">
        <v>96</v>
      </c>
      <c r="AC13" s="4">
        <v>12001</v>
      </c>
      <c r="AD13" s="51" t="s">
        <v>117</v>
      </c>
      <c r="AE13" s="51">
        <v>101200</v>
      </c>
      <c r="AF13" s="51">
        <v>11012</v>
      </c>
      <c r="AG13" s="40">
        <v>144000</v>
      </c>
      <c r="AH13" s="61" t="s">
        <v>98</v>
      </c>
      <c r="AI13" s="52">
        <v>24</v>
      </c>
      <c r="AJ13" s="4">
        <v>1</v>
      </c>
      <c r="AK13" s="4" t="s">
        <v>118</v>
      </c>
      <c r="AL13" s="4" t="s">
        <v>119</v>
      </c>
      <c r="AM13" s="4" t="s">
        <v>120</v>
      </c>
      <c r="AN13" s="4" t="s">
        <v>121</v>
      </c>
      <c r="AO13" s="4" t="s">
        <v>118</v>
      </c>
      <c r="AP13" s="4" t="s">
        <v>122</v>
      </c>
    </row>
    <row r="14" s="4" customFormat="1" spans="1:42">
      <c r="A14" s="48">
        <v>120010004</v>
      </c>
      <c r="B14" s="49">
        <v>1</v>
      </c>
      <c r="C14" s="49" t="s">
        <v>53</v>
      </c>
      <c r="F14" s="4">
        <v>1200100</v>
      </c>
      <c r="G14" s="4">
        <v>4</v>
      </c>
      <c r="H14" s="4"/>
      <c r="I14" s="4" t="s">
        <v>123</v>
      </c>
      <c r="M14" s="37">
        <v>24</v>
      </c>
      <c r="N14" s="37" t="s">
        <v>55</v>
      </c>
      <c r="O14" s="38">
        <v>11014</v>
      </c>
      <c r="P14" s="38" t="s">
        <v>124</v>
      </c>
      <c r="Q14" s="39"/>
      <c r="R14" s="50"/>
      <c r="S14" s="50"/>
      <c r="T14" t="b">
        <v>0</v>
      </c>
      <c r="U14" s="50"/>
      <c r="V14" s="50">
        <v>71004</v>
      </c>
      <c r="W14" s="50"/>
      <c r="X14" s="50"/>
      <c r="Y14" s="50"/>
      <c r="Z14" s="50"/>
      <c r="AA14" s="4" t="s">
        <v>125</v>
      </c>
      <c r="AB14" s="4" t="s">
        <v>96</v>
      </c>
      <c r="AC14" s="4">
        <v>12001</v>
      </c>
      <c r="AD14" s="51" t="s">
        <v>126</v>
      </c>
      <c r="AE14" s="51">
        <v>101400</v>
      </c>
      <c r="AF14" s="51">
        <v>11014</v>
      </c>
      <c r="AG14" s="40">
        <v>144000</v>
      </c>
      <c r="AH14" s="61" t="s">
        <v>98</v>
      </c>
      <c r="AI14" s="52">
        <v>24</v>
      </c>
      <c r="AJ14" s="4">
        <v>1</v>
      </c>
      <c r="AK14" s="4" t="s">
        <v>127</v>
      </c>
      <c r="AL14" s="4" t="s">
        <v>128</v>
      </c>
      <c r="AM14" s="4" t="s">
        <v>129</v>
      </c>
      <c r="AN14" s="4" t="s">
        <v>130</v>
      </c>
      <c r="AO14" s="4" t="s">
        <v>131</v>
      </c>
      <c r="AP14" s="4" t="s">
        <v>132</v>
      </c>
    </row>
    <row r="15" s="4" customFormat="1" spans="1:42">
      <c r="A15" s="48">
        <v>120010005</v>
      </c>
      <c r="B15" s="49">
        <v>1</v>
      </c>
      <c r="C15" s="49" t="s">
        <v>53</v>
      </c>
      <c r="F15" s="4">
        <v>1200100</v>
      </c>
      <c r="G15" s="4">
        <v>5</v>
      </c>
      <c r="H15" s="4"/>
      <c r="I15" s="4" t="s">
        <v>133</v>
      </c>
      <c r="M15" s="37">
        <v>24</v>
      </c>
      <c r="N15" s="37" t="s">
        <v>55</v>
      </c>
      <c r="O15" s="38">
        <v>11003</v>
      </c>
      <c r="P15" s="38" t="s">
        <v>134</v>
      </c>
      <c r="Q15" s="39"/>
      <c r="R15" s="50"/>
      <c r="S15" s="50"/>
      <c r="T15" t="b">
        <v>0</v>
      </c>
      <c r="U15" s="50"/>
      <c r="V15" s="50">
        <v>71005</v>
      </c>
      <c r="W15" s="50"/>
      <c r="X15" s="50"/>
      <c r="Y15" s="50"/>
      <c r="Z15" s="50"/>
      <c r="AA15" s="4" t="s">
        <v>135</v>
      </c>
      <c r="AB15" s="4" t="s">
        <v>136</v>
      </c>
      <c r="AC15" s="4">
        <v>12001</v>
      </c>
      <c r="AD15" s="51" t="s">
        <v>137</v>
      </c>
      <c r="AE15" s="51">
        <v>0</v>
      </c>
      <c r="AF15" s="51">
        <v>11003</v>
      </c>
      <c r="AG15" s="40">
        <v>144000</v>
      </c>
      <c r="AH15" s="61" t="s">
        <v>98</v>
      </c>
      <c r="AI15" s="52">
        <v>24</v>
      </c>
      <c r="AJ15" s="4">
        <v>1</v>
      </c>
      <c r="AK15" s="4" t="s">
        <v>138</v>
      </c>
      <c r="AL15" s="4" t="s">
        <v>139</v>
      </c>
      <c r="AM15" s="4" t="s">
        <v>140</v>
      </c>
      <c r="AN15" s="4" t="s">
        <v>141</v>
      </c>
      <c r="AO15" s="4" t="s">
        <v>142</v>
      </c>
      <c r="AP15" s="4" t="s">
        <v>143</v>
      </c>
    </row>
    <row r="16" s="4" customFormat="1" spans="1:42">
      <c r="A16" s="48">
        <v>120010006</v>
      </c>
      <c r="B16" s="49">
        <v>1</v>
      </c>
      <c r="C16" s="49" t="s">
        <v>53</v>
      </c>
      <c r="F16" s="4">
        <v>1200100</v>
      </c>
      <c r="G16" s="4">
        <v>6</v>
      </c>
      <c r="H16" s="4"/>
      <c r="I16" s="4" t="s">
        <v>144</v>
      </c>
      <c r="M16" s="37">
        <v>24</v>
      </c>
      <c r="N16" s="37" t="s">
        <v>55</v>
      </c>
      <c r="O16" s="38">
        <v>11017</v>
      </c>
      <c r="P16" s="38" t="s">
        <v>145</v>
      </c>
      <c r="Q16" s="39"/>
      <c r="R16" s="50"/>
      <c r="S16" s="50"/>
      <c r="T16" t="b">
        <v>0</v>
      </c>
      <c r="U16" s="50"/>
      <c r="V16" s="50">
        <v>71006</v>
      </c>
      <c r="W16" s="50"/>
      <c r="X16" s="50"/>
      <c r="Y16" s="50"/>
      <c r="Z16" s="50"/>
      <c r="AA16" s="4" t="s">
        <v>146</v>
      </c>
      <c r="AB16" s="4" t="s">
        <v>136</v>
      </c>
      <c r="AC16" s="4">
        <v>12001</v>
      </c>
      <c r="AD16" s="51" t="s">
        <v>147</v>
      </c>
      <c r="AE16" s="51">
        <v>101700</v>
      </c>
      <c r="AF16" s="51">
        <v>11017</v>
      </c>
      <c r="AG16" s="40">
        <v>144000</v>
      </c>
      <c r="AH16" s="61" t="s">
        <v>98</v>
      </c>
      <c r="AI16" s="52">
        <v>24</v>
      </c>
      <c r="AJ16" s="4">
        <v>1</v>
      </c>
      <c r="AK16" s="4" t="s">
        <v>148</v>
      </c>
      <c r="AL16" s="4" t="s">
        <v>149</v>
      </c>
      <c r="AM16" s="4" t="s">
        <v>150</v>
      </c>
      <c r="AN16" s="4" t="s">
        <v>151</v>
      </c>
      <c r="AO16" s="4" t="s">
        <v>152</v>
      </c>
      <c r="AP16" s="4" t="s">
        <v>153</v>
      </c>
    </row>
    <row r="17" s="4" customFormat="1" spans="1:42">
      <c r="A17" s="48">
        <v>120010007</v>
      </c>
      <c r="B17" s="49">
        <v>1</v>
      </c>
      <c r="C17" s="49" t="s">
        <v>53</v>
      </c>
      <c r="F17" s="4">
        <v>1200100</v>
      </c>
      <c r="G17" s="4">
        <v>7</v>
      </c>
      <c r="H17" s="4"/>
      <c r="I17" s="4" t="s">
        <v>154</v>
      </c>
      <c r="M17" s="37">
        <v>24</v>
      </c>
      <c r="N17" s="37" t="s">
        <v>55</v>
      </c>
      <c r="O17" s="38">
        <v>11021</v>
      </c>
      <c r="P17" s="38" t="s">
        <v>155</v>
      </c>
      <c r="Q17" s="39"/>
      <c r="R17" s="50"/>
      <c r="S17" s="50"/>
      <c r="T17" t="b">
        <v>0</v>
      </c>
      <c r="U17" s="50"/>
      <c r="V17" s="50">
        <v>71007</v>
      </c>
      <c r="W17" s="50"/>
      <c r="X17" s="50"/>
      <c r="Y17" s="50"/>
      <c r="Z17" s="50"/>
      <c r="AA17" s="4" t="s">
        <v>156</v>
      </c>
      <c r="AB17" s="4" t="s">
        <v>136</v>
      </c>
      <c r="AC17" s="4">
        <v>12001</v>
      </c>
      <c r="AD17" s="51" t="s">
        <v>157</v>
      </c>
      <c r="AE17" s="51">
        <v>102100</v>
      </c>
      <c r="AF17" s="51">
        <v>11021</v>
      </c>
      <c r="AG17" s="40">
        <v>144000</v>
      </c>
      <c r="AH17" s="61" t="s">
        <v>98</v>
      </c>
      <c r="AI17" s="52">
        <v>24</v>
      </c>
      <c r="AJ17" s="4">
        <v>1</v>
      </c>
      <c r="AK17" s="4" t="s">
        <v>158</v>
      </c>
      <c r="AL17" s="4" t="s">
        <v>159</v>
      </c>
      <c r="AM17" s="4" t="s">
        <v>160</v>
      </c>
      <c r="AN17" s="4" t="s">
        <v>161</v>
      </c>
      <c r="AO17" s="4" t="s">
        <v>162</v>
      </c>
      <c r="AP17" s="4" t="s">
        <v>163</v>
      </c>
    </row>
    <row r="18" s="4" customFormat="1" spans="1:42">
      <c r="A18" s="48">
        <v>120010008</v>
      </c>
      <c r="B18" s="49">
        <v>1</v>
      </c>
      <c r="C18" s="49" t="s">
        <v>53</v>
      </c>
      <c r="F18" s="4">
        <v>1200100</v>
      </c>
      <c r="G18" s="4">
        <v>8</v>
      </c>
      <c r="H18" s="4"/>
      <c r="I18" s="4" t="s">
        <v>164</v>
      </c>
      <c r="M18" s="37">
        <v>24</v>
      </c>
      <c r="N18" s="37" t="s">
        <v>55</v>
      </c>
      <c r="O18" s="38">
        <v>11022</v>
      </c>
      <c r="P18" s="38" t="s">
        <v>165</v>
      </c>
      <c r="Q18" s="39"/>
      <c r="R18" s="50"/>
      <c r="S18" s="50"/>
      <c r="T18" t="b">
        <v>0</v>
      </c>
      <c r="U18" s="50"/>
      <c r="V18" s="50">
        <v>71008</v>
      </c>
      <c r="W18" s="50"/>
      <c r="X18" s="50"/>
      <c r="Y18" s="50"/>
      <c r="Z18" s="50"/>
      <c r="AA18" s="4" t="s">
        <v>166</v>
      </c>
      <c r="AB18" s="4" t="s">
        <v>136</v>
      </c>
      <c r="AC18" s="4">
        <v>12001</v>
      </c>
      <c r="AD18" s="51" t="s">
        <v>167</v>
      </c>
      <c r="AE18" s="51">
        <v>102200</v>
      </c>
      <c r="AF18" s="51">
        <v>11022</v>
      </c>
      <c r="AG18" s="40">
        <v>144000</v>
      </c>
      <c r="AH18" s="61" t="s">
        <v>98</v>
      </c>
      <c r="AI18" s="52">
        <v>24</v>
      </c>
      <c r="AJ18" s="4">
        <v>1</v>
      </c>
      <c r="AK18" s="4" t="s">
        <v>168</v>
      </c>
      <c r="AL18" s="4" t="s">
        <v>169</v>
      </c>
      <c r="AM18" s="4" t="s">
        <v>170</v>
      </c>
      <c r="AN18" s="4" t="s">
        <v>171</v>
      </c>
      <c r="AO18" s="4" t="s">
        <v>168</v>
      </c>
      <c r="AP18" s="4" t="s">
        <v>172</v>
      </c>
    </row>
    <row r="19" s="4" customFormat="1" spans="1:42">
      <c r="A19" s="48">
        <v>120010009</v>
      </c>
      <c r="B19" s="49">
        <v>1</v>
      </c>
      <c r="C19" s="49" t="s">
        <v>53</v>
      </c>
      <c r="F19" s="4">
        <v>1200100</v>
      </c>
      <c r="G19" s="4">
        <v>9</v>
      </c>
      <c r="H19" s="4"/>
      <c r="I19" s="4" t="s">
        <v>173</v>
      </c>
      <c r="M19" s="37">
        <v>24</v>
      </c>
      <c r="N19" s="37" t="s">
        <v>55</v>
      </c>
      <c r="O19" s="38">
        <v>11023</v>
      </c>
      <c r="P19" s="38" t="s">
        <v>174</v>
      </c>
      <c r="Q19" s="39"/>
      <c r="R19" s="50"/>
      <c r="S19" s="50"/>
      <c r="T19" t="b">
        <v>0</v>
      </c>
      <c r="U19" s="50"/>
      <c r="V19" s="50">
        <v>71009</v>
      </c>
      <c r="W19" s="50"/>
      <c r="X19" s="50"/>
      <c r="Y19" s="50"/>
      <c r="Z19" s="50"/>
      <c r="AA19" s="4" t="s">
        <v>175</v>
      </c>
      <c r="AB19" s="4" t="s">
        <v>136</v>
      </c>
      <c r="AC19" s="4">
        <v>12001</v>
      </c>
      <c r="AD19" s="51" t="s">
        <v>176</v>
      </c>
      <c r="AE19" s="51">
        <v>102300</v>
      </c>
      <c r="AF19" s="51">
        <v>11023</v>
      </c>
      <c r="AG19" s="40">
        <v>144000</v>
      </c>
      <c r="AH19" s="61" t="s">
        <v>98</v>
      </c>
      <c r="AI19" s="52">
        <v>24</v>
      </c>
      <c r="AJ19" s="4">
        <v>1</v>
      </c>
      <c r="AK19" s="4" t="s">
        <v>177</v>
      </c>
      <c r="AL19" s="4" t="s">
        <v>178</v>
      </c>
      <c r="AM19" s="4" t="s">
        <v>179</v>
      </c>
      <c r="AN19" s="4" t="s">
        <v>180</v>
      </c>
      <c r="AO19" s="4" t="s">
        <v>181</v>
      </c>
      <c r="AP19" s="4" t="s">
        <v>182</v>
      </c>
    </row>
    <row r="20" s="4" customFormat="1" spans="1:42">
      <c r="A20" s="48">
        <v>120010010</v>
      </c>
      <c r="B20" s="49">
        <v>1</v>
      </c>
      <c r="C20" s="49" t="s">
        <v>53</v>
      </c>
      <c r="F20" s="4">
        <v>1200100</v>
      </c>
      <c r="G20" s="4">
        <v>10</v>
      </c>
      <c r="H20" s="4"/>
      <c r="I20" s="4" t="s">
        <v>183</v>
      </c>
      <c r="M20" s="37">
        <v>24</v>
      </c>
      <c r="N20" s="37" t="s">
        <v>55</v>
      </c>
      <c r="O20" s="38">
        <v>11024</v>
      </c>
      <c r="P20" s="38" t="s">
        <v>184</v>
      </c>
      <c r="Q20" s="39"/>
      <c r="R20" s="50"/>
      <c r="S20" s="50"/>
      <c r="T20" t="b">
        <v>0</v>
      </c>
      <c r="U20" s="50"/>
      <c r="V20" s="50">
        <v>71010</v>
      </c>
      <c r="W20" s="50"/>
      <c r="X20" s="50"/>
      <c r="Y20" s="50"/>
      <c r="Z20" s="50"/>
      <c r="AA20" s="4" t="s">
        <v>185</v>
      </c>
      <c r="AB20" s="4" t="s">
        <v>136</v>
      </c>
      <c r="AC20" s="4">
        <v>12001</v>
      </c>
      <c r="AD20" s="51" t="s">
        <v>186</v>
      </c>
      <c r="AE20" s="51">
        <v>102400</v>
      </c>
      <c r="AF20" s="51">
        <v>11024</v>
      </c>
      <c r="AG20" s="40">
        <v>144000</v>
      </c>
      <c r="AH20" s="61" t="s">
        <v>98</v>
      </c>
      <c r="AI20" s="52">
        <v>24</v>
      </c>
      <c r="AJ20" s="4">
        <v>1</v>
      </c>
      <c r="AK20" s="4" t="s">
        <v>187</v>
      </c>
      <c r="AL20" s="4" t="s">
        <v>188</v>
      </c>
      <c r="AM20" s="4" t="s">
        <v>189</v>
      </c>
      <c r="AN20" s="4" t="s">
        <v>190</v>
      </c>
      <c r="AO20" s="4" t="s">
        <v>191</v>
      </c>
      <c r="AP20" s="4" t="s">
        <v>192</v>
      </c>
    </row>
    <row r="21" s="4" customFormat="1" spans="1:42">
      <c r="A21" s="48">
        <v>120010101</v>
      </c>
      <c r="B21" s="49">
        <v>1</v>
      </c>
      <c r="C21" s="49" t="s">
        <v>53</v>
      </c>
      <c r="F21" s="4">
        <v>1200101</v>
      </c>
      <c r="G21" s="4">
        <v>1</v>
      </c>
      <c r="H21" s="4"/>
      <c r="I21" s="4" t="s">
        <v>193</v>
      </c>
      <c r="M21" s="37">
        <v>119</v>
      </c>
      <c r="N21" s="37" t="s">
        <v>55</v>
      </c>
      <c r="O21" s="38">
        <v>11007</v>
      </c>
      <c r="P21" s="38" t="s">
        <v>94</v>
      </c>
      <c r="Q21" s="39"/>
      <c r="R21" s="50"/>
      <c r="S21" s="50"/>
      <c r="T21" t="b">
        <v>0</v>
      </c>
      <c r="U21" s="50"/>
      <c r="V21" s="50">
        <v>71101</v>
      </c>
      <c r="W21" s="50"/>
      <c r="X21" s="50"/>
      <c r="Y21" s="50"/>
      <c r="Z21" s="50"/>
      <c r="AA21" s="4" t="s">
        <v>194</v>
      </c>
      <c r="AB21" s="4" t="s">
        <v>96</v>
      </c>
      <c r="AC21" s="4">
        <v>12001</v>
      </c>
      <c r="AD21" s="51" t="s">
        <v>97</v>
      </c>
      <c r="AE21" s="51">
        <v>100700</v>
      </c>
      <c r="AF21" s="51">
        <v>11007</v>
      </c>
      <c r="AG21" s="40">
        <v>713000</v>
      </c>
      <c r="AH21" s="61" t="s">
        <v>195</v>
      </c>
      <c r="AI21" s="52">
        <v>119</v>
      </c>
      <c r="AJ21" s="4">
        <v>2</v>
      </c>
      <c r="AK21" s="4" t="s">
        <v>99</v>
      </c>
      <c r="AL21" s="4" t="s">
        <v>196</v>
      </c>
      <c r="AM21" s="4" t="s">
        <v>101</v>
      </c>
      <c r="AN21" s="4" t="s">
        <v>197</v>
      </c>
      <c r="AO21" s="4" t="s">
        <v>103</v>
      </c>
      <c r="AP21" s="4" t="s">
        <v>198</v>
      </c>
    </row>
    <row r="22" s="4" customFormat="1" spans="1:42">
      <c r="A22" s="48">
        <v>120010102</v>
      </c>
      <c r="B22" s="49">
        <v>1</v>
      </c>
      <c r="C22" s="49" t="s">
        <v>53</v>
      </c>
      <c r="F22" s="4">
        <v>1200101</v>
      </c>
      <c r="G22" s="4">
        <v>2</v>
      </c>
      <c r="H22" s="4"/>
      <c r="I22" s="4" t="s">
        <v>199</v>
      </c>
      <c r="M22" s="37">
        <v>119</v>
      </c>
      <c r="N22" s="37" t="s">
        <v>55</v>
      </c>
      <c r="O22" s="38">
        <v>11003</v>
      </c>
      <c r="P22" s="38" t="s">
        <v>106</v>
      </c>
      <c r="Q22" s="39"/>
      <c r="R22" s="50"/>
      <c r="S22" s="50"/>
      <c r="T22" t="b">
        <v>0</v>
      </c>
      <c r="U22" s="50"/>
      <c r="V22" s="50">
        <v>71102</v>
      </c>
      <c r="W22" s="50"/>
      <c r="X22" s="50"/>
      <c r="Y22" s="50"/>
      <c r="Z22" s="50"/>
      <c r="AA22" s="4" t="s">
        <v>200</v>
      </c>
      <c r="AB22" s="4" t="s">
        <v>96</v>
      </c>
      <c r="AC22" s="4">
        <v>12001</v>
      </c>
      <c r="AD22" s="51" t="s">
        <v>108</v>
      </c>
      <c r="AE22" s="51">
        <v>100300</v>
      </c>
      <c r="AF22" s="51">
        <v>11003</v>
      </c>
      <c r="AG22" s="40">
        <v>713000</v>
      </c>
      <c r="AH22" s="61" t="s">
        <v>195</v>
      </c>
      <c r="AI22" s="52">
        <v>119</v>
      </c>
      <c r="AJ22" s="4">
        <v>2</v>
      </c>
      <c r="AK22" s="4" t="s">
        <v>109</v>
      </c>
      <c r="AL22" s="4" t="s">
        <v>201</v>
      </c>
      <c r="AM22" s="4" t="s">
        <v>111</v>
      </c>
      <c r="AN22" s="4" t="s">
        <v>202</v>
      </c>
      <c r="AO22" s="4" t="s">
        <v>109</v>
      </c>
      <c r="AP22" s="4" t="s">
        <v>203</v>
      </c>
    </row>
    <row r="23" s="4" customFormat="1" spans="1:42">
      <c r="A23" s="48">
        <v>120010103</v>
      </c>
      <c r="B23" s="49">
        <v>1</v>
      </c>
      <c r="C23" s="49" t="s">
        <v>53</v>
      </c>
      <c r="F23" s="4">
        <v>1200101</v>
      </c>
      <c r="G23" s="4">
        <v>3</v>
      </c>
      <c r="H23" s="4"/>
      <c r="I23" s="4" t="s">
        <v>204</v>
      </c>
      <c r="M23" s="37">
        <v>119</v>
      </c>
      <c r="N23" s="37" t="s">
        <v>55</v>
      </c>
      <c r="O23" s="38">
        <v>11012</v>
      </c>
      <c r="P23" s="38" t="s">
        <v>115</v>
      </c>
      <c r="Q23" s="39"/>
      <c r="R23" s="50"/>
      <c r="S23" s="50"/>
      <c r="T23" t="b">
        <v>0</v>
      </c>
      <c r="U23" s="50"/>
      <c r="V23" s="50">
        <v>71103</v>
      </c>
      <c r="W23" s="50"/>
      <c r="X23" s="50"/>
      <c r="Y23" s="50"/>
      <c r="Z23" s="50"/>
      <c r="AA23" s="4" t="s">
        <v>205</v>
      </c>
      <c r="AB23" s="4" t="s">
        <v>96</v>
      </c>
      <c r="AC23" s="4">
        <v>12001</v>
      </c>
      <c r="AD23" s="51" t="s">
        <v>117</v>
      </c>
      <c r="AE23" s="51">
        <v>101200</v>
      </c>
      <c r="AF23" s="51">
        <v>11012</v>
      </c>
      <c r="AG23" s="40">
        <v>713000</v>
      </c>
      <c r="AH23" s="61" t="s">
        <v>195</v>
      </c>
      <c r="AI23" s="52">
        <v>119</v>
      </c>
      <c r="AJ23" s="4">
        <v>2</v>
      </c>
      <c r="AK23" s="4" t="s">
        <v>118</v>
      </c>
      <c r="AL23" s="4" t="s">
        <v>206</v>
      </c>
      <c r="AM23" s="4" t="s">
        <v>120</v>
      </c>
      <c r="AN23" s="4" t="s">
        <v>207</v>
      </c>
      <c r="AO23" s="4" t="s">
        <v>118</v>
      </c>
      <c r="AP23" s="4" t="s">
        <v>208</v>
      </c>
    </row>
    <row r="24" s="4" customFormat="1" spans="1:42">
      <c r="A24" s="48">
        <v>120010104</v>
      </c>
      <c r="B24" s="49">
        <v>1</v>
      </c>
      <c r="C24" s="49" t="s">
        <v>53</v>
      </c>
      <c r="F24" s="4">
        <v>1200101</v>
      </c>
      <c r="G24" s="4">
        <v>4</v>
      </c>
      <c r="H24" s="4"/>
      <c r="I24" s="4" t="s">
        <v>209</v>
      </c>
      <c r="M24" s="37">
        <v>119</v>
      </c>
      <c r="N24" s="37" t="s">
        <v>55</v>
      </c>
      <c r="O24" s="38">
        <v>11014</v>
      </c>
      <c r="P24" s="38" t="s">
        <v>124</v>
      </c>
      <c r="Q24" s="39"/>
      <c r="R24" s="50"/>
      <c r="S24" s="50"/>
      <c r="T24" t="b">
        <v>0</v>
      </c>
      <c r="U24" s="50"/>
      <c r="V24" s="50">
        <v>71104</v>
      </c>
      <c r="W24" s="50"/>
      <c r="X24" s="50"/>
      <c r="Y24" s="50"/>
      <c r="Z24" s="50"/>
      <c r="AA24" s="4" t="s">
        <v>210</v>
      </c>
      <c r="AB24" s="4" t="s">
        <v>96</v>
      </c>
      <c r="AC24" s="4">
        <v>12001</v>
      </c>
      <c r="AD24" s="51" t="s">
        <v>126</v>
      </c>
      <c r="AE24" s="51">
        <v>101400</v>
      </c>
      <c r="AF24" s="51">
        <v>11014</v>
      </c>
      <c r="AG24" s="40">
        <v>713000</v>
      </c>
      <c r="AH24" s="61" t="s">
        <v>195</v>
      </c>
      <c r="AI24" s="52">
        <v>119</v>
      </c>
      <c r="AJ24" s="4">
        <v>2</v>
      </c>
      <c r="AK24" s="4" t="s">
        <v>127</v>
      </c>
      <c r="AL24" s="4" t="s">
        <v>211</v>
      </c>
      <c r="AM24" s="4" t="s">
        <v>129</v>
      </c>
      <c r="AN24" s="4" t="s">
        <v>212</v>
      </c>
      <c r="AO24" s="4" t="s">
        <v>131</v>
      </c>
      <c r="AP24" s="4" t="s">
        <v>213</v>
      </c>
    </row>
    <row r="25" s="4" customFormat="1" spans="1:42">
      <c r="A25" s="48">
        <v>120010105</v>
      </c>
      <c r="B25" s="49">
        <v>1</v>
      </c>
      <c r="C25" s="49" t="s">
        <v>53</v>
      </c>
      <c r="F25" s="4">
        <v>1200101</v>
      </c>
      <c r="G25" s="4">
        <v>5</v>
      </c>
      <c r="H25" s="4"/>
      <c r="I25" s="4" t="s">
        <v>214</v>
      </c>
      <c r="M25" s="37">
        <v>119</v>
      </c>
      <c r="N25" s="37" t="s">
        <v>55</v>
      </c>
      <c r="O25" s="38">
        <v>11003</v>
      </c>
      <c r="P25" s="38" t="s">
        <v>134</v>
      </c>
      <c r="Q25" s="39"/>
      <c r="R25" s="50"/>
      <c r="S25" s="50"/>
      <c r="T25" t="b">
        <v>0</v>
      </c>
      <c r="U25" s="50"/>
      <c r="V25" s="50">
        <v>71105</v>
      </c>
      <c r="W25" s="50"/>
      <c r="X25" s="50"/>
      <c r="Y25" s="50"/>
      <c r="Z25" s="50"/>
      <c r="AA25" s="4" t="s">
        <v>215</v>
      </c>
      <c r="AB25" s="4" t="s">
        <v>136</v>
      </c>
      <c r="AC25" s="4">
        <v>12001</v>
      </c>
      <c r="AD25" s="51" t="s">
        <v>137</v>
      </c>
      <c r="AE25" s="51">
        <v>0</v>
      </c>
      <c r="AF25" s="51">
        <v>11003</v>
      </c>
      <c r="AG25" s="40">
        <v>713000</v>
      </c>
      <c r="AH25" s="61" t="s">
        <v>195</v>
      </c>
      <c r="AI25" s="52">
        <v>119</v>
      </c>
      <c r="AJ25" s="4">
        <v>2</v>
      </c>
      <c r="AK25" s="4" t="s">
        <v>138</v>
      </c>
      <c r="AL25" s="4" t="s">
        <v>216</v>
      </c>
      <c r="AM25" s="4" t="s">
        <v>140</v>
      </c>
      <c r="AN25" s="4" t="s">
        <v>217</v>
      </c>
      <c r="AO25" s="4" t="s">
        <v>142</v>
      </c>
      <c r="AP25" s="4" t="s">
        <v>218</v>
      </c>
    </row>
    <row r="26" s="4" customFormat="1" spans="1:42">
      <c r="A26" s="48">
        <v>120010106</v>
      </c>
      <c r="B26" s="49">
        <v>1</v>
      </c>
      <c r="C26" s="49" t="s">
        <v>53</v>
      </c>
      <c r="F26" s="4">
        <v>1200101</v>
      </c>
      <c r="G26" s="4">
        <v>6</v>
      </c>
      <c r="I26" s="4" t="s">
        <v>219</v>
      </c>
      <c r="M26" s="37">
        <v>119</v>
      </c>
      <c r="N26" s="37" t="s">
        <v>55</v>
      </c>
      <c r="O26" s="38">
        <v>11017</v>
      </c>
      <c r="P26" s="38" t="s">
        <v>145</v>
      </c>
      <c r="Q26" s="39"/>
      <c r="R26" s="39"/>
      <c r="S26" s="39"/>
      <c r="T26" t="b">
        <v>0</v>
      </c>
      <c r="U26" s="39"/>
      <c r="V26" s="39">
        <v>71106</v>
      </c>
      <c r="W26" s="39"/>
      <c r="X26" s="39"/>
      <c r="Y26" s="39"/>
      <c r="Z26" s="39"/>
      <c r="AA26" s="4" t="s">
        <v>220</v>
      </c>
      <c r="AB26" s="4" t="s">
        <v>136</v>
      </c>
      <c r="AC26" s="4">
        <v>12001</v>
      </c>
      <c r="AD26" s="51" t="s">
        <v>147</v>
      </c>
      <c r="AE26" s="51">
        <v>101700</v>
      </c>
      <c r="AF26" s="51">
        <v>11017</v>
      </c>
      <c r="AG26" s="40">
        <v>713000</v>
      </c>
      <c r="AH26" s="61" t="s">
        <v>195</v>
      </c>
      <c r="AI26" s="52">
        <v>119</v>
      </c>
      <c r="AJ26" s="4">
        <v>2</v>
      </c>
      <c r="AK26" s="4" t="s">
        <v>148</v>
      </c>
      <c r="AL26" s="4" t="s">
        <v>221</v>
      </c>
      <c r="AM26" s="4" t="s">
        <v>150</v>
      </c>
      <c r="AN26" s="4" t="s">
        <v>222</v>
      </c>
      <c r="AO26" s="4" t="s">
        <v>152</v>
      </c>
      <c r="AP26" s="4" t="s">
        <v>223</v>
      </c>
    </row>
    <row r="27" s="4" customFormat="1" spans="1:42">
      <c r="A27" s="48">
        <v>120010107</v>
      </c>
      <c r="B27" s="49">
        <v>1</v>
      </c>
      <c r="C27" s="49" t="s">
        <v>53</v>
      </c>
      <c r="F27" s="4">
        <v>1200101</v>
      </c>
      <c r="G27" s="4">
        <v>7</v>
      </c>
      <c r="I27" s="4" t="s">
        <v>224</v>
      </c>
      <c r="M27" s="37">
        <v>119</v>
      </c>
      <c r="N27" s="37" t="s">
        <v>55</v>
      </c>
      <c r="O27" s="38">
        <v>11021</v>
      </c>
      <c r="P27" s="38" t="s">
        <v>155</v>
      </c>
      <c r="Q27" s="39"/>
      <c r="R27" s="39"/>
      <c r="S27" s="39"/>
      <c r="T27" t="b">
        <v>0</v>
      </c>
      <c r="U27" s="39"/>
      <c r="V27" s="39">
        <v>71107</v>
      </c>
      <c r="W27" s="39"/>
      <c r="X27" s="39"/>
      <c r="Y27" s="39"/>
      <c r="Z27" s="39"/>
      <c r="AA27" s="4" t="s">
        <v>225</v>
      </c>
      <c r="AB27" s="4" t="s">
        <v>136</v>
      </c>
      <c r="AC27" s="4">
        <v>12001</v>
      </c>
      <c r="AD27" s="51" t="s">
        <v>157</v>
      </c>
      <c r="AE27" s="51">
        <v>102100</v>
      </c>
      <c r="AF27" s="51">
        <v>11021</v>
      </c>
      <c r="AG27" s="40">
        <v>713000</v>
      </c>
      <c r="AH27" s="61" t="s">
        <v>195</v>
      </c>
      <c r="AI27" s="52">
        <v>119</v>
      </c>
      <c r="AJ27" s="4">
        <v>2</v>
      </c>
      <c r="AK27" s="4" t="s">
        <v>158</v>
      </c>
      <c r="AL27" s="4" t="s">
        <v>226</v>
      </c>
      <c r="AM27" s="4" t="s">
        <v>160</v>
      </c>
      <c r="AN27" s="4" t="s">
        <v>227</v>
      </c>
      <c r="AO27" s="4" t="s">
        <v>162</v>
      </c>
      <c r="AP27" s="4" t="s">
        <v>228</v>
      </c>
    </row>
    <row r="28" s="4" customFormat="1" spans="1:42">
      <c r="A28" s="48">
        <v>120010108</v>
      </c>
      <c r="B28" s="49">
        <v>1</v>
      </c>
      <c r="C28" s="49" t="s">
        <v>53</v>
      </c>
      <c r="F28" s="4">
        <v>1200101</v>
      </c>
      <c r="G28" s="4">
        <v>8</v>
      </c>
      <c r="I28" s="4" t="s">
        <v>229</v>
      </c>
      <c r="M28" s="37">
        <v>119</v>
      </c>
      <c r="N28" s="37" t="s">
        <v>55</v>
      </c>
      <c r="O28" s="38">
        <v>11022</v>
      </c>
      <c r="P28" s="38" t="s">
        <v>165</v>
      </c>
      <c r="Q28" s="39"/>
      <c r="R28" s="39"/>
      <c r="S28" s="39"/>
      <c r="T28" t="b">
        <v>0</v>
      </c>
      <c r="U28" s="39"/>
      <c r="V28" s="39">
        <v>71108</v>
      </c>
      <c r="W28" s="39"/>
      <c r="X28" s="39"/>
      <c r="Y28" s="39"/>
      <c r="Z28" s="39"/>
      <c r="AA28" s="4" t="s">
        <v>230</v>
      </c>
      <c r="AB28" s="4" t="s">
        <v>136</v>
      </c>
      <c r="AC28" s="4">
        <v>12001</v>
      </c>
      <c r="AD28" s="51" t="s">
        <v>167</v>
      </c>
      <c r="AE28" s="51">
        <v>102200</v>
      </c>
      <c r="AF28" s="51">
        <v>11022</v>
      </c>
      <c r="AG28" s="40">
        <v>713000</v>
      </c>
      <c r="AH28" s="61" t="s">
        <v>195</v>
      </c>
      <c r="AI28" s="52">
        <v>119</v>
      </c>
      <c r="AJ28" s="4">
        <v>2</v>
      </c>
      <c r="AK28" s="4" t="s">
        <v>168</v>
      </c>
      <c r="AL28" s="4" t="s">
        <v>231</v>
      </c>
      <c r="AM28" s="4" t="s">
        <v>170</v>
      </c>
      <c r="AN28" s="4" t="s">
        <v>232</v>
      </c>
      <c r="AO28" s="4" t="s">
        <v>168</v>
      </c>
      <c r="AP28" s="4" t="s">
        <v>233</v>
      </c>
    </row>
    <row r="29" s="4" customFormat="1" spans="1:42">
      <c r="A29" s="48">
        <v>120010109</v>
      </c>
      <c r="B29" s="49">
        <v>1</v>
      </c>
      <c r="C29" s="49" t="s">
        <v>53</v>
      </c>
      <c r="F29" s="4">
        <v>1200101</v>
      </c>
      <c r="G29" s="4">
        <v>9</v>
      </c>
      <c r="I29" s="4" t="s">
        <v>234</v>
      </c>
      <c r="M29" s="37">
        <v>119</v>
      </c>
      <c r="N29" s="37" t="s">
        <v>55</v>
      </c>
      <c r="O29" s="38">
        <v>11023</v>
      </c>
      <c r="P29" s="38" t="s">
        <v>174</v>
      </c>
      <c r="Q29" s="39"/>
      <c r="R29" s="39"/>
      <c r="S29" s="39"/>
      <c r="T29" t="b">
        <v>0</v>
      </c>
      <c r="U29" s="39"/>
      <c r="V29" s="39">
        <v>71109</v>
      </c>
      <c r="W29" s="39"/>
      <c r="X29" s="39"/>
      <c r="Y29" s="39"/>
      <c r="Z29" s="39"/>
      <c r="AA29" s="4" t="s">
        <v>235</v>
      </c>
      <c r="AB29" s="4" t="s">
        <v>136</v>
      </c>
      <c r="AC29" s="4">
        <v>12001</v>
      </c>
      <c r="AD29" s="51" t="s">
        <v>176</v>
      </c>
      <c r="AE29" s="51">
        <v>102300</v>
      </c>
      <c r="AF29" s="51">
        <v>11023</v>
      </c>
      <c r="AG29" s="40">
        <v>713000</v>
      </c>
      <c r="AH29" s="61" t="s">
        <v>195</v>
      </c>
      <c r="AI29" s="52">
        <v>119</v>
      </c>
      <c r="AJ29" s="4">
        <v>2</v>
      </c>
      <c r="AK29" s="4" t="s">
        <v>177</v>
      </c>
      <c r="AL29" s="4" t="s">
        <v>236</v>
      </c>
      <c r="AM29" s="4" t="s">
        <v>179</v>
      </c>
      <c r="AN29" s="4" t="s">
        <v>237</v>
      </c>
      <c r="AO29" s="4" t="s">
        <v>181</v>
      </c>
      <c r="AP29" s="4" t="s">
        <v>238</v>
      </c>
    </row>
    <row r="30" s="4" customFormat="1" spans="1:42">
      <c r="A30" s="48">
        <v>120010110</v>
      </c>
      <c r="B30" s="49">
        <v>1</v>
      </c>
      <c r="C30" s="49" t="s">
        <v>53</v>
      </c>
      <c r="F30" s="4">
        <v>1200101</v>
      </c>
      <c r="G30" s="4">
        <v>10</v>
      </c>
      <c r="I30" s="4" t="s">
        <v>239</v>
      </c>
      <c r="M30" s="37">
        <v>119</v>
      </c>
      <c r="N30" s="37" t="s">
        <v>55</v>
      </c>
      <c r="O30" s="38">
        <v>11024</v>
      </c>
      <c r="P30" s="38" t="s">
        <v>184</v>
      </c>
      <c r="Q30" s="39"/>
      <c r="R30" s="39"/>
      <c r="S30" s="39"/>
      <c r="T30" t="b">
        <v>0</v>
      </c>
      <c r="U30" s="39"/>
      <c r="V30" s="39">
        <v>71110</v>
      </c>
      <c r="W30" s="39"/>
      <c r="X30" s="39"/>
      <c r="Y30" s="39"/>
      <c r="Z30" s="39"/>
      <c r="AA30" s="4" t="s">
        <v>240</v>
      </c>
      <c r="AB30" s="4" t="s">
        <v>136</v>
      </c>
      <c r="AC30" s="4">
        <v>12001</v>
      </c>
      <c r="AD30" s="51" t="s">
        <v>186</v>
      </c>
      <c r="AE30" s="51">
        <v>102400</v>
      </c>
      <c r="AF30" s="51">
        <v>11024</v>
      </c>
      <c r="AG30" s="40">
        <v>713000</v>
      </c>
      <c r="AH30" s="61" t="s">
        <v>195</v>
      </c>
      <c r="AI30" s="52">
        <v>119</v>
      </c>
      <c r="AJ30" s="4">
        <v>2</v>
      </c>
      <c r="AK30" s="4" t="s">
        <v>187</v>
      </c>
      <c r="AL30" s="4" t="s">
        <v>241</v>
      </c>
      <c r="AM30" s="4" t="s">
        <v>189</v>
      </c>
      <c r="AN30" s="4" t="s">
        <v>242</v>
      </c>
      <c r="AO30" s="4" t="s">
        <v>191</v>
      </c>
      <c r="AP30" s="4" t="s">
        <v>243</v>
      </c>
    </row>
    <row r="31" s="4" customFormat="1" spans="1:42">
      <c r="A31" s="48">
        <v>120010201</v>
      </c>
      <c r="B31" s="49">
        <v>1</v>
      </c>
      <c r="C31" s="49" t="s">
        <v>53</v>
      </c>
      <c r="F31" s="4">
        <v>1200102</v>
      </c>
      <c r="G31" s="4">
        <v>1</v>
      </c>
      <c r="I31" s="37" t="s">
        <v>244</v>
      </c>
      <c r="J31" s="37"/>
      <c r="K31" s="37"/>
      <c r="L31" s="4"/>
      <c r="M31" s="37">
        <v>356</v>
      </c>
      <c r="N31" s="37" t="s">
        <v>55</v>
      </c>
      <c r="O31" s="38">
        <v>11007</v>
      </c>
      <c r="P31" s="38" t="s">
        <v>94</v>
      </c>
      <c r="Q31" s="39"/>
      <c r="R31" s="50"/>
      <c r="S31" s="50"/>
      <c r="T31" t="b">
        <v>0</v>
      </c>
      <c r="U31" s="50"/>
      <c r="V31" s="50">
        <v>71201</v>
      </c>
      <c r="W31" s="50"/>
      <c r="X31" s="50"/>
      <c r="Y31" s="50"/>
      <c r="Z31" s="50"/>
      <c r="AA31" s="4" t="s">
        <v>245</v>
      </c>
      <c r="AB31" s="4" t="s">
        <v>96</v>
      </c>
      <c r="AC31" s="4">
        <v>12001</v>
      </c>
      <c r="AD31" s="51" t="s">
        <v>97</v>
      </c>
      <c r="AE31" s="51">
        <v>100700</v>
      </c>
      <c r="AF31" s="51">
        <v>11007</v>
      </c>
      <c r="AG31" s="40">
        <v>2138000</v>
      </c>
      <c r="AH31" s="61" t="s">
        <v>246</v>
      </c>
      <c r="AI31" s="52">
        <v>356</v>
      </c>
      <c r="AJ31" s="4">
        <v>3</v>
      </c>
      <c r="AK31" s="4" t="s">
        <v>99</v>
      </c>
      <c r="AL31" s="4" t="s">
        <v>247</v>
      </c>
      <c r="AM31" s="4" t="s">
        <v>101</v>
      </c>
      <c r="AN31" s="4" t="s">
        <v>248</v>
      </c>
      <c r="AO31" s="4" t="s">
        <v>103</v>
      </c>
      <c r="AP31" s="4" t="s">
        <v>249</v>
      </c>
    </row>
    <row r="32" s="4" customFormat="1" spans="1:42">
      <c r="A32" s="48">
        <v>120010202</v>
      </c>
      <c r="B32" s="49">
        <v>1</v>
      </c>
      <c r="C32" s="49" t="s">
        <v>53</v>
      </c>
      <c r="F32" s="4">
        <v>1200102</v>
      </c>
      <c r="G32" s="4">
        <v>2</v>
      </c>
      <c r="I32" s="37" t="s">
        <v>250</v>
      </c>
      <c r="J32" s="37"/>
      <c r="K32" s="37"/>
      <c r="L32" s="4"/>
      <c r="M32" s="37">
        <v>356</v>
      </c>
      <c r="N32" s="37" t="s">
        <v>55</v>
      </c>
      <c r="O32" s="38">
        <v>11003</v>
      </c>
      <c r="P32" s="38" t="s">
        <v>106</v>
      </c>
      <c r="Q32" s="39"/>
      <c r="R32" s="50"/>
      <c r="S32" s="50"/>
      <c r="T32" t="b">
        <v>0</v>
      </c>
      <c r="U32" s="50"/>
      <c r="V32" s="50">
        <v>71202</v>
      </c>
      <c r="W32" s="50"/>
      <c r="X32" s="50"/>
      <c r="Y32" s="50"/>
      <c r="Z32" s="50"/>
      <c r="AA32" s="4" t="s">
        <v>251</v>
      </c>
      <c r="AB32" s="4" t="s">
        <v>96</v>
      </c>
      <c r="AC32" s="4">
        <v>12001</v>
      </c>
      <c r="AD32" s="51" t="s">
        <v>108</v>
      </c>
      <c r="AE32" s="51">
        <v>100300</v>
      </c>
      <c r="AF32" s="51">
        <v>11003</v>
      </c>
      <c r="AG32" s="40">
        <v>2138000</v>
      </c>
      <c r="AH32" s="61" t="s">
        <v>246</v>
      </c>
      <c r="AI32" s="52">
        <v>356</v>
      </c>
      <c r="AJ32" s="4">
        <v>3</v>
      </c>
      <c r="AK32" s="4" t="s">
        <v>109</v>
      </c>
      <c r="AL32" s="4" t="s">
        <v>252</v>
      </c>
      <c r="AM32" s="4" t="s">
        <v>111</v>
      </c>
      <c r="AN32" s="4" t="s">
        <v>253</v>
      </c>
      <c r="AO32" s="4" t="s">
        <v>109</v>
      </c>
      <c r="AP32" s="4" t="s">
        <v>254</v>
      </c>
    </row>
    <row r="33" s="4" customFormat="1" spans="1:42">
      <c r="A33" s="48">
        <v>120010203</v>
      </c>
      <c r="B33" s="49">
        <v>1</v>
      </c>
      <c r="C33" s="49" t="s">
        <v>53</v>
      </c>
      <c r="F33" s="4">
        <v>1200102</v>
      </c>
      <c r="G33" s="4">
        <v>3</v>
      </c>
      <c r="I33" s="37" t="s">
        <v>255</v>
      </c>
      <c r="J33" s="37"/>
      <c r="K33" s="37"/>
      <c r="L33" s="4"/>
      <c r="M33" s="37">
        <v>356</v>
      </c>
      <c r="N33" s="37" t="s">
        <v>55</v>
      </c>
      <c r="O33" s="38">
        <v>11012</v>
      </c>
      <c r="P33" s="38" t="s">
        <v>115</v>
      </c>
      <c r="Q33" s="39"/>
      <c r="R33" s="50"/>
      <c r="S33" s="50"/>
      <c r="T33" t="b">
        <v>0</v>
      </c>
      <c r="U33" s="50"/>
      <c r="V33" s="50">
        <v>71203</v>
      </c>
      <c r="W33" s="50"/>
      <c r="X33" s="50"/>
      <c r="Y33" s="50"/>
      <c r="Z33" s="50"/>
      <c r="AA33" s="4" t="s">
        <v>256</v>
      </c>
      <c r="AB33" s="4" t="s">
        <v>96</v>
      </c>
      <c r="AC33" s="4">
        <v>12001</v>
      </c>
      <c r="AD33" s="51" t="s">
        <v>117</v>
      </c>
      <c r="AE33" s="51">
        <v>101200</v>
      </c>
      <c r="AF33" s="51">
        <v>11012</v>
      </c>
      <c r="AG33" s="40">
        <v>2138000</v>
      </c>
      <c r="AH33" s="61" t="s">
        <v>246</v>
      </c>
      <c r="AI33" s="52">
        <v>356</v>
      </c>
      <c r="AJ33" s="4">
        <v>3</v>
      </c>
      <c r="AK33" s="4" t="s">
        <v>118</v>
      </c>
      <c r="AL33" s="4" t="s">
        <v>257</v>
      </c>
      <c r="AM33" s="4" t="s">
        <v>120</v>
      </c>
      <c r="AN33" s="4" t="s">
        <v>258</v>
      </c>
      <c r="AO33" s="4" t="s">
        <v>118</v>
      </c>
      <c r="AP33" s="4" t="s">
        <v>259</v>
      </c>
    </row>
    <row r="34" s="4" customFormat="1" spans="1:42">
      <c r="A34" s="48">
        <v>120010204</v>
      </c>
      <c r="B34" s="49">
        <v>1</v>
      </c>
      <c r="C34" s="49" t="s">
        <v>53</v>
      </c>
      <c r="F34" s="4">
        <v>1200102</v>
      </c>
      <c r="G34" s="4">
        <v>4</v>
      </c>
      <c r="I34" s="37" t="s">
        <v>260</v>
      </c>
      <c r="J34" s="37"/>
      <c r="K34" s="37"/>
      <c r="L34" s="4"/>
      <c r="M34" s="37">
        <v>356</v>
      </c>
      <c r="N34" s="37" t="s">
        <v>55</v>
      </c>
      <c r="O34" s="38">
        <v>11014</v>
      </c>
      <c r="P34" s="38" t="s">
        <v>124</v>
      </c>
      <c r="Q34" s="39"/>
      <c r="R34" s="50"/>
      <c r="S34" s="50"/>
      <c r="T34" t="b">
        <v>0</v>
      </c>
      <c r="U34" s="50"/>
      <c r="V34" s="50">
        <v>71204</v>
      </c>
      <c r="W34" s="50"/>
      <c r="X34" s="50"/>
      <c r="Y34" s="50"/>
      <c r="Z34" s="50"/>
      <c r="AA34" s="4" t="s">
        <v>261</v>
      </c>
      <c r="AB34" s="4" t="s">
        <v>96</v>
      </c>
      <c r="AC34" s="4">
        <v>12001</v>
      </c>
      <c r="AD34" s="51" t="s">
        <v>126</v>
      </c>
      <c r="AE34" s="51">
        <v>101400</v>
      </c>
      <c r="AF34" s="51">
        <v>11014</v>
      </c>
      <c r="AG34" s="40">
        <v>2138000</v>
      </c>
      <c r="AH34" s="61" t="s">
        <v>246</v>
      </c>
      <c r="AI34" s="52">
        <v>356</v>
      </c>
      <c r="AJ34" s="4">
        <v>3</v>
      </c>
      <c r="AK34" s="4" t="s">
        <v>127</v>
      </c>
      <c r="AL34" s="4" t="s">
        <v>262</v>
      </c>
      <c r="AM34" s="4" t="s">
        <v>129</v>
      </c>
      <c r="AN34" s="4" t="s">
        <v>263</v>
      </c>
      <c r="AO34" s="4" t="s">
        <v>131</v>
      </c>
      <c r="AP34" s="4" t="s">
        <v>264</v>
      </c>
    </row>
    <row r="35" s="4" customFormat="1" spans="1:42">
      <c r="A35" s="48">
        <v>120010205</v>
      </c>
      <c r="B35" s="49">
        <v>1</v>
      </c>
      <c r="C35" s="49" t="s">
        <v>53</v>
      </c>
      <c r="F35" s="4">
        <v>1200102</v>
      </c>
      <c r="G35" s="4">
        <v>5</v>
      </c>
      <c r="I35" s="37" t="s">
        <v>265</v>
      </c>
      <c r="J35" s="37"/>
      <c r="K35" s="37"/>
      <c r="L35" s="4"/>
      <c r="M35" s="37">
        <v>356</v>
      </c>
      <c r="N35" s="37" t="s">
        <v>55</v>
      </c>
      <c r="O35" s="38">
        <v>11003</v>
      </c>
      <c r="P35" s="38" t="s">
        <v>134</v>
      </c>
      <c r="Q35" s="39"/>
      <c r="R35" s="50"/>
      <c r="S35" s="50"/>
      <c r="T35" t="b">
        <v>0</v>
      </c>
      <c r="U35" s="50"/>
      <c r="V35" s="50">
        <v>71205</v>
      </c>
      <c r="W35" s="50"/>
      <c r="X35" s="50"/>
      <c r="Y35" s="50"/>
      <c r="Z35" s="50"/>
      <c r="AA35" s="4" t="s">
        <v>266</v>
      </c>
      <c r="AB35" s="4" t="s">
        <v>136</v>
      </c>
      <c r="AC35" s="4">
        <v>12001</v>
      </c>
      <c r="AD35" s="51" t="s">
        <v>137</v>
      </c>
      <c r="AE35" s="51">
        <v>0</v>
      </c>
      <c r="AF35" s="51">
        <v>11003</v>
      </c>
      <c r="AG35" s="40">
        <v>2138000</v>
      </c>
      <c r="AH35" s="61" t="s">
        <v>246</v>
      </c>
      <c r="AI35" s="52">
        <v>356</v>
      </c>
      <c r="AJ35" s="4">
        <v>3</v>
      </c>
      <c r="AK35" s="4" t="s">
        <v>138</v>
      </c>
      <c r="AL35" s="4" t="s">
        <v>267</v>
      </c>
      <c r="AM35" s="4" t="s">
        <v>140</v>
      </c>
      <c r="AN35" s="4" t="s">
        <v>268</v>
      </c>
      <c r="AO35" s="4" t="s">
        <v>142</v>
      </c>
      <c r="AP35" s="4" t="s">
        <v>269</v>
      </c>
    </row>
    <row r="36" s="4" customFormat="1" spans="1:42">
      <c r="A36" s="48">
        <v>120010206</v>
      </c>
      <c r="B36" s="49">
        <v>1</v>
      </c>
      <c r="C36" s="49" t="s">
        <v>53</v>
      </c>
      <c r="F36" s="4">
        <v>1200102</v>
      </c>
      <c r="G36" s="4">
        <v>6</v>
      </c>
      <c r="H36" s="4"/>
      <c r="I36" s="4" t="s">
        <v>270</v>
      </c>
      <c r="M36" s="37">
        <v>356</v>
      </c>
      <c r="N36" s="37" t="s">
        <v>55</v>
      </c>
      <c r="O36" s="38">
        <v>11017</v>
      </c>
      <c r="P36" s="38" t="s">
        <v>145</v>
      </c>
      <c r="Q36" s="39"/>
      <c r="R36" s="39"/>
      <c r="S36" s="39"/>
      <c r="T36" t="b">
        <v>0</v>
      </c>
      <c r="U36" s="39"/>
      <c r="V36" s="39">
        <v>71206</v>
      </c>
      <c r="W36" s="39"/>
      <c r="X36" s="39"/>
      <c r="Y36" s="39"/>
      <c r="Z36" s="39"/>
      <c r="AA36" s="4" t="s">
        <v>271</v>
      </c>
      <c r="AB36" s="4" t="s">
        <v>136</v>
      </c>
      <c r="AC36" s="4">
        <v>12001</v>
      </c>
      <c r="AD36" s="51" t="s">
        <v>147</v>
      </c>
      <c r="AE36" s="51">
        <v>101700</v>
      </c>
      <c r="AF36" s="51">
        <v>11017</v>
      </c>
      <c r="AG36" s="40">
        <v>2138000</v>
      </c>
      <c r="AH36" s="61" t="s">
        <v>246</v>
      </c>
      <c r="AI36" s="52">
        <v>356</v>
      </c>
      <c r="AJ36" s="4">
        <v>3</v>
      </c>
      <c r="AK36" s="4" t="s">
        <v>148</v>
      </c>
      <c r="AL36" s="4" t="s">
        <v>272</v>
      </c>
      <c r="AM36" s="4" t="s">
        <v>150</v>
      </c>
      <c r="AN36" s="4" t="s">
        <v>273</v>
      </c>
      <c r="AO36" s="4" t="s">
        <v>152</v>
      </c>
      <c r="AP36" s="4" t="s">
        <v>274</v>
      </c>
    </row>
    <row r="37" s="4" customFormat="1" spans="1:42">
      <c r="A37" s="48">
        <v>120010207</v>
      </c>
      <c r="B37" s="49">
        <v>1</v>
      </c>
      <c r="C37" s="49" t="s">
        <v>53</v>
      </c>
      <c r="F37" s="4">
        <v>1200102</v>
      </c>
      <c r="G37" s="4">
        <v>7</v>
      </c>
      <c r="H37" s="4"/>
      <c r="I37" s="4" t="s">
        <v>275</v>
      </c>
      <c r="M37" s="37">
        <v>356</v>
      </c>
      <c r="N37" s="37" t="s">
        <v>55</v>
      </c>
      <c r="O37" s="38">
        <v>11021</v>
      </c>
      <c r="P37" s="38" t="s">
        <v>155</v>
      </c>
      <c r="Q37" s="39"/>
      <c r="R37" s="39"/>
      <c r="S37" s="39"/>
      <c r="T37" t="b">
        <v>0</v>
      </c>
      <c r="U37" s="39"/>
      <c r="V37" s="39">
        <v>71207</v>
      </c>
      <c r="W37" s="39"/>
      <c r="X37" s="39"/>
      <c r="Y37" s="39"/>
      <c r="Z37" s="39"/>
      <c r="AA37" s="4" t="s">
        <v>276</v>
      </c>
      <c r="AB37" s="4" t="s">
        <v>136</v>
      </c>
      <c r="AC37" s="4">
        <v>12001</v>
      </c>
      <c r="AD37" s="51" t="s">
        <v>157</v>
      </c>
      <c r="AE37" s="51">
        <v>102100</v>
      </c>
      <c r="AF37" s="51">
        <v>11021</v>
      </c>
      <c r="AG37" s="40">
        <v>2138000</v>
      </c>
      <c r="AH37" s="61" t="s">
        <v>246</v>
      </c>
      <c r="AI37" s="52">
        <v>356</v>
      </c>
      <c r="AJ37" s="4">
        <v>3</v>
      </c>
      <c r="AK37" s="4" t="s">
        <v>158</v>
      </c>
      <c r="AL37" s="4" t="s">
        <v>277</v>
      </c>
      <c r="AM37" s="4" t="s">
        <v>160</v>
      </c>
      <c r="AN37" s="4" t="s">
        <v>278</v>
      </c>
      <c r="AO37" s="4" t="s">
        <v>162</v>
      </c>
      <c r="AP37" s="4" t="s">
        <v>279</v>
      </c>
    </row>
    <row r="38" s="4" customFormat="1" spans="1:42">
      <c r="A38" s="48">
        <v>120010208</v>
      </c>
      <c r="B38" s="49">
        <v>1</v>
      </c>
      <c r="C38" s="49" t="s">
        <v>53</v>
      </c>
      <c r="F38" s="4">
        <v>1200102</v>
      </c>
      <c r="G38" s="4">
        <v>8</v>
      </c>
      <c r="H38" s="4"/>
      <c r="I38" s="4" t="s">
        <v>280</v>
      </c>
      <c r="M38" s="37">
        <v>356</v>
      </c>
      <c r="N38" s="37" t="s">
        <v>55</v>
      </c>
      <c r="O38" s="38">
        <v>11022</v>
      </c>
      <c r="P38" s="38" t="s">
        <v>165</v>
      </c>
      <c r="Q38" s="39"/>
      <c r="R38" s="39"/>
      <c r="S38" s="39"/>
      <c r="T38" t="b">
        <v>0</v>
      </c>
      <c r="U38" s="39"/>
      <c r="V38" s="39">
        <v>71208</v>
      </c>
      <c r="W38" s="39"/>
      <c r="X38" s="39"/>
      <c r="Y38" s="39"/>
      <c r="Z38" s="39"/>
      <c r="AA38" s="4" t="s">
        <v>281</v>
      </c>
      <c r="AB38" s="4" t="s">
        <v>136</v>
      </c>
      <c r="AC38" s="4">
        <v>12001</v>
      </c>
      <c r="AD38" s="51" t="s">
        <v>167</v>
      </c>
      <c r="AE38" s="51">
        <v>102200</v>
      </c>
      <c r="AF38" s="51">
        <v>11022</v>
      </c>
      <c r="AG38" s="40">
        <v>2138000</v>
      </c>
      <c r="AH38" s="61" t="s">
        <v>246</v>
      </c>
      <c r="AI38" s="52">
        <v>356</v>
      </c>
      <c r="AJ38" s="4">
        <v>3</v>
      </c>
      <c r="AK38" s="4" t="s">
        <v>168</v>
      </c>
      <c r="AL38" s="4" t="s">
        <v>282</v>
      </c>
      <c r="AM38" s="4" t="s">
        <v>170</v>
      </c>
      <c r="AN38" s="4" t="s">
        <v>283</v>
      </c>
      <c r="AO38" s="4" t="s">
        <v>168</v>
      </c>
      <c r="AP38" s="4" t="s">
        <v>284</v>
      </c>
    </row>
    <row r="39" s="4" customFormat="1" spans="1:42">
      <c r="A39" s="48">
        <v>120010209</v>
      </c>
      <c r="B39" s="49">
        <v>1</v>
      </c>
      <c r="C39" s="49" t="s">
        <v>53</v>
      </c>
      <c r="F39" s="4">
        <v>1200102</v>
      </c>
      <c r="G39" s="4">
        <v>9</v>
      </c>
      <c r="H39" s="4"/>
      <c r="I39" s="4" t="s">
        <v>285</v>
      </c>
      <c r="M39" s="37">
        <v>356</v>
      </c>
      <c r="N39" s="37" t="s">
        <v>55</v>
      </c>
      <c r="O39" s="38">
        <v>11023</v>
      </c>
      <c r="P39" s="38" t="s">
        <v>174</v>
      </c>
      <c r="Q39" s="39"/>
      <c r="R39" s="39"/>
      <c r="S39" s="39"/>
      <c r="T39" t="b">
        <v>0</v>
      </c>
      <c r="U39" s="39"/>
      <c r="V39" s="39">
        <v>71209</v>
      </c>
      <c r="W39" s="39"/>
      <c r="X39" s="39"/>
      <c r="Y39" s="39"/>
      <c r="Z39" s="39"/>
      <c r="AA39" s="4" t="s">
        <v>286</v>
      </c>
      <c r="AB39" s="4" t="s">
        <v>136</v>
      </c>
      <c r="AC39" s="4">
        <v>12001</v>
      </c>
      <c r="AD39" s="51" t="s">
        <v>176</v>
      </c>
      <c r="AE39" s="51">
        <v>102300</v>
      </c>
      <c r="AF39" s="51">
        <v>11023</v>
      </c>
      <c r="AG39" s="40">
        <v>2138000</v>
      </c>
      <c r="AH39" s="61" t="s">
        <v>246</v>
      </c>
      <c r="AI39" s="52">
        <v>356</v>
      </c>
      <c r="AJ39" s="4">
        <v>3</v>
      </c>
      <c r="AK39" s="4" t="s">
        <v>177</v>
      </c>
      <c r="AL39" s="4" t="s">
        <v>287</v>
      </c>
      <c r="AM39" s="4" t="s">
        <v>179</v>
      </c>
      <c r="AN39" s="4" t="s">
        <v>288</v>
      </c>
      <c r="AO39" s="4" t="s">
        <v>181</v>
      </c>
      <c r="AP39" s="4" t="s">
        <v>289</v>
      </c>
    </row>
    <row r="40" s="4" customFormat="1" spans="1:42">
      <c r="A40" s="48">
        <v>120010210</v>
      </c>
      <c r="B40" s="49">
        <v>1</v>
      </c>
      <c r="C40" s="49" t="s">
        <v>53</v>
      </c>
      <c r="F40" s="4">
        <v>1200102</v>
      </c>
      <c r="G40" s="4">
        <v>10</v>
      </c>
      <c r="H40" s="4"/>
      <c r="I40" s="4" t="s">
        <v>290</v>
      </c>
      <c r="M40" s="37">
        <v>356</v>
      </c>
      <c r="N40" s="37" t="s">
        <v>55</v>
      </c>
      <c r="O40" s="38">
        <v>11024</v>
      </c>
      <c r="P40" s="38" t="s">
        <v>184</v>
      </c>
      <c r="Q40" s="39"/>
      <c r="R40" s="39"/>
      <c r="S40" s="39"/>
      <c r="T40" t="b">
        <v>0</v>
      </c>
      <c r="U40" s="39"/>
      <c r="V40" s="39">
        <v>71210</v>
      </c>
      <c r="W40" s="39"/>
      <c r="X40" s="39"/>
      <c r="Y40" s="39"/>
      <c r="Z40" s="39"/>
      <c r="AA40" s="4" t="s">
        <v>291</v>
      </c>
      <c r="AB40" s="4" t="s">
        <v>136</v>
      </c>
      <c r="AC40" s="4">
        <v>12001</v>
      </c>
      <c r="AD40" s="51" t="s">
        <v>186</v>
      </c>
      <c r="AE40" s="51">
        <v>102400</v>
      </c>
      <c r="AF40" s="51">
        <v>11024</v>
      </c>
      <c r="AG40" s="40">
        <v>2138000</v>
      </c>
      <c r="AH40" s="61" t="s">
        <v>246</v>
      </c>
      <c r="AI40" s="52">
        <v>356</v>
      </c>
      <c r="AJ40" s="4">
        <v>3</v>
      </c>
      <c r="AK40" s="4" t="s">
        <v>187</v>
      </c>
      <c r="AL40" s="4" t="s">
        <v>292</v>
      </c>
      <c r="AM40" s="4" t="s">
        <v>189</v>
      </c>
      <c r="AN40" s="4" t="s">
        <v>293</v>
      </c>
      <c r="AO40" s="4" t="s">
        <v>191</v>
      </c>
      <c r="AP40" s="4" t="s">
        <v>294</v>
      </c>
    </row>
    <row r="41" s="4" customFormat="1" spans="1:42">
      <c r="A41" s="48">
        <v>120010301</v>
      </c>
      <c r="B41" s="49">
        <v>1</v>
      </c>
      <c r="C41" s="49" t="s">
        <v>53</v>
      </c>
      <c r="F41" s="4">
        <v>1200103</v>
      </c>
      <c r="G41" s="4">
        <v>1</v>
      </c>
      <c r="H41" s="4"/>
      <c r="I41" s="4" t="s">
        <v>295</v>
      </c>
      <c r="M41" s="37">
        <v>713</v>
      </c>
      <c r="N41" s="37" t="s">
        <v>55</v>
      </c>
      <c r="O41" s="38">
        <v>11007</v>
      </c>
      <c r="P41" s="38" t="s">
        <v>94</v>
      </c>
      <c r="Q41" s="39"/>
      <c r="R41" s="50"/>
      <c r="S41" s="50"/>
      <c r="T41" t="b">
        <v>0</v>
      </c>
      <c r="U41" s="50"/>
      <c r="V41" s="50">
        <v>71301</v>
      </c>
      <c r="W41" s="50"/>
      <c r="X41" s="50"/>
      <c r="Y41" s="50"/>
      <c r="Z41" s="50"/>
      <c r="AA41" s="4" t="s">
        <v>296</v>
      </c>
      <c r="AB41" s="4" t="s">
        <v>96</v>
      </c>
      <c r="AC41" s="4">
        <v>12001</v>
      </c>
      <c r="AD41" s="51" t="s">
        <v>97</v>
      </c>
      <c r="AE41" s="51">
        <v>100700</v>
      </c>
      <c r="AF41" s="51">
        <v>11007</v>
      </c>
      <c r="AG41" s="40">
        <v>4277000</v>
      </c>
      <c r="AH41" s="61" t="s">
        <v>297</v>
      </c>
      <c r="AI41" s="52">
        <v>713</v>
      </c>
      <c r="AJ41" s="4">
        <v>4</v>
      </c>
      <c r="AK41" s="4" t="s">
        <v>99</v>
      </c>
      <c r="AL41" s="4" t="s">
        <v>298</v>
      </c>
      <c r="AM41" s="4" t="s">
        <v>101</v>
      </c>
      <c r="AN41" s="4" t="s">
        <v>299</v>
      </c>
      <c r="AO41" s="4" t="s">
        <v>103</v>
      </c>
      <c r="AP41" s="4" t="s">
        <v>300</v>
      </c>
    </row>
    <row r="42" s="4" customFormat="1" spans="1:42">
      <c r="A42" s="48">
        <v>120010302</v>
      </c>
      <c r="B42" s="49">
        <v>1</v>
      </c>
      <c r="C42" s="49" t="s">
        <v>53</v>
      </c>
      <c r="F42" s="4">
        <v>1200103</v>
      </c>
      <c r="G42" s="4">
        <v>2</v>
      </c>
      <c r="H42" s="4"/>
      <c r="I42" s="4" t="s">
        <v>301</v>
      </c>
      <c r="M42" s="37">
        <v>713</v>
      </c>
      <c r="N42" s="37" t="s">
        <v>55</v>
      </c>
      <c r="O42" s="38">
        <v>11003</v>
      </c>
      <c r="P42" s="38" t="s">
        <v>106</v>
      </c>
      <c r="Q42" s="39"/>
      <c r="R42" s="50"/>
      <c r="S42" s="50"/>
      <c r="T42" t="b">
        <v>0</v>
      </c>
      <c r="U42" s="50"/>
      <c r="V42" s="50">
        <v>71302</v>
      </c>
      <c r="W42" s="50"/>
      <c r="X42" s="50"/>
      <c r="Y42" s="50"/>
      <c r="Z42" s="50"/>
      <c r="AA42" s="4" t="s">
        <v>302</v>
      </c>
      <c r="AB42" s="4" t="s">
        <v>96</v>
      </c>
      <c r="AC42" s="4">
        <v>12001</v>
      </c>
      <c r="AD42" s="51" t="s">
        <v>108</v>
      </c>
      <c r="AE42" s="51">
        <v>100300</v>
      </c>
      <c r="AF42" s="51">
        <v>11003</v>
      </c>
      <c r="AG42" s="40">
        <v>4277000</v>
      </c>
      <c r="AH42" s="61" t="s">
        <v>297</v>
      </c>
      <c r="AI42" s="52">
        <v>713</v>
      </c>
      <c r="AJ42" s="4">
        <v>4</v>
      </c>
      <c r="AK42" s="4" t="s">
        <v>109</v>
      </c>
      <c r="AL42" s="4" t="s">
        <v>303</v>
      </c>
      <c r="AM42" s="4" t="s">
        <v>111</v>
      </c>
      <c r="AN42" s="4" t="s">
        <v>304</v>
      </c>
      <c r="AO42" s="4" t="s">
        <v>109</v>
      </c>
      <c r="AP42" s="4" t="s">
        <v>305</v>
      </c>
    </row>
    <row r="43" s="4" customFormat="1" spans="1:42">
      <c r="A43" s="48">
        <v>120010303</v>
      </c>
      <c r="B43" s="49">
        <v>1</v>
      </c>
      <c r="C43" s="49" t="s">
        <v>53</v>
      </c>
      <c r="F43" s="4">
        <v>1200103</v>
      </c>
      <c r="G43" s="4">
        <v>3</v>
      </c>
      <c r="H43" s="4"/>
      <c r="I43" s="4" t="s">
        <v>306</v>
      </c>
      <c r="M43" s="37">
        <v>713</v>
      </c>
      <c r="N43" s="37" t="s">
        <v>55</v>
      </c>
      <c r="O43" s="38">
        <v>11012</v>
      </c>
      <c r="P43" s="38" t="s">
        <v>115</v>
      </c>
      <c r="Q43" s="39"/>
      <c r="R43" s="50"/>
      <c r="S43" s="50"/>
      <c r="T43" t="b">
        <v>0</v>
      </c>
      <c r="U43" s="50"/>
      <c r="V43" s="50">
        <v>71303</v>
      </c>
      <c r="W43" s="50"/>
      <c r="X43" s="50"/>
      <c r="Y43" s="50"/>
      <c r="Z43" s="50"/>
      <c r="AA43" s="4" t="s">
        <v>307</v>
      </c>
      <c r="AB43" s="4" t="s">
        <v>96</v>
      </c>
      <c r="AC43" s="4">
        <v>12001</v>
      </c>
      <c r="AD43" s="51" t="s">
        <v>117</v>
      </c>
      <c r="AE43" s="51">
        <v>101200</v>
      </c>
      <c r="AF43" s="51">
        <v>11012</v>
      </c>
      <c r="AG43" s="40">
        <v>4277000</v>
      </c>
      <c r="AH43" s="61" t="s">
        <v>297</v>
      </c>
      <c r="AI43" s="52">
        <v>713</v>
      </c>
      <c r="AJ43" s="4">
        <v>4</v>
      </c>
      <c r="AK43" s="4" t="s">
        <v>118</v>
      </c>
      <c r="AL43" s="4" t="s">
        <v>308</v>
      </c>
      <c r="AM43" s="4" t="s">
        <v>120</v>
      </c>
      <c r="AN43" s="4" t="s">
        <v>309</v>
      </c>
      <c r="AO43" s="4" t="s">
        <v>118</v>
      </c>
      <c r="AP43" s="4" t="s">
        <v>310</v>
      </c>
    </row>
    <row r="44" s="4" customFormat="1" spans="1:42">
      <c r="A44" s="48">
        <v>120010304</v>
      </c>
      <c r="B44" s="49">
        <v>1</v>
      </c>
      <c r="C44" s="49" t="s">
        <v>53</v>
      </c>
      <c r="F44" s="4">
        <v>1200103</v>
      </c>
      <c r="G44" s="4">
        <v>4</v>
      </c>
      <c r="H44" s="4"/>
      <c r="I44" s="4" t="s">
        <v>311</v>
      </c>
      <c r="M44" s="37">
        <v>713</v>
      </c>
      <c r="N44" s="37" t="s">
        <v>55</v>
      </c>
      <c r="O44" s="38">
        <v>11014</v>
      </c>
      <c r="P44" s="38" t="s">
        <v>124</v>
      </c>
      <c r="Q44" s="39"/>
      <c r="R44" s="50"/>
      <c r="S44" s="50"/>
      <c r="T44" t="b">
        <v>0</v>
      </c>
      <c r="U44" s="50"/>
      <c r="V44" s="50">
        <v>71304</v>
      </c>
      <c r="W44" s="50"/>
      <c r="X44" s="50"/>
      <c r="Y44" s="50"/>
      <c r="Z44" s="50"/>
      <c r="AA44" s="4" t="s">
        <v>312</v>
      </c>
      <c r="AB44" s="4" t="s">
        <v>96</v>
      </c>
      <c r="AC44" s="4">
        <v>12001</v>
      </c>
      <c r="AD44" s="51" t="s">
        <v>126</v>
      </c>
      <c r="AE44" s="51">
        <v>101400</v>
      </c>
      <c r="AF44" s="51">
        <v>11014</v>
      </c>
      <c r="AG44" s="40">
        <v>4277000</v>
      </c>
      <c r="AH44" s="61" t="s">
        <v>297</v>
      </c>
      <c r="AI44" s="52">
        <v>713</v>
      </c>
      <c r="AJ44" s="4">
        <v>4</v>
      </c>
      <c r="AK44" s="4" t="s">
        <v>127</v>
      </c>
      <c r="AL44" s="4" t="s">
        <v>313</v>
      </c>
      <c r="AM44" s="4" t="s">
        <v>129</v>
      </c>
      <c r="AN44" s="4" t="s">
        <v>314</v>
      </c>
      <c r="AO44" s="4" t="s">
        <v>131</v>
      </c>
      <c r="AP44" s="4" t="s">
        <v>315</v>
      </c>
    </row>
    <row r="45" s="4" customFormat="1" spans="1:42">
      <c r="A45" s="48">
        <v>120010305</v>
      </c>
      <c r="B45" s="49">
        <v>1</v>
      </c>
      <c r="C45" s="49" t="s">
        <v>53</v>
      </c>
      <c r="F45" s="4">
        <v>1200103</v>
      </c>
      <c r="G45" s="4">
        <v>5</v>
      </c>
      <c r="H45" s="4"/>
      <c r="I45" s="4" t="s">
        <v>316</v>
      </c>
      <c r="M45" s="37">
        <v>713</v>
      </c>
      <c r="N45" s="37" t="s">
        <v>55</v>
      </c>
      <c r="O45" s="38">
        <v>11003</v>
      </c>
      <c r="P45" s="38" t="s">
        <v>134</v>
      </c>
      <c r="Q45" s="39"/>
      <c r="R45" s="50"/>
      <c r="S45" s="50"/>
      <c r="T45" t="b">
        <v>0</v>
      </c>
      <c r="U45" s="50"/>
      <c r="V45" s="50">
        <v>71305</v>
      </c>
      <c r="W45" s="50"/>
      <c r="X45" s="50"/>
      <c r="Y45" s="50"/>
      <c r="Z45" s="50"/>
      <c r="AA45" s="4" t="s">
        <v>317</v>
      </c>
      <c r="AB45" s="4" t="s">
        <v>136</v>
      </c>
      <c r="AC45" s="4">
        <v>12001</v>
      </c>
      <c r="AD45" s="51" t="s">
        <v>137</v>
      </c>
      <c r="AE45" s="51">
        <v>0</v>
      </c>
      <c r="AF45" s="51">
        <v>11003</v>
      </c>
      <c r="AG45" s="40">
        <v>4277000</v>
      </c>
      <c r="AH45" s="61" t="s">
        <v>297</v>
      </c>
      <c r="AI45" s="52">
        <v>713</v>
      </c>
      <c r="AJ45" s="4">
        <v>4</v>
      </c>
      <c r="AK45" s="4" t="s">
        <v>138</v>
      </c>
      <c r="AL45" s="4" t="s">
        <v>318</v>
      </c>
      <c r="AM45" s="4" t="s">
        <v>140</v>
      </c>
      <c r="AN45" s="4" t="s">
        <v>319</v>
      </c>
      <c r="AO45" s="4" t="s">
        <v>142</v>
      </c>
      <c r="AP45" s="4" t="s">
        <v>320</v>
      </c>
    </row>
    <row r="46" s="4" customFormat="1" spans="1:42">
      <c r="A46" s="48">
        <v>120010306</v>
      </c>
      <c r="B46" s="49">
        <v>1</v>
      </c>
      <c r="C46" s="49" t="s">
        <v>53</v>
      </c>
      <c r="F46" s="4">
        <v>1200103</v>
      </c>
      <c r="G46" s="4">
        <v>6</v>
      </c>
      <c r="H46" s="4"/>
      <c r="I46" s="4" t="s">
        <v>321</v>
      </c>
      <c r="M46" s="37">
        <v>713</v>
      </c>
      <c r="N46" s="37" t="s">
        <v>55</v>
      </c>
      <c r="O46" s="38">
        <v>11017</v>
      </c>
      <c r="P46" s="38" t="s">
        <v>145</v>
      </c>
      <c r="Q46" s="39"/>
      <c r="R46" s="39"/>
      <c r="S46" s="39"/>
      <c r="T46" t="b">
        <v>0</v>
      </c>
      <c r="U46" s="39"/>
      <c r="V46" s="39">
        <v>71306</v>
      </c>
      <c r="W46" s="39"/>
      <c r="X46" s="39"/>
      <c r="Y46" s="39"/>
      <c r="Z46" s="39"/>
      <c r="AA46" s="4" t="s">
        <v>322</v>
      </c>
      <c r="AB46" s="4" t="s">
        <v>136</v>
      </c>
      <c r="AC46" s="4">
        <v>12001</v>
      </c>
      <c r="AD46" s="51" t="s">
        <v>147</v>
      </c>
      <c r="AE46" s="51">
        <v>101700</v>
      </c>
      <c r="AF46" s="51">
        <v>11017</v>
      </c>
      <c r="AG46" s="40">
        <v>4277000</v>
      </c>
      <c r="AH46" s="61" t="s">
        <v>297</v>
      </c>
      <c r="AI46" s="52">
        <v>713</v>
      </c>
      <c r="AJ46" s="4">
        <v>4</v>
      </c>
      <c r="AK46" s="4" t="s">
        <v>148</v>
      </c>
      <c r="AL46" s="4" t="s">
        <v>323</v>
      </c>
      <c r="AM46" s="4" t="s">
        <v>150</v>
      </c>
      <c r="AN46" s="4" t="s">
        <v>324</v>
      </c>
      <c r="AO46" s="4" t="s">
        <v>152</v>
      </c>
      <c r="AP46" s="4" t="s">
        <v>325</v>
      </c>
    </row>
    <row r="47" s="4" customFormat="1" spans="1:42">
      <c r="A47" s="48">
        <v>120010307</v>
      </c>
      <c r="B47" s="49">
        <v>1</v>
      </c>
      <c r="C47" s="49" t="s">
        <v>53</v>
      </c>
      <c r="F47" s="4">
        <v>1200103</v>
      </c>
      <c r="G47" s="4">
        <v>7</v>
      </c>
      <c r="H47" s="4"/>
      <c r="I47" s="4" t="s">
        <v>326</v>
      </c>
      <c r="M47" s="37">
        <v>713</v>
      </c>
      <c r="N47" s="37" t="s">
        <v>55</v>
      </c>
      <c r="O47" s="38">
        <v>11021</v>
      </c>
      <c r="P47" s="38" t="s">
        <v>155</v>
      </c>
      <c r="Q47" s="39"/>
      <c r="R47" s="39"/>
      <c r="S47" s="39"/>
      <c r="T47" t="b">
        <v>0</v>
      </c>
      <c r="U47" s="39"/>
      <c r="V47" s="39">
        <v>71307</v>
      </c>
      <c r="W47" s="39"/>
      <c r="X47" s="39"/>
      <c r="Y47" s="39"/>
      <c r="Z47" s="39"/>
      <c r="AA47" s="4" t="s">
        <v>327</v>
      </c>
      <c r="AB47" s="4" t="s">
        <v>136</v>
      </c>
      <c r="AC47" s="4">
        <v>12001</v>
      </c>
      <c r="AD47" s="51" t="s">
        <v>157</v>
      </c>
      <c r="AE47" s="51">
        <v>102100</v>
      </c>
      <c r="AF47" s="51">
        <v>11021</v>
      </c>
      <c r="AG47" s="40">
        <v>4277000</v>
      </c>
      <c r="AH47" s="61" t="s">
        <v>297</v>
      </c>
      <c r="AI47" s="52">
        <v>713</v>
      </c>
      <c r="AJ47" s="4">
        <v>4</v>
      </c>
      <c r="AK47" s="4" t="s">
        <v>158</v>
      </c>
      <c r="AL47" s="4" t="s">
        <v>328</v>
      </c>
      <c r="AM47" s="4" t="s">
        <v>160</v>
      </c>
      <c r="AN47" s="4" t="s">
        <v>329</v>
      </c>
      <c r="AO47" s="4" t="s">
        <v>162</v>
      </c>
      <c r="AP47" s="4" t="s">
        <v>330</v>
      </c>
    </row>
    <row r="48" s="4" customFormat="1" spans="1:42">
      <c r="A48" s="48">
        <v>120010308</v>
      </c>
      <c r="B48" s="49">
        <v>1</v>
      </c>
      <c r="C48" s="49" t="s">
        <v>53</v>
      </c>
      <c r="F48" s="4">
        <v>1200103</v>
      </c>
      <c r="G48" s="4">
        <v>8</v>
      </c>
      <c r="H48" s="4"/>
      <c r="I48" s="4" t="s">
        <v>331</v>
      </c>
      <c r="M48" s="37">
        <v>713</v>
      </c>
      <c r="N48" s="37" t="s">
        <v>55</v>
      </c>
      <c r="O48" s="38">
        <v>11022</v>
      </c>
      <c r="P48" s="38" t="s">
        <v>165</v>
      </c>
      <c r="Q48" s="39"/>
      <c r="R48" s="39"/>
      <c r="S48" s="39"/>
      <c r="T48" t="b">
        <v>0</v>
      </c>
      <c r="U48" s="39"/>
      <c r="V48" s="39">
        <v>71308</v>
      </c>
      <c r="W48" s="39"/>
      <c r="X48" s="39"/>
      <c r="Y48" s="39"/>
      <c r="Z48" s="39"/>
      <c r="AA48" s="4" t="s">
        <v>332</v>
      </c>
      <c r="AB48" s="4" t="s">
        <v>136</v>
      </c>
      <c r="AC48" s="4">
        <v>12001</v>
      </c>
      <c r="AD48" s="51" t="s">
        <v>167</v>
      </c>
      <c r="AE48" s="51">
        <v>102200</v>
      </c>
      <c r="AF48" s="51">
        <v>11022</v>
      </c>
      <c r="AG48" s="40">
        <v>4277000</v>
      </c>
      <c r="AH48" s="61" t="s">
        <v>297</v>
      </c>
      <c r="AI48" s="52">
        <v>713</v>
      </c>
      <c r="AJ48" s="4">
        <v>4</v>
      </c>
      <c r="AK48" s="4" t="s">
        <v>168</v>
      </c>
      <c r="AL48" s="4" t="s">
        <v>333</v>
      </c>
      <c r="AM48" s="4" t="s">
        <v>170</v>
      </c>
      <c r="AN48" s="4" t="s">
        <v>334</v>
      </c>
      <c r="AO48" s="4" t="s">
        <v>168</v>
      </c>
      <c r="AP48" s="4" t="s">
        <v>335</v>
      </c>
    </row>
    <row r="49" s="4" customFormat="1" spans="1:42">
      <c r="A49" s="48">
        <v>120010309</v>
      </c>
      <c r="B49" s="49">
        <v>1</v>
      </c>
      <c r="C49" s="49" t="s">
        <v>53</v>
      </c>
      <c r="F49" s="4">
        <v>1200103</v>
      </c>
      <c r="G49" s="4">
        <v>9</v>
      </c>
      <c r="H49" s="4"/>
      <c r="I49" s="4" t="s">
        <v>336</v>
      </c>
      <c r="M49" s="37">
        <v>713</v>
      </c>
      <c r="N49" s="37" t="s">
        <v>55</v>
      </c>
      <c r="O49" s="38">
        <v>11023</v>
      </c>
      <c r="P49" s="38" t="s">
        <v>174</v>
      </c>
      <c r="Q49" s="39"/>
      <c r="R49" s="39"/>
      <c r="S49" s="39"/>
      <c r="T49" t="b">
        <v>0</v>
      </c>
      <c r="U49" s="39"/>
      <c r="V49" s="39">
        <v>71309</v>
      </c>
      <c r="W49" s="39"/>
      <c r="X49" s="39"/>
      <c r="Y49" s="39"/>
      <c r="Z49" s="39"/>
      <c r="AA49" s="4" t="s">
        <v>337</v>
      </c>
      <c r="AB49" s="4" t="s">
        <v>136</v>
      </c>
      <c r="AC49" s="4">
        <v>12001</v>
      </c>
      <c r="AD49" s="51" t="s">
        <v>176</v>
      </c>
      <c r="AE49" s="51">
        <v>102300</v>
      </c>
      <c r="AF49" s="51">
        <v>11023</v>
      </c>
      <c r="AG49" s="40">
        <v>4277000</v>
      </c>
      <c r="AH49" s="61" t="s">
        <v>297</v>
      </c>
      <c r="AI49" s="52">
        <v>713</v>
      </c>
      <c r="AJ49" s="4">
        <v>4</v>
      </c>
      <c r="AK49" s="4" t="s">
        <v>177</v>
      </c>
      <c r="AL49" s="4" t="s">
        <v>338</v>
      </c>
      <c r="AM49" s="4" t="s">
        <v>179</v>
      </c>
      <c r="AN49" s="4" t="s">
        <v>339</v>
      </c>
      <c r="AO49" s="4" t="s">
        <v>181</v>
      </c>
      <c r="AP49" s="4" t="s">
        <v>340</v>
      </c>
    </row>
    <row r="50" s="4" customFormat="1" spans="1:42">
      <c r="A50" s="48">
        <v>120010310</v>
      </c>
      <c r="B50" s="49">
        <v>1</v>
      </c>
      <c r="C50" s="49" t="s">
        <v>53</v>
      </c>
      <c r="F50" s="4">
        <v>1200103</v>
      </c>
      <c r="G50" s="4">
        <v>10</v>
      </c>
      <c r="H50" s="4"/>
      <c r="I50" s="4" t="s">
        <v>341</v>
      </c>
      <c r="M50" s="37">
        <v>713</v>
      </c>
      <c r="N50" s="37" t="s">
        <v>55</v>
      </c>
      <c r="O50" s="38">
        <v>11024</v>
      </c>
      <c r="P50" s="38" t="s">
        <v>184</v>
      </c>
      <c r="Q50" s="39"/>
      <c r="R50" s="39"/>
      <c r="S50" s="39"/>
      <c r="T50" t="b">
        <v>0</v>
      </c>
      <c r="U50" s="39"/>
      <c r="V50" s="39">
        <v>71310</v>
      </c>
      <c r="W50" s="39"/>
      <c r="X50" s="39"/>
      <c r="Y50" s="39"/>
      <c r="Z50" s="39"/>
      <c r="AA50" s="4" t="s">
        <v>342</v>
      </c>
      <c r="AB50" s="4" t="s">
        <v>136</v>
      </c>
      <c r="AC50" s="4">
        <v>12001</v>
      </c>
      <c r="AD50" s="51" t="s">
        <v>186</v>
      </c>
      <c r="AE50" s="51">
        <v>102400</v>
      </c>
      <c r="AF50" s="51">
        <v>11024</v>
      </c>
      <c r="AG50" s="40">
        <v>4277000</v>
      </c>
      <c r="AH50" s="61" t="s">
        <v>297</v>
      </c>
      <c r="AI50" s="52">
        <v>713</v>
      </c>
      <c r="AJ50" s="4">
        <v>4</v>
      </c>
      <c r="AK50" s="4" t="s">
        <v>187</v>
      </c>
      <c r="AL50" s="4" t="s">
        <v>343</v>
      </c>
      <c r="AM50" s="4" t="s">
        <v>189</v>
      </c>
      <c r="AN50" s="4" t="s">
        <v>344</v>
      </c>
      <c r="AO50" s="4" t="s">
        <v>191</v>
      </c>
      <c r="AP50" s="4" t="s">
        <v>345</v>
      </c>
    </row>
    <row r="51" s="4" customFormat="1" spans="1:42">
      <c r="A51" s="48">
        <v>120010401</v>
      </c>
      <c r="B51" s="49">
        <v>1</v>
      </c>
      <c r="C51" s="49" t="s">
        <v>53</v>
      </c>
      <c r="F51" s="4">
        <v>1200104</v>
      </c>
      <c r="G51" s="4">
        <v>1</v>
      </c>
      <c r="I51" s="4" t="s">
        <v>346</v>
      </c>
      <c r="M51" s="37">
        <v>1188</v>
      </c>
      <c r="N51" s="37" t="s">
        <v>55</v>
      </c>
      <c r="O51" s="38">
        <v>11007</v>
      </c>
      <c r="P51" s="38" t="s">
        <v>94</v>
      </c>
      <c r="Q51" s="39"/>
      <c r="R51" s="50"/>
      <c r="S51" s="50"/>
      <c r="T51" t="b">
        <v>0</v>
      </c>
      <c r="U51" s="50"/>
      <c r="V51" s="50">
        <v>71401</v>
      </c>
      <c r="W51" s="50"/>
      <c r="X51" s="50"/>
      <c r="Y51" s="50"/>
      <c r="Z51" s="50"/>
      <c r="AA51" s="4" t="s">
        <v>347</v>
      </c>
      <c r="AB51" s="4" t="s">
        <v>96</v>
      </c>
      <c r="AC51" s="4">
        <v>12001</v>
      </c>
      <c r="AD51" s="51" t="s">
        <v>97</v>
      </c>
      <c r="AE51" s="51">
        <v>100700</v>
      </c>
      <c r="AF51" s="51">
        <v>11007</v>
      </c>
      <c r="AG51" s="40">
        <v>7128000</v>
      </c>
      <c r="AH51" s="61" t="s">
        <v>348</v>
      </c>
      <c r="AI51" s="52">
        <v>1188</v>
      </c>
      <c r="AJ51" s="4">
        <v>5</v>
      </c>
      <c r="AK51" s="4" t="s">
        <v>99</v>
      </c>
      <c r="AL51" s="4" t="s">
        <v>349</v>
      </c>
      <c r="AM51" s="4" t="s">
        <v>101</v>
      </c>
      <c r="AN51" s="4" t="s">
        <v>350</v>
      </c>
      <c r="AO51" s="4" t="s">
        <v>103</v>
      </c>
      <c r="AP51" s="4" t="s">
        <v>351</v>
      </c>
    </row>
    <row r="52" s="4" customFormat="1" spans="1:42">
      <c r="A52" s="48">
        <v>120010402</v>
      </c>
      <c r="B52" s="49">
        <v>1</v>
      </c>
      <c r="C52" s="49" t="s">
        <v>53</v>
      </c>
      <c r="F52" s="4">
        <v>1200104</v>
      </c>
      <c r="G52" s="4">
        <v>2</v>
      </c>
      <c r="I52" s="4" t="s">
        <v>352</v>
      </c>
      <c r="M52" s="37">
        <v>1188</v>
      </c>
      <c r="N52" s="37" t="s">
        <v>55</v>
      </c>
      <c r="O52" s="38">
        <v>11003</v>
      </c>
      <c r="P52" s="38" t="s">
        <v>106</v>
      </c>
      <c r="Q52" s="39"/>
      <c r="R52" s="50"/>
      <c r="S52" s="50"/>
      <c r="T52" t="b">
        <v>0</v>
      </c>
      <c r="U52" s="50"/>
      <c r="V52" s="50">
        <v>71402</v>
      </c>
      <c r="W52" s="50"/>
      <c r="X52" s="50"/>
      <c r="Y52" s="50"/>
      <c r="Z52" s="50"/>
      <c r="AA52" s="4" t="s">
        <v>353</v>
      </c>
      <c r="AB52" s="4" t="s">
        <v>96</v>
      </c>
      <c r="AC52" s="4">
        <v>12001</v>
      </c>
      <c r="AD52" s="51" t="s">
        <v>108</v>
      </c>
      <c r="AE52" s="51">
        <v>100300</v>
      </c>
      <c r="AF52" s="51">
        <v>11003</v>
      </c>
      <c r="AG52" s="40">
        <v>7128000</v>
      </c>
      <c r="AH52" s="61" t="s">
        <v>348</v>
      </c>
      <c r="AI52" s="52">
        <v>1188</v>
      </c>
      <c r="AJ52" s="4">
        <v>5</v>
      </c>
      <c r="AK52" s="4" t="s">
        <v>109</v>
      </c>
      <c r="AL52" s="4" t="s">
        <v>354</v>
      </c>
      <c r="AM52" s="4" t="s">
        <v>111</v>
      </c>
      <c r="AN52" s="4" t="s">
        <v>355</v>
      </c>
      <c r="AO52" s="4" t="s">
        <v>109</v>
      </c>
      <c r="AP52" s="4" t="s">
        <v>356</v>
      </c>
    </row>
    <row r="53" s="4" customFormat="1" spans="1:42">
      <c r="A53" s="48">
        <v>120010403</v>
      </c>
      <c r="B53" s="49">
        <v>1</v>
      </c>
      <c r="C53" s="49" t="s">
        <v>53</v>
      </c>
      <c r="F53" s="4">
        <v>1200104</v>
      </c>
      <c r="G53" s="4">
        <v>3</v>
      </c>
      <c r="I53" s="4" t="s">
        <v>357</v>
      </c>
      <c r="M53" s="37">
        <v>1188</v>
      </c>
      <c r="N53" s="37" t="s">
        <v>55</v>
      </c>
      <c r="O53" s="38">
        <v>11012</v>
      </c>
      <c r="P53" s="38" t="s">
        <v>115</v>
      </c>
      <c r="Q53" s="39"/>
      <c r="R53" s="50"/>
      <c r="S53" s="50"/>
      <c r="T53" t="b">
        <v>0</v>
      </c>
      <c r="U53" s="50"/>
      <c r="V53" s="50">
        <v>71403</v>
      </c>
      <c r="W53" s="50"/>
      <c r="X53" s="50"/>
      <c r="Y53" s="50"/>
      <c r="Z53" s="50"/>
      <c r="AA53" s="4" t="s">
        <v>358</v>
      </c>
      <c r="AB53" s="4" t="s">
        <v>96</v>
      </c>
      <c r="AC53" s="4">
        <v>12001</v>
      </c>
      <c r="AD53" s="51" t="s">
        <v>117</v>
      </c>
      <c r="AE53" s="51">
        <v>101200</v>
      </c>
      <c r="AF53" s="51">
        <v>11012</v>
      </c>
      <c r="AG53" s="40">
        <v>7128000</v>
      </c>
      <c r="AH53" s="61" t="s">
        <v>348</v>
      </c>
      <c r="AI53" s="52">
        <v>1188</v>
      </c>
      <c r="AJ53" s="4">
        <v>5</v>
      </c>
      <c r="AK53" s="4" t="s">
        <v>118</v>
      </c>
      <c r="AL53" s="4" t="s">
        <v>359</v>
      </c>
      <c r="AM53" s="4" t="s">
        <v>120</v>
      </c>
      <c r="AN53" s="4" t="s">
        <v>360</v>
      </c>
      <c r="AO53" s="4" t="s">
        <v>118</v>
      </c>
      <c r="AP53" s="4" t="s">
        <v>361</v>
      </c>
    </row>
    <row r="54" s="4" customFormat="1" spans="1:42">
      <c r="A54" s="48">
        <v>120010404</v>
      </c>
      <c r="B54" s="49">
        <v>1</v>
      </c>
      <c r="C54" s="49" t="s">
        <v>53</v>
      </c>
      <c r="F54" s="4">
        <v>1200104</v>
      </c>
      <c r="G54" s="4">
        <v>4</v>
      </c>
      <c r="I54" s="4" t="s">
        <v>362</v>
      </c>
      <c r="M54" s="37">
        <v>1188</v>
      </c>
      <c r="N54" s="37" t="s">
        <v>55</v>
      </c>
      <c r="O54" s="38">
        <v>11014</v>
      </c>
      <c r="P54" s="38" t="s">
        <v>124</v>
      </c>
      <c r="Q54" s="39"/>
      <c r="R54" s="50"/>
      <c r="S54" s="50"/>
      <c r="T54" t="b">
        <v>0</v>
      </c>
      <c r="U54" s="50"/>
      <c r="V54" s="50">
        <v>71404</v>
      </c>
      <c r="W54" s="50"/>
      <c r="X54" s="50"/>
      <c r="Y54" s="50"/>
      <c r="Z54" s="50"/>
      <c r="AA54" s="4" t="s">
        <v>363</v>
      </c>
      <c r="AB54" s="4" t="s">
        <v>96</v>
      </c>
      <c r="AC54" s="4">
        <v>12001</v>
      </c>
      <c r="AD54" s="51" t="s">
        <v>126</v>
      </c>
      <c r="AE54" s="51">
        <v>101400</v>
      </c>
      <c r="AF54" s="51">
        <v>11014</v>
      </c>
      <c r="AG54" s="40">
        <v>7128000</v>
      </c>
      <c r="AH54" s="61" t="s">
        <v>348</v>
      </c>
      <c r="AI54" s="52">
        <v>1188</v>
      </c>
      <c r="AJ54" s="4">
        <v>5</v>
      </c>
      <c r="AK54" s="4" t="s">
        <v>127</v>
      </c>
      <c r="AL54" s="4" t="s">
        <v>364</v>
      </c>
      <c r="AM54" s="4" t="s">
        <v>129</v>
      </c>
      <c r="AN54" s="4" t="s">
        <v>365</v>
      </c>
      <c r="AO54" s="4" t="s">
        <v>131</v>
      </c>
      <c r="AP54" s="4" t="s">
        <v>366</v>
      </c>
    </row>
    <row r="55" s="4" customFormat="1" spans="1:42">
      <c r="A55" s="48">
        <v>120010405</v>
      </c>
      <c r="B55" s="49">
        <v>1</v>
      </c>
      <c r="C55" s="49" t="s">
        <v>53</v>
      </c>
      <c r="F55" s="4">
        <v>1200104</v>
      </c>
      <c r="G55" s="4">
        <v>5</v>
      </c>
      <c r="I55" s="4" t="s">
        <v>367</v>
      </c>
      <c r="M55" s="37">
        <v>1188</v>
      </c>
      <c r="N55" s="37" t="s">
        <v>55</v>
      </c>
      <c r="O55" s="38">
        <v>11003</v>
      </c>
      <c r="P55" s="38" t="s">
        <v>134</v>
      </c>
      <c r="Q55" s="39"/>
      <c r="R55" s="50"/>
      <c r="S55" s="50"/>
      <c r="T55" t="b">
        <v>0</v>
      </c>
      <c r="U55" s="50"/>
      <c r="V55" s="50">
        <v>71405</v>
      </c>
      <c r="W55" s="50"/>
      <c r="X55" s="50"/>
      <c r="Y55" s="50"/>
      <c r="Z55" s="50"/>
      <c r="AA55" s="4" t="s">
        <v>368</v>
      </c>
      <c r="AB55" s="4" t="s">
        <v>136</v>
      </c>
      <c r="AC55" s="4">
        <v>12001</v>
      </c>
      <c r="AD55" s="51" t="s">
        <v>137</v>
      </c>
      <c r="AE55" s="51">
        <v>0</v>
      </c>
      <c r="AF55" s="51">
        <v>11003</v>
      </c>
      <c r="AG55" s="40">
        <v>7128000</v>
      </c>
      <c r="AH55" s="61" t="s">
        <v>348</v>
      </c>
      <c r="AI55" s="52">
        <v>1188</v>
      </c>
      <c r="AJ55" s="4">
        <v>5</v>
      </c>
      <c r="AK55" s="4" t="s">
        <v>138</v>
      </c>
      <c r="AL55" s="4" t="s">
        <v>369</v>
      </c>
      <c r="AM55" s="4" t="s">
        <v>140</v>
      </c>
      <c r="AN55" s="4" t="s">
        <v>370</v>
      </c>
      <c r="AO55" s="4" t="s">
        <v>142</v>
      </c>
      <c r="AP55" s="4" t="s">
        <v>371</v>
      </c>
    </row>
    <row r="56" s="4" customFormat="1" spans="1:42">
      <c r="A56" s="48">
        <v>120010406</v>
      </c>
      <c r="B56" s="49">
        <v>1</v>
      </c>
      <c r="C56" s="49" t="s">
        <v>53</v>
      </c>
      <c r="F56" s="4">
        <v>1200104</v>
      </c>
      <c r="G56" s="4">
        <v>6</v>
      </c>
      <c r="H56" s="4"/>
      <c r="I56" s="4" t="s">
        <v>372</v>
      </c>
      <c r="M56" s="37">
        <v>1188</v>
      </c>
      <c r="N56" s="37" t="s">
        <v>55</v>
      </c>
      <c r="O56" s="38">
        <v>11017</v>
      </c>
      <c r="P56" s="38" t="s">
        <v>145</v>
      </c>
      <c r="Q56" s="39"/>
      <c r="R56" s="39"/>
      <c r="S56" s="39"/>
      <c r="T56" t="b">
        <v>0</v>
      </c>
      <c r="U56" s="39"/>
      <c r="V56" s="39">
        <v>71406</v>
      </c>
      <c r="W56" s="39"/>
      <c r="X56" s="39"/>
      <c r="Y56" s="39"/>
      <c r="Z56" s="39"/>
      <c r="AA56" s="4" t="s">
        <v>373</v>
      </c>
      <c r="AB56" s="4" t="s">
        <v>136</v>
      </c>
      <c r="AC56" s="4">
        <v>12001</v>
      </c>
      <c r="AD56" s="51" t="s">
        <v>147</v>
      </c>
      <c r="AE56" s="51">
        <v>101700</v>
      </c>
      <c r="AF56" s="51">
        <v>11017</v>
      </c>
      <c r="AG56" s="40">
        <v>7128000</v>
      </c>
      <c r="AH56" s="61" t="s">
        <v>348</v>
      </c>
      <c r="AI56" s="4">
        <v>1188</v>
      </c>
      <c r="AJ56" s="4">
        <v>5</v>
      </c>
      <c r="AK56" s="4" t="s">
        <v>148</v>
      </c>
      <c r="AL56" s="4" t="s">
        <v>374</v>
      </c>
      <c r="AM56" s="4" t="s">
        <v>150</v>
      </c>
      <c r="AN56" s="4" t="s">
        <v>375</v>
      </c>
      <c r="AO56" s="4" t="s">
        <v>152</v>
      </c>
      <c r="AP56" s="4" t="s">
        <v>376</v>
      </c>
    </row>
    <row r="57" s="4" customFormat="1" spans="1:42">
      <c r="A57" s="48">
        <v>120010407</v>
      </c>
      <c r="B57" s="49">
        <v>1</v>
      </c>
      <c r="C57" s="49" t="s">
        <v>53</v>
      </c>
      <c r="F57" s="4">
        <v>1200104</v>
      </c>
      <c r="G57" s="4">
        <v>7</v>
      </c>
      <c r="H57" s="4"/>
      <c r="I57" s="4" t="s">
        <v>377</v>
      </c>
      <c r="M57" s="37">
        <v>1188</v>
      </c>
      <c r="N57" s="37" t="s">
        <v>55</v>
      </c>
      <c r="O57" s="38">
        <v>11021</v>
      </c>
      <c r="P57" s="38" t="s">
        <v>155</v>
      </c>
      <c r="Q57" s="39"/>
      <c r="R57" s="39"/>
      <c r="S57" s="39"/>
      <c r="T57" t="b">
        <v>0</v>
      </c>
      <c r="U57" s="39"/>
      <c r="V57" s="39">
        <v>71407</v>
      </c>
      <c r="W57" s="39"/>
      <c r="X57" s="39"/>
      <c r="Y57" s="39"/>
      <c r="Z57" s="39"/>
      <c r="AA57" s="4" t="s">
        <v>378</v>
      </c>
      <c r="AB57" s="4" t="s">
        <v>136</v>
      </c>
      <c r="AC57" s="4">
        <v>12001</v>
      </c>
      <c r="AD57" s="51" t="s">
        <v>157</v>
      </c>
      <c r="AE57" s="51">
        <v>102100</v>
      </c>
      <c r="AF57" s="51">
        <v>11021</v>
      </c>
      <c r="AG57" s="40">
        <v>7128000</v>
      </c>
      <c r="AH57" s="61" t="s">
        <v>348</v>
      </c>
      <c r="AI57" s="4">
        <v>1188</v>
      </c>
      <c r="AJ57" s="4">
        <v>5</v>
      </c>
      <c r="AK57" s="4" t="s">
        <v>158</v>
      </c>
      <c r="AL57" s="4" t="s">
        <v>379</v>
      </c>
      <c r="AM57" s="4" t="s">
        <v>160</v>
      </c>
      <c r="AN57" s="4" t="s">
        <v>380</v>
      </c>
      <c r="AO57" s="4" t="s">
        <v>162</v>
      </c>
      <c r="AP57" s="4" t="s">
        <v>381</v>
      </c>
    </row>
    <row r="58" s="4" customFormat="1" spans="1:42">
      <c r="A58" s="48">
        <v>120010408</v>
      </c>
      <c r="B58" s="49">
        <v>1</v>
      </c>
      <c r="C58" s="49" t="s">
        <v>53</v>
      </c>
      <c r="F58" s="4">
        <v>1200104</v>
      </c>
      <c r="G58" s="4">
        <v>8</v>
      </c>
      <c r="H58" s="4"/>
      <c r="I58" s="4" t="s">
        <v>382</v>
      </c>
      <c r="M58" s="37">
        <v>1188</v>
      </c>
      <c r="N58" s="37" t="s">
        <v>55</v>
      </c>
      <c r="O58" s="38">
        <v>11022</v>
      </c>
      <c r="P58" s="38" t="s">
        <v>165</v>
      </c>
      <c r="Q58" s="39"/>
      <c r="R58" s="39"/>
      <c r="S58" s="39"/>
      <c r="T58" t="b">
        <v>0</v>
      </c>
      <c r="U58" s="39"/>
      <c r="V58" s="39">
        <v>71408</v>
      </c>
      <c r="W58" s="39"/>
      <c r="X58" s="39"/>
      <c r="Y58" s="39"/>
      <c r="Z58" s="39"/>
      <c r="AA58" s="4" t="s">
        <v>383</v>
      </c>
      <c r="AB58" s="4" t="s">
        <v>136</v>
      </c>
      <c r="AC58" s="4">
        <v>12001</v>
      </c>
      <c r="AD58" s="51" t="s">
        <v>167</v>
      </c>
      <c r="AE58" s="51">
        <v>102200</v>
      </c>
      <c r="AF58" s="51">
        <v>11022</v>
      </c>
      <c r="AG58" s="40">
        <v>7128000</v>
      </c>
      <c r="AH58" s="61" t="s">
        <v>348</v>
      </c>
      <c r="AI58" s="4">
        <v>1188</v>
      </c>
      <c r="AJ58" s="4">
        <v>5</v>
      </c>
      <c r="AK58" s="4" t="s">
        <v>168</v>
      </c>
      <c r="AL58" s="4" t="s">
        <v>384</v>
      </c>
      <c r="AM58" s="4" t="s">
        <v>170</v>
      </c>
      <c r="AN58" s="4" t="s">
        <v>385</v>
      </c>
      <c r="AO58" s="4" t="s">
        <v>168</v>
      </c>
      <c r="AP58" s="4" t="s">
        <v>386</v>
      </c>
    </row>
    <row r="59" s="4" customFormat="1" spans="1:42">
      <c r="A59" s="48">
        <v>120010409</v>
      </c>
      <c r="B59" s="49">
        <v>1</v>
      </c>
      <c r="C59" s="49" t="s">
        <v>53</v>
      </c>
      <c r="F59" s="4">
        <v>1200104</v>
      </c>
      <c r="G59" s="4">
        <v>9</v>
      </c>
      <c r="H59" s="4"/>
      <c r="I59" s="4" t="s">
        <v>387</v>
      </c>
      <c r="M59" s="37">
        <v>1188</v>
      </c>
      <c r="N59" s="37" t="s">
        <v>55</v>
      </c>
      <c r="O59" s="38">
        <v>11023</v>
      </c>
      <c r="P59" s="38" t="s">
        <v>174</v>
      </c>
      <c r="Q59" s="39"/>
      <c r="R59" s="39"/>
      <c r="S59" s="39"/>
      <c r="T59" t="b">
        <v>0</v>
      </c>
      <c r="U59" s="39"/>
      <c r="V59" s="39">
        <v>71409</v>
      </c>
      <c r="W59" s="39"/>
      <c r="X59" s="39"/>
      <c r="Y59" s="39"/>
      <c r="Z59" s="39"/>
      <c r="AA59" s="4" t="s">
        <v>388</v>
      </c>
      <c r="AB59" s="4" t="s">
        <v>136</v>
      </c>
      <c r="AC59" s="4">
        <v>12001</v>
      </c>
      <c r="AD59" s="51" t="s">
        <v>176</v>
      </c>
      <c r="AE59" s="51">
        <v>102300</v>
      </c>
      <c r="AF59" s="51">
        <v>11023</v>
      </c>
      <c r="AG59" s="40">
        <v>7128000</v>
      </c>
      <c r="AH59" s="61" t="s">
        <v>348</v>
      </c>
      <c r="AI59" s="4">
        <v>1188</v>
      </c>
      <c r="AJ59" s="4">
        <v>5</v>
      </c>
      <c r="AK59" s="4" t="s">
        <v>177</v>
      </c>
      <c r="AL59" s="4" t="s">
        <v>389</v>
      </c>
      <c r="AM59" s="4" t="s">
        <v>179</v>
      </c>
      <c r="AN59" s="4" t="s">
        <v>390</v>
      </c>
      <c r="AO59" s="4" t="s">
        <v>181</v>
      </c>
      <c r="AP59" s="4" t="s">
        <v>391</v>
      </c>
    </row>
    <row r="60" s="4" customFormat="1" spans="1:42">
      <c r="A60" s="48">
        <v>120010410</v>
      </c>
      <c r="B60" s="49">
        <v>1</v>
      </c>
      <c r="C60" s="49" t="s">
        <v>53</v>
      </c>
      <c r="F60" s="4">
        <v>1200104</v>
      </c>
      <c r="G60" s="4">
        <v>10</v>
      </c>
      <c r="H60" s="4"/>
      <c r="I60" s="4" t="s">
        <v>392</v>
      </c>
      <c r="M60" s="37">
        <v>1188</v>
      </c>
      <c r="N60" s="37" t="s">
        <v>55</v>
      </c>
      <c r="O60" s="38">
        <v>11024</v>
      </c>
      <c r="P60" s="38" t="s">
        <v>184</v>
      </c>
      <c r="Q60" s="39"/>
      <c r="R60" s="39"/>
      <c r="S60" s="39"/>
      <c r="T60" t="b">
        <v>0</v>
      </c>
      <c r="U60" s="39"/>
      <c r="V60" s="39">
        <v>71410</v>
      </c>
      <c r="W60" s="39"/>
      <c r="X60" s="39"/>
      <c r="Y60" s="39"/>
      <c r="Z60" s="39"/>
      <c r="AA60" s="4" t="s">
        <v>393</v>
      </c>
      <c r="AB60" s="4" t="s">
        <v>136</v>
      </c>
      <c r="AC60" s="4">
        <v>12001</v>
      </c>
      <c r="AD60" s="51" t="s">
        <v>186</v>
      </c>
      <c r="AE60" s="51">
        <v>102400</v>
      </c>
      <c r="AF60" s="51">
        <v>11024</v>
      </c>
      <c r="AG60" s="40">
        <v>7128000</v>
      </c>
      <c r="AH60" s="61" t="s">
        <v>348</v>
      </c>
      <c r="AI60" s="4">
        <v>1188</v>
      </c>
      <c r="AJ60" s="4">
        <v>5</v>
      </c>
      <c r="AK60" s="4" t="s">
        <v>187</v>
      </c>
      <c r="AL60" s="4" t="s">
        <v>394</v>
      </c>
      <c r="AM60" s="4" t="s">
        <v>189</v>
      </c>
      <c r="AN60" s="4" t="s">
        <v>395</v>
      </c>
      <c r="AO60" s="4" t="s">
        <v>191</v>
      </c>
      <c r="AP60" s="4" t="s">
        <v>396</v>
      </c>
    </row>
    <row r="61" spans="1:42">
      <c r="A61" s="49">
        <v>100030101</v>
      </c>
      <c r="B61" s="49">
        <v>1</v>
      </c>
      <c r="C61" s="49" t="s">
        <v>53</v>
      </c>
      <c r="F61" s="4">
        <v>1000301</v>
      </c>
      <c r="G61" s="4">
        <v>1</v>
      </c>
      <c r="I61" s="4" t="s">
        <v>397</v>
      </c>
      <c r="M61" s="4">
        <v>67</v>
      </c>
      <c r="N61" s="37" t="s">
        <v>55</v>
      </c>
      <c r="O61" s="38">
        <v>11007</v>
      </c>
      <c r="P61" s="38" t="s">
        <v>94</v>
      </c>
      <c r="R61" s="50"/>
      <c r="S61" s="50"/>
      <c r="T61" t="b">
        <v>0</v>
      </c>
      <c r="U61" s="50"/>
      <c r="V61" s="50">
        <v>72001</v>
      </c>
      <c r="W61" s="50"/>
      <c r="X61" s="50"/>
      <c r="Y61" s="50"/>
      <c r="Z61" s="50"/>
      <c r="AA61" s="4" t="s">
        <v>398</v>
      </c>
      <c r="AB61" s="4" t="s">
        <v>399</v>
      </c>
      <c r="AC61" s="4">
        <v>10003</v>
      </c>
      <c r="AD61" s="4" t="s">
        <v>97</v>
      </c>
      <c r="AE61" s="4">
        <v>100700</v>
      </c>
      <c r="AF61" s="4">
        <v>11007</v>
      </c>
      <c r="AG61" s="40">
        <v>400000</v>
      </c>
      <c r="AH61" s="61" t="s">
        <v>400</v>
      </c>
      <c r="AI61" s="4">
        <v>67</v>
      </c>
      <c r="AJ61" s="4">
        <v>1</v>
      </c>
      <c r="AK61" s="4" t="s">
        <v>99</v>
      </c>
      <c r="AL61" s="4" t="s">
        <v>401</v>
      </c>
      <c r="AM61" s="4" t="s">
        <v>101</v>
      </c>
      <c r="AN61" s="4" t="s">
        <v>402</v>
      </c>
      <c r="AO61" s="4" t="s">
        <v>103</v>
      </c>
      <c r="AP61" s="4" t="s">
        <v>403</v>
      </c>
    </row>
    <row r="62" spans="1:42">
      <c r="A62" s="49">
        <v>100030102</v>
      </c>
      <c r="B62" s="49">
        <v>1</v>
      </c>
      <c r="C62" s="49" t="s">
        <v>53</v>
      </c>
      <c r="F62" s="4">
        <v>1000301</v>
      </c>
      <c r="G62" s="4">
        <v>2</v>
      </c>
      <c r="I62" s="4" t="s">
        <v>404</v>
      </c>
      <c r="M62" s="4">
        <v>67</v>
      </c>
      <c r="N62" s="37" t="s">
        <v>55</v>
      </c>
      <c r="O62" s="38">
        <v>11003</v>
      </c>
      <c r="P62" s="38" t="s">
        <v>106</v>
      </c>
      <c r="R62" s="50"/>
      <c r="S62" s="50"/>
      <c r="T62" t="b">
        <v>0</v>
      </c>
      <c r="U62" s="50"/>
      <c r="V62" s="50">
        <v>72002</v>
      </c>
      <c r="W62" s="50"/>
      <c r="X62" s="50"/>
      <c r="Y62" s="50"/>
      <c r="Z62" s="50"/>
      <c r="AA62" s="4" t="s">
        <v>405</v>
      </c>
      <c r="AB62" s="4" t="s">
        <v>399</v>
      </c>
      <c r="AC62" s="4">
        <v>10003</v>
      </c>
      <c r="AD62" s="4" t="s">
        <v>108</v>
      </c>
      <c r="AE62" s="4">
        <v>100300</v>
      </c>
      <c r="AF62" s="4">
        <v>11003</v>
      </c>
      <c r="AG62" s="40">
        <v>400000</v>
      </c>
      <c r="AH62" s="61" t="s">
        <v>400</v>
      </c>
      <c r="AI62" s="4">
        <v>67</v>
      </c>
      <c r="AJ62" s="4">
        <v>1</v>
      </c>
      <c r="AK62" s="4" t="s">
        <v>109</v>
      </c>
      <c r="AL62" s="4" t="s">
        <v>406</v>
      </c>
      <c r="AM62" s="4" t="s">
        <v>111</v>
      </c>
      <c r="AN62" s="4" t="s">
        <v>407</v>
      </c>
      <c r="AO62" s="4" t="s">
        <v>109</v>
      </c>
      <c r="AP62" s="4" t="s">
        <v>408</v>
      </c>
    </row>
    <row r="63" spans="1:42">
      <c r="A63" s="49">
        <v>100030103</v>
      </c>
      <c r="B63" s="49">
        <v>1</v>
      </c>
      <c r="C63" s="49" t="s">
        <v>53</v>
      </c>
      <c r="F63" s="4">
        <v>1000301</v>
      </c>
      <c r="G63" s="4">
        <v>3</v>
      </c>
      <c r="I63" s="4" t="s">
        <v>409</v>
      </c>
      <c r="M63" s="4">
        <v>67</v>
      </c>
      <c r="N63" s="37" t="s">
        <v>55</v>
      </c>
      <c r="O63" s="38">
        <v>11012</v>
      </c>
      <c r="P63" s="38" t="s">
        <v>115</v>
      </c>
      <c r="R63" s="50"/>
      <c r="S63" s="50"/>
      <c r="T63" t="b">
        <v>0</v>
      </c>
      <c r="U63" s="50"/>
      <c r="V63" s="50">
        <v>72003</v>
      </c>
      <c r="W63" s="50"/>
      <c r="X63" s="50"/>
      <c r="Y63" s="50"/>
      <c r="Z63" s="50"/>
      <c r="AA63" s="4" t="s">
        <v>410</v>
      </c>
      <c r="AB63" s="4" t="s">
        <v>399</v>
      </c>
      <c r="AC63" s="4">
        <v>10003</v>
      </c>
      <c r="AD63" s="4" t="s">
        <v>117</v>
      </c>
      <c r="AE63" s="4">
        <v>101200</v>
      </c>
      <c r="AF63" s="4">
        <v>11012</v>
      </c>
      <c r="AG63" s="40">
        <v>400000</v>
      </c>
      <c r="AH63" s="61" t="s">
        <v>400</v>
      </c>
      <c r="AI63" s="4">
        <v>67</v>
      </c>
      <c r="AJ63" s="4">
        <v>1</v>
      </c>
      <c r="AK63" s="4" t="s">
        <v>118</v>
      </c>
      <c r="AL63" s="4" t="s">
        <v>411</v>
      </c>
      <c r="AM63" s="4" t="s">
        <v>120</v>
      </c>
      <c r="AN63" s="4" t="s">
        <v>412</v>
      </c>
      <c r="AO63" s="4" t="s">
        <v>118</v>
      </c>
      <c r="AP63" s="4" t="s">
        <v>413</v>
      </c>
    </row>
    <row r="64" spans="1:42">
      <c r="A64" s="49">
        <v>100030104</v>
      </c>
      <c r="B64" s="49">
        <v>1</v>
      </c>
      <c r="C64" s="49" t="s">
        <v>53</v>
      </c>
      <c r="F64" s="4">
        <v>1000301</v>
      </c>
      <c r="G64" s="4">
        <v>4</v>
      </c>
      <c r="I64" s="4" t="s">
        <v>414</v>
      </c>
      <c r="M64" s="4">
        <v>67</v>
      </c>
      <c r="N64" s="37" t="s">
        <v>55</v>
      </c>
      <c r="O64" s="38">
        <v>11014</v>
      </c>
      <c r="P64" s="38" t="s">
        <v>124</v>
      </c>
      <c r="R64" s="50"/>
      <c r="S64" s="50"/>
      <c r="T64" t="b">
        <v>0</v>
      </c>
      <c r="U64" s="50"/>
      <c r="V64" s="50">
        <v>72004</v>
      </c>
      <c r="W64" s="50"/>
      <c r="X64" s="50"/>
      <c r="Y64" s="50"/>
      <c r="Z64" s="50"/>
      <c r="AA64" s="4" t="s">
        <v>415</v>
      </c>
      <c r="AB64" s="4" t="s">
        <v>399</v>
      </c>
      <c r="AC64" s="4">
        <v>10003</v>
      </c>
      <c r="AD64" s="4" t="s">
        <v>126</v>
      </c>
      <c r="AE64" s="4">
        <v>101400</v>
      </c>
      <c r="AF64" s="4">
        <v>11014</v>
      </c>
      <c r="AG64" s="40">
        <v>400000</v>
      </c>
      <c r="AH64" s="61" t="s">
        <v>400</v>
      </c>
      <c r="AI64" s="4">
        <v>67</v>
      </c>
      <c r="AJ64" s="4">
        <v>1</v>
      </c>
      <c r="AK64" s="4" t="s">
        <v>127</v>
      </c>
      <c r="AL64" s="4" t="s">
        <v>416</v>
      </c>
      <c r="AM64" s="4" t="s">
        <v>129</v>
      </c>
      <c r="AN64" s="4" t="s">
        <v>417</v>
      </c>
      <c r="AO64" s="4" t="s">
        <v>131</v>
      </c>
      <c r="AP64" s="4" t="s">
        <v>418</v>
      </c>
    </row>
    <row r="65" spans="1:42">
      <c r="A65" s="49">
        <v>100030105</v>
      </c>
      <c r="B65" s="49">
        <v>1</v>
      </c>
      <c r="C65" s="49" t="s">
        <v>53</v>
      </c>
      <c r="F65" s="4">
        <v>1000301</v>
      </c>
      <c r="G65" s="4">
        <v>5</v>
      </c>
      <c r="I65" s="4" t="s">
        <v>419</v>
      </c>
      <c r="M65" s="4">
        <v>67</v>
      </c>
      <c r="N65" s="37" t="s">
        <v>55</v>
      </c>
      <c r="O65" s="38">
        <v>11003</v>
      </c>
      <c r="P65" s="38" t="s">
        <v>420</v>
      </c>
      <c r="R65" s="50"/>
      <c r="S65" s="50"/>
      <c r="T65" t="b">
        <v>0</v>
      </c>
      <c r="U65" s="50"/>
      <c r="V65" s="50">
        <v>72005</v>
      </c>
      <c r="W65" s="50"/>
      <c r="X65" s="50"/>
      <c r="Y65" s="50"/>
      <c r="Z65" s="50"/>
      <c r="AA65" s="4" t="s">
        <v>421</v>
      </c>
      <c r="AB65" s="4" t="s">
        <v>136</v>
      </c>
      <c r="AC65" s="4">
        <v>10003</v>
      </c>
      <c r="AD65" s="4" t="s">
        <v>422</v>
      </c>
      <c r="AE65" s="4">
        <v>0</v>
      </c>
      <c r="AF65" s="4">
        <v>11003</v>
      </c>
      <c r="AG65" s="40">
        <v>400000</v>
      </c>
      <c r="AH65" s="61" t="s">
        <v>400</v>
      </c>
      <c r="AI65" s="4">
        <v>67</v>
      </c>
      <c r="AJ65" s="4">
        <v>1</v>
      </c>
      <c r="AK65" s="4" t="s">
        <v>138</v>
      </c>
      <c r="AL65" s="4" t="s">
        <v>423</v>
      </c>
      <c r="AM65" s="4" t="s">
        <v>140</v>
      </c>
      <c r="AN65" s="4" t="s">
        <v>424</v>
      </c>
      <c r="AO65" s="4" t="s">
        <v>142</v>
      </c>
      <c r="AP65" s="4" t="s">
        <v>425</v>
      </c>
    </row>
    <row r="66" spans="1:42">
      <c r="A66" s="49">
        <v>100030106</v>
      </c>
      <c r="B66" s="49">
        <v>1</v>
      </c>
      <c r="C66" s="49" t="s">
        <v>53</v>
      </c>
      <c r="F66" s="4">
        <v>1000301</v>
      </c>
      <c r="G66" s="4">
        <v>6</v>
      </c>
      <c r="I66" s="4" t="s">
        <v>426</v>
      </c>
      <c r="M66" s="4">
        <v>67</v>
      </c>
      <c r="N66" s="37" t="s">
        <v>55</v>
      </c>
      <c r="O66" s="38">
        <v>11017</v>
      </c>
      <c r="P66" s="38" t="s">
        <v>145</v>
      </c>
      <c r="T66" t="b">
        <v>0</v>
      </c>
      <c r="V66" s="39">
        <v>72006</v>
      </c>
      <c r="AA66" s="4" t="s">
        <v>427</v>
      </c>
      <c r="AB66" s="4" t="s">
        <v>399</v>
      </c>
      <c r="AC66" s="4">
        <v>10003</v>
      </c>
      <c r="AD66" s="4" t="s">
        <v>147</v>
      </c>
      <c r="AE66" s="4">
        <v>101700</v>
      </c>
      <c r="AF66" s="4">
        <v>11017</v>
      </c>
      <c r="AG66" s="40">
        <v>400000</v>
      </c>
      <c r="AH66" s="61" t="s">
        <v>400</v>
      </c>
      <c r="AI66" s="4">
        <v>67</v>
      </c>
      <c r="AJ66" s="4">
        <v>1</v>
      </c>
      <c r="AK66" s="4" t="s">
        <v>148</v>
      </c>
      <c r="AL66" s="4" t="s">
        <v>428</v>
      </c>
      <c r="AM66" s="4" t="s">
        <v>150</v>
      </c>
      <c r="AN66" s="4" t="s">
        <v>429</v>
      </c>
      <c r="AO66" s="4" t="s">
        <v>152</v>
      </c>
      <c r="AP66" s="4" t="s">
        <v>430</v>
      </c>
    </row>
    <row r="67" spans="1:42">
      <c r="A67" s="49">
        <v>100030107</v>
      </c>
      <c r="B67" s="49">
        <v>1</v>
      </c>
      <c r="C67" s="49" t="s">
        <v>53</v>
      </c>
      <c r="F67" s="4">
        <v>1000301</v>
      </c>
      <c r="G67" s="4">
        <v>7</v>
      </c>
      <c r="I67" s="4" t="s">
        <v>431</v>
      </c>
      <c r="M67" s="4">
        <v>67</v>
      </c>
      <c r="N67" s="37" t="s">
        <v>55</v>
      </c>
      <c r="O67" s="38">
        <v>11021</v>
      </c>
      <c r="P67" s="38" t="s">
        <v>155</v>
      </c>
      <c r="T67" t="b">
        <v>0</v>
      </c>
      <c r="V67" s="39">
        <v>72007</v>
      </c>
      <c r="AA67" s="4" t="s">
        <v>432</v>
      </c>
      <c r="AB67" s="4" t="s">
        <v>399</v>
      </c>
      <c r="AC67" s="4">
        <v>10003</v>
      </c>
      <c r="AD67" s="4" t="s">
        <v>157</v>
      </c>
      <c r="AE67" s="4">
        <v>102100</v>
      </c>
      <c r="AF67" s="4">
        <v>11021</v>
      </c>
      <c r="AG67" s="40">
        <v>400000</v>
      </c>
      <c r="AH67" s="61" t="s">
        <v>400</v>
      </c>
      <c r="AI67" s="4">
        <v>67</v>
      </c>
      <c r="AJ67" s="4">
        <v>1</v>
      </c>
      <c r="AK67" s="4" t="s">
        <v>158</v>
      </c>
      <c r="AL67" s="4" t="s">
        <v>433</v>
      </c>
      <c r="AM67" s="4" t="s">
        <v>160</v>
      </c>
      <c r="AN67" s="4" t="s">
        <v>434</v>
      </c>
      <c r="AO67" s="4" t="s">
        <v>162</v>
      </c>
      <c r="AP67" s="4" t="s">
        <v>435</v>
      </c>
    </row>
    <row r="68" spans="1:42">
      <c r="A68" s="49">
        <v>100030108</v>
      </c>
      <c r="B68" s="49">
        <v>1</v>
      </c>
      <c r="C68" s="49" t="s">
        <v>53</v>
      </c>
      <c r="F68" s="4">
        <v>1000301</v>
      </c>
      <c r="G68" s="4">
        <v>8</v>
      </c>
      <c r="I68" s="4" t="s">
        <v>436</v>
      </c>
      <c r="M68" s="4">
        <v>67</v>
      </c>
      <c r="N68" s="37" t="s">
        <v>55</v>
      </c>
      <c r="O68" s="38">
        <v>11022</v>
      </c>
      <c r="P68" s="38" t="s">
        <v>165</v>
      </c>
      <c r="T68" t="b">
        <v>0</v>
      </c>
      <c r="V68" s="39">
        <v>72008</v>
      </c>
      <c r="AA68" s="4" t="s">
        <v>437</v>
      </c>
      <c r="AB68" s="4" t="s">
        <v>399</v>
      </c>
      <c r="AC68" s="4">
        <v>10003</v>
      </c>
      <c r="AD68" s="4" t="s">
        <v>167</v>
      </c>
      <c r="AE68" s="4">
        <v>102200</v>
      </c>
      <c r="AF68" s="4">
        <v>11022</v>
      </c>
      <c r="AG68" s="40">
        <v>400000</v>
      </c>
      <c r="AH68" s="61" t="s">
        <v>400</v>
      </c>
      <c r="AI68" s="4">
        <v>67</v>
      </c>
      <c r="AJ68" s="4">
        <v>1</v>
      </c>
      <c r="AK68" s="4" t="s">
        <v>168</v>
      </c>
      <c r="AL68" s="4" t="s">
        <v>438</v>
      </c>
      <c r="AM68" s="4" t="s">
        <v>170</v>
      </c>
      <c r="AN68" s="4" t="s">
        <v>439</v>
      </c>
      <c r="AO68" s="4" t="s">
        <v>168</v>
      </c>
      <c r="AP68" s="4" t="s">
        <v>440</v>
      </c>
    </row>
    <row r="69" spans="1:42">
      <c r="A69" s="49">
        <v>100030109</v>
      </c>
      <c r="B69" s="49">
        <v>1</v>
      </c>
      <c r="C69" s="49" t="s">
        <v>53</v>
      </c>
      <c r="F69" s="4">
        <v>1000301</v>
      </c>
      <c r="G69" s="4">
        <v>9</v>
      </c>
      <c r="I69" s="4" t="s">
        <v>441</v>
      </c>
      <c r="M69" s="4">
        <v>67</v>
      </c>
      <c r="N69" s="37" t="s">
        <v>55</v>
      </c>
      <c r="O69" s="38">
        <v>11023</v>
      </c>
      <c r="P69" s="38" t="s">
        <v>174</v>
      </c>
      <c r="T69" t="b">
        <v>0</v>
      </c>
      <c r="V69" s="39">
        <v>72009</v>
      </c>
      <c r="AA69" s="4" t="s">
        <v>442</v>
      </c>
      <c r="AB69" s="4" t="s">
        <v>399</v>
      </c>
      <c r="AC69" s="4">
        <v>10003</v>
      </c>
      <c r="AD69" s="4" t="s">
        <v>176</v>
      </c>
      <c r="AE69" s="4">
        <v>102300</v>
      </c>
      <c r="AF69" s="4">
        <v>11023</v>
      </c>
      <c r="AG69" s="40">
        <v>400000</v>
      </c>
      <c r="AH69" s="61" t="s">
        <v>400</v>
      </c>
      <c r="AI69" s="4">
        <v>67</v>
      </c>
      <c r="AJ69" s="4">
        <v>1</v>
      </c>
      <c r="AK69" s="4" t="s">
        <v>177</v>
      </c>
      <c r="AL69" s="4" t="s">
        <v>443</v>
      </c>
      <c r="AM69" s="4" t="s">
        <v>179</v>
      </c>
      <c r="AN69" s="4" t="s">
        <v>444</v>
      </c>
      <c r="AO69" s="4" t="s">
        <v>181</v>
      </c>
      <c r="AP69" s="4" t="s">
        <v>445</v>
      </c>
    </row>
    <row r="70" spans="1:42">
      <c r="A70" s="49">
        <v>100030110</v>
      </c>
      <c r="B70" s="49">
        <v>1</v>
      </c>
      <c r="C70" s="49" t="s">
        <v>53</v>
      </c>
      <c r="F70" s="4">
        <v>1000301</v>
      </c>
      <c r="G70" s="4">
        <v>10</v>
      </c>
      <c r="I70" s="4" t="s">
        <v>446</v>
      </c>
      <c r="M70" s="4">
        <v>67</v>
      </c>
      <c r="N70" s="37" t="s">
        <v>55</v>
      </c>
      <c r="O70" s="38">
        <v>11024</v>
      </c>
      <c r="P70" s="38" t="s">
        <v>184</v>
      </c>
      <c r="T70" t="b">
        <v>0</v>
      </c>
      <c r="V70" s="39">
        <v>72010</v>
      </c>
      <c r="AA70" s="4" t="s">
        <v>447</v>
      </c>
      <c r="AB70" s="4" t="s">
        <v>399</v>
      </c>
      <c r="AC70" s="4">
        <v>10003</v>
      </c>
      <c r="AD70" s="4" t="s">
        <v>186</v>
      </c>
      <c r="AE70" s="4">
        <v>102400</v>
      </c>
      <c r="AF70" s="4">
        <v>11024</v>
      </c>
      <c r="AG70" s="40">
        <v>400000</v>
      </c>
      <c r="AH70" s="61" t="s">
        <v>400</v>
      </c>
      <c r="AI70" s="4">
        <v>67</v>
      </c>
      <c r="AJ70" s="4">
        <v>1</v>
      </c>
      <c r="AK70" s="4" t="s">
        <v>187</v>
      </c>
      <c r="AL70" s="4" t="s">
        <v>448</v>
      </c>
      <c r="AM70" s="4" t="s">
        <v>189</v>
      </c>
      <c r="AN70" s="4" t="s">
        <v>449</v>
      </c>
      <c r="AO70" s="4" t="s">
        <v>191</v>
      </c>
      <c r="AP70" s="4" t="s">
        <v>450</v>
      </c>
    </row>
    <row r="71" spans="1:42">
      <c r="A71" s="49">
        <v>100030201</v>
      </c>
      <c r="B71" s="49">
        <v>1</v>
      </c>
      <c r="C71" s="49" t="s">
        <v>53</v>
      </c>
      <c r="F71" s="4">
        <v>1000302</v>
      </c>
      <c r="G71" s="4">
        <v>1</v>
      </c>
      <c r="I71" s="4" t="s">
        <v>451</v>
      </c>
      <c r="M71" s="4">
        <v>133</v>
      </c>
      <c r="N71" s="37" t="s">
        <v>55</v>
      </c>
      <c r="O71" s="38">
        <v>11007</v>
      </c>
      <c r="P71" s="38" t="s">
        <v>94</v>
      </c>
      <c r="R71" s="50"/>
      <c r="S71" s="50"/>
      <c r="T71" t="b">
        <v>0</v>
      </c>
      <c r="U71" s="50"/>
      <c r="V71" s="50">
        <v>72201</v>
      </c>
      <c r="W71" s="50"/>
      <c r="X71" s="50"/>
      <c r="Y71" s="50"/>
      <c r="Z71" s="50"/>
      <c r="AA71" s="4" t="s">
        <v>452</v>
      </c>
      <c r="AB71" s="4" t="s">
        <v>399</v>
      </c>
      <c r="AC71" s="4">
        <v>10003</v>
      </c>
      <c r="AD71" s="4" t="s">
        <v>97</v>
      </c>
      <c r="AE71" s="4">
        <v>100700</v>
      </c>
      <c r="AF71" s="4">
        <v>11007</v>
      </c>
      <c r="AG71" s="40">
        <v>800000</v>
      </c>
      <c r="AH71" s="61" t="s">
        <v>453</v>
      </c>
      <c r="AI71" s="4">
        <v>133</v>
      </c>
      <c r="AJ71" s="4">
        <v>2</v>
      </c>
      <c r="AK71" s="4" t="s">
        <v>99</v>
      </c>
      <c r="AL71" s="4" t="s">
        <v>454</v>
      </c>
      <c r="AM71" s="4" t="s">
        <v>101</v>
      </c>
      <c r="AN71" s="4" t="s">
        <v>455</v>
      </c>
      <c r="AO71" s="4" t="s">
        <v>103</v>
      </c>
      <c r="AP71" s="4" t="s">
        <v>456</v>
      </c>
    </row>
    <row r="72" spans="1:42">
      <c r="A72" s="49">
        <v>100030202</v>
      </c>
      <c r="B72" s="49">
        <v>1</v>
      </c>
      <c r="C72" s="49" t="s">
        <v>53</v>
      </c>
      <c r="F72" s="4">
        <v>1000302</v>
      </c>
      <c r="G72" s="4">
        <v>2</v>
      </c>
      <c r="I72" s="4" t="s">
        <v>457</v>
      </c>
      <c r="M72" s="4">
        <v>133</v>
      </c>
      <c r="N72" s="37" t="s">
        <v>55</v>
      </c>
      <c r="O72" s="38">
        <v>11003</v>
      </c>
      <c r="P72" s="38" t="s">
        <v>106</v>
      </c>
      <c r="R72" s="50"/>
      <c r="S72" s="50"/>
      <c r="T72" t="b">
        <v>0</v>
      </c>
      <c r="U72" s="50"/>
      <c r="V72" s="50">
        <v>72202</v>
      </c>
      <c r="W72" s="50"/>
      <c r="X72" s="50"/>
      <c r="Y72" s="50"/>
      <c r="Z72" s="50"/>
      <c r="AA72" s="4" t="s">
        <v>458</v>
      </c>
      <c r="AB72" s="4" t="s">
        <v>399</v>
      </c>
      <c r="AC72" s="4">
        <v>10003</v>
      </c>
      <c r="AD72" s="4" t="s">
        <v>108</v>
      </c>
      <c r="AE72" s="4">
        <v>100300</v>
      </c>
      <c r="AF72" s="4">
        <v>11003</v>
      </c>
      <c r="AG72" s="40">
        <v>800000</v>
      </c>
      <c r="AH72" s="61" t="s">
        <v>453</v>
      </c>
      <c r="AI72" s="4">
        <v>133</v>
      </c>
      <c r="AJ72" s="4">
        <v>2</v>
      </c>
      <c r="AK72" s="4" t="s">
        <v>109</v>
      </c>
      <c r="AL72" s="4" t="s">
        <v>459</v>
      </c>
      <c r="AM72" s="4" t="s">
        <v>111</v>
      </c>
      <c r="AN72" s="4" t="s">
        <v>460</v>
      </c>
      <c r="AO72" s="4" t="s">
        <v>109</v>
      </c>
      <c r="AP72" s="4" t="s">
        <v>461</v>
      </c>
    </row>
    <row r="73" spans="1:42">
      <c r="A73" s="49">
        <v>100030203</v>
      </c>
      <c r="B73" s="49">
        <v>1</v>
      </c>
      <c r="C73" s="49" t="s">
        <v>53</v>
      </c>
      <c r="F73" s="4">
        <v>1000302</v>
      </c>
      <c r="G73" s="4">
        <v>3</v>
      </c>
      <c r="I73" s="4" t="s">
        <v>462</v>
      </c>
      <c r="M73" s="4">
        <v>133</v>
      </c>
      <c r="N73" s="37" t="s">
        <v>55</v>
      </c>
      <c r="O73" s="38">
        <v>11012</v>
      </c>
      <c r="P73" s="38" t="s">
        <v>115</v>
      </c>
      <c r="R73" s="50"/>
      <c r="S73" s="50"/>
      <c r="T73" t="b">
        <v>0</v>
      </c>
      <c r="U73" s="50"/>
      <c r="V73" s="50">
        <v>72203</v>
      </c>
      <c r="W73" s="50"/>
      <c r="X73" s="50"/>
      <c r="Y73" s="50"/>
      <c r="Z73" s="50"/>
      <c r="AA73" s="4" t="s">
        <v>463</v>
      </c>
      <c r="AB73" s="4" t="s">
        <v>399</v>
      </c>
      <c r="AC73" s="4">
        <v>10003</v>
      </c>
      <c r="AD73" s="4" t="s">
        <v>117</v>
      </c>
      <c r="AE73" s="4">
        <v>101200</v>
      </c>
      <c r="AF73" s="4">
        <v>11012</v>
      </c>
      <c r="AG73" s="40">
        <v>800000</v>
      </c>
      <c r="AH73" s="61" t="s">
        <v>453</v>
      </c>
      <c r="AI73" s="4">
        <v>133</v>
      </c>
      <c r="AJ73" s="4">
        <v>2</v>
      </c>
      <c r="AK73" s="4" t="s">
        <v>118</v>
      </c>
      <c r="AL73" s="4" t="s">
        <v>464</v>
      </c>
      <c r="AM73" s="4" t="s">
        <v>120</v>
      </c>
      <c r="AN73" s="4" t="s">
        <v>465</v>
      </c>
      <c r="AO73" s="4" t="s">
        <v>118</v>
      </c>
      <c r="AP73" s="4" t="s">
        <v>466</v>
      </c>
    </row>
    <row r="74" spans="1:42">
      <c r="A74" s="49">
        <v>100030204</v>
      </c>
      <c r="B74" s="49">
        <v>1</v>
      </c>
      <c r="C74" s="49" t="s">
        <v>53</v>
      </c>
      <c r="F74" s="4">
        <v>1000302</v>
      </c>
      <c r="G74" s="4">
        <v>4</v>
      </c>
      <c r="I74" s="4" t="s">
        <v>467</v>
      </c>
      <c r="M74" s="4">
        <v>133</v>
      </c>
      <c r="N74" s="37" t="s">
        <v>55</v>
      </c>
      <c r="O74" s="38">
        <v>11014</v>
      </c>
      <c r="P74" s="38" t="s">
        <v>124</v>
      </c>
      <c r="R74" s="50"/>
      <c r="S74" s="50"/>
      <c r="T74" t="b">
        <v>0</v>
      </c>
      <c r="U74" s="50"/>
      <c r="V74" s="50">
        <v>72204</v>
      </c>
      <c r="W74" s="50"/>
      <c r="X74" s="50"/>
      <c r="Y74" s="50"/>
      <c r="Z74" s="50"/>
      <c r="AA74" s="4" t="s">
        <v>468</v>
      </c>
      <c r="AB74" s="4" t="s">
        <v>399</v>
      </c>
      <c r="AC74" s="4">
        <v>10003</v>
      </c>
      <c r="AD74" s="4" t="s">
        <v>126</v>
      </c>
      <c r="AE74" s="4">
        <v>101400</v>
      </c>
      <c r="AF74" s="4">
        <v>11014</v>
      </c>
      <c r="AG74" s="40">
        <v>800000</v>
      </c>
      <c r="AH74" s="61" t="s">
        <v>453</v>
      </c>
      <c r="AI74" s="4">
        <v>133</v>
      </c>
      <c r="AJ74" s="4">
        <v>2</v>
      </c>
      <c r="AK74" s="4" t="s">
        <v>127</v>
      </c>
      <c r="AL74" s="4" t="s">
        <v>469</v>
      </c>
      <c r="AM74" s="4" t="s">
        <v>129</v>
      </c>
      <c r="AN74" s="4" t="s">
        <v>470</v>
      </c>
      <c r="AO74" s="4" t="s">
        <v>131</v>
      </c>
      <c r="AP74" s="4" t="s">
        <v>471</v>
      </c>
    </row>
    <row r="75" spans="1:42">
      <c r="A75" s="49">
        <v>100030205</v>
      </c>
      <c r="B75" s="49">
        <v>1</v>
      </c>
      <c r="C75" s="49" t="s">
        <v>53</v>
      </c>
      <c r="F75" s="4">
        <v>1000302</v>
      </c>
      <c r="G75" s="4">
        <v>5</v>
      </c>
      <c r="I75" s="4" t="s">
        <v>472</v>
      </c>
      <c r="M75" s="4">
        <v>133</v>
      </c>
      <c r="N75" s="37" t="s">
        <v>55</v>
      </c>
      <c r="O75" s="38">
        <v>11003</v>
      </c>
      <c r="P75" s="38" t="s">
        <v>420</v>
      </c>
      <c r="R75" s="50"/>
      <c r="S75" s="50"/>
      <c r="T75" t="b">
        <v>0</v>
      </c>
      <c r="U75" s="50"/>
      <c r="V75" s="50">
        <v>72205</v>
      </c>
      <c r="W75" s="50"/>
      <c r="X75" s="50"/>
      <c r="Y75" s="50"/>
      <c r="Z75" s="50"/>
      <c r="AA75" s="4" t="s">
        <v>473</v>
      </c>
      <c r="AB75" s="4" t="s">
        <v>136</v>
      </c>
      <c r="AC75" s="4">
        <v>10003</v>
      </c>
      <c r="AD75" s="4" t="s">
        <v>422</v>
      </c>
      <c r="AE75" s="4">
        <v>0</v>
      </c>
      <c r="AF75" s="4">
        <v>11003</v>
      </c>
      <c r="AG75" s="40">
        <v>800000</v>
      </c>
      <c r="AH75" s="61" t="s">
        <v>453</v>
      </c>
      <c r="AI75" s="4">
        <v>133</v>
      </c>
      <c r="AJ75" s="4">
        <v>2</v>
      </c>
      <c r="AK75" s="4" t="s">
        <v>138</v>
      </c>
      <c r="AL75" s="4" t="s">
        <v>474</v>
      </c>
      <c r="AM75" s="4" t="s">
        <v>140</v>
      </c>
      <c r="AN75" s="4" t="s">
        <v>475</v>
      </c>
      <c r="AO75" s="4" t="s">
        <v>142</v>
      </c>
      <c r="AP75" s="4" t="s">
        <v>476</v>
      </c>
    </row>
    <row r="76" spans="1:42">
      <c r="A76" s="49">
        <v>100030206</v>
      </c>
      <c r="B76" s="49">
        <v>1</v>
      </c>
      <c r="C76" s="49" t="s">
        <v>53</v>
      </c>
      <c r="F76" s="4">
        <v>1000302</v>
      </c>
      <c r="G76" s="4">
        <v>6</v>
      </c>
      <c r="I76" s="4" t="s">
        <v>477</v>
      </c>
      <c r="M76" s="4">
        <v>133</v>
      </c>
      <c r="N76" s="37" t="s">
        <v>55</v>
      </c>
      <c r="O76" s="38">
        <v>11017</v>
      </c>
      <c r="P76" s="38" t="s">
        <v>145</v>
      </c>
      <c r="T76" t="b">
        <v>0</v>
      </c>
      <c r="V76" s="39">
        <v>72206</v>
      </c>
      <c r="AA76" s="4" t="s">
        <v>478</v>
      </c>
      <c r="AB76" s="4" t="s">
        <v>399</v>
      </c>
      <c r="AC76" s="4">
        <v>10003</v>
      </c>
      <c r="AD76" s="4" t="s">
        <v>147</v>
      </c>
      <c r="AE76" s="4">
        <v>101700</v>
      </c>
      <c r="AF76" s="4">
        <v>11017</v>
      </c>
      <c r="AG76" s="40">
        <v>800000</v>
      </c>
      <c r="AH76" s="61" t="s">
        <v>453</v>
      </c>
      <c r="AI76" s="4">
        <v>133</v>
      </c>
      <c r="AJ76" s="4">
        <v>2</v>
      </c>
      <c r="AK76" s="4" t="s">
        <v>148</v>
      </c>
      <c r="AL76" s="4" t="s">
        <v>479</v>
      </c>
      <c r="AM76" s="4" t="s">
        <v>150</v>
      </c>
      <c r="AN76" s="4" t="s">
        <v>480</v>
      </c>
      <c r="AO76" s="4" t="s">
        <v>152</v>
      </c>
      <c r="AP76" s="4" t="s">
        <v>481</v>
      </c>
    </row>
    <row r="77" spans="1:42">
      <c r="A77" s="49">
        <v>100030207</v>
      </c>
      <c r="B77" s="49">
        <v>1</v>
      </c>
      <c r="C77" s="49" t="s">
        <v>53</v>
      </c>
      <c r="F77" s="4">
        <v>1000302</v>
      </c>
      <c r="G77" s="4">
        <v>7</v>
      </c>
      <c r="I77" s="4" t="s">
        <v>482</v>
      </c>
      <c r="M77" s="4">
        <v>133</v>
      </c>
      <c r="N77" s="37" t="s">
        <v>55</v>
      </c>
      <c r="O77" s="38">
        <v>11021</v>
      </c>
      <c r="P77" s="38" t="s">
        <v>155</v>
      </c>
      <c r="T77" t="b">
        <v>0</v>
      </c>
      <c r="V77" s="39">
        <v>72207</v>
      </c>
      <c r="AA77" s="4" t="s">
        <v>483</v>
      </c>
      <c r="AB77" s="4" t="s">
        <v>399</v>
      </c>
      <c r="AC77" s="4">
        <v>10003</v>
      </c>
      <c r="AD77" s="4" t="s">
        <v>157</v>
      </c>
      <c r="AE77" s="4">
        <v>102100</v>
      </c>
      <c r="AF77" s="4">
        <v>11021</v>
      </c>
      <c r="AG77" s="40">
        <v>800000</v>
      </c>
      <c r="AH77" s="61" t="s">
        <v>453</v>
      </c>
      <c r="AI77" s="4">
        <v>133</v>
      </c>
      <c r="AJ77" s="4">
        <v>2</v>
      </c>
      <c r="AK77" s="4" t="s">
        <v>158</v>
      </c>
      <c r="AL77" s="4" t="s">
        <v>484</v>
      </c>
      <c r="AM77" s="4" t="s">
        <v>160</v>
      </c>
      <c r="AN77" s="4" t="s">
        <v>485</v>
      </c>
      <c r="AO77" s="4" t="s">
        <v>162</v>
      </c>
      <c r="AP77" s="4" t="s">
        <v>486</v>
      </c>
    </row>
    <row r="78" spans="1:42">
      <c r="A78" s="49">
        <v>100030208</v>
      </c>
      <c r="B78" s="49">
        <v>1</v>
      </c>
      <c r="C78" s="49" t="s">
        <v>53</v>
      </c>
      <c r="F78" s="4">
        <v>1000302</v>
      </c>
      <c r="G78" s="4">
        <v>8</v>
      </c>
      <c r="I78" s="4" t="s">
        <v>487</v>
      </c>
      <c r="M78" s="4">
        <v>133</v>
      </c>
      <c r="N78" s="37" t="s">
        <v>55</v>
      </c>
      <c r="O78" s="38">
        <v>11022</v>
      </c>
      <c r="P78" s="38" t="s">
        <v>165</v>
      </c>
      <c r="T78" t="b">
        <v>0</v>
      </c>
      <c r="V78" s="39">
        <v>72208</v>
      </c>
      <c r="AA78" s="4" t="s">
        <v>488</v>
      </c>
      <c r="AB78" s="4" t="s">
        <v>399</v>
      </c>
      <c r="AC78" s="4">
        <v>10003</v>
      </c>
      <c r="AD78" s="4" t="s">
        <v>167</v>
      </c>
      <c r="AE78" s="4">
        <v>102200</v>
      </c>
      <c r="AF78" s="4">
        <v>11022</v>
      </c>
      <c r="AG78" s="40">
        <v>800000</v>
      </c>
      <c r="AH78" s="61" t="s">
        <v>453</v>
      </c>
      <c r="AI78" s="4">
        <v>133</v>
      </c>
      <c r="AJ78" s="4">
        <v>2</v>
      </c>
      <c r="AK78" s="4" t="s">
        <v>168</v>
      </c>
      <c r="AL78" s="4" t="s">
        <v>489</v>
      </c>
      <c r="AM78" s="4" t="s">
        <v>170</v>
      </c>
      <c r="AN78" s="4" t="s">
        <v>490</v>
      </c>
      <c r="AO78" s="4" t="s">
        <v>168</v>
      </c>
      <c r="AP78" s="4" t="s">
        <v>491</v>
      </c>
    </row>
    <row r="79" spans="1:42">
      <c r="A79" s="49">
        <v>100030209</v>
      </c>
      <c r="B79" s="49">
        <v>1</v>
      </c>
      <c r="C79" s="49" t="s">
        <v>53</v>
      </c>
      <c r="F79" s="4">
        <v>1000302</v>
      </c>
      <c r="G79" s="4">
        <v>9</v>
      </c>
      <c r="I79" s="4" t="s">
        <v>492</v>
      </c>
      <c r="M79" s="4">
        <v>133</v>
      </c>
      <c r="N79" s="37" t="s">
        <v>55</v>
      </c>
      <c r="O79" s="38">
        <v>11023</v>
      </c>
      <c r="P79" s="38" t="s">
        <v>174</v>
      </c>
      <c r="T79" t="b">
        <v>0</v>
      </c>
      <c r="V79" s="39">
        <v>72209</v>
      </c>
      <c r="AA79" s="4" t="s">
        <v>493</v>
      </c>
      <c r="AB79" s="4" t="s">
        <v>399</v>
      </c>
      <c r="AC79" s="4">
        <v>10003</v>
      </c>
      <c r="AD79" s="4" t="s">
        <v>176</v>
      </c>
      <c r="AE79" s="4">
        <v>102300</v>
      </c>
      <c r="AF79" s="4">
        <v>11023</v>
      </c>
      <c r="AG79" s="40">
        <v>800000</v>
      </c>
      <c r="AH79" s="61" t="s">
        <v>453</v>
      </c>
      <c r="AI79" s="4">
        <v>133</v>
      </c>
      <c r="AJ79" s="4">
        <v>2</v>
      </c>
      <c r="AK79" s="4" t="s">
        <v>177</v>
      </c>
      <c r="AL79" s="4" t="s">
        <v>494</v>
      </c>
      <c r="AM79" s="4" t="s">
        <v>179</v>
      </c>
      <c r="AN79" s="4" t="s">
        <v>495</v>
      </c>
      <c r="AO79" s="4" t="s">
        <v>181</v>
      </c>
      <c r="AP79" s="4" t="s">
        <v>496</v>
      </c>
    </row>
    <row r="80" spans="1:42">
      <c r="A80" s="49">
        <v>100030210</v>
      </c>
      <c r="B80" s="49">
        <v>1</v>
      </c>
      <c r="C80" s="49" t="s">
        <v>53</v>
      </c>
      <c r="F80" s="4">
        <v>1000302</v>
      </c>
      <c r="G80" s="4">
        <v>10</v>
      </c>
      <c r="I80" s="4" t="s">
        <v>497</v>
      </c>
      <c r="M80" s="4">
        <v>133</v>
      </c>
      <c r="N80" s="37" t="s">
        <v>55</v>
      </c>
      <c r="O80" s="38">
        <v>11024</v>
      </c>
      <c r="P80" s="38" t="s">
        <v>184</v>
      </c>
      <c r="T80" t="b">
        <v>0</v>
      </c>
      <c r="V80" s="39">
        <v>72210</v>
      </c>
      <c r="AA80" s="4" t="s">
        <v>498</v>
      </c>
      <c r="AB80" s="4" t="s">
        <v>399</v>
      </c>
      <c r="AC80" s="4">
        <v>10003</v>
      </c>
      <c r="AD80" s="4" t="s">
        <v>186</v>
      </c>
      <c r="AE80" s="4">
        <v>102400</v>
      </c>
      <c r="AF80" s="4">
        <v>11024</v>
      </c>
      <c r="AG80" s="40">
        <v>800000</v>
      </c>
      <c r="AH80" s="61" t="s">
        <v>453</v>
      </c>
      <c r="AI80" s="4">
        <v>133</v>
      </c>
      <c r="AJ80" s="4">
        <v>2</v>
      </c>
      <c r="AK80" s="4" t="s">
        <v>187</v>
      </c>
      <c r="AL80" s="4" t="s">
        <v>499</v>
      </c>
      <c r="AM80" s="4" t="s">
        <v>189</v>
      </c>
      <c r="AN80" s="4" t="s">
        <v>500</v>
      </c>
      <c r="AO80" s="4" t="s">
        <v>191</v>
      </c>
      <c r="AP80" s="4" t="s">
        <v>501</v>
      </c>
    </row>
    <row r="81" spans="1:42">
      <c r="A81" s="49">
        <v>100030301</v>
      </c>
      <c r="B81" s="49">
        <v>1</v>
      </c>
      <c r="C81" s="49" t="s">
        <v>53</v>
      </c>
      <c r="F81" s="4">
        <v>1000303</v>
      </c>
      <c r="G81" s="4">
        <v>1</v>
      </c>
      <c r="I81" s="4" t="s">
        <v>502</v>
      </c>
      <c r="M81" s="4">
        <v>333</v>
      </c>
      <c r="N81" s="37" t="s">
        <v>55</v>
      </c>
      <c r="O81" s="38">
        <v>11007</v>
      </c>
      <c r="P81" s="38" t="s">
        <v>94</v>
      </c>
      <c r="R81" s="50"/>
      <c r="S81" s="50"/>
      <c r="T81" t="b">
        <v>0</v>
      </c>
      <c r="U81" s="50"/>
      <c r="V81" s="50">
        <v>72301</v>
      </c>
      <c r="W81" s="50"/>
      <c r="X81" s="50"/>
      <c r="Y81" s="50"/>
      <c r="Z81" s="50"/>
      <c r="AA81" s="4" t="s">
        <v>503</v>
      </c>
      <c r="AB81" s="4" t="s">
        <v>399</v>
      </c>
      <c r="AC81" s="4">
        <v>10003</v>
      </c>
      <c r="AD81" s="4" t="s">
        <v>97</v>
      </c>
      <c r="AE81" s="4">
        <v>100700</v>
      </c>
      <c r="AF81" s="4">
        <v>11007</v>
      </c>
      <c r="AG81" s="40">
        <v>2000000</v>
      </c>
      <c r="AH81" s="61" t="s">
        <v>504</v>
      </c>
      <c r="AI81" s="4">
        <v>333</v>
      </c>
      <c r="AJ81" s="4">
        <v>3</v>
      </c>
      <c r="AK81" s="4" t="s">
        <v>99</v>
      </c>
      <c r="AL81" s="4" t="s">
        <v>505</v>
      </c>
      <c r="AM81" s="4" t="s">
        <v>101</v>
      </c>
      <c r="AN81" s="4" t="s">
        <v>506</v>
      </c>
      <c r="AO81" s="4" t="s">
        <v>103</v>
      </c>
      <c r="AP81" s="4" t="s">
        <v>507</v>
      </c>
    </row>
    <row r="82" spans="1:42">
      <c r="A82" s="49">
        <v>100030302</v>
      </c>
      <c r="B82" s="49">
        <v>1</v>
      </c>
      <c r="C82" s="49" t="s">
        <v>53</v>
      </c>
      <c r="F82" s="4">
        <v>1000303</v>
      </c>
      <c r="G82" s="4">
        <v>2</v>
      </c>
      <c r="I82" s="4" t="s">
        <v>508</v>
      </c>
      <c r="M82" s="4">
        <v>333</v>
      </c>
      <c r="N82" s="37" t="s">
        <v>55</v>
      </c>
      <c r="O82" s="38">
        <v>11003</v>
      </c>
      <c r="P82" s="38" t="s">
        <v>106</v>
      </c>
      <c r="R82" s="50"/>
      <c r="S82" s="50"/>
      <c r="T82" t="b">
        <v>0</v>
      </c>
      <c r="U82" s="50"/>
      <c r="V82" s="50">
        <v>72302</v>
      </c>
      <c r="W82" s="50"/>
      <c r="X82" s="50"/>
      <c r="Y82" s="50"/>
      <c r="Z82" s="50"/>
      <c r="AA82" s="4" t="s">
        <v>509</v>
      </c>
      <c r="AB82" s="4" t="s">
        <v>399</v>
      </c>
      <c r="AC82" s="4">
        <v>10003</v>
      </c>
      <c r="AD82" s="4" t="s">
        <v>108</v>
      </c>
      <c r="AE82" s="4">
        <v>100300</v>
      </c>
      <c r="AF82" s="4">
        <v>11003</v>
      </c>
      <c r="AG82" s="40">
        <v>2000000</v>
      </c>
      <c r="AH82" s="61" t="s">
        <v>504</v>
      </c>
      <c r="AI82" s="4">
        <v>333</v>
      </c>
      <c r="AJ82" s="4">
        <v>3</v>
      </c>
      <c r="AK82" s="4" t="s">
        <v>109</v>
      </c>
      <c r="AL82" s="4" t="s">
        <v>510</v>
      </c>
      <c r="AM82" s="4" t="s">
        <v>111</v>
      </c>
      <c r="AN82" s="4" t="s">
        <v>511</v>
      </c>
      <c r="AO82" s="4" t="s">
        <v>109</v>
      </c>
      <c r="AP82" s="4" t="s">
        <v>512</v>
      </c>
    </row>
    <row r="83" spans="1:42">
      <c r="A83" s="49">
        <v>100030303</v>
      </c>
      <c r="B83" s="49">
        <v>1</v>
      </c>
      <c r="C83" s="49" t="s">
        <v>53</v>
      </c>
      <c r="F83" s="4">
        <v>1000303</v>
      </c>
      <c r="G83" s="4">
        <v>3</v>
      </c>
      <c r="I83" s="4" t="s">
        <v>513</v>
      </c>
      <c r="M83" s="4">
        <v>333</v>
      </c>
      <c r="N83" s="37" t="s">
        <v>55</v>
      </c>
      <c r="O83" s="38">
        <v>11012</v>
      </c>
      <c r="P83" s="38" t="s">
        <v>115</v>
      </c>
      <c r="R83" s="50"/>
      <c r="S83" s="50"/>
      <c r="T83" t="b">
        <v>0</v>
      </c>
      <c r="U83" s="50"/>
      <c r="V83" s="50">
        <v>72303</v>
      </c>
      <c r="W83" s="50"/>
      <c r="X83" s="50"/>
      <c r="Y83" s="50"/>
      <c r="Z83" s="50"/>
      <c r="AA83" s="4" t="s">
        <v>514</v>
      </c>
      <c r="AB83" s="4" t="s">
        <v>399</v>
      </c>
      <c r="AC83" s="4">
        <v>10003</v>
      </c>
      <c r="AD83" s="4" t="s">
        <v>117</v>
      </c>
      <c r="AE83" s="4">
        <v>101200</v>
      </c>
      <c r="AF83" s="4">
        <v>11012</v>
      </c>
      <c r="AG83" s="40">
        <v>2000000</v>
      </c>
      <c r="AH83" s="61" t="s">
        <v>504</v>
      </c>
      <c r="AI83" s="4">
        <v>333</v>
      </c>
      <c r="AJ83" s="4">
        <v>3</v>
      </c>
      <c r="AK83" s="4" t="s">
        <v>118</v>
      </c>
      <c r="AL83" s="4" t="s">
        <v>515</v>
      </c>
      <c r="AM83" s="4" t="s">
        <v>120</v>
      </c>
      <c r="AN83" s="4" t="s">
        <v>516</v>
      </c>
      <c r="AO83" s="4" t="s">
        <v>118</v>
      </c>
      <c r="AP83" s="4" t="s">
        <v>517</v>
      </c>
    </row>
    <row r="84" spans="1:42">
      <c r="A84" s="49">
        <v>100030304</v>
      </c>
      <c r="B84" s="49">
        <v>1</v>
      </c>
      <c r="C84" s="49" t="s">
        <v>53</v>
      </c>
      <c r="F84" s="4">
        <v>1000303</v>
      </c>
      <c r="G84" s="4">
        <v>4</v>
      </c>
      <c r="I84" s="4" t="s">
        <v>518</v>
      </c>
      <c r="M84" s="4">
        <v>333</v>
      </c>
      <c r="N84" s="37" t="s">
        <v>55</v>
      </c>
      <c r="O84" s="38">
        <v>11014</v>
      </c>
      <c r="P84" s="38" t="s">
        <v>124</v>
      </c>
      <c r="R84" s="50"/>
      <c r="S84" s="50"/>
      <c r="T84" t="b">
        <v>0</v>
      </c>
      <c r="U84" s="50"/>
      <c r="V84" s="50">
        <v>72304</v>
      </c>
      <c r="W84" s="50"/>
      <c r="X84" s="50"/>
      <c r="Y84" s="50"/>
      <c r="Z84" s="50"/>
      <c r="AA84" s="4" t="s">
        <v>519</v>
      </c>
      <c r="AB84" s="4" t="s">
        <v>399</v>
      </c>
      <c r="AC84" s="4">
        <v>10003</v>
      </c>
      <c r="AD84" s="4" t="s">
        <v>126</v>
      </c>
      <c r="AE84" s="4">
        <v>101400</v>
      </c>
      <c r="AF84" s="4">
        <v>11014</v>
      </c>
      <c r="AG84" s="40">
        <v>2000000</v>
      </c>
      <c r="AH84" s="61" t="s">
        <v>504</v>
      </c>
      <c r="AI84" s="4">
        <v>333</v>
      </c>
      <c r="AJ84" s="4">
        <v>3</v>
      </c>
      <c r="AK84" s="4" t="s">
        <v>127</v>
      </c>
      <c r="AL84" s="4" t="s">
        <v>520</v>
      </c>
      <c r="AM84" s="4" t="s">
        <v>129</v>
      </c>
      <c r="AN84" s="4" t="s">
        <v>521</v>
      </c>
      <c r="AO84" s="4" t="s">
        <v>131</v>
      </c>
      <c r="AP84" s="4" t="s">
        <v>522</v>
      </c>
    </row>
    <row r="85" spans="1:42">
      <c r="A85" s="49">
        <v>100030305</v>
      </c>
      <c r="B85" s="49">
        <v>1</v>
      </c>
      <c r="C85" s="49" t="s">
        <v>53</v>
      </c>
      <c r="F85" s="4">
        <v>1000303</v>
      </c>
      <c r="G85" s="4">
        <v>5</v>
      </c>
      <c r="I85" s="4" t="s">
        <v>523</v>
      </c>
      <c r="M85" s="4">
        <v>333</v>
      </c>
      <c r="N85" s="37" t="s">
        <v>55</v>
      </c>
      <c r="O85" s="38">
        <v>11003</v>
      </c>
      <c r="P85" s="38" t="s">
        <v>420</v>
      </c>
      <c r="R85" s="50"/>
      <c r="S85" s="50"/>
      <c r="T85" t="b">
        <v>0</v>
      </c>
      <c r="U85" s="50"/>
      <c r="V85" s="50">
        <v>72305</v>
      </c>
      <c r="W85" s="50"/>
      <c r="X85" s="50"/>
      <c r="Y85" s="50"/>
      <c r="Z85" s="50"/>
      <c r="AA85" s="4" t="s">
        <v>524</v>
      </c>
      <c r="AB85" s="4" t="s">
        <v>136</v>
      </c>
      <c r="AC85" s="4">
        <v>10003</v>
      </c>
      <c r="AD85" s="4" t="s">
        <v>422</v>
      </c>
      <c r="AE85" s="4">
        <v>0</v>
      </c>
      <c r="AF85" s="4">
        <v>11003</v>
      </c>
      <c r="AG85" s="40">
        <v>2000000</v>
      </c>
      <c r="AH85" s="61" t="s">
        <v>504</v>
      </c>
      <c r="AI85" s="4">
        <v>333</v>
      </c>
      <c r="AJ85" s="4">
        <v>3</v>
      </c>
      <c r="AK85" s="4" t="s">
        <v>138</v>
      </c>
      <c r="AL85" s="4" t="s">
        <v>525</v>
      </c>
      <c r="AM85" s="4" t="s">
        <v>140</v>
      </c>
      <c r="AN85" s="4" t="s">
        <v>526</v>
      </c>
      <c r="AO85" s="4" t="s">
        <v>142</v>
      </c>
      <c r="AP85" s="4" t="s">
        <v>527</v>
      </c>
    </row>
    <row r="86" spans="1:42">
      <c r="A86" s="49">
        <v>100030306</v>
      </c>
      <c r="B86" s="49">
        <v>1</v>
      </c>
      <c r="C86" s="49" t="s">
        <v>53</v>
      </c>
      <c r="F86" s="4">
        <v>1000303</v>
      </c>
      <c r="G86" s="4">
        <v>6</v>
      </c>
      <c r="I86" s="4" t="s">
        <v>528</v>
      </c>
      <c r="M86" s="4">
        <v>333</v>
      </c>
      <c r="N86" s="37" t="s">
        <v>55</v>
      </c>
      <c r="O86" s="38">
        <v>11017</v>
      </c>
      <c r="P86" s="38" t="s">
        <v>145</v>
      </c>
      <c r="T86" t="b">
        <v>0</v>
      </c>
      <c r="V86" s="39">
        <v>72306</v>
      </c>
      <c r="AA86" s="4" t="s">
        <v>529</v>
      </c>
      <c r="AB86" s="4" t="s">
        <v>399</v>
      </c>
      <c r="AC86" s="4">
        <v>10003</v>
      </c>
      <c r="AD86" s="4" t="s">
        <v>147</v>
      </c>
      <c r="AE86" s="4">
        <v>101700</v>
      </c>
      <c r="AF86" s="4">
        <v>11017</v>
      </c>
      <c r="AG86" s="40">
        <v>2000000</v>
      </c>
      <c r="AH86" s="61" t="s">
        <v>504</v>
      </c>
      <c r="AI86" s="4">
        <v>333</v>
      </c>
      <c r="AJ86" s="4">
        <v>3</v>
      </c>
      <c r="AK86" s="4" t="s">
        <v>148</v>
      </c>
      <c r="AL86" s="4" t="s">
        <v>530</v>
      </c>
      <c r="AM86" s="4" t="s">
        <v>150</v>
      </c>
      <c r="AN86" s="4" t="s">
        <v>531</v>
      </c>
      <c r="AO86" s="4" t="s">
        <v>152</v>
      </c>
      <c r="AP86" s="4" t="s">
        <v>532</v>
      </c>
    </row>
    <row r="87" spans="1:42">
      <c r="A87" s="49">
        <v>100030307</v>
      </c>
      <c r="B87" s="49">
        <v>1</v>
      </c>
      <c r="C87" s="49" t="s">
        <v>53</v>
      </c>
      <c r="F87" s="4">
        <v>1000303</v>
      </c>
      <c r="G87" s="4">
        <v>7</v>
      </c>
      <c r="I87" s="4" t="s">
        <v>533</v>
      </c>
      <c r="M87" s="4">
        <v>333</v>
      </c>
      <c r="N87" s="37" t="s">
        <v>55</v>
      </c>
      <c r="O87" s="38">
        <v>11021</v>
      </c>
      <c r="P87" s="38" t="s">
        <v>155</v>
      </c>
      <c r="T87" t="b">
        <v>0</v>
      </c>
      <c r="V87" s="39">
        <v>72307</v>
      </c>
      <c r="AA87" s="4" t="s">
        <v>534</v>
      </c>
      <c r="AB87" s="4" t="s">
        <v>399</v>
      </c>
      <c r="AC87" s="4">
        <v>10003</v>
      </c>
      <c r="AD87" s="4" t="s">
        <v>157</v>
      </c>
      <c r="AE87" s="4">
        <v>102100</v>
      </c>
      <c r="AF87" s="4">
        <v>11021</v>
      </c>
      <c r="AG87" s="40">
        <v>2000000</v>
      </c>
      <c r="AH87" s="61" t="s">
        <v>504</v>
      </c>
      <c r="AI87" s="4">
        <v>333</v>
      </c>
      <c r="AJ87" s="4">
        <v>3</v>
      </c>
      <c r="AK87" s="4" t="s">
        <v>158</v>
      </c>
      <c r="AL87" s="4" t="s">
        <v>535</v>
      </c>
      <c r="AM87" s="4" t="s">
        <v>160</v>
      </c>
      <c r="AN87" s="4" t="s">
        <v>536</v>
      </c>
      <c r="AO87" s="4" t="s">
        <v>162</v>
      </c>
      <c r="AP87" s="4" t="s">
        <v>537</v>
      </c>
    </row>
    <row r="88" spans="1:42">
      <c r="A88" s="49">
        <v>100030308</v>
      </c>
      <c r="B88" s="49">
        <v>1</v>
      </c>
      <c r="C88" s="49" t="s">
        <v>53</v>
      </c>
      <c r="F88" s="4">
        <v>1000303</v>
      </c>
      <c r="G88" s="4">
        <v>8</v>
      </c>
      <c r="I88" s="4" t="s">
        <v>538</v>
      </c>
      <c r="M88" s="4">
        <v>333</v>
      </c>
      <c r="N88" s="37" t="s">
        <v>55</v>
      </c>
      <c r="O88" s="38">
        <v>11022</v>
      </c>
      <c r="P88" s="38" t="s">
        <v>165</v>
      </c>
      <c r="T88" t="b">
        <v>0</v>
      </c>
      <c r="V88" s="39">
        <v>72308</v>
      </c>
      <c r="AA88" s="4" t="s">
        <v>539</v>
      </c>
      <c r="AB88" s="4" t="s">
        <v>399</v>
      </c>
      <c r="AC88" s="4">
        <v>10003</v>
      </c>
      <c r="AD88" s="4" t="s">
        <v>167</v>
      </c>
      <c r="AE88" s="4">
        <v>102200</v>
      </c>
      <c r="AF88" s="4">
        <v>11022</v>
      </c>
      <c r="AG88" s="40">
        <v>2000000</v>
      </c>
      <c r="AH88" s="61" t="s">
        <v>504</v>
      </c>
      <c r="AI88" s="4">
        <v>333</v>
      </c>
      <c r="AJ88" s="4">
        <v>3</v>
      </c>
      <c r="AK88" s="4" t="s">
        <v>168</v>
      </c>
      <c r="AL88" s="4" t="s">
        <v>540</v>
      </c>
      <c r="AM88" s="4" t="s">
        <v>170</v>
      </c>
      <c r="AN88" s="4" t="s">
        <v>541</v>
      </c>
      <c r="AO88" s="4" t="s">
        <v>168</v>
      </c>
      <c r="AP88" s="4" t="s">
        <v>542</v>
      </c>
    </row>
    <row r="89" spans="1:42">
      <c r="A89" s="49">
        <v>100030309</v>
      </c>
      <c r="B89" s="49">
        <v>1</v>
      </c>
      <c r="C89" s="49" t="s">
        <v>53</v>
      </c>
      <c r="F89" s="4">
        <v>1000303</v>
      </c>
      <c r="G89" s="4">
        <v>9</v>
      </c>
      <c r="I89" s="4" t="s">
        <v>543</v>
      </c>
      <c r="M89" s="4">
        <v>333</v>
      </c>
      <c r="N89" s="37" t="s">
        <v>55</v>
      </c>
      <c r="O89" s="38">
        <v>11023</v>
      </c>
      <c r="P89" s="38" t="s">
        <v>174</v>
      </c>
      <c r="T89" t="b">
        <v>0</v>
      </c>
      <c r="V89" s="39">
        <v>72309</v>
      </c>
      <c r="AA89" s="4" t="s">
        <v>544</v>
      </c>
      <c r="AB89" s="4" t="s">
        <v>399</v>
      </c>
      <c r="AC89" s="4">
        <v>10003</v>
      </c>
      <c r="AD89" s="4" t="s">
        <v>176</v>
      </c>
      <c r="AE89" s="4">
        <v>102300</v>
      </c>
      <c r="AF89" s="4">
        <v>11023</v>
      </c>
      <c r="AG89" s="40">
        <v>2000000</v>
      </c>
      <c r="AH89" s="61" t="s">
        <v>504</v>
      </c>
      <c r="AI89" s="4">
        <v>333</v>
      </c>
      <c r="AJ89" s="4">
        <v>3</v>
      </c>
      <c r="AK89" s="4" t="s">
        <v>177</v>
      </c>
      <c r="AL89" s="4" t="s">
        <v>545</v>
      </c>
      <c r="AM89" s="4" t="s">
        <v>179</v>
      </c>
      <c r="AN89" s="4" t="s">
        <v>546</v>
      </c>
      <c r="AO89" s="4" t="s">
        <v>181</v>
      </c>
      <c r="AP89" s="4" t="s">
        <v>547</v>
      </c>
    </row>
    <row r="90" spans="1:42">
      <c r="A90" s="49">
        <v>100030310</v>
      </c>
      <c r="B90" s="49">
        <v>1</v>
      </c>
      <c r="C90" s="49" t="s">
        <v>53</v>
      </c>
      <c r="F90" s="4">
        <v>1000303</v>
      </c>
      <c r="G90" s="4">
        <v>10</v>
      </c>
      <c r="I90" s="4" t="s">
        <v>548</v>
      </c>
      <c r="M90" s="4">
        <v>333</v>
      </c>
      <c r="N90" s="37" t="s">
        <v>55</v>
      </c>
      <c r="O90" s="38">
        <v>11024</v>
      </c>
      <c r="P90" s="38" t="s">
        <v>184</v>
      </c>
      <c r="T90" t="b">
        <v>0</v>
      </c>
      <c r="V90" s="39">
        <v>72310</v>
      </c>
      <c r="AA90" s="4" t="s">
        <v>549</v>
      </c>
      <c r="AB90" s="4" t="s">
        <v>399</v>
      </c>
      <c r="AC90" s="4">
        <v>10003</v>
      </c>
      <c r="AD90" s="4" t="s">
        <v>186</v>
      </c>
      <c r="AE90" s="4">
        <v>102400</v>
      </c>
      <c r="AF90" s="4">
        <v>11024</v>
      </c>
      <c r="AG90" s="40">
        <v>2000000</v>
      </c>
      <c r="AH90" s="61" t="s">
        <v>504</v>
      </c>
      <c r="AI90" s="4">
        <v>333</v>
      </c>
      <c r="AJ90" s="4">
        <v>3</v>
      </c>
      <c r="AK90" s="4" t="s">
        <v>187</v>
      </c>
      <c r="AL90" s="4" t="s">
        <v>550</v>
      </c>
      <c r="AM90" s="4" t="s">
        <v>189</v>
      </c>
      <c r="AN90" s="4" t="s">
        <v>551</v>
      </c>
      <c r="AO90" s="4" t="s">
        <v>191</v>
      </c>
      <c r="AP90" s="4" t="s">
        <v>552</v>
      </c>
    </row>
    <row r="91" spans="1:42">
      <c r="A91" s="49">
        <v>100030401</v>
      </c>
      <c r="B91" s="49">
        <v>1</v>
      </c>
      <c r="C91" s="49" t="s">
        <v>53</v>
      </c>
      <c r="F91" s="4">
        <v>1000304</v>
      </c>
      <c r="G91" s="4">
        <v>1</v>
      </c>
      <c r="I91" s="4" t="s">
        <v>553</v>
      </c>
      <c r="M91" s="4">
        <v>667</v>
      </c>
      <c r="N91" s="37" t="s">
        <v>55</v>
      </c>
      <c r="O91" s="38">
        <v>11007</v>
      </c>
      <c r="P91" s="38" t="s">
        <v>94</v>
      </c>
      <c r="R91" s="50"/>
      <c r="S91" s="50"/>
      <c r="T91" t="b">
        <v>0</v>
      </c>
      <c r="U91" s="50"/>
      <c r="V91" s="50">
        <v>72401</v>
      </c>
      <c r="W91" s="50"/>
      <c r="X91" s="50"/>
      <c r="Y91" s="50"/>
      <c r="Z91" s="50"/>
      <c r="AA91" s="4" t="s">
        <v>554</v>
      </c>
      <c r="AB91" s="4" t="s">
        <v>399</v>
      </c>
      <c r="AC91" s="4">
        <v>10003</v>
      </c>
      <c r="AD91" s="4" t="s">
        <v>97</v>
      </c>
      <c r="AE91" s="4">
        <v>100700</v>
      </c>
      <c r="AF91" s="4">
        <v>11007</v>
      </c>
      <c r="AG91" s="40">
        <v>4000000</v>
      </c>
      <c r="AH91" s="61" t="s">
        <v>555</v>
      </c>
      <c r="AI91" s="4">
        <v>667</v>
      </c>
      <c r="AJ91" s="4">
        <v>4</v>
      </c>
      <c r="AK91" s="4" t="s">
        <v>99</v>
      </c>
      <c r="AL91" s="4" t="s">
        <v>556</v>
      </c>
      <c r="AM91" s="4" t="s">
        <v>101</v>
      </c>
      <c r="AN91" s="4" t="s">
        <v>557</v>
      </c>
      <c r="AO91" s="4" t="s">
        <v>103</v>
      </c>
      <c r="AP91" s="4" t="s">
        <v>558</v>
      </c>
    </row>
    <row r="92" spans="1:42">
      <c r="A92" s="49">
        <v>100030402</v>
      </c>
      <c r="B92" s="49">
        <v>1</v>
      </c>
      <c r="C92" s="49" t="s">
        <v>53</v>
      </c>
      <c r="F92" s="4">
        <v>1000304</v>
      </c>
      <c r="G92" s="4">
        <v>2</v>
      </c>
      <c r="I92" s="4" t="s">
        <v>559</v>
      </c>
      <c r="M92" s="4">
        <v>667</v>
      </c>
      <c r="N92" s="37" t="s">
        <v>55</v>
      </c>
      <c r="O92" s="38">
        <v>11003</v>
      </c>
      <c r="P92" s="38" t="s">
        <v>106</v>
      </c>
      <c r="R92" s="50"/>
      <c r="S92" s="50"/>
      <c r="T92" t="b">
        <v>0</v>
      </c>
      <c r="U92" s="50"/>
      <c r="V92" s="50">
        <v>72402</v>
      </c>
      <c r="W92" s="50"/>
      <c r="X92" s="50"/>
      <c r="Y92" s="50"/>
      <c r="Z92" s="50"/>
      <c r="AA92" s="4" t="s">
        <v>560</v>
      </c>
      <c r="AB92" s="4" t="s">
        <v>399</v>
      </c>
      <c r="AC92" s="4">
        <v>10003</v>
      </c>
      <c r="AD92" s="4" t="s">
        <v>108</v>
      </c>
      <c r="AE92" s="4">
        <v>100300</v>
      </c>
      <c r="AF92" s="4">
        <v>11003</v>
      </c>
      <c r="AG92" s="40">
        <v>4000000</v>
      </c>
      <c r="AH92" s="61" t="s">
        <v>555</v>
      </c>
      <c r="AI92" s="4">
        <v>667</v>
      </c>
      <c r="AJ92" s="4">
        <v>4</v>
      </c>
      <c r="AK92" s="4" t="s">
        <v>109</v>
      </c>
      <c r="AL92" s="4" t="s">
        <v>561</v>
      </c>
      <c r="AM92" s="4" t="s">
        <v>111</v>
      </c>
      <c r="AN92" s="4" t="s">
        <v>562</v>
      </c>
      <c r="AO92" s="4" t="s">
        <v>109</v>
      </c>
      <c r="AP92" s="4" t="s">
        <v>563</v>
      </c>
    </row>
    <row r="93" spans="1:42">
      <c r="A93" s="49">
        <v>100030403</v>
      </c>
      <c r="B93" s="49">
        <v>1</v>
      </c>
      <c r="C93" s="49" t="s">
        <v>53</v>
      </c>
      <c r="F93" s="4">
        <v>1000304</v>
      </c>
      <c r="G93" s="4">
        <v>3</v>
      </c>
      <c r="I93" s="4" t="s">
        <v>564</v>
      </c>
      <c r="M93" s="4">
        <v>667</v>
      </c>
      <c r="N93" s="37" t="s">
        <v>55</v>
      </c>
      <c r="O93" s="38">
        <v>11012</v>
      </c>
      <c r="P93" s="38" t="s">
        <v>115</v>
      </c>
      <c r="R93" s="50"/>
      <c r="S93" s="50"/>
      <c r="T93" t="b">
        <v>0</v>
      </c>
      <c r="U93" s="50"/>
      <c r="V93" s="50">
        <v>72403</v>
      </c>
      <c r="W93" s="50"/>
      <c r="X93" s="50"/>
      <c r="Y93" s="50"/>
      <c r="Z93" s="50"/>
      <c r="AA93" s="4" t="s">
        <v>565</v>
      </c>
      <c r="AB93" s="4" t="s">
        <v>399</v>
      </c>
      <c r="AC93" s="4">
        <v>10003</v>
      </c>
      <c r="AD93" s="4" t="s">
        <v>117</v>
      </c>
      <c r="AE93" s="4">
        <v>101200</v>
      </c>
      <c r="AF93" s="4">
        <v>11012</v>
      </c>
      <c r="AG93" s="40">
        <v>4000000</v>
      </c>
      <c r="AH93" s="61" t="s">
        <v>555</v>
      </c>
      <c r="AI93" s="4">
        <v>667</v>
      </c>
      <c r="AJ93" s="4">
        <v>4</v>
      </c>
      <c r="AK93" s="4" t="s">
        <v>118</v>
      </c>
      <c r="AL93" s="4" t="s">
        <v>566</v>
      </c>
      <c r="AM93" s="4" t="s">
        <v>120</v>
      </c>
      <c r="AN93" s="4" t="s">
        <v>567</v>
      </c>
      <c r="AO93" s="4" t="s">
        <v>118</v>
      </c>
      <c r="AP93" s="4" t="s">
        <v>568</v>
      </c>
    </row>
    <row r="94" spans="1:42">
      <c r="A94" s="49">
        <v>100030404</v>
      </c>
      <c r="B94" s="49">
        <v>1</v>
      </c>
      <c r="C94" s="49" t="s">
        <v>53</v>
      </c>
      <c r="F94" s="4">
        <v>1000304</v>
      </c>
      <c r="G94" s="4">
        <v>4</v>
      </c>
      <c r="I94" s="4" t="s">
        <v>569</v>
      </c>
      <c r="M94" s="4">
        <v>667</v>
      </c>
      <c r="N94" s="37" t="s">
        <v>55</v>
      </c>
      <c r="O94" s="38">
        <v>11014</v>
      </c>
      <c r="P94" s="38" t="s">
        <v>124</v>
      </c>
      <c r="R94" s="50"/>
      <c r="S94" s="50"/>
      <c r="T94" t="b">
        <v>0</v>
      </c>
      <c r="U94" s="50"/>
      <c r="V94" s="50">
        <v>72404</v>
      </c>
      <c r="W94" s="50"/>
      <c r="X94" s="50"/>
      <c r="Y94" s="50"/>
      <c r="Z94" s="50"/>
      <c r="AA94" s="4" t="s">
        <v>570</v>
      </c>
      <c r="AB94" s="4" t="s">
        <v>399</v>
      </c>
      <c r="AC94" s="4">
        <v>10003</v>
      </c>
      <c r="AD94" s="4" t="s">
        <v>126</v>
      </c>
      <c r="AE94" s="4">
        <v>101400</v>
      </c>
      <c r="AF94" s="4">
        <v>11014</v>
      </c>
      <c r="AG94" s="40">
        <v>4000000</v>
      </c>
      <c r="AH94" s="61" t="s">
        <v>555</v>
      </c>
      <c r="AI94" s="4">
        <v>667</v>
      </c>
      <c r="AJ94" s="4">
        <v>4</v>
      </c>
      <c r="AK94" s="4" t="s">
        <v>127</v>
      </c>
      <c r="AL94" s="4" t="s">
        <v>571</v>
      </c>
      <c r="AM94" s="4" t="s">
        <v>129</v>
      </c>
      <c r="AN94" s="4" t="s">
        <v>572</v>
      </c>
      <c r="AO94" s="4" t="s">
        <v>131</v>
      </c>
      <c r="AP94" s="4" t="s">
        <v>573</v>
      </c>
    </row>
    <row r="95" spans="1:42">
      <c r="A95" s="49">
        <v>100030405</v>
      </c>
      <c r="B95" s="49">
        <v>1</v>
      </c>
      <c r="C95" s="49" t="s">
        <v>53</v>
      </c>
      <c r="F95" s="4">
        <v>1000304</v>
      </c>
      <c r="G95" s="4">
        <v>5</v>
      </c>
      <c r="I95" s="4" t="s">
        <v>574</v>
      </c>
      <c r="M95" s="4">
        <v>667</v>
      </c>
      <c r="N95" s="37" t="s">
        <v>55</v>
      </c>
      <c r="O95" s="38">
        <v>11003</v>
      </c>
      <c r="P95" s="38" t="s">
        <v>420</v>
      </c>
      <c r="R95" s="50"/>
      <c r="S95" s="50"/>
      <c r="T95" t="b">
        <v>0</v>
      </c>
      <c r="U95" s="50"/>
      <c r="V95" s="50">
        <v>72405</v>
      </c>
      <c r="W95" s="50"/>
      <c r="X95" s="50"/>
      <c r="Y95" s="50"/>
      <c r="Z95" s="50"/>
      <c r="AA95" s="4" t="s">
        <v>575</v>
      </c>
      <c r="AB95" s="4" t="s">
        <v>136</v>
      </c>
      <c r="AC95" s="4">
        <v>10003</v>
      </c>
      <c r="AD95" s="4" t="s">
        <v>422</v>
      </c>
      <c r="AE95" s="4">
        <v>0</v>
      </c>
      <c r="AF95" s="4">
        <v>11003</v>
      </c>
      <c r="AG95" s="40">
        <v>4000000</v>
      </c>
      <c r="AH95" s="61" t="s">
        <v>555</v>
      </c>
      <c r="AI95" s="4">
        <v>667</v>
      </c>
      <c r="AJ95" s="4">
        <v>4</v>
      </c>
      <c r="AK95" s="4" t="s">
        <v>138</v>
      </c>
      <c r="AL95" s="4" t="s">
        <v>576</v>
      </c>
      <c r="AM95" s="4" t="s">
        <v>140</v>
      </c>
      <c r="AN95" s="4" t="s">
        <v>577</v>
      </c>
      <c r="AO95" s="4" t="s">
        <v>142</v>
      </c>
      <c r="AP95" s="4" t="s">
        <v>578</v>
      </c>
    </row>
    <row r="96" spans="1:42">
      <c r="A96" s="49">
        <v>100030406</v>
      </c>
      <c r="B96" s="49">
        <v>1</v>
      </c>
      <c r="C96" s="49" t="s">
        <v>53</v>
      </c>
      <c r="F96" s="4">
        <v>1000304</v>
      </c>
      <c r="G96" s="4">
        <v>6</v>
      </c>
      <c r="I96" s="4" t="s">
        <v>579</v>
      </c>
      <c r="M96" s="4">
        <v>667</v>
      </c>
      <c r="N96" s="37" t="s">
        <v>55</v>
      </c>
      <c r="O96" s="38">
        <v>11017</v>
      </c>
      <c r="P96" s="38" t="s">
        <v>145</v>
      </c>
      <c r="T96" t="b">
        <v>0</v>
      </c>
      <c r="V96" s="39">
        <v>72406</v>
      </c>
      <c r="AA96" s="4" t="s">
        <v>580</v>
      </c>
      <c r="AB96" s="4" t="s">
        <v>399</v>
      </c>
      <c r="AC96" s="4">
        <v>10003</v>
      </c>
      <c r="AD96" s="4" t="s">
        <v>147</v>
      </c>
      <c r="AE96" s="4">
        <v>101700</v>
      </c>
      <c r="AF96" s="4">
        <v>11017</v>
      </c>
      <c r="AG96" s="40">
        <v>4000000</v>
      </c>
      <c r="AH96" s="61" t="s">
        <v>555</v>
      </c>
      <c r="AI96" s="4">
        <v>667</v>
      </c>
      <c r="AJ96" s="4">
        <v>4</v>
      </c>
      <c r="AK96" s="4" t="s">
        <v>148</v>
      </c>
      <c r="AL96" s="4" t="s">
        <v>581</v>
      </c>
      <c r="AM96" s="4" t="s">
        <v>150</v>
      </c>
      <c r="AN96" s="4" t="s">
        <v>582</v>
      </c>
      <c r="AO96" s="4" t="s">
        <v>152</v>
      </c>
      <c r="AP96" s="4" t="s">
        <v>583</v>
      </c>
    </row>
    <row r="97" spans="1:42">
      <c r="A97" s="49">
        <v>100030407</v>
      </c>
      <c r="B97" s="49">
        <v>1</v>
      </c>
      <c r="C97" s="49" t="s">
        <v>53</v>
      </c>
      <c r="F97" s="4">
        <v>1000304</v>
      </c>
      <c r="G97" s="4">
        <v>7</v>
      </c>
      <c r="I97" s="4" t="s">
        <v>584</v>
      </c>
      <c r="M97" s="4">
        <v>667</v>
      </c>
      <c r="N97" s="37" t="s">
        <v>55</v>
      </c>
      <c r="O97" s="38">
        <v>11021</v>
      </c>
      <c r="P97" s="38" t="s">
        <v>155</v>
      </c>
      <c r="T97" t="b">
        <v>0</v>
      </c>
      <c r="V97" s="39">
        <v>72407</v>
      </c>
      <c r="AA97" s="4" t="s">
        <v>585</v>
      </c>
      <c r="AB97" s="4" t="s">
        <v>399</v>
      </c>
      <c r="AC97" s="4">
        <v>10003</v>
      </c>
      <c r="AD97" s="4" t="s">
        <v>157</v>
      </c>
      <c r="AE97" s="4">
        <v>102100</v>
      </c>
      <c r="AF97" s="4">
        <v>11021</v>
      </c>
      <c r="AG97" s="40">
        <v>4000000</v>
      </c>
      <c r="AH97" s="61" t="s">
        <v>555</v>
      </c>
      <c r="AI97" s="4">
        <v>667</v>
      </c>
      <c r="AJ97" s="4">
        <v>4</v>
      </c>
      <c r="AK97" s="4" t="s">
        <v>158</v>
      </c>
      <c r="AL97" s="4" t="s">
        <v>586</v>
      </c>
      <c r="AM97" s="4" t="s">
        <v>160</v>
      </c>
      <c r="AN97" s="4" t="s">
        <v>587</v>
      </c>
      <c r="AO97" s="4" t="s">
        <v>162</v>
      </c>
      <c r="AP97" s="4" t="s">
        <v>588</v>
      </c>
    </row>
    <row r="98" spans="1:42">
      <c r="A98" s="49">
        <v>100030408</v>
      </c>
      <c r="B98" s="49">
        <v>1</v>
      </c>
      <c r="C98" s="49" t="s">
        <v>53</v>
      </c>
      <c r="F98" s="4">
        <v>1000304</v>
      </c>
      <c r="G98" s="4">
        <v>8</v>
      </c>
      <c r="I98" s="4" t="s">
        <v>589</v>
      </c>
      <c r="M98" s="4">
        <v>667</v>
      </c>
      <c r="N98" s="37" t="s">
        <v>55</v>
      </c>
      <c r="O98" s="38">
        <v>11022</v>
      </c>
      <c r="P98" s="38" t="s">
        <v>165</v>
      </c>
      <c r="T98" t="b">
        <v>0</v>
      </c>
      <c r="V98" s="39">
        <v>72408</v>
      </c>
      <c r="AA98" s="4" t="s">
        <v>590</v>
      </c>
      <c r="AB98" s="4" t="s">
        <v>399</v>
      </c>
      <c r="AC98" s="4">
        <v>10003</v>
      </c>
      <c r="AD98" s="4" t="s">
        <v>167</v>
      </c>
      <c r="AE98" s="4">
        <v>102200</v>
      </c>
      <c r="AF98" s="4">
        <v>11022</v>
      </c>
      <c r="AG98" s="40">
        <v>4000000</v>
      </c>
      <c r="AH98" s="61" t="s">
        <v>555</v>
      </c>
      <c r="AI98" s="4">
        <v>667</v>
      </c>
      <c r="AJ98" s="4">
        <v>4</v>
      </c>
      <c r="AK98" s="4" t="s">
        <v>168</v>
      </c>
      <c r="AL98" s="4" t="s">
        <v>591</v>
      </c>
      <c r="AM98" s="4" t="s">
        <v>170</v>
      </c>
      <c r="AN98" s="4" t="s">
        <v>592</v>
      </c>
      <c r="AO98" s="4" t="s">
        <v>168</v>
      </c>
      <c r="AP98" s="4" t="s">
        <v>593</v>
      </c>
    </row>
    <row r="99" spans="1:42">
      <c r="A99" s="49">
        <v>100030409</v>
      </c>
      <c r="B99" s="49">
        <v>1</v>
      </c>
      <c r="C99" s="49" t="s">
        <v>53</v>
      </c>
      <c r="F99" s="4">
        <v>1000304</v>
      </c>
      <c r="G99" s="4">
        <v>9</v>
      </c>
      <c r="I99" s="4" t="s">
        <v>594</v>
      </c>
      <c r="M99" s="4">
        <v>667</v>
      </c>
      <c r="N99" s="37" t="s">
        <v>55</v>
      </c>
      <c r="O99" s="38">
        <v>11023</v>
      </c>
      <c r="P99" s="38" t="s">
        <v>174</v>
      </c>
      <c r="T99" t="b">
        <v>0</v>
      </c>
      <c r="V99" s="39">
        <v>72409</v>
      </c>
      <c r="AA99" s="4" t="s">
        <v>595</v>
      </c>
      <c r="AB99" s="4" t="s">
        <v>399</v>
      </c>
      <c r="AC99" s="4">
        <v>10003</v>
      </c>
      <c r="AD99" s="4" t="s">
        <v>176</v>
      </c>
      <c r="AE99" s="4">
        <v>102300</v>
      </c>
      <c r="AF99" s="4">
        <v>11023</v>
      </c>
      <c r="AG99" s="40">
        <v>4000000</v>
      </c>
      <c r="AH99" s="61" t="s">
        <v>555</v>
      </c>
      <c r="AI99" s="4">
        <v>667</v>
      </c>
      <c r="AJ99" s="4">
        <v>4</v>
      </c>
      <c r="AK99" s="4" t="s">
        <v>177</v>
      </c>
      <c r="AL99" s="4" t="s">
        <v>596</v>
      </c>
      <c r="AM99" s="4" t="s">
        <v>179</v>
      </c>
      <c r="AN99" s="4" t="s">
        <v>597</v>
      </c>
      <c r="AO99" s="4" t="s">
        <v>181</v>
      </c>
      <c r="AP99" s="4" t="s">
        <v>598</v>
      </c>
    </row>
    <row r="100" spans="1:42">
      <c r="A100" s="49">
        <v>100030410</v>
      </c>
      <c r="B100" s="49">
        <v>1</v>
      </c>
      <c r="C100" s="49" t="s">
        <v>53</v>
      </c>
      <c r="F100" s="4">
        <v>1000304</v>
      </c>
      <c r="G100" s="4">
        <v>10</v>
      </c>
      <c r="I100" s="4" t="s">
        <v>599</v>
      </c>
      <c r="M100" s="4">
        <v>667</v>
      </c>
      <c r="N100" s="37" t="s">
        <v>55</v>
      </c>
      <c r="O100" s="38">
        <v>11024</v>
      </c>
      <c r="P100" s="38" t="s">
        <v>184</v>
      </c>
      <c r="T100" t="b">
        <v>0</v>
      </c>
      <c r="V100" s="39">
        <v>72410</v>
      </c>
      <c r="AA100" s="4" t="s">
        <v>600</v>
      </c>
      <c r="AB100" s="4" t="s">
        <v>399</v>
      </c>
      <c r="AC100" s="4">
        <v>10003</v>
      </c>
      <c r="AD100" s="4" t="s">
        <v>186</v>
      </c>
      <c r="AE100" s="4">
        <v>102400</v>
      </c>
      <c r="AF100" s="4">
        <v>11024</v>
      </c>
      <c r="AG100" s="40">
        <v>4000000</v>
      </c>
      <c r="AH100" s="61" t="s">
        <v>555</v>
      </c>
      <c r="AI100" s="4">
        <v>667</v>
      </c>
      <c r="AJ100" s="4">
        <v>4</v>
      </c>
      <c r="AK100" s="4" t="s">
        <v>187</v>
      </c>
      <c r="AL100" s="4" t="s">
        <v>601</v>
      </c>
      <c r="AM100" s="4" t="s">
        <v>189</v>
      </c>
      <c r="AN100" s="4" t="s">
        <v>602</v>
      </c>
      <c r="AO100" s="4" t="s">
        <v>191</v>
      </c>
      <c r="AP100" s="4" t="s">
        <v>603</v>
      </c>
    </row>
    <row r="101" spans="1:42">
      <c r="A101" s="49">
        <v>100010101</v>
      </c>
      <c r="B101" s="49">
        <v>1</v>
      </c>
      <c r="C101" s="49" t="s">
        <v>53</v>
      </c>
      <c r="F101" s="4">
        <v>1000101</v>
      </c>
      <c r="G101" s="4">
        <v>1</v>
      </c>
      <c r="I101" s="4" t="s">
        <v>604</v>
      </c>
      <c r="M101" s="4">
        <v>300</v>
      </c>
      <c r="N101" s="37" t="s">
        <v>55</v>
      </c>
      <c r="O101" s="38">
        <v>11007</v>
      </c>
      <c r="P101" s="38" t="s">
        <v>94</v>
      </c>
      <c r="R101" s="50"/>
      <c r="S101" s="50"/>
      <c r="T101" t="b">
        <v>0</v>
      </c>
      <c r="U101" s="50"/>
      <c r="V101" s="50">
        <v>73001</v>
      </c>
      <c r="W101" s="50"/>
      <c r="X101" s="50"/>
      <c r="Y101" s="50"/>
      <c r="Z101" s="50"/>
      <c r="AA101" s="4" t="s">
        <v>605</v>
      </c>
      <c r="AB101" s="4" t="s">
        <v>606</v>
      </c>
      <c r="AC101" s="4">
        <v>10001</v>
      </c>
      <c r="AD101" s="4" t="s">
        <v>97</v>
      </c>
      <c r="AE101" s="4">
        <v>100700</v>
      </c>
      <c r="AF101" s="4">
        <v>11007</v>
      </c>
      <c r="AG101" s="40">
        <v>1000</v>
      </c>
      <c r="AH101" s="61" t="s">
        <v>607</v>
      </c>
      <c r="AI101" s="4">
        <v>300</v>
      </c>
      <c r="AJ101" s="4">
        <v>1</v>
      </c>
      <c r="AK101" s="4" t="s">
        <v>99</v>
      </c>
      <c r="AL101" s="4" t="s">
        <v>608</v>
      </c>
      <c r="AM101" s="4" t="s">
        <v>101</v>
      </c>
      <c r="AN101" s="4" t="s">
        <v>609</v>
      </c>
      <c r="AO101" s="4" t="s">
        <v>103</v>
      </c>
      <c r="AP101" s="4" t="s">
        <v>610</v>
      </c>
    </row>
    <row r="102" spans="1:42">
      <c r="A102" s="49">
        <v>100010102</v>
      </c>
      <c r="B102" s="49">
        <v>1</v>
      </c>
      <c r="C102" s="49" t="s">
        <v>53</v>
      </c>
      <c r="F102" s="4">
        <v>1000101</v>
      </c>
      <c r="G102" s="4">
        <v>2</v>
      </c>
      <c r="I102" s="4" t="s">
        <v>611</v>
      </c>
      <c r="M102" s="4">
        <v>300</v>
      </c>
      <c r="N102" s="37" t="s">
        <v>55</v>
      </c>
      <c r="O102" s="38">
        <v>11003</v>
      </c>
      <c r="P102" s="38" t="s">
        <v>106</v>
      </c>
      <c r="R102" s="50"/>
      <c r="S102" s="50"/>
      <c r="T102" t="b">
        <v>0</v>
      </c>
      <c r="U102" s="50"/>
      <c r="V102" s="50">
        <v>73002</v>
      </c>
      <c r="W102" s="50"/>
      <c r="X102" s="50"/>
      <c r="Y102" s="50"/>
      <c r="Z102" s="50"/>
      <c r="AA102" s="4" t="s">
        <v>612</v>
      </c>
      <c r="AB102" s="4" t="s">
        <v>606</v>
      </c>
      <c r="AC102" s="4">
        <v>10001</v>
      </c>
      <c r="AD102" s="4" t="s">
        <v>108</v>
      </c>
      <c r="AE102" s="4">
        <v>100300</v>
      </c>
      <c r="AF102" s="4">
        <v>11003</v>
      </c>
      <c r="AG102" s="40">
        <v>1000</v>
      </c>
      <c r="AH102" s="61" t="s">
        <v>607</v>
      </c>
      <c r="AI102" s="4">
        <v>300</v>
      </c>
      <c r="AJ102" s="4">
        <v>1</v>
      </c>
      <c r="AK102" s="4" t="s">
        <v>109</v>
      </c>
      <c r="AL102" s="4" t="s">
        <v>613</v>
      </c>
      <c r="AM102" s="4" t="s">
        <v>111</v>
      </c>
      <c r="AN102" s="4" t="s">
        <v>614</v>
      </c>
      <c r="AO102" s="4" t="s">
        <v>109</v>
      </c>
      <c r="AP102" s="4" t="s">
        <v>615</v>
      </c>
    </row>
    <row r="103" spans="1:42">
      <c r="A103" s="49">
        <v>100010103</v>
      </c>
      <c r="B103" s="49">
        <v>1</v>
      </c>
      <c r="C103" s="49" t="s">
        <v>53</v>
      </c>
      <c r="F103" s="4">
        <v>1000101</v>
      </c>
      <c r="G103" s="4">
        <v>3</v>
      </c>
      <c r="I103" s="4" t="s">
        <v>616</v>
      </c>
      <c r="M103" s="4">
        <v>300</v>
      </c>
      <c r="N103" s="37" t="s">
        <v>55</v>
      </c>
      <c r="O103" s="38">
        <v>11012</v>
      </c>
      <c r="P103" s="38" t="s">
        <v>115</v>
      </c>
      <c r="R103" s="50"/>
      <c r="S103" s="50"/>
      <c r="T103" t="b">
        <v>0</v>
      </c>
      <c r="U103" s="50"/>
      <c r="V103" s="50">
        <v>73003</v>
      </c>
      <c r="W103" s="50"/>
      <c r="X103" s="50"/>
      <c r="Y103" s="50"/>
      <c r="Z103" s="50"/>
      <c r="AA103" s="4" t="s">
        <v>617</v>
      </c>
      <c r="AB103" s="4" t="s">
        <v>606</v>
      </c>
      <c r="AC103" s="4">
        <v>10001</v>
      </c>
      <c r="AD103" s="4" t="s">
        <v>117</v>
      </c>
      <c r="AE103" s="4">
        <v>101200</v>
      </c>
      <c r="AF103" s="4">
        <v>11012</v>
      </c>
      <c r="AG103" s="40">
        <v>1000</v>
      </c>
      <c r="AH103" s="61" t="s">
        <v>607</v>
      </c>
      <c r="AI103" s="4">
        <v>300</v>
      </c>
      <c r="AJ103" s="4">
        <v>1</v>
      </c>
      <c r="AK103" s="4" t="s">
        <v>118</v>
      </c>
      <c r="AL103" s="4" t="s">
        <v>618</v>
      </c>
      <c r="AM103" s="4" t="s">
        <v>120</v>
      </c>
      <c r="AN103" s="4" t="s">
        <v>619</v>
      </c>
      <c r="AO103" s="4" t="s">
        <v>118</v>
      </c>
      <c r="AP103" s="4" t="s">
        <v>620</v>
      </c>
    </row>
    <row r="104" spans="1:42">
      <c r="A104" s="49">
        <v>100010104</v>
      </c>
      <c r="B104" s="49">
        <v>1</v>
      </c>
      <c r="C104" s="49" t="s">
        <v>53</v>
      </c>
      <c r="F104" s="4">
        <v>1000101</v>
      </c>
      <c r="G104" s="4">
        <v>4</v>
      </c>
      <c r="I104" s="4" t="s">
        <v>621</v>
      </c>
      <c r="M104" s="4">
        <v>300</v>
      </c>
      <c r="N104" s="37" t="s">
        <v>55</v>
      </c>
      <c r="O104" s="38">
        <v>11014</v>
      </c>
      <c r="P104" s="38" t="s">
        <v>124</v>
      </c>
      <c r="R104" s="50"/>
      <c r="S104" s="50"/>
      <c r="T104" t="b">
        <v>0</v>
      </c>
      <c r="U104" s="50"/>
      <c r="V104" s="50">
        <v>73004</v>
      </c>
      <c r="W104" s="50"/>
      <c r="X104" s="50"/>
      <c r="Y104" s="50"/>
      <c r="Z104" s="50"/>
      <c r="AA104" s="4" t="s">
        <v>622</v>
      </c>
      <c r="AB104" s="4" t="s">
        <v>606</v>
      </c>
      <c r="AC104" s="4">
        <v>10001</v>
      </c>
      <c r="AD104" s="4" t="s">
        <v>126</v>
      </c>
      <c r="AE104" s="4">
        <v>101400</v>
      </c>
      <c r="AF104" s="4">
        <v>11014</v>
      </c>
      <c r="AG104" s="40">
        <v>1000</v>
      </c>
      <c r="AH104" s="61" t="s">
        <v>607</v>
      </c>
      <c r="AI104" s="4">
        <v>300</v>
      </c>
      <c r="AJ104" s="4">
        <v>1</v>
      </c>
      <c r="AK104" s="4" t="s">
        <v>127</v>
      </c>
      <c r="AL104" s="4" t="s">
        <v>623</v>
      </c>
      <c r="AM104" s="4" t="s">
        <v>129</v>
      </c>
      <c r="AN104" s="4" t="s">
        <v>624</v>
      </c>
      <c r="AO104" s="4" t="s">
        <v>131</v>
      </c>
      <c r="AP104" s="4" t="s">
        <v>625</v>
      </c>
    </row>
    <row r="105" spans="1:42">
      <c r="A105" s="49">
        <v>100010105</v>
      </c>
      <c r="B105" s="49">
        <v>1</v>
      </c>
      <c r="C105" s="49" t="s">
        <v>53</v>
      </c>
      <c r="F105" s="4">
        <v>1000101</v>
      </c>
      <c r="G105" s="4">
        <v>5</v>
      </c>
      <c r="I105" s="4" t="s">
        <v>626</v>
      </c>
      <c r="M105" s="4">
        <v>300</v>
      </c>
      <c r="N105" s="37" t="s">
        <v>55</v>
      </c>
      <c r="O105" s="38">
        <v>11003</v>
      </c>
      <c r="P105" s="38" t="s">
        <v>627</v>
      </c>
      <c r="R105" s="50"/>
      <c r="S105" s="50"/>
      <c r="T105" t="b">
        <v>0</v>
      </c>
      <c r="U105" s="50"/>
      <c r="V105" s="50">
        <v>73005</v>
      </c>
      <c r="W105" s="50"/>
      <c r="X105" s="50"/>
      <c r="Y105" s="50"/>
      <c r="Z105" s="50"/>
      <c r="AA105" s="4" t="s">
        <v>628</v>
      </c>
      <c r="AB105" s="4" t="s">
        <v>629</v>
      </c>
      <c r="AC105" s="4">
        <v>10001</v>
      </c>
      <c r="AE105" s="4">
        <v>0</v>
      </c>
      <c r="AF105" s="4">
        <v>11003</v>
      </c>
      <c r="AG105" s="40">
        <v>1000</v>
      </c>
      <c r="AH105" s="61" t="s">
        <v>607</v>
      </c>
      <c r="AI105" s="4">
        <v>300</v>
      </c>
      <c r="AJ105" s="4">
        <v>1</v>
      </c>
      <c r="AK105" s="4" t="s">
        <v>138</v>
      </c>
      <c r="AL105" s="4" t="s">
        <v>630</v>
      </c>
      <c r="AM105" s="4" t="s">
        <v>140</v>
      </c>
      <c r="AN105" s="4" t="s">
        <v>631</v>
      </c>
      <c r="AO105" s="4" t="s">
        <v>142</v>
      </c>
      <c r="AP105" s="4" t="s">
        <v>632</v>
      </c>
    </row>
    <row r="106" spans="1:42">
      <c r="A106" s="49">
        <v>100010106</v>
      </c>
      <c r="B106" s="49">
        <v>1</v>
      </c>
      <c r="C106" s="49" t="s">
        <v>53</v>
      </c>
      <c r="F106" s="4">
        <v>1000101</v>
      </c>
      <c r="G106" s="4">
        <v>6</v>
      </c>
      <c r="I106" s="4" t="s">
        <v>633</v>
      </c>
      <c r="M106" s="4">
        <v>300</v>
      </c>
      <c r="N106" s="37" t="s">
        <v>55</v>
      </c>
      <c r="O106" s="38">
        <v>11017</v>
      </c>
      <c r="P106" s="38" t="s">
        <v>145</v>
      </c>
      <c r="T106" t="b">
        <v>0</v>
      </c>
      <c r="V106" s="39">
        <v>73006</v>
      </c>
      <c r="AA106" s="4" t="s">
        <v>634</v>
      </c>
      <c r="AB106" s="4" t="s">
        <v>606</v>
      </c>
      <c r="AC106" s="4">
        <v>12001</v>
      </c>
      <c r="AD106" s="4" t="s">
        <v>147</v>
      </c>
      <c r="AE106" s="4">
        <v>101700</v>
      </c>
      <c r="AF106" s="4">
        <v>11017</v>
      </c>
      <c r="AG106" s="40">
        <v>1000</v>
      </c>
      <c r="AH106" s="61" t="s">
        <v>607</v>
      </c>
      <c r="AI106" s="4">
        <v>300</v>
      </c>
      <c r="AJ106" s="4">
        <v>1</v>
      </c>
      <c r="AK106" s="4" t="s">
        <v>148</v>
      </c>
      <c r="AL106" s="4" t="s">
        <v>635</v>
      </c>
      <c r="AM106" s="4" t="s">
        <v>150</v>
      </c>
      <c r="AN106" s="4" t="s">
        <v>636</v>
      </c>
      <c r="AO106" s="4" t="s">
        <v>152</v>
      </c>
      <c r="AP106" s="4" t="s">
        <v>637</v>
      </c>
    </row>
    <row r="107" spans="1:42">
      <c r="A107" s="49">
        <v>100010107</v>
      </c>
      <c r="B107" s="49">
        <v>1</v>
      </c>
      <c r="C107" s="49" t="s">
        <v>53</v>
      </c>
      <c r="F107" s="4">
        <v>1000101</v>
      </c>
      <c r="G107" s="4">
        <v>7</v>
      </c>
      <c r="I107" s="4" t="s">
        <v>638</v>
      </c>
      <c r="M107" s="4">
        <v>300</v>
      </c>
      <c r="N107" s="37" t="s">
        <v>55</v>
      </c>
      <c r="O107" s="38">
        <v>11021</v>
      </c>
      <c r="P107" s="38" t="s">
        <v>155</v>
      </c>
      <c r="T107" t="b">
        <v>0</v>
      </c>
      <c r="V107" s="39">
        <v>73007</v>
      </c>
      <c r="AA107" s="4" t="s">
        <v>639</v>
      </c>
      <c r="AB107" s="4" t="s">
        <v>606</v>
      </c>
      <c r="AC107" s="4">
        <v>12001</v>
      </c>
      <c r="AD107" s="4" t="s">
        <v>157</v>
      </c>
      <c r="AE107" s="4">
        <v>102100</v>
      </c>
      <c r="AF107" s="4">
        <v>11021</v>
      </c>
      <c r="AG107" s="40">
        <v>1000</v>
      </c>
      <c r="AH107" s="61" t="s">
        <v>607</v>
      </c>
      <c r="AI107" s="4">
        <v>300</v>
      </c>
      <c r="AJ107" s="4">
        <v>1</v>
      </c>
      <c r="AK107" s="4" t="s">
        <v>158</v>
      </c>
      <c r="AL107" s="4" t="s">
        <v>640</v>
      </c>
      <c r="AM107" s="4" t="s">
        <v>160</v>
      </c>
      <c r="AN107" s="4" t="s">
        <v>641</v>
      </c>
      <c r="AO107" s="4" t="s">
        <v>162</v>
      </c>
      <c r="AP107" s="4" t="s">
        <v>642</v>
      </c>
    </row>
    <row r="108" spans="1:42">
      <c r="A108" s="49">
        <v>100010108</v>
      </c>
      <c r="B108" s="49">
        <v>1</v>
      </c>
      <c r="C108" s="49" t="s">
        <v>53</v>
      </c>
      <c r="F108" s="4">
        <v>1000101</v>
      </c>
      <c r="G108" s="4">
        <v>8</v>
      </c>
      <c r="I108" s="4" t="s">
        <v>643</v>
      </c>
      <c r="M108" s="4">
        <v>300</v>
      </c>
      <c r="N108" s="37" t="s">
        <v>55</v>
      </c>
      <c r="O108" s="38">
        <v>11022</v>
      </c>
      <c r="P108" s="38" t="s">
        <v>165</v>
      </c>
      <c r="T108" t="b">
        <v>0</v>
      </c>
      <c r="V108" s="39">
        <v>73008</v>
      </c>
      <c r="AA108" s="4" t="s">
        <v>644</v>
      </c>
      <c r="AB108" s="4" t="s">
        <v>606</v>
      </c>
      <c r="AC108" s="4">
        <v>12001</v>
      </c>
      <c r="AD108" s="4" t="s">
        <v>167</v>
      </c>
      <c r="AE108" s="4">
        <v>102200</v>
      </c>
      <c r="AF108" s="4">
        <v>11022</v>
      </c>
      <c r="AG108" s="40">
        <v>1000</v>
      </c>
      <c r="AH108" s="61" t="s">
        <v>607</v>
      </c>
      <c r="AI108" s="4">
        <v>300</v>
      </c>
      <c r="AJ108" s="4">
        <v>1</v>
      </c>
      <c r="AK108" s="4" t="s">
        <v>168</v>
      </c>
      <c r="AL108" s="4" t="s">
        <v>645</v>
      </c>
      <c r="AM108" s="4" t="s">
        <v>170</v>
      </c>
      <c r="AN108" s="4" t="s">
        <v>646</v>
      </c>
      <c r="AO108" s="4" t="s">
        <v>168</v>
      </c>
      <c r="AP108" s="4" t="s">
        <v>647</v>
      </c>
    </row>
    <row r="109" spans="1:42">
      <c r="A109" s="49">
        <v>100010109</v>
      </c>
      <c r="B109" s="49">
        <v>1</v>
      </c>
      <c r="C109" s="49" t="s">
        <v>53</v>
      </c>
      <c r="F109" s="4">
        <v>1000101</v>
      </c>
      <c r="G109" s="4">
        <v>9</v>
      </c>
      <c r="I109" s="4" t="s">
        <v>648</v>
      </c>
      <c r="M109" s="4">
        <v>300</v>
      </c>
      <c r="N109" s="37" t="s">
        <v>55</v>
      </c>
      <c r="O109" s="38">
        <v>11023</v>
      </c>
      <c r="P109" s="38" t="s">
        <v>174</v>
      </c>
      <c r="T109" t="b">
        <v>0</v>
      </c>
      <c r="V109" s="39">
        <v>73009</v>
      </c>
      <c r="AA109" s="4" t="s">
        <v>649</v>
      </c>
      <c r="AB109" s="4" t="s">
        <v>606</v>
      </c>
      <c r="AC109" s="4">
        <v>12001</v>
      </c>
      <c r="AD109" s="4" t="s">
        <v>176</v>
      </c>
      <c r="AE109" s="4">
        <v>102300</v>
      </c>
      <c r="AF109" s="4">
        <v>11023</v>
      </c>
      <c r="AG109" s="40">
        <v>1000</v>
      </c>
      <c r="AH109" s="61" t="s">
        <v>607</v>
      </c>
      <c r="AI109" s="4">
        <v>300</v>
      </c>
      <c r="AJ109" s="4">
        <v>1</v>
      </c>
      <c r="AK109" s="4" t="s">
        <v>177</v>
      </c>
      <c r="AL109" s="4" t="s">
        <v>650</v>
      </c>
      <c r="AM109" s="4" t="s">
        <v>179</v>
      </c>
      <c r="AN109" s="4" t="s">
        <v>651</v>
      </c>
      <c r="AO109" s="4" t="s">
        <v>181</v>
      </c>
      <c r="AP109" s="4" t="s">
        <v>652</v>
      </c>
    </row>
    <row r="110" spans="1:42">
      <c r="A110" s="49">
        <v>100010110</v>
      </c>
      <c r="B110" s="49">
        <v>1</v>
      </c>
      <c r="C110" s="49" t="s">
        <v>53</v>
      </c>
      <c r="F110" s="4">
        <v>1000101</v>
      </c>
      <c r="G110" s="4">
        <v>10</v>
      </c>
      <c r="I110" s="4" t="s">
        <v>653</v>
      </c>
      <c r="M110" s="4">
        <v>300</v>
      </c>
      <c r="N110" s="37" t="s">
        <v>55</v>
      </c>
      <c r="O110" s="38">
        <v>11024</v>
      </c>
      <c r="P110" s="38" t="s">
        <v>184</v>
      </c>
      <c r="T110" t="b">
        <v>0</v>
      </c>
      <c r="V110" s="39">
        <v>73010</v>
      </c>
      <c r="AA110" s="4" t="s">
        <v>654</v>
      </c>
      <c r="AB110" s="4" t="s">
        <v>606</v>
      </c>
      <c r="AC110" s="4">
        <v>12001</v>
      </c>
      <c r="AD110" s="4" t="s">
        <v>186</v>
      </c>
      <c r="AE110" s="4">
        <v>102400</v>
      </c>
      <c r="AF110" s="4">
        <v>11024</v>
      </c>
      <c r="AG110" s="40">
        <v>1000</v>
      </c>
      <c r="AH110" s="61" t="s">
        <v>607</v>
      </c>
      <c r="AI110" s="4">
        <v>300</v>
      </c>
      <c r="AJ110" s="4">
        <v>1</v>
      </c>
      <c r="AK110" s="4" t="s">
        <v>187</v>
      </c>
      <c r="AL110" s="4" t="s">
        <v>655</v>
      </c>
      <c r="AM110" s="4" t="s">
        <v>189</v>
      </c>
      <c r="AN110" s="4" t="s">
        <v>656</v>
      </c>
      <c r="AO110" s="4" t="s">
        <v>191</v>
      </c>
      <c r="AP110" s="4" t="s">
        <v>657</v>
      </c>
    </row>
    <row r="111" spans="1:42">
      <c r="A111" s="12">
        <v>100020001</v>
      </c>
      <c r="B111" s="12">
        <v>2</v>
      </c>
      <c r="C111" s="12" t="s">
        <v>658</v>
      </c>
      <c r="D111" s="12"/>
      <c r="E111" s="12"/>
      <c r="F111" s="12"/>
      <c r="G111" s="12"/>
      <c r="H111" s="12">
        <v>100020002</v>
      </c>
      <c r="I111" s="12" t="s">
        <v>659</v>
      </c>
      <c r="J111" s="12"/>
      <c r="K111" s="12"/>
      <c r="L111" s="12" t="s">
        <v>660</v>
      </c>
      <c r="M111" s="12"/>
      <c r="N111" s="13"/>
      <c r="O111" s="10">
        <v>3401</v>
      </c>
      <c r="P111" s="10"/>
      <c r="Q111" s="8"/>
      <c r="R111" s="6"/>
      <c r="S111" s="6"/>
      <c r="T111" t="b">
        <v>0</v>
      </c>
      <c r="U111" s="6"/>
      <c r="V111" s="6">
        <v>74001</v>
      </c>
      <c r="W111" s="6"/>
      <c r="X111" s="6"/>
      <c r="Y111" s="6" t="str">
        <f>IF(O111="",85001,"")</f>
        <v/>
      </c>
      <c r="Z111" s="6"/>
      <c r="AA111" s="4" t="s">
        <v>661</v>
      </c>
    </row>
    <row r="112" spans="1:42">
      <c r="A112" s="12">
        <v>100020002</v>
      </c>
      <c r="B112" s="12">
        <v>2</v>
      </c>
      <c r="C112" s="12" t="s">
        <v>658</v>
      </c>
      <c r="D112" s="12"/>
      <c r="E112" s="12"/>
      <c r="F112" s="12"/>
      <c r="G112" s="12"/>
      <c r="H112" s="12">
        <v>100020003</v>
      </c>
      <c r="I112" s="12" t="s">
        <v>662</v>
      </c>
      <c r="J112" s="12"/>
      <c r="K112" s="12"/>
      <c r="L112" s="12" t="s">
        <v>663</v>
      </c>
      <c r="M112" s="12"/>
      <c r="N112" s="13"/>
      <c r="O112" s="10">
        <v>4013</v>
      </c>
      <c r="P112" s="10"/>
      <c r="Q112" s="8"/>
      <c r="R112" s="6"/>
      <c r="S112" s="6"/>
      <c r="T112" t="b">
        <v>0</v>
      </c>
      <c r="U112" s="6"/>
      <c r="V112" s="6">
        <v>74002</v>
      </c>
      <c r="W112" s="6"/>
      <c r="X112" s="6"/>
      <c r="Y112" s="6" t="str">
        <f t="shared" ref="Y112:Y143" si="0">IF(O112="",85001,"")</f>
        <v/>
      </c>
      <c r="Z112" s="6"/>
      <c r="AA112" s="4" t="s">
        <v>664</v>
      </c>
    </row>
    <row r="113" spans="1:27">
      <c r="A113" s="12">
        <v>100020003</v>
      </c>
      <c r="B113" s="12">
        <v>2</v>
      </c>
      <c r="C113" s="12" t="s">
        <v>658</v>
      </c>
      <c r="D113" s="12"/>
      <c r="E113" s="12"/>
      <c r="F113" s="12"/>
      <c r="G113" s="12"/>
      <c r="H113" s="12">
        <v>100020004</v>
      </c>
      <c r="I113" s="12" t="s">
        <v>665</v>
      </c>
      <c r="J113" s="12"/>
      <c r="K113" s="12"/>
      <c r="L113" s="12" t="s">
        <v>666</v>
      </c>
      <c r="M113" s="12"/>
      <c r="N113" s="13"/>
      <c r="O113" s="10">
        <v>4011</v>
      </c>
      <c r="P113" s="10"/>
      <c r="Q113" s="8"/>
      <c r="R113" s="6"/>
      <c r="S113" s="6"/>
      <c r="T113" t="b">
        <v>0</v>
      </c>
      <c r="U113" s="6"/>
      <c r="V113" s="6">
        <v>74003</v>
      </c>
      <c r="W113" s="6"/>
      <c r="X113" s="6"/>
      <c r="Y113" s="6" t="str">
        <f t="shared" si="0"/>
        <v/>
      </c>
      <c r="Z113" s="6"/>
      <c r="AA113" s="4" t="s">
        <v>667</v>
      </c>
    </row>
    <row r="114" spans="1:27">
      <c r="A114" s="12">
        <v>100020004</v>
      </c>
      <c r="B114" s="12">
        <v>2</v>
      </c>
      <c r="C114" s="12" t="s">
        <v>658</v>
      </c>
      <c r="D114" s="12"/>
      <c r="E114" s="12"/>
      <c r="F114" s="12"/>
      <c r="G114" s="12"/>
      <c r="H114" s="12">
        <v>100020005</v>
      </c>
      <c r="I114" s="12" t="s">
        <v>668</v>
      </c>
      <c r="J114" s="12"/>
      <c r="K114" s="12"/>
      <c r="L114" s="12" t="s">
        <v>669</v>
      </c>
      <c r="M114" s="12"/>
      <c r="N114" s="13"/>
      <c r="O114" s="10">
        <v>4012</v>
      </c>
      <c r="P114" s="10"/>
      <c r="Q114" s="8"/>
      <c r="R114" s="6"/>
      <c r="S114" s="6"/>
      <c r="T114" t="b">
        <v>0</v>
      </c>
      <c r="U114" s="6"/>
      <c r="V114" s="6">
        <v>74004</v>
      </c>
      <c r="W114" s="6"/>
      <c r="X114" s="6"/>
      <c r="Y114" s="6" t="str">
        <f t="shared" si="0"/>
        <v/>
      </c>
      <c r="Z114" s="6">
        <v>103900</v>
      </c>
      <c r="AA114" s="4" t="s">
        <v>670</v>
      </c>
    </row>
    <row r="115" spans="1:27">
      <c r="A115" s="12">
        <v>100020005</v>
      </c>
      <c r="B115" s="12">
        <v>2</v>
      </c>
      <c r="C115" s="12" t="s">
        <v>658</v>
      </c>
      <c r="D115" s="12"/>
      <c r="E115" s="12"/>
      <c r="F115" s="12"/>
      <c r="G115" s="12"/>
      <c r="H115" s="12">
        <v>100020006</v>
      </c>
      <c r="I115" s="12" t="s">
        <v>671</v>
      </c>
      <c r="J115" s="12"/>
      <c r="K115" s="12"/>
      <c r="L115" s="12" t="s">
        <v>672</v>
      </c>
      <c r="M115" s="12"/>
      <c r="N115" s="13"/>
      <c r="O115" s="10">
        <v>4044</v>
      </c>
      <c r="P115" s="10"/>
      <c r="Q115" s="8"/>
      <c r="R115" s="6"/>
      <c r="S115" s="6"/>
      <c r="T115" t="b">
        <v>0</v>
      </c>
      <c r="U115" s="6"/>
      <c r="V115" s="6">
        <v>74005</v>
      </c>
      <c r="W115" s="6"/>
      <c r="X115" s="6"/>
      <c r="Y115" s="6" t="str">
        <f t="shared" si="0"/>
        <v/>
      </c>
      <c r="Z115" s="6"/>
      <c r="AA115" s="4" t="s">
        <v>673</v>
      </c>
    </row>
    <row r="116" spans="1:27">
      <c r="A116" s="12">
        <v>100020006</v>
      </c>
      <c r="B116" s="12">
        <v>2</v>
      </c>
      <c r="C116" s="12" t="s">
        <v>658</v>
      </c>
      <c r="D116" s="12"/>
      <c r="E116" s="12"/>
      <c r="F116" s="12"/>
      <c r="G116" s="12"/>
      <c r="H116" s="12">
        <v>100020007</v>
      </c>
      <c r="I116" s="12" t="s">
        <v>674</v>
      </c>
      <c r="J116" s="12">
        <v>5011</v>
      </c>
      <c r="K116" s="12" t="s">
        <v>675</v>
      </c>
      <c r="L116" s="12" t="s">
        <v>676</v>
      </c>
      <c r="M116" s="12"/>
      <c r="N116" s="13"/>
      <c r="O116" s="10">
        <v>4013</v>
      </c>
      <c r="P116" s="10"/>
      <c r="Q116" s="8"/>
      <c r="R116" s="6"/>
      <c r="S116" s="6"/>
      <c r="T116" t="b">
        <v>0</v>
      </c>
      <c r="U116" s="6"/>
      <c r="V116" s="6">
        <v>74006</v>
      </c>
      <c r="W116" s="6"/>
      <c r="X116" s="6"/>
      <c r="Y116" s="6" t="str">
        <f t="shared" si="0"/>
        <v/>
      </c>
      <c r="Z116" s="6"/>
      <c r="AA116" s="4" t="s">
        <v>677</v>
      </c>
    </row>
    <row r="117" spans="1:27">
      <c r="A117" s="12">
        <v>100020007</v>
      </c>
      <c r="B117" s="12">
        <v>2</v>
      </c>
      <c r="C117" s="12" t="s">
        <v>658</v>
      </c>
      <c r="D117" s="12"/>
      <c r="E117" s="12"/>
      <c r="F117" s="12"/>
      <c r="G117" s="12"/>
      <c r="H117" s="12">
        <v>100020008</v>
      </c>
      <c r="I117" s="12" t="s">
        <v>678</v>
      </c>
      <c r="J117" s="12"/>
      <c r="K117" s="12"/>
      <c r="L117" s="12" t="s">
        <v>679</v>
      </c>
      <c r="M117" s="12"/>
      <c r="N117" s="13"/>
      <c r="O117" s="10">
        <v>4011</v>
      </c>
      <c r="P117" s="10"/>
      <c r="Q117" s="8"/>
      <c r="R117" s="6"/>
      <c r="S117" s="6"/>
      <c r="T117" t="b">
        <v>0</v>
      </c>
      <c r="U117" s="6"/>
      <c r="V117" s="6">
        <v>74007</v>
      </c>
      <c r="W117" s="6"/>
      <c r="X117" s="6"/>
      <c r="Y117" s="6" t="str">
        <f t="shared" si="0"/>
        <v/>
      </c>
      <c r="Z117" s="6"/>
      <c r="AA117" s="4" t="s">
        <v>680</v>
      </c>
    </row>
    <row r="118" spans="1:27">
      <c r="A118" s="12">
        <v>100020008</v>
      </c>
      <c r="B118" s="12">
        <v>2</v>
      </c>
      <c r="C118" s="12" t="s">
        <v>658</v>
      </c>
      <c r="D118" s="12"/>
      <c r="E118" s="12"/>
      <c r="F118" s="12"/>
      <c r="G118" s="12"/>
      <c r="H118" s="12">
        <v>100020009</v>
      </c>
      <c r="I118" s="12" t="s">
        <v>681</v>
      </c>
      <c r="J118" s="12"/>
      <c r="K118" s="12"/>
      <c r="L118" s="12" t="s">
        <v>682</v>
      </c>
      <c r="M118" s="12"/>
      <c r="N118" s="13"/>
      <c r="O118" s="10">
        <v>4012</v>
      </c>
      <c r="P118" s="10"/>
      <c r="Q118" s="8"/>
      <c r="R118" s="6"/>
      <c r="S118" s="6"/>
      <c r="T118" t="b">
        <v>0</v>
      </c>
      <c r="U118" s="6"/>
      <c r="V118" s="6">
        <v>74008</v>
      </c>
      <c r="W118" s="6"/>
      <c r="X118" s="6"/>
      <c r="Y118" s="6" t="str">
        <f t="shared" si="0"/>
        <v/>
      </c>
      <c r="Z118" s="6"/>
      <c r="AA118" s="4" t="s">
        <v>683</v>
      </c>
    </row>
    <row r="119" spans="1:27">
      <c r="A119" s="12">
        <v>100020009</v>
      </c>
      <c r="B119" s="12">
        <v>2</v>
      </c>
      <c r="C119" s="12" t="s">
        <v>658</v>
      </c>
      <c r="D119" s="12"/>
      <c r="E119" s="12"/>
      <c r="F119" s="12"/>
      <c r="G119" s="12"/>
      <c r="H119" s="12">
        <v>100020010</v>
      </c>
      <c r="I119" s="12" t="s">
        <v>684</v>
      </c>
      <c r="J119" s="12"/>
      <c r="K119" s="12"/>
      <c r="L119" s="12" t="s">
        <v>679</v>
      </c>
      <c r="M119" s="12"/>
      <c r="N119" s="13"/>
      <c r="O119" s="10">
        <v>4011</v>
      </c>
      <c r="P119" s="10"/>
      <c r="Q119" s="8"/>
      <c r="R119" s="6"/>
      <c r="S119" s="6"/>
      <c r="T119" t="b">
        <v>0</v>
      </c>
      <c r="U119" s="6"/>
      <c r="V119" s="6">
        <v>74009</v>
      </c>
      <c r="W119" s="6"/>
      <c r="X119" s="6"/>
      <c r="Y119" s="6" t="str">
        <f t="shared" si="0"/>
        <v/>
      </c>
      <c r="Z119" s="6"/>
      <c r="AA119" s="4" t="s">
        <v>685</v>
      </c>
    </row>
    <row r="120" spans="1:27">
      <c r="A120" s="12">
        <v>100020010</v>
      </c>
      <c r="B120" s="12">
        <v>2</v>
      </c>
      <c r="C120" s="12" t="s">
        <v>658</v>
      </c>
      <c r="D120" s="12"/>
      <c r="E120" s="12"/>
      <c r="F120" s="12"/>
      <c r="G120" s="12"/>
      <c r="H120" s="12">
        <v>100020011</v>
      </c>
      <c r="I120" s="12" t="s">
        <v>686</v>
      </c>
      <c r="J120" s="12"/>
      <c r="K120" s="12"/>
      <c r="L120" s="12" t="s">
        <v>687</v>
      </c>
      <c r="M120" s="12"/>
      <c r="N120" s="13"/>
      <c r="O120" s="10">
        <v>3501</v>
      </c>
      <c r="P120" s="10"/>
      <c r="Q120" s="8"/>
      <c r="R120" s="6"/>
      <c r="S120" s="6"/>
      <c r="T120" t="b">
        <v>0</v>
      </c>
      <c r="U120" s="6"/>
      <c r="V120" s="6">
        <v>74010</v>
      </c>
      <c r="W120" s="6"/>
      <c r="X120" s="6"/>
      <c r="Y120" s="6" t="str">
        <f t="shared" si="0"/>
        <v/>
      </c>
      <c r="Z120" s="6"/>
      <c r="AA120" s="4" t="s">
        <v>688</v>
      </c>
    </row>
    <row r="121" spans="1:27">
      <c r="A121" s="12">
        <v>100020011</v>
      </c>
      <c r="B121" s="12">
        <v>2</v>
      </c>
      <c r="C121" s="12" t="s">
        <v>658</v>
      </c>
      <c r="D121" s="12"/>
      <c r="E121" s="12"/>
      <c r="F121" s="12"/>
      <c r="G121" s="12"/>
      <c r="H121" s="12">
        <v>100020012</v>
      </c>
      <c r="I121" s="12" t="s">
        <v>689</v>
      </c>
      <c r="J121" s="12"/>
      <c r="K121" s="12"/>
      <c r="L121" s="12" t="s">
        <v>690</v>
      </c>
      <c r="M121" s="12"/>
      <c r="N121" s="13"/>
      <c r="O121" s="10">
        <v>4041</v>
      </c>
      <c r="P121" s="10"/>
      <c r="Q121" s="8"/>
      <c r="R121" s="6"/>
      <c r="S121" s="6"/>
      <c r="T121" t="b">
        <v>0</v>
      </c>
      <c r="U121" s="6"/>
      <c r="V121" s="6">
        <v>74011</v>
      </c>
      <c r="W121" s="6"/>
      <c r="X121" s="6"/>
      <c r="Y121" s="6" t="str">
        <f t="shared" si="0"/>
        <v/>
      </c>
      <c r="Z121" s="6"/>
      <c r="AA121" s="4" t="s">
        <v>691</v>
      </c>
    </row>
    <row r="122" spans="1:27">
      <c r="A122" s="12">
        <v>100020012</v>
      </c>
      <c r="B122" s="12">
        <v>2</v>
      </c>
      <c r="C122" s="12" t="s">
        <v>658</v>
      </c>
      <c r="D122" s="12"/>
      <c r="E122" s="12"/>
      <c r="F122" s="12"/>
      <c r="G122" s="12"/>
      <c r="H122" s="12">
        <v>100020013</v>
      </c>
      <c r="I122" s="12" t="s">
        <v>692</v>
      </c>
      <c r="J122" s="12"/>
      <c r="K122" s="12"/>
      <c r="L122" s="12" t="s">
        <v>693</v>
      </c>
      <c r="M122" s="12"/>
      <c r="N122" s="13"/>
      <c r="O122" s="10">
        <v>4011</v>
      </c>
      <c r="P122" s="10"/>
      <c r="Q122" s="8"/>
      <c r="R122" s="6"/>
      <c r="S122" s="6"/>
      <c r="T122" t="b">
        <v>0</v>
      </c>
      <c r="U122" s="6"/>
      <c r="V122" s="6">
        <v>74012</v>
      </c>
      <c r="W122" s="6"/>
      <c r="X122" s="6"/>
      <c r="Y122" s="6" t="str">
        <f t="shared" si="0"/>
        <v/>
      </c>
      <c r="Z122" s="6"/>
      <c r="AA122" s="4" t="s">
        <v>694</v>
      </c>
    </row>
    <row r="123" spans="1:27">
      <c r="A123" s="12">
        <v>100020013</v>
      </c>
      <c r="B123" s="12">
        <v>2</v>
      </c>
      <c r="C123" s="12" t="s">
        <v>658</v>
      </c>
      <c r="D123" s="12"/>
      <c r="E123" s="12"/>
      <c r="F123" s="12"/>
      <c r="G123" s="12"/>
      <c r="H123" s="12">
        <v>100020014</v>
      </c>
      <c r="I123" s="12" t="s">
        <v>695</v>
      </c>
      <c r="J123" s="12"/>
      <c r="K123" s="12"/>
      <c r="L123" s="12" t="s">
        <v>696</v>
      </c>
      <c r="M123" s="12"/>
      <c r="N123" s="13"/>
      <c r="O123" s="10">
        <v>4044</v>
      </c>
      <c r="P123" s="10"/>
      <c r="Q123" s="8"/>
      <c r="R123" s="6"/>
      <c r="S123" s="6"/>
      <c r="T123" t="b">
        <v>0</v>
      </c>
      <c r="U123" s="6"/>
      <c r="V123" s="6">
        <v>74013</v>
      </c>
      <c r="W123" s="6"/>
      <c r="X123" s="6"/>
      <c r="Y123" s="6" t="str">
        <f t="shared" si="0"/>
        <v/>
      </c>
      <c r="Z123" s="6"/>
      <c r="AA123" s="4" t="s">
        <v>697</v>
      </c>
    </row>
    <row r="124" spans="1:27">
      <c r="A124" s="12">
        <v>100020014</v>
      </c>
      <c r="B124" s="12">
        <v>2</v>
      </c>
      <c r="C124" s="12" t="s">
        <v>658</v>
      </c>
      <c r="D124" s="12"/>
      <c r="E124" s="12"/>
      <c r="F124" s="12"/>
      <c r="G124" s="12"/>
      <c r="H124" s="12">
        <v>100020015</v>
      </c>
      <c r="I124" s="12" t="s">
        <v>698</v>
      </c>
      <c r="J124" s="12">
        <v>5002</v>
      </c>
      <c r="K124" s="12" t="s">
        <v>699</v>
      </c>
      <c r="L124" s="12" t="s">
        <v>700</v>
      </c>
      <c r="M124" s="12"/>
      <c r="N124" s="13"/>
      <c r="O124" s="10">
        <v>4011</v>
      </c>
      <c r="P124" s="10"/>
      <c r="Q124" s="8"/>
      <c r="R124" s="6"/>
      <c r="S124" s="6"/>
      <c r="T124" t="b">
        <v>0</v>
      </c>
      <c r="U124" s="6"/>
      <c r="V124" s="6">
        <v>74014</v>
      </c>
      <c r="W124" s="6"/>
      <c r="X124" s="6"/>
      <c r="Y124" s="6" t="str">
        <f t="shared" si="0"/>
        <v/>
      </c>
      <c r="Z124" s="6"/>
      <c r="AA124" s="4" t="s">
        <v>701</v>
      </c>
    </row>
    <row r="125" spans="1:27">
      <c r="A125" s="12">
        <v>100020015</v>
      </c>
      <c r="B125" s="12">
        <v>2</v>
      </c>
      <c r="C125" s="12" t="s">
        <v>658</v>
      </c>
      <c r="D125" s="12"/>
      <c r="E125" s="12"/>
      <c r="F125" s="12"/>
      <c r="G125" s="12"/>
      <c r="H125" s="12">
        <v>100020016</v>
      </c>
      <c r="I125" s="12" t="s">
        <v>702</v>
      </c>
      <c r="J125" s="12"/>
      <c r="K125" s="12"/>
      <c r="L125" s="12" t="s">
        <v>703</v>
      </c>
      <c r="M125" s="12"/>
      <c r="N125" s="13"/>
      <c r="O125" s="10">
        <v>3017</v>
      </c>
      <c r="P125" s="10"/>
      <c r="Q125" s="8"/>
      <c r="R125" s="6"/>
      <c r="S125" s="6"/>
      <c r="T125" t="b">
        <v>0</v>
      </c>
      <c r="U125" s="6"/>
      <c r="V125" s="6">
        <v>74015</v>
      </c>
      <c r="W125" s="6"/>
      <c r="X125" s="6"/>
      <c r="Y125" s="6" t="str">
        <f t="shared" si="0"/>
        <v/>
      </c>
      <c r="Z125" s="6"/>
      <c r="AA125" s="4" t="s">
        <v>704</v>
      </c>
    </row>
    <row r="126" spans="1:27">
      <c r="A126" s="12">
        <v>100020016</v>
      </c>
      <c r="B126" s="12">
        <v>2</v>
      </c>
      <c r="C126" s="12" t="s">
        <v>658</v>
      </c>
      <c r="D126" s="12"/>
      <c r="E126" s="12"/>
      <c r="F126" s="12"/>
      <c r="G126" s="12"/>
      <c r="H126" s="12">
        <v>100020017</v>
      </c>
      <c r="I126" s="12" t="s">
        <v>705</v>
      </c>
      <c r="J126" s="12"/>
      <c r="K126" s="12"/>
      <c r="L126" s="12" t="s">
        <v>700</v>
      </c>
      <c r="M126" s="12"/>
      <c r="N126" s="13"/>
      <c r="O126" s="10">
        <v>3121</v>
      </c>
      <c r="P126" s="10"/>
      <c r="Q126" s="8"/>
      <c r="R126" s="6"/>
      <c r="S126" s="6"/>
      <c r="T126" t="b">
        <v>0</v>
      </c>
      <c r="U126" s="6"/>
      <c r="V126" s="6">
        <v>74016</v>
      </c>
      <c r="W126" s="6"/>
      <c r="X126" s="6"/>
      <c r="Y126" s="6" t="str">
        <f t="shared" si="0"/>
        <v/>
      </c>
      <c r="Z126" s="6"/>
      <c r="AA126" s="4" t="s">
        <v>706</v>
      </c>
    </row>
    <row r="127" spans="1:27">
      <c r="A127" s="12">
        <v>100020017</v>
      </c>
      <c r="B127" s="12">
        <v>2</v>
      </c>
      <c r="C127" s="12" t="s">
        <v>658</v>
      </c>
      <c r="D127" s="12"/>
      <c r="E127" s="12"/>
      <c r="F127" s="12"/>
      <c r="G127" s="12"/>
      <c r="H127" s="12">
        <v>100020018</v>
      </c>
      <c r="I127" s="12" t="s">
        <v>707</v>
      </c>
      <c r="J127" s="12"/>
      <c r="K127" s="12"/>
      <c r="L127" s="12" t="s">
        <v>700</v>
      </c>
      <c r="M127" s="12"/>
      <c r="N127" s="13"/>
      <c r="O127" s="10">
        <v>4011</v>
      </c>
      <c r="P127" s="10"/>
      <c r="Q127" s="8"/>
      <c r="R127" s="6"/>
      <c r="S127" s="6"/>
      <c r="T127" t="b">
        <v>0</v>
      </c>
      <c r="U127" s="6"/>
      <c r="V127" s="6">
        <v>74017</v>
      </c>
      <c r="W127" s="6"/>
      <c r="X127" s="6"/>
      <c r="Y127" s="6" t="str">
        <f t="shared" si="0"/>
        <v/>
      </c>
      <c r="Z127" s="6"/>
      <c r="AA127" s="4" t="s">
        <v>708</v>
      </c>
    </row>
    <row r="128" spans="1:27">
      <c r="A128" s="12">
        <v>100020018</v>
      </c>
      <c r="B128" s="12">
        <v>2</v>
      </c>
      <c r="C128" s="12" t="s">
        <v>658</v>
      </c>
      <c r="D128" s="12"/>
      <c r="E128" s="12"/>
      <c r="F128" s="12"/>
      <c r="G128" s="12"/>
      <c r="H128" s="12">
        <v>100020019</v>
      </c>
      <c r="I128" s="12" t="s">
        <v>709</v>
      </c>
      <c r="J128" s="12"/>
      <c r="K128" s="12"/>
      <c r="L128" s="12" t="s">
        <v>710</v>
      </c>
      <c r="M128" s="12"/>
      <c r="N128" s="13"/>
      <c r="O128" s="10">
        <v>4012</v>
      </c>
      <c r="P128" s="10"/>
      <c r="Q128" s="8"/>
      <c r="R128" s="6"/>
      <c r="S128" s="6"/>
      <c r="T128" t="b">
        <v>0</v>
      </c>
      <c r="U128" s="6"/>
      <c r="V128" s="6">
        <v>74018</v>
      </c>
      <c r="W128" s="6"/>
      <c r="X128" s="6"/>
      <c r="Y128" s="6" t="str">
        <f t="shared" si="0"/>
        <v/>
      </c>
      <c r="Z128" s="6">
        <v>103900</v>
      </c>
      <c r="AA128" s="4" t="s">
        <v>711</v>
      </c>
    </row>
    <row r="129" spans="1:27">
      <c r="A129" s="12">
        <v>100020019</v>
      </c>
      <c r="B129" s="12">
        <v>2</v>
      </c>
      <c r="C129" s="12" t="s">
        <v>658</v>
      </c>
      <c r="D129" s="12"/>
      <c r="E129" s="12"/>
      <c r="F129" s="12"/>
      <c r="G129" s="12"/>
      <c r="H129" s="12">
        <v>100020020</v>
      </c>
      <c r="I129" s="12" t="s">
        <v>712</v>
      </c>
      <c r="J129" s="12"/>
      <c r="K129" s="12"/>
      <c r="L129" s="12" t="s">
        <v>700</v>
      </c>
      <c r="M129" s="12"/>
      <c r="N129" s="13"/>
      <c r="O129" s="10">
        <v>4011</v>
      </c>
      <c r="P129" s="10"/>
      <c r="Q129" s="8"/>
      <c r="R129" s="6"/>
      <c r="S129" s="6"/>
      <c r="T129" t="b">
        <v>0</v>
      </c>
      <c r="U129" s="6"/>
      <c r="V129" s="6">
        <v>74019</v>
      </c>
      <c r="W129" s="6"/>
      <c r="X129" s="6"/>
      <c r="Y129" s="6" t="str">
        <f t="shared" si="0"/>
        <v/>
      </c>
      <c r="Z129" s="6"/>
      <c r="AA129" s="4" t="s">
        <v>713</v>
      </c>
    </row>
    <row r="130" spans="1:27">
      <c r="A130" s="12">
        <v>100020020</v>
      </c>
      <c r="B130" s="12">
        <v>2</v>
      </c>
      <c r="C130" s="12" t="s">
        <v>658</v>
      </c>
      <c r="D130" s="12"/>
      <c r="E130" s="12"/>
      <c r="F130" s="12"/>
      <c r="G130" s="12"/>
      <c r="H130" s="12">
        <v>100020021</v>
      </c>
      <c r="I130" s="12" t="s">
        <v>714</v>
      </c>
      <c r="J130" s="12"/>
      <c r="K130" s="12"/>
      <c r="L130" s="12" t="s">
        <v>715</v>
      </c>
      <c r="M130" s="12"/>
      <c r="N130" s="13"/>
      <c r="O130" s="10">
        <v>4044</v>
      </c>
      <c r="P130" s="10"/>
      <c r="Q130" s="8"/>
      <c r="R130" s="6"/>
      <c r="S130" s="6"/>
      <c r="T130" t="b">
        <v>0</v>
      </c>
      <c r="U130" s="6"/>
      <c r="V130" s="6">
        <v>74020</v>
      </c>
      <c r="W130" s="6"/>
      <c r="X130" s="6"/>
      <c r="Y130" s="6" t="str">
        <f t="shared" si="0"/>
        <v/>
      </c>
      <c r="Z130" s="6"/>
      <c r="AA130" s="4" t="s">
        <v>716</v>
      </c>
    </row>
    <row r="131" spans="1:27">
      <c r="A131" s="12">
        <v>100020021</v>
      </c>
      <c r="B131" s="12">
        <v>2</v>
      </c>
      <c r="C131" s="12" t="s">
        <v>658</v>
      </c>
      <c r="D131" s="12"/>
      <c r="E131" s="12"/>
      <c r="F131" s="12"/>
      <c r="G131" s="12"/>
      <c r="H131" s="12">
        <v>100020022</v>
      </c>
      <c r="I131" s="12" t="s">
        <v>707</v>
      </c>
      <c r="J131" s="12"/>
      <c r="K131" s="12"/>
      <c r="L131" s="12" t="s">
        <v>700</v>
      </c>
      <c r="M131" s="12"/>
      <c r="N131" s="13"/>
      <c r="O131" s="10">
        <v>4011</v>
      </c>
      <c r="P131" s="10"/>
      <c r="Q131" s="8"/>
      <c r="R131" s="6"/>
      <c r="S131" s="6"/>
      <c r="T131" t="b">
        <v>0</v>
      </c>
      <c r="U131" s="6"/>
      <c r="V131" s="6">
        <v>74021</v>
      </c>
      <c r="W131" s="6"/>
      <c r="X131" s="6"/>
      <c r="Y131" s="6" t="str">
        <f t="shared" si="0"/>
        <v/>
      </c>
      <c r="Z131" s="6"/>
      <c r="AA131" s="4" t="s">
        <v>708</v>
      </c>
    </row>
    <row r="132" spans="1:27">
      <c r="A132" s="12">
        <v>100020022</v>
      </c>
      <c r="B132" s="12">
        <v>2</v>
      </c>
      <c r="C132" s="12" t="s">
        <v>658</v>
      </c>
      <c r="D132" s="12"/>
      <c r="E132" s="12"/>
      <c r="F132" s="12"/>
      <c r="G132" s="12"/>
      <c r="H132" s="12">
        <v>100020023</v>
      </c>
      <c r="I132" s="12" t="s">
        <v>717</v>
      </c>
      <c r="J132" s="12"/>
      <c r="K132" s="12"/>
      <c r="L132" s="12" t="s">
        <v>718</v>
      </c>
      <c r="M132" s="12"/>
      <c r="N132" s="13"/>
      <c r="O132" s="10">
        <v>4013</v>
      </c>
      <c r="P132" s="10"/>
      <c r="Q132" s="8"/>
      <c r="R132" s="6"/>
      <c r="S132" s="6"/>
      <c r="T132" t="b">
        <v>0</v>
      </c>
      <c r="U132" s="6"/>
      <c r="V132" s="6">
        <v>74022</v>
      </c>
      <c r="W132" s="6"/>
      <c r="X132" s="6"/>
      <c r="Y132" s="6" t="str">
        <f t="shared" si="0"/>
        <v/>
      </c>
      <c r="Z132" s="6"/>
      <c r="AA132" s="4" t="s">
        <v>719</v>
      </c>
    </row>
    <row r="133" spans="1:27">
      <c r="A133" s="12">
        <v>100020023</v>
      </c>
      <c r="B133" s="12">
        <v>2</v>
      </c>
      <c r="C133" s="12" t="s">
        <v>658</v>
      </c>
      <c r="D133" s="12"/>
      <c r="E133" s="12"/>
      <c r="F133" s="12"/>
      <c r="G133" s="12"/>
      <c r="H133" s="12">
        <v>100020024</v>
      </c>
      <c r="I133" s="12" t="s">
        <v>720</v>
      </c>
      <c r="J133" s="12"/>
      <c r="K133" s="12"/>
      <c r="L133" s="12" t="s">
        <v>721</v>
      </c>
      <c r="M133" s="12"/>
      <c r="N133" s="13"/>
      <c r="O133" s="10">
        <v>4011</v>
      </c>
      <c r="P133" s="10"/>
      <c r="Q133" s="8"/>
      <c r="R133" s="6"/>
      <c r="S133" s="6"/>
      <c r="T133" t="b">
        <v>0</v>
      </c>
      <c r="U133" s="6"/>
      <c r="V133" s="6">
        <v>74023</v>
      </c>
      <c r="W133" s="6"/>
      <c r="X133" s="6"/>
      <c r="Y133" s="6" t="str">
        <f t="shared" si="0"/>
        <v/>
      </c>
      <c r="Z133" s="6"/>
      <c r="AA133" s="4" t="s">
        <v>722</v>
      </c>
    </row>
    <row r="134" spans="1:27">
      <c r="A134" s="12">
        <v>100020024</v>
      </c>
      <c r="B134" s="12">
        <v>2</v>
      </c>
      <c r="C134" s="12" t="s">
        <v>658</v>
      </c>
      <c r="D134" s="12"/>
      <c r="E134" s="12"/>
      <c r="F134" s="12"/>
      <c r="G134" s="12"/>
      <c r="H134" s="12">
        <v>100020025</v>
      </c>
      <c r="I134" s="12" t="s">
        <v>723</v>
      </c>
      <c r="J134" s="12"/>
      <c r="K134" s="12"/>
      <c r="L134" s="12" t="s">
        <v>724</v>
      </c>
      <c r="M134" s="12"/>
      <c r="N134" s="13"/>
      <c r="O134" s="10">
        <v>3502</v>
      </c>
      <c r="P134" s="10"/>
      <c r="Q134" s="8"/>
      <c r="R134" s="6"/>
      <c r="S134" s="6"/>
      <c r="T134" t="b">
        <v>0</v>
      </c>
      <c r="U134" s="6"/>
      <c r="V134" s="6">
        <v>74024</v>
      </c>
      <c r="W134" s="6"/>
      <c r="X134" s="6"/>
      <c r="Y134" s="6" t="str">
        <f t="shared" si="0"/>
        <v/>
      </c>
      <c r="Z134" s="6"/>
      <c r="AA134" s="4" t="s">
        <v>725</v>
      </c>
    </row>
    <row r="135" spans="1:27">
      <c r="A135" s="12">
        <v>100020025</v>
      </c>
      <c r="B135" s="12">
        <v>2</v>
      </c>
      <c r="C135" s="12" t="s">
        <v>658</v>
      </c>
      <c r="D135" s="12"/>
      <c r="E135" s="12"/>
      <c r="F135" s="12"/>
      <c r="G135" s="12"/>
      <c r="H135" s="12">
        <v>100020026</v>
      </c>
      <c r="I135" s="12" t="s">
        <v>726</v>
      </c>
      <c r="J135" s="12"/>
      <c r="K135" s="12"/>
      <c r="L135" s="12" t="s">
        <v>727</v>
      </c>
      <c r="M135" s="12"/>
      <c r="N135" s="13"/>
      <c r="O135" s="10">
        <v>4042</v>
      </c>
      <c r="P135" s="10"/>
      <c r="Q135" s="8"/>
      <c r="R135" s="6"/>
      <c r="S135" s="6"/>
      <c r="T135" t="b">
        <v>0</v>
      </c>
      <c r="U135" s="6"/>
      <c r="V135" s="6">
        <v>74025</v>
      </c>
      <c r="W135" s="6"/>
      <c r="X135" s="6"/>
      <c r="Y135" s="6" t="str">
        <f t="shared" si="0"/>
        <v/>
      </c>
      <c r="Z135" s="6"/>
      <c r="AA135" s="4" t="s">
        <v>728</v>
      </c>
    </row>
    <row r="136" spans="1:27">
      <c r="A136" s="12">
        <v>100020026</v>
      </c>
      <c r="B136" s="12">
        <v>2</v>
      </c>
      <c r="C136" s="12" t="s">
        <v>658</v>
      </c>
      <c r="D136" s="12"/>
      <c r="E136" s="12"/>
      <c r="F136" s="12"/>
      <c r="G136" s="12"/>
      <c r="H136" s="12">
        <v>100020027</v>
      </c>
      <c r="I136" s="12" t="s">
        <v>729</v>
      </c>
      <c r="J136" s="12"/>
      <c r="K136" s="12"/>
      <c r="L136" s="12" t="s">
        <v>718</v>
      </c>
      <c r="M136" s="12"/>
      <c r="N136" s="13"/>
      <c r="O136" s="10">
        <v>4013</v>
      </c>
      <c r="P136" s="10"/>
      <c r="Q136" s="8"/>
      <c r="R136" s="6"/>
      <c r="S136" s="6"/>
      <c r="T136" t="b">
        <v>0</v>
      </c>
      <c r="U136" s="6"/>
      <c r="V136" s="6">
        <v>74026</v>
      </c>
      <c r="W136" s="6"/>
      <c r="X136" s="6"/>
      <c r="Y136" s="6" t="str">
        <f t="shared" si="0"/>
        <v/>
      </c>
      <c r="Z136" s="6"/>
      <c r="AA136" s="4" t="s">
        <v>730</v>
      </c>
    </row>
    <row r="137" spans="1:27">
      <c r="A137" s="12">
        <v>100020027</v>
      </c>
      <c r="B137" s="12">
        <v>2</v>
      </c>
      <c r="C137" s="12" t="s">
        <v>658</v>
      </c>
      <c r="D137" s="12"/>
      <c r="E137" s="12"/>
      <c r="F137" s="12"/>
      <c r="G137" s="12"/>
      <c r="H137" s="12">
        <v>100020028</v>
      </c>
      <c r="I137" s="12" t="s">
        <v>731</v>
      </c>
      <c r="J137" s="12"/>
      <c r="K137" s="12"/>
      <c r="L137" s="12" t="s">
        <v>721</v>
      </c>
      <c r="M137" s="12"/>
      <c r="N137" s="13"/>
      <c r="O137" s="10">
        <v>4011</v>
      </c>
      <c r="P137" s="10"/>
      <c r="Q137" s="8"/>
      <c r="R137" s="6"/>
      <c r="S137" s="6"/>
      <c r="T137" t="b">
        <v>0</v>
      </c>
      <c r="U137" s="6"/>
      <c r="V137" s="6">
        <v>74027</v>
      </c>
      <c r="W137" s="6"/>
      <c r="X137" s="6"/>
      <c r="Y137" s="6" t="str">
        <f t="shared" si="0"/>
        <v/>
      </c>
      <c r="Z137" s="6"/>
      <c r="AA137" s="4" t="s">
        <v>732</v>
      </c>
    </row>
    <row r="138" spans="1:27">
      <c r="A138" s="12">
        <v>100020028</v>
      </c>
      <c r="B138" s="12">
        <v>2</v>
      </c>
      <c r="C138" s="12" t="s">
        <v>658</v>
      </c>
      <c r="D138" s="12"/>
      <c r="E138" s="12"/>
      <c r="F138" s="12"/>
      <c r="G138" s="12"/>
      <c r="H138" s="12">
        <v>100020029</v>
      </c>
      <c r="I138" s="12" t="s">
        <v>733</v>
      </c>
      <c r="J138" s="12"/>
      <c r="K138" s="12"/>
      <c r="L138" s="12" t="s">
        <v>724</v>
      </c>
      <c r="M138" s="12"/>
      <c r="N138" s="13"/>
      <c r="O138" s="10">
        <v>3503</v>
      </c>
      <c r="P138" s="10"/>
      <c r="Q138" s="8"/>
      <c r="R138" s="6"/>
      <c r="S138" s="6"/>
      <c r="T138" t="b">
        <v>0</v>
      </c>
      <c r="U138" s="6"/>
      <c r="V138" s="6">
        <v>74028</v>
      </c>
      <c r="W138" s="6"/>
      <c r="X138" s="6"/>
      <c r="Y138" s="6" t="str">
        <f t="shared" si="0"/>
        <v/>
      </c>
      <c r="Z138" s="6"/>
      <c r="AA138" s="4" t="s">
        <v>734</v>
      </c>
    </row>
    <row r="139" spans="1:27">
      <c r="A139" s="12">
        <v>100020029</v>
      </c>
      <c r="B139" s="12">
        <v>2</v>
      </c>
      <c r="C139" s="12" t="s">
        <v>658</v>
      </c>
      <c r="D139" s="12"/>
      <c r="E139" s="12"/>
      <c r="F139" s="12"/>
      <c r="G139" s="12"/>
      <c r="H139" s="12">
        <v>100020030</v>
      </c>
      <c r="I139" s="12" t="s">
        <v>735</v>
      </c>
      <c r="J139" s="12"/>
      <c r="K139" s="12"/>
      <c r="L139" s="12" t="s">
        <v>736</v>
      </c>
      <c r="M139" s="12"/>
      <c r="N139" s="13"/>
      <c r="O139" s="10">
        <v>4043</v>
      </c>
      <c r="P139" s="10"/>
      <c r="Q139" s="8"/>
      <c r="R139" s="6"/>
      <c r="S139" s="6"/>
      <c r="T139" t="b">
        <v>0</v>
      </c>
      <c r="U139" s="6"/>
      <c r="V139" s="6">
        <v>74029</v>
      </c>
      <c r="W139" s="6"/>
      <c r="X139" s="6"/>
      <c r="Y139" s="6" t="str">
        <f t="shared" si="0"/>
        <v/>
      </c>
      <c r="Z139" s="6"/>
      <c r="AA139" s="4" t="s">
        <v>737</v>
      </c>
    </row>
    <row r="140" spans="1:27">
      <c r="A140" s="12">
        <v>100020030</v>
      </c>
      <c r="B140" s="12">
        <v>2</v>
      </c>
      <c r="C140" s="12" t="s">
        <v>658</v>
      </c>
      <c r="D140" s="12"/>
      <c r="E140" s="12"/>
      <c r="F140" s="12"/>
      <c r="G140" s="12"/>
      <c r="H140" s="12">
        <v>100020031</v>
      </c>
      <c r="I140" s="12" t="s">
        <v>738</v>
      </c>
      <c r="J140" s="12"/>
      <c r="K140" s="12"/>
      <c r="L140" s="12" t="s">
        <v>739</v>
      </c>
      <c r="M140" s="12"/>
      <c r="N140" s="13"/>
      <c r="O140" s="10">
        <v>4012</v>
      </c>
      <c r="P140" s="10"/>
      <c r="Q140" s="8"/>
      <c r="R140" s="6"/>
      <c r="S140" s="6"/>
      <c r="T140" t="b">
        <v>0</v>
      </c>
      <c r="U140" s="6"/>
      <c r="V140" s="6">
        <v>74030</v>
      </c>
      <c r="W140" s="6"/>
      <c r="X140" s="6"/>
      <c r="Y140" s="6" t="str">
        <f t="shared" si="0"/>
        <v/>
      </c>
      <c r="Z140" s="6">
        <v>103900</v>
      </c>
      <c r="AA140" s="4" t="s">
        <v>740</v>
      </c>
    </row>
    <row r="141" spans="1:27">
      <c r="A141" s="12">
        <v>100020031</v>
      </c>
      <c r="B141" s="12">
        <v>2</v>
      </c>
      <c r="C141" s="12" t="s">
        <v>658</v>
      </c>
      <c r="D141" s="12"/>
      <c r="E141" s="12"/>
      <c r="F141" s="12"/>
      <c r="G141" s="12"/>
      <c r="H141" s="12">
        <v>100020032</v>
      </c>
      <c r="I141" s="12" t="s">
        <v>741</v>
      </c>
      <c r="J141" s="12"/>
      <c r="K141" s="12"/>
      <c r="L141" s="12" t="s">
        <v>736</v>
      </c>
      <c r="M141" s="12"/>
      <c r="N141" s="13"/>
      <c r="O141" s="10">
        <v>4044</v>
      </c>
      <c r="P141" s="10"/>
      <c r="Q141" s="8"/>
      <c r="R141" s="6"/>
      <c r="S141" s="6"/>
      <c r="T141" t="b">
        <v>0</v>
      </c>
      <c r="U141" s="6"/>
      <c r="V141" s="6">
        <v>74031</v>
      </c>
      <c r="W141" s="6"/>
      <c r="X141" s="6"/>
      <c r="Y141" s="6" t="str">
        <f t="shared" si="0"/>
        <v/>
      </c>
      <c r="Z141" s="6"/>
      <c r="AA141" s="4" t="s">
        <v>742</v>
      </c>
    </row>
    <row r="142" spans="1:27">
      <c r="A142" s="12">
        <v>100020032</v>
      </c>
      <c r="B142" s="12">
        <v>2</v>
      </c>
      <c r="C142" s="12" t="s">
        <v>658</v>
      </c>
      <c r="D142" s="12"/>
      <c r="E142" s="12"/>
      <c r="F142" s="12"/>
      <c r="G142" s="12"/>
      <c r="H142" s="12">
        <v>100020033</v>
      </c>
      <c r="I142" s="12" t="s">
        <v>743</v>
      </c>
      <c r="J142" s="12"/>
      <c r="K142" s="12"/>
      <c r="L142" s="12" t="s">
        <v>727</v>
      </c>
      <c r="M142" s="12"/>
      <c r="N142" s="13"/>
      <c r="O142" s="10">
        <v>4041</v>
      </c>
      <c r="P142" s="10"/>
      <c r="Q142" s="8"/>
      <c r="R142" s="6"/>
      <c r="S142" s="6"/>
      <c r="T142" t="b">
        <v>0</v>
      </c>
      <c r="U142" s="6"/>
      <c r="V142" s="6">
        <v>74032</v>
      </c>
      <c r="W142" s="6"/>
      <c r="X142" s="6"/>
      <c r="Y142" s="6" t="str">
        <f t="shared" si="0"/>
        <v/>
      </c>
      <c r="Z142" s="6"/>
      <c r="AA142" s="4" t="s">
        <v>744</v>
      </c>
    </row>
    <row r="143" spans="1:27">
      <c r="A143" s="12">
        <v>100020033</v>
      </c>
      <c r="B143" s="12">
        <v>2</v>
      </c>
      <c r="C143" s="12" t="s">
        <v>658</v>
      </c>
      <c r="D143" s="12"/>
      <c r="E143" s="12"/>
      <c r="F143" s="12"/>
      <c r="G143" s="12"/>
      <c r="H143" s="12">
        <v>100020034</v>
      </c>
      <c r="I143" s="12" t="s">
        <v>745</v>
      </c>
      <c r="J143" s="12"/>
      <c r="K143" s="12"/>
      <c r="L143" s="12" t="s">
        <v>718</v>
      </c>
      <c r="M143" s="12"/>
      <c r="N143" s="13"/>
      <c r="O143" s="10">
        <v>4011</v>
      </c>
      <c r="P143" s="10"/>
      <c r="Q143" s="8"/>
      <c r="R143" s="6"/>
      <c r="S143" s="6"/>
      <c r="T143" t="b">
        <v>0</v>
      </c>
      <c r="U143" s="6"/>
      <c r="V143" s="6">
        <v>74033</v>
      </c>
      <c r="W143" s="6"/>
      <c r="X143" s="6"/>
      <c r="Y143" s="6" t="str">
        <f t="shared" si="0"/>
        <v/>
      </c>
      <c r="Z143" s="6"/>
      <c r="AA143" s="4" t="s">
        <v>746</v>
      </c>
    </row>
    <row r="144" spans="1:27">
      <c r="A144" s="12">
        <v>100020034</v>
      </c>
      <c r="B144" s="12">
        <v>2</v>
      </c>
      <c r="C144" s="12" t="s">
        <v>658</v>
      </c>
      <c r="D144" s="12"/>
      <c r="E144" s="12"/>
      <c r="F144" s="12"/>
      <c r="G144" s="12"/>
      <c r="H144" s="12">
        <v>100020035</v>
      </c>
      <c r="I144" s="12" t="s">
        <v>747</v>
      </c>
      <c r="J144" s="12"/>
      <c r="K144" s="12"/>
      <c r="L144" s="12" t="s">
        <v>736</v>
      </c>
      <c r="M144" s="12"/>
      <c r="N144" s="13"/>
      <c r="O144" s="10">
        <v>4044</v>
      </c>
      <c r="P144" s="10"/>
      <c r="Q144" s="8"/>
      <c r="R144" s="6"/>
      <c r="S144" s="6"/>
      <c r="T144" t="b">
        <v>0</v>
      </c>
      <c r="U144" s="6"/>
      <c r="V144" s="6">
        <v>74034</v>
      </c>
      <c r="W144" s="6"/>
      <c r="X144" s="6"/>
      <c r="Y144" s="6" t="str">
        <f t="shared" ref="Y144:Y170" si="1">IF(O144="",85001,"")</f>
        <v/>
      </c>
      <c r="Z144" s="6"/>
      <c r="AA144" s="4" t="s">
        <v>748</v>
      </c>
    </row>
    <row r="145" spans="1:27">
      <c r="A145" s="12">
        <v>100020035</v>
      </c>
      <c r="B145" s="12">
        <v>2</v>
      </c>
      <c r="C145" s="12" t="s">
        <v>658</v>
      </c>
      <c r="D145" s="12"/>
      <c r="E145" s="12"/>
      <c r="F145" s="12"/>
      <c r="G145" s="12"/>
      <c r="H145" s="12">
        <v>100020036</v>
      </c>
      <c r="I145" s="12" t="s">
        <v>749</v>
      </c>
      <c r="J145" s="12"/>
      <c r="K145" s="12"/>
      <c r="L145" s="12" t="s">
        <v>718</v>
      </c>
      <c r="M145" s="12"/>
      <c r="N145" s="13"/>
      <c r="O145" s="10">
        <v>4011</v>
      </c>
      <c r="P145" s="10"/>
      <c r="Q145" s="8"/>
      <c r="R145" s="6"/>
      <c r="S145" s="6"/>
      <c r="T145" t="b">
        <v>0</v>
      </c>
      <c r="U145" s="6"/>
      <c r="V145" s="6">
        <v>74035</v>
      </c>
      <c r="W145" s="6"/>
      <c r="X145" s="6"/>
      <c r="Y145" s="6" t="str">
        <f t="shared" si="1"/>
        <v/>
      </c>
      <c r="Z145" s="6"/>
      <c r="AA145" s="4" t="s">
        <v>750</v>
      </c>
    </row>
    <row r="146" spans="1:27">
      <c r="A146" s="12">
        <v>100020036</v>
      </c>
      <c r="B146" s="12">
        <v>2</v>
      </c>
      <c r="C146" s="12" t="s">
        <v>658</v>
      </c>
      <c r="D146" s="12"/>
      <c r="E146" s="12"/>
      <c r="F146" s="12"/>
      <c r="G146" s="12"/>
      <c r="H146" s="12">
        <v>100020037</v>
      </c>
      <c r="I146" s="12" t="s">
        <v>751</v>
      </c>
      <c r="J146" s="12"/>
      <c r="K146" s="12"/>
      <c r="L146" s="12" t="s">
        <v>752</v>
      </c>
      <c r="M146" s="12"/>
      <c r="N146" s="13"/>
      <c r="O146" s="10">
        <v>4013</v>
      </c>
      <c r="P146" s="10"/>
      <c r="Q146" s="8"/>
      <c r="R146" s="6"/>
      <c r="S146" s="6"/>
      <c r="T146" t="b">
        <v>0</v>
      </c>
      <c r="U146" s="6"/>
      <c r="V146" s="6">
        <v>74036</v>
      </c>
      <c r="W146" s="6"/>
      <c r="X146" s="6"/>
      <c r="Y146" s="6" t="str">
        <f t="shared" si="1"/>
        <v/>
      </c>
      <c r="Z146" s="6"/>
      <c r="AA146" s="4" t="s">
        <v>753</v>
      </c>
    </row>
    <row r="147" spans="1:27">
      <c r="A147" s="12">
        <v>100020037</v>
      </c>
      <c r="B147" s="12">
        <v>2</v>
      </c>
      <c r="C147" s="12" t="s">
        <v>658</v>
      </c>
      <c r="D147" s="12"/>
      <c r="E147" s="12"/>
      <c r="F147" s="12"/>
      <c r="G147" s="12"/>
      <c r="H147" s="12">
        <v>100020038</v>
      </c>
      <c r="I147" s="12" t="s">
        <v>754</v>
      </c>
      <c r="J147" s="12"/>
      <c r="K147" s="12"/>
      <c r="L147" s="12" t="s">
        <v>755</v>
      </c>
      <c r="M147" s="12"/>
      <c r="N147" s="13"/>
      <c r="O147" s="10">
        <v>3402</v>
      </c>
      <c r="P147" s="10"/>
      <c r="Q147" s="8"/>
      <c r="R147" s="6"/>
      <c r="S147" s="6"/>
      <c r="T147" t="b">
        <v>0</v>
      </c>
      <c r="U147" s="6"/>
      <c r="V147" s="6">
        <v>74037</v>
      </c>
      <c r="W147" s="6"/>
      <c r="X147" s="6"/>
      <c r="Y147" s="6" t="str">
        <f t="shared" si="1"/>
        <v/>
      </c>
      <c r="Z147" s="6"/>
      <c r="AA147" s="4" t="s">
        <v>756</v>
      </c>
    </row>
    <row r="148" spans="1:27">
      <c r="A148" s="12">
        <v>100020038</v>
      </c>
      <c r="B148" s="12">
        <v>2</v>
      </c>
      <c r="C148" s="12" t="s">
        <v>658</v>
      </c>
      <c r="D148" s="12"/>
      <c r="E148" s="12"/>
      <c r="F148" s="12"/>
      <c r="G148" s="12"/>
      <c r="H148" s="12">
        <v>100020039</v>
      </c>
      <c r="I148" s="12" t="s">
        <v>757</v>
      </c>
      <c r="J148" s="12"/>
      <c r="K148" s="12"/>
      <c r="L148" s="12" t="s">
        <v>758</v>
      </c>
      <c r="M148" s="12"/>
      <c r="N148" s="13"/>
      <c r="O148" s="10">
        <v>4023</v>
      </c>
      <c r="P148" s="10"/>
      <c r="Q148" s="8"/>
      <c r="R148" s="6"/>
      <c r="S148" s="6"/>
      <c r="T148" t="b">
        <v>0</v>
      </c>
      <c r="U148" s="6"/>
      <c r="V148" s="6">
        <v>74038</v>
      </c>
      <c r="W148" s="6"/>
      <c r="X148" s="6"/>
      <c r="Y148" s="6" t="str">
        <f t="shared" si="1"/>
        <v/>
      </c>
      <c r="Z148" s="6"/>
      <c r="AA148" s="4" t="s">
        <v>759</v>
      </c>
    </row>
    <row r="149" spans="1:27">
      <c r="A149" s="12">
        <v>100020039</v>
      </c>
      <c r="B149" s="12">
        <v>2</v>
      </c>
      <c r="C149" s="12" t="s">
        <v>658</v>
      </c>
      <c r="D149" s="12"/>
      <c r="E149" s="12"/>
      <c r="F149" s="12"/>
      <c r="G149" s="12"/>
      <c r="H149" s="12">
        <v>100020040</v>
      </c>
      <c r="I149" s="12" t="s">
        <v>760</v>
      </c>
      <c r="J149" s="12"/>
      <c r="K149" s="12"/>
      <c r="L149" s="12" t="s">
        <v>761</v>
      </c>
      <c r="M149" s="12"/>
      <c r="N149" s="13"/>
      <c r="O149" s="10">
        <v>4021</v>
      </c>
      <c r="P149" s="10"/>
      <c r="Q149" s="8"/>
      <c r="R149" s="6"/>
      <c r="S149" s="6"/>
      <c r="T149" t="b">
        <v>0</v>
      </c>
      <c r="U149" s="6"/>
      <c r="V149" s="6">
        <v>74039</v>
      </c>
      <c r="W149" s="6"/>
      <c r="X149" s="6"/>
      <c r="Y149" s="6" t="str">
        <f t="shared" si="1"/>
        <v/>
      </c>
      <c r="Z149" s="6"/>
      <c r="AA149" s="4" t="s">
        <v>762</v>
      </c>
    </row>
    <row r="150" spans="1:27">
      <c r="A150" s="12">
        <v>100020040</v>
      </c>
      <c r="B150" s="12">
        <v>2</v>
      </c>
      <c r="C150" s="12" t="s">
        <v>658</v>
      </c>
      <c r="D150" s="12"/>
      <c r="E150" s="12"/>
      <c r="F150" s="12"/>
      <c r="G150" s="12"/>
      <c r="H150" s="12">
        <v>100020041</v>
      </c>
      <c r="I150" s="12" t="s">
        <v>763</v>
      </c>
      <c r="J150" s="12"/>
      <c r="K150" s="12"/>
      <c r="L150" s="12" t="s">
        <v>764</v>
      </c>
      <c r="M150" s="12"/>
      <c r="N150" s="13"/>
      <c r="O150" s="10">
        <v>4022</v>
      </c>
      <c r="P150" s="10"/>
      <c r="Q150" s="8"/>
      <c r="R150" s="6"/>
      <c r="S150" s="6"/>
      <c r="T150" t="b">
        <v>0</v>
      </c>
      <c r="U150" s="6"/>
      <c r="V150" s="6">
        <v>74040</v>
      </c>
      <c r="W150" s="6"/>
      <c r="X150" s="6"/>
      <c r="Y150" s="6" t="str">
        <f t="shared" si="1"/>
        <v/>
      </c>
      <c r="Z150" s="6" t="s">
        <v>765</v>
      </c>
      <c r="AA150" s="4" t="s">
        <v>766</v>
      </c>
    </row>
    <row r="151" spans="1:27">
      <c r="A151" s="12">
        <v>100020041</v>
      </c>
      <c r="B151" s="12">
        <v>2</v>
      </c>
      <c r="C151" s="12" t="s">
        <v>658</v>
      </c>
      <c r="D151" s="12"/>
      <c r="E151" s="12"/>
      <c r="F151" s="12"/>
      <c r="G151" s="12"/>
      <c r="H151" s="12">
        <v>100020042</v>
      </c>
      <c r="I151" s="12" t="s">
        <v>767</v>
      </c>
      <c r="J151" s="12"/>
      <c r="K151" s="12"/>
      <c r="L151" s="12" t="s">
        <v>768</v>
      </c>
      <c r="M151" s="12"/>
      <c r="N151" s="13"/>
      <c r="O151" s="10">
        <v>4021</v>
      </c>
      <c r="P151" s="10"/>
      <c r="Q151" s="8"/>
      <c r="R151" s="6"/>
      <c r="S151" s="6"/>
      <c r="T151" t="b">
        <v>0</v>
      </c>
      <c r="U151" s="6"/>
      <c r="V151" s="6">
        <v>74041</v>
      </c>
      <c r="W151" s="6"/>
      <c r="X151" s="6"/>
      <c r="Y151" s="6" t="str">
        <f t="shared" si="1"/>
        <v/>
      </c>
      <c r="Z151" s="6"/>
      <c r="AA151" s="4" t="s">
        <v>769</v>
      </c>
    </row>
    <row r="152" spans="1:27">
      <c r="A152" s="12">
        <v>100020042</v>
      </c>
      <c r="B152" s="12">
        <v>2</v>
      </c>
      <c r="C152" s="12" t="s">
        <v>658</v>
      </c>
      <c r="D152" s="12"/>
      <c r="E152" s="12"/>
      <c r="F152" s="12"/>
      <c r="G152" s="12"/>
      <c r="H152" s="12">
        <v>100020043</v>
      </c>
      <c r="I152" s="12" t="s">
        <v>770</v>
      </c>
      <c r="J152" s="12"/>
      <c r="K152" s="12"/>
      <c r="L152" s="12" t="s">
        <v>771</v>
      </c>
      <c r="M152" s="12"/>
      <c r="N152" s="13"/>
      <c r="O152" s="10">
        <v>3018</v>
      </c>
      <c r="P152" s="10"/>
      <c r="Q152" s="8"/>
      <c r="R152" s="6"/>
      <c r="S152" s="6"/>
      <c r="T152" t="b">
        <v>0</v>
      </c>
      <c r="U152" s="6"/>
      <c r="V152" s="6">
        <v>74042</v>
      </c>
      <c r="W152" s="6"/>
      <c r="X152" s="6"/>
      <c r="Y152" s="6" t="str">
        <f t="shared" si="1"/>
        <v/>
      </c>
      <c r="Z152" s="6"/>
      <c r="AA152" s="4" t="s">
        <v>772</v>
      </c>
    </row>
    <row r="153" spans="1:27">
      <c r="A153" s="12">
        <v>100020043</v>
      </c>
      <c r="B153" s="12">
        <v>2</v>
      </c>
      <c r="C153" s="12" t="s">
        <v>658</v>
      </c>
      <c r="D153" s="12"/>
      <c r="E153" s="12"/>
      <c r="F153" s="12"/>
      <c r="G153" s="12"/>
      <c r="H153" s="12">
        <v>100020044</v>
      </c>
      <c r="I153" s="12" t="s">
        <v>747</v>
      </c>
      <c r="J153" s="12"/>
      <c r="K153" s="12"/>
      <c r="L153" s="12" t="s">
        <v>773</v>
      </c>
      <c r="M153" s="12"/>
      <c r="N153" s="13"/>
      <c r="O153" s="10">
        <v>4044</v>
      </c>
      <c r="P153" s="10"/>
      <c r="Q153" s="8"/>
      <c r="R153" s="6"/>
      <c r="S153" s="6"/>
      <c r="T153" t="b">
        <v>0</v>
      </c>
      <c r="U153" s="6"/>
      <c r="V153" s="6">
        <v>74043</v>
      </c>
      <c r="W153" s="6"/>
      <c r="X153" s="6"/>
      <c r="Y153" s="6" t="str">
        <f t="shared" si="1"/>
        <v/>
      </c>
      <c r="Z153" s="6"/>
      <c r="AA153" s="4" t="s">
        <v>748</v>
      </c>
    </row>
    <row r="154" spans="1:27">
      <c r="A154" s="12">
        <v>100020044</v>
      </c>
      <c r="B154" s="12">
        <v>2</v>
      </c>
      <c r="C154" s="12" t="s">
        <v>658</v>
      </c>
      <c r="D154" s="12"/>
      <c r="E154" s="12"/>
      <c r="F154" s="12"/>
      <c r="G154" s="12"/>
      <c r="H154" s="12">
        <v>100020045</v>
      </c>
      <c r="I154" s="12" t="s">
        <v>774</v>
      </c>
      <c r="J154" s="12"/>
      <c r="K154" s="12"/>
      <c r="L154" s="12" t="s">
        <v>775</v>
      </c>
      <c r="M154" s="12"/>
      <c r="N154" s="13"/>
      <c r="O154" s="10">
        <v>4041</v>
      </c>
      <c r="P154" s="10"/>
      <c r="Q154" s="8"/>
      <c r="R154" s="6"/>
      <c r="S154" s="6"/>
      <c r="T154" t="b">
        <v>0</v>
      </c>
      <c r="U154" s="6"/>
      <c r="V154" s="6">
        <v>74044</v>
      </c>
      <c r="W154" s="6"/>
      <c r="X154" s="6"/>
      <c r="Y154" s="6" t="str">
        <f t="shared" si="1"/>
        <v/>
      </c>
      <c r="Z154" s="6"/>
      <c r="AA154" s="4" t="s">
        <v>776</v>
      </c>
    </row>
    <row r="155" spans="1:27">
      <c r="A155" s="12">
        <v>100020045</v>
      </c>
      <c r="B155" s="12">
        <v>2</v>
      </c>
      <c r="C155" s="12" t="s">
        <v>658</v>
      </c>
      <c r="D155" s="12"/>
      <c r="E155" s="12"/>
      <c r="F155" s="12"/>
      <c r="G155" s="12"/>
      <c r="H155" s="12">
        <v>100020046</v>
      </c>
      <c r="I155" s="12" t="s">
        <v>777</v>
      </c>
      <c r="J155" s="12"/>
      <c r="K155" s="12"/>
      <c r="L155" s="12" t="s">
        <v>778</v>
      </c>
      <c r="M155" s="12"/>
      <c r="N155" s="13"/>
      <c r="O155" s="10">
        <v>4021</v>
      </c>
      <c r="P155" s="10"/>
      <c r="Q155" s="8"/>
      <c r="R155" s="6"/>
      <c r="S155" s="6"/>
      <c r="T155" t="b">
        <v>0</v>
      </c>
      <c r="U155" s="6"/>
      <c r="V155" s="6">
        <v>74045</v>
      </c>
      <c r="W155" s="6"/>
      <c r="X155" s="6"/>
      <c r="Y155" s="6" t="str">
        <f t="shared" si="1"/>
        <v/>
      </c>
      <c r="Z155" s="6"/>
      <c r="AA155" s="4" t="s">
        <v>779</v>
      </c>
    </row>
    <row r="156" spans="1:27">
      <c r="A156" s="12">
        <v>100020046</v>
      </c>
      <c r="B156" s="12">
        <v>2</v>
      </c>
      <c r="C156" s="12" t="s">
        <v>658</v>
      </c>
      <c r="D156" s="12"/>
      <c r="E156" s="12"/>
      <c r="F156" s="12"/>
      <c r="G156" s="12"/>
      <c r="H156" s="12">
        <v>100020047</v>
      </c>
      <c r="I156" s="12" t="s">
        <v>780</v>
      </c>
      <c r="J156" s="12">
        <v>5004</v>
      </c>
      <c r="K156" s="12" t="s">
        <v>781</v>
      </c>
      <c r="L156" s="12" t="s">
        <v>782</v>
      </c>
      <c r="M156" s="12"/>
      <c r="N156" s="13"/>
      <c r="O156" s="10">
        <v>4022</v>
      </c>
      <c r="P156" s="10"/>
      <c r="Q156" s="8"/>
      <c r="R156" s="6"/>
      <c r="S156" s="6"/>
      <c r="T156" t="b">
        <v>0</v>
      </c>
      <c r="U156" s="6"/>
      <c r="V156" s="6">
        <v>74046</v>
      </c>
      <c r="W156" s="6"/>
      <c r="X156" s="6"/>
      <c r="Y156" s="6" t="str">
        <f t="shared" si="1"/>
        <v/>
      </c>
      <c r="Z156" s="6" t="s">
        <v>765</v>
      </c>
      <c r="AA156" s="4" t="s">
        <v>783</v>
      </c>
    </row>
    <row r="157" spans="1:27">
      <c r="A157" s="12">
        <v>100020047</v>
      </c>
      <c r="B157" s="12">
        <v>2</v>
      </c>
      <c r="C157" s="12" t="s">
        <v>658</v>
      </c>
      <c r="D157" s="12"/>
      <c r="E157" s="12"/>
      <c r="F157" s="12"/>
      <c r="G157" s="12"/>
      <c r="H157" s="12">
        <v>100020048</v>
      </c>
      <c r="I157" s="12" t="s">
        <v>784</v>
      </c>
      <c r="J157" s="12"/>
      <c r="K157" s="12"/>
      <c r="L157" s="12" t="s">
        <v>785</v>
      </c>
      <c r="M157" s="12"/>
      <c r="N157" s="13"/>
      <c r="O157" s="10">
        <v>4003</v>
      </c>
      <c r="P157" s="10"/>
      <c r="Q157" s="8"/>
      <c r="R157" s="6"/>
      <c r="S157" s="6"/>
      <c r="T157" t="b">
        <v>0</v>
      </c>
      <c r="U157" s="6"/>
      <c r="V157" s="6">
        <v>74047</v>
      </c>
      <c r="W157" s="6"/>
      <c r="X157" s="6"/>
      <c r="Y157" s="6" t="str">
        <f t="shared" si="1"/>
        <v/>
      </c>
      <c r="Z157" s="6">
        <v>-1</v>
      </c>
      <c r="AA157" s="4" t="s">
        <v>786</v>
      </c>
    </row>
    <row r="158" spans="1:27">
      <c r="A158" s="12">
        <v>100020048</v>
      </c>
      <c r="B158" s="12">
        <v>2</v>
      </c>
      <c r="C158" s="12" t="s">
        <v>658</v>
      </c>
      <c r="D158" s="12"/>
      <c r="E158" s="12"/>
      <c r="F158" s="12"/>
      <c r="G158" s="12"/>
      <c r="H158" s="12">
        <v>100020049</v>
      </c>
      <c r="I158" s="12" t="s">
        <v>787</v>
      </c>
      <c r="J158" s="12"/>
      <c r="K158" s="12"/>
      <c r="L158" s="12" t="s">
        <v>782</v>
      </c>
      <c r="M158" s="12"/>
      <c r="N158" s="13"/>
      <c r="O158" s="10">
        <v>4004</v>
      </c>
      <c r="P158" s="10"/>
      <c r="Q158" s="8"/>
      <c r="R158" s="6"/>
      <c r="S158" s="6"/>
      <c r="T158" t="b">
        <v>0</v>
      </c>
      <c r="U158" s="6"/>
      <c r="V158" s="6">
        <v>74048</v>
      </c>
      <c r="W158" s="6"/>
      <c r="X158" s="6"/>
      <c r="Y158" s="6" t="str">
        <f t="shared" si="1"/>
        <v/>
      </c>
      <c r="Z158" s="6"/>
      <c r="AA158" s="4" t="s">
        <v>788</v>
      </c>
    </row>
    <row r="159" spans="1:27">
      <c r="A159" s="12">
        <v>100020049</v>
      </c>
      <c r="B159" s="12">
        <v>2</v>
      </c>
      <c r="C159" s="12" t="s">
        <v>658</v>
      </c>
      <c r="D159" s="12"/>
      <c r="E159" s="12"/>
      <c r="F159" s="12"/>
      <c r="G159" s="12"/>
      <c r="H159" s="12">
        <v>100020050</v>
      </c>
      <c r="I159" s="12" t="s">
        <v>789</v>
      </c>
      <c r="J159" s="12"/>
      <c r="K159" s="12"/>
      <c r="L159" s="12" t="s">
        <v>790</v>
      </c>
      <c r="M159" s="12"/>
      <c r="N159" s="13"/>
      <c r="O159" s="10">
        <v>4001</v>
      </c>
      <c r="P159" s="10"/>
      <c r="Q159" s="8"/>
      <c r="R159" s="6"/>
      <c r="S159" s="6"/>
      <c r="T159" t="b">
        <v>0</v>
      </c>
      <c r="U159" s="6"/>
      <c r="V159" s="6">
        <v>74049</v>
      </c>
      <c r="W159" s="6"/>
      <c r="X159" s="6"/>
      <c r="Y159" s="6" t="str">
        <f t="shared" si="1"/>
        <v/>
      </c>
      <c r="Z159" s="6"/>
      <c r="AA159" s="4" t="s">
        <v>791</v>
      </c>
    </row>
    <row r="160" spans="1:27">
      <c r="A160" s="12">
        <v>100020050</v>
      </c>
      <c r="B160" s="12">
        <v>2</v>
      </c>
      <c r="C160" s="12" t="s">
        <v>658</v>
      </c>
      <c r="D160" s="12"/>
      <c r="E160" s="12"/>
      <c r="F160" s="12"/>
      <c r="G160" s="12"/>
      <c r="H160" s="12">
        <v>100020051</v>
      </c>
      <c r="I160" s="12" t="s">
        <v>792</v>
      </c>
      <c r="J160" s="12"/>
      <c r="K160" s="12"/>
      <c r="L160" s="12" t="s">
        <v>793</v>
      </c>
      <c r="M160" s="12"/>
      <c r="N160" s="13"/>
      <c r="O160" s="10">
        <v>4002</v>
      </c>
      <c r="P160" s="10"/>
      <c r="Q160" s="8"/>
      <c r="R160" s="6"/>
      <c r="S160" s="6"/>
      <c r="T160" t="b">
        <v>0</v>
      </c>
      <c r="U160" s="6"/>
      <c r="V160" s="6">
        <v>74050</v>
      </c>
      <c r="W160" s="6"/>
      <c r="X160" s="6"/>
      <c r="Y160" s="6"/>
      <c r="Z160" s="6"/>
      <c r="AA160" s="4" t="s">
        <v>794</v>
      </c>
    </row>
    <row r="161" spans="1:27">
      <c r="A161" s="12">
        <v>100020051</v>
      </c>
      <c r="B161" s="12">
        <v>2</v>
      </c>
      <c r="C161" s="12" t="s">
        <v>658</v>
      </c>
      <c r="D161" s="12"/>
      <c r="E161" s="12"/>
      <c r="F161" s="12"/>
      <c r="G161" s="12"/>
      <c r="H161" s="12">
        <v>100020052</v>
      </c>
      <c r="I161" s="12" t="s">
        <v>795</v>
      </c>
      <c r="J161" s="12"/>
      <c r="K161" s="12"/>
      <c r="L161" s="12" t="s">
        <v>796</v>
      </c>
      <c r="M161" s="12"/>
      <c r="N161" s="13"/>
      <c r="O161" s="10">
        <v>4023</v>
      </c>
      <c r="P161" s="10"/>
      <c r="Q161" s="8"/>
      <c r="R161" s="6"/>
      <c r="S161" s="6"/>
      <c r="T161" t="b">
        <v>0</v>
      </c>
      <c r="U161" s="6"/>
      <c r="V161" s="6">
        <v>74051</v>
      </c>
      <c r="W161" s="6"/>
      <c r="X161" s="6"/>
      <c r="Y161" s="6"/>
      <c r="Z161" s="6"/>
      <c r="AA161" s="4" t="s">
        <v>797</v>
      </c>
    </row>
    <row r="162" spans="1:27">
      <c r="A162" s="12">
        <v>100020052</v>
      </c>
      <c r="B162" s="12">
        <v>2</v>
      </c>
      <c r="C162" s="12" t="s">
        <v>658</v>
      </c>
      <c r="D162" s="12"/>
      <c r="E162" s="12"/>
      <c r="F162" s="12"/>
      <c r="G162" s="12"/>
      <c r="H162" s="12">
        <v>100020053</v>
      </c>
      <c r="I162" s="12" t="s">
        <v>798</v>
      </c>
      <c r="J162" s="12"/>
      <c r="K162" s="12"/>
      <c r="L162" s="12" t="s">
        <v>799</v>
      </c>
      <c r="M162" s="12"/>
      <c r="N162" s="13"/>
      <c r="O162" s="10">
        <v>4042</v>
      </c>
      <c r="P162" s="10"/>
      <c r="Q162" s="8"/>
      <c r="R162" s="6"/>
      <c r="S162" s="6"/>
      <c r="T162" t="b">
        <v>0</v>
      </c>
      <c r="U162" s="6"/>
      <c r="V162" s="6">
        <v>74052</v>
      </c>
      <c r="W162" s="6"/>
      <c r="X162" s="6"/>
      <c r="Y162" s="6"/>
      <c r="Z162" s="6"/>
      <c r="AA162" s="4" t="s">
        <v>800</v>
      </c>
    </row>
    <row r="163" spans="1:27">
      <c r="A163" s="12">
        <v>100020053</v>
      </c>
      <c r="B163" s="12">
        <v>2</v>
      </c>
      <c r="C163" s="12" t="s">
        <v>658</v>
      </c>
      <c r="D163" s="12"/>
      <c r="E163" s="12"/>
      <c r="F163" s="12"/>
      <c r="G163" s="12"/>
      <c r="H163" s="12">
        <v>100020054</v>
      </c>
      <c r="I163" s="12" t="s">
        <v>801</v>
      </c>
      <c r="J163" s="12"/>
      <c r="K163" s="12"/>
      <c r="L163" s="12" t="s">
        <v>802</v>
      </c>
      <c r="M163" s="12"/>
      <c r="N163" s="13"/>
      <c r="O163" s="10">
        <v>4021</v>
      </c>
      <c r="P163" s="10"/>
      <c r="Q163" s="8"/>
      <c r="R163" s="6"/>
      <c r="S163" s="6"/>
      <c r="T163" t="b">
        <v>0</v>
      </c>
      <c r="U163" s="6"/>
      <c r="V163" s="6">
        <v>74053</v>
      </c>
      <c r="W163" s="6"/>
      <c r="X163" s="6"/>
      <c r="Y163" s="6"/>
      <c r="Z163" s="6"/>
      <c r="AA163" s="4" t="s">
        <v>803</v>
      </c>
    </row>
    <row r="164" spans="1:27">
      <c r="A164" s="12">
        <v>100020054</v>
      </c>
      <c r="B164" s="12">
        <v>2</v>
      </c>
      <c r="C164" s="12" t="s">
        <v>658</v>
      </c>
      <c r="D164" s="12"/>
      <c r="E164" s="12"/>
      <c r="F164" s="12"/>
      <c r="G164" s="12"/>
      <c r="H164" s="12">
        <v>100020055</v>
      </c>
      <c r="I164" s="12" t="s">
        <v>804</v>
      </c>
      <c r="J164" s="12"/>
      <c r="K164" s="12"/>
      <c r="L164" s="12" t="s">
        <v>799</v>
      </c>
      <c r="M164" s="12"/>
      <c r="N164" s="13"/>
      <c r="O164" s="10">
        <v>4043</v>
      </c>
      <c r="P164" s="10"/>
      <c r="Q164" s="8"/>
      <c r="R164" s="6"/>
      <c r="S164" s="6"/>
      <c r="T164" t="b">
        <v>0</v>
      </c>
      <c r="U164" s="6"/>
      <c r="V164" s="6">
        <v>74054</v>
      </c>
      <c r="W164" s="6"/>
      <c r="X164" s="6"/>
      <c r="Y164" s="6"/>
      <c r="Z164" s="6"/>
      <c r="AA164" s="4" t="s">
        <v>805</v>
      </c>
    </row>
    <row r="165" spans="1:27">
      <c r="A165" s="12">
        <v>100020055</v>
      </c>
      <c r="B165" s="12">
        <v>2</v>
      </c>
      <c r="C165" s="12" t="s">
        <v>658</v>
      </c>
      <c r="D165" s="12"/>
      <c r="E165" s="12"/>
      <c r="F165" s="12"/>
      <c r="G165" s="12"/>
      <c r="H165" s="12">
        <v>100020056</v>
      </c>
      <c r="I165" s="12" t="s">
        <v>806</v>
      </c>
      <c r="J165" s="12"/>
      <c r="K165" s="12"/>
      <c r="L165" s="12" t="s">
        <v>807</v>
      </c>
      <c r="M165" s="12"/>
      <c r="N165" s="13"/>
      <c r="O165" s="10">
        <v>4023</v>
      </c>
      <c r="P165" s="10"/>
      <c r="Q165" s="8"/>
      <c r="R165" s="6"/>
      <c r="S165" s="6"/>
      <c r="T165" t="b">
        <v>0</v>
      </c>
      <c r="U165" s="6"/>
      <c r="V165" s="6">
        <v>74055</v>
      </c>
      <c r="W165" s="6"/>
      <c r="X165" s="6"/>
      <c r="Y165" s="6"/>
      <c r="Z165" s="6"/>
      <c r="AA165" s="4" t="s">
        <v>808</v>
      </c>
    </row>
    <row r="166" spans="1:27">
      <c r="A166" s="12">
        <v>100020056</v>
      </c>
      <c r="B166" s="12">
        <v>2</v>
      </c>
      <c r="C166" s="12" t="s">
        <v>658</v>
      </c>
      <c r="D166" s="12"/>
      <c r="E166" s="12"/>
      <c r="F166" s="12"/>
      <c r="G166" s="12"/>
      <c r="H166" s="12">
        <v>100020057</v>
      </c>
      <c r="I166" s="12" t="s">
        <v>809</v>
      </c>
      <c r="J166" s="12"/>
      <c r="K166" s="12"/>
      <c r="L166" s="12" t="s">
        <v>810</v>
      </c>
      <c r="M166" s="12"/>
      <c r="N166" s="13"/>
      <c r="O166" s="10">
        <v>4021</v>
      </c>
      <c r="P166" s="10"/>
      <c r="Q166" s="8"/>
      <c r="R166" s="6"/>
      <c r="S166" s="6"/>
      <c r="T166" t="b">
        <v>0</v>
      </c>
      <c r="U166" s="6"/>
      <c r="V166" s="6">
        <v>74056</v>
      </c>
      <c r="W166" s="6"/>
      <c r="X166" s="6"/>
      <c r="Y166" s="6"/>
      <c r="Z166" s="6"/>
      <c r="AA166" s="4" t="s">
        <v>811</v>
      </c>
    </row>
    <row r="167" spans="1:27">
      <c r="A167" s="12">
        <v>100020057</v>
      </c>
      <c r="B167" s="12">
        <v>2</v>
      </c>
      <c r="C167" s="12" t="s">
        <v>658</v>
      </c>
      <c r="D167" s="12"/>
      <c r="E167" s="12"/>
      <c r="F167" s="12"/>
      <c r="G167" s="12"/>
      <c r="H167" s="12">
        <v>100020058</v>
      </c>
      <c r="I167" s="12" t="s">
        <v>812</v>
      </c>
      <c r="J167" s="12"/>
      <c r="K167" s="12"/>
      <c r="L167" s="12" t="s">
        <v>813</v>
      </c>
      <c r="M167" s="12"/>
      <c r="N167" s="13"/>
      <c r="O167" s="10">
        <v>3020</v>
      </c>
      <c r="P167" s="10"/>
      <c r="Q167" s="8"/>
      <c r="R167" s="6"/>
      <c r="S167" s="6"/>
      <c r="T167" t="b">
        <v>0</v>
      </c>
      <c r="U167" s="6"/>
      <c r="V167" s="6">
        <v>74057</v>
      </c>
      <c r="W167" s="6"/>
      <c r="X167" s="6"/>
      <c r="Y167" s="6"/>
      <c r="Z167" s="6"/>
      <c r="AA167" s="4" t="s">
        <v>814</v>
      </c>
    </row>
    <row r="168" spans="1:27">
      <c r="A168" s="12">
        <v>100020058</v>
      </c>
      <c r="B168" s="12">
        <v>2</v>
      </c>
      <c r="C168" s="12" t="s">
        <v>658</v>
      </c>
      <c r="D168" s="12"/>
      <c r="E168" s="12"/>
      <c r="F168" s="12"/>
      <c r="G168" s="12"/>
      <c r="H168" s="12">
        <v>100020059</v>
      </c>
      <c r="I168" s="12" t="s">
        <v>815</v>
      </c>
      <c r="J168" s="12"/>
      <c r="K168" s="12"/>
      <c r="L168" s="12" t="s">
        <v>782</v>
      </c>
      <c r="M168" s="12"/>
      <c r="N168" s="13"/>
      <c r="O168" s="10">
        <v>4023</v>
      </c>
      <c r="P168" s="10"/>
      <c r="Q168" s="8"/>
      <c r="R168" s="6"/>
      <c r="S168" s="6"/>
      <c r="T168" t="b">
        <v>0</v>
      </c>
      <c r="U168" s="6"/>
      <c r="V168" s="6">
        <v>74058</v>
      </c>
      <c r="W168" s="6"/>
      <c r="X168" s="6"/>
      <c r="Y168" s="6"/>
      <c r="Z168" s="6"/>
      <c r="AA168" s="4" t="s">
        <v>816</v>
      </c>
    </row>
    <row r="169" spans="1:27">
      <c r="A169" s="12">
        <v>100020059</v>
      </c>
      <c r="B169" s="12">
        <v>2</v>
      </c>
      <c r="C169" s="12" t="s">
        <v>658</v>
      </c>
      <c r="D169" s="12"/>
      <c r="E169" s="12"/>
      <c r="F169" s="12"/>
      <c r="G169" s="12"/>
      <c r="H169" s="12">
        <v>100020060</v>
      </c>
      <c r="I169" s="12" t="s">
        <v>817</v>
      </c>
      <c r="J169" s="12">
        <v>5003</v>
      </c>
      <c r="K169" s="12" t="s">
        <v>818</v>
      </c>
      <c r="L169" s="12" t="s">
        <v>819</v>
      </c>
      <c r="M169" s="12"/>
      <c r="N169" s="13"/>
      <c r="O169" s="10">
        <v>4022</v>
      </c>
      <c r="P169" s="10"/>
      <c r="Q169" s="8"/>
      <c r="R169" s="6"/>
      <c r="S169" s="6"/>
      <c r="T169" t="b">
        <v>0</v>
      </c>
      <c r="U169" s="6"/>
      <c r="V169" s="6">
        <v>74059</v>
      </c>
      <c r="W169" s="6"/>
      <c r="X169" s="6"/>
      <c r="Y169" s="6"/>
      <c r="Z169" s="6" t="s">
        <v>765</v>
      </c>
      <c r="AA169" s="4" t="s">
        <v>820</v>
      </c>
    </row>
    <row r="170" spans="1:27">
      <c r="A170" s="12">
        <v>100020060</v>
      </c>
      <c r="B170" s="12">
        <v>2</v>
      </c>
      <c r="C170" s="12" t="s">
        <v>658</v>
      </c>
      <c r="D170" s="12"/>
      <c r="E170" s="12"/>
      <c r="F170" s="12"/>
      <c r="G170" s="12"/>
      <c r="H170" s="12">
        <v>100020061</v>
      </c>
      <c r="I170" s="12" t="s">
        <v>821</v>
      </c>
      <c r="J170" s="12"/>
      <c r="K170" s="12"/>
      <c r="L170" s="12" t="s">
        <v>822</v>
      </c>
      <c r="M170" s="12"/>
      <c r="N170" s="13"/>
      <c r="O170" s="10">
        <v>3403</v>
      </c>
      <c r="P170" s="10"/>
      <c r="Q170" s="8"/>
      <c r="R170" s="6"/>
      <c r="S170" s="6"/>
      <c r="T170" t="b">
        <v>0</v>
      </c>
      <c r="U170" s="6"/>
      <c r="V170" s="6">
        <v>74060</v>
      </c>
      <c r="W170" s="6"/>
      <c r="X170" s="6"/>
      <c r="Y170" s="6"/>
      <c r="Z170" s="6"/>
      <c r="AA170" s="4" t="s">
        <v>823</v>
      </c>
    </row>
    <row r="171" spans="1:27">
      <c r="A171" s="12">
        <v>100020061</v>
      </c>
      <c r="B171" s="12">
        <v>2</v>
      </c>
      <c r="C171" s="12" t="s">
        <v>658</v>
      </c>
      <c r="D171" s="12"/>
      <c r="E171" s="12"/>
      <c r="F171" s="12"/>
      <c r="G171" s="12"/>
      <c r="H171" s="12">
        <v>100020062</v>
      </c>
      <c r="I171" s="12" t="s">
        <v>824</v>
      </c>
      <c r="J171" s="12"/>
      <c r="K171" s="12"/>
      <c r="L171" s="12" t="s">
        <v>825</v>
      </c>
      <c r="M171" s="12"/>
      <c r="N171" s="13"/>
      <c r="O171" s="10">
        <v>4033</v>
      </c>
      <c r="P171" s="10"/>
      <c r="Q171" s="8"/>
      <c r="R171" s="6"/>
      <c r="S171" s="6"/>
      <c r="T171" t="b">
        <v>0</v>
      </c>
      <c r="U171" s="6"/>
      <c r="V171" s="6">
        <v>74061</v>
      </c>
      <c r="W171" s="6"/>
      <c r="X171" s="6"/>
      <c r="Y171" s="6"/>
      <c r="Z171" s="6"/>
      <c r="AA171" s="4" t="s">
        <v>826</v>
      </c>
    </row>
    <row r="172" spans="1:27">
      <c r="A172" s="12">
        <v>100020062</v>
      </c>
      <c r="B172" s="12">
        <v>2</v>
      </c>
      <c r="C172" s="12" t="s">
        <v>658</v>
      </c>
      <c r="D172" s="12"/>
      <c r="E172" s="12"/>
      <c r="F172" s="12"/>
      <c r="G172" s="12"/>
      <c r="H172" s="12">
        <v>100020063</v>
      </c>
      <c r="I172" s="12" t="s">
        <v>827</v>
      </c>
      <c r="J172" s="12"/>
      <c r="K172" s="12"/>
      <c r="L172" s="12" t="s">
        <v>828</v>
      </c>
      <c r="M172" s="12"/>
      <c r="N172" s="13"/>
      <c r="O172" s="10">
        <v>4031</v>
      </c>
      <c r="P172" s="10"/>
      <c r="Q172" s="8"/>
      <c r="R172" s="6"/>
      <c r="S172" s="6"/>
      <c r="T172" t="b">
        <v>0</v>
      </c>
      <c r="U172" s="6"/>
      <c r="V172" s="6">
        <v>74062</v>
      </c>
      <c r="W172" s="6"/>
      <c r="X172" s="6"/>
      <c r="Y172" s="6"/>
      <c r="Z172" s="6"/>
      <c r="AA172" s="4" t="s">
        <v>829</v>
      </c>
    </row>
    <row r="173" spans="1:27">
      <c r="A173" s="12">
        <v>100020063</v>
      </c>
      <c r="B173" s="12">
        <v>2</v>
      </c>
      <c r="C173" s="12" t="s">
        <v>658</v>
      </c>
      <c r="D173" s="12"/>
      <c r="E173" s="12"/>
      <c r="F173" s="12"/>
      <c r="G173" s="12"/>
      <c r="H173" s="12">
        <v>100020064</v>
      </c>
      <c r="I173" s="12" t="s">
        <v>830</v>
      </c>
      <c r="J173" s="12"/>
      <c r="K173" s="12"/>
      <c r="L173" s="12" t="s">
        <v>831</v>
      </c>
      <c r="M173" s="12"/>
      <c r="N173" s="13"/>
      <c r="O173" s="10">
        <v>4032</v>
      </c>
      <c r="P173" s="10"/>
      <c r="Q173" s="8"/>
      <c r="R173" s="6"/>
      <c r="S173" s="6"/>
      <c r="T173" t="b">
        <v>0</v>
      </c>
      <c r="U173" s="6"/>
      <c r="V173" s="6">
        <v>74063</v>
      </c>
      <c r="W173" s="6"/>
      <c r="X173" s="6"/>
      <c r="Y173" s="6"/>
      <c r="Z173" s="6">
        <v>100700</v>
      </c>
      <c r="AA173" s="4" t="s">
        <v>832</v>
      </c>
    </row>
    <row r="174" spans="1:27">
      <c r="A174" s="12">
        <v>100020064</v>
      </c>
      <c r="B174" s="12">
        <v>2</v>
      </c>
      <c r="C174" s="12" t="s">
        <v>658</v>
      </c>
      <c r="D174" s="12"/>
      <c r="E174" s="12"/>
      <c r="F174" s="12"/>
      <c r="G174" s="12"/>
      <c r="H174" s="12">
        <v>100020065</v>
      </c>
      <c r="I174" s="12" t="s">
        <v>833</v>
      </c>
      <c r="J174" s="12"/>
      <c r="K174" s="12"/>
      <c r="L174" s="12" t="s">
        <v>834</v>
      </c>
      <c r="M174" s="12"/>
      <c r="N174" s="13"/>
      <c r="O174" s="10">
        <v>4031</v>
      </c>
      <c r="P174" s="10"/>
      <c r="Q174" s="8"/>
      <c r="R174" s="6"/>
      <c r="S174" s="6"/>
      <c r="T174" t="b">
        <v>0</v>
      </c>
      <c r="U174" s="6"/>
      <c r="V174" s="6">
        <v>74064</v>
      </c>
      <c r="W174" s="6"/>
      <c r="X174" s="6"/>
      <c r="Y174" s="6"/>
      <c r="Z174" s="6"/>
      <c r="AA174" s="4" t="s">
        <v>835</v>
      </c>
    </row>
    <row r="175" spans="1:27">
      <c r="A175" s="12">
        <v>100020065</v>
      </c>
      <c r="B175" s="12">
        <v>2</v>
      </c>
      <c r="C175" s="12" t="s">
        <v>658</v>
      </c>
      <c r="D175" s="12"/>
      <c r="E175" s="12"/>
      <c r="F175" s="12"/>
      <c r="G175" s="12"/>
      <c r="H175" s="12">
        <v>100020066</v>
      </c>
      <c r="I175" s="12" t="s">
        <v>836</v>
      </c>
      <c r="J175" s="12"/>
      <c r="K175" s="12"/>
      <c r="L175" s="12" t="s">
        <v>837</v>
      </c>
      <c r="M175" s="12"/>
      <c r="N175" s="13"/>
      <c r="O175" s="10">
        <v>4044</v>
      </c>
      <c r="P175" s="10"/>
      <c r="Q175" s="8"/>
      <c r="R175" s="6"/>
      <c r="S175" s="6"/>
      <c r="T175" t="b">
        <v>0</v>
      </c>
      <c r="U175" s="6"/>
      <c r="V175" s="6">
        <v>74065</v>
      </c>
      <c r="W175" s="6"/>
      <c r="X175" s="6"/>
      <c r="Y175" s="6"/>
      <c r="Z175" s="6"/>
      <c r="AA175" s="4" t="s">
        <v>838</v>
      </c>
    </row>
    <row r="176" spans="1:27">
      <c r="A176" s="12">
        <v>100020066</v>
      </c>
      <c r="B176" s="12">
        <v>2</v>
      </c>
      <c r="C176" s="12" t="s">
        <v>658</v>
      </c>
      <c r="D176" s="12"/>
      <c r="E176" s="12"/>
      <c r="F176" s="12"/>
      <c r="G176" s="12"/>
      <c r="H176" s="12">
        <v>100020067</v>
      </c>
      <c r="I176" s="12" t="s">
        <v>839</v>
      </c>
      <c r="J176" s="12"/>
      <c r="K176" s="12"/>
      <c r="L176" s="12" t="s">
        <v>834</v>
      </c>
      <c r="M176" s="12"/>
      <c r="N176" s="13"/>
      <c r="O176" s="10">
        <v>3134</v>
      </c>
      <c r="P176" s="10"/>
      <c r="Q176" s="8"/>
      <c r="R176" s="6"/>
      <c r="S176" s="6"/>
      <c r="T176" t="b">
        <v>0</v>
      </c>
      <c r="U176" s="6"/>
      <c r="V176" s="6">
        <v>74066</v>
      </c>
      <c r="W176" s="6"/>
      <c r="X176" s="6"/>
      <c r="Y176" s="6"/>
      <c r="Z176" s="6"/>
      <c r="AA176" s="4" t="s">
        <v>840</v>
      </c>
    </row>
    <row r="177" spans="1:27">
      <c r="A177" s="12">
        <v>100020067</v>
      </c>
      <c r="B177" s="12">
        <v>2</v>
      </c>
      <c r="C177" s="12" t="s">
        <v>658</v>
      </c>
      <c r="D177" s="12"/>
      <c r="E177" s="12"/>
      <c r="F177" s="12"/>
      <c r="G177" s="12"/>
      <c r="H177" s="12">
        <v>100020068</v>
      </c>
      <c r="I177" s="12" t="s">
        <v>841</v>
      </c>
      <c r="J177" s="12"/>
      <c r="K177" s="12"/>
      <c r="L177" s="12" t="s">
        <v>834</v>
      </c>
      <c r="M177" s="12"/>
      <c r="N177" s="13"/>
      <c r="O177" s="10">
        <v>4031</v>
      </c>
      <c r="P177" s="10"/>
      <c r="Q177" s="8"/>
      <c r="R177" s="6"/>
      <c r="S177" s="6"/>
      <c r="T177" t="b">
        <v>0</v>
      </c>
      <c r="U177" s="6"/>
      <c r="V177" s="6">
        <v>74067</v>
      </c>
      <c r="W177" s="6"/>
      <c r="X177" s="6"/>
      <c r="Y177" s="6"/>
      <c r="Z177" s="6"/>
      <c r="AA177" s="4" t="s">
        <v>842</v>
      </c>
    </row>
    <row r="178" spans="1:27">
      <c r="A178" s="12">
        <v>100020068</v>
      </c>
      <c r="B178" s="12">
        <v>2</v>
      </c>
      <c r="C178" s="12" t="s">
        <v>658</v>
      </c>
      <c r="D178" s="12"/>
      <c r="E178" s="12"/>
      <c r="F178" s="12"/>
      <c r="G178" s="12"/>
      <c r="H178" s="12">
        <v>100020069</v>
      </c>
      <c r="I178" s="12" t="s">
        <v>843</v>
      </c>
      <c r="J178" s="12"/>
      <c r="K178" s="12"/>
      <c r="L178" s="12" t="s">
        <v>844</v>
      </c>
      <c r="M178" s="12"/>
      <c r="N178" s="13"/>
      <c r="O178" s="10">
        <v>3021</v>
      </c>
      <c r="P178" s="10"/>
      <c r="Q178" s="8"/>
      <c r="R178" s="6"/>
      <c r="S178" s="6"/>
      <c r="T178" t="b">
        <v>0</v>
      </c>
      <c r="U178" s="6"/>
      <c r="V178" s="6">
        <v>74068</v>
      </c>
      <c r="W178" s="6"/>
      <c r="X178" s="6"/>
      <c r="Y178" s="6"/>
      <c r="Z178" s="6"/>
      <c r="AA178" s="4" t="s">
        <v>845</v>
      </c>
    </row>
    <row r="179" spans="1:27">
      <c r="A179" s="12">
        <v>100020069</v>
      </c>
      <c r="B179" s="12">
        <v>2</v>
      </c>
      <c r="C179" s="12" t="s">
        <v>658</v>
      </c>
      <c r="D179" s="12"/>
      <c r="E179" s="12"/>
      <c r="F179" s="12"/>
      <c r="G179" s="12"/>
      <c r="H179" s="12">
        <v>100020070</v>
      </c>
      <c r="I179" s="12" t="s">
        <v>846</v>
      </c>
      <c r="J179" s="12"/>
      <c r="K179" s="12"/>
      <c r="L179" s="12" t="s">
        <v>828</v>
      </c>
      <c r="M179" s="12"/>
      <c r="N179" s="13"/>
      <c r="O179" s="10">
        <v>4031</v>
      </c>
      <c r="P179" s="10"/>
      <c r="Q179" s="8"/>
      <c r="R179" s="6"/>
      <c r="S179" s="6"/>
      <c r="T179" t="b">
        <v>0</v>
      </c>
      <c r="U179" s="6"/>
      <c r="V179" s="6">
        <v>74069</v>
      </c>
      <c r="W179" s="6"/>
      <c r="X179" s="6"/>
      <c r="Y179" s="6"/>
      <c r="Z179" s="6"/>
      <c r="AA179" s="4" t="s">
        <v>847</v>
      </c>
    </row>
    <row r="180" spans="1:27">
      <c r="A180" s="12">
        <v>100020070</v>
      </c>
      <c r="B180" s="12">
        <v>2</v>
      </c>
      <c r="C180" s="12" t="s">
        <v>658</v>
      </c>
      <c r="D180" s="12"/>
      <c r="E180" s="12"/>
      <c r="F180" s="12"/>
      <c r="G180" s="12"/>
      <c r="H180" s="12">
        <v>100020071</v>
      </c>
      <c r="I180" s="12" t="s">
        <v>848</v>
      </c>
      <c r="J180" s="12"/>
      <c r="K180" s="12"/>
      <c r="L180" s="12" t="s">
        <v>849</v>
      </c>
      <c r="M180" s="12"/>
      <c r="N180" s="13"/>
      <c r="O180" s="10">
        <v>4033</v>
      </c>
      <c r="P180" s="10"/>
      <c r="Q180" s="8"/>
      <c r="R180" s="6"/>
      <c r="S180" s="6"/>
      <c r="T180" t="b">
        <v>0</v>
      </c>
      <c r="U180" s="6"/>
      <c r="V180" s="6">
        <v>74070</v>
      </c>
      <c r="W180" s="6"/>
      <c r="X180" s="6"/>
      <c r="Y180" s="6"/>
      <c r="Z180" s="6"/>
      <c r="AA180" s="4" t="s">
        <v>850</v>
      </c>
    </row>
    <row r="181" spans="1:27">
      <c r="A181" s="12">
        <v>100020071</v>
      </c>
      <c r="B181" s="12">
        <v>2</v>
      </c>
      <c r="C181" s="12" t="s">
        <v>658</v>
      </c>
      <c r="D181" s="12"/>
      <c r="E181" s="12"/>
      <c r="F181" s="12"/>
      <c r="G181" s="12"/>
      <c r="H181" s="12">
        <v>100020072</v>
      </c>
      <c r="I181" s="12" t="s">
        <v>851</v>
      </c>
      <c r="J181" s="12"/>
      <c r="K181" s="12"/>
      <c r="L181" s="12" t="s">
        <v>852</v>
      </c>
      <c r="M181" s="12"/>
      <c r="N181" s="13"/>
      <c r="O181" s="10">
        <v>4031</v>
      </c>
      <c r="P181" s="10"/>
      <c r="Q181" s="8"/>
      <c r="R181" s="6"/>
      <c r="S181" s="6"/>
      <c r="T181" t="b">
        <v>0</v>
      </c>
      <c r="U181" s="6"/>
      <c r="V181" s="6">
        <v>74071</v>
      </c>
      <c r="W181" s="6"/>
      <c r="X181" s="6"/>
      <c r="Y181" s="6"/>
      <c r="Z181" s="6"/>
      <c r="AA181" s="4" t="s">
        <v>853</v>
      </c>
    </row>
    <row r="182" spans="1:27">
      <c r="A182" s="12">
        <v>100020072</v>
      </c>
      <c r="B182" s="12">
        <v>2</v>
      </c>
      <c r="C182" s="12" t="s">
        <v>658</v>
      </c>
      <c r="D182" s="12"/>
      <c r="E182" s="12"/>
      <c r="F182" s="12"/>
      <c r="G182" s="12"/>
      <c r="H182" s="12">
        <v>100020073</v>
      </c>
      <c r="I182" s="12" t="s">
        <v>854</v>
      </c>
      <c r="J182" s="12"/>
      <c r="K182" s="12"/>
      <c r="L182" s="12" t="s">
        <v>855</v>
      </c>
      <c r="M182" s="12"/>
      <c r="N182" s="13"/>
      <c r="O182" s="10">
        <v>4041</v>
      </c>
      <c r="P182" s="10"/>
      <c r="Q182" s="8"/>
      <c r="R182" s="6"/>
      <c r="S182" s="6"/>
      <c r="T182" t="b">
        <v>0</v>
      </c>
      <c r="U182" s="6"/>
      <c r="V182" s="6">
        <v>74072</v>
      </c>
      <c r="W182" s="6"/>
      <c r="X182" s="6"/>
      <c r="Y182" s="6"/>
      <c r="Z182" s="6"/>
      <c r="AA182" s="4" t="s">
        <v>856</v>
      </c>
    </row>
    <row r="183" spans="1:27">
      <c r="A183" s="12">
        <v>100020073</v>
      </c>
      <c r="B183" s="12">
        <v>2</v>
      </c>
      <c r="C183" s="12" t="s">
        <v>658</v>
      </c>
      <c r="D183" s="12"/>
      <c r="E183" s="12"/>
      <c r="F183" s="12"/>
      <c r="G183" s="12"/>
      <c r="H183" s="12">
        <v>100020074</v>
      </c>
      <c r="I183" s="12" t="s">
        <v>784</v>
      </c>
      <c r="J183" s="12"/>
      <c r="K183" s="12"/>
      <c r="L183" s="12" t="s">
        <v>852</v>
      </c>
      <c r="M183" s="12"/>
      <c r="N183" s="13"/>
      <c r="O183" s="10">
        <v>4003</v>
      </c>
      <c r="P183" s="10"/>
      <c r="Q183" s="8"/>
      <c r="R183" s="6"/>
      <c r="S183" s="6"/>
      <c r="T183" t="b">
        <v>0</v>
      </c>
      <c r="U183" s="6"/>
      <c r="V183" s="6">
        <v>74073</v>
      </c>
      <c r="W183" s="6"/>
      <c r="X183" s="6"/>
      <c r="Y183" s="6"/>
      <c r="Z183" s="6">
        <v>-1</v>
      </c>
      <c r="AA183" s="4" t="s">
        <v>786</v>
      </c>
    </row>
    <row r="184" spans="1:27">
      <c r="A184" s="12">
        <v>100020074</v>
      </c>
      <c r="B184" s="12">
        <v>2</v>
      </c>
      <c r="C184" s="12" t="s">
        <v>658</v>
      </c>
      <c r="D184" s="12"/>
      <c r="E184" s="12"/>
      <c r="F184" s="12"/>
      <c r="G184" s="12"/>
      <c r="H184" s="12">
        <v>100020075</v>
      </c>
      <c r="I184" s="12" t="s">
        <v>787</v>
      </c>
      <c r="J184" s="12"/>
      <c r="K184" s="12"/>
      <c r="L184" s="12" t="s">
        <v>857</v>
      </c>
      <c r="M184" s="12"/>
      <c r="N184" s="13"/>
      <c r="O184" s="10">
        <v>4004</v>
      </c>
      <c r="P184" s="10"/>
      <c r="Q184" s="8"/>
      <c r="R184" s="6"/>
      <c r="S184" s="6"/>
      <c r="T184" t="b">
        <v>0</v>
      </c>
      <c r="U184" s="6"/>
      <c r="V184" s="6">
        <v>74074</v>
      </c>
      <c r="W184" s="6"/>
      <c r="X184" s="6"/>
      <c r="Y184" s="6"/>
      <c r="Z184" s="6"/>
      <c r="AA184" s="4" t="s">
        <v>788</v>
      </c>
    </row>
    <row r="185" spans="1:27">
      <c r="A185" s="12">
        <v>100020075</v>
      </c>
      <c r="B185" s="12">
        <v>2</v>
      </c>
      <c r="C185" s="12" t="s">
        <v>658</v>
      </c>
      <c r="D185" s="12"/>
      <c r="E185" s="12"/>
      <c r="F185" s="12"/>
      <c r="G185" s="12"/>
      <c r="H185" s="12">
        <v>100020076</v>
      </c>
      <c r="I185" s="12" t="s">
        <v>858</v>
      </c>
      <c r="J185" s="12"/>
      <c r="K185" s="12"/>
      <c r="L185" s="12" t="s">
        <v>849</v>
      </c>
      <c r="M185" s="12"/>
      <c r="N185" s="13"/>
      <c r="O185" s="10">
        <v>4033</v>
      </c>
      <c r="P185" s="10"/>
      <c r="Q185" s="8"/>
      <c r="R185" s="6"/>
      <c r="S185" s="6"/>
      <c r="T185" t="b">
        <v>0</v>
      </c>
      <c r="U185" s="6"/>
      <c r="V185" s="6">
        <v>74075</v>
      </c>
      <c r="W185" s="6"/>
      <c r="X185" s="6"/>
      <c r="Y185" s="6"/>
      <c r="Z185" s="6"/>
      <c r="AA185" s="4" t="s">
        <v>859</v>
      </c>
    </row>
    <row r="186" spans="1:27">
      <c r="A186" s="12">
        <v>100020076</v>
      </c>
      <c r="B186" s="12">
        <v>2</v>
      </c>
      <c r="C186" s="12" t="s">
        <v>658</v>
      </c>
      <c r="D186" s="12"/>
      <c r="E186" s="12"/>
      <c r="F186" s="12"/>
      <c r="G186" s="12"/>
      <c r="H186" s="12">
        <v>100020077</v>
      </c>
      <c r="I186" s="12" t="s">
        <v>860</v>
      </c>
      <c r="J186" s="12"/>
      <c r="K186" s="12"/>
      <c r="L186" s="12" t="s">
        <v>852</v>
      </c>
      <c r="M186" s="12"/>
      <c r="N186" s="13"/>
      <c r="O186" s="10">
        <v>4031</v>
      </c>
      <c r="P186" s="10"/>
      <c r="Q186" s="8"/>
      <c r="R186" s="6"/>
      <c r="S186" s="6"/>
      <c r="T186" t="b">
        <v>0</v>
      </c>
      <c r="U186" s="6"/>
      <c r="V186" s="6">
        <v>74076</v>
      </c>
      <c r="W186" s="6"/>
      <c r="X186" s="6"/>
      <c r="Y186" s="6"/>
      <c r="Z186" s="6"/>
      <c r="AA186" s="4" t="s">
        <v>861</v>
      </c>
    </row>
    <row r="187" spans="1:27">
      <c r="A187" s="12">
        <v>100020077</v>
      </c>
      <c r="B187" s="12">
        <v>2</v>
      </c>
      <c r="C187" s="12" t="s">
        <v>658</v>
      </c>
      <c r="D187" s="12"/>
      <c r="E187" s="12"/>
      <c r="F187" s="12"/>
      <c r="G187" s="12"/>
      <c r="H187" s="12">
        <v>100020078</v>
      </c>
      <c r="I187" s="12" t="s">
        <v>862</v>
      </c>
      <c r="J187" s="12"/>
      <c r="K187" s="12"/>
      <c r="L187" s="12" t="s">
        <v>863</v>
      </c>
      <c r="M187" s="12"/>
      <c r="N187" s="13"/>
      <c r="O187" s="10">
        <v>4032</v>
      </c>
      <c r="P187" s="10"/>
      <c r="Q187" s="8"/>
      <c r="R187" s="6"/>
      <c r="S187" s="6"/>
      <c r="T187" t="b">
        <v>0</v>
      </c>
      <c r="U187" s="6"/>
      <c r="V187" s="6">
        <v>74077</v>
      </c>
      <c r="W187" s="6"/>
      <c r="X187" s="6"/>
      <c r="Y187" s="6"/>
      <c r="Z187" s="6">
        <v>-1</v>
      </c>
      <c r="AA187" s="4" t="s">
        <v>864</v>
      </c>
    </row>
    <row r="188" spans="1:27">
      <c r="A188" s="12">
        <v>100020078</v>
      </c>
      <c r="B188" s="12">
        <v>2</v>
      </c>
      <c r="C188" s="12" t="s">
        <v>658</v>
      </c>
      <c r="D188" s="12"/>
      <c r="E188" s="12"/>
      <c r="F188" s="12"/>
      <c r="G188" s="12"/>
      <c r="H188" s="12">
        <v>100020079</v>
      </c>
      <c r="I188" s="12" t="s">
        <v>865</v>
      </c>
      <c r="J188" s="12"/>
      <c r="K188" s="12"/>
      <c r="L188" s="12" t="s">
        <v>866</v>
      </c>
      <c r="M188" s="12"/>
      <c r="N188" s="13"/>
      <c r="O188" s="10">
        <v>4031</v>
      </c>
      <c r="P188" s="10"/>
      <c r="Q188" s="8"/>
      <c r="R188" s="6"/>
      <c r="S188" s="6"/>
      <c r="T188" t="b">
        <v>0</v>
      </c>
      <c r="U188" s="6"/>
      <c r="V188" s="6">
        <v>74078</v>
      </c>
      <c r="W188" s="6"/>
      <c r="X188" s="6"/>
      <c r="Y188" s="6"/>
      <c r="Z188" s="6"/>
      <c r="AA188" s="4" t="s">
        <v>867</v>
      </c>
    </row>
    <row r="189" spans="1:27">
      <c r="A189" s="12">
        <v>100020079</v>
      </c>
      <c r="B189" s="12">
        <v>2</v>
      </c>
      <c r="C189" s="12" t="s">
        <v>658</v>
      </c>
      <c r="D189" s="12"/>
      <c r="E189" s="12"/>
      <c r="F189" s="12"/>
      <c r="G189" s="12"/>
      <c r="H189" s="12">
        <v>100020080</v>
      </c>
      <c r="I189" s="12" t="s">
        <v>868</v>
      </c>
      <c r="J189" s="12"/>
      <c r="K189" s="12"/>
      <c r="L189" s="12" t="s">
        <v>869</v>
      </c>
      <c r="M189" s="12"/>
      <c r="N189" s="13"/>
      <c r="O189" s="10">
        <v>4042</v>
      </c>
      <c r="P189" s="10"/>
      <c r="Q189" s="8"/>
      <c r="R189" s="6"/>
      <c r="S189" s="6"/>
      <c r="T189" t="b">
        <v>0</v>
      </c>
      <c r="U189" s="6"/>
      <c r="V189" s="6">
        <v>74079</v>
      </c>
      <c r="W189" s="6"/>
      <c r="X189" s="6"/>
      <c r="Y189" s="6"/>
      <c r="Z189" s="6"/>
      <c r="AA189" s="4" t="s">
        <v>870</v>
      </c>
    </row>
    <row r="190" spans="1:27">
      <c r="A190" s="12">
        <v>100020080</v>
      </c>
      <c r="B190" s="12">
        <v>2</v>
      </c>
      <c r="C190" s="12" t="s">
        <v>658</v>
      </c>
      <c r="D190" s="12"/>
      <c r="E190" s="12"/>
      <c r="F190" s="12"/>
      <c r="G190" s="12"/>
      <c r="H190" s="12">
        <v>100020081</v>
      </c>
      <c r="I190" s="12" t="s">
        <v>871</v>
      </c>
      <c r="J190" s="12"/>
      <c r="K190" s="12"/>
      <c r="L190" s="12" t="s">
        <v>872</v>
      </c>
      <c r="M190" s="12"/>
      <c r="N190" s="13"/>
      <c r="O190" s="10">
        <v>4043</v>
      </c>
      <c r="P190" s="10"/>
      <c r="Q190" s="8"/>
      <c r="R190" s="6"/>
      <c r="S190" s="6"/>
      <c r="T190" t="b">
        <v>0</v>
      </c>
      <c r="U190" s="6"/>
      <c r="V190" s="6">
        <v>74080</v>
      </c>
      <c r="W190" s="6"/>
      <c r="X190" s="6"/>
      <c r="Y190" s="6"/>
      <c r="Z190" s="6"/>
      <c r="AA190" s="4" t="s">
        <v>873</v>
      </c>
    </row>
    <row r="191" spans="1:27">
      <c r="A191" s="12">
        <v>100020081</v>
      </c>
      <c r="B191" s="12">
        <v>2</v>
      </c>
      <c r="C191" s="12" t="s">
        <v>658</v>
      </c>
      <c r="D191" s="12"/>
      <c r="E191" s="12"/>
      <c r="F191" s="12"/>
      <c r="G191" s="12"/>
      <c r="H191" s="12">
        <v>100020082</v>
      </c>
      <c r="I191" s="12" t="s">
        <v>874</v>
      </c>
      <c r="J191" s="12"/>
      <c r="K191" s="12"/>
      <c r="L191" s="12" t="s">
        <v>849</v>
      </c>
      <c r="M191" s="12"/>
      <c r="N191" s="13"/>
      <c r="O191" s="10">
        <v>4033</v>
      </c>
      <c r="P191" s="10"/>
      <c r="Q191" s="8"/>
      <c r="R191" s="6"/>
      <c r="S191" s="6"/>
      <c r="T191" t="b">
        <v>0</v>
      </c>
      <c r="U191" s="6"/>
      <c r="V191" s="6">
        <v>74081</v>
      </c>
      <c r="W191" s="6"/>
      <c r="X191" s="6"/>
      <c r="Y191" s="6"/>
      <c r="Z191" s="6"/>
      <c r="AA191" s="4" t="s">
        <v>875</v>
      </c>
    </row>
    <row r="192" spans="1:27">
      <c r="A192" s="12">
        <v>100020082</v>
      </c>
      <c r="B192" s="12">
        <v>2</v>
      </c>
      <c r="C192" s="12" t="s">
        <v>658</v>
      </c>
      <c r="D192" s="12"/>
      <c r="E192" s="12"/>
      <c r="F192" s="12"/>
      <c r="G192" s="12"/>
      <c r="H192" s="12">
        <v>100020083</v>
      </c>
      <c r="I192" s="12" t="s">
        <v>876</v>
      </c>
      <c r="J192" s="12"/>
      <c r="K192" s="12"/>
      <c r="L192" s="12" t="s">
        <v>877</v>
      </c>
      <c r="M192" s="12"/>
      <c r="N192" s="13"/>
      <c r="O192" s="10">
        <v>4031</v>
      </c>
      <c r="P192" s="10"/>
      <c r="Q192" s="8"/>
      <c r="R192" s="6"/>
      <c r="S192" s="6"/>
      <c r="T192" t="b">
        <v>0</v>
      </c>
      <c r="U192" s="6"/>
      <c r="V192" s="6">
        <v>74082</v>
      </c>
      <c r="W192" s="6"/>
      <c r="X192" s="6"/>
      <c r="Y192" s="6"/>
      <c r="Z192" s="6"/>
      <c r="AA192" s="4" t="s">
        <v>878</v>
      </c>
    </row>
    <row r="193" spans="1:27">
      <c r="A193" s="12">
        <v>100020083</v>
      </c>
      <c r="B193" s="12">
        <v>2</v>
      </c>
      <c r="C193" s="12" t="s">
        <v>658</v>
      </c>
      <c r="D193" s="12"/>
      <c r="E193" s="12"/>
      <c r="F193" s="12"/>
      <c r="G193" s="12"/>
      <c r="H193" s="12">
        <v>100020084</v>
      </c>
      <c r="I193" s="12" t="s">
        <v>879</v>
      </c>
      <c r="J193" s="12"/>
      <c r="K193" s="12"/>
      <c r="L193" s="12" t="s">
        <v>880</v>
      </c>
      <c r="M193" s="12"/>
      <c r="N193" s="13"/>
      <c r="O193" s="10">
        <v>3404</v>
      </c>
      <c r="P193" s="10"/>
      <c r="Q193" s="8"/>
      <c r="R193" s="6"/>
      <c r="S193" s="6"/>
      <c r="T193" t="b">
        <v>0</v>
      </c>
      <c r="U193" s="6"/>
      <c r="V193" s="6">
        <v>74083</v>
      </c>
      <c r="W193" s="6"/>
      <c r="X193" s="6"/>
      <c r="Y193" s="6"/>
      <c r="Z193" s="6"/>
      <c r="AA193" s="4" t="s">
        <v>881</v>
      </c>
    </row>
    <row r="194" spans="1:27">
      <c r="A194" s="12">
        <v>100020084</v>
      </c>
      <c r="B194" s="12">
        <v>2</v>
      </c>
      <c r="C194" s="12" t="s">
        <v>658</v>
      </c>
      <c r="D194" s="12"/>
      <c r="E194" s="12"/>
      <c r="F194" s="12"/>
      <c r="G194" s="12"/>
      <c r="H194" s="12">
        <v>100020085</v>
      </c>
      <c r="I194" s="12" t="s">
        <v>882</v>
      </c>
      <c r="J194" s="12"/>
      <c r="K194" s="12"/>
      <c r="L194" s="12" t="s">
        <v>883</v>
      </c>
      <c r="M194" s="12"/>
      <c r="N194" s="13"/>
      <c r="O194" s="10">
        <v>3204</v>
      </c>
      <c r="P194" s="10"/>
      <c r="Q194" s="8"/>
      <c r="R194" s="6"/>
      <c r="S194" s="6"/>
      <c r="T194" t="b">
        <v>0</v>
      </c>
      <c r="U194" s="6"/>
      <c r="V194" s="6">
        <v>74084</v>
      </c>
      <c r="W194" s="6"/>
      <c r="X194" s="6"/>
      <c r="Y194" s="6"/>
      <c r="Z194" s="6"/>
      <c r="AA194" s="4" t="s">
        <v>884</v>
      </c>
    </row>
    <row r="195" spans="1:27">
      <c r="A195" s="12">
        <v>100020085</v>
      </c>
      <c r="B195" s="12">
        <v>2</v>
      </c>
      <c r="C195" s="12" t="s">
        <v>658</v>
      </c>
      <c r="D195" s="12"/>
      <c r="E195" s="12"/>
      <c r="F195" s="12"/>
      <c r="G195" s="12"/>
      <c r="H195" s="12">
        <v>100020086</v>
      </c>
      <c r="I195" s="12" t="s">
        <v>885</v>
      </c>
      <c r="J195" s="12"/>
      <c r="K195" s="12"/>
      <c r="L195" s="12" t="s">
        <v>886</v>
      </c>
      <c r="M195" s="12"/>
      <c r="N195" s="13"/>
      <c r="O195" s="10">
        <v>3204</v>
      </c>
      <c r="P195" s="10"/>
      <c r="Q195" s="8"/>
      <c r="R195" s="6"/>
      <c r="S195" s="6"/>
      <c r="T195" t="b">
        <v>0</v>
      </c>
      <c r="U195" s="6"/>
      <c r="V195" s="6">
        <v>74085</v>
      </c>
      <c r="W195" s="6"/>
      <c r="X195" s="6"/>
      <c r="Y195" s="6"/>
      <c r="Z195" s="6"/>
      <c r="AA195" s="4" t="s">
        <v>887</v>
      </c>
    </row>
    <row r="196" spans="1:27">
      <c r="A196" s="12">
        <v>100020086</v>
      </c>
      <c r="B196" s="12">
        <v>2</v>
      </c>
      <c r="C196" s="12" t="s">
        <v>658</v>
      </c>
      <c r="D196" s="12"/>
      <c r="E196" s="12"/>
      <c r="F196" s="12"/>
      <c r="G196" s="12"/>
      <c r="H196" s="12">
        <v>100020087</v>
      </c>
      <c r="I196" s="12" t="s">
        <v>888</v>
      </c>
      <c r="J196" s="12"/>
      <c r="K196" s="12"/>
      <c r="L196" s="12" t="s">
        <v>889</v>
      </c>
      <c r="M196" s="12"/>
      <c r="N196" s="13"/>
      <c r="O196" s="10">
        <v>3204</v>
      </c>
      <c r="P196" s="10"/>
      <c r="Q196" s="8"/>
      <c r="R196" s="6"/>
      <c r="S196" s="6"/>
      <c r="T196" t="b">
        <v>0</v>
      </c>
      <c r="U196" s="6"/>
      <c r="V196" s="6">
        <v>74086</v>
      </c>
      <c r="W196" s="6"/>
      <c r="X196" s="6"/>
      <c r="Y196" s="6"/>
      <c r="Z196" s="6">
        <v>101800</v>
      </c>
      <c r="AA196" s="4" t="s">
        <v>890</v>
      </c>
    </row>
    <row r="197" spans="1:27">
      <c r="A197" s="12">
        <v>100020087</v>
      </c>
      <c r="B197" s="12">
        <v>2</v>
      </c>
      <c r="C197" s="12" t="s">
        <v>658</v>
      </c>
      <c r="D197" s="12"/>
      <c r="E197" s="12"/>
      <c r="F197" s="12"/>
      <c r="G197" s="12"/>
      <c r="H197" s="12">
        <v>100020088</v>
      </c>
      <c r="I197" s="12" t="s">
        <v>891</v>
      </c>
      <c r="J197" s="12"/>
      <c r="K197" s="12"/>
      <c r="L197" s="12" t="s">
        <v>892</v>
      </c>
      <c r="M197" s="12"/>
      <c r="N197" s="13"/>
      <c r="O197" s="10">
        <v>3204</v>
      </c>
      <c r="P197" s="10"/>
      <c r="Q197" s="8"/>
      <c r="R197" s="6"/>
      <c r="S197" s="6"/>
      <c r="T197" t="b">
        <v>0</v>
      </c>
      <c r="U197" s="6"/>
      <c r="V197" s="6">
        <v>74087</v>
      </c>
      <c r="W197" s="6"/>
      <c r="X197" s="6"/>
      <c r="Y197" s="6"/>
      <c r="Z197" s="6"/>
      <c r="AA197" s="4" t="s">
        <v>893</v>
      </c>
    </row>
    <row r="198" spans="1:27">
      <c r="A198" s="12">
        <v>100020088</v>
      </c>
      <c r="B198" s="12">
        <v>2</v>
      </c>
      <c r="C198" s="12" t="s">
        <v>658</v>
      </c>
      <c r="D198" s="12"/>
      <c r="E198" s="12"/>
      <c r="F198" s="12"/>
      <c r="G198" s="12"/>
      <c r="H198" s="12">
        <v>100020089</v>
      </c>
      <c r="I198" s="12" t="s">
        <v>836</v>
      </c>
      <c r="J198" s="12"/>
      <c r="K198" s="12"/>
      <c r="L198" s="12" t="s">
        <v>883</v>
      </c>
      <c r="M198" s="12"/>
      <c r="N198" s="13"/>
      <c r="O198" s="10">
        <v>4044</v>
      </c>
      <c r="P198" s="10"/>
      <c r="Q198" s="8"/>
      <c r="R198" s="6"/>
      <c r="S198" s="6"/>
      <c r="T198" t="b">
        <v>0</v>
      </c>
      <c r="U198" s="6"/>
      <c r="V198" s="6">
        <v>74088</v>
      </c>
      <c r="W198" s="6"/>
      <c r="X198" s="6"/>
      <c r="Y198" s="6"/>
      <c r="Z198" s="6"/>
      <c r="AA198" s="4" t="s">
        <v>838</v>
      </c>
    </row>
    <row r="199" spans="1:27">
      <c r="A199" s="12">
        <v>100020089</v>
      </c>
      <c r="B199" s="12">
        <v>2</v>
      </c>
      <c r="C199" s="12" t="s">
        <v>658</v>
      </c>
      <c r="D199" s="12"/>
      <c r="E199" s="12"/>
      <c r="F199" s="12"/>
      <c r="G199" s="12"/>
      <c r="H199" s="12">
        <v>100020090</v>
      </c>
      <c r="I199" s="12" t="s">
        <v>839</v>
      </c>
      <c r="J199" s="12"/>
      <c r="K199" s="12"/>
      <c r="L199" s="12" t="s">
        <v>894</v>
      </c>
      <c r="M199" s="12"/>
      <c r="N199" s="13"/>
      <c r="O199" s="10">
        <v>3134</v>
      </c>
      <c r="P199" s="10"/>
      <c r="Q199" s="8"/>
      <c r="R199" s="6"/>
      <c r="S199" s="6"/>
      <c r="T199" t="b">
        <v>0</v>
      </c>
      <c r="U199" s="6"/>
      <c r="V199" s="6">
        <v>74089</v>
      </c>
      <c r="W199" s="6"/>
      <c r="X199" s="6"/>
      <c r="Y199" s="6"/>
      <c r="Z199" s="6"/>
      <c r="AA199" s="4" t="s">
        <v>840</v>
      </c>
    </row>
    <row r="200" spans="1:27">
      <c r="A200" s="12">
        <v>100020090</v>
      </c>
      <c r="B200" s="12">
        <v>2</v>
      </c>
      <c r="C200" s="12" t="s">
        <v>658</v>
      </c>
      <c r="D200" s="12"/>
      <c r="E200" s="12"/>
      <c r="F200" s="12"/>
      <c r="G200" s="12"/>
      <c r="H200" s="12">
        <v>100020091</v>
      </c>
      <c r="I200" s="12" t="s">
        <v>895</v>
      </c>
      <c r="J200" s="12"/>
      <c r="K200" s="12"/>
      <c r="L200" s="12" t="s">
        <v>896</v>
      </c>
      <c r="M200" s="12"/>
      <c r="N200" s="13"/>
      <c r="O200" s="10">
        <v>3204</v>
      </c>
      <c r="P200" s="10"/>
      <c r="Q200" s="8"/>
      <c r="R200" s="6"/>
      <c r="S200" s="6"/>
      <c r="T200" t="b">
        <v>0</v>
      </c>
      <c r="U200" s="6"/>
      <c r="V200" s="6">
        <v>74090</v>
      </c>
      <c r="W200" s="6"/>
      <c r="X200" s="6"/>
      <c r="Y200" s="6"/>
      <c r="Z200" s="6"/>
      <c r="AA200" s="4" t="s">
        <v>897</v>
      </c>
    </row>
    <row r="201" spans="1:27">
      <c r="A201" s="12">
        <v>100020091</v>
      </c>
      <c r="B201" s="12">
        <v>2</v>
      </c>
      <c r="C201" s="12" t="s">
        <v>658</v>
      </c>
      <c r="D201" s="12"/>
      <c r="E201" s="12"/>
      <c r="F201" s="12"/>
      <c r="G201" s="12"/>
      <c r="H201" s="12">
        <v>100020092</v>
      </c>
      <c r="I201" s="12" t="s">
        <v>843</v>
      </c>
      <c r="J201" s="12"/>
      <c r="K201" s="12"/>
      <c r="L201" s="12" t="s">
        <v>896</v>
      </c>
      <c r="M201" s="12"/>
      <c r="N201" s="13"/>
      <c r="O201" s="10">
        <v>3021</v>
      </c>
      <c r="P201" s="10"/>
      <c r="Q201" s="8"/>
      <c r="R201" s="6"/>
      <c r="S201" s="6"/>
      <c r="T201" t="b">
        <v>0</v>
      </c>
      <c r="U201" s="6"/>
      <c r="V201" s="6">
        <v>74091</v>
      </c>
      <c r="W201" s="6"/>
      <c r="X201" s="6"/>
      <c r="Y201" s="6"/>
      <c r="Z201" s="6"/>
      <c r="AA201" s="4" t="s">
        <v>845</v>
      </c>
    </row>
    <row r="202" spans="1:27">
      <c r="A202" s="12">
        <v>100020092</v>
      </c>
      <c r="B202" s="12">
        <v>2</v>
      </c>
      <c r="C202" s="12" t="s">
        <v>658</v>
      </c>
      <c r="D202" s="12"/>
      <c r="E202" s="12"/>
      <c r="F202" s="12"/>
      <c r="G202" s="12"/>
      <c r="H202" s="12">
        <v>100020093</v>
      </c>
      <c r="I202" s="12" t="s">
        <v>898</v>
      </c>
      <c r="J202" s="12"/>
      <c r="K202" s="12"/>
      <c r="L202" s="12" t="s">
        <v>899</v>
      </c>
      <c r="M202" s="12"/>
      <c r="N202" s="13"/>
      <c r="O202" s="10">
        <v>3204</v>
      </c>
      <c r="P202" s="10"/>
      <c r="Q202" s="8"/>
      <c r="R202" s="6"/>
      <c r="S202" s="6"/>
      <c r="T202" t="b">
        <v>0</v>
      </c>
      <c r="U202" s="6"/>
      <c r="V202" s="6">
        <v>74092</v>
      </c>
      <c r="W202" s="6"/>
      <c r="X202" s="6"/>
      <c r="Y202" s="6"/>
      <c r="Z202" s="6"/>
      <c r="AA202" s="4" t="s">
        <v>900</v>
      </c>
    </row>
    <row r="203" spans="1:27">
      <c r="A203" s="12">
        <v>100020093</v>
      </c>
      <c r="B203" s="12">
        <v>2</v>
      </c>
      <c r="C203" s="12" t="s">
        <v>658</v>
      </c>
      <c r="D203" s="12"/>
      <c r="E203" s="12"/>
      <c r="F203" s="12"/>
      <c r="G203" s="12"/>
      <c r="H203" s="12">
        <v>100020094</v>
      </c>
      <c r="I203" s="12" t="s">
        <v>901</v>
      </c>
      <c r="J203" s="12"/>
      <c r="K203" s="12"/>
      <c r="L203" s="12" t="s">
        <v>902</v>
      </c>
      <c r="M203" s="12"/>
      <c r="N203" s="13"/>
      <c r="O203" s="10">
        <v>3204</v>
      </c>
      <c r="P203" s="10"/>
      <c r="Q203" s="8"/>
      <c r="R203" s="6"/>
      <c r="S203" s="6"/>
      <c r="T203" t="b">
        <v>0</v>
      </c>
      <c r="U203" s="6"/>
      <c r="V203" s="6">
        <v>74093</v>
      </c>
      <c r="W203" s="6"/>
      <c r="X203" s="6"/>
      <c r="Y203" s="6"/>
      <c r="Z203" s="6"/>
      <c r="AA203" s="4" t="s">
        <v>903</v>
      </c>
    </row>
    <row r="204" spans="1:27">
      <c r="A204" s="12">
        <v>100020094</v>
      </c>
      <c r="B204" s="12">
        <v>2</v>
      </c>
      <c r="C204" s="12" t="s">
        <v>658</v>
      </c>
      <c r="D204" s="12"/>
      <c r="E204" s="12"/>
      <c r="F204" s="12"/>
      <c r="G204" s="12"/>
      <c r="H204" s="12">
        <v>100020095</v>
      </c>
      <c r="I204" s="12" t="s">
        <v>904</v>
      </c>
      <c r="J204" s="12"/>
      <c r="K204" s="12"/>
      <c r="L204" s="12" t="s">
        <v>896</v>
      </c>
      <c r="M204" s="12"/>
      <c r="N204" s="13"/>
      <c r="O204" s="10">
        <v>3204</v>
      </c>
      <c r="P204" s="10"/>
      <c r="Q204" s="8"/>
      <c r="R204" s="6"/>
      <c r="S204" s="6"/>
      <c r="T204" t="b">
        <v>0</v>
      </c>
      <c r="U204" s="6"/>
      <c r="V204" s="6">
        <v>74094</v>
      </c>
      <c r="W204" s="6"/>
      <c r="X204" s="6"/>
      <c r="Y204" s="6"/>
      <c r="Z204" s="6"/>
      <c r="AA204" s="4" t="s">
        <v>905</v>
      </c>
    </row>
    <row r="205" spans="1:27">
      <c r="A205" s="12">
        <v>100020095</v>
      </c>
      <c r="B205" s="12">
        <v>2</v>
      </c>
      <c r="C205" s="12" t="s">
        <v>658</v>
      </c>
      <c r="D205" s="12"/>
      <c r="E205" s="12"/>
      <c r="F205" s="12"/>
      <c r="G205" s="12"/>
      <c r="H205" s="12">
        <v>100020096</v>
      </c>
      <c r="I205" s="12" t="s">
        <v>854</v>
      </c>
      <c r="J205" s="12"/>
      <c r="K205" s="12"/>
      <c r="L205" s="12" t="s">
        <v>906</v>
      </c>
      <c r="M205" s="12"/>
      <c r="N205" s="13"/>
      <c r="O205" s="10">
        <v>4041</v>
      </c>
      <c r="P205" s="10"/>
      <c r="Q205" s="8"/>
      <c r="R205" s="6"/>
      <c r="S205" s="6"/>
      <c r="T205" t="b">
        <v>0</v>
      </c>
      <c r="U205" s="6"/>
      <c r="V205" s="6">
        <v>74095</v>
      </c>
      <c r="W205" s="6"/>
      <c r="X205" s="6"/>
      <c r="Y205" s="6"/>
      <c r="Z205" s="6"/>
      <c r="AA205" s="4" t="s">
        <v>856</v>
      </c>
    </row>
    <row r="206" spans="1:27">
      <c r="A206" s="12">
        <v>100020096</v>
      </c>
      <c r="B206" s="12">
        <v>2</v>
      </c>
      <c r="C206" s="12" t="s">
        <v>658</v>
      </c>
      <c r="D206" s="12"/>
      <c r="E206" s="12"/>
      <c r="F206" s="12"/>
      <c r="G206" s="12"/>
      <c r="H206" s="12">
        <v>100020097</v>
      </c>
      <c r="I206" s="12" t="s">
        <v>784</v>
      </c>
      <c r="J206" s="12"/>
      <c r="K206" s="12"/>
      <c r="L206" s="12" t="s">
        <v>896</v>
      </c>
      <c r="M206" s="12"/>
      <c r="N206" s="13"/>
      <c r="O206" s="10">
        <v>4003</v>
      </c>
      <c r="P206" s="10"/>
      <c r="Q206" s="8"/>
      <c r="R206" s="6"/>
      <c r="S206" s="6"/>
      <c r="T206" t="b">
        <v>0</v>
      </c>
      <c r="U206" s="6"/>
      <c r="V206" s="6">
        <v>74096</v>
      </c>
      <c r="W206" s="6"/>
      <c r="X206" s="6"/>
      <c r="Y206" s="6"/>
      <c r="Z206" s="6">
        <v>-1</v>
      </c>
      <c r="AA206" s="4" t="s">
        <v>786</v>
      </c>
    </row>
    <row r="207" spans="1:27">
      <c r="A207" s="12">
        <v>100020097</v>
      </c>
      <c r="B207" s="12">
        <v>2</v>
      </c>
      <c r="C207" s="12" t="s">
        <v>658</v>
      </c>
      <c r="D207" s="12"/>
      <c r="E207" s="12"/>
      <c r="F207" s="12"/>
      <c r="G207" s="12"/>
      <c r="H207" s="12">
        <v>100020098</v>
      </c>
      <c r="I207" s="12" t="s">
        <v>787</v>
      </c>
      <c r="J207" s="12"/>
      <c r="K207" s="12"/>
      <c r="L207" s="12" t="s">
        <v>907</v>
      </c>
      <c r="M207" s="12"/>
      <c r="N207" s="13"/>
      <c r="O207" s="10">
        <v>4004</v>
      </c>
      <c r="P207" s="10"/>
      <c r="Q207" s="8"/>
      <c r="R207" s="6"/>
      <c r="S207" s="6"/>
      <c r="T207" t="b">
        <v>0</v>
      </c>
      <c r="U207" s="6"/>
      <c r="V207" s="6">
        <v>74097</v>
      </c>
      <c r="W207" s="6"/>
      <c r="X207" s="6"/>
      <c r="Y207" s="6"/>
      <c r="Z207" s="6"/>
      <c r="AA207" s="4" t="s">
        <v>788</v>
      </c>
    </row>
    <row r="208" spans="1:27">
      <c r="A208" s="12">
        <v>100020098</v>
      </c>
      <c r="B208" s="12">
        <v>2</v>
      </c>
      <c r="C208" s="12" t="s">
        <v>658</v>
      </c>
      <c r="D208" s="12"/>
      <c r="E208" s="12"/>
      <c r="F208" s="12"/>
      <c r="G208" s="12"/>
      <c r="H208" s="12">
        <v>100020099</v>
      </c>
      <c r="I208" s="12" t="s">
        <v>908</v>
      </c>
      <c r="J208" s="12"/>
      <c r="K208" s="12"/>
      <c r="L208" s="12" t="s">
        <v>902</v>
      </c>
      <c r="M208" s="12"/>
      <c r="N208" s="13"/>
      <c r="O208" s="10">
        <v>3204</v>
      </c>
      <c r="P208" s="10"/>
      <c r="Q208" s="8"/>
      <c r="R208" s="6"/>
      <c r="S208" s="6"/>
      <c r="T208" t="b">
        <v>0</v>
      </c>
      <c r="U208" s="6"/>
      <c r="V208" s="6">
        <v>74098</v>
      </c>
      <c r="W208" s="6"/>
      <c r="X208" s="6"/>
      <c r="Y208" s="6"/>
      <c r="Z208" s="6"/>
      <c r="AA208" s="4" t="s">
        <v>909</v>
      </c>
    </row>
    <row r="209" spans="1:27">
      <c r="A209" s="12">
        <v>100020099</v>
      </c>
      <c r="B209" s="12">
        <v>2</v>
      </c>
      <c r="C209" s="12" t="s">
        <v>658</v>
      </c>
      <c r="D209" s="12"/>
      <c r="E209" s="12"/>
      <c r="F209" s="12"/>
      <c r="G209" s="12"/>
      <c r="H209" s="12">
        <v>100020100</v>
      </c>
      <c r="I209" s="12" t="s">
        <v>910</v>
      </c>
      <c r="J209" s="12"/>
      <c r="K209" s="12"/>
      <c r="L209" s="12" t="s">
        <v>896</v>
      </c>
      <c r="M209" s="12"/>
      <c r="N209" s="13"/>
      <c r="O209" s="10">
        <v>3204</v>
      </c>
      <c r="P209" s="10"/>
      <c r="Q209" s="8"/>
      <c r="R209" s="6"/>
      <c r="S209" s="6"/>
      <c r="T209" t="b">
        <v>0</v>
      </c>
      <c r="U209" s="6"/>
      <c r="V209" s="6">
        <v>74099</v>
      </c>
      <c r="W209" s="6"/>
      <c r="X209" s="6"/>
      <c r="Y209" s="6"/>
      <c r="Z209" s="6"/>
      <c r="AA209" s="4" t="s">
        <v>911</v>
      </c>
    </row>
    <row r="210" spans="1:27">
      <c r="A210" s="12">
        <v>100020100</v>
      </c>
      <c r="B210" s="12">
        <v>2</v>
      </c>
      <c r="C210" s="12" t="s">
        <v>658</v>
      </c>
      <c r="D210" s="12"/>
      <c r="E210" s="12"/>
      <c r="F210" s="12"/>
      <c r="G210" s="12"/>
      <c r="H210" s="12">
        <v>100020101</v>
      </c>
      <c r="I210" s="12" t="s">
        <v>912</v>
      </c>
      <c r="J210" s="12"/>
      <c r="K210" s="12"/>
      <c r="L210" s="12" t="s">
        <v>913</v>
      </c>
      <c r="M210" s="12"/>
      <c r="N210" s="13"/>
      <c r="O210" s="10">
        <v>3204</v>
      </c>
      <c r="P210" s="10"/>
      <c r="Q210" s="8"/>
      <c r="R210" s="6"/>
      <c r="S210" s="6"/>
      <c r="T210" t="b">
        <v>0</v>
      </c>
      <c r="U210" s="6"/>
      <c r="V210" s="6">
        <v>74100</v>
      </c>
      <c r="W210" s="6"/>
      <c r="X210" s="6"/>
      <c r="Y210" s="6"/>
      <c r="Z210" s="6">
        <v>101800</v>
      </c>
      <c r="AA210" s="4" t="s">
        <v>914</v>
      </c>
    </row>
    <row r="211" spans="1:27">
      <c r="A211" s="12">
        <v>100020101</v>
      </c>
      <c r="B211" s="12">
        <v>2</v>
      </c>
      <c r="C211" s="12" t="s">
        <v>658</v>
      </c>
      <c r="D211" s="12"/>
      <c r="E211" s="12"/>
      <c r="F211" s="12"/>
      <c r="G211" s="12"/>
      <c r="H211" s="12">
        <v>100020102</v>
      </c>
      <c r="I211" s="12" t="s">
        <v>915</v>
      </c>
      <c r="J211" s="12"/>
      <c r="K211" s="12"/>
      <c r="L211" s="12" t="s">
        <v>899</v>
      </c>
      <c r="M211" s="12"/>
      <c r="N211" s="13"/>
      <c r="O211" s="10">
        <v>3204</v>
      </c>
      <c r="P211" s="10"/>
      <c r="Q211" s="8"/>
      <c r="R211" s="6"/>
      <c r="S211" s="6"/>
      <c r="T211" t="b">
        <v>0</v>
      </c>
      <c r="U211" s="6"/>
      <c r="V211" s="6">
        <v>74101</v>
      </c>
      <c r="W211" s="6"/>
      <c r="X211" s="6"/>
      <c r="Y211" s="6"/>
      <c r="Z211" s="6"/>
      <c r="AA211" s="4" t="s">
        <v>916</v>
      </c>
    </row>
    <row r="212" spans="1:27">
      <c r="A212" s="12">
        <v>100020102</v>
      </c>
      <c r="B212" s="12">
        <v>2</v>
      </c>
      <c r="C212" s="12" t="s">
        <v>658</v>
      </c>
      <c r="D212" s="12"/>
      <c r="E212" s="12"/>
      <c r="F212" s="12"/>
      <c r="G212" s="12"/>
      <c r="H212" s="12">
        <v>100020103</v>
      </c>
      <c r="I212" s="12" t="s">
        <v>868</v>
      </c>
      <c r="J212" s="12"/>
      <c r="K212" s="12"/>
      <c r="L212" s="12" t="s">
        <v>917</v>
      </c>
      <c r="M212" s="12"/>
      <c r="N212" s="13"/>
      <c r="O212" s="10">
        <v>4042</v>
      </c>
      <c r="P212" s="10"/>
      <c r="Q212" s="8"/>
      <c r="R212" s="6"/>
      <c r="S212" s="6"/>
      <c r="T212" t="b">
        <v>0</v>
      </c>
      <c r="U212" s="6"/>
      <c r="V212" s="6">
        <v>74102</v>
      </c>
      <c r="W212" s="6"/>
      <c r="X212" s="6"/>
      <c r="Y212" s="6"/>
      <c r="Z212" s="6"/>
      <c r="AA212" s="4" t="s">
        <v>870</v>
      </c>
    </row>
    <row r="213" spans="1:27">
      <c r="A213" s="12">
        <v>100020103</v>
      </c>
      <c r="B213" s="12">
        <v>2</v>
      </c>
      <c r="C213" s="12" t="s">
        <v>658</v>
      </c>
      <c r="D213" s="12"/>
      <c r="E213" s="12"/>
      <c r="F213" s="12"/>
      <c r="G213" s="12"/>
      <c r="H213" s="12">
        <v>100020104</v>
      </c>
      <c r="I213" s="12" t="s">
        <v>871</v>
      </c>
      <c r="J213" s="12"/>
      <c r="K213" s="12"/>
      <c r="L213" s="12" t="s">
        <v>906</v>
      </c>
      <c r="M213" s="12"/>
      <c r="N213" s="13"/>
      <c r="O213" s="10">
        <v>4043</v>
      </c>
      <c r="P213" s="10"/>
      <c r="Q213" s="8"/>
      <c r="R213" s="6"/>
      <c r="S213" s="6"/>
      <c r="T213" t="b">
        <v>0</v>
      </c>
      <c r="U213" s="6"/>
      <c r="V213" s="6">
        <v>74103</v>
      </c>
      <c r="W213" s="6"/>
      <c r="X213" s="6"/>
      <c r="Y213" s="6"/>
      <c r="Z213" s="6"/>
      <c r="AA213" s="4" t="s">
        <v>873</v>
      </c>
    </row>
    <row r="214" spans="1:27">
      <c r="A214" s="12">
        <v>100020104</v>
      </c>
      <c r="B214" s="12">
        <v>2</v>
      </c>
      <c r="C214" s="12" t="s">
        <v>658</v>
      </c>
      <c r="D214" s="12"/>
      <c r="E214" s="12"/>
      <c r="F214" s="12"/>
      <c r="G214" s="12"/>
      <c r="H214" s="12">
        <v>100020105</v>
      </c>
      <c r="I214" s="12" t="s">
        <v>918</v>
      </c>
      <c r="J214" s="12"/>
      <c r="K214" s="12"/>
      <c r="L214" s="12" t="s">
        <v>902</v>
      </c>
      <c r="M214" s="12"/>
      <c r="N214" s="13"/>
      <c r="O214" s="10">
        <v>3204</v>
      </c>
      <c r="P214" s="10"/>
      <c r="Q214" s="8"/>
      <c r="R214" s="6"/>
      <c r="S214" s="6"/>
      <c r="T214" t="b">
        <v>0</v>
      </c>
      <c r="U214" s="6"/>
      <c r="V214" s="6">
        <v>74104</v>
      </c>
      <c r="W214" s="6"/>
      <c r="X214" s="6"/>
      <c r="Y214" s="6"/>
      <c r="Z214" s="6"/>
      <c r="AA214" s="4" t="s">
        <v>919</v>
      </c>
    </row>
    <row r="215" spans="1:27">
      <c r="A215" s="12">
        <v>100020105</v>
      </c>
      <c r="B215" s="12">
        <v>2</v>
      </c>
      <c r="C215" s="12" t="s">
        <v>658</v>
      </c>
      <c r="D215" s="12"/>
      <c r="E215" s="12"/>
      <c r="F215" s="12"/>
      <c r="G215" s="12"/>
      <c r="H215" s="12">
        <v>100020106</v>
      </c>
      <c r="I215" s="12" t="s">
        <v>920</v>
      </c>
      <c r="J215" s="12"/>
      <c r="K215" s="12"/>
      <c r="L215" s="12" t="s">
        <v>921</v>
      </c>
      <c r="M215" s="12"/>
      <c r="N215" s="13"/>
      <c r="O215" s="10">
        <v>3204</v>
      </c>
      <c r="P215" s="10"/>
      <c r="Q215" s="8"/>
      <c r="R215" s="6"/>
      <c r="S215" s="6"/>
      <c r="T215" t="b">
        <v>0</v>
      </c>
      <c r="U215" s="6"/>
      <c r="V215" s="6">
        <v>74105</v>
      </c>
      <c r="W215" s="6"/>
      <c r="X215" s="6"/>
      <c r="Y215" s="6"/>
      <c r="Z215" s="6"/>
      <c r="AA215" s="4" t="s">
        <v>922</v>
      </c>
    </row>
    <row r="216" spans="1:27">
      <c r="A216" s="12">
        <v>100020106</v>
      </c>
      <c r="B216" s="12">
        <v>2</v>
      </c>
      <c r="C216" s="12" t="s">
        <v>658</v>
      </c>
      <c r="D216" s="12"/>
      <c r="E216" s="12"/>
      <c r="F216" s="12"/>
      <c r="G216" s="12"/>
      <c r="H216" s="12">
        <v>100020107</v>
      </c>
      <c r="I216" s="12" t="s">
        <v>923</v>
      </c>
      <c r="J216" s="12"/>
      <c r="K216" s="12"/>
      <c r="L216" s="12" t="s">
        <v>924</v>
      </c>
      <c r="M216" s="12"/>
      <c r="N216" s="13"/>
      <c r="O216" s="10">
        <v>3408</v>
      </c>
      <c r="P216" s="10"/>
      <c r="Q216" s="8"/>
      <c r="R216" s="6"/>
      <c r="S216" s="6"/>
      <c r="T216" t="b">
        <v>0</v>
      </c>
      <c r="U216" s="6"/>
      <c r="V216" s="6">
        <v>74106</v>
      </c>
      <c r="W216" s="6"/>
      <c r="X216" s="6"/>
      <c r="Y216" s="6"/>
      <c r="Z216" s="6"/>
      <c r="AA216" s="4" t="s">
        <v>925</v>
      </c>
    </row>
    <row r="217" spans="1:27">
      <c r="A217" s="12">
        <v>100020107</v>
      </c>
      <c r="B217" s="12">
        <v>2</v>
      </c>
      <c r="C217" s="12" t="s">
        <v>658</v>
      </c>
      <c r="D217" s="12"/>
      <c r="E217" s="12"/>
      <c r="F217" s="12"/>
      <c r="G217" s="12"/>
      <c r="H217" s="12">
        <v>100020108</v>
      </c>
      <c r="I217" s="12" t="s">
        <v>926</v>
      </c>
      <c r="J217" s="12"/>
      <c r="K217" s="12"/>
      <c r="L217" s="12" t="s">
        <v>927</v>
      </c>
      <c r="M217" s="12"/>
      <c r="N217" s="13"/>
      <c r="O217" s="10">
        <v>3208</v>
      </c>
      <c r="P217" s="10"/>
      <c r="Q217" s="8"/>
      <c r="R217" s="6"/>
      <c r="S217" s="6"/>
      <c r="T217" t="b">
        <v>0</v>
      </c>
      <c r="U217" s="6"/>
      <c r="V217" s="6">
        <v>74107</v>
      </c>
      <c r="W217" s="6"/>
      <c r="X217" s="6"/>
      <c r="Y217" s="6"/>
      <c r="Z217" s="6"/>
      <c r="AA217" s="4" t="s">
        <v>928</v>
      </c>
    </row>
    <row r="218" spans="1:27">
      <c r="A218" s="12">
        <v>100020108</v>
      </c>
      <c r="B218" s="12">
        <v>2</v>
      </c>
      <c r="C218" s="12" t="s">
        <v>658</v>
      </c>
      <c r="D218" s="12"/>
      <c r="E218" s="12"/>
      <c r="F218" s="12"/>
      <c r="G218" s="12"/>
      <c r="H218" s="12">
        <v>100020109</v>
      </c>
      <c r="I218" s="12" t="s">
        <v>929</v>
      </c>
      <c r="J218" s="12"/>
      <c r="K218" s="12"/>
      <c r="L218" s="12" t="s">
        <v>930</v>
      </c>
      <c r="M218" s="12"/>
      <c r="N218" s="13"/>
      <c r="O218" s="10">
        <v>3208</v>
      </c>
      <c r="P218" s="10"/>
      <c r="Q218" s="8"/>
      <c r="R218" s="6"/>
      <c r="S218" s="6"/>
      <c r="T218" t="b">
        <v>0</v>
      </c>
      <c r="U218" s="6"/>
      <c r="V218" s="6">
        <v>74108</v>
      </c>
      <c r="W218" s="6"/>
      <c r="X218" s="6"/>
      <c r="Y218" s="6"/>
      <c r="Z218" s="6"/>
      <c r="AA218" s="4" t="s">
        <v>931</v>
      </c>
    </row>
    <row r="219" spans="1:27">
      <c r="A219" s="12">
        <v>100020109</v>
      </c>
      <c r="B219" s="12">
        <v>2</v>
      </c>
      <c r="C219" s="12" t="s">
        <v>658</v>
      </c>
      <c r="D219" s="12"/>
      <c r="E219" s="12"/>
      <c r="F219" s="12"/>
      <c r="G219" s="12"/>
      <c r="H219" s="12">
        <v>100020110</v>
      </c>
      <c r="I219" s="12" t="s">
        <v>932</v>
      </c>
      <c r="J219" s="12"/>
      <c r="K219" s="12"/>
      <c r="L219" s="12" t="s">
        <v>933</v>
      </c>
      <c r="M219" s="12"/>
      <c r="N219" s="13"/>
      <c r="O219" s="10">
        <v>3208</v>
      </c>
      <c r="P219" s="10"/>
      <c r="Q219" s="8"/>
      <c r="R219" s="6"/>
      <c r="S219" s="6"/>
      <c r="T219" t="b">
        <v>0</v>
      </c>
      <c r="U219" s="6"/>
      <c r="V219" s="6">
        <v>74109</v>
      </c>
      <c r="W219" s="6"/>
      <c r="X219" s="6"/>
      <c r="Y219" s="6"/>
      <c r="Z219" s="6">
        <v>103100</v>
      </c>
      <c r="AA219" s="4" t="s">
        <v>934</v>
      </c>
    </row>
    <row r="220" spans="1:27">
      <c r="A220" s="12">
        <v>100020110</v>
      </c>
      <c r="B220" s="12">
        <v>2</v>
      </c>
      <c r="C220" s="12" t="s">
        <v>658</v>
      </c>
      <c r="D220" s="12"/>
      <c r="E220" s="12"/>
      <c r="F220" s="12"/>
      <c r="G220" s="12"/>
      <c r="H220" s="12">
        <v>100020111</v>
      </c>
      <c r="I220" s="12" t="s">
        <v>935</v>
      </c>
      <c r="J220" s="12"/>
      <c r="K220" s="12"/>
      <c r="L220" s="12" t="s">
        <v>936</v>
      </c>
      <c r="M220" s="12"/>
      <c r="N220" s="13"/>
      <c r="O220" s="10">
        <v>3208</v>
      </c>
      <c r="P220" s="10"/>
      <c r="Q220" s="8"/>
      <c r="R220" s="6"/>
      <c r="S220" s="6"/>
      <c r="T220" t="b">
        <v>0</v>
      </c>
      <c r="U220" s="6"/>
      <c r="V220" s="6">
        <v>74110</v>
      </c>
      <c r="W220" s="6"/>
      <c r="X220" s="6"/>
      <c r="Y220" s="6"/>
      <c r="Z220" s="6"/>
      <c r="AA220" s="4" t="s">
        <v>937</v>
      </c>
    </row>
    <row r="221" spans="1:27">
      <c r="A221" s="12">
        <v>100020111</v>
      </c>
      <c r="B221" s="12">
        <v>2</v>
      </c>
      <c r="C221" s="12" t="s">
        <v>658</v>
      </c>
      <c r="D221" s="12"/>
      <c r="E221" s="12"/>
      <c r="F221" s="12"/>
      <c r="G221" s="12"/>
      <c r="H221" s="12">
        <v>100020112</v>
      </c>
      <c r="I221" s="12" t="s">
        <v>836</v>
      </c>
      <c r="J221" s="12"/>
      <c r="K221" s="12"/>
      <c r="L221" s="12" t="s">
        <v>938</v>
      </c>
      <c r="M221" s="12"/>
      <c r="N221" s="13"/>
      <c r="O221" s="10">
        <v>4044</v>
      </c>
      <c r="P221" s="10"/>
      <c r="Q221" s="8"/>
      <c r="R221" s="6"/>
      <c r="S221" s="6"/>
      <c r="T221" t="b">
        <v>0</v>
      </c>
      <c r="U221" s="6"/>
      <c r="V221" s="6">
        <v>74111</v>
      </c>
      <c r="W221" s="6"/>
      <c r="X221" s="6"/>
      <c r="Y221" s="6"/>
      <c r="Z221" s="6"/>
      <c r="AA221" s="4" t="s">
        <v>838</v>
      </c>
    </row>
    <row r="222" spans="1:27">
      <c r="A222" s="12">
        <v>100020112</v>
      </c>
      <c r="B222" s="12">
        <v>2</v>
      </c>
      <c r="C222" s="12" t="s">
        <v>658</v>
      </c>
      <c r="D222" s="12"/>
      <c r="E222" s="12"/>
      <c r="F222" s="12"/>
      <c r="G222" s="12"/>
      <c r="H222" s="12">
        <v>100020113</v>
      </c>
      <c r="I222" s="12" t="s">
        <v>839</v>
      </c>
      <c r="J222" s="12"/>
      <c r="K222" s="12"/>
      <c r="L222" s="12" t="s">
        <v>936</v>
      </c>
      <c r="M222" s="12"/>
      <c r="N222" s="13"/>
      <c r="O222" s="10">
        <v>3134</v>
      </c>
      <c r="P222" s="10"/>
      <c r="Q222" s="8"/>
      <c r="R222" s="6"/>
      <c r="S222" s="6"/>
      <c r="T222" t="b">
        <v>0</v>
      </c>
      <c r="U222" s="6"/>
      <c r="V222" s="6">
        <v>74112</v>
      </c>
      <c r="W222" s="6"/>
      <c r="X222" s="6"/>
      <c r="Y222" s="6"/>
      <c r="Z222" s="6"/>
      <c r="AA222" s="4" t="s">
        <v>840</v>
      </c>
    </row>
    <row r="223" spans="1:27">
      <c r="A223" s="12">
        <v>100020113</v>
      </c>
      <c r="B223" s="12">
        <v>2</v>
      </c>
      <c r="C223" s="12" t="s">
        <v>658</v>
      </c>
      <c r="D223" s="12"/>
      <c r="E223" s="12"/>
      <c r="F223" s="12"/>
      <c r="G223" s="12"/>
      <c r="H223" s="12">
        <v>100020114</v>
      </c>
      <c r="I223" s="12" t="s">
        <v>939</v>
      </c>
      <c r="J223" s="12"/>
      <c r="K223" s="12"/>
      <c r="L223" s="12" t="s">
        <v>936</v>
      </c>
      <c r="M223" s="12"/>
      <c r="N223" s="13"/>
      <c r="O223" s="10">
        <v>3208</v>
      </c>
      <c r="P223" s="10"/>
      <c r="Q223" s="8"/>
      <c r="R223" s="6"/>
      <c r="S223" s="6"/>
      <c r="T223" t="b">
        <v>0</v>
      </c>
      <c r="U223" s="6"/>
      <c r="V223" s="6">
        <v>74113</v>
      </c>
      <c r="W223" s="6"/>
      <c r="X223" s="6"/>
      <c r="Y223" s="6"/>
      <c r="Z223" s="6"/>
      <c r="AA223" s="4" t="s">
        <v>940</v>
      </c>
    </row>
    <row r="224" spans="1:27">
      <c r="A224" s="12">
        <v>100020114</v>
      </c>
      <c r="B224" s="12">
        <v>2</v>
      </c>
      <c r="C224" s="12" t="s">
        <v>658</v>
      </c>
      <c r="D224" s="12"/>
      <c r="E224" s="12"/>
      <c r="F224" s="12"/>
      <c r="G224" s="12"/>
      <c r="H224" s="12">
        <v>100020115</v>
      </c>
      <c r="I224" s="12" t="s">
        <v>843</v>
      </c>
      <c r="J224" s="12"/>
      <c r="K224" s="12"/>
      <c r="L224" s="12" t="s">
        <v>936</v>
      </c>
      <c r="M224" s="12"/>
      <c r="N224" s="13"/>
      <c r="O224" s="10">
        <v>3021</v>
      </c>
      <c r="P224" s="10"/>
      <c r="Q224" s="8"/>
      <c r="R224" s="6"/>
      <c r="S224" s="6"/>
      <c r="T224" t="b">
        <v>0</v>
      </c>
      <c r="U224" s="6"/>
      <c r="V224" s="6">
        <v>74114</v>
      </c>
      <c r="W224" s="6"/>
      <c r="X224" s="6"/>
      <c r="Y224" s="6"/>
      <c r="Z224" s="6"/>
      <c r="AA224" s="4" t="s">
        <v>845</v>
      </c>
    </row>
    <row r="225" spans="1:27">
      <c r="A225" s="12">
        <v>100020115</v>
      </c>
      <c r="B225" s="12">
        <v>2</v>
      </c>
      <c r="C225" s="12" t="s">
        <v>658</v>
      </c>
      <c r="D225" s="12"/>
      <c r="E225" s="12"/>
      <c r="F225" s="12"/>
      <c r="G225" s="12"/>
      <c r="H225" s="12">
        <v>100020116</v>
      </c>
      <c r="I225" s="12" t="s">
        <v>941</v>
      </c>
      <c r="J225" s="12"/>
      <c r="K225" s="12"/>
      <c r="L225" s="12" t="s">
        <v>942</v>
      </c>
      <c r="M225" s="12"/>
      <c r="N225" s="13"/>
      <c r="O225" s="10">
        <v>3208</v>
      </c>
      <c r="P225" s="10"/>
      <c r="Q225" s="8"/>
      <c r="R225" s="6"/>
      <c r="S225" s="6"/>
      <c r="T225" t="b">
        <v>0</v>
      </c>
      <c r="U225" s="6"/>
      <c r="V225" s="6">
        <v>74115</v>
      </c>
      <c r="W225" s="6"/>
      <c r="X225" s="6"/>
      <c r="Y225" s="6"/>
      <c r="Z225" s="6"/>
      <c r="AA225" s="4" t="s">
        <v>943</v>
      </c>
    </row>
    <row r="226" spans="1:27">
      <c r="A226" s="12">
        <v>100020116</v>
      </c>
      <c r="B226" s="12">
        <v>2</v>
      </c>
      <c r="C226" s="12" t="s">
        <v>658</v>
      </c>
      <c r="D226" s="12"/>
      <c r="E226" s="12"/>
      <c r="F226" s="12"/>
      <c r="G226" s="12"/>
      <c r="H226" s="12">
        <v>100020117</v>
      </c>
      <c r="I226" s="12" t="s">
        <v>944</v>
      </c>
      <c r="J226" s="12"/>
      <c r="K226" s="12"/>
      <c r="L226" s="12" t="s">
        <v>945</v>
      </c>
      <c r="M226" s="12"/>
      <c r="N226" s="13"/>
      <c r="O226" s="10">
        <v>3208</v>
      </c>
      <c r="P226" s="10"/>
      <c r="Q226" s="8"/>
      <c r="R226" s="6"/>
      <c r="S226" s="6"/>
      <c r="T226" t="b">
        <v>0</v>
      </c>
      <c r="U226" s="6"/>
      <c r="V226" s="6">
        <v>74116</v>
      </c>
      <c r="W226" s="6"/>
      <c r="X226" s="6"/>
      <c r="Y226" s="6"/>
      <c r="Z226" s="6"/>
      <c r="AA226" s="4" t="s">
        <v>946</v>
      </c>
    </row>
    <row r="227" spans="1:27">
      <c r="A227" s="12">
        <v>100020117</v>
      </c>
      <c r="B227" s="12">
        <v>2</v>
      </c>
      <c r="C227" s="12" t="s">
        <v>658</v>
      </c>
      <c r="D227" s="12"/>
      <c r="E227" s="12"/>
      <c r="F227" s="12"/>
      <c r="G227" s="12"/>
      <c r="H227" s="12">
        <v>100020118</v>
      </c>
      <c r="I227" s="12" t="s">
        <v>947</v>
      </c>
      <c r="J227" s="12"/>
      <c r="K227" s="12"/>
      <c r="L227" s="12" t="s">
        <v>948</v>
      </c>
      <c r="M227" s="12"/>
      <c r="N227" s="13"/>
      <c r="O227" s="10">
        <v>3208</v>
      </c>
      <c r="P227" s="10"/>
      <c r="Q227" s="8"/>
      <c r="R227" s="6"/>
      <c r="S227" s="6"/>
      <c r="T227" t="b">
        <v>0</v>
      </c>
      <c r="U227" s="6"/>
      <c r="V227" s="6">
        <v>74117</v>
      </c>
      <c r="W227" s="6"/>
      <c r="X227" s="6"/>
      <c r="Y227" s="6"/>
      <c r="Z227" s="6"/>
      <c r="AA227" s="4" t="s">
        <v>949</v>
      </c>
    </row>
    <row r="228" spans="1:27">
      <c r="A228" s="12">
        <v>100020118</v>
      </c>
      <c r="B228" s="12">
        <v>2</v>
      </c>
      <c r="C228" s="12" t="s">
        <v>658</v>
      </c>
      <c r="D228" s="12"/>
      <c r="E228" s="12"/>
      <c r="F228" s="12"/>
      <c r="G228" s="12"/>
      <c r="H228" s="12">
        <v>100020119</v>
      </c>
      <c r="I228" s="12" t="s">
        <v>854</v>
      </c>
      <c r="J228" s="12"/>
      <c r="K228" s="12"/>
      <c r="L228" s="12" t="s">
        <v>950</v>
      </c>
      <c r="M228" s="12"/>
      <c r="N228" s="13"/>
      <c r="O228" s="10">
        <v>4041</v>
      </c>
      <c r="P228" s="10"/>
      <c r="Q228" s="8"/>
      <c r="R228" s="6"/>
      <c r="S228" s="6"/>
      <c r="T228" t="b">
        <v>0</v>
      </c>
      <c r="U228" s="6"/>
      <c r="V228" s="6">
        <v>74118</v>
      </c>
      <c r="W228" s="6"/>
      <c r="X228" s="6"/>
      <c r="Y228" s="6"/>
      <c r="Z228" s="6"/>
      <c r="AA228" s="4" t="s">
        <v>856</v>
      </c>
    </row>
    <row r="229" spans="1:27">
      <c r="A229" s="12">
        <v>100020119</v>
      </c>
      <c r="B229" s="12">
        <v>2</v>
      </c>
      <c r="C229" s="12" t="s">
        <v>658</v>
      </c>
      <c r="D229" s="12"/>
      <c r="E229" s="12"/>
      <c r="F229" s="12"/>
      <c r="G229" s="12"/>
      <c r="H229" s="12">
        <v>100020120</v>
      </c>
      <c r="I229" s="12" t="s">
        <v>784</v>
      </c>
      <c r="J229" s="12"/>
      <c r="K229" s="12"/>
      <c r="L229" s="12" t="s">
        <v>951</v>
      </c>
      <c r="M229" s="12"/>
      <c r="N229" s="13"/>
      <c r="O229" s="10">
        <v>4003</v>
      </c>
      <c r="P229" s="10"/>
      <c r="Q229" s="8"/>
      <c r="R229" s="6"/>
      <c r="S229" s="6"/>
      <c r="T229" t="b">
        <v>0</v>
      </c>
      <c r="U229" s="6"/>
      <c r="V229" s="6">
        <v>74119</v>
      </c>
      <c r="W229" s="6"/>
      <c r="X229" s="6"/>
      <c r="Y229" s="6"/>
      <c r="Z229" s="6">
        <v>-1</v>
      </c>
      <c r="AA229" s="4" t="s">
        <v>786</v>
      </c>
    </row>
    <row r="230" spans="1:27">
      <c r="A230" s="12">
        <v>100020120</v>
      </c>
      <c r="B230" s="12">
        <v>2</v>
      </c>
      <c r="C230" s="12" t="s">
        <v>658</v>
      </c>
      <c r="D230" s="12"/>
      <c r="E230" s="12"/>
      <c r="F230" s="12"/>
      <c r="G230" s="12"/>
      <c r="H230" s="12">
        <v>100020121</v>
      </c>
      <c r="I230" s="12" t="s">
        <v>787</v>
      </c>
      <c r="J230" s="12"/>
      <c r="K230" s="12"/>
      <c r="L230" s="12" t="s">
        <v>952</v>
      </c>
      <c r="M230" s="12"/>
      <c r="N230" s="13"/>
      <c r="O230" s="10">
        <v>4004</v>
      </c>
      <c r="P230" s="10"/>
      <c r="Q230" s="8"/>
      <c r="R230" s="6"/>
      <c r="S230" s="6"/>
      <c r="T230" t="b">
        <v>0</v>
      </c>
      <c r="U230" s="6"/>
      <c r="V230" s="6">
        <v>74120</v>
      </c>
      <c r="W230" s="6"/>
      <c r="X230" s="6"/>
      <c r="Y230" s="6"/>
      <c r="Z230" s="6"/>
      <c r="AA230" s="4" t="s">
        <v>788</v>
      </c>
    </row>
    <row r="231" spans="1:27">
      <c r="A231" s="12">
        <v>100020121</v>
      </c>
      <c r="B231" s="12">
        <v>2</v>
      </c>
      <c r="C231" s="12" t="s">
        <v>658</v>
      </c>
      <c r="D231" s="12"/>
      <c r="E231" s="12"/>
      <c r="F231" s="12"/>
      <c r="G231" s="12"/>
      <c r="H231" s="12">
        <v>100020122</v>
      </c>
      <c r="I231" s="12" t="s">
        <v>953</v>
      </c>
      <c r="J231" s="12"/>
      <c r="K231" s="12"/>
      <c r="L231" s="12" t="s">
        <v>954</v>
      </c>
      <c r="M231" s="12"/>
      <c r="N231" s="13"/>
      <c r="O231" s="10">
        <v>3208</v>
      </c>
      <c r="P231" s="10"/>
      <c r="Q231" s="8"/>
      <c r="R231" s="6"/>
      <c r="S231" s="6"/>
      <c r="T231" t="b">
        <v>0</v>
      </c>
      <c r="U231" s="6"/>
      <c r="V231" s="6">
        <v>74121</v>
      </c>
      <c r="W231" s="6"/>
      <c r="X231" s="6"/>
      <c r="Y231" s="6"/>
      <c r="Z231" s="6"/>
      <c r="AA231" s="4" t="s">
        <v>955</v>
      </c>
    </row>
    <row r="232" spans="1:27">
      <c r="A232" s="12">
        <v>100020122</v>
      </c>
      <c r="B232" s="12">
        <v>2</v>
      </c>
      <c r="C232" s="12" t="s">
        <v>658</v>
      </c>
      <c r="D232" s="12"/>
      <c r="E232" s="12"/>
      <c r="F232" s="12"/>
      <c r="G232" s="12"/>
      <c r="H232" s="12">
        <v>100020123</v>
      </c>
      <c r="I232" s="12" t="s">
        <v>956</v>
      </c>
      <c r="J232" s="12"/>
      <c r="K232" s="12"/>
      <c r="L232" s="12" t="s">
        <v>957</v>
      </c>
      <c r="M232" s="12"/>
      <c r="N232" s="13"/>
      <c r="O232" s="10">
        <v>3208</v>
      </c>
      <c r="P232" s="10"/>
      <c r="Q232" s="8"/>
      <c r="R232" s="6"/>
      <c r="S232" s="6"/>
      <c r="T232" t="b">
        <v>0</v>
      </c>
      <c r="U232" s="6"/>
      <c r="V232" s="6">
        <v>74122</v>
      </c>
      <c r="W232" s="6"/>
      <c r="X232" s="6"/>
      <c r="Y232" s="6"/>
      <c r="Z232" s="6"/>
      <c r="AA232" s="4" t="s">
        <v>958</v>
      </c>
    </row>
    <row r="233" spans="1:27">
      <c r="A233" s="12">
        <v>100020123</v>
      </c>
      <c r="B233" s="12">
        <v>2</v>
      </c>
      <c r="C233" s="12" t="s">
        <v>658</v>
      </c>
      <c r="D233" s="12"/>
      <c r="E233" s="12"/>
      <c r="F233" s="12"/>
      <c r="G233" s="12"/>
      <c r="H233" s="12">
        <v>100020124</v>
      </c>
      <c r="I233" s="12" t="s">
        <v>959</v>
      </c>
      <c r="J233" s="12"/>
      <c r="K233" s="12"/>
      <c r="L233" s="12" t="s">
        <v>960</v>
      </c>
      <c r="M233" s="12"/>
      <c r="N233" s="13"/>
      <c r="O233" s="10">
        <v>3208</v>
      </c>
      <c r="P233" s="10"/>
      <c r="Q233" s="8"/>
      <c r="R233" s="6"/>
      <c r="S233" s="6"/>
      <c r="T233" t="b">
        <v>0</v>
      </c>
      <c r="U233" s="6"/>
      <c r="V233" s="6">
        <v>74123</v>
      </c>
      <c r="W233" s="6"/>
      <c r="X233" s="6"/>
      <c r="Y233" s="6"/>
      <c r="Z233" s="6">
        <v>103100</v>
      </c>
      <c r="AA233" s="4" t="s">
        <v>961</v>
      </c>
    </row>
    <row r="234" spans="1:27">
      <c r="A234" s="12">
        <v>100020124</v>
      </c>
      <c r="B234" s="12">
        <v>2</v>
      </c>
      <c r="C234" s="12" t="s">
        <v>658</v>
      </c>
      <c r="D234" s="12"/>
      <c r="E234" s="12"/>
      <c r="F234" s="12"/>
      <c r="G234" s="12"/>
      <c r="H234" s="12">
        <v>100020125</v>
      </c>
      <c r="I234" s="12" t="s">
        <v>962</v>
      </c>
      <c r="J234" s="12"/>
      <c r="K234" s="12"/>
      <c r="L234" s="12" t="s">
        <v>963</v>
      </c>
      <c r="M234" s="12"/>
      <c r="N234" s="13"/>
      <c r="O234" s="10">
        <v>3208</v>
      </c>
      <c r="P234" s="10"/>
      <c r="Q234" s="8"/>
      <c r="R234" s="6"/>
      <c r="S234" s="6"/>
      <c r="T234" t="b">
        <v>0</v>
      </c>
      <c r="U234" s="6"/>
      <c r="V234" s="6">
        <v>74124</v>
      </c>
      <c r="W234" s="6"/>
      <c r="X234" s="6"/>
      <c r="Y234" s="6"/>
      <c r="Z234" s="6"/>
      <c r="AA234" s="4" t="s">
        <v>964</v>
      </c>
    </row>
    <row r="235" spans="1:27">
      <c r="A235" s="12">
        <v>100020125</v>
      </c>
      <c r="B235" s="12">
        <v>2</v>
      </c>
      <c r="C235" s="12" t="s">
        <v>658</v>
      </c>
      <c r="D235" s="12"/>
      <c r="E235" s="12"/>
      <c r="F235" s="12"/>
      <c r="G235" s="12"/>
      <c r="H235" s="12">
        <v>100020126</v>
      </c>
      <c r="I235" s="12" t="s">
        <v>868</v>
      </c>
      <c r="J235" s="12"/>
      <c r="K235" s="12"/>
      <c r="L235" s="12" t="s">
        <v>965</v>
      </c>
      <c r="M235" s="12"/>
      <c r="N235" s="13"/>
      <c r="O235" s="10">
        <v>4042</v>
      </c>
      <c r="P235" s="10"/>
      <c r="Q235" s="8"/>
      <c r="R235" s="6"/>
      <c r="S235" s="6"/>
      <c r="T235" t="b">
        <v>0</v>
      </c>
      <c r="U235" s="6"/>
      <c r="V235" s="6">
        <v>74125</v>
      </c>
      <c r="W235" s="6"/>
      <c r="X235" s="6"/>
      <c r="Y235" s="6"/>
      <c r="Z235" s="6"/>
      <c r="AA235" s="4" t="s">
        <v>870</v>
      </c>
    </row>
    <row r="236" spans="1:27">
      <c r="A236" s="12">
        <v>100020126</v>
      </c>
      <c r="B236" s="12">
        <v>2</v>
      </c>
      <c r="C236" s="12" t="s">
        <v>658</v>
      </c>
      <c r="D236" s="12"/>
      <c r="E236" s="12"/>
      <c r="F236" s="12"/>
      <c r="G236" s="12"/>
      <c r="H236" s="12">
        <v>100020127</v>
      </c>
      <c r="I236" s="12" t="s">
        <v>871</v>
      </c>
      <c r="J236" s="12"/>
      <c r="K236" s="12"/>
      <c r="L236" s="12" t="s">
        <v>966</v>
      </c>
      <c r="M236" s="12"/>
      <c r="N236" s="13"/>
      <c r="O236" s="10">
        <v>4043</v>
      </c>
      <c r="P236" s="10"/>
      <c r="Q236" s="8"/>
      <c r="R236" s="6"/>
      <c r="S236" s="6"/>
      <c r="T236" t="b">
        <v>0</v>
      </c>
      <c r="U236" s="6"/>
      <c r="V236" s="6">
        <v>74126</v>
      </c>
      <c r="W236" s="6"/>
      <c r="X236" s="6"/>
      <c r="Y236" s="6"/>
      <c r="Z236" s="6"/>
      <c r="AA236" s="4" t="s">
        <v>873</v>
      </c>
    </row>
    <row r="237" spans="1:27">
      <c r="A237" s="12">
        <v>100020127</v>
      </c>
      <c r="B237" s="12">
        <v>2</v>
      </c>
      <c r="C237" s="12" t="s">
        <v>658</v>
      </c>
      <c r="D237" s="12"/>
      <c r="E237" s="12"/>
      <c r="F237" s="12"/>
      <c r="G237" s="12"/>
      <c r="H237" s="12">
        <v>100020128</v>
      </c>
      <c r="I237" s="12" t="s">
        <v>967</v>
      </c>
      <c r="J237" s="12"/>
      <c r="K237" s="12"/>
      <c r="L237" s="12" t="s">
        <v>954</v>
      </c>
      <c r="M237" s="12"/>
      <c r="N237" s="13"/>
      <c r="O237" s="10">
        <v>3208</v>
      </c>
      <c r="P237" s="10"/>
      <c r="Q237" s="8"/>
      <c r="R237" s="6"/>
      <c r="S237" s="6"/>
      <c r="T237" t="b">
        <v>0</v>
      </c>
      <c r="U237" s="6"/>
      <c r="V237" s="6">
        <v>74127</v>
      </c>
      <c r="W237" s="6"/>
      <c r="X237" s="6"/>
      <c r="Y237" s="6"/>
      <c r="Z237" s="6"/>
      <c r="AA237" s="4" t="s">
        <v>968</v>
      </c>
    </row>
    <row r="238" spans="1:27">
      <c r="A238" s="12">
        <v>100020128</v>
      </c>
      <c r="B238" s="12">
        <v>2</v>
      </c>
      <c r="C238" s="12" t="s">
        <v>658</v>
      </c>
      <c r="D238" s="12"/>
      <c r="E238" s="12"/>
      <c r="F238" s="12"/>
      <c r="G238" s="12"/>
      <c r="H238" s="12">
        <v>100020129</v>
      </c>
      <c r="I238" s="12" t="s">
        <v>969</v>
      </c>
      <c r="J238" s="12"/>
      <c r="K238" s="12"/>
      <c r="L238" s="12" t="s">
        <v>970</v>
      </c>
      <c r="M238" s="12"/>
      <c r="N238" s="13"/>
      <c r="O238" s="10">
        <v>3208</v>
      </c>
      <c r="P238" s="10"/>
      <c r="Q238" s="8"/>
      <c r="R238" s="6"/>
      <c r="S238" s="6"/>
      <c r="T238" t="b">
        <v>0</v>
      </c>
      <c r="U238" s="6"/>
      <c r="V238" s="6">
        <v>74128</v>
      </c>
      <c r="W238" s="6"/>
      <c r="X238" s="6"/>
      <c r="Y238" s="6"/>
      <c r="Z238" s="6"/>
      <c r="AA238" s="4" t="s">
        <v>971</v>
      </c>
    </row>
    <row r="239" spans="1:27">
      <c r="A239" s="12">
        <v>100020129</v>
      </c>
      <c r="B239" s="12">
        <v>2</v>
      </c>
      <c r="C239" s="12" t="s">
        <v>658</v>
      </c>
      <c r="D239" s="12"/>
      <c r="E239" s="12"/>
      <c r="F239" s="12"/>
      <c r="G239" s="12"/>
      <c r="H239" s="12">
        <v>100020130</v>
      </c>
      <c r="I239" s="12" t="s">
        <v>972</v>
      </c>
      <c r="J239" s="12"/>
      <c r="K239" s="12"/>
      <c r="L239" s="12" t="s">
        <v>973</v>
      </c>
      <c r="M239" s="12"/>
      <c r="N239" s="13"/>
      <c r="O239" s="10">
        <v>3407</v>
      </c>
      <c r="P239" s="10"/>
      <c r="Q239" s="8"/>
      <c r="R239" s="6"/>
      <c r="S239" s="6"/>
      <c r="T239" t="b">
        <v>0</v>
      </c>
      <c r="U239" s="6"/>
      <c r="V239" s="6">
        <v>74129</v>
      </c>
      <c r="W239" s="6"/>
      <c r="X239" s="6"/>
      <c r="Y239" s="6"/>
      <c r="Z239" s="6"/>
      <c r="AA239" s="4" t="s">
        <v>974</v>
      </c>
    </row>
    <row r="240" spans="1:27">
      <c r="A240" s="12">
        <v>100020130</v>
      </c>
      <c r="B240" s="12">
        <v>2</v>
      </c>
      <c r="C240" s="12" t="s">
        <v>658</v>
      </c>
      <c r="D240" s="12"/>
      <c r="E240" s="12"/>
      <c r="F240" s="12"/>
      <c r="G240" s="12"/>
      <c r="H240" s="12">
        <v>100020131</v>
      </c>
      <c r="I240" s="12" t="s">
        <v>975</v>
      </c>
      <c r="J240" s="12"/>
      <c r="K240" s="12"/>
      <c r="L240" s="12" t="s">
        <v>976</v>
      </c>
      <c r="M240" s="12"/>
      <c r="N240" s="13"/>
      <c r="O240" s="10">
        <v>3207</v>
      </c>
      <c r="P240" s="10"/>
      <c r="Q240" s="8"/>
      <c r="R240" s="6"/>
      <c r="S240" s="6"/>
      <c r="T240" t="b">
        <v>0</v>
      </c>
      <c r="U240" s="6"/>
      <c r="V240" s="6">
        <v>74130</v>
      </c>
      <c r="W240" s="6"/>
      <c r="X240" s="6"/>
      <c r="Y240" s="6"/>
      <c r="Z240" s="6"/>
      <c r="AA240" s="4" t="s">
        <v>977</v>
      </c>
    </row>
    <row r="241" spans="1:27">
      <c r="A241" s="12">
        <v>100020131</v>
      </c>
      <c r="B241" s="12">
        <v>2</v>
      </c>
      <c r="C241" s="12" t="s">
        <v>658</v>
      </c>
      <c r="D241" s="12"/>
      <c r="E241" s="12"/>
      <c r="F241" s="12"/>
      <c r="G241" s="12"/>
      <c r="H241" s="12">
        <v>100020132</v>
      </c>
      <c r="I241" s="12" t="s">
        <v>978</v>
      </c>
      <c r="J241" s="12"/>
      <c r="K241" s="12"/>
      <c r="L241" s="12" t="s">
        <v>979</v>
      </c>
      <c r="M241" s="12"/>
      <c r="N241" s="13"/>
      <c r="O241" s="10">
        <v>3207</v>
      </c>
      <c r="P241" s="10"/>
      <c r="Q241" s="8"/>
      <c r="R241" s="6"/>
      <c r="S241" s="6"/>
      <c r="T241" t="b">
        <v>0</v>
      </c>
      <c r="U241" s="6"/>
      <c r="V241" s="6">
        <v>74131</v>
      </c>
      <c r="W241" s="6"/>
      <c r="X241" s="6"/>
      <c r="Y241" s="6"/>
      <c r="Z241" s="6"/>
      <c r="AA241" s="4" t="s">
        <v>980</v>
      </c>
    </row>
    <row r="242" spans="1:27">
      <c r="A242" s="12">
        <v>100020132</v>
      </c>
      <c r="B242" s="12">
        <v>2</v>
      </c>
      <c r="C242" s="12" t="s">
        <v>658</v>
      </c>
      <c r="D242" s="12"/>
      <c r="E242" s="12"/>
      <c r="F242" s="12"/>
      <c r="G242" s="12"/>
      <c r="H242" s="12">
        <v>100020133</v>
      </c>
      <c r="I242" s="12" t="s">
        <v>981</v>
      </c>
      <c r="J242" s="12"/>
      <c r="K242" s="12"/>
      <c r="L242" s="12" t="s">
        <v>982</v>
      </c>
      <c r="M242" s="12"/>
      <c r="N242" s="13"/>
      <c r="O242" s="10">
        <v>3207</v>
      </c>
      <c r="P242" s="10"/>
      <c r="Q242" s="8"/>
      <c r="R242" s="6"/>
      <c r="S242" s="6"/>
      <c r="T242" t="b">
        <v>0</v>
      </c>
      <c r="U242" s="6"/>
      <c r="V242" s="6">
        <v>74132</v>
      </c>
      <c r="W242" s="6"/>
      <c r="X242" s="6"/>
      <c r="Y242" s="6"/>
      <c r="Z242" s="6">
        <v>102500</v>
      </c>
      <c r="AA242" s="4" t="s">
        <v>983</v>
      </c>
    </row>
    <row r="243" spans="1:27">
      <c r="A243" s="12">
        <v>100020133</v>
      </c>
      <c r="B243" s="12">
        <v>2</v>
      </c>
      <c r="C243" s="12" t="s">
        <v>658</v>
      </c>
      <c r="D243" s="12"/>
      <c r="E243" s="12"/>
      <c r="F243" s="12"/>
      <c r="G243" s="12"/>
      <c r="H243" s="12">
        <v>100020134</v>
      </c>
      <c r="I243" s="12" t="s">
        <v>984</v>
      </c>
      <c r="J243" s="12"/>
      <c r="K243" s="12"/>
      <c r="L243" s="12" t="s">
        <v>985</v>
      </c>
      <c r="M243" s="12"/>
      <c r="N243" s="13"/>
      <c r="O243" s="10">
        <v>3207</v>
      </c>
      <c r="P243" s="10"/>
      <c r="Q243" s="8"/>
      <c r="R243" s="6"/>
      <c r="S243" s="6"/>
      <c r="T243" t="b">
        <v>0</v>
      </c>
      <c r="U243" s="6"/>
      <c r="V243" s="6">
        <v>74133</v>
      </c>
      <c r="W243" s="6"/>
      <c r="X243" s="6"/>
      <c r="Y243" s="6"/>
      <c r="Z243" s="6"/>
      <c r="AA243" s="4" t="s">
        <v>986</v>
      </c>
    </row>
    <row r="244" spans="1:27">
      <c r="A244" s="12">
        <v>100020134</v>
      </c>
      <c r="B244" s="12">
        <v>2</v>
      </c>
      <c r="C244" s="12" t="s">
        <v>658</v>
      </c>
      <c r="D244" s="12"/>
      <c r="E244" s="12"/>
      <c r="F244" s="12"/>
      <c r="G244" s="12"/>
      <c r="H244" s="12">
        <v>100020135</v>
      </c>
      <c r="I244" s="12" t="s">
        <v>836</v>
      </c>
      <c r="J244" s="12"/>
      <c r="K244" s="12"/>
      <c r="L244" s="12" t="s">
        <v>987</v>
      </c>
      <c r="M244" s="12"/>
      <c r="N244" s="13"/>
      <c r="O244" s="10">
        <v>4044</v>
      </c>
      <c r="P244" s="10"/>
      <c r="Q244" s="8"/>
      <c r="R244" s="6"/>
      <c r="S244" s="6"/>
      <c r="T244" t="b">
        <v>0</v>
      </c>
      <c r="U244" s="6"/>
      <c r="V244" s="6">
        <v>74134</v>
      </c>
      <c r="W244" s="6"/>
      <c r="X244" s="6"/>
      <c r="Y244" s="6"/>
      <c r="Z244" s="6"/>
      <c r="AA244" s="4" t="s">
        <v>838</v>
      </c>
    </row>
    <row r="245" spans="1:27">
      <c r="A245" s="12">
        <v>100020135</v>
      </c>
      <c r="B245" s="12">
        <v>2</v>
      </c>
      <c r="C245" s="12" t="s">
        <v>658</v>
      </c>
      <c r="D245" s="12"/>
      <c r="E245" s="12"/>
      <c r="F245" s="12"/>
      <c r="G245" s="12"/>
      <c r="H245" s="12">
        <v>100020136</v>
      </c>
      <c r="I245" s="12" t="s">
        <v>839</v>
      </c>
      <c r="J245" s="12"/>
      <c r="K245" s="12"/>
      <c r="L245" s="12" t="s">
        <v>988</v>
      </c>
      <c r="M245" s="12"/>
      <c r="N245" s="13"/>
      <c r="O245" s="10">
        <v>3134</v>
      </c>
      <c r="P245" s="10"/>
      <c r="Q245" s="8"/>
      <c r="R245" s="6"/>
      <c r="S245" s="6"/>
      <c r="T245" t="b">
        <v>0</v>
      </c>
      <c r="U245" s="6"/>
      <c r="V245" s="6">
        <v>74135</v>
      </c>
      <c r="W245" s="6"/>
      <c r="X245" s="6"/>
      <c r="Y245" s="6"/>
      <c r="Z245" s="6"/>
      <c r="AA245" s="4" t="s">
        <v>840</v>
      </c>
    </row>
    <row r="246" spans="1:27">
      <c r="A246" s="12">
        <v>100020136</v>
      </c>
      <c r="B246" s="12">
        <v>2</v>
      </c>
      <c r="C246" s="12" t="s">
        <v>658</v>
      </c>
      <c r="D246" s="12"/>
      <c r="E246" s="12"/>
      <c r="F246" s="12"/>
      <c r="G246" s="12"/>
      <c r="H246" s="12">
        <v>100020137</v>
      </c>
      <c r="I246" s="12" t="s">
        <v>989</v>
      </c>
      <c r="J246" s="12"/>
      <c r="K246" s="12"/>
      <c r="L246" s="12" t="s">
        <v>985</v>
      </c>
      <c r="M246" s="12"/>
      <c r="N246" s="13"/>
      <c r="O246" s="10">
        <v>3207</v>
      </c>
      <c r="P246" s="10"/>
      <c r="Q246" s="8"/>
      <c r="R246" s="6"/>
      <c r="S246" s="6"/>
      <c r="T246" t="b">
        <v>0</v>
      </c>
      <c r="U246" s="6"/>
      <c r="V246" s="6">
        <v>74136</v>
      </c>
      <c r="W246" s="6"/>
      <c r="X246" s="6"/>
      <c r="Y246" s="6"/>
      <c r="Z246" s="6"/>
      <c r="AA246" s="4" t="s">
        <v>990</v>
      </c>
    </row>
    <row r="247" spans="1:27">
      <c r="A247" s="12">
        <v>100020137</v>
      </c>
      <c r="B247" s="12">
        <v>2</v>
      </c>
      <c r="C247" s="12" t="s">
        <v>658</v>
      </c>
      <c r="D247" s="12"/>
      <c r="E247" s="12"/>
      <c r="F247" s="12"/>
      <c r="G247" s="12"/>
      <c r="H247" s="12">
        <v>100020138</v>
      </c>
      <c r="I247" s="12" t="s">
        <v>843</v>
      </c>
      <c r="J247" s="12"/>
      <c r="K247" s="12"/>
      <c r="L247" s="12" t="s">
        <v>985</v>
      </c>
      <c r="M247" s="12"/>
      <c r="N247" s="13"/>
      <c r="O247" s="10">
        <v>3021</v>
      </c>
      <c r="P247" s="10"/>
      <c r="Q247" s="8"/>
      <c r="R247" s="6"/>
      <c r="S247" s="6"/>
      <c r="T247" t="b">
        <v>0</v>
      </c>
      <c r="U247" s="6"/>
      <c r="V247" s="6">
        <v>74137</v>
      </c>
      <c r="W247" s="6"/>
      <c r="X247" s="6"/>
      <c r="Y247" s="6"/>
      <c r="Z247" s="6"/>
      <c r="AA247" s="4" t="s">
        <v>845</v>
      </c>
    </row>
    <row r="248" spans="1:27">
      <c r="A248" s="12">
        <v>100020138</v>
      </c>
      <c r="B248" s="12">
        <v>2</v>
      </c>
      <c r="C248" s="12" t="s">
        <v>658</v>
      </c>
      <c r="D248" s="12"/>
      <c r="E248" s="12"/>
      <c r="F248" s="12"/>
      <c r="G248" s="12"/>
      <c r="H248" s="12">
        <v>100020139</v>
      </c>
      <c r="I248" s="12" t="s">
        <v>991</v>
      </c>
      <c r="J248" s="12"/>
      <c r="K248" s="12"/>
      <c r="L248" s="12" t="s">
        <v>992</v>
      </c>
      <c r="M248" s="12"/>
      <c r="N248" s="13"/>
      <c r="O248" s="10">
        <v>3207</v>
      </c>
      <c r="P248" s="10"/>
      <c r="Q248" s="8"/>
      <c r="R248" s="6"/>
      <c r="S248" s="6"/>
      <c r="T248" t="b">
        <v>0</v>
      </c>
      <c r="U248" s="6"/>
      <c r="V248" s="6">
        <v>74138</v>
      </c>
      <c r="W248" s="6"/>
      <c r="X248" s="6"/>
      <c r="Y248" s="6"/>
      <c r="Z248" s="6"/>
      <c r="AA248" s="4" t="s">
        <v>993</v>
      </c>
    </row>
    <row r="249" spans="1:27">
      <c r="A249" s="12">
        <v>100020139</v>
      </c>
      <c r="B249" s="12">
        <v>2</v>
      </c>
      <c r="C249" s="12" t="s">
        <v>658</v>
      </c>
      <c r="D249" s="12"/>
      <c r="E249" s="12"/>
      <c r="F249" s="12"/>
      <c r="G249" s="12"/>
      <c r="H249" s="12">
        <v>100020140</v>
      </c>
      <c r="I249" s="12" t="s">
        <v>994</v>
      </c>
      <c r="J249" s="12"/>
      <c r="K249" s="12"/>
      <c r="L249" s="12" t="s">
        <v>995</v>
      </c>
      <c r="M249" s="12"/>
      <c r="N249" s="13"/>
      <c r="O249" s="10">
        <v>3207</v>
      </c>
      <c r="P249" s="10"/>
      <c r="Q249" s="8"/>
      <c r="R249" s="6"/>
      <c r="S249" s="6"/>
      <c r="T249" t="b">
        <v>0</v>
      </c>
      <c r="U249" s="6"/>
      <c r="V249" s="6">
        <v>74139</v>
      </c>
      <c r="W249" s="6"/>
      <c r="X249" s="6"/>
      <c r="Y249" s="6"/>
      <c r="Z249" s="6"/>
      <c r="AA249" s="4" t="s">
        <v>996</v>
      </c>
    </row>
    <row r="250" spans="1:27">
      <c r="A250" s="12">
        <v>100020140</v>
      </c>
      <c r="B250" s="12">
        <v>2</v>
      </c>
      <c r="C250" s="12" t="s">
        <v>658</v>
      </c>
      <c r="D250" s="12"/>
      <c r="E250" s="12"/>
      <c r="F250" s="12"/>
      <c r="G250" s="12"/>
      <c r="H250" s="12">
        <v>100020141</v>
      </c>
      <c r="I250" s="12" t="s">
        <v>997</v>
      </c>
      <c r="J250" s="12"/>
      <c r="K250" s="12"/>
      <c r="L250" s="12" t="s">
        <v>998</v>
      </c>
      <c r="M250" s="12"/>
      <c r="N250" s="13"/>
      <c r="O250" s="10">
        <v>3207</v>
      </c>
      <c r="P250" s="10"/>
      <c r="Q250" s="8"/>
      <c r="R250" s="6"/>
      <c r="S250" s="6"/>
      <c r="T250" t="b">
        <v>0</v>
      </c>
      <c r="U250" s="6"/>
      <c r="V250" s="6">
        <v>74140</v>
      </c>
      <c r="W250" s="6"/>
      <c r="X250" s="6"/>
      <c r="Y250" s="6"/>
      <c r="Z250" s="6"/>
      <c r="AA250" s="4" t="s">
        <v>999</v>
      </c>
    </row>
    <row r="251" spans="1:27">
      <c r="A251" s="12">
        <v>100020141</v>
      </c>
      <c r="B251" s="12">
        <v>2</v>
      </c>
      <c r="C251" s="12" t="s">
        <v>658</v>
      </c>
      <c r="D251" s="12"/>
      <c r="E251" s="12"/>
      <c r="F251" s="12"/>
      <c r="G251" s="12"/>
      <c r="H251" s="12">
        <v>100020142</v>
      </c>
      <c r="I251" s="12" t="s">
        <v>854</v>
      </c>
      <c r="J251" s="12"/>
      <c r="K251" s="12"/>
      <c r="L251" s="12" t="s">
        <v>1000</v>
      </c>
      <c r="M251" s="12"/>
      <c r="N251" s="13"/>
      <c r="O251" s="10">
        <v>4041</v>
      </c>
      <c r="P251" s="10"/>
      <c r="Q251" s="8"/>
      <c r="R251" s="6"/>
      <c r="S251" s="6"/>
      <c r="T251" t="b">
        <v>0</v>
      </c>
      <c r="U251" s="6"/>
      <c r="V251" s="6">
        <v>74141</v>
      </c>
      <c r="W251" s="6"/>
      <c r="X251" s="6"/>
      <c r="Y251" s="6"/>
      <c r="Z251" s="6"/>
      <c r="AA251" s="4" t="s">
        <v>856</v>
      </c>
    </row>
    <row r="252" spans="1:27">
      <c r="A252" s="12">
        <v>100020142</v>
      </c>
      <c r="B252" s="12">
        <v>2</v>
      </c>
      <c r="C252" s="12" t="s">
        <v>658</v>
      </c>
      <c r="D252" s="12"/>
      <c r="E252" s="12"/>
      <c r="F252" s="12"/>
      <c r="G252" s="12"/>
      <c r="H252" s="12">
        <v>100020143</v>
      </c>
      <c r="I252" s="12" t="s">
        <v>784</v>
      </c>
      <c r="J252" s="12"/>
      <c r="K252" s="12"/>
      <c r="L252" s="12" t="s">
        <v>1001</v>
      </c>
      <c r="M252" s="12"/>
      <c r="N252" s="13"/>
      <c r="O252" s="10">
        <v>4003</v>
      </c>
      <c r="P252" s="10"/>
      <c r="Q252" s="8"/>
      <c r="R252" s="6"/>
      <c r="S252" s="6"/>
      <c r="T252" t="b">
        <v>0</v>
      </c>
      <c r="U252" s="6"/>
      <c r="V252" s="6">
        <v>74142</v>
      </c>
      <c r="W252" s="6"/>
      <c r="X252" s="6"/>
      <c r="Y252" s="6"/>
      <c r="Z252" s="6">
        <v>-1</v>
      </c>
      <c r="AA252" s="4" t="s">
        <v>786</v>
      </c>
    </row>
    <row r="253" spans="1:27">
      <c r="A253" s="12">
        <v>100020143</v>
      </c>
      <c r="B253" s="12">
        <v>2</v>
      </c>
      <c r="C253" s="12" t="s">
        <v>658</v>
      </c>
      <c r="D253" s="12"/>
      <c r="E253" s="12"/>
      <c r="F253" s="12"/>
      <c r="G253" s="12"/>
      <c r="H253" s="12">
        <v>100020144</v>
      </c>
      <c r="I253" s="12" t="s">
        <v>787</v>
      </c>
      <c r="J253" s="12"/>
      <c r="K253" s="12"/>
      <c r="L253" s="12" t="s">
        <v>1002</v>
      </c>
      <c r="M253" s="12"/>
      <c r="N253" s="13"/>
      <c r="O253" s="10">
        <v>4004</v>
      </c>
      <c r="P253" s="10"/>
      <c r="Q253" s="8"/>
      <c r="R253" s="6"/>
      <c r="S253" s="6"/>
      <c r="T253" t="b">
        <v>0</v>
      </c>
      <c r="U253" s="6"/>
      <c r="V253" s="6">
        <v>74143</v>
      </c>
      <c r="W253" s="6"/>
      <c r="X253" s="6"/>
      <c r="Y253" s="6"/>
      <c r="Z253" s="6"/>
      <c r="AA253" s="4" t="s">
        <v>788</v>
      </c>
    </row>
    <row r="254" spans="1:27">
      <c r="A254" s="12">
        <v>100020144</v>
      </c>
      <c r="B254" s="12">
        <v>2</v>
      </c>
      <c r="C254" s="12" t="s">
        <v>658</v>
      </c>
      <c r="D254" s="12"/>
      <c r="E254" s="12"/>
      <c r="F254" s="12"/>
      <c r="G254" s="12"/>
      <c r="H254" s="12">
        <v>100020145</v>
      </c>
      <c r="I254" s="12" t="s">
        <v>1003</v>
      </c>
      <c r="J254" s="12"/>
      <c r="K254" s="12"/>
      <c r="L254" s="12" t="s">
        <v>1004</v>
      </c>
      <c r="M254" s="12"/>
      <c r="N254" s="13"/>
      <c r="O254" s="10">
        <v>3207</v>
      </c>
      <c r="P254" s="10"/>
      <c r="Q254" s="8"/>
      <c r="R254" s="6"/>
      <c r="S254" s="6"/>
      <c r="T254" t="b">
        <v>0</v>
      </c>
      <c r="U254" s="6"/>
      <c r="V254" s="6">
        <v>74144</v>
      </c>
      <c r="W254" s="6"/>
      <c r="X254" s="6"/>
      <c r="Y254" s="6"/>
      <c r="Z254" s="6"/>
      <c r="AA254" s="4" t="s">
        <v>1005</v>
      </c>
    </row>
    <row r="255" spans="1:27">
      <c r="A255" s="12">
        <v>100020145</v>
      </c>
      <c r="B255" s="12">
        <v>2</v>
      </c>
      <c r="C255" s="12" t="s">
        <v>658</v>
      </c>
      <c r="D255" s="12"/>
      <c r="E255" s="12"/>
      <c r="F255" s="12"/>
      <c r="G255" s="12"/>
      <c r="H255" s="12">
        <v>100020146</v>
      </c>
      <c r="I255" s="12" t="s">
        <v>1006</v>
      </c>
      <c r="J255" s="12"/>
      <c r="K255" s="12"/>
      <c r="L255" s="12" t="s">
        <v>998</v>
      </c>
      <c r="M255" s="12"/>
      <c r="N255" s="13"/>
      <c r="O255" s="10">
        <v>3207</v>
      </c>
      <c r="P255" s="10"/>
      <c r="Q255" s="8"/>
      <c r="R255" s="6"/>
      <c r="S255" s="6"/>
      <c r="T255" t="b">
        <v>0</v>
      </c>
      <c r="U255" s="6"/>
      <c r="V255" s="6">
        <v>74145</v>
      </c>
      <c r="W255" s="6"/>
      <c r="X255" s="6"/>
      <c r="Y255" s="6"/>
      <c r="Z255" s="6"/>
      <c r="AA255" s="4" t="s">
        <v>1007</v>
      </c>
    </row>
    <row r="256" spans="1:27">
      <c r="A256" s="12">
        <v>100020146</v>
      </c>
      <c r="B256" s="12">
        <v>2</v>
      </c>
      <c r="C256" s="12" t="s">
        <v>658</v>
      </c>
      <c r="D256" s="12"/>
      <c r="E256" s="12"/>
      <c r="F256" s="12"/>
      <c r="G256" s="12"/>
      <c r="H256" s="12">
        <v>100020147</v>
      </c>
      <c r="I256" s="12" t="s">
        <v>1008</v>
      </c>
      <c r="J256" s="12"/>
      <c r="K256" s="12"/>
      <c r="L256" s="12" t="s">
        <v>1009</v>
      </c>
      <c r="M256" s="12"/>
      <c r="N256" s="13"/>
      <c r="O256" s="10">
        <v>3207</v>
      </c>
      <c r="P256" s="10"/>
      <c r="Q256" s="8"/>
      <c r="R256" s="6"/>
      <c r="S256" s="6"/>
      <c r="T256" t="b">
        <v>0</v>
      </c>
      <c r="U256" s="6"/>
      <c r="V256" s="6">
        <v>74146</v>
      </c>
      <c r="W256" s="6"/>
      <c r="X256" s="6"/>
      <c r="Y256" s="6"/>
      <c r="Z256" s="6">
        <v>102500</v>
      </c>
      <c r="AA256" s="4" t="s">
        <v>1010</v>
      </c>
    </row>
    <row r="257" spans="1:27">
      <c r="A257" s="12">
        <v>100020147</v>
      </c>
      <c r="B257" s="12">
        <v>2</v>
      </c>
      <c r="C257" s="12" t="s">
        <v>658</v>
      </c>
      <c r="D257" s="12"/>
      <c r="E257" s="12"/>
      <c r="F257" s="12"/>
      <c r="G257" s="12"/>
      <c r="H257" s="12">
        <v>100020148</v>
      </c>
      <c r="I257" s="12" t="s">
        <v>1011</v>
      </c>
      <c r="J257" s="12"/>
      <c r="K257" s="12"/>
      <c r="L257" s="12" t="s">
        <v>1012</v>
      </c>
      <c r="M257" s="12"/>
      <c r="N257" s="13"/>
      <c r="O257" s="10">
        <v>3207</v>
      </c>
      <c r="P257" s="10"/>
      <c r="Q257" s="8"/>
      <c r="R257" s="6"/>
      <c r="S257" s="6"/>
      <c r="T257" t="b">
        <v>0</v>
      </c>
      <c r="U257" s="6"/>
      <c r="V257" s="6">
        <v>74147</v>
      </c>
      <c r="W257" s="6"/>
      <c r="X257" s="6"/>
      <c r="Y257" s="6"/>
      <c r="Z257" s="6"/>
      <c r="AA257" s="4" t="s">
        <v>1013</v>
      </c>
    </row>
    <row r="258" spans="1:27">
      <c r="A258" s="12">
        <v>100020148</v>
      </c>
      <c r="B258" s="12">
        <v>2</v>
      </c>
      <c r="C258" s="12" t="s">
        <v>658</v>
      </c>
      <c r="D258" s="12"/>
      <c r="E258" s="12"/>
      <c r="F258" s="12"/>
      <c r="G258" s="12"/>
      <c r="H258" s="12">
        <v>100020149</v>
      </c>
      <c r="I258" s="12" t="s">
        <v>868</v>
      </c>
      <c r="J258" s="12"/>
      <c r="K258" s="12"/>
      <c r="L258" s="12" t="s">
        <v>1014</v>
      </c>
      <c r="M258" s="12"/>
      <c r="N258" s="13"/>
      <c r="O258" s="10">
        <v>4042</v>
      </c>
      <c r="P258" s="10"/>
      <c r="Q258" s="8"/>
      <c r="R258" s="6"/>
      <c r="S258" s="6"/>
      <c r="T258" t="b">
        <v>0</v>
      </c>
      <c r="U258" s="6"/>
      <c r="V258" s="6">
        <v>74148</v>
      </c>
      <c r="W258" s="6"/>
      <c r="X258" s="6"/>
      <c r="Y258" s="6"/>
      <c r="Z258" s="6"/>
      <c r="AA258" s="4" t="s">
        <v>870</v>
      </c>
    </row>
    <row r="259" spans="1:27">
      <c r="A259" s="12">
        <v>100020149</v>
      </c>
      <c r="B259" s="12">
        <v>2</v>
      </c>
      <c r="C259" s="12" t="s">
        <v>658</v>
      </c>
      <c r="D259" s="12"/>
      <c r="E259" s="12"/>
      <c r="F259" s="12"/>
      <c r="G259" s="12"/>
      <c r="H259" s="12">
        <v>100020150</v>
      </c>
      <c r="I259" s="12" t="s">
        <v>871</v>
      </c>
      <c r="J259" s="12"/>
      <c r="K259" s="12"/>
      <c r="L259" s="12" t="s">
        <v>1015</v>
      </c>
      <c r="M259" s="12"/>
      <c r="N259" s="13"/>
      <c r="O259" s="10">
        <v>4043</v>
      </c>
      <c r="P259" s="10"/>
      <c r="Q259" s="8"/>
      <c r="R259" s="6"/>
      <c r="S259" s="6"/>
      <c r="T259" t="b">
        <v>0</v>
      </c>
      <c r="U259" s="6"/>
      <c r="V259" s="6">
        <v>74149</v>
      </c>
      <c r="W259" s="6"/>
      <c r="X259" s="6"/>
      <c r="Y259" s="6"/>
      <c r="Z259" s="6"/>
      <c r="AA259" s="4" t="s">
        <v>873</v>
      </c>
    </row>
    <row r="260" spans="1:27">
      <c r="A260" s="12">
        <v>100020150</v>
      </c>
      <c r="B260" s="12">
        <v>2</v>
      </c>
      <c r="C260" s="12" t="s">
        <v>658</v>
      </c>
      <c r="D260" s="12"/>
      <c r="E260" s="12"/>
      <c r="F260" s="12"/>
      <c r="G260" s="12"/>
      <c r="H260" s="12">
        <v>100020151</v>
      </c>
      <c r="I260" s="12" t="s">
        <v>1016</v>
      </c>
      <c r="J260" s="12"/>
      <c r="K260" s="12"/>
      <c r="L260" s="12" t="s">
        <v>1017</v>
      </c>
      <c r="M260" s="12"/>
      <c r="N260" s="13"/>
      <c r="O260" s="10">
        <v>3207</v>
      </c>
      <c r="P260" s="10"/>
      <c r="Q260" s="8"/>
      <c r="R260" s="6"/>
      <c r="S260" s="6"/>
      <c r="T260" t="b">
        <v>0</v>
      </c>
      <c r="U260" s="6"/>
      <c r="V260" s="6">
        <v>74150</v>
      </c>
      <c r="W260" s="6"/>
      <c r="X260" s="6"/>
      <c r="Y260" s="6"/>
      <c r="Z260" s="6"/>
      <c r="AA260" s="4" t="s">
        <v>1018</v>
      </c>
    </row>
    <row r="261" spans="1:27">
      <c r="A261" s="12">
        <v>100020151</v>
      </c>
      <c r="B261" s="12">
        <v>2</v>
      </c>
      <c r="C261" s="12" t="s">
        <v>658</v>
      </c>
      <c r="D261" s="12"/>
      <c r="E261" s="12"/>
      <c r="F261" s="12"/>
      <c r="G261" s="12"/>
      <c r="H261" s="12">
        <v>100020152</v>
      </c>
      <c r="I261" s="12" t="s">
        <v>1019</v>
      </c>
      <c r="J261" s="12"/>
      <c r="K261" s="12"/>
      <c r="L261" s="12" t="s">
        <v>1020</v>
      </c>
      <c r="M261" s="12"/>
      <c r="N261" s="13"/>
      <c r="O261" s="10">
        <v>3207</v>
      </c>
      <c r="P261" s="10"/>
      <c r="Q261" s="8"/>
      <c r="R261" s="6"/>
      <c r="S261" s="6"/>
      <c r="T261" t="b">
        <v>0</v>
      </c>
      <c r="U261" s="6"/>
      <c r="V261" s="6">
        <v>74151</v>
      </c>
      <c r="W261" s="6"/>
      <c r="X261" s="6"/>
      <c r="Y261" s="6"/>
      <c r="Z261" s="6"/>
      <c r="AA261" s="4" t="s">
        <v>1021</v>
      </c>
    </row>
    <row r="262" spans="1:27">
      <c r="A262" s="12">
        <v>100020152</v>
      </c>
      <c r="B262" s="12">
        <v>2</v>
      </c>
      <c r="C262" s="12" t="s">
        <v>658</v>
      </c>
      <c r="D262" s="12"/>
      <c r="E262" s="12"/>
      <c r="F262" s="12"/>
      <c r="G262" s="12"/>
      <c r="H262" s="12">
        <v>100020153</v>
      </c>
      <c r="I262" s="12" t="s">
        <v>1022</v>
      </c>
      <c r="J262" s="12"/>
      <c r="K262" s="12"/>
      <c r="L262" s="12" t="s">
        <v>1023</v>
      </c>
      <c r="M262" s="12"/>
      <c r="N262" s="13"/>
      <c r="O262" s="10">
        <v>3406</v>
      </c>
      <c r="P262" s="10"/>
      <c r="Q262" s="8"/>
      <c r="R262" s="6"/>
      <c r="S262" s="6"/>
      <c r="T262" t="b">
        <v>0</v>
      </c>
      <c r="U262" s="6"/>
      <c r="V262" s="6">
        <v>74152</v>
      </c>
      <c r="W262" s="6"/>
      <c r="X262" s="6"/>
      <c r="Y262" s="6"/>
      <c r="Z262" s="6"/>
      <c r="AA262" s="4" t="s">
        <v>1024</v>
      </c>
    </row>
    <row r="263" spans="1:27">
      <c r="A263" s="12">
        <v>100020153</v>
      </c>
      <c r="B263" s="12">
        <v>2</v>
      </c>
      <c r="C263" s="12" t="s">
        <v>658</v>
      </c>
      <c r="D263" s="12"/>
      <c r="E263" s="12"/>
      <c r="F263" s="12"/>
      <c r="G263" s="12"/>
      <c r="H263" s="12">
        <v>100020154</v>
      </c>
      <c r="I263" s="12" t="s">
        <v>1025</v>
      </c>
      <c r="J263" s="12"/>
      <c r="K263" s="12"/>
      <c r="L263" s="12" t="s">
        <v>1026</v>
      </c>
      <c r="M263" s="12"/>
      <c r="N263" s="13"/>
      <c r="O263" s="10">
        <v>3206</v>
      </c>
      <c r="P263" s="10"/>
      <c r="Q263" s="8"/>
      <c r="R263" s="6"/>
      <c r="S263" s="6"/>
      <c r="T263" t="b">
        <v>0</v>
      </c>
      <c r="U263" s="6"/>
      <c r="V263" s="6">
        <v>74153</v>
      </c>
      <c r="W263" s="6"/>
      <c r="X263" s="6"/>
      <c r="Y263" s="6"/>
      <c r="Z263" s="6"/>
      <c r="AA263" s="4" t="s">
        <v>1027</v>
      </c>
    </row>
    <row r="264" spans="1:27">
      <c r="A264" s="12">
        <v>100020154</v>
      </c>
      <c r="B264" s="12">
        <v>2</v>
      </c>
      <c r="C264" s="12" t="s">
        <v>658</v>
      </c>
      <c r="D264" s="12"/>
      <c r="E264" s="12"/>
      <c r="F264" s="12"/>
      <c r="G264" s="12"/>
      <c r="H264" s="12">
        <v>100020155</v>
      </c>
      <c r="I264" s="12" t="s">
        <v>1028</v>
      </c>
      <c r="J264" s="12"/>
      <c r="K264" s="12"/>
      <c r="L264" s="12" t="s">
        <v>1029</v>
      </c>
      <c r="M264" s="12"/>
      <c r="N264" s="13"/>
      <c r="O264" s="10">
        <v>3206</v>
      </c>
      <c r="P264" s="10"/>
      <c r="Q264" s="8"/>
      <c r="R264" s="6"/>
      <c r="S264" s="6"/>
      <c r="T264" t="b">
        <v>0</v>
      </c>
      <c r="U264" s="6"/>
      <c r="V264" s="6">
        <v>74154</v>
      </c>
      <c r="W264" s="6"/>
      <c r="X264" s="6"/>
      <c r="Y264" s="6"/>
      <c r="Z264" s="6"/>
      <c r="AA264" s="4" t="s">
        <v>1030</v>
      </c>
    </row>
    <row r="265" spans="1:27">
      <c r="A265" s="12">
        <v>100020155</v>
      </c>
      <c r="B265" s="12">
        <v>2</v>
      </c>
      <c r="C265" s="12" t="s">
        <v>658</v>
      </c>
      <c r="D265" s="12"/>
      <c r="E265" s="12"/>
      <c r="F265" s="12"/>
      <c r="G265" s="12"/>
      <c r="H265" s="12">
        <v>100020156</v>
      </c>
      <c r="I265" s="12" t="s">
        <v>1031</v>
      </c>
      <c r="J265" s="12"/>
      <c r="K265" s="12"/>
      <c r="L265" s="12" t="s">
        <v>1032</v>
      </c>
      <c r="M265" s="12"/>
      <c r="N265" s="13"/>
      <c r="O265" s="10">
        <v>3206</v>
      </c>
      <c r="P265" s="10"/>
      <c r="Q265" s="8"/>
      <c r="R265" s="6"/>
      <c r="S265" s="6"/>
      <c r="T265" t="b">
        <v>0</v>
      </c>
      <c r="U265" s="6"/>
      <c r="V265" s="6">
        <v>74155</v>
      </c>
      <c r="W265" s="6"/>
      <c r="X265" s="6"/>
      <c r="Y265" s="6"/>
      <c r="Z265" s="6">
        <v>101200</v>
      </c>
      <c r="AA265" s="4" t="s">
        <v>1033</v>
      </c>
    </row>
    <row r="266" spans="1:27">
      <c r="A266" s="12">
        <v>100020156</v>
      </c>
      <c r="B266" s="12">
        <v>2</v>
      </c>
      <c r="C266" s="12" t="s">
        <v>658</v>
      </c>
      <c r="D266" s="12"/>
      <c r="E266" s="12"/>
      <c r="F266" s="12"/>
      <c r="G266" s="12"/>
      <c r="H266" s="12">
        <v>100020157</v>
      </c>
      <c r="I266" s="12" t="s">
        <v>1034</v>
      </c>
      <c r="J266" s="12"/>
      <c r="K266" s="12"/>
      <c r="L266" s="12" t="s">
        <v>1035</v>
      </c>
      <c r="M266" s="12"/>
      <c r="N266" s="13"/>
      <c r="O266" s="10">
        <v>3206</v>
      </c>
      <c r="P266" s="10"/>
      <c r="Q266" s="8"/>
      <c r="R266" s="6"/>
      <c r="S266" s="6"/>
      <c r="T266" t="b">
        <v>0</v>
      </c>
      <c r="U266" s="6"/>
      <c r="V266" s="6">
        <v>74156</v>
      </c>
      <c r="W266" s="6"/>
      <c r="X266" s="6"/>
      <c r="Y266" s="6"/>
      <c r="Z266" s="6"/>
      <c r="AA266" s="4" t="s">
        <v>1036</v>
      </c>
    </row>
    <row r="267" spans="1:27">
      <c r="A267" s="12">
        <v>100020157</v>
      </c>
      <c r="B267" s="12">
        <v>2</v>
      </c>
      <c r="C267" s="12" t="s">
        <v>658</v>
      </c>
      <c r="D267" s="12"/>
      <c r="E267" s="12"/>
      <c r="F267" s="12"/>
      <c r="G267" s="12"/>
      <c r="H267" s="12">
        <v>100020158</v>
      </c>
      <c r="I267" s="12" t="s">
        <v>836</v>
      </c>
      <c r="J267" s="12"/>
      <c r="K267" s="12"/>
      <c r="L267" s="12" t="s">
        <v>1037</v>
      </c>
      <c r="M267" s="12"/>
      <c r="N267" s="13"/>
      <c r="O267" s="10">
        <v>4044</v>
      </c>
      <c r="P267" s="10"/>
      <c r="Q267" s="8"/>
      <c r="R267" s="6"/>
      <c r="S267" s="6"/>
      <c r="T267" t="b">
        <v>0</v>
      </c>
      <c r="U267" s="6"/>
      <c r="V267" s="6">
        <v>74157</v>
      </c>
      <c r="W267" s="6"/>
      <c r="X267" s="6"/>
      <c r="Y267" s="6"/>
      <c r="Z267" s="6"/>
      <c r="AA267" s="4" t="s">
        <v>838</v>
      </c>
    </row>
    <row r="268" spans="1:27">
      <c r="A268" s="12">
        <v>100020158</v>
      </c>
      <c r="B268" s="12">
        <v>2</v>
      </c>
      <c r="C268" s="12" t="s">
        <v>658</v>
      </c>
      <c r="D268" s="12"/>
      <c r="E268" s="12"/>
      <c r="F268" s="12"/>
      <c r="G268" s="12"/>
      <c r="H268" s="12">
        <v>100020159</v>
      </c>
      <c r="I268" s="12" t="s">
        <v>839</v>
      </c>
      <c r="J268" s="12"/>
      <c r="K268" s="12"/>
      <c r="L268" s="12" t="s">
        <v>1038</v>
      </c>
      <c r="M268" s="12"/>
      <c r="N268" s="13"/>
      <c r="O268" s="10">
        <v>3134</v>
      </c>
      <c r="P268" s="10"/>
      <c r="Q268" s="8"/>
      <c r="R268" s="6"/>
      <c r="S268" s="6"/>
      <c r="T268" t="b">
        <v>0</v>
      </c>
      <c r="U268" s="6"/>
      <c r="V268" s="6">
        <v>74158</v>
      </c>
      <c r="W268" s="6"/>
      <c r="X268" s="6"/>
      <c r="Y268" s="6"/>
      <c r="Z268" s="6"/>
      <c r="AA268" s="4" t="s">
        <v>840</v>
      </c>
    </row>
    <row r="269" spans="1:27">
      <c r="A269" s="12">
        <v>100020159</v>
      </c>
      <c r="B269" s="12">
        <v>2</v>
      </c>
      <c r="C269" s="12" t="s">
        <v>658</v>
      </c>
      <c r="D269" s="12"/>
      <c r="E269" s="12"/>
      <c r="F269" s="12"/>
      <c r="G269" s="12"/>
      <c r="H269" s="12">
        <v>100020160</v>
      </c>
      <c r="I269" s="12" t="s">
        <v>1039</v>
      </c>
      <c r="J269" s="12"/>
      <c r="K269" s="12"/>
      <c r="L269" s="12" t="s">
        <v>1040</v>
      </c>
      <c r="M269" s="12"/>
      <c r="N269" s="13"/>
      <c r="O269" s="10">
        <v>3206</v>
      </c>
      <c r="P269" s="10"/>
      <c r="Q269" s="8"/>
      <c r="R269" s="6"/>
      <c r="S269" s="6"/>
      <c r="T269" t="b">
        <v>0</v>
      </c>
      <c r="U269" s="6"/>
      <c r="V269" s="6">
        <v>74159</v>
      </c>
      <c r="W269" s="6"/>
      <c r="X269" s="6"/>
      <c r="Y269" s="6"/>
      <c r="Z269" s="6"/>
      <c r="AA269" s="4" t="s">
        <v>1041</v>
      </c>
    </row>
    <row r="270" spans="1:27">
      <c r="A270" s="12">
        <v>100020160</v>
      </c>
      <c r="B270" s="12">
        <v>2</v>
      </c>
      <c r="C270" s="12" t="s">
        <v>658</v>
      </c>
      <c r="D270" s="12"/>
      <c r="E270" s="12"/>
      <c r="F270" s="12"/>
      <c r="G270" s="12"/>
      <c r="H270" s="12">
        <v>100020161</v>
      </c>
      <c r="I270" s="12" t="s">
        <v>843</v>
      </c>
      <c r="J270" s="12"/>
      <c r="K270" s="12"/>
      <c r="L270" s="12" t="s">
        <v>1040</v>
      </c>
      <c r="M270" s="12"/>
      <c r="N270" s="13"/>
      <c r="O270" s="10">
        <v>3021</v>
      </c>
      <c r="P270" s="10"/>
      <c r="Q270" s="8"/>
      <c r="R270" s="6"/>
      <c r="S270" s="6"/>
      <c r="T270" t="b">
        <v>0</v>
      </c>
      <c r="U270" s="6"/>
      <c r="V270" s="6">
        <v>74160</v>
      </c>
      <c r="W270" s="6"/>
      <c r="X270" s="6"/>
      <c r="Y270" s="6"/>
      <c r="Z270" s="6"/>
      <c r="AA270" s="4" t="s">
        <v>845</v>
      </c>
    </row>
    <row r="271" spans="1:27">
      <c r="A271" s="12">
        <v>100020161</v>
      </c>
      <c r="B271" s="12">
        <v>2</v>
      </c>
      <c r="C271" s="12" t="s">
        <v>658</v>
      </c>
      <c r="D271" s="12"/>
      <c r="E271" s="12"/>
      <c r="F271" s="12"/>
      <c r="G271" s="12"/>
      <c r="H271" s="12">
        <v>100020162</v>
      </c>
      <c r="I271" s="12" t="s">
        <v>1042</v>
      </c>
      <c r="J271" s="12"/>
      <c r="K271" s="12"/>
      <c r="L271" s="12" t="s">
        <v>1043</v>
      </c>
      <c r="M271" s="12"/>
      <c r="N271" s="13"/>
      <c r="O271" s="10">
        <v>3206</v>
      </c>
      <c r="P271" s="10"/>
      <c r="Q271" s="8"/>
      <c r="R271" s="6"/>
      <c r="S271" s="6"/>
      <c r="T271" t="b">
        <v>0</v>
      </c>
      <c r="U271" s="6"/>
      <c r="V271" s="6">
        <v>74161</v>
      </c>
      <c r="W271" s="6"/>
      <c r="X271" s="6"/>
      <c r="Y271" s="6"/>
      <c r="Z271" s="6"/>
      <c r="AA271" s="4" t="s">
        <v>1044</v>
      </c>
    </row>
    <row r="272" spans="1:27">
      <c r="A272" s="12">
        <v>100020162</v>
      </c>
      <c r="B272" s="12">
        <v>2</v>
      </c>
      <c r="C272" s="12" t="s">
        <v>658</v>
      </c>
      <c r="D272" s="12"/>
      <c r="E272" s="12"/>
      <c r="F272" s="12"/>
      <c r="G272" s="12"/>
      <c r="H272" s="12">
        <v>100020163</v>
      </c>
      <c r="I272" s="12" t="s">
        <v>1045</v>
      </c>
      <c r="J272" s="12"/>
      <c r="K272" s="12"/>
      <c r="L272" s="12" t="s">
        <v>1046</v>
      </c>
      <c r="M272" s="12"/>
      <c r="N272" s="13"/>
      <c r="O272" s="10">
        <v>3206</v>
      </c>
      <c r="P272" s="10"/>
      <c r="Q272" s="8"/>
      <c r="R272" s="6"/>
      <c r="S272" s="6"/>
      <c r="T272" t="b">
        <v>0</v>
      </c>
      <c r="U272" s="6"/>
      <c r="V272" s="6">
        <v>74162</v>
      </c>
      <c r="W272" s="6"/>
      <c r="X272" s="6"/>
      <c r="Y272" s="6"/>
      <c r="Z272" s="6"/>
      <c r="AA272" s="4" t="s">
        <v>1047</v>
      </c>
    </row>
    <row r="273" spans="1:27">
      <c r="A273" s="12">
        <v>100020163</v>
      </c>
      <c r="B273" s="12">
        <v>2</v>
      </c>
      <c r="C273" s="12" t="s">
        <v>658</v>
      </c>
      <c r="D273" s="12"/>
      <c r="E273" s="12"/>
      <c r="F273" s="12"/>
      <c r="G273" s="12"/>
      <c r="H273" s="12">
        <v>100020164</v>
      </c>
      <c r="I273" s="12" t="s">
        <v>1048</v>
      </c>
      <c r="J273" s="12"/>
      <c r="K273" s="12"/>
      <c r="L273" s="12" t="s">
        <v>1049</v>
      </c>
      <c r="M273" s="12"/>
      <c r="N273" s="13"/>
      <c r="O273" s="10">
        <v>3206</v>
      </c>
      <c r="P273" s="10"/>
      <c r="Q273" s="8"/>
      <c r="R273" s="6"/>
      <c r="S273" s="6"/>
      <c r="T273" t="b">
        <v>0</v>
      </c>
      <c r="U273" s="6"/>
      <c r="V273" s="6">
        <v>74163</v>
      </c>
      <c r="W273" s="6"/>
      <c r="X273" s="6"/>
      <c r="Y273" s="6"/>
      <c r="Z273" s="6"/>
      <c r="AA273" s="4" t="s">
        <v>1050</v>
      </c>
    </row>
    <row r="274" spans="1:27">
      <c r="A274" s="12">
        <v>100020164</v>
      </c>
      <c r="B274" s="12">
        <v>2</v>
      </c>
      <c r="C274" s="12" t="s">
        <v>658</v>
      </c>
      <c r="D274" s="12"/>
      <c r="E274" s="12"/>
      <c r="F274" s="12"/>
      <c r="G274" s="12"/>
      <c r="H274" s="12">
        <v>100020165</v>
      </c>
      <c r="I274" s="12" t="s">
        <v>854</v>
      </c>
      <c r="J274" s="12"/>
      <c r="K274" s="12"/>
      <c r="L274" s="12" t="s">
        <v>1051</v>
      </c>
      <c r="M274" s="12"/>
      <c r="N274" s="13"/>
      <c r="O274" s="10">
        <v>4041</v>
      </c>
      <c r="P274" s="10"/>
      <c r="Q274" s="8"/>
      <c r="R274" s="6"/>
      <c r="S274" s="6"/>
      <c r="T274" t="b">
        <v>0</v>
      </c>
      <c r="U274" s="6"/>
      <c r="V274" s="6">
        <v>74164</v>
      </c>
      <c r="W274" s="6"/>
      <c r="X274" s="6"/>
      <c r="Y274" s="6"/>
      <c r="Z274" s="6"/>
      <c r="AA274" s="4" t="s">
        <v>856</v>
      </c>
    </row>
    <row r="275" spans="1:27">
      <c r="A275" s="12">
        <v>100020165</v>
      </c>
      <c r="B275" s="12">
        <v>2</v>
      </c>
      <c r="C275" s="12" t="s">
        <v>658</v>
      </c>
      <c r="D275" s="12"/>
      <c r="E275" s="12"/>
      <c r="F275" s="12"/>
      <c r="G275" s="12"/>
      <c r="H275" s="12">
        <v>100020166</v>
      </c>
      <c r="I275" s="12" t="s">
        <v>784</v>
      </c>
      <c r="J275" s="12"/>
      <c r="K275" s="12"/>
      <c r="L275" s="12" t="s">
        <v>1052</v>
      </c>
      <c r="M275" s="12"/>
      <c r="N275" s="13"/>
      <c r="O275" s="10">
        <v>4003</v>
      </c>
      <c r="P275" s="10"/>
      <c r="Q275" s="8"/>
      <c r="R275" s="6"/>
      <c r="S275" s="6"/>
      <c r="T275" t="b">
        <v>0</v>
      </c>
      <c r="U275" s="6"/>
      <c r="V275" s="6">
        <v>74165</v>
      </c>
      <c r="W275" s="6"/>
      <c r="X275" s="6"/>
      <c r="Y275" s="6"/>
      <c r="Z275" s="6">
        <v>-1</v>
      </c>
      <c r="AA275" s="4" t="s">
        <v>786</v>
      </c>
    </row>
    <row r="276" spans="1:27">
      <c r="A276" s="12">
        <v>100020166</v>
      </c>
      <c r="B276" s="12">
        <v>2</v>
      </c>
      <c r="C276" s="12" t="s">
        <v>658</v>
      </c>
      <c r="D276" s="12"/>
      <c r="E276" s="12"/>
      <c r="F276" s="12"/>
      <c r="G276" s="12"/>
      <c r="H276" s="12">
        <v>100020167</v>
      </c>
      <c r="I276" s="12" t="s">
        <v>787</v>
      </c>
      <c r="J276" s="12"/>
      <c r="K276" s="12"/>
      <c r="L276" s="12" t="s">
        <v>1053</v>
      </c>
      <c r="M276" s="12"/>
      <c r="N276" s="13"/>
      <c r="O276" s="10">
        <v>4004</v>
      </c>
      <c r="P276" s="10"/>
      <c r="Q276" s="8"/>
      <c r="R276" s="6"/>
      <c r="S276" s="6"/>
      <c r="T276" t="b">
        <v>0</v>
      </c>
      <c r="U276" s="6"/>
      <c r="V276" s="6">
        <v>74166</v>
      </c>
      <c r="W276" s="6"/>
      <c r="X276" s="6"/>
      <c r="Y276" s="6"/>
      <c r="Z276" s="6"/>
      <c r="AA276" s="4" t="s">
        <v>788</v>
      </c>
    </row>
    <row r="277" spans="1:27">
      <c r="A277" s="12">
        <v>100020167</v>
      </c>
      <c r="B277" s="12">
        <v>2</v>
      </c>
      <c r="C277" s="12" t="s">
        <v>658</v>
      </c>
      <c r="D277" s="12"/>
      <c r="E277" s="12"/>
      <c r="F277" s="12"/>
      <c r="G277" s="12"/>
      <c r="H277" s="12">
        <v>100020168</v>
      </c>
      <c r="I277" s="12" t="s">
        <v>1054</v>
      </c>
      <c r="J277" s="12"/>
      <c r="K277" s="12"/>
      <c r="L277" s="12" t="s">
        <v>1046</v>
      </c>
      <c r="M277" s="12"/>
      <c r="N277" s="13"/>
      <c r="O277" s="10">
        <v>3206</v>
      </c>
      <c r="P277" s="10"/>
      <c r="Q277" s="8"/>
      <c r="R277" s="6"/>
      <c r="S277" s="6"/>
      <c r="T277" t="b">
        <v>0</v>
      </c>
      <c r="U277" s="6"/>
      <c r="V277" s="6">
        <v>74167</v>
      </c>
      <c r="W277" s="6"/>
      <c r="X277" s="6"/>
      <c r="Y277" s="6"/>
      <c r="Z277" s="6"/>
      <c r="AA277" s="4" t="s">
        <v>1055</v>
      </c>
    </row>
    <row r="278" spans="1:27">
      <c r="A278" s="12">
        <v>100020168</v>
      </c>
      <c r="B278" s="12">
        <v>2</v>
      </c>
      <c r="C278" s="12" t="s">
        <v>658</v>
      </c>
      <c r="D278" s="12"/>
      <c r="E278" s="12"/>
      <c r="F278" s="12"/>
      <c r="G278" s="12"/>
      <c r="H278" s="12">
        <v>100020169</v>
      </c>
      <c r="I278" s="12" t="s">
        <v>1056</v>
      </c>
      <c r="J278" s="12"/>
      <c r="K278" s="12"/>
      <c r="L278" s="12" t="s">
        <v>1057</v>
      </c>
      <c r="M278" s="12"/>
      <c r="N278" s="13"/>
      <c r="O278" s="10">
        <v>3206</v>
      </c>
      <c r="P278" s="10"/>
      <c r="Q278" s="8"/>
      <c r="R278" s="6"/>
      <c r="S278" s="6"/>
      <c r="T278" t="b">
        <v>0</v>
      </c>
      <c r="U278" s="6"/>
      <c r="V278" s="6">
        <v>74168</v>
      </c>
      <c r="W278" s="6"/>
      <c r="X278" s="6"/>
      <c r="Y278" s="6"/>
      <c r="Z278" s="6"/>
      <c r="AA278" s="4" t="s">
        <v>1058</v>
      </c>
    </row>
    <row r="279" spans="1:27">
      <c r="A279" s="12">
        <v>100020169</v>
      </c>
      <c r="B279" s="12">
        <v>2</v>
      </c>
      <c r="C279" s="12" t="s">
        <v>658</v>
      </c>
      <c r="D279" s="12"/>
      <c r="E279" s="12"/>
      <c r="F279" s="12"/>
      <c r="G279" s="12"/>
      <c r="H279" s="12">
        <v>100020170</v>
      </c>
      <c r="I279" s="12" t="s">
        <v>1059</v>
      </c>
      <c r="J279" s="12"/>
      <c r="K279" s="12"/>
      <c r="L279" s="12" t="s">
        <v>1060</v>
      </c>
      <c r="M279" s="12"/>
      <c r="N279" s="13"/>
      <c r="O279" s="10">
        <v>3206</v>
      </c>
      <c r="P279" s="10"/>
      <c r="Q279" s="8"/>
      <c r="R279" s="6"/>
      <c r="S279" s="6"/>
      <c r="T279" t="b">
        <v>0</v>
      </c>
      <c r="U279" s="6"/>
      <c r="V279" s="6">
        <v>74169</v>
      </c>
      <c r="W279" s="6"/>
      <c r="X279" s="6"/>
      <c r="Y279" s="6"/>
      <c r="Z279" s="6">
        <v>101200</v>
      </c>
      <c r="AA279" s="4" t="s">
        <v>1061</v>
      </c>
    </row>
    <row r="280" spans="1:27">
      <c r="A280" s="12">
        <v>100020170</v>
      </c>
      <c r="B280" s="12">
        <v>2</v>
      </c>
      <c r="C280" s="12" t="s">
        <v>658</v>
      </c>
      <c r="D280" s="12"/>
      <c r="E280" s="12"/>
      <c r="F280" s="12"/>
      <c r="G280" s="12"/>
      <c r="H280" s="12">
        <v>100020171</v>
      </c>
      <c r="I280" s="12" t="s">
        <v>1062</v>
      </c>
      <c r="J280" s="12"/>
      <c r="K280" s="12"/>
      <c r="L280" s="12" t="s">
        <v>1063</v>
      </c>
      <c r="M280" s="12"/>
      <c r="N280" s="13"/>
      <c r="O280" s="10">
        <v>3206</v>
      </c>
      <c r="P280" s="10"/>
      <c r="Q280" s="8"/>
      <c r="R280" s="6"/>
      <c r="S280" s="6"/>
      <c r="T280" t="b">
        <v>0</v>
      </c>
      <c r="U280" s="6"/>
      <c r="V280" s="6">
        <v>74170</v>
      </c>
      <c r="W280" s="6"/>
      <c r="X280" s="6"/>
      <c r="Y280" s="6"/>
      <c r="Z280" s="6"/>
      <c r="AA280" s="4" t="s">
        <v>1064</v>
      </c>
    </row>
    <row r="281" spans="1:27">
      <c r="A281" s="12">
        <v>100020171</v>
      </c>
      <c r="B281" s="12">
        <v>2</v>
      </c>
      <c r="C281" s="12" t="s">
        <v>658</v>
      </c>
      <c r="D281" s="12"/>
      <c r="E281" s="12"/>
      <c r="F281" s="12"/>
      <c r="G281" s="12"/>
      <c r="H281" s="12">
        <v>100020172</v>
      </c>
      <c r="I281" s="12" t="s">
        <v>868</v>
      </c>
      <c r="J281" s="12"/>
      <c r="K281" s="12"/>
      <c r="L281" s="12" t="s">
        <v>1065</v>
      </c>
      <c r="M281" s="12"/>
      <c r="N281" s="13"/>
      <c r="O281" s="10">
        <v>4042</v>
      </c>
      <c r="P281" s="10"/>
      <c r="Q281" s="8"/>
      <c r="R281" s="6"/>
      <c r="S281" s="6"/>
      <c r="T281" t="b">
        <v>0</v>
      </c>
      <c r="U281" s="6"/>
      <c r="V281" s="6">
        <v>74171</v>
      </c>
      <c r="W281" s="6"/>
      <c r="X281" s="6"/>
      <c r="Y281" s="6"/>
      <c r="Z281" s="6"/>
      <c r="AA281" s="4" t="s">
        <v>870</v>
      </c>
    </row>
    <row r="282" spans="1:27">
      <c r="A282" s="12">
        <v>100020172</v>
      </c>
      <c r="B282" s="12">
        <v>2</v>
      </c>
      <c r="C282" s="12" t="s">
        <v>658</v>
      </c>
      <c r="D282" s="12"/>
      <c r="E282" s="12"/>
      <c r="F282" s="12"/>
      <c r="G282" s="12"/>
      <c r="H282" s="12">
        <v>100020173</v>
      </c>
      <c r="I282" s="12" t="s">
        <v>871</v>
      </c>
      <c r="J282" s="12"/>
      <c r="K282" s="12"/>
      <c r="L282" s="12" t="s">
        <v>1066</v>
      </c>
      <c r="M282" s="12"/>
      <c r="N282" s="13"/>
      <c r="O282" s="10">
        <v>4043</v>
      </c>
      <c r="P282" s="10"/>
      <c r="Q282" s="8"/>
      <c r="R282" s="6"/>
      <c r="S282" s="6"/>
      <c r="T282" t="b">
        <v>0</v>
      </c>
      <c r="U282" s="6"/>
      <c r="V282" s="6">
        <v>74172</v>
      </c>
      <c r="W282" s="6"/>
      <c r="X282" s="6"/>
      <c r="Y282" s="6"/>
      <c r="Z282" s="6"/>
      <c r="AA282" s="4" t="s">
        <v>873</v>
      </c>
    </row>
    <row r="283" spans="1:27">
      <c r="A283" s="12">
        <v>100020173</v>
      </c>
      <c r="B283" s="12">
        <v>2</v>
      </c>
      <c r="C283" s="12" t="s">
        <v>658</v>
      </c>
      <c r="D283" s="12"/>
      <c r="E283" s="12"/>
      <c r="F283" s="12"/>
      <c r="G283" s="12"/>
      <c r="H283" s="12">
        <v>100020174</v>
      </c>
      <c r="I283" s="12" t="s">
        <v>1067</v>
      </c>
      <c r="J283" s="12"/>
      <c r="K283" s="12"/>
      <c r="L283" s="12" t="s">
        <v>1068</v>
      </c>
      <c r="M283" s="12"/>
      <c r="N283" s="13"/>
      <c r="O283" s="10">
        <v>3206</v>
      </c>
      <c r="P283" s="10"/>
      <c r="Q283" s="8"/>
      <c r="R283" s="6"/>
      <c r="S283" s="6"/>
      <c r="T283" t="b">
        <v>0</v>
      </c>
      <c r="U283" s="6"/>
      <c r="V283" s="6">
        <v>74173</v>
      </c>
      <c r="W283" s="6"/>
      <c r="X283" s="6"/>
      <c r="Y283" s="6"/>
      <c r="Z283" s="6"/>
      <c r="AA283" s="4" t="s">
        <v>1069</v>
      </c>
    </row>
    <row r="284" spans="1:27">
      <c r="A284" s="12">
        <v>100020174</v>
      </c>
      <c r="B284" s="12">
        <v>2</v>
      </c>
      <c r="C284" s="12" t="s">
        <v>658</v>
      </c>
      <c r="D284" s="12"/>
      <c r="E284" s="12"/>
      <c r="F284" s="12"/>
      <c r="G284" s="12"/>
      <c r="H284" s="12">
        <v>100020175</v>
      </c>
      <c r="I284" s="12" t="s">
        <v>1070</v>
      </c>
      <c r="J284" s="12"/>
      <c r="K284" s="12"/>
      <c r="L284" s="12" t="s">
        <v>1071</v>
      </c>
      <c r="M284" s="12"/>
      <c r="N284" s="13"/>
      <c r="O284" s="10">
        <v>3206</v>
      </c>
      <c r="P284" s="10"/>
      <c r="Q284" s="8"/>
      <c r="R284" s="6"/>
      <c r="S284" s="6"/>
      <c r="T284" t="b">
        <v>0</v>
      </c>
      <c r="U284" s="6"/>
      <c r="V284" s="6">
        <v>74174</v>
      </c>
      <c r="W284" s="6"/>
      <c r="X284" s="6"/>
      <c r="Y284" s="6"/>
      <c r="Z284" s="6"/>
      <c r="AA284" s="4" t="s">
        <v>1072</v>
      </c>
    </row>
    <row r="285" spans="1:27">
      <c r="A285" s="12">
        <v>100020175</v>
      </c>
      <c r="B285" s="12">
        <v>2</v>
      </c>
      <c r="C285" s="12" t="s">
        <v>658</v>
      </c>
      <c r="D285" s="12"/>
      <c r="E285" s="12"/>
      <c r="F285" s="12"/>
      <c r="G285" s="12"/>
      <c r="H285" s="12">
        <v>100020176</v>
      </c>
      <c r="I285" s="12" t="s">
        <v>1073</v>
      </c>
      <c r="J285" s="12"/>
      <c r="K285" s="12"/>
      <c r="L285" s="12" t="s">
        <v>1074</v>
      </c>
      <c r="M285" s="12"/>
      <c r="N285" s="13"/>
      <c r="O285" s="10">
        <v>3405</v>
      </c>
      <c r="P285" s="10"/>
      <c r="Q285" s="8"/>
      <c r="R285" s="6"/>
      <c r="S285" s="6"/>
      <c r="T285" t="b">
        <v>0</v>
      </c>
      <c r="U285" s="6"/>
      <c r="V285" s="6">
        <v>74175</v>
      </c>
      <c r="W285" s="6"/>
      <c r="X285" s="6"/>
      <c r="Y285" s="6"/>
      <c r="Z285" s="6"/>
      <c r="AA285" s="4" t="s">
        <v>1075</v>
      </c>
    </row>
    <row r="286" spans="1:27">
      <c r="A286" s="12">
        <v>100020176</v>
      </c>
      <c r="B286" s="12">
        <v>2</v>
      </c>
      <c r="C286" s="12" t="s">
        <v>658</v>
      </c>
      <c r="D286" s="12"/>
      <c r="E286" s="12"/>
      <c r="F286" s="12"/>
      <c r="G286" s="12"/>
      <c r="H286" s="12">
        <v>100020177</v>
      </c>
      <c r="I286" s="12" t="s">
        <v>1076</v>
      </c>
      <c r="J286" s="12"/>
      <c r="K286" s="12"/>
      <c r="L286" s="12" t="s">
        <v>1077</v>
      </c>
      <c r="M286" s="12"/>
      <c r="N286" s="13"/>
      <c r="O286" s="10">
        <v>3205</v>
      </c>
      <c r="P286" s="10"/>
      <c r="Q286" s="8"/>
      <c r="R286" s="6"/>
      <c r="S286" s="6"/>
      <c r="T286" t="b">
        <v>0</v>
      </c>
      <c r="U286" s="6"/>
      <c r="V286" s="6">
        <v>74176</v>
      </c>
      <c r="W286" s="6"/>
      <c r="X286" s="6"/>
      <c r="Y286" s="6"/>
      <c r="Z286" s="6"/>
      <c r="AA286" s="4" t="s">
        <v>1078</v>
      </c>
    </row>
    <row r="287" spans="1:27">
      <c r="A287" s="12">
        <v>100020177</v>
      </c>
      <c r="B287" s="12">
        <v>2</v>
      </c>
      <c r="C287" s="12" t="s">
        <v>658</v>
      </c>
      <c r="D287" s="12"/>
      <c r="E287" s="12"/>
      <c r="F287" s="12"/>
      <c r="G287" s="12"/>
      <c r="H287" s="12">
        <v>100020178</v>
      </c>
      <c r="I287" s="12" t="s">
        <v>1079</v>
      </c>
      <c r="J287" s="12"/>
      <c r="K287" s="12"/>
      <c r="L287" s="12" t="s">
        <v>1080</v>
      </c>
      <c r="M287" s="12"/>
      <c r="N287" s="13"/>
      <c r="O287" s="10">
        <v>3205</v>
      </c>
      <c r="P287" s="10"/>
      <c r="Q287" s="8"/>
      <c r="R287" s="6"/>
      <c r="S287" s="6"/>
      <c r="T287" t="b">
        <v>0</v>
      </c>
      <c r="U287" s="6"/>
      <c r="V287" s="6">
        <v>74177</v>
      </c>
      <c r="W287" s="6"/>
      <c r="X287" s="6"/>
      <c r="Y287" s="6"/>
      <c r="Z287" s="6"/>
      <c r="AA287" s="4" t="s">
        <v>1081</v>
      </c>
    </row>
    <row r="288" spans="1:27">
      <c r="A288" s="12">
        <v>100020178</v>
      </c>
      <c r="B288" s="12">
        <v>2</v>
      </c>
      <c r="C288" s="12" t="s">
        <v>658</v>
      </c>
      <c r="D288" s="12"/>
      <c r="E288" s="12"/>
      <c r="F288" s="12"/>
      <c r="G288" s="12"/>
      <c r="H288" s="12">
        <v>100020179</v>
      </c>
      <c r="I288" s="12" t="s">
        <v>1082</v>
      </c>
      <c r="J288" s="12"/>
      <c r="K288" s="12"/>
      <c r="L288" s="12" t="s">
        <v>1083</v>
      </c>
      <c r="M288" s="12"/>
      <c r="N288" s="13"/>
      <c r="O288" s="10">
        <v>3205</v>
      </c>
      <c r="P288" s="10"/>
      <c r="Q288" s="8"/>
      <c r="R288" s="6"/>
      <c r="S288" s="6"/>
      <c r="T288" t="b">
        <v>0</v>
      </c>
      <c r="U288" s="6"/>
      <c r="V288" s="6">
        <v>74178</v>
      </c>
      <c r="W288" s="6"/>
      <c r="X288" s="6"/>
      <c r="Y288" s="6"/>
      <c r="Z288" s="6">
        <v>100300</v>
      </c>
      <c r="AA288" s="4" t="s">
        <v>1084</v>
      </c>
    </row>
    <row r="289" spans="1:27">
      <c r="A289" s="12">
        <v>100020179</v>
      </c>
      <c r="B289" s="12">
        <v>2</v>
      </c>
      <c r="C289" s="12" t="s">
        <v>658</v>
      </c>
      <c r="D289" s="12"/>
      <c r="E289" s="12"/>
      <c r="F289" s="12"/>
      <c r="G289" s="12"/>
      <c r="H289" s="12">
        <v>100020180</v>
      </c>
      <c r="I289" s="12" t="s">
        <v>1085</v>
      </c>
      <c r="J289" s="12"/>
      <c r="K289" s="12"/>
      <c r="L289" s="12" t="s">
        <v>1086</v>
      </c>
      <c r="M289" s="12"/>
      <c r="N289" s="13"/>
      <c r="O289" s="10">
        <v>3205</v>
      </c>
      <c r="P289" s="10"/>
      <c r="Q289" s="8"/>
      <c r="R289" s="6"/>
      <c r="S289" s="6"/>
      <c r="T289" t="b">
        <v>0</v>
      </c>
      <c r="U289" s="6"/>
      <c r="V289" s="6">
        <v>74179</v>
      </c>
      <c r="W289" s="6"/>
      <c r="X289" s="6"/>
      <c r="Y289" s="6"/>
      <c r="Z289" s="6"/>
      <c r="AA289" s="4" t="s">
        <v>1087</v>
      </c>
    </row>
    <row r="290" spans="1:27">
      <c r="A290" s="12">
        <v>100020180</v>
      </c>
      <c r="B290" s="12">
        <v>2</v>
      </c>
      <c r="C290" s="12" t="s">
        <v>658</v>
      </c>
      <c r="D290" s="12"/>
      <c r="E290" s="12"/>
      <c r="F290" s="12"/>
      <c r="G290" s="12"/>
      <c r="H290" s="12">
        <v>100020181</v>
      </c>
      <c r="I290" s="12" t="s">
        <v>836</v>
      </c>
      <c r="J290" s="12"/>
      <c r="K290" s="12"/>
      <c r="L290" s="12" t="s">
        <v>1088</v>
      </c>
      <c r="M290" s="12"/>
      <c r="N290" s="13"/>
      <c r="O290" s="10">
        <v>4044</v>
      </c>
      <c r="P290" s="10"/>
      <c r="Q290" s="8"/>
      <c r="R290" s="6"/>
      <c r="S290" s="6"/>
      <c r="T290" t="b">
        <v>0</v>
      </c>
      <c r="U290" s="6"/>
      <c r="V290" s="6">
        <v>74180</v>
      </c>
      <c r="W290" s="6"/>
      <c r="X290" s="6"/>
      <c r="Y290" s="6"/>
      <c r="Z290" s="6"/>
      <c r="AA290" s="4" t="s">
        <v>838</v>
      </c>
    </row>
    <row r="291" spans="1:27">
      <c r="A291" s="12">
        <v>100020181</v>
      </c>
      <c r="B291" s="12">
        <v>2</v>
      </c>
      <c r="C291" s="12" t="s">
        <v>658</v>
      </c>
      <c r="D291" s="12"/>
      <c r="E291" s="12"/>
      <c r="F291" s="12"/>
      <c r="G291" s="12"/>
      <c r="H291" s="12">
        <v>100020182</v>
      </c>
      <c r="I291" s="12" t="s">
        <v>839</v>
      </c>
      <c r="J291" s="12"/>
      <c r="K291" s="12"/>
      <c r="L291" s="12" t="s">
        <v>1089</v>
      </c>
      <c r="M291" s="12"/>
      <c r="N291" s="13"/>
      <c r="O291" s="10">
        <v>3134</v>
      </c>
      <c r="P291" s="10"/>
      <c r="Q291" s="8"/>
      <c r="R291" s="6"/>
      <c r="S291" s="6"/>
      <c r="T291" t="b">
        <v>0</v>
      </c>
      <c r="U291" s="6"/>
      <c r="V291" s="6">
        <v>74181</v>
      </c>
      <c r="W291" s="6"/>
      <c r="X291" s="6"/>
      <c r="Y291" s="6"/>
      <c r="Z291" s="6"/>
      <c r="AA291" s="4" t="s">
        <v>840</v>
      </c>
    </row>
    <row r="292" spans="1:27">
      <c r="A292" s="12">
        <v>100020182</v>
      </c>
      <c r="B292" s="12">
        <v>2</v>
      </c>
      <c r="C292" s="12" t="s">
        <v>658</v>
      </c>
      <c r="D292" s="12"/>
      <c r="E292" s="12"/>
      <c r="F292" s="12"/>
      <c r="G292" s="12"/>
      <c r="H292" s="12">
        <v>100020183</v>
      </c>
      <c r="I292" s="12" t="s">
        <v>1090</v>
      </c>
      <c r="J292" s="12"/>
      <c r="K292" s="12"/>
      <c r="L292" s="12" t="s">
        <v>1086</v>
      </c>
      <c r="M292" s="12"/>
      <c r="N292" s="13"/>
      <c r="O292" s="10">
        <v>3205</v>
      </c>
      <c r="P292" s="10"/>
      <c r="Q292" s="8"/>
      <c r="R292" s="6"/>
      <c r="S292" s="6"/>
      <c r="T292" t="b">
        <v>0</v>
      </c>
      <c r="U292" s="6"/>
      <c r="V292" s="6">
        <v>74182</v>
      </c>
      <c r="W292" s="6"/>
      <c r="X292" s="6"/>
      <c r="Y292" s="6"/>
      <c r="Z292" s="6"/>
      <c r="AA292" s="4" t="s">
        <v>1091</v>
      </c>
    </row>
    <row r="293" spans="1:27">
      <c r="A293" s="12">
        <v>100020183</v>
      </c>
      <c r="B293" s="12">
        <v>2</v>
      </c>
      <c r="C293" s="12" t="s">
        <v>658</v>
      </c>
      <c r="D293" s="12"/>
      <c r="E293" s="12"/>
      <c r="F293" s="12"/>
      <c r="G293" s="12"/>
      <c r="H293" s="12">
        <v>100020184</v>
      </c>
      <c r="I293" s="12" t="s">
        <v>843</v>
      </c>
      <c r="J293" s="12"/>
      <c r="K293" s="12"/>
      <c r="L293" s="12" t="s">
        <v>1086</v>
      </c>
      <c r="M293" s="12"/>
      <c r="N293" s="13"/>
      <c r="O293" s="10">
        <v>3021</v>
      </c>
      <c r="P293" s="10"/>
      <c r="Q293" s="8"/>
      <c r="R293" s="6"/>
      <c r="S293" s="6"/>
      <c r="T293" t="b">
        <v>0</v>
      </c>
      <c r="U293" s="6"/>
      <c r="V293" s="6">
        <v>74183</v>
      </c>
      <c r="W293" s="6"/>
      <c r="X293" s="6"/>
      <c r="Y293" s="6"/>
      <c r="Z293" s="6"/>
      <c r="AA293" s="4" t="s">
        <v>845</v>
      </c>
    </row>
    <row r="294" spans="1:27">
      <c r="A294" s="12">
        <v>100020184</v>
      </c>
      <c r="B294" s="12">
        <v>2</v>
      </c>
      <c r="C294" s="12" t="s">
        <v>658</v>
      </c>
      <c r="D294" s="12"/>
      <c r="E294" s="12"/>
      <c r="F294" s="12"/>
      <c r="G294" s="12"/>
      <c r="H294" s="12">
        <v>100020185</v>
      </c>
      <c r="I294" s="12" t="s">
        <v>1092</v>
      </c>
      <c r="J294" s="12"/>
      <c r="K294" s="12"/>
      <c r="L294" s="12" t="s">
        <v>1080</v>
      </c>
      <c r="M294" s="12"/>
      <c r="N294" s="13"/>
      <c r="O294" s="10">
        <v>3205</v>
      </c>
      <c r="P294" s="10"/>
      <c r="Q294" s="8"/>
      <c r="R294" s="6"/>
      <c r="S294" s="6"/>
      <c r="T294" t="b">
        <v>0</v>
      </c>
      <c r="U294" s="6"/>
      <c r="V294" s="6">
        <v>74184</v>
      </c>
      <c r="W294" s="6"/>
      <c r="X294" s="6"/>
      <c r="Y294" s="6"/>
      <c r="Z294" s="6"/>
      <c r="AA294" s="4" t="s">
        <v>1093</v>
      </c>
    </row>
    <row r="295" spans="1:27">
      <c r="A295" s="12">
        <v>100020185</v>
      </c>
      <c r="B295" s="12">
        <v>2</v>
      </c>
      <c r="C295" s="12" t="s">
        <v>658</v>
      </c>
      <c r="D295" s="12"/>
      <c r="E295" s="12"/>
      <c r="F295" s="12"/>
      <c r="G295" s="12"/>
      <c r="H295" s="12">
        <v>100020186</v>
      </c>
      <c r="I295" s="12" t="s">
        <v>1094</v>
      </c>
      <c r="J295" s="12"/>
      <c r="K295" s="12"/>
      <c r="L295" s="12" t="s">
        <v>1095</v>
      </c>
      <c r="M295" s="12"/>
      <c r="N295" s="13"/>
      <c r="O295" s="10">
        <v>3205</v>
      </c>
      <c r="P295" s="10"/>
      <c r="Q295" s="8"/>
      <c r="R295" s="6"/>
      <c r="S295" s="6"/>
      <c r="T295" t="b">
        <v>0</v>
      </c>
      <c r="U295" s="6"/>
      <c r="V295" s="6">
        <v>74185</v>
      </c>
      <c r="W295" s="6"/>
      <c r="X295" s="6"/>
      <c r="Y295" s="6"/>
      <c r="Z295" s="6"/>
      <c r="AA295" s="4" t="s">
        <v>1096</v>
      </c>
    </row>
    <row r="296" spans="1:27">
      <c r="A296" s="12">
        <v>100020186</v>
      </c>
      <c r="B296" s="12">
        <v>2</v>
      </c>
      <c r="C296" s="12" t="s">
        <v>658</v>
      </c>
      <c r="D296" s="12"/>
      <c r="E296" s="12"/>
      <c r="F296" s="12"/>
      <c r="G296" s="12"/>
      <c r="H296" s="12">
        <v>100020187</v>
      </c>
      <c r="I296" s="12" t="s">
        <v>1097</v>
      </c>
      <c r="J296" s="12"/>
      <c r="K296" s="12"/>
      <c r="L296" s="12" t="s">
        <v>1086</v>
      </c>
      <c r="M296" s="12"/>
      <c r="N296" s="13"/>
      <c r="O296" s="10">
        <v>3205</v>
      </c>
      <c r="P296" s="10"/>
      <c r="Q296" s="8"/>
      <c r="R296" s="6"/>
      <c r="S296" s="6"/>
      <c r="T296" t="b">
        <v>0</v>
      </c>
      <c r="U296" s="6"/>
      <c r="V296" s="6">
        <v>74186</v>
      </c>
      <c r="W296" s="6"/>
      <c r="X296" s="6"/>
      <c r="Y296" s="6"/>
      <c r="Z296" s="6"/>
      <c r="AA296" s="4" t="s">
        <v>1098</v>
      </c>
    </row>
    <row r="297" spans="1:27">
      <c r="A297" s="12">
        <v>100020187</v>
      </c>
      <c r="B297" s="12">
        <v>2</v>
      </c>
      <c r="C297" s="12" t="s">
        <v>658</v>
      </c>
      <c r="D297" s="12"/>
      <c r="E297" s="12"/>
      <c r="F297" s="12"/>
      <c r="G297" s="12"/>
      <c r="H297" s="12">
        <v>100020188</v>
      </c>
      <c r="I297" s="12" t="s">
        <v>854</v>
      </c>
      <c r="J297" s="12"/>
      <c r="K297" s="12"/>
      <c r="L297" s="12" t="s">
        <v>1099</v>
      </c>
      <c r="M297" s="12"/>
      <c r="N297" s="13"/>
      <c r="O297" s="10">
        <v>4041</v>
      </c>
      <c r="P297" s="10"/>
      <c r="Q297" s="8"/>
      <c r="R297" s="6"/>
      <c r="S297" s="6"/>
      <c r="T297" t="b">
        <v>0</v>
      </c>
      <c r="U297" s="6"/>
      <c r="V297" s="6">
        <v>74187</v>
      </c>
      <c r="W297" s="6"/>
      <c r="X297" s="6"/>
      <c r="Y297" s="6"/>
      <c r="Z297" s="6"/>
      <c r="AA297" s="4" t="s">
        <v>856</v>
      </c>
    </row>
    <row r="298" spans="1:27">
      <c r="A298" s="12">
        <v>100020188</v>
      </c>
      <c r="B298" s="12">
        <v>2</v>
      </c>
      <c r="C298" s="12" t="s">
        <v>658</v>
      </c>
      <c r="D298" s="12"/>
      <c r="E298" s="12"/>
      <c r="F298" s="12"/>
      <c r="G298" s="12"/>
      <c r="H298" s="12">
        <v>100020189</v>
      </c>
      <c r="I298" s="12" t="s">
        <v>784</v>
      </c>
      <c r="J298" s="12"/>
      <c r="K298" s="12"/>
      <c r="L298" s="12" t="s">
        <v>1100</v>
      </c>
      <c r="M298" s="12"/>
      <c r="N298" s="13"/>
      <c r="O298" s="10">
        <v>4003</v>
      </c>
      <c r="P298" s="10"/>
      <c r="Q298" s="8"/>
      <c r="R298" s="6"/>
      <c r="S298" s="6"/>
      <c r="T298" t="b">
        <v>0</v>
      </c>
      <c r="U298" s="6"/>
      <c r="V298" s="6">
        <v>74188</v>
      </c>
      <c r="W298" s="6"/>
      <c r="X298" s="6"/>
      <c r="Y298" s="6"/>
      <c r="Z298" s="6">
        <v>-1</v>
      </c>
      <c r="AA298" s="4" t="s">
        <v>786</v>
      </c>
    </row>
    <row r="299" spans="1:27">
      <c r="A299" s="12">
        <v>100020189</v>
      </c>
      <c r="B299" s="12">
        <v>2</v>
      </c>
      <c r="C299" s="12" t="s">
        <v>658</v>
      </c>
      <c r="D299" s="12"/>
      <c r="E299" s="12"/>
      <c r="F299" s="12"/>
      <c r="G299" s="12"/>
      <c r="H299" s="12">
        <v>100020190</v>
      </c>
      <c r="I299" s="12" t="s">
        <v>787</v>
      </c>
      <c r="J299" s="12"/>
      <c r="K299" s="12"/>
      <c r="L299" s="12" t="s">
        <v>1101</v>
      </c>
      <c r="M299" s="12"/>
      <c r="N299" s="13"/>
      <c r="O299" s="10">
        <v>4004</v>
      </c>
      <c r="P299" s="10"/>
      <c r="Q299" s="8"/>
      <c r="R299" s="6"/>
      <c r="S299" s="6"/>
      <c r="T299" t="b">
        <v>0</v>
      </c>
      <c r="U299" s="6"/>
      <c r="V299" s="6">
        <v>74189</v>
      </c>
      <c r="W299" s="6"/>
      <c r="X299" s="6"/>
      <c r="Y299" s="6"/>
      <c r="Z299" s="6"/>
      <c r="AA299" s="4" t="s">
        <v>788</v>
      </c>
    </row>
    <row r="300" spans="1:27">
      <c r="A300" s="12">
        <v>100020190</v>
      </c>
      <c r="B300" s="12">
        <v>2</v>
      </c>
      <c r="C300" s="12" t="s">
        <v>658</v>
      </c>
      <c r="D300" s="12"/>
      <c r="E300" s="12"/>
      <c r="F300" s="12"/>
      <c r="G300" s="12"/>
      <c r="H300" s="12">
        <v>100020191</v>
      </c>
      <c r="I300" s="12" t="s">
        <v>1102</v>
      </c>
      <c r="J300" s="12"/>
      <c r="K300" s="12"/>
      <c r="L300" s="12" t="s">
        <v>1095</v>
      </c>
      <c r="M300" s="12"/>
      <c r="N300" s="13"/>
      <c r="O300" s="10">
        <v>3205</v>
      </c>
      <c r="P300" s="10"/>
      <c r="Q300" s="8"/>
      <c r="R300" s="6"/>
      <c r="S300" s="6"/>
      <c r="T300" t="b">
        <v>0</v>
      </c>
      <c r="U300" s="6"/>
      <c r="V300" s="6">
        <v>74190</v>
      </c>
      <c r="W300" s="6"/>
      <c r="X300" s="6"/>
      <c r="Y300" s="6"/>
      <c r="Z300" s="6"/>
      <c r="AA300" s="4" t="s">
        <v>1103</v>
      </c>
    </row>
    <row r="301" spans="1:27">
      <c r="A301" s="12">
        <v>100020191</v>
      </c>
      <c r="B301" s="12">
        <v>2</v>
      </c>
      <c r="C301" s="12" t="s">
        <v>658</v>
      </c>
      <c r="D301" s="12"/>
      <c r="E301" s="12"/>
      <c r="F301" s="12"/>
      <c r="G301" s="12"/>
      <c r="H301" s="12">
        <v>100020192</v>
      </c>
      <c r="I301" s="12" t="s">
        <v>1104</v>
      </c>
      <c r="J301" s="12"/>
      <c r="K301" s="12"/>
      <c r="L301" s="12" t="s">
        <v>1086</v>
      </c>
      <c r="M301" s="12"/>
      <c r="N301" s="13"/>
      <c r="O301" s="10">
        <v>3205</v>
      </c>
      <c r="P301" s="10"/>
      <c r="Q301" s="8"/>
      <c r="R301" s="6"/>
      <c r="S301" s="6"/>
      <c r="T301" t="b">
        <v>0</v>
      </c>
      <c r="U301" s="6"/>
      <c r="V301" s="6">
        <v>74191</v>
      </c>
      <c r="W301" s="6"/>
      <c r="X301" s="6"/>
      <c r="Y301" s="6"/>
      <c r="Z301" s="6"/>
      <c r="AA301" s="4" t="s">
        <v>1105</v>
      </c>
    </row>
    <row r="302" spans="1:27">
      <c r="A302" s="12">
        <v>100020192</v>
      </c>
      <c r="B302" s="12">
        <v>2</v>
      </c>
      <c r="C302" s="12" t="s">
        <v>658</v>
      </c>
      <c r="D302" s="12"/>
      <c r="E302" s="12"/>
      <c r="F302" s="12"/>
      <c r="G302" s="12"/>
      <c r="H302" s="12">
        <v>100020193</v>
      </c>
      <c r="I302" s="12" t="s">
        <v>1106</v>
      </c>
      <c r="J302" s="12"/>
      <c r="K302" s="12"/>
      <c r="L302" s="12" t="s">
        <v>1107</v>
      </c>
      <c r="M302" s="12"/>
      <c r="N302" s="13"/>
      <c r="O302" s="10">
        <v>3205</v>
      </c>
      <c r="P302" s="10"/>
      <c r="Q302" s="8"/>
      <c r="R302" s="6"/>
      <c r="S302" s="6"/>
      <c r="T302" t="b">
        <v>0</v>
      </c>
      <c r="U302" s="6"/>
      <c r="V302" s="6">
        <v>74192</v>
      </c>
      <c r="W302" s="6"/>
      <c r="X302" s="6"/>
      <c r="Y302" s="6"/>
      <c r="Z302" s="6">
        <v>100300</v>
      </c>
      <c r="AA302" s="4" t="s">
        <v>1108</v>
      </c>
    </row>
    <row r="303" spans="1:27">
      <c r="A303" s="12">
        <v>100020193</v>
      </c>
      <c r="B303" s="12">
        <v>2</v>
      </c>
      <c r="C303" s="12" t="s">
        <v>658</v>
      </c>
      <c r="D303" s="12"/>
      <c r="E303" s="12"/>
      <c r="F303" s="12"/>
      <c r="G303" s="12"/>
      <c r="H303" s="12">
        <v>100020194</v>
      </c>
      <c r="I303" s="12" t="s">
        <v>1109</v>
      </c>
      <c r="J303" s="12"/>
      <c r="K303" s="12"/>
      <c r="L303" s="12" t="s">
        <v>1080</v>
      </c>
      <c r="M303" s="12"/>
      <c r="N303" s="13"/>
      <c r="O303" s="10">
        <v>3205</v>
      </c>
      <c r="P303" s="10"/>
      <c r="Q303" s="8"/>
      <c r="R303" s="6"/>
      <c r="S303" s="6"/>
      <c r="T303" t="b">
        <v>0</v>
      </c>
      <c r="U303" s="6"/>
      <c r="V303" s="6">
        <v>74193</v>
      </c>
      <c r="W303" s="6"/>
      <c r="X303" s="6"/>
      <c r="Y303" s="6"/>
      <c r="Z303" s="6"/>
      <c r="AA303" s="4" t="s">
        <v>1110</v>
      </c>
    </row>
    <row r="304" spans="1:27">
      <c r="A304" s="12">
        <v>100020194</v>
      </c>
      <c r="B304" s="12">
        <v>2</v>
      </c>
      <c r="C304" s="12" t="s">
        <v>658</v>
      </c>
      <c r="D304" s="12"/>
      <c r="E304" s="12"/>
      <c r="F304" s="12"/>
      <c r="G304" s="12"/>
      <c r="H304" s="12">
        <v>100020195</v>
      </c>
      <c r="I304" s="12" t="s">
        <v>868</v>
      </c>
      <c r="J304" s="12"/>
      <c r="K304" s="12"/>
      <c r="L304" s="12" t="s">
        <v>1077</v>
      </c>
      <c r="M304" s="12"/>
      <c r="N304" s="13"/>
      <c r="O304" s="10">
        <v>4042</v>
      </c>
      <c r="P304" s="10"/>
      <c r="Q304" s="8"/>
      <c r="R304" s="6"/>
      <c r="S304" s="6"/>
      <c r="T304" t="b">
        <v>0</v>
      </c>
      <c r="U304" s="6"/>
      <c r="V304" s="6">
        <v>74194</v>
      </c>
      <c r="W304" s="6"/>
      <c r="X304" s="6"/>
      <c r="Y304" s="6"/>
      <c r="Z304" s="6"/>
      <c r="AA304" s="4" t="s">
        <v>870</v>
      </c>
    </row>
    <row r="305" spans="1:27">
      <c r="A305" s="12">
        <v>100020195</v>
      </c>
      <c r="B305" s="12">
        <v>2</v>
      </c>
      <c r="C305" s="12" t="s">
        <v>658</v>
      </c>
      <c r="D305" s="12"/>
      <c r="E305" s="12"/>
      <c r="F305" s="12"/>
      <c r="G305" s="12"/>
      <c r="H305" s="12">
        <v>100020196</v>
      </c>
      <c r="I305" s="12" t="s">
        <v>871</v>
      </c>
      <c r="J305" s="12"/>
      <c r="K305" s="12"/>
      <c r="L305" s="12" t="s">
        <v>1099</v>
      </c>
      <c r="M305" s="12"/>
      <c r="N305" s="13"/>
      <c r="O305" s="10">
        <v>4043</v>
      </c>
      <c r="P305" s="10"/>
      <c r="Q305" s="8"/>
      <c r="R305" s="6"/>
      <c r="S305" s="6"/>
      <c r="T305" t="b">
        <v>0</v>
      </c>
      <c r="U305" s="6"/>
      <c r="V305" s="6">
        <v>74195</v>
      </c>
      <c r="W305" s="6"/>
      <c r="X305" s="6"/>
      <c r="Y305" s="6"/>
      <c r="Z305" s="6"/>
      <c r="AA305" s="4" t="s">
        <v>873</v>
      </c>
    </row>
    <row r="306" spans="1:27">
      <c r="A306" s="12">
        <v>100020196</v>
      </c>
      <c r="B306" s="12">
        <v>2</v>
      </c>
      <c r="C306" s="12" t="s">
        <v>658</v>
      </c>
      <c r="D306" s="12"/>
      <c r="E306" s="12"/>
      <c r="F306" s="12"/>
      <c r="G306" s="12"/>
      <c r="H306" s="12">
        <v>100020197</v>
      </c>
      <c r="I306" s="12" t="s">
        <v>1111</v>
      </c>
      <c r="J306" s="12"/>
      <c r="K306" s="12"/>
      <c r="L306" s="12" t="s">
        <v>1095</v>
      </c>
      <c r="M306" s="12"/>
      <c r="N306" s="13"/>
      <c r="O306" s="10">
        <v>3205</v>
      </c>
      <c r="P306" s="10"/>
      <c r="Q306" s="8"/>
      <c r="R306" s="6"/>
      <c r="S306" s="6"/>
      <c r="T306" t="b">
        <v>0</v>
      </c>
      <c r="U306" s="6"/>
      <c r="V306" s="6">
        <v>74196</v>
      </c>
      <c r="W306" s="6"/>
      <c r="X306" s="6"/>
      <c r="Y306" s="6"/>
      <c r="Z306" s="6"/>
      <c r="AA306" s="4" t="s">
        <v>1112</v>
      </c>
    </row>
    <row r="307" spans="1:27">
      <c r="A307" s="12">
        <v>100020197</v>
      </c>
      <c r="B307" s="12">
        <v>2</v>
      </c>
      <c r="C307" s="12" t="s">
        <v>658</v>
      </c>
      <c r="D307" s="12"/>
      <c r="E307" s="12"/>
      <c r="F307" s="12"/>
      <c r="G307" s="12"/>
      <c r="H307" s="12">
        <v>100020198</v>
      </c>
      <c r="I307" s="12" t="s">
        <v>1113</v>
      </c>
      <c r="J307" s="12"/>
      <c r="K307" s="12"/>
      <c r="L307" s="12" t="s">
        <v>1114</v>
      </c>
      <c r="M307" s="12"/>
      <c r="N307" s="13"/>
      <c r="O307" s="10">
        <v>3205</v>
      </c>
      <c r="P307" s="10"/>
      <c r="Q307" s="8"/>
      <c r="R307" s="6"/>
      <c r="S307" s="6"/>
      <c r="T307" t="b">
        <v>0</v>
      </c>
      <c r="U307" s="6"/>
      <c r="V307" s="6">
        <v>74197</v>
      </c>
      <c r="W307" s="6"/>
      <c r="X307" s="6"/>
      <c r="Y307" s="6"/>
      <c r="Z307" s="6"/>
      <c r="AA307" s="4" t="s">
        <v>1115</v>
      </c>
    </row>
    <row r="308" spans="1:27">
      <c r="A308" s="12">
        <v>100020198</v>
      </c>
      <c r="B308" s="12">
        <v>2</v>
      </c>
      <c r="C308" s="12" t="s">
        <v>658</v>
      </c>
      <c r="D308" s="12"/>
      <c r="E308" s="12"/>
      <c r="F308" s="12"/>
      <c r="G308" s="12"/>
      <c r="H308" s="12">
        <v>100020199</v>
      </c>
      <c r="I308" s="12" t="s">
        <v>1116</v>
      </c>
      <c r="J308" s="12"/>
      <c r="K308" s="12"/>
      <c r="L308" s="12" t="s">
        <v>1117</v>
      </c>
      <c r="M308" s="12"/>
      <c r="N308" s="13"/>
      <c r="O308" s="10">
        <v>3412</v>
      </c>
      <c r="P308" s="10"/>
      <c r="Q308" s="8"/>
      <c r="R308" s="6"/>
      <c r="S308" s="6"/>
      <c r="T308" t="b">
        <v>0</v>
      </c>
      <c r="U308" s="6"/>
      <c r="V308" s="6">
        <v>74198</v>
      </c>
      <c r="W308" s="6"/>
      <c r="X308" s="6"/>
      <c r="Y308" s="6"/>
      <c r="Z308" s="6"/>
      <c r="AA308" s="4" t="s">
        <v>1118</v>
      </c>
    </row>
    <row r="309" spans="1:27">
      <c r="A309" s="12">
        <v>100020199</v>
      </c>
      <c r="B309" s="12">
        <v>2</v>
      </c>
      <c r="C309" s="12" t="s">
        <v>658</v>
      </c>
      <c r="D309" s="12"/>
      <c r="E309" s="12"/>
      <c r="F309" s="12"/>
      <c r="G309" s="12"/>
      <c r="H309" s="12">
        <v>100020200</v>
      </c>
      <c r="I309" s="12" t="s">
        <v>1119</v>
      </c>
      <c r="J309" s="12"/>
      <c r="K309" s="12"/>
      <c r="L309" s="12" t="s">
        <v>1120</v>
      </c>
      <c r="M309" s="12"/>
      <c r="N309" s="13"/>
      <c r="O309" s="10">
        <v>3212</v>
      </c>
      <c r="P309" s="10"/>
      <c r="Q309" s="8"/>
      <c r="R309" s="6"/>
      <c r="S309" s="6"/>
      <c r="T309" t="b">
        <v>0</v>
      </c>
      <c r="U309" s="6"/>
      <c r="V309" s="6">
        <v>74199</v>
      </c>
      <c r="W309" s="6"/>
      <c r="X309" s="6"/>
      <c r="Y309" s="6"/>
      <c r="Z309" s="6"/>
      <c r="AA309" s="4" t="s">
        <v>1121</v>
      </c>
    </row>
    <row r="310" spans="1:27">
      <c r="A310" s="12">
        <v>100020200</v>
      </c>
      <c r="B310" s="12">
        <v>2</v>
      </c>
      <c r="C310" s="12" t="s">
        <v>658</v>
      </c>
      <c r="D310" s="12"/>
      <c r="E310" s="12"/>
      <c r="F310" s="12"/>
      <c r="G310" s="12"/>
      <c r="H310" s="12">
        <v>100020201</v>
      </c>
      <c r="I310" s="12" t="s">
        <v>1122</v>
      </c>
      <c r="J310" s="12"/>
      <c r="K310" s="12"/>
      <c r="L310" s="12" t="s">
        <v>1123</v>
      </c>
      <c r="M310" s="12"/>
      <c r="N310" s="13"/>
      <c r="O310" s="10">
        <v>3212</v>
      </c>
      <c r="P310" s="10"/>
      <c r="Q310" s="8"/>
      <c r="R310" s="6"/>
      <c r="S310" s="6"/>
      <c r="T310" t="b">
        <v>0</v>
      </c>
      <c r="U310" s="6"/>
      <c r="V310" s="6">
        <v>74200</v>
      </c>
      <c r="W310" s="6"/>
      <c r="X310" s="6"/>
      <c r="Y310" s="6"/>
      <c r="Z310" s="6"/>
      <c r="AA310" s="4" t="s">
        <v>1124</v>
      </c>
    </row>
    <row r="311" spans="1:27">
      <c r="A311" s="12">
        <v>100020201</v>
      </c>
      <c r="B311" s="12">
        <v>2</v>
      </c>
      <c r="C311" s="12" t="s">
        <v>658</v>
      </c>
      <c r="D311" s="12"/>
      <c r="E311" s="12"/>
      <c r="F311" s="12"/>
      <c r="G311" s="12"/>
      <c r="H311" s="12">
        <v>100020202</v>
      </c>
      <c r="I311" s="12" t="s">
        <v>1125</v>
      </c>
      <c r="J311" s="12"/>
      <c r="K311" s="12"/>
      <c r="L311" s="12" t="s">
        <v>1126</v>
      </c>
      <c r="M311" s="12"/>
      <c r="N311" s="13"/>
      <c r="O311" s="10">
        <v>3212</v>
      </c>
      <c r="P311" s="10"/>
      <c r="Q311" s="8"/>
      <c r="R311" s="6"/>
      <c r="S311" s="6"/>
      <c r="T311" t="b">
        <v>0</v>
      </c>
      <c r="U311" s="6"/>
      <c r="V311" s="6">
        <v>74201</v>
      </c>
      <c r="W311" s="6"/>
      <c r="X311" s="6"/>
      <c r="Y311" s="6"/>
      <c r="Z311" s="6">
        <v>101500</v>
      </c>
      <c r="AA311" s="4" t="s">
        <v>1127</v>
      </c>
    </row>
    <row r="312" spans="1:27">
      <c r="A312" s="12">
        <v>100020202</v>
      </c>
      <c r="B312" s="12">
        <v>2</v>
      </c>
      <c r="C312" s="12" t="s">
        <v>658</v>
      </c>
      <c r="D312" s="12"/>
      <c r="E312" s="12"/>
      <c r="F312" s="12"/>
      <c r="G312" s="12"/>
      <c r="H312" s="12">
        <v>100020203</v>
      </c>
      <c r="I312" s="12" t="s">
        <v>1128</v>
      </c>
      <c r="J312" s="12"/>
      <c r="K312" s="12"/>
      <c r="L312" s="12" t="s">
        <v>1129</v>
      </c>
      <c r="M312" s="12"/>
      <c r="N312" s="13"/>
      <c r="O312" s="10">
        <v>3212</v>
      </c>
      <c r="P312" s="10"/>
      <c r="Q312" s="8"/>
      <c r="R312" s="6"/>
      <c r="S312" s="6"/>
      <c r="T312" t="b">
        <v>0</v>
      </c>
      <c r="U312" s="6"/>
      <c r="V312" s="6">
        <v>74202</v>
      </c>
      <c r="W312" s="6"/>
      <c r="X312" s="6"/>
      <c r="Y312" s="6"/>
      <c r="Z312" s="6"/>
      <c r="AA312" s="4" t="s">
        <v>1130</v>
      </c>
    </row>
    <row r="313" spans="1:27">
      <c r="A313" s="12">
        <v>100020203</v>
      </c>
      <c r="B313" s="12">
        <v>2</v>
      </c>
      <c r="C313" s="12" t="s">
        <v>658</v>
      </c>
      <c r="D313" s="12"/>
      <c r="E313" s="12"/>
      <c r="F313" s="12"/>
      <c r="G313" s="12"/>
      <c r="H313" s="12">
        <v>100020204</v>
      </c>
      <c r="I313" s="12" t="s">
        <v>836</v>
      </c>
      <c r="J313" s="12"/>
      <c r="K313" s="12"/>
      <c r="L313" s="12" t="s">
        <v>1120</v>
      </c>
      <c r="M313" s="12"/>
      <c r="N313" s="13"/>
      <c r="O313" s="10">
        <v>4044</v>
      </c>
      <c r="P313" s="10"/>
      <c r="Q313" s="8"/>
      <c r="R313" s="6"/>
      <c r="S313" s="6"/>
      <c r="T313" t="b">
        <v>0</v>
      </c>
      <c r="U313" s="6"/>
      <c r="V313" s="6">
        <v>74203</v>
      </c>
      <c r="W313" s="6"/>
      <c r="X313" s="6"/>
      <c r="Y313" s="6"/>
      <c r="Z313" s="6"/>
      <c r="AA313" s="4" t="s">
        <v>838</v>
      </c>
    </row>
    <row r="314" spans="1:27">
      <c r="A314" s="12">
        <v>100020204</v>
      </c>
      <c r="B314" s="12">
        <v>2</v>
      </c>
      <c r="C314" s="12" t="s">
        <v>658</v>
      </c>
      <c r="D314" s="12"/>
      <c r="E314" s="12"/>
      <c r="F314" s="12"/>
      <c r="G314" s="12"/>
      <c r="H314" s="12">
        <v>100020205</v>
      </c>
      <c r="I314" s="12" t="s">
        <v>839</v>
      </c>
      <c r="J314" s="12"/>
      <c r="K314" s="12"/>
      <c r="L314" s="12" t="s">
        <v>1131</v>
      </c>
      <c r="M314" s="12"/>
      <c r="N314" s="13"/>
      <c r="O314" s="10">
        <v>3134</v>
      </c>
      <c r="P314" s="10"/>
      <c r="Q314" s="8"/>
      <c r="R314" s="6"/>
      <c r="S314" s="6"/>
      <c r="T314" t="b">
        <v>0</v>
      </c>
      <c r="U314" s="6"/>
      <c r="V314" s="6">
        <v>74204</v>
      </c>
      <c r="W314" s="6"/>
      <c r="X314" s="6"/>
      <c r="Y314" s="6"/>
      <c r="Z314" s="6"/>
      <c r="AA314" s="4" t="s">
        <v>840</v>
      </c>
    </row>
    <row r="315" spans="1:27">
      <c r="A315" s="12">
        <v>100020205</v>
      </c>
      <c r="B315" s="12">
        <v>2</v>
      </c>
      <c r="C315" s="12" t="s">
        <v>658</v>
      </c>
      <c r="D315" s="12"/>
      <c r="E315" s="12"/>
      <c r="F315" s="12"/>
      <c r="G315" s="12"/>
      <c r="H315" s="12">
        <v>100020206</v>
      </c>
      <c r="I315" s="12" t="s">
        <v>1132</v>
      </c>
      <c r="J315" s="12"/>
      <c r="K315" s="12"/>
      <c r="L315" s="12" t="s">
        <v>1129</v>
      </c>
      <c r="M315" s="12"/>
      <c r="N315" s="13"/>
      <c r="O315" s="10">
        <v>3212</v>
      </c>
      <c r="P315" s="10"/>
      <c r="Q315" s="8"/>
      <c r="R315" s="6"/>
      <c r="S315" s="6"/>
      <c r="T315" t="b">
        <v>0</v>
      </c>
      <c r="U315" s="6"/>
      <c r="V315" s="6">
        <v>74205</v>
      </c>
      <c r="W315" s="6"/>
      <c r="X315" s="6"/>
      <c r="Y315" s="6"/>
      <c r="Z315" s="6"/>
      <c r="AA315" s="4" t="s">
        <v>1133</v>
      </c>
    </row>
    <row r="316" spans="1:27">
      <c r="A316" s="12">
        <v>100020206</v>
      </c>
      <c r="B316" s="12">
        <v>2</v>
      </c>
      <c r="C316" s="12" t="s">
        <v>658</v>
      </c>
      <c r="D316" s="12"/>
      <c r="E316" s="12"/>
      <c r="F316" s="12"/>
      <c r="G316" s="12"/>
      <c r="H316" s="12">
        <v>100020207</v>
      </c>
      <c r="I316" s="12" t="s">
        <v>843</v>
      </c>
      <c r="J316" s="12"/>
      <c r="K316" s="12"/>
      <c r="L316" s="12" t="s">
        <v>1126</v>
      </c>
      <c r="M316" s="12"/>
      <c r="N316" s="13"/>
      <c r="O316" s="10">
        <v>3021</v>
      </c>
      <c r="P316" s="10"/>
      <c r="Q316" s="8"/>
      <c r="R316" s="6"/>
      <c r="S316" s="6"/>
      <c r="T316" t="b">
        <v>0</v>
      </c>
      <c r="U316" s="6"/>
      <c r="V316" s="6">
        <v>74206</v>
      </c>
      <c r="W316" s="6"/>
      <c r="X316" s="6"/>
      <c r="Y316" s="6"/>
      <c r="Z316" s="6"/>
      <c r="AA316" s="4" t="s">
        <v>845</v>
      </c>
    </row>
    <row r="317" spans="1:27">
      <c r="A317" s="12">
        <v>100020207</v>
      </c>
      <c r="B317" s="12">
        <v>2</v>
      </c>
      <c r="C317" s="12" t="s">
        <v>658</v>
      </c>
      <c r="D317" s="12"/>
      <c r="E317" s="12"/>
      <c r="F317" s="12"/>
      <c r="G317" s="12"/>
      <c r="H317" s="12">
        <v>100020208</v>
      </c>
      <c r="I317" s="12" t="s">
        <v>1134</v>
      </c>
      <c r="J317" s="12"/>
      <c r="K317" s="12"/>
      <c r="L317" s="12" t="s">
        <v>1123</v>
      </c>
      <c r="M317" s="12"/>
      <c r="N317" s="13"/>
      <c r="O317" s="10">
        <v>3212</v>
      </c>
      <c r="P317" s="10"/>
      <c r="Q317" s="8"/>
      <c r="R317" s="6"/>
      <c r="S317" s="6"/>
      <c r="T317" t="b">
        <v>0</v>
      </c>
      <c r="U317" s="6"/>
      <c r="V317" s="6">
        <v>74207</v>
      </c>
      <c r="W317" s="6"/>
      <c r="X317" s="6"/>
      <c r="Y317" s="6"/>
      <c r="Z317" s="6"/>
      <c r="AA317" s="4" t="s">
        <v>1135</v>
      </c>
    </row>
    <row r="318" spans="1:27">
      <c r="A318" s="12">
        <v>100020208</v>
      </c>
      <c r="B318" s="12">
        <v>2</v>
      </c>
      <c r="C318" s="12" t="s">
        <v>658</v>
      </c>
      <c r="D318" s="12"/>
      <c r="E318" s="12"/>
      <c r="F318" s="12"/>
      <c r="G318" s="12"/>
      <c r="H318" s="12">
        <v>100020209</v>
      </c>
      <c r="I318" s="12" t="s">
        <v>1136</v>
      </c>
      <c r="J318" s="12"/>
      <c r="K318" s="12"/>
      <c r="L318" s="12" t="s">
        <v>1137</v>
      </c>
      <c r="M318" s="12"/>
      <c r="N318" s="13"/>
      <c r="O318" s="10">
        <v>3212</v>
      </c>
      <c r="P318" s="10"/>
      <c r="Q318" s="8"/>
      <c r="R318" s="6"/>
      <c r="S318" s="6"/>
      <c r="T318" t="b">
        <v>0</v>
      </c>
      <c r="U318" s="6"/>
      <c r="V318" s="6">
        <v>74208</v>
      </c>
      <c r="W318" s="6"/>
      <c r="X318" s="6"/>
      <c r="Y318" s="6"/>
      <c r="Z318" s="6"/>
      <c r="AA318" s="4" t="s">
        <v>1138</v>
      </c>
    </row>
    <row r="319" spans="1:27">
      <c r="A319" s="12">
        <v>100020209</v>
      </c>
      <c r="B319" s="12">
        <v>2</v>
      </c>
      <c r="C319" s="12" t="s">
        <v>658</v>
      </c>
      <c r="D319" s="12"/>
      <c r="E319" s="12"/>
      <c r="F319" s="12"/>
      <c r="G319" s="12"/>
      <c r="H319" s="12">
        <v>100020210</v>
      </c>
      <c r="I319" s="12" t="s">
        <v>1139</v>
      </c>
      <c r="J319" s="12"/>
      <c r="K319" s="12"/>
      <c r="L319" s="12" t="s">
        <v>1140</v>
      </c>
      <c r="M319" s="12"/>
      <c r="N319" s="13"/>
      <c r="O319" s="10">
        <v>3212</v>
      </c>
      <c r="P319" s="10"/>
      <c r="Q319" s="8"/>
      <c r="R319" s="6"/>
      <c r="S319" s="6"/>
      <c r="T319" t="b">
        <v>0</v>
      </c>
      <c r="U319" s="6"/>
      <c r="V319" s="6">
        <v>74209</v>
      </c>
      <c r="W319" s="6"/>
      <c r="X319" s="6"/>
      <c r="Y319" s="6"/>
      <c r="Z319" s="6"/>
      <c r="AA319" s="4" t="s">
        <v>1141</v>
      </c>
    </row>
    <row r="320" spans="1:27">
      <c r="A320" s="12">
        <v>100020210</v>
      </c>
      <c r="B320" s="12">
        <v>2</v>
      </c>
      <c r="C320" s="12" t="s">
        <v>658</v>
      </c>
      <c r="D320" s="12"/>
      <c r="E320" s="12"/>
      <c r="F320" s="12"/>
      <c r="G320" s="12"/>
      <c r="H320" s="12">
        <v>100020211</v>
      </c>
      <c r="I320" s="12" t="s">
        <v>854</v>
      </c>
      <c r="J320" s="12"/>
      <c r="K320" s="12"/>
      <c r="L320" s="12" t="s">
        <v>1142</v>
      </c>
      <c r="M320" s="12"/>
      <c r="N320" s="13"/>
      <c r="O320" s="10">
        <v>4041</v>
      </c>
      <c r="P320" s="10"/>
      <c r="Q320" s="8"/>
      <c r="R320" s="6"/>
      <c r="S320" s="6"/>
      <c r="T320" t="b">
        <v>0</v>
      </c>
      <c r="U320" s="6"/>
      <c r="V320" s="6">
        <v>74210</v>
      </c>
      <c r="W320" s="6"/>
      <c r="X320" s="6"/>
      <c r="Y320" s="6"/>
      <c r="Z320" s="6"/>
      <c r="AA320" s="4" t="s">
        <v>856</v>
      </c>
    </row>
    <row r="321" spans="1:27">
      <c r="A321" s="12">
        <v>100020211</v>
      </c>
      <c r="B321" s="12">
        <v>2</v>
      </c>
      <c r="C321" s="12" t="s">
        <v>658</v>
      </c>
      <c r="D321" s="12"/>
      <c r="E321" s="12"/>
      <c r="F321" s="12"/>
      <c r="G321" s="12"/>
      <c r="H321" s="12">
        <v>100020212</v>
      </c>
      <c r="I321" s="12" t="s">
        <v>784</v>
      </c>
      <c r="J321" s="12"/>
      <c r="K321" s="12"/>
      <c r="L321" s="12" t="s">
        <v>1143</v>
      </c>
      <c r="M321" s="12"/>
      <c r="N321" s="13"/>
      <c r="O321" s="10">
        <v>4003</v>
      </c>
      <c r="P321" s="10"/>
      <c r="Q321" s="8"/>
      <c r="R321" s="6"/>
      <c r="S321" s="6"/>
      <c r="T321" t="b">
        <v>0</v>
      </c>
      <c r="U321" s="6"/>
      <c r="V321" s="6">
        <v>74211</v>
      </c>
      <c r="W321" s="6"/>
      <c r="X321" s="6"/>
      <c r="Y321" s="6"/>
      <c r="Z321" s="6">
        <v>-1</v>
      </c>
      <c r="AA321" s="4" t="s">
        <v>786</v>
      </c>
    </row>
    <row r="322" spans="1:27">
      <c r="A322" s="12">
        <v>100020212</v>
      </c>
      <c r="B322" s="12">
        <v>2</v>
      </c>
      <c r="C322" s="12" t="s">
        <v>658</v>
      </c>
      <c r="D322" s="12"/>
      <c r="E322" s="12"/>
      <c r="F322" s="12"/>
      <c r="G322" s="12"/>
      <c r="H322" s="12">
        <v>100020213</v>
      </c>
      <c r="I322" s="12" t="s">
        <v>787</v>
      </c>
      <c r="J322" s="12"/>
      <c r="K322" s="12"/>
      <c r="L322" s="12" t="s">
        <v>1144</v>
      </c>
      <c r="M322" s="12"/>
      <c r="N322" s="13"/>
      <c r="O322" s="10">
        <v>4004</v>
      </c>
      <c r="P322" s="10"/>
      <c r="Q322" s="8"/>
      <c r="R322" s="6"/>
      <c r="S322" s="6"/>
      <c r="T322" t="b">
        <v>0</v>
      </c>
      <c r="U322" s="6"/>
      <c r="V322" s="6">
        <v>74212</v>
      </c>
      <c r="W322" s="6"/>
      <c r="X322" s="6"/>
      <c r="Y322" s="6"/>
      <c r="Z322" s="6"/>
      <c r="AA322" s="4" t="s">
        <v>788</v>
      </c>
    </row>
    <row r="323" spans="1:27">
      <c r="A323" s="12">
        <v>100020213</v>
      </c>
      <c r="B323" s="12">
        <v>2</v>
      </c>
      <c r="C323" s="12" t="s">
        <v>658</v>
      </c>
      <c r="D323" s="12"/>
      <c r="E323" s="12"/>
      <c r="F323" s="12"/>
      <c r="G323" s="12"/>
      <c r="H323" s="12">
        <v>100020214</v>
      </c>
      <c r="I323" s="12" t="s">
        <v>1145</v>
      </c>
      <c r="J323" s="12"/>
      <c r="K323" s="12"/>
      <c r="L323" s="12" t="s">
        <v>1137</v>
      </c>
      <c r="M323" s="12"/>
      <c r="N323" s="13"/>
      <c r="O323" s="10">
        <v>3212</v>
      </c>
      <c r="P323" s="10"/>
      <c r="Q323" s="8"/>
      <c r="R323" s="6"/>
      <c r="S323" s="6"/>
      <c r="T323" t="b">
        <v>0</v>
      </c>
      <c r="U323" s="6"/>
      <c r="V323" s="6">
        <v>74213</v>
      </c>
      <c r="W323" s="6"/>
      <c r="X323" s="6"/>
      <c r="Y323" s="6"/>
      <c r="Z323" s="6"/>
      <c r="AA323" s="4" t="s">
        <v>1146</v>
      </c>
    </row>
    <row r="324" spans="1:27">
      <c r="A324" s="12">
        <v>100020214</v>
      </c>
      <c r="B324" s="12">
        <v>2</v>
      </c>
      <c r="C324" s="12" t="s">
        <v>658</v>
      </c>
      <c r="D324" s="12"/>
      <c r="E324" s="12"/>
      <c r="F324" s="12"/>
      <c r="G324" s="12"/>
      <c r="H324" s="12">
        <v>100020215</v>
      </c>
      <c r="I324" s="12" t="s">
        <v>1147</v>
      </c>
      <c r="J324" s="12"/>
      <c r="K324" s="12"/>
      <c r="L324" s="12" t="s">
        <v>1129</v>
      </c>
      <c r="M324" s="12"/>
      <c r="N324" s="13"/>
      <c r="O324" s="10">
        <v>3212</v>
      </c>
      <c r="P324" s="10"/>
      <c r="Q324" s="8"/>
      <c r="R324" s="6"/>
      <c r="S324" s="6"/>
      <c r="T324" t="b">
        <v>0</v>
      </c>
      <c r="U324" s="6"/>
      <c r="V324" s="6">
        <v>74214</v>
      </c>
      <c r="W324" s="6"/>
      <c r="X324" s="6"/>
      <c r="Y324" s="6"/>
      <c r="Z324" s="6"/>
      <c r="AA324" s="4" t="s">
        <v>1148</v>
      </c>
    </row>
    <row r="325" spans="1:27">
      <c r="A325" s="12">
        <v>100020215</v>
      </c>
      <c r="B325" s="12">
        <v>2</v>
      </c>
      <c r="C325" s="12" t="s">
        <v>658</v>
      </c>
      <c r="D325" s="12"/>
      <c r="E325" s="12"/>
      <c r="F325" s="12"/>
      <c r="G325" s="12"/>
      <c r="H325" s="12">
        <v>100020216</v>
      </c>
      <c r="I325" s="12" t="s">
        <v>1149</v>
      </c>
      <c r="J325" s="12"/>
      <c r="K325" s="12"/>
      <c r="L325" s="12" t="s">
        <v>1150</v>
      </c>
      <c r="M325" s="12"/>
      <c r="N325" s="13"/>
      <c r="O325" s="10">
        <v>3212</v>
      </c>
      <c r="P325" s="10"/>
      <c r="Q325" s="8"/>
      <c r="R325" s="6"/>
      <c r="S325" s="6"/>
      <c r="T325" t="b">
        <v>0</v>
      </c>
      <c r="U325" s="6"/>
      <c r="V325" s="6">
        <v>74215</v>
      </c>
      <c r="W325" s="6"/>
      <c r="X325" s="6"/>
      <c r="Y325" s="6"/>
      <c r="Z325" s="6">
        <v>101500</v>
      </c>
      <c r="AA325" s="4" t="s">
        <v>1151</v>
      </c>
    </row>
    <row r="326" spans="1:27">
      <c r="A326" s="12">
        <v>100020216</v>
      </c>
      <c r="B326" s="12">
        <v>2</v>
      </c>
      <c r="C326" s="12" t="s">
        <v>658</v>
      </c>
      <c r="D326" s="12"/>
      <c r="E326" s="12"/>
      <c r="F326" s="12"/>
      <c r="G326" s="12"/>
      <c r="H326" s="12">
        <v>100020217</v>
      </c>
      <c r="I326" s="12" t="s">
        <v>1152</v>
      </c>
      <c r="J326" s="12"/>
      <c r="K326" s="12"/>
      <c r="L326" s="12" t="s">
        <v>1123</v>
      </c>
      <c r="M326" s="12"/>
      <c r="N326" s="13"/>
      <c r="O326" s="10">
        <v>3212</v>
      </c>
      <c r="P326" s="10"/>
      <c r="Q326" s="8"/>
      <c r="R326" s="6"/>
      <c r="S326" s="6"/>
      <c r="T326" t="b">
        <v>0</v>
      </c>
      <c r="U326" s="6"/>
      <c r="V326" s="6">
        <v>74216</v>
      </c>
      <c r="W326" s="6"/>
      <c r="X326" s="6"/>
      <c r="Y326" s="6"/>
      <c r="Z326" s="6"/>
      <c r="AA326" s="4" t="s">
        <v>1153</v>
      </c>
    </row>
    <row r="327" spans="1:27">
      <c r="A327" s="12">
        <v>100020217</v>
      </c>
      <c r="B327" s="12">
        <v>2</v>
      </c>
      <c r="C327" s="12" t="s">
        <v>658</v>
      </c>
      <c r="D327" s="12"/>
      <c r="E327" s="12"/>
      <c r="F327" s="12"/>
      <c r="G327" s="12"/>
      <c r="H327" s="12">
        <v>100020218</v>
      </c>
      <c r="I327" s="12" t="s">
        <v>868</v>
      </c>
      <c r="J327" s="12"/>
      <c r="K327" s="12"/>
      <c r="L327" s="12" t="s">
        <v>1120</v>
      </c>
      <c r="M327" s="12"/>
      <c r="N327" s="13"/>
      <c r="O327" s="10">
        <v>4042</v>
      </c>
      <c r="P327" s="10"/>
      <c r="Q327" s="8"/>
      <c r="R327" s="6"/>
      <c r="S327" s="6"/>
      <c r="T327" t="b">
        <v>0</v>
      </c>
      <c r="U327" s="6"/>
      <c r="V327" s="6">
        <v>74217</v>
      </c>
      <c r="W327" s="6"/>
      <c r="X327" s="6"/>
      <c r="Y327" s="6"/>
      <c r="Z327" s="6"/>
      <c r="AA327" s="4" t="s">
        <v>870</v>
      </c>
    </row>
    <row r="328" spans="1:27">
      <c r="A328" s="12">
        <v>100020218</v>
      </c>
      <c r="B328" s="12">
        <v>2</v>
      </c>
      <c r="C328" s="12" t="s">
        <v>658</v>
      </c>
      <c r="D328" s="12"/>
      <c r="E328" s="12"/>
      <c r="F328" s="12"/>
      <c r="G328" s="12"/>
      <c r="H328" s="12">
        <v>100020219</v>
      </c>
      <c r="I328" s="12" t="s">
        <v>871</v>
      </c>
      <c r="J328" s="12"/>
      <c r="K328" s="12"/>
      <c r="L328" s="12" t="s">
        <v>1142</v>
      </c>
      <c r="M328" s="12"/>
      <c r="N328" s="13"/>
      <c r="O328" s="10">
        <v>4043</v>
      </c>
      <c r="P328" s="10"/>
      <c r="Q328" s="8"/>
      <c r="R328" s="6"/>
      <c r="S328" s="6"/>
      <c r="T328" t="b">
        <v>0</v>
      </c>
      <c r="U328" s="6"/>
      <c r="V328" s="6">
        <v>74218</v>
      </c>
      <c r="W328" s="6"/>
      <c r="X328" s="6"/>
      <c r="Y328" s="6"/>
      <c r="Z328" s="6"/>
      <c r="AA328" s="4" t="s">
        <v>873</v>
      </c>
    </row>
    <row r="329" spans="1:27">
      <c r="A329" s="12">
        <v>100020219</v>
      </c>
      <c r="B329" s="12">
        <v>2</v>
      </c>
      <c r="C329" s="12" t="s">
        <v>658</v>
      </c>
      <c r="D329" s="12"/>
      <c r="E329" s="12"/>
      <c r="F329" s="12"/>
      <c r="G329" s="12"/>
      <c r="H329" s="12">
        <v>100020220</v>
      </c>
      <c r="I329" s="12" t="s">
        <v>1154</v>
      </c>
      <c r="J329" s="12"/>
      <c r="K329" s="12"/>
      <c r="L329" s="12" t="s">
        <v>1137</v>
      </c>
      <c r="M329" s="12"/>
      <c r="N329" s="13"/>
      <c r="O329" s="10">
        <v>3212</v>
      </c>
      <c r="P329" s="10"/>
      <c r="Q329" s="8"/>
      <c r="R329" s="6"/>
      <c r="S329" s="6"/>
      <c r="T329" t="b">
        <v>0</v>
      </c>
      <c r="U329" s="6"/>
      <c r="V329" s="6">
        <v>74219</v>
      </c>
      <c r="W329" s="6"/>
      <c r="X329" s="6"/>
      <c r="Y329" s="6"/>
      <c r="Z329" s="6"/>
      <c r="AA329" s="4" t="s">
        <v>1155</v>
      </c>
    </row>
    <row r="330" spans="1:27">
      <c r="A330" s="12">
        <v>100020220</v>
      </c>
      <c r="B330" s="12">
        <v>2</v>
      </c>
      <c r="C330" s="12" t="s">
        <v>658</v>
      </c>
      <c r="D330" s="12"/>
      <c r="E330" s="12"/>
      <c r="F330" s="12"/>
      <c r="G330" s="12"/>
      <c r="H330" s="12">
        <v>100020221</v>
      </c>
      <c r="I330" s="12" t="s">
        <v>1156</v>
      </c>
      <c r="J330" s="12"/>
      <c r="K330" s="12"/>
      <c r="L330" s="12" t="s">
        <v>1157</v>
      </c>
      <c r="M330" s="12"/>
      <c r="N330" s="13"/>
      <c r="O330" s="10">
        <v>3212</v>
      </c>
      <c r="P330" s="10"/>
      <c r="Q330" s="8"/>
      <c r="R330" s="6"/>
      <c r="S330" s="6"/>
      <c r="T330" t="b">
        <v>0</v>
      </c>
      <c r="U330" s="6"/>
      <c r="V330" s="6">
        <v>74220</v>
      </c>
      <c r="W330" s="6"/>
      <c r="X330" s="6"/>
      <c r="Y330" s="6"/>
      <c r="Z330" s="6"/>
      <c r="AA330" s="4" t="s">
        <v>1158</v>
      </c>
    </row>
    <row r="331" spans="1:27">
      <c r="A331" s="12">
        <v>100020221</v>
      </c>
      <c r="B331" s="12">
        <v>2</v>
      </c>
      <c r="C331" s="12" t="s">
        <v>658</v>
      </c>
      <c r="D331" s="12"/>
      <c r="E331" s="12"/>
      <c r="F331" s="12"/>
      <c r="G331" s="12"/>
      <c r="H331" s="12">
        <v>100020222</v>
      </c>
      <c r="I331" s="12" t="s">
        <v>1159</v>
      </c>
      <c r="J331" s="12"/>
      <c r="K331" s="12"/>
      <c r="L331" s="12" t="s">
        <v>1160</v>
      </c>
      <c r="M331" s="12"/>
      <c r="N331" s="13"/>
      <c r="O331" s="10">
        <v>3411</v>
      </c>
      <c r="P331" s="10"/>
      <c r="Q331" s="8"/>
      <c r="R331" s="6"/>
      <c r="S331" s="6"/>
      <c r="T331" t="b">
        <v>0</v>
      </c>
      <c r="U331" s="6"/>
      <c r="V331" s="6">
        <v>74221</v>
      </c>
      <c r="W331" s="6"/>
      <c r="X331" s="6"/>
      <c r="Y331" s="6"/>
      <c r="Z331" s="6"/>
      <c r="AA331" s="4" t="s">
        <v>1161</v>
      </c>
    </row>
    <row r="332" spans="1:27">
      <c r="A332" s="12">
        <v>100020222</v>
      </c>
      <c r="B332" s="12">
        <v>2</v>
      </c>
      <c r="C332" s="12" t="s">
        <v>658</v>
      </c>
      <c r="D332" s="12"/>
      <c r="E332" s="12"/>
      <c r="F332" s="12"/>
      <c r="G332" s="12"/>
      <c r="H332" s="12">
        <v>100020223</v>
      </c>
      <c r="I332" s="12" t="s">
        <v>1162</v>
      </c>
      <c r="J332" s="12"/>
      <c r="K332" s="12"/>
      <c r="L332" s="12" t="s">
        <v>1163</v>
      </c>
      <c r="M332" s="12"/>
      <c r="N332" s="13"/>
      <c r="O332" s="10">
        <v>3211</v>
      </c>
      <c r="P332" s="10"/>
      <c r="Q332" s="8"/>
      <c r="R332" s="6"/>
      <c r="S332" s="6"/>
      <c r="T332" t="b">
        <v>0</v>
      </c>
      <c r="U332" s="6"/>
      <c r="V332" s="6">
        <v>74222</v>
      </c>
      <c r="W332" s="6"/>
      <c r="X332" s="6"/>
      <c r="Y332" s="6"/>
      <c r="Z332" s="6"/>
      <c r="AA332" s="4" t="s">
        <v>1164</v>
      </c>
    </row>
    <row r="333" spans="1:27">
      <c r="A333" s="12">
        <v>100020223</v>
      </c>
      <c r="B333" s="12">
        <v>2</v>
      </c>
      <c r="C333" s="12" t="s">
        <v>658</v>
      </c>
      <c r="D333" s="12"/>
      <c r="E333" s="12"/>
      <c r="F333" s="12"/>
      <c r="G333" s="12"/>
      <c r="H333" s="12">
        <v>100020224</v>
      </c>
      <c r="I333" s="12" t="s">
        <v>1165</v>
      </c>
      <c r="J333" s="12"/>
      <c r="K333" s="12"/>
      <c r="L333" s="12" t="s">
        <v>1166</v>
      </c>
      <c r="M333" s="12"/>
      <c r="N333" s="13"/>
      <c r="O333" s="10">
        <v>3211</v>
      </c>
      <c r="P333" s="10"/>
      <c r="Q333" s="8"/>
      <c r="R333" s="6"/>
      <c r="S333" s="6"/>
      <c r="T333" t="b">
        <v>0</v>
      </c>
      <c r="U333" s="6"/>
      <c r="V333" s="6">
        <v>74223</v>
      </c>
      <c r="W333" s="6"/>
      <c r="X333" s="6"/>
      <c r="Y333" s="6"/>
      <c r="Z333" s="6"/>
      <c r="AA333" s="4" t="s">
        <v>1167</v>
      </c>
    </row>
    <row r="334" spans="1:27">
      <c r="A334" s="12">
        <v>100020224</v>
      </c>
      <c r="B334" s="12">
        <v>2</v>
      </c>
      <c r="C334" s="12" t="s">
        <v>658</v>
      </c>
      <c r="D334" s="12"/>
      <c r="E334" s="12"/>
      <c r="F334" s="12"/>
      <c r="G334" s="12"/>
      <c r="H334" s="12">
        <v>100020225</v>
      </c>
      <c r="I334" s="12" t="s">
        <v>1168</v>
      </c>
      <c r="J334" s="12"/>
      <c r="K334" s="12"/>
      <c r="L334" s="12" t="s">
        <v>1169</v>
      </c>
      <c r="M334" s="12"/>
      <c r="N334" s="13"/>
      <c r="O334" s="10">
        <v>3211</v>
      </c>
      <c r="P334" s="10"/>
      <c r="Q334" s="8"/>
      <c r="R334" s="6"/>
      <c r="S334" s="6"/>
      <c r="T334" t="b">
        <v>0</v>
      </c>
      <c r="U334" s="6"/>
      <c r="V334" s="6">
        <v>74224</v>
      </c>
      <c r="W334" s="6"/>
      <c r="X334" s="6"/>
      <c r="Y334" s="6"/>
      <c r="Z334" s="6">
        <v>102000</v>
      </c>
      <c r="AA334" s="4" t="s">
        <v>1170</v>
      </c>
    </row>
    <row r="335" spans="1:27">
      <c r="A335" s="12">
        <v>100020225</v>
      </c>
      <c r="B335" s="12">
        <v>2</v>
      </c>
      <c r="C335" s="12" t="s">
        <v>658</v>
      </c>
      <c r="D335" s="12"/>
      <c r="E335" s="12"/>
      <c r="F335" s="12"/>
      <c r="G335" s="12"/>
      <c r="H335" s="12">
        <v>100020226</v>
      </c>
      <c r="I335" s="12" t="s">
        <v>1171</v>
      </c>
      <c r="J335" s="12"/>
      <c r="K335" s="12"/>
      <c r="L335" s="12" t="s">
        <v>1172</v>
      </c>
      <c r="M335" s="12"/>
      <c r="N335" s="13"/>
      <c r="O335" s="10">
        <v>3211</v>
      </c>
      <c r="P335" s="10"/>
      <c r="Q335" s="8"/>
      <c r="R335" s="6"/>
      <c r="S335" s="6"/>
      <c r="T335" t="b">
        <v>0</v>
      </c>
      <c r="U335" s="6"/>
      <c r="V335" s="6">
        <v>74225</v>
      </c>
      <c r="W335" s="6"/>
      <c r="X335" s="6"/>
      <c r="Y335" s="6"/>
      <c r="Z335" s="6"/>
      <c r="AA335" s="4" t="s">
        <v>1173</v>
      </c>
    </row>
    <row r="336" spans="1:27">
      <c r="A336" s="12">
        <v>100020226</v>
      </c>
      <c r="B336" s="12">
        <v>2</v>
      </c>
      <c r="C336" s="12" t="s">
        <v>658</v>
      </c>
      <c r="D336" s="12"/>
      <c r="E336" s="12"/>
      <c r="F336" s="12"/>
      <c r="G336" s="12"/>
      <c r="H336" s="12">
        <v>100020227</v>
      </c>
      <c r="I336" s="12" t="s">
        <v>836</v>
      </c>
      <c r="J336" s="12"/>
      <c r="K336" s="12"/>
      <c r="L336" s="12" t="s">
        <v>1163</v>
      </c>
      <c r="M336" s="12"/>
      <c r="N336" s="13"/>
      <c r="O336" s="10">
        <v>4044</v>
      </c>
      <c r="P336" s="10"/>
      <c r="Q336" s="8"/>
      <c r="R336" s="6"/>
      <c r="S336" s="6"/>
      <c r="T336" t="b">
        <v>0</v>
      </c>
      <c r="U336" s="6"/>
      <c r="V336" s="6">
        <v>74226</v>
      </c>
      <c r="W336" s="6"/>
      <c r="X336" s="6"/>
      <c r="Y336" s="6"/>
      <c r="Z336" s="6"/>
      <c r="AA336" s="4" t="s">
        <v>838</v>
      </c>
    </row>
    <row r="337" spans="1:27">
      <c r="A337" s="12">
        <v>100020227</v>
      </c>
      <c r="B337" s="12">
        <v>2</v>
      </c>
      <c r="C337" s="12" t="s">
        <v>658</v>
      </c>
      <c r="D337" s="12"/>
      <c r="E337" s="12"/>
      <c r="F337" s="12"/>
      <c r="G337" s="12"/>
      <c r="H337" s="12">
        <v>100020228</v>
      </c>
      <c r="I337" s="12" t="s">
        <v>839</v>
      </c>
      <c r="J337" s="12"/>
      <c r="K337" s="12"/>
      <c r="L337" s="12" t="s">
        <v>1163</v>
      </c>
      <c r="M337" s="12"/>
      <c r="N337" s="13"/>
      <c r="O337" s="10">
        <v>3134</v>
      </c>
      <c r="P337" s="10"/>
      <c r="Q337" s="8"/>
      <c r="R337" s="6"/>
      <c r="S337" s="6"/>
      <c r="T337" t="b">
        <v>0</v>
      </c>
      <c r="U337" s="6"/>
      <c r="V337" s="6">
        <v>74227</v>
      </c>
      <c r="W337" s="6"/>
      <c r="X337" s="6"/>
      <c r="Y337" s="6"/>
      <c r="Z337" s="6"/>
      <c r="AA337" s="4" t="s">
        <v>840</v>
      </c>
    </row>
    <row r="338" spans="1:27">
      <c r="A338" s="12">
        <v>100020228</v>
      </c>
      <c r="B338" s="12">
        <v>2</v>
      </c>
      <c r="C338" s="12" t="s">
        <v>658</v>
      </c>
      <c r="D338" s="12"/>
      <c r="E338" s="12"/>
      <c r="F338" s="12"/>
      <c r="G338" s="12"/>
      <c r="H338" s="12">
        <v>100020229</v>
      </c>
      <c r="I338" s="12" t="s">
        <v>1174</v>
      </c>
      <c r="J338" s="12"/>
      <c r="K338" s="12"/>
      <c r="L338" s="12" t="s">
        <v>1172</v>
      </c>
      <c r="M338" s="12"/>
      <c r="N338" s="13"/>
      <c r="O338" s="10">
        <v>3211</v>
      </c>
      <c r="P338" s="10"/>
      <c r="Q338" s="8"/>
      <c r="R338" s="6"/>
      <c r="S338" s="6"/>
      <c r="T338" t="b">
        <v>0</v>
      </c>
      <c r="U338" s="6"/>
      <c r="V338" s="6">
        <v>74228</v>
      </c>
      <c r="W338" s="6"/>
      <c r="X338" s="6"/>
      <c r="Y338" s="6"/>
      <c r="Z338" s="6"/>
      <c r="AA338" s="4" t="s">
        <v>1175</v>
      </c>
    </row>
    <row r="339" spans="1:27">
      <c r="A339" s="12">
        <v>100020229</v>
      </c>
      <c r="B339" s="12">
        <v>2</v>
      </c>
      <c r="C339" s="12" t="s">
        <v>658</v>
      </c>
      <c r="D339" s="12"/>
      <c r="E339" s="12"/>
      <c r="F339" s="12"/>
      <c r="G339" s="12"/>
      <c r="H339" s="12">
        <v>100020230</v>
      </c>
      <c r="I339" s="12" t="s">
        <v>843</v>
      </c>
      <c r="J339" s="12"/>
      <c r="K339" s="12"/>
      <c r="L339" s="12" t="s">
        <v>1176</v>
      </c>
      <c r="M339" s="12"/>
      <c r="N339" s="13"/>
      <c r="O339" s="10">
        <v>3021</v>
      </c>
      <c r="P339" s="10"/>
      <c r="Q339" s="8"/>
      <c r="R339" s="6"/>
      <c r="S339" s="6"/>
      <c r="T339" t="b">
        <v>0</v>
      </c>
      <c r="U339" s="6"/>
      <c r="V339" s="6">
        <v>74229</v>
      </c>
      <c r="W339" s="6"/>
      <c r="X339" s="6"/>
      <c r="Y339" s="6"/>
      <c r="Z339" s="6"/>
      <c r="AA339" s="4" t="s">
        <v>845</v>
      </c>
    </row>
    <row r="340" spans="1:27">
      <c r="A340" s="12">
        <v>100020230</v>
      </c>
      <c r="B340" s="12">
        <v>2</v>
      </c>
      <c r="C340" s="12" t="s">
        <v>658</v>
      </c>
      <c r="D340" s="12"/>
      <c r="E340" s="12"/>
      <c r="F340" s="12"/>
      <c r="G340" s="12"/>
      <c r="H340" s="12">
        <v>100020231</v>
      </c>
      <c r="I340" s="12" t="s">
        <v>1177</v>
      </c>
      <c r="J340" s="12"/>
      <c r="K340" s="12"/>
      <c r="L340" s="12" t="s">
        <v>1157</v>
      </c>
      <c r="M340" s="12"/>
      <c r="N340" s="13"/>
      <c r="O340" s="10">
        <v>3211</v>
      </c>
      <c r="P340" s="10"/>
      <c r="Q340" s="8"/>
      <c r="R340" s="6"/>
      <c r="S340" s="6"/>
      <c r="T340" t="b">
        <v>0</v>
      </c>
      <c r="U340" s="6"/>
      <c r="V340" s="6">
        <v>74230</v>
      </c>
      <c r="W340" s="6"/>
      <c r="X340" s="6"/>
      <c r="Y340" s="6"/>
      <c r="Z340" s="6"/>
      <c r="AA340" s="4" t="s">
        <v>1178</v>
      </c>
    </row>
    <row r="341" spans="1:27">
      <c r="A341" s="12">
        <v>100020231</v>
      </c>
      <c r="B341" s="12">
        <v>2</v>
      </c>
      <c r="C341" s="12" t="s">
        <v>658</v>
      </c>
      <c r="D341" s="12"/>
      <c r="E341" s="12"/>
      <c r="F341" s="12"/>
      <c r="G341" s="12"/>
      <c r="H341" s="12">
        <v>100020232</v>
      </c>
      <c r="I341" s="12" t="s">
        <v>1179</v>
      </c>
      <c r="J341" s="12"/>
      <c r="K341" s="12"/>
      <c r="L341" s="12" t="s">
        <v>1176</v>
      </c>
      <c r="M341" s="12"/>
      <c r="N341" s="13"/>
      <c r="O341" s="10">
        <v>3211</v>
      </c>
      <c r="P341" s="10"/>
      <c r="Q341" s="8"/>
      <c r="R341" s="6"/>
      <c r="S341" s="6"/>
      <c r="T341" t="b">
        <v>0</v>
      </c>
      <c r="U341" s="6"/>
      <c r="V341" s="6">
        <v>74231</v>
      </c>
      <c r="W341" s="6"/>
      <c r="X341" s="6"/>
      <c r="Y341" s="6"/>
      <c r="Z341" s="6"/>
      <c r="AA341" s="4" t="s">
        <v>1180</v>
      </c>
    </row>
    <row r="342" spans="1:27">
      <c r="A342" s="12">
        <v>100020232</v>
      </c>
      <c r="B342" s="12">
        <v>2</v>
      </c>
      <c r="C342" s="12" t="s">
        <v>658</v>
      </c>
      <c r="D342" s="12"/>
      <c r="E342" s="12"/>
      <c r="F342" s="12"/>
      <c r="G342" s="12"/>
      <c r="H342" s="12">
        <v>100020233</v>
      </c>
      <c r="I342" s="12" t="s">
        <v>1181</v>
      </c>
      <c r="J342" s="12"/>
      <c r="K342" s="12"/>
      <c r="L342" s="12" t="s">
        <v>1172</v>
      </c>
      <c r="M342" s="12"/>
      <c r="N342" s="13"/>
      <c r="O342" s="10">
        <v>3211</v>
      </c>
      <c r="P342" s="10"/>
      <c r="Q342" s="8"/>
      <c r="R342" s="6"/>
      <c r="S342" s="6"/>
      <c r="T342" t="b">
        <v>0</v>
      </c>
      <c r="U342" s="6"/>
      <c r="V342" s="6">
        <v>74232</v>
      </c>
      <c r="W342" s="6"/>
      <c r="X342" s="6"/>
      <c r="Y342" s="6"/>
      <c r="Z342" s="6"/>
      <c r="AA342" s="4" t="s">
        <v>1182</v>
      </c>
    </row>
    <row r="343" spans="1:27">
      <c r="A343" s="12">
        <v>100020233</v>
      </c>
      <c r="B343" s="12">
        <v>2</v>
      </c>
      <c r="C343" s="12" t="s">
        <v>658</v>
      </c>
      <c r="D343" s="12"/>
      <c r="E343" s="12"/>
      <c r="F343" s="12"/>
      <c r="G343" s="12"/>
      <c r="H343" s="12">
        <v>100020234</v>
      </c>
      <c r="I343" s="12" t="s">
        <v>854</v>
      </c>
      <c r="J343" s="12"/>
      <c r="K343" s="12"/>
      <c r="L343" s="12" t="s">
        <v>1183</v>
      </c>
      <c r="M343" s="12"/>
      <c r="N343" s="13"/>
      <c r="O343" s="10">
        <v>4041</v>
      </c>
      <c r="P343" s="10"/>
      <c r="Q343" s="8"/>
      <c r="R343" s="6"/>
      <c r="S343" s="6"/>
      <c r="T343" t="b">
        <v>0</v>
      </c>
      <c r="U343" s="6"/>
      <c r="V343" s="6">
        <v>74233</v>
      </c>
      <c r="W343" s="6"/>
      <c r="X343" s="6"/>
      <c r="Y343" s="6"/>
      <c r="Z343" s="6"/>
      <c r="AA343" s="4" t="s">
        <v>856</v>
      </c>
    </row>
    <row r="344" spans="1:27">
      <c r="A344" s="12">
        <v>100020234</v>
      </c>
      <c r="B344" s="12">
        <v>2</v>
      </c>
      <c r="C344" s="12" t="s">
        <v>658</v>
      </c>
      <c r="D344" s="12"/>
      <c r="E344" s="12"/>
      <c r="F344" s="12"/>
      <c r="G344" s="12"/>
      <c r="H344" s="12">
        <v>100020235</v>
      </c>
      <c r="I344" s="12" t="s">
        <v>784</v>
      </c>
      <c r="J344" s="12"/>
      <c r="K344" s="12"/>
      <c r="L344" s="12" t="s">
        <v>1184</v>
      </c>
      <c r="M344" s="12"/>
      <c r="N344" s="13"/>
      <c r="O344" s="10">
        <v>4003</v>
      </c>
      <c r="P344" s="10"/>
      <c r="Q344" s="8"/>
      <c r="R344" s="6"/>
      <c r="S344" s="6"/>
      <c r="T344" t="b">
        <v>0</v>
      </c>
      <c r="U344" s="6"/>
      <c r="V344" s="6">
        <v>74234</v>
      </c>
      <c r="W344" s="6"/>
      <c r="X344" s="6"/>
      <c r="Y344" s="6"/>
      <c r="Z344" s="6">
        <v>-1</v>
      </c>
      <c r="AA344" s="4" t="s">
        <v>786</v>
      </c>
    </row>
    <row r="345" spans="1:27">
      <c r="A345" s="12">
        <v>100020235</v>
      </c>
      <c r="B345" s="12">
        <v>2</v>
      </c>
      <c r="C345" s="12" t="s">
        <v>658</v>
      </c>
      <c r="D345" s="12"/>
      <c r="E345" s="12"/>
      <c r="F345" s="12"/>
      <c r="G345" s="12"/>
      <c r="H345" s="12">
        <v>100020236</v>
      </c>
      <c r="I345" s="12" t="s">
        <v>787</v>
      </c>
      <c r="J345" s="12"/>
      <c r="K345" s="12"/>
      <c r="L345" s="12" t="s">
        <v>1185</v>
      </c>
      <c r="M345" s="12"/>
      <c r="N345" s="13"/>
      <c r="O345" s="10">
        <v>4004</v>
      </c>
      <c r="P345" s="10"/>
      <c r="Q345" s="8"/>
      <c r="R345" s="6"/>
      <c r="S345" s="6"/>
      <c r="T345" t="b">
        <v>0</v>
      </c>
      <c r="U345" s="6"/>
      <c r="V345" s="6">
        <v>74235</v>
      </c>
      <c r="W345" s="6"/>
      <c r="X345" s="6"/>
      <c r="Y345" s="6"/>
      <c r="Z345" s="6"/>
      <c r="AA345" s="4" t="s">
        <v>788</v>
      </c>
    </row>
    <row r="346" spans="1:27">
      <c r="A346" s="12">
        <v>100020236</v>
      </c>
      <c r="B346" s="12">
        <v>2</v>
      </c>
      <c r="C346" s="12" t="s">
        <v>658</v>
      </c>
      <c r="D346" s="12"/>
      <c r="E346" s="12"/>
      <c r="F346" s="12"/>
      <c r="G346" s="12"/>
      <c r="H346" s="12">
        <v>100020237</v>
      </c>
      <c r="I346" s="12" t="s">
        <v>1186</v>
      </c>
      <c r="J346" s="12"/>
      <c r="K346" s="12"/>
      <c r="L346" s="12" t="s">
        <v>1176</v>
      </c>
      <c r="M346" s="12"/>
      <c r="N346" s="13"/>
      <c r="O346" s="10">
        <v>3211</v>
      </c>
      <c r="P346" s="10"/>
      <c r="Q346" s="8"/>
      <c r="R346" s="6"/>
      <c r="S346" s="6"/>
      <c r="T346" t="b">
        <v>0</v>
      </c>
      <c r="U346" s="6"/>
      <c r="V346" s="6">
        <v>74236</v>
      </c>
      <c r="W346" s="6"/>
      <c r="X346" s="6"/>
      <c r="Y346" s="6"/>
      <c r="Z346" s="6"/>
      <c r="AA346" s="4" t="s">
        <v>1187</v>
      </c>
    </row>
    <row r="347" spans="1:27">
      <c r="A347" s="12">
        <v>100020237</v>
      </c>
      <c r="B347" s="12">
        <v>2</v>
      </c>
      <c r="C347" s="12" t="s">
        <v>658</v>
      </c>
      <c r="D347" s="12"/>
      <c r="E347" s="12"/>
      <c r="F347" s="12"/>
      <c r="G347" s="12"/>
      <c r="H347" s="12">
        <v>100020238</v>
      </c>
      <c r="I347" s="12" t="s">
        <v>1188</v>
      </c>
      <c r="J347" s="12"/>
      <c r="K347" s="12"/>
      <c r="L347" s="12" t="s">
        <v>1172</v>
      </c>
      <c r="M347" s="12"/>
      <c r="N347" s="13"/>
      <c r="O347" s="10">
        <v>3211</v>
      </c>
      <c r="P347" s="10"/>
      <c r="Q347" s="8"/>
      <c r="R347" s="6"/>
      <c r="S347" s="6"/>
      <c r="T347" t="b">
        <v>0</v>
      </c>
      <c r="U347" s="6"/>
      <c r="V347" s="6">
        <v>74237</v>
      </c>
      <c r="W347" s="6"/>
      <c r="X347" s="6"/>
      <c r="Y347" s="6"/>
      <c r="Z347" s="6"/>
      <c r="AA347" s="4" t="s">
        <v>1189</v>
      </c>
    </row>
    <row r="348" spans="1:27">
      <c r="A348" s="12">
        <v>100020238</v>
      </c>
      <c r="B348" s="12">
        <v>2</v>
      </c>
      <c r="C348" s="12" t="s">
        <v>658</v>
      </c>
      <c r="D348" s="12"/>
      <c r="E348" s="12"/>
      <c r="F348" s="12"/>
      <c r="G348" s="12"/>
      <c r="H348" s="12">
        <v>100020239</v>
      </c>
      <c r="I348" s="12" t="s">
        <v>1190</v>
      </c>
      <c r="J348" s="12"/>
      <c r="K348" s="12"/>
      <c r="L348" s="12" t="s">
        <v>1191</v>
      </c>
      <c r="M348" s="12"/>
      <c r="N348" s="13"/>
      <c r="O348" s="10">
        <v>3211</v>
      </c>
      <c r="P348" s="10"/>
      <c r="Q348" s="8"/>
      <c r="R348" s="6"/>
      <c r="S348" s="6"/>
      <c r="T348" t="b">
        <v>0</v>
      </c>
      <c r="U348" s="6"/>
      <c r="V348" s="6">
        <v>74238</v>
      </c>
      <c r="W348" s="6"/>
      <c r="X348" s="6"/>
      <c r="Y348" s="6"/>
      <c r="Z348" s="6">
        <v>102000</v>
      </c>
      <c r="AA348" s="4" t="s">
        <v>1192</v>
      </c>
    </row>
    <row r="349" spans="1:27">
      <c r="A349" s="12">
        <v>100020239</v>
      </c>
      <c r="B349" s="12">
        <v>2</v>
      </c>
      <c r="C349" s="12" t="s">
        <v>658</v>
      </c>
      <c r="D349" s="12"/>
      <c r="E349" s="12"/>
      <c r="F349" s="12"/>
      <c r="G349" s="12"/>
      <c r="H349" s="12">
        <v>100020240</v>
      </c>
      <c r="I349" s="12" t="s">
        <v>1193</v>
      </c>
      <c r="J349" s="12"/>
      <c r="K349" s="12"/>
      <c r="L349" s="12" t="s">
        <v>1157</v>
      </c>
      <c r="M349" s="12"/>
      <c r="N349" s="13"/>
      <c r="O349" s="10">
        <v>3211</v>
      </c>
      <c r="P349" s="10"/>
      <c r="Q349" s="8"/>
      <c r="R349" s="6"/>
      <c r="S349" s="6"/>
      <c r="T349" t="b">
        <v>0</v>
      </c>
      <c r="U349" s="6"/>
      <c r="V349" s="6">
        <v>74239</v>
      </c>
      <c r="W349" s="6"/>
      <c r="X349" s="6"/>
      <c r="Y349" s="6"/>
      <c r="Z349" s="6"/>
      <c r="AA349" s="4" t="s">
        <v>1194</v>
      </c>
    </row>
    <row r="350" spans="1:27">
      <c r="A350" s="12">
        <v>100020240</v>
      </c>
      <c r="B350" s="12">
        <v>2</v>
      </c>
      <c r="C350" s="12" t="s">
        <v>658</v>
      </c>
      <c r="D350" s="12"/>
      <c r="E350" s="12"/>
      <c r="F350" s="12"/>
      <c r="G350" s="12"/>
      <c r="H350" s="12">
        <v>100020241</v>
      </c>
      <c r="I350" s="12" t="s">
        <v>868</v>
      </c>
      <c r="J350" s="12"/>
      <c r="K350" s="12"/>
      <c r="L350" s="12" t="s">
        <v>1163</v>
      </c>
      <c r="M350" s="12"/>
      <c r="N350" s="13"/>
      <c r="O350" s="10">
        <v>4042</v>
      </c>
      <c r="P350" s="10"/>
      <c r="Q350" s="8"/>
      <c r="R350" s="6"/>
      <c r="S350" s="6"/>
      <c r="T350" t="b">
        <v>0</v>
      </c>
      <c r="U350" s="6"/>
      <c r="V350" s="6">
        <v>74240</v>
      </c>
      <c r="W350" s="6"/>
      <c r="X350" s="6"/>
      <c r="Y350" s="6"/>
      <c r="Z350" s="6"/>
      <c r="AA350" s="4" t="s">
        <v>870</v>
      </c>
    </row>
    <row r="351" spans="1:27">
      <c r="A351" s="12">
        <v>100020241</v>
      </c>
      <c r="B351" s="12">
        <v>2</v>
      </c>
      <c r="C351" s="12" t="s">
        <v>658</v>
      </c>
      <c r="D351" s="12"/>
      <c r="E351" s="12"/>
      <c r="F351" s="12"/>
      <c r="G351" s="12"/>
      <c r="H351" s="12">
        <v>100020242</v>
      </c>
      <c r="I351" s="12" t="s">
        <v>871</v>
      </c>
      <c r="J351" s="12"/>
      <c r="K351" s="12"/>
      <c r="L351" s="12" t="s">
        <v>1183</v>
      </c>
      <c r="M351" s="12"/>
      <c r="N351" s="13"/>
      <c r="O351" s="10">
        <v>4043</v>
      </c>
      <c r="P351" s="10"/>
      <c r="Q351" s="8"/>
      <c r="R351" s="6"/>
      <c r="S351" s="6"/>
      <c r="T351" t="b">
        <v>0</v>
      </c>
      <c r="U351" s="6"/>
      <c r="V351" s="6">
        <v>74241</v>
      </c>
      <c r="W351" s="6"/>
      <c r="X351" s="6"/>
      <c r="Y351" s="6"/>
      <c r="Z351" s="6"/>
      <c r="AA351" s="4" t="s">
        <v>873</v>
      </c>
    </row>
    <row r="352" spans="1:27">
      <c r="A352" s="12">
        <v>100020242</v>
      </c>
      <c r="B352" s="12">
        <v>2</v>
      </c>
      <c r="C352" s="12" t="s">
        <v>658</v>
      </c>
      <c r="D352" s="12"/>
      <c r="E352" s="12"/>
      <c r="F352" s="12"/>
      <c r="G352" s="12"/>
      <c r="H352" s="12">
        <v>100020243</v>
      </c>
      <c r="I352" s="12" t="s">
        <v>1195</v>
      </c>
      <c r="J352" s="12"/>
      <c r="K352" s="12"/>
      <c r="L352" s="12" t="s">
        <v>1176</v>
      </c>
      <c r="M352" s="12"/>
      <c r="N352" s="13"/>
      <c r="O352" s="10">
        <v>3211</v>
      </c>
      <c r="P352" s="10"/>
      <c r="Q352" s="8"/>
      <c r="R352" s="6"/>
      <c r="S352" s="6"/>
      <c r="T352" t="b">
        <v>0</v>
      </c>
      <c r="U352" s="6"/>
      <c r="V352" s="6">
        <v>74242</v>
      </c>
      <c r="W352" s="6"/>
      <c r="X352" s="6"/>
      <c r="Y352" s="6"/>
      <c r="Z352" s="6"/>
      <c r="AA352" s="4" t="s">
        <v>1196</v>
      </c>
    </row>
    <row r="353" spans="1:27">
      <c r="A353" s="12">
        <v>100020243</v>
      </c>
      <c r="B353" s="12">
        <v>2</v>
      </c>
      <c r="C353" s="12" t="s">
        <v>658</v>
      </c>
      <c r="D353" s="12"/>
      <c r="E353" s="12"/>
      <c r="F353" s="12"/>
      <c r="G353" s="12"/>
      <c r="H353" s="12">
        <v>100020244</v>
      </c>
      <c r="I353" s="12" t="s">
        <v>1197</v>
      </c>
      <c r="J353" s="12"/>
      <c r="K353" s="12"/>
      <c r="L353" s="12" t="s">
        <v>1198</v>
      </c>
      <c r="M353" s="12"/>
      <c r="N353" s="13"/>
      <c r="O353" s="10">
        <v>3211</v>
      </c>
      <c r="P353" s="10"/>
      <c r="Q353" s="8"/>
      <c r="R353" s="6"/>
      <c r="S353" s="6"/>
      <c r="T353" t="b">
        <v>0</v>
      </c>
      <c r="U353" s="6"/>
      <c r="V353" s="6">
        <v>74243</v>
      </c>
      <c r="W353" s="6"/>
      <c r="X353" s="6"/>
      <c r="Y353" s="6"/>
      <c r="Z353" s="6"/>
      <c r="AA353" s="4" t="s">
        <v>1199</v>
      </c>
    </row>
    <row r="354" spans="1:27">
      <c r="A354" s="12">
        <v>100020244</v>
      </c>
      <c r="B354" s="12">
        <v>2</v>
      </c>
      <c r="C354" s="12" t="s">
        <v>658</v>
      </c>
      <c r="D354" s="12"/>
      <c r="E354" s="12"/>
      <c r="F354" s="12"/>
      <c r="G354" s="12"/>
      <c r="H354" s="12">
        <v>100020245</v>
      </c>
      <c r="I354" s="12" t="s">
        <v>1200</v>
      </c>
      <c r="J354" s="12"/>
      <c r="K354" s="12"/>
      <c r="L354" s="12" t="s">
        <v>1201</v>
      </c>
      <c r="M354" s="12"/>
      <c r="N354" s="13"/>
      <c r="O354" s="10">
        <v>3410</v>
      </c>
      <c r="P354" s="10"/>
      <c r="Q354" s="8"/>
      <c r="R354" s="6"/>
      <c r="S354" s="6"/>
      <c r="T354" t="b">
        <v>0</v>
      </c>
      <c r="U354" s="6"/>
      <c r="V354" s="6">
        <v>74244</v>
      </c>
      <c r="W354" s="6"/>
      <c r="X354" s="6"/>
      <c r="Y354" s="6"/>
      <c r="Z354" s="6"/>
      <c r="AA354" s="4" t="s">
        <v>1202</v>
      </c>
    </row>
    <row r="355" spans="1:27">
      <c r="A355" s="12">
        <v>100020245</v>
      </c>
      <c r="B355" s="12">
        <v>2</v>
      </c>
      <c r="C355" s="12" t="s">
        <v>658</v>
      </c>
      <c r="D355" s="12"/>
      <c r="E355" s="12"/>
      <c r="F355" s="12"/>
      <c r="G355" s="12"/>
      <c r="H355" s="12">
        <v>100020246</v>
      </c>
      <c r="I355" s="12" t="s">
        <v>1203</v>
      </c>
      <c r="J355" s="12"/>
      <c r="K355" s="12"/>
      <c r="L355" s="12" t="s">
        <v>1204</v>
      </c>
      <c r="M355" s="12"/>
      <c r="N355" s="13"/>
      <c r="O355" s="10">
        <v>3210</v>
      </c>
      <c r="P355" s="10"/>
      <c r="Q355" s="8"/>
      <c r="R355" s="6"/>
      <c r="S355" s="6"/>
      <c r="T355" t="b">
        <v>0</v>
      </c>
      <c r="U355" s="6"/>
      <c r="V355" s="6">
        <v>74245</v>
      </c>
      <c r="W355" s="6"/>
      <c r="X355" s="6"/>
      <c r="Y355" s="6"/>
      <c r="Z355" s="6"/>
      <c r="AA355" s="4" t="s">
        <v>1205</v>
      </c>
    </row>
    <row r="356" spans="1:27">
      <c r="A356" s="12">
        <v>100020246</v>
      </c>
      <c r="B356" s="12">
        <v>2</v>
      </c>
      <c r="C356" s="12" t="s">
        <v>658</v>
      </c>
      <c r="D356" s="12"/>
      <c r="E356" s="12"/>
      <c r="F356" s="12"/>
      <c r="G356" s="12"/>
      <c r="H356" s="12">
        <v>100020247</v>
      </c>
      <c r="I356" s="12" t="s">
        <v>1206</v>
      </c>
      <c r="J356" s="12"/>
      <c r="K356" s="12"/>
      <c r="L356" s="12" t="s">
        <v>1198</v>
      </c>
      <c r="M356" s="12"/>
      <c r="N356" s="13"/>
      <c r="O356" s="10">
        <v>3210</v>
      </c>
      <c r="P356" s="10"/>
      <c r="Q356" s="8"/>
      <c r="R356" s="6"/>
      <c r="S356" s="6"/>
      <c r="T356" t="b">
        <v>0</v>
      </c>
      <c r="U356" s="6"/>
      <c r="V356" s="6">
        <v>74246</v>
      </c>
      <c r="W356" s="6"/>
      <c r="X356" s="6"/>
      <c r="Y356" s="6"/>
      <c r="Z356" s="6"/>
      <c r="AA356" s="4" t="s">
        <v>1207</v>
      </c>
    </row>
    <row r="357" spans="1:27">
      <c r="A357" s="12">
        <v>100020247</v>
      </c>
      <c r="B357" s="12">
        <v>2</v>
      </c>
      <c r="C357" s="12" t="s">
        <v>658</v>
      </c>
      <c r="D357" s="12"/>
      <c r="E357" s="12"/>
      <c r="F357" s="12"/>
      <c r="G357" s="12"/>
      <c r="H357" s="12">
        <v>100020248</v>
      </c>
      <c r="I357" s="12" t="s">
        <v>1208</v>
      </c>
      <c r="J357" s="12"/>
      <c r="K357" s="12"/>
      <c r="L357" s="12" t="s">
        <v>1209</v>
      </c>
      <c r="M357" s="12"/>
      <c r="N357" s="13"/>
      <c r="O357" s="10">
        <v>3210</v>
      </c>
      <c r="P357" s="10"/>
      <c r="Q357" s="8"/>
      <c r="R357" s="6"/>
      <c r="S357" s="6"/>
      <c r="T357" t="b">
        <v>0</v>
      </c>
      <c r="U357" s="6"/>
      <c r="V357" s="6">
        <v>74247</v>
      </c>
      <c r="W357" s="6"/>
      <c r="X357" s="6"/>
      <c r="Y357" s="6"/>
      <c r="Z357" s="6">
        <v>102100</v>
      </c>
      <c r="AA357" s="4" t="s">
        <v>1210</v>
      </c>
    </row>
    <row r="358" spans="1:27">
      <c r="A358" s="12">
        <v>100020248</v>
      </c>
      <c r="B358" s="12">
        <v>2</v>
      </c>
      <c r="C358" s="12" t="s">
        <v>658</v>
      </c>
      <c r="D358" s="12"/>
      <c r="E358" s="12"/>
      <c r="F358" s="12"/>
      <c r="G358" s="12"/>
      <c r="H358" s="12">
        <v>100020249</v>
      </c>
      <c r="I358" s="12" t="s">
        <v>1211</v>
      </c>
      <c r="J358" s="12"/>
      <c r="K358" s="12"/>
      <c r="L358" s="12" t="s">
        <v>1212</v>
      </c>
      <c r="M358" s="12"/>
      <c r="N358" s="13"/>
      <c r="O358" s="10">
        <v>3210</v>
      </c>
      <c r="P358" s="10"/>
      <c r="Q358" s="8"/>
      <c r="R358" s="6"/>
      <c r="S358" s="6"/>
      <c r="T358" t="b">
        <v>0</v>
      </c>
      <c r="U358" s="6"/>
      <c r="V358" s="6">
        <v>74248</v>
      </c>
      <c r="W358" s="6"/>
      <c r="X358" s="6"/>
      <c r="Y358" s="6"/>
      <c r="Z358" s="6"/>
      <c r="AA358" s="4" t="s">
        <v>1213</v>
      </c>
    </row>
    <row r="359" spans="1:27">
      <c r="A359" s="12">
        <v>100020249</v>
      </c>
      <c r="B359" s="12">
        <v>2</v>
      </c>
      <c r="C359" s="12" t="s">
        <v>658</v>
      </c>
      <c r="D359" s="12"/>
      <c r="E359" s="12"/>
      <c r="F359" s="12"/>
      <c r="G359" s="12"/>
      <c r="H359" s="12">
        <v>100020250</v>
      </c>
      <c r="I359" s="12" t="s">
        <v>836</v>
      </c>
      <c r="J359" s="12"/>
      <c r="K359" s="12"/>
      <c r="L359" s="12" t="s">
        <v>1204</v>
      </c>
      <c r="M359" s="12"/>
      <c r="N359" s="13"/>
      <c r="O359" s="10">
        <v>4044</v>
      </c>
      <c r="P359" s="10"/>
      <c r="Q359" s="8"/>
      <c r="R359" s="6"/>
      <c r="S359" s="6"/>
      <c r="T359" t="b">
        <v>0</v>
      </c>
      <c r="U359" s="6"/>
      <c r="V359" s="6">
        <v>74249</v>
      </c>
      <c r="W359" s="6"/>
      <c r="X359" s="6"/>
      <c r="Y359" s="6"/>
      <c r="Z359" s="6"/>
      <c r="AA359" s="4" t="s">
        <v>838</v>
      </c>
    </row>
    <row r="360" spans="1:27">
      <c r="A360" s="12">
        <v>100020250</v>
      </c>
      <c r="B360" s="12">
        <v>2</v>
      </c>
      <c r="C360" s="12" t="s">
        <v>658</v>
      </c>
      <c r="D360" s="12"/>
      <c r="E360" s="12"/>
      <c r="F360" s="12"/>
      <c r="G360" s="12"/>
      <c r="H360" s="12">
        <v>100020251</v>
      </c>
      <c r="I360" s="12" t="s">
        <v>839</v>
      </c>
      <c r="J360" s="12"/>
      <c r="K360" s="12"/>
      <c r="L360" s="12" t="s">
        <v>1204</v>
      </c>
      <c r="M360" s="12"/>
      <c r="N360" s="13"/>
      <c r="O360" s="10">
        <v>3134</v>
      </c>
      <c r="P360" s="10"/>
      <c r="Q360" s="8"/>
      <c r="R360" s="6"/>
      <c r="S360" s="6"/>
      <c r="T360" t="b">
        <v>0</v>
      </c>
      <c r="U360" s="6"/>
      <c r="V360" s="6">
        <v>74250</v>
      </c>
      <c r="W360" s="6"/>
      <c r="X360" s="6"/>
      <c r="Y360" s="6"/>
      <c r="Z360" s="6"/>
      <c r="AA360" s="4" t="s">
        <v>840</v>
      </c>
    </row>
    <row r="361" spans="1:27">
      <c r="A361" s="12">
        <v>100020251</v>
      </c>
      <c r="B361" s="12">
        <v>2</v>
      </c>
      <c r="C361" s="12" t="s">
        <v>658</v>
      </c>
      <c r="D361" s="12"/>
      <c r="E361" s="12"/>
      <c r="F361" s="12"/>
      <c r="G361" s="12"/>
      <c r="H361" s="12">
        <v>100020252</v>
      </c>
      <c r="I361" s="12" t="s">
        <v>1214</v>
      </c>
      <c r="J361" s="12"/>
      <c r="K361" s="12"/>
      <c r="L361" s="12" t="s">
        <v>1215</v>
      </c>
      <c r="M361" s="12"/>
      <c r="N361" s="13"/>
      <c r="O361" s="10">
        <v>3210</v>
      </c>
      <c r="P361" s="10"/>
      <c r="Q361" s="8"/>
      <c r="R361" s="6"/>
      <c r="S361" s="6"/>
      <c r="T361" t="b">
        <v>0</v>
      </c>
      <c r="U361" s="6"/>
      <c r="V361" s="6">
        <v>74251</v>
      </c>
      <c r="W361" s="6"/>
      <c r="X361" s="6"/>
      <c r="Y361" s="6"/>
      <c r="Z361" s="6"/>
      <c r="AA361" s="4" t="s">
        <v>1216</v>
      </c>
    </row>
    <row r="362" spans="1:27">
      <c r="A362" s="12">
        <v>100020252</v>
      </c>
      <c r="B362" s="12">
        <v>2</v>
      </c>
      <c r="C362" s="12" t="s">
        <v>658</v>
      </c>
      <c r="D362" s="12"/>
      <c r="E362" s="12"/>
      <c r="F362" s="12"/>
      <c r="G362" s="12"/>
      <c r="H362" s="12">
        <v>100020253</v>
      </c>
      <c r="I362" s="12" t="s">
        <v>843</v>
      </c>
      <c r="J362" s="12"/>
      <c r="K362" s="12"/>
      <c r="L362" s="12" t="s">
        <v>1217</v>
      </c>
      <c r="M362" s="12"/>
      <c r="N362" s="13"/>
      <c r="O362" s="10">
        <v>3021</v>
      </c>
      <c r="P362" s="10"/>
      <c r="Q362" s="8"/>
      <c r="R362" s="6"/>
      <c r="S362" s="6"/>
      <c r="T362" t="b">
        <v>0</v>
      </c>
      <c r="U362" s="6"/>
      <c r="V362" s="6">
        <v>74252</v>
      </c>
      <c r="W362" s="6"/>
      <c r="X362" s="6"/>
      <c r="Y362" s="6"/>
      <c r="Z362" s="6"/>
      <c r="AA362" s="4" t="s">
        <v>845</v>
      </c>
    </row>
    <row r="363" spans="1:27">
      <c r="A363" s="12">
        <v>100020253</v>
      </c>
      <c r="B363" s="12">
        <v>2</v>
      </c>
      <c r="C363" s="12" t="s">
        <v>658</v>
      </c>
      <c r="D363" s="12"/>
      <c r="E363" s="12"/>
      <c r="F363" s="12"/>
      <c r="G363" s="12"/>
      <c r="H363" s="12">
        <v>100020254</v>
      </c>
      <c r="I363" s="12" t="s">
        <v>1218</v>
      </c>
      <c r="J363" s="12"/>
      <c r="K363" s="12"/>
      <c r="L363" s="12" t="s">
        <v>1198</v>
      </c>
      <c r="M363" s="12"/>
      <c r="N363" s="13"/>
      <c r="O363" s="10">
        <v>3210</v>
      </c>
      <c r="P363" s="10"/>
      <c r="Q363" s="8"/>
      <c r="R363" s="6"/>
      <c r="S363" s="6"/>
      <c r="T363" t="b">
        <v>0</v>
      </c>
      <c r="U363" s="6"/>
      <c r="V363" s="6">
        <v>74253</v>
      </c>
      <c r="W363" s="6"/>
      <c r="X363" s="6"/>
      <c r="Y363" s="6"/>
      <c r="Z363" s="6"/>
      <c r="AA363" s="4" t="s">
        <v>1219</v>
      </c>
    </row>
    <row r="364" spans="1:27">
      <c r="A364" s="12">
        <v>100020254</v>
      </c>
      <c r="B364" s="12">
        <v>2</v>
      </c>
      <c r="C364" s="12" t="s">
        <v>658</v>
      </c>
      <c r="D364" s="12"/>
      <c r="E364" s="12"/>
      <c r="F364" s="12"/>
      <c r="G364" s="12"/>
      <c r="H364" s="12">
        <v>100020255</v>
      </c>
      <c r="I364" s="12" t="s">
        <v>1220</v>
      </c>
      <c r="J364" s="12"/>
      <c r="K364" s="12"/>
      <c r="L364" s="12" t="s">
        <v>1217</v>
      </c>
      <c r="M364" s="12"/>
      <c r="N364" s="13"/>
      <c r="O364" s="10">
        <v>3210</v>
      </c>
      <c r="P364" s="10"/>
      <c r="Q364" s="8"/>
      <c r="R364" s="6"/>
      <c r="S364" s="6"/>
      <c r="T364" t="b">
        <v>0</v>
      </c>
      <c r="U364" s="6"/>
      <c r="V364" s="6">
        <v>74254</v>
      </c>
      <c r="W364" s="6"/>
      <c r="X364" s="6"/>
      <c r="Y364" s="6"/>
      <c r="Z364" s="6"/>
      <c r="AA364" s="4" t="s">
        <v>1221</v>
      </c>
    </row>
    <row r="365" spans="1:27">
      <c r="A365" s="12">
        <v>100020255</v>
      </c>
      <c r="B365" s="12">
        <v>2</v>
      </c>
      <c r="C365" s="12" t="s">
        <v>658</v>
      </c>
      <c r="D365" s="12"/>
      <c r="E365" s="12"/>
      <c r="F365" s="12"/>
      <c r="G365" s="12"/>
      <c r="H365" s="12">
        <v>100020256</v>
      </c>
      <c r="I365" s="12" t="s">
        <v>1222</v>
      </c>
      <c r="J365" s="12"/>
      <c r="K365" s="12"/>
      <c r="L365" s="12" t="s">
        <v>1212</v>
      </c>
      <c r="M365" s="12"/>
      <c r="N365" s="13"/>
      <c r="O365" s="10">
        <v>3210</v>
      </c>
      <c r="P365" s="10"/>
      <c r="Q365" s="8"/>
      <c r="R365" s="6"/>
      <c r="S365" s="6"/>
      <c r="T365" t="b">
        <v>0</v>
      </c>
      <c r="U365" s="6"/>
      <c r="V365" s="6">
        <v>74255</v>
      </c>
      <c r="W365" s="6"/>
      <c r="X365" s="6"/>
      <c r="Y365" s="6"/>
      <c r="Z365" s="6"/>
      <c r="AA365" s="4" t="s">
        <v>1223</v>
      </c>
    </row>
    <row r="366" spans="1:27">
      <c r="A366" s="12">
        <v>100020256</v>
      </c>
      <c r="B366" s="12">
        <v>2</v>
      </c>
      <c r="C366" s="12" t="s">
        <v>658</v>
      </c>
      <c r="D366" s="12"/>
      <c r="E366" s="12"/>
      <c r="F366" s="12"/>
      <c r="G366" s="12"/>
      <c r="H366" s="12">
        <v>100020257</v>
      </c>
      <c r="I366" s="12" t="s">
        <v>854</v>
      </c>
      <c r="J366" s="12"/>
      <c r="K366" s="12"/>
      <c r="L366" s="12" t="s">
        <v>1224</v>
      </c>
      <c r="M366" s="12"/>
      <c r="N366" s="13"/>
      <c r="O366" s="10">
        <v>4041</v>
      </c>
      <c r="P366" s="10"/>
      <c r="Q366" s="8"/>
      <c r="R366" s="6"/>
      <c r="S366" s="6"/>
      <c r="T366" t="b">
        <v>0</v>
      </c>
      <c r="U366" s="6"/>
      <c r="V366" s="6">
        <v>74256</v>
      </c>
      <c r="W366" s="6"/>
      <c r="X366" s="6"/>
      <c r="Y366" s="6"/>
      <c r="Z366" s="6"/>
      <c r="AA366" s="4" t="s">
        <v>856</v>
      </c>
    </row>
    <row r="367" spans="1:27">
      <c r="A367" s="12">
        <v>100020257</v>
      </c>
      <c r="B367" s="12">
        <v>2</v>
      </c>
      <c r="C367" s="12" t="s">
        <v>658</v>
      </c>
      <c r="D367" s="12"/>
      <c r="E367" s="12"/>
      <c r="F367" s="12"/>
      <c r="G367" s="12"/>
      <c r="H367" s="12">
        <v>100020258</v>
      </c>
      <c r="I367" s="12" t="s">
        <v>784</v>
      </c>
      <c r="J367" s="12"/>
      <c r="K367" s="12"/>
      <c r="L367" s="12" t="s">
        <v>1225</v>
      </c>
      <c r="M367" s="12"/>
      <c r="N367" s="13"/>
      <c r="O367" s="10">
        <v>4003</v>
      </c>
      <c r="P367" s="10"/>
      <c r="Q367" s="8"/>
      <c r="R367" s="6"/>
      <c r="S367" s="6"/>
      <c r="T367" t="b">
        <v>0</v>
      </c>
      <c r="U367" s="6"/>
      <c r="V367" s="6">
        <v>74257</v>
      </c>
      <c r="W367" s="6"/>
      <c r="X367" s="6"/>
      <c r="Y367" s="6"/>
      <c r="Z367" s="6">
        <v>-1</v>
      </c>
      <c r="AA367" s="4" t="s">
        <v>786</v>
      </c>
    </row>
    <row r="368" spans="1:27">
      <c r="A368" s="12">
        <v>100020258</v>
      </c>
      <c r="B368" s="12">
        <v>2</v>
      </c>
      <c r="C368" s="12" t="s">
        <v>658</v>
      </c>
      <c r="D368" s="12"/>
      <c r="E368" s="12"/>
      <c r="F368" s="12"/>
      <c r="G368" s="12"/>
      <c r="H368" s="12">
        <v>100020259</v>
      </c>
      <c r="I368" s="12" t="s">
        <v>787</v>
      </c>
      <c r="J368" s="12"/>
      <c r="K368" s="12"/>
      <c r="L368" s="12" t="s">
        <v>1226</v>
      </c>
      <c r="M368" s="12"/>
      <c r="N368" s="13"/>
      <c r="O368" s="10">
        <v>4004</v>
      </c>
      <c r="P368" s="10"/>
      <c r="Q368" s="8"/>
      <c r="R368" s="6"/>
      <c r="S368" s="6"/>
      <c r="T368" t="b">
        <v>0</v>
      </c>
      <c r="U368" s="6"/>
      <c r="V368" s="6">
        <v>74258</v>
      </c>
      <c r="W368" s="6"/>
      <c r="X368" s="6"/>
      <c r="Y368" s="6"/>
      <c r="Z368" s="6"/>
      <c r="AA368" s="4" t="s">
        <v>788</v>
      </c>
    </row>
    <row r="369" spans="1:27">
      <c r="A369" s="12">
        <v>100020259</v>
      </c>
      <c r="B369" s="12">
        <v>2</v>
      </c>
      <c r="C369" s="12" t="s">
        <v>658</v>
      </c>
      <c r="D369" s="12"/>
      <c r="E369" s="12"/>
      <c r="F369" s="12"/>
      <c r="G369" s="12"/>
      <c r="H369" s="12">
        <v>100020260</v>
      </c>
      <c r="I369" s="12" t="s">
        <v>1227</v>
      </c>
      <c r="J369" s="12"/>
      <c r="K369" s="12"/>
      <c r="L369" s="12" t="s">
        <v>1217</v>
      </c>
      <c r="M369" s="12"/>
      <c r="N369" s="13"/>
      <c r="O369" s="10">
        <v>3210</v>
      </c>
      <c r="P369" s="10"/>
      <c r="Q369" s="8"/>
      <c r="R369" s="6"/>
      <c r="S369" s="6"/>
      <c r="T369" t="b">
        <v>0</v>
      </c>
      <c r="U369" s="6"/>
      <c r="V369" s="6">
        <v>74259</v>
      </c>
      <c r="W369" s="6"/>
      <c r="X369" s="6"/>
      <c r="Y369" s="6"/>
      <c r="Z369" s="6"/>
      <c r="AA369" s="4" t="s">
        <v>1228</v>
      </c>
    </row>
    <row r="370" spans="1:27">
      <c r="A370" s="12">
        <v>100020260</v>
      </c>
      <c r="B370" s="12">
        <v>2</v>
      </c>
      <c r="C370" s="12" t="s">
        <v>658</v>
      </c>
      <c r="D370" s="12"/>
      <c r="E370" s="12"/>
      <c r="F370" s="12"/>
      <c r="G370" s="12"/>
      <c r="H370" s="12">
        <v>100020261</v>
      </c>
      <c r="I370" s="12" t="s">
        <v>1229</v>
      </c>
      <c r="J370" s="12"/>
      <c r="K370" s="12"/>
      <c r="L370" s="12" t="s">
        <v>1212</v>
      </c>
      <c r="M370" s="12"/>
      <c r="N370" s="13"/>
      <c r="O370" s="10">
        <v>3210</v>
      </c>
      <c r="P370" s="10"/>
      <c r="Q370" s="8"/>
      <c r="R370" s="6"/>
      <c r="S370" s="6"/>
      <c r="T370" t="b">
        <v>0</v>
      </c>
      <c r="U370" s="6"/>
      <c r="V370" s="6">
        <v>74260</v>
      </c>
      <c r="W370" s="6"/>
      <c r="X370" s="6"/>
      <c r="Y370" s="6"/>
      <c r="Z370" s="6"/>
      <c r="AA370" s="4" t="s">
        <v>1230</v>
      </c>
    </row>
    <row r="371" spans="1:27">
      <c r="A371" s="12">
        <v>100020261</v>
      </c>
      <c r="B371" s="12">
        <v>2</v>
      </c>
      <c r="C371" s="12" t="s">
        <v>658</v>
      </c>
      <c r="D371" s="12"/>
      <c r="E371" s="12"/>
      <c r="F371" s="12"/>
      <c r="G371" s="12"/>
      <c r="H371" s="12">
        <v>100020262</v>
      </c>
      <c r="I371" s="12" t="s">
        <v>1231</v>
      </c>
      <c r="J371" s="12"/>
      <c r="K371" s="12"/>
      <c r="L371" s="12" t="s">
        <v>1232</v>
      </c>
      <c r="M371" s="12"/>
      <c r="N371" s="13"/>
      <c r="O371" s="10">
        <v>3210</v>
      </c>
      <c r="P371" s="10"/>
      <c r="Q371" s="8"/>
      <c r="R371" s="6"/>
      <c r="S371" s="6"/>
      <c r="T371" t="b">
        <v>0</v>
      </c>
      <c r="U371" s="6"/>
      <c r="V371" s="6">
        <v>74261</v>
      </c>
      <c r="W371" s="6"/>
      <c r="X371" s="6"/>
      <c r="Y371" s="6"/>
      <c r="Z371" s="6">
        <v>102100</v>
      </c>
      <c r="AA371" s="4" t="s">
        <v>1233</v>
      </c>
    </row>
    <row r="372" spans="1:27">
      <c r="A372" s="12">
        <v>100020262</v>
      </c>
      <c r="B372" s="12">
        <v>2</v>
      </c>
      <c r="C372" s="12" t="s">
        <v>658</v>
      </c>
      <c r="D372" s="12"/>
      <c r="E372" s="12"/>
      <c r="F372" s="12"/>
      <c r="G372" s="12"/>
      <c r="H372" s="12">
        <v>100020263</v>
      </c>
      <c r="I372" s="12" t="s">
        <v>1234</v>
      </c>
      <c r="J372" s="12"/>
      <c r="K372" s="12"/>
      <c r="L372" s="12" t="s">
        <v>1198</v>
      </c>
      <c r="M372" s="12"/>
      <c r="N372" s="13"/>
      <c r="O372" s="10">
        <v>3210</v>
      </c>
      <c r="P372" s="10"/>
      <c r="Q372" s="8"/>
      <c r="R372" s="6"/>
      <c r="S372" s="6"/>
      <c r="T372" t="b">
        <v>0</v>
      </c>
      <c r="U372" s="6"/>
      <c r="V372" s="6">
        <v>74262</v>
      </c>
      <c r="W372" s="6"/>
      <c r="X372" s="6"/>
      <c r="Y372" s="6"/>
      <c r="Z372" s="6"/>
      <c r="AA372" s="4" t="s">
        <v>1235</v>
      </c>
    </row>
    <row r="373" spans="1:27">
      <c r="A373" s="12">
        <v>100020263</v>
      </c>
      <c r="B373" s="12">
        <v>2</v>
      </c>
      <c r="C373" s="12" t="s">
        <v>658</v>
      </c>
      <c r="D373" s="12"/>
      <c r="E373" s="12"/>
      <c r="F373" s="12"/>
      <c r="G373" s="12"/>
      <c r="H373" s="12">
        <v>100020264</v>
      </c>
      <c r="I373" s="12" t="s">
        <v>868</v>
      </c>
      <c r="J373" s="12"/>
      <c r="K373" s="12"/>
      <c r="L373" s="12" t="s">
        <v>1224</v>
      </c>
      <c r="M373" s="12"/>
      <c r="N373" s="13"/>
      <c r="O373" s="10">
        <v>4042</v>
      </c>
      <c r="P373" s="10"/>
      <c r="Q373" s="8"/>
      <c r="R373" s="6"/>
      <c r="S373" s="6"/>
      <c r="T373" t="b">
        <v>0</v>
      </c>
      <c r="U373" s="6"/>
      <c r="V373" s="6">
        <v>74263</v>
      </c>
      <c r="W373" s="6"/>
      <c r="X373" s="6"/>
      <c r="Y373" s="6"/>
      <c r="Z373" s="6"/>
      <c r="AA373" s="4" t="s">
        <v>870</v>
      </c>
    </row>
    <row r="374" spans="1:27">
      <c r="A374" s="12">
        <v>100020264</v>
      </c>
      <c r="B374" s="12">
        <v>2</v>
      </c>
      <c r="C374" s="12" t="s">
        <v>658</v>
      </c>
      <c r="D374" s="12"/>
      <c r="E374" s="12"/>
      <c r="F374" s="12"/>
      <c r="G374" s="12"/>
      <c r="H374" s="12">
        <v>100020265</v>
      </c>
      <c r="I374" s="12" t="s">
        <v>871</v>
      </c>
      <c r="J374" s="12"/>
      <c r="K374" s="12"/>
      <c r="L374" s="12" t="s">
        <v>1236</v>
      </c>
      <c r="M374" s="12"/>
      <c r="N374" s="13"/>
      <c r="O374" s="10">
        <v>4043</v>
      </c>
      <c r="P374" s="10"/>
      <c r="Q374" s="8"/>
      <c r="R374" s="6"/>
      <c r="S374" s="6"/>
      <c r="T374" t="b">
        <v>0</v>
      </c>
      <c r="U374" s="6"/>
      <c r="V374" s="6">
        <v>74264</v>
      </c>
      <c r="W374" s="6"/>
      <c r="X374" s="6"/>
      <c r="Y374" s="6"/>
      <c r="Z374" s="6"/>
      <c r="AA374" s="4" t="s">
        <v>873</v>
      </c>
    </row>
    <row r="375" spans="1:27">
      <c r="A375" s="12">
        <v>100020265</v>
      </c>
      <c r="B375" s="12">
        <v>2</v>
      </c>
      <c r="C375" s="12" t="s">
        <v>658</v>
      </c>
      <c r="D375" s="12"/>
      <c r="E375" s="12"/>
      <c r="F375" s="12"/>
      <c r="G375" s="12"/>
      <c r="H375" s="12">
        <v>100020266</v>
      </c>
      <c r="I375" s="12" t="s">
        <v>1237</v>
      </c>
      <c r="J375" s="12"/>
      <c r="K375" s="12"/>
      <c r="L375" s="12" t="s">
        <v>1217</v>
      </c>
      <c r="M375" s="12"/>
      <c r="N375" s="13"/>
      <c r="O375" s="10">
        <v>3210</v>
      </c>
      <c r="P375" s="10"/>
      <c r="Q375" s="8"/>
      <c r="R375" s="6"/>
      <c r="S375" s="6"/>
      <c r="T375" t="b">
        <v>0</v>
      </c>
      <c r="U375" s="6"/>
      <c r="V375" s="6">
        <v>74265</v>
      </c>
      <c r="W375" s="6"/>
      <c r="X375" s="6"/>
      <c r="Y375" s="6"/>
      <c r="Z375" s="6"/>
      <c r="AA375" s="4" t="s">
        <v>1238</v>
      </c>
    </row>
    <row r="376" spans="1:27">
      <c r="A376" s="12">
        <v>100020266</v>
      </c>
      <c r="B376" s="12">
        <v>2</v>
      </c>
      <c r="C376" s="12" t="s">
        <v>658</v>
      </c>
      <c r="D376" s="12"/>
      <c r="E376" s="12"/>
      <c r="F376" s="12"/>
      <c r="G376" s="12"/>
      <c r="H376" s="12">
        <v>100020267</v>
      </c>
      <c r="I376" s="12" t="s">
        <v>1239</v>
      </c>
      <c r="J376" s="12"/>
      <c r="K376" s="12"/>
      <c r="L376" s="12" t="s">
        <v>1240</v>
      </c>
      <c r="M376" s="12"/>
      <c r="N376" s="13"/>
      <c r="O376" s="10">
        <v>3210</v>
      </c>
      <c r="P376" s="10"/>
      <c r="Q376" s="8"/>
      <c r="R376" s="6"/>
      <c r="S376" s="6"/>
      <c r="T376" t="b">
        <v>0</v>
      </c>
      <c r="U376" s="6"/>
      <c r="V376" s="6">
        <v>74266</v>
      </c>
      <c r="W376" s="6"/>
      <c r="X376" s="6"/>
      <c r="Y376" s="6"/>
      <c r="Z376" s="6"/>
      <c r="AA376" s="4" t="s">
        <v>1241</v>
      </c>
    </row>
    <row r="377" spans="1:27">
      <c r="A377" s="12">
        <v>100020267</v>
      </c>
      <c r="B377" s="12">
        <v>2</v>
      </c>
      <c r="C377" s="12" t="s">
        <v>658</v>
      </c>
      <c r="D377" s="12"/>
      <c r="E377" s="12"/>
      <c r="F377" s="12"/>
      <c r="G377" s="12"/>
      <c r="H377" s="12">
        <v>100020268</v>
      </c>
      <c r="I377" s="12" t="s">
        <v>1242</v>
      </c>
      <c r="J377" s="12"/>
      <c r="K377" s="12"/>
      <c r="L377" s="12" t="s">
        <v>1243</v>
      </c>
      <c r="M377" s="12"/>
      <c r="N377" s="13"/>
      <c r="O377" s="10">
        <v>3409</v>
      </c>
      <c r="P377" s="10"/>
      <c r="Q377" s="8"/>
      <c r="R377" s="6"/>
      <c r="S377" s="6"/>
      <c r="T377" t="b">
        <v>0</v>
      </c>
      <c r="U377" s="6"/>
      <c r="V377" s="6">
        <v>74267</v>
      </c>
      <c r="W377" s="6"/>
      <c r="X377" s="6"/>
      <c r="Y377" s="6"/>
      <c r="Z377" s="6"/>
      <c r="AA377" s="4" t="s">
        <v>1244</v>
      </c>
    </row>
    <row r="378" spans="1:27">
      <c r="A378" s="12">
        <v>100020268</v>
      </c>
      <c r="B378" s="12">
        <v>2</v>
      </c>
      <c r="C378" s="12" t="s">
        <v>658</v>
      </c>
      <c r="D378" s="12"/>
      <c r="E378" s="12"/>
      <c r="F378" s="12"/>
      <c r="G378" s="12"/>
      <c r="H378" s="12">
        <v>100020269</v>
      </c>
      <c r="I378" s="12" t="s">
        <v>1245</v>
      </c>
      <c r="J378" s="12"/>
      <c r="K378" s="12"/>
      <c r="L378" s="12" t="s">
        <v>1246</v>
      </c>
      <c r="M378" s="12"/>
      <c r="N378" s="13"/>
      <c r="O378" s="10">
        <v>3209</v>
      </c>
      <c r="P378" s="10"/>
      <c r="Q378" s="8"/>
      <c r="R378" s="6"/>
      <c r="S378" s="6"/>
      <c r="T378" t="b">
        <v>0</v>
      </c>
      <c r="U378" s="6"/>
      <c r="V378" s="6">
        <v>74268</v>
      </c>
      <c r="W378" s="6"/>
      <c r="X378" s="6"/>
      <c r="Y378" s="6"/>
      <c r="Z378" s="6"/>
      <c r="AA378" s="4" t="s">
        <v>1247</v>
      </c>
    </row>
    <row r="379" spans="1:27">
      <c r="A379" s="12">
        <v>100020269</v>
      </c>
      <c r="B379" s="12">
        <v>2</v>
      </c>
      <c r="C379" s="12" t="s">
        <v>658</v>
      </c>
      <c r="D379" s="12"/>
      <c r="E379" s="12"/>
      <c r="F379" s="12"/>
      <c r="G379" s="12"/>
      <c r="H379" s="12">
        <v>100020270</v>
      </c>
      <c r="I379" s="12" t="s">
        <v>1248</v>
      </c>
      <c r="J379" s="12"/>
      <c r="K379" s="12"/>
      <c r="L379" s="12" t="s">
        <v>1249</v>
      </c>
      <c r="M379" s="12"/>
      <c r="N379" s="13"/>
      <c r="O379" s="10">
        <v>3209</v>
      </c>
      <c r="P379" s="10"/>
      <c r="Q379" s="8"/>
      <c r="R379" s="6"/>
      <c r="S379" s="6"/>
      <c r="T379" t="b">
        <v>0</v>
      </c>
      <c r="U379" s="6"/>
      <c r="V379" s="6">
        <v>74269</v>
      </c>
      <c r="W379" s="6"/>
      <c r="X379" s="6"/>
      <c r="Y379" s="6"/>
      <c r="Z379" s="6"/>
      <c r="AA379" s="4" t="s">
        <v>1250</v>
      </c>
    </row>
    <row r="380" spans="1:27">
      <c r="A380" s="12">
        <v>100020270</v>
      </c>
      <c r="B380" s="12">
        <v>2</v>
      </c>
      <c r="C380" s="12" t="s">
        <v>658</v>
      </c>
      <c r="D380" s="12"/>
      <c r="E380" s="12"/>
      <c r="F380" s="12"/>
      <c r="G380" s="12"/>
      <c r="H380" s="12">
        <v>100020271</v>
      </c>
      <c r="I380" s="12" t="s">
        <v>1251</v>
      </c>
      <c r="J380" s="12"/>
      <c r="K380" s="12"/>
      <c r="L380" s="12" t="s">
        <v>1252</v>
      </c>
      <c r="M380" s="12"/>
      <c r="N380" s="13"/>
      <c r="O380" s="10">
        <v>3209</v>
      </c>
      <c r="P380" s="10"/>
      <c r="Q380" s="8"/>
      <c r="R380" s="6"/>
      <c r="S380" s="6"/>
      <c r="T380" t="b">
        <v>0</v>
      </c>
      <c r="U380" s="6"/>
      <c r="V380" s="6">
        <v>74270</v>
      </c>
      <c r="W380" s="6"/>
      <c r="X380" s="6"/>
      <c r="Y380" s="6"/>
      <c r="Z380" s="6">
        <v>102200</v>
      </c>
      <c r="AA380" s="4" t="s">
        <v>1253</v>
      </c>
    </row>
    <row r="381" spans="1:27">
      <c r="A381" s="12">
        <v>100020271</v>
      </c>
      <c r="B381" s="12">
        <v>2</v>
      </c>
      <c r="C381" s="12" t="s">
        <v>658</v>
      </c>
      <c r="D381" s="12"/>
      <c r="E381" s="12"/>
      <c r="F381" s="12"/>
      <c r="G381" s="12"/>
      <c r="H381" s="12">
        <v>100020272</v>
      </c>
      <c r="I381" s="12" t="s">
        <v>1254</v>
      </c>
      <c r="J381" s="12"/>
      <c r="K381" s="12"/>
      <c r="L381" s="12" t="s">
        <v>1255</v>
      </c>
      <c r="M381" s="12"/>
      <c r="N381" s="13"/>
      <c r="O381" s="10">
        <v>3209</v>
      </c>
      <c r="P381" s="10"/>
      <c r="Q381" s="8"/>
      <c r="R381" s="6"/>
      <c r="S381" s="6"/>
      <c r="T381" t="b">
        <v>0</v>
      </c>
      <c r="U381" s="6"/>
      <c r="V381" s="6">
        <v>74271</v>
      </c>
      <c r="W381" s="6"/>
      <c r="X381" s="6"/>
      <c r="Y381" s="6"/>
      <c r="Z381" s="6"/>
      <c r="AA381" s="4" t="s">
        <v>1256</v>
      </c>
    </row>
    <row r="382" spans="1:27">
      <c r="A382" s="12">
        <v>100020272</v>
      </c>
      <c r="B382" s="12">
        <v>2</v>
      </c>
      <c r="C382" s="12" t="s">
        <v>658</v>
      </c>
      <c r="D382" s="12"/>
      <c r="E382" s="12"/>
      <c r="F382" s="12"/>
      <c r="G382" s="12"/>
      <c r="H382" s="12">
        <v>100020273</v>
      </c>
      <c r="I382" s="12" t="s">
        <v>836</v>
      </c>
      <c r="J382" s="12"/>
      <c r="K382" s="12"/>
      <c r="L382" s="12" t="s">
        <v>1246</v>
      </c>
      <c r="M382" s="12"/>
      <c r="N382" s="13"/>
      <c r="O382" s="10">
        <v>4044</v>
      </c>
      <c r="P382" s="10"/>
      <c r="Q382" s="8"/>
      <c r="R382" s="6"/>
      <c r="S382" s="6"/>
      <c r="T382" t="b">
        <v>0</v>
      </c>
      <c r="U382" s="6"/>
      <c r="V382" s="6">
        <v>74272</v>
      </c>
      <c r="W382" s="6"/>
      <c r="X382" s="6"/>
      <c r="Y382" s="6"/>
      <c r="Z382" s="6"/>
      <c r="AA382" s="4" t="s">
        <v>838</v>
      </c>
    </row>
    <row r="383" spans="1:27">
      <c r="A383" s="12">
        <v>100020273</v>
      </c>
      <c r="B383" s="12">
        <v>2</v>
      </c>
      <c r="C383" s="12" t="s">
        <v>658</v>
      </c>
      <c r="D383" s="12"/>
      <c r="E383" s="12"/>
      <c r="F383" s="12"/>
      <c r="G383" s="12"/>
      <c r="H383" s="12">
        <v>100020274</v>
      </c>
      <c r="I383" s="12" t="s">
        <v>839</v>
      </c>
      <c r="J383" s="12"/>
      <c r="K383" s="12"/>
      <c r="L383" s="12" t="s">
        <v>1257</v>
      </c>
      <c r="M383" s="12"/>
      <c r="N383" s="13"/>
      <c r="O383" s="10">
        <v>3134</v>
      </c>
      <c r="P383" s="10"/>
      <c r="Q383" s="8"/>
      <c r="R383" s="6"/>
      <c r="S383" s="6"/>
      <c r="T383" t="b">
        <v>0</v>
      </c>
      <c r="U383" s="6"/>
      <c r="V383" s="6">
        <v>74273</v>
      </c>
      <c r="W383" s="6"/>
      <c r="X383" s="6"/>
      <c r="Y383" s="6"/>
      <c r="Z383" s="6"/>
      <c r="AA383" s="4" t="s">
        <v>840</v>
      </c>
    </row>
    <row r="384" spans="1:27">
      <c r="A384" s="12">
        <v>100020274</v>
      </c>
      <c r="B384" s="12">
        <v>2</v>
      </c>
      <c r="C384" s="12" t="s">
        <v>658</v>
      </c>
      <c r="D384" s="12"/>
      <c r="E384" s="12"/>
      <c r="F384" s="12"/>
      <c r="G384" s="12"/>
      <c r="H384" s="12">
        <v>100020275</v>
      </c>
      <c r="I384" s="12" t="s">
        <v>1258</v>
      </c>
      <c r="J384" s="12"/>
      <c r="K384" s="12"/>
      <c r="L384" s="12" t="s">
        <v>1259</v>
      </c>
      <c r="M384" s="12"/>
      <c r="N384" s="13"/>
      <c r="O384" s="10">
        <v>3209</v>
      </c>
      <c r="P384" s="10"/>
      <c r="Q384" s="8"/>
      <c r="R384" s="6"/>
      <c r="S384" s="6"/>
      <c r="T384" t="b">
        <v>0</v>
      </c>
      <c r="U384" s="6"/>
      <c r="V384" s="6">
        <v>74274</v>
      </c>
      <c r="W384" s="6"/>
      <c r="X384" s="6"/>
      <c r="Y384" s="6"/>
      <c r="Z384" s="6"/>
      <c r="AA384" s="4" t="s">
        <v>1260</v>
      </c>
    </row>
    <row r="385" spans="1:27">
      <c r="A385" s="12">
        <v>100020275</v>
      </c>
      <c r="B385" s="12">
        <v>2</v>
      </c>
      <c r="C385" s="12" t="s">
        <v>658</v>
      </c>
      <c r="D385" s="12"/>
      <c r="E385" s="12"/>
      <c r="F385" s="12"/>
      <c r="G385" s="12"/>
      <c r="H385" s="12">
        <v>100020276</v>
      </c>
      <c r="I385" s="12" t="s">
        <v>843</v>
      </c>
      <c r="J385" s="12"/>
      <c r="K385" s="12"/>
      <c r="L385" s="12" t="s">
        <v>1249</v>
      </c>
      <c r="M385" s="12"/>
      <c r="N385" s="13"/>
      <c r="O385" s="10">
        <v>3021</v>
      </c>
      <c r="P385" s="10"/>
      <c r="Q385" s="8"/>
      <c r="R385" s="6"/>
      <c r="S385" s="6"/>
      <c r="T385" t="b">
        <v>0</v>
      </c>
      <c r="U385" s="6"/>
      <c r="V385" s="6">
        <v>74275</v>
      </c>
      <c r="W385" s="6"/>
      <c r="X385" s="6"/>
      <c r="Y385" s="6"/>
      <c r="Z385" s="6"/>
      <c r="AA385" s="4" t="s">
        <v>845</v>
      </c>
    </row>
    <row r="386" spans="1:27">
      <c r="A386" s="12">
        <v>100020276</v>
      </c>
      <c r="B386" s="12">
        <v>2</v>
      </c>
      <c r="C386" s="12" t="s">
        <v>658</v>
      </c>
      <c r="D386" s="12"/>
      <c r="E386" s="12"/>
      <c r="F386" s="12"/>
      <c r="G386" s="12"/>
      <c r="H386" s="12">
        <v>100020277</v>
      </c>
      <c r="I386" s="12" t="s">
        <v>1261</v>
      </c>
      <c r="J386" s="12"/>
      <c r="K386" s="12"/>
      <c r="L386" s="12" t="s">
        <v>1240</v>
      </c>
      <c r="M386" s="12"/>
      <c r="N386" s="13"/>
      <c r="O386" s="10">
        <v>3209</v>
      </c>
      <c r="P386" s="10"/>
      <c r="Q386" s="8"/>
      <c r="R386" s="6"/>
      <c r="S386" s="6"/>
      <c r="T386" t="b">
        <v>0</v>
      </c>
      <c r="U386" s="6"/>
      <c r="V386" s="6">
        <v>74276</v>
      </c>
      <c r="W386" s="6"/>
      <c r="X386" s="6"/>
      <c r="Y386" s="6"/>
      <c r="Z386" s="6"/>
      <c r="AA386" s="4" t="s">
        <v>1262</v>
      </c>
    </row>
    <row r="387" spans="1:27">
      <c r="A387" s="12">
        <v>100020277</v>
      </c>
      <c r="B387" s="12">
        <v>2</v>
      </c>
      <c r="C387" s="12" t="s">
        <v>658</v>
      </c>
      <c r="D387" s="12"/>
      <c r="E387" s="12"/>
      <c r="F387" s="12"/>
      <c r="G387" s="12"/>
      <c r="H387" s="12">
        <v>100020278</v>
      </c>
      <c r="I387" s="12" t="s">
        <v>1263</v>
      </c>
      <c r="J387" s="12"/>
      <c r="K387" s="12"/>
      <c r="L387" s="12" t="s">
        <v>1264</v>
      </c>
      <c r="M387" s="12"/>
      <c r="N387" s="13"/>
      <c r="O387" s="10">
        <v>3209</v>
      </c>
      <c r="P387" s="10"/>
      <c r="Q387" s="8"/>
      <c r="R387" s="6"/>
      <c r="S387" s="6"/>
      <c r="T387" t="b">
        <v>0</v>
      </c>
      <c r="U387" s="6"/>
      <c r="V387" s="6">
        <v>74277</v>
      </c>
      <c r="W387" s="6"/>
      <c r="X387" s="6"/>
      <c r="Y387" s="6"/>
      <c r="Z387" s="6"/>
      <c r="AA387" s="4" t="s">
        <v>1265</v>
      </c>
    </row>
    <row r="388" spans="1:27">
      <c r="A388" s="12">
        <v>100020278</v>
      </c>
      <c r="B388" s="12">
        <v>2</v>
      </c>
      <c r="C388" s="12" t="s">
        <v>658</v>
      </c>
      <c r="D388" s="12"/>
      <c r="E388" s="12"/>
      <c r="F388" s="12"/>
      <c r="G388" s="12"/>
      <c r="H388" s="12">
        <v>100020279</v>
      </c>
      <c r="I388" s="12" t="s">
        <v>1266</v>
      </c>
      <c r="J388" s="12"/>
      <c r="K388" s="12"/>
      <c r="L388" s="12" t="s">
        <v>1259</v>
      </c>
      <c r="M388" s="12"/>
      <c r="N388" s="13"/>
      <c r="O388" s="10">
        <v>3209</v>
      </c>
      <c r="P388" s="10"/>
      <c r="Q388" s="8"/>
      <c r="R388" s="6"/>
      <c r="S388" s="6"/>
      <c r="T388" t="b">
        <v>0</v>
      </c>
      <c r="U388" s="6"/>
      <c r="V388" s="6">
        <v>74278</v>
      </c>
      <c r="W388" s="6"/>
      <c r="X388" s="6"/>
      <c r="Y388" s="6"/>
      <c r="Z388" s="6"/>
      <c r="AA388" s="4" t="s">
        <v>1267</v>
      </c>
    </row>
    <row r="389" spans="1:27">
      <c r="A389" s="12">
        <v>100020279</v>
      </c>
      <c r="B389" s="12">
        <v>2</v>
      </c>
      <c r="C389" s="12" t="s">
        <v>658</v>
      </c>
      <c r="D389" s="12"/>
      <c r="E389" s="12"/>
      <c r="F389" s="12"/>
      <c r="G389" s="12"/>
      <c r="H389" s="12">
        <v>100020280</v>
      </c>
      <c r="I389" s="12" t="s">
        <v>854</v>
      </c>
      <c r="J389" s="12"/>
      <c r="K389" s="12"/>
      <c r="L389" s="12" t="s">
        <v>1249</v>
      </c>
      <c r="M389" s="12"/>
      <c r="N389" s="13"/>
      <c r="O389" s="10">
        <v>4041</v>
      </c>
      <c r="P389" s="10"/>
      <c r="Q389" s="8"/>
      <c r="R389" s="6"/>
      <c r="S389" s="6"/>
      <c r="T389" t="b">
        <v>0</v>
      </c>
      <c r="U389" s="6"/>
      <c r="V389" s="6">
        <v>74279</v>
      </c>
      <c r="W389" s="6"/>
      <c r="X389" s="6"/>
      <c r="Y389" s="6"/>
      <c r="Z389" s="6"/>
      <c r="AA389" s="4" t="s">
        <v>856</v>
      </c>
    </row>
    <row r="390" spans="1:27">
      <c r="A390" s="12">
        <v>100020280</v>
      </c>
      <c r="B390" s="12">
        <v>2</v>
      </c>
      <c r="C390" s="12" t="s">
        <v>658</v>
      </c>
      <c r="D390" s="12"/>
      <c r="E390" s="12"/>
      <c r="F390" s="12"/>
      <c r="G390" s="12"/>
      <c r="H390" s="12">
        <v>100020281</v>
      </c>
      <c r="I390" s="12" t="s">
        <v>784</v>
      </c>
      <c r="J390" s="12"/>
      <c r="K390" s="12"/>
      <c r="L390" s="12" t="s">
        <v>1268</v>
      </c>
      <c r="M390" s="12"/>
      <c r="N390" s="13"/>
      <c r="O390" s="10">
        <v>4003</v>
      </c>
      <c r="P390" s="10"/>
      <c r="Q390" s="8"/>
      <c r="R390" s="6"/>
      <c r="S390" s="6"/>
      <c r="T390" t="b">
        <v>0</v>
      </c>
      <c r="U390" s="6"/>
      <c r="V390" s="6">
        <v>74280</v>
      </c>
      <c r="W390" s="6"/>
      <c r="X390" s="6"/>
      <c r="Y390" s="6"/>
      <c r="Z390" s="6">
        <v>-1</v>
      </c>
      <c r="AA390" s="4" t="s">
        <v>786</v>
      </c>
    </row>
    <row r="391" spans="1:27">
      <c r="A391" s="12">
        <v>100020281</v>
      </c>
      <c r="B391" s="12">
        <v>2</v>
      </c>
      <c r="C391" s="12" t="s">
        <v>658</v>
      </c>
      <c r="D391" s="12"/>
      <c r="E391" s="12"/>
      <c r="F391" s="12"/>
      <c r="G391" s="12"/>
      <c r="H391" s="12">
        <v>100020282</v>
      </c>
      <c r="I391" s="12" t="s">
        <v>787</v>
      </c>
      <c r="J391" s="12"/>
      <c r="K391" s="12"/>
      <c r="L391" s="12" t="s">
        <v>1269</v>
      </c>
      <c r="M391" s="12"/>
      <c r="N391" s="13"/>
      <c r="O391" s="10">
        <v>4004</v>
      </c>
      <c r="P391" s="10"/>
      <c r="Q391" s="8"/>
      <c r="R391" s="6"/>
      <c r="S391" s="6"/>
      <c r="T391" t="b">
        <v>0</v>
      </c>
      <c r="U391" s="6"/>
      <c r="V391" s="6">
        <v>74281</v>
      </c>
      <c r="W391" s="6"/>
      <c r="X391" s="6"/>
      <c r="Y391" s="6"/>
      <c r="Z391" s="6"/>
      <c r="AA391" s="4" t="s">
        <v>788</v>
      </c>
    </row>
    <row r="392" spans="1:27">
      <c r="A392" s="12">
        <v>100020282</v>
      </c>
      <c r="B392" s="12">
        <v>2</v>
      </c>
      <c r="C392" s="12" t="s">
        <v>658</v>
      </c>
      <c r="D392" s="12"/>
      <c r="E392" s="12"/>
      <c r="F392" s="12"/>
      <c r="G392" s="12"/>
      <c r="H392" s="12">
        <v>100020283</v>
      </c>
      <c r="I392" s="12" t="s">
        <v>1270</v>
      </c>
      <c r="J392" s="12"/>
      <c r="K392" s="12"/>
      <c r="L392" s="12" t="s">
        <v>1264</v>
      </c>
      <c r="M392" s="12"/>
      <c r="N392" s="13"/>
      <c r="O392" s="10">
        <v>3209</v>
      </c>
      <c r="P392" s="10"/>
      <c r="Q392" s="8"/>
      <c r="R392" s="6"/>
      <c r="S392" s="6"/>
      <c r="T392" t="b">
        <v>0</v>
      </c>
      <c r="U392" s="6"/>
      <c r="V392" s="6">
        <v>74282</v>
      </c>
      <c r="W392" s="6"/>
      <c r="X392" s="6"/>
      <c r="Y392" s="6"/>
      <c r="Z392" s="6"/>
      <c r="AA392" s="4" t="s">
        <v>1271</v>
      </c>
    </row>
    <row r="393" spans="1:27">
      <c r="A393" s="12">
        <v>100020283</v>
      </c>
      <c r="B393" s="12">
        <v>2</v>
      </c>
      <c r="C393" s="12" t="s">
        <v>658</v>
      </c>
      <c r="D393" s="12"/>
      <c r="E393" s="12"/>
      <c r="F393" s="12"/>
      <c r="G393" s="12"/>
      <c r="H393" s="12">
        <v>100020284</v>
      </c>
      <c r="I393" s="12" t="s">
        <v>1272</v>
      </c>
      <c r="J393" s="12"/>
      <c r="K393" s="12"/>
      <c r="L393" s="12" t="s">
        <v>1259</v>
      </c>
      <c r="M393" s="12"/>
      <c r="N393" s="13"/>
      <c r="O393" s="10">
        <v>3209</v>
      </c>
      <c r="P393" s="10"/>
      <c r="Q393" s="8"/>
      <c r="R393" s="6"/>
      <c r="S393" s="6"/>
      <c r="T393" t="b">
        <v>0</v>
      </c>
      <c r="U393" s="6"/>
      <c r="V393" s="6">
        <v>74283</v>
      </c>
      <c r="W393" s="6"/>
      <c r="X393" s="6"/>
      <c r="Y393" s="6"/>
      <c r="Z393" s="6"/>
      <c r="AA393" s="4" t="s">
        <v>1273</v>
      </c>
    </row>
    <row r="394" spans="1:27">
      <c r="A394" s="12">
        <v>100020284</v>
      </c>
      <c r="B394" s="12">
        <v>2</v>
      </c>
      <c r="C394" s="12" t="s">
        <v>658</v>
      </c>
      <c r="D394" s="12"/>
      <c r="E394" s="12"/>
      <c r="F394" s="12"/>
      <c r="G394" s="12"/>
      <c r="H394" s="12">
        <v>100020285</v>
      </c>
      <c r="I394" s="12" t="s">
        <v>1274</v>
      </c>
      <c r="J394" s="12"/>
      <c r="K394" s="12"/>
      <c r="L394" s="12" t="s">
        <v>1275</v>
      </c>
      <c r="M394" s="12"/>
      <c r="N394" s="13"/>
      <c r="O394" s="10">
        <v>3209</v>
      </c>
      <c r="P394" s="10"/>
      <c r="Q394" s="8"/>
      <c r="R394" s="6"/>
      <c r="S394" s="6"/>
      <c r="T394" t="b">
        <v>0</v>
      </c>
      <c r="U394" s="6"/>
      <c r="V394" s="6">
        <v>74284</v>
      </c>
      <c r="W394" s="6"/>
      <c r="X394" s="6"/>
      <c r="Y394" s="6"/>
      <c r="Z394" s="6">
        <v>102200</v>
      </c>
      <c r="AA394" s="4" t="s">
        <v>1276</v>
      </c>
    </row>
    <row r="395" spans="1:27">
      <c r="A395" s="12">
        <v>100020285</v>
      </c>
      <c r="B395" s="12">
        <v>2</v>
      </c>
      <c r="C395" s="12" t="s">
        <v>658</v>
      </c>
      <c r="D395" s="12"/>
      <c r="E395" s="12"/>
      <c r="F395" s="12"/>
      <c r="G395" s="12"/>
      <c r="H395" s="12">
        <v>100020286</v>
      </c>
      <c r="I395" s="12" t="s">
        <v>1277</v>
      </c>
      <c r="J395" s="12"/>
      <c r="K395" s="12"/>
      <c r="L395" s="12" t="s">
        <v>1240</v>
      </c>
      <c r="M395" s="12"/>
      <c r="N395" s="13"/>
      <c r="O395" s="10">
        <v>3209</v>
      </c>
      <c r="P395" s="10"/>
      <c r="Q395" s="8"/>
      <c r="R395" s="6"/>
      <c r="S395" s="6"/>
      <c r="T395" t="b">
        <v>0</v>
      </c>
      <c r="U395" s="6"/>
      <c r="V395" s="6">
        <v>74285</v>
      </c>
      <c r="W395" s="6"/>
      <c r="X395" s="6"/>
      <c r="Y395" s="6"/>
      <c r="Z395" s="6"/>
      <c r="AA395" s="4" t="s">
        <v>1278</v>
      </c>
    </row>
    <row r="396" spans="1:27">
      <c r="A396" s="12">
        <v>100020286</v>
      </c>
      <c r="B396" s="12">
        <v>2</v>
      </c>
      <c r="C396" s="12" t="s">
        <v>658</v>
      </c>
      <c r="D396" s="12"/>
      <c r="E396" s="12"/>
      <c r="F396" s="12"/>
      <c r="G396" s="12"/>
      <c r="H396" s="12">
        <v>100020287</v>
      </c>
      <c r="I396" s="12" t="s">
        <v>868</v>
      </c>
      <c r="J396" s="12"/>
      <c r="K396" s="12"/>
      <c r="L396" s="12" t="s">
        <v>1279</v>
      </c>
      <c r="M396" s="12"/>
      <c r="N396" s="13"/>
      <c r="O396" s="10">
        <v>4042</v>
      </c>
      <c r="P396" s="10"/>
      <c r="Q396" s="8"/>
      <c r="R396" s="6"/>
      <c r="S396" s="6"/>
      <c r="T396" t="b">
        <v>0</v>
      </c>
      <c r="U396" s="6"/>
      <c r="V396" s="6">
        <v>74286</v>
      </c>
      <c r="W396" s="6"/>
      <c r="X396" s="6"/>
      <c r="Y396" s="6"/>
      <c r="Z396" s="6"/>
      <c r="AA396" s="4" t="s">
        <v>870</v>
      </c>
    </row>
    <row r="397" spans="1:27">
      <c r="A397" s="12">
        <v>100020287</v>
      </c>
      <c r="B397" s="12">
        <v>2</v>
      </c>
      <c r="C397" s="12" t="s">
        <v>658</v>
      </c>
      <c r="D397" s="12"/>
      <c r="E397" s="12"/>
      <c r="F397" s="12"/>
      <c r="G397" s="12"/>
      <c r="H397" s="12">
        <v>100020288</v>
      </c>
      <c r="I397" s="12" t="s">
        <v>871</v>
      </c>
      <c r="J397" s="12"/>
      <c r="K397" s="12"/>
      <c r="L397" s="12" t="s">
        <v>1280</v>
      </c>
      <c r="M397" s="12"/>
      <c r="N397" s="13"/>
      <c r="O397" s="10">
        <v>4043</v>
      </c>
      <c r="P397" s="10"/>
      <c r="Q397" s="8"/>
      <c r="R397" s="6"/>
      <c r="S397" s="6"/>
      <c r="T397" t="b">
        <v>0</v>
      </c>
      <c r="U397" s="6"/>
      <c r="V397" s="6">
        <v>74287</v>
      </c>
      <c r="W397" s="6"/>
      <c r="X397" s="6"/>
      <c r="Y397" s="6"/>
      <c r="Z397" s="6"/>
      <c r="AA397" s="4" t="s">
        <v>873</v>
      </c>
    </row>
    <row r="398" spans="1:27">
      <c r="A398" s="12">
        <v>100020288</v>
      </c>
      <c r="B398" s="12">
        <v>2</v>
      </c>
      <c r="C398" s="12" t="s">
        <v>658</v>
      </c>
      <c r="D398" s="12"/>
      <c r="E398" s="12"/>
      <c r="F398" s="12"/>
      <c r="G398" s="12"/>
      <c r="H398" s="12">
        <v>100020289</v>
      </c>
      <c r="I398" s="12" t="s">
        <v>1281</v>
      </c>
      <c r="J398" s="12"/>
      <c r="K398" s="12"/>
      <c r="L398" s="12" t="s">
        <v>1264</v>
      </c>
      <c r="M398" s="12"/>
      <c r="N398" s="13"/>
      <c r="O398" s="10">
        <v>3209</v>
      </c>
      <c r="P398" s="10"/>
      <c r="Q398" s="8"/>
      <c r="R398" s="6"/>
      <c r="S398" s="6"/>
      <c r="T398" t="b">
        <v>0</v>
      </c>
      <c r="U398" s="6"/>
      <c r="V398" s="6">
        <v>74288</v>
      </c>
      <c r="W398" s="6"/>
      <c r="X398" s="6"/>
      <c r="Y398" s="6"/>
      <c r="Z398" s="6"/>
      <c r="AA398" s="4" t="s">
        <v>1282</v>
      </c>
    </row>
    <row r="399" spans="1:27">
      <c r="A399" s="12">
        <v>100020289</v>
      </c>
      <c r="B399" s="12">
        <v>2</v>
      </c>
      <c r="C399" s="12" t="s">
        <v>658</v>
      </c>
      <c r="D399" s="12"/>
      <c r="E399" s="12"/>
      <c r="F399" s="12"/>
      <c r="G399" s="12"/>
      <c r="H399" s="12">
        <v>100020290</v>
      </c>
      <c r="I399" s="12" t="s">
        <v>1283</v>
      </c>
      <c r="J399" s="12"/>
      <c r="K399" s="12"/>
      <c r="L399" s="12" t="s">
        <v>1284</v>
      </c>
      <c r="M399" s="12"/>
      <c r="N399" s="13"/>
      <c r="O399" s="10">
        <v>3209</v>
      </c>
      <c r="P399" s="10"/>
      <c r="Q399" s="8"/>
      <c r="R399" s="6"/>
      <c r="S399" s="6"/>
      <c r="T399" t="b">
        <v>0</v>
      </c>
      <c r="U399" s="6"/>
      <c r="V399" s="6">
        <v>74289</v>
      </c>
      <c r="W399" s="6"/>
      <c r="X399" s="6"/>
      <c r="Y399" s="6"/>
      <c r="Z399" s="6"/>
      <c r="AA399" s="4" t="s">
        <v>1285</v>
      </c>
    </row>
    <row r="400" spans="1:27">
      <c r="A400" s="12">
        <v>100020290</v>
      </c>
      <c r="B400" s="12">
        <v>2</v>
      </c>
      <c r="C400" s="12" t="s">
        <v>658</v>
      </c>
      <c r="D400" s="12"/>
      <c r="E400" s="12"/>
      <c r="F400" s="12"/>
      <c r="G400" s="12"/>
      <c r="H400" s="12">
        <v>100020291</v>
      </c>
      <c r="I400" s="12" t="s">
        <v>1286</v>
      </c>
      <c r="J400" s="12"/>
      <c r="K400" s="12"/>
      <c r="L400" s="12" t="s">
        <v>1287</v>
      </c>
      <c r="M400" s="12"/>
      <c r="N400" s="13"/>
      <c r="O400" s="10">
        <v>3209</v>
      </c>
      <c r="P400" s="10"/>
      <c r="Q400" s="8"/>
      <c r="R400" s="6"/>
      <c r="S400" s="6"/>
      <c r="T400" t="b">
        <v>0</v>
      </c>
      <c r="U400" s="6"/>
      <c r="V400" s="6">
        <v>74290</v>
      </c>
      <c r="W400" s="6"/>
      <c r="X400" s="6"/>
      <c r="Y400" s="6"/>
      <c r="Z400" s="6">
        <v>-1</v>
      </c>
      <c r="AA400" s="4" t="s">
        <v>1288</v>
      </c>
    </row>
    <row r="401" spans="1:27">
      <c r="A401" s="12">
        <v>100020291</v>
      </c>
      <c r="B401" s="12">
        <v>2</v>
      </c>
      <c r="C401" s="12" t="s">
        <v>658</v>
      </c>
      <c r="D401" s="12"/>
      <c r="E401" s="12"/>
      <c r="F401" s="12"/>
      <c r="G401" s="12"/>
      <c r="H401" s="12">
        <v>100020292</v>
      </c>
      <c r="I401" s="12" t="s">
        <v>1289</v>
      </c>
      <c r="J401" s="12"/>
      <c r="K401" s="12"/>
      <c r="L401" s="12" t="s">
        <v>1290</v>
      </c>
      <c r="M401" s="12"/>
      <c r="N401" s="13"/>
      <c r="O401" s="10">
        <v>3021</v>
      </c>
      <c r="P401" s="10"/>
      <c r="Q401" s="8"/>
      <c r="R401" s="6"/>
      <c r="S401" s="6"/>
      <c r="T401" t="b">
        <v>0</v>
      </c>
      <c r="U401" s="6"/>
      <c r="V401" s="6">
        <v>74291</v>
      </c>
      <c r="W401" s="6"/>
      <c r="X401" s="6"/>
      <c r="Y401" s="6"/>
      <c r="Z401" s="6"/>
      <c r="AA401" s="4" t="s">
        <v>1291</v>
      </c>
    </row>
    <row r="402" spans="1:27">
      <c r="A402" s="12">
        <v>100020292</v>
      </c>
      <c r="B402" s="12">
        <v>2</v>
      </c>
      <c r="C402" s="12" t="s">
        <v>658</v>
      </c>
      <c r="D402" s="12"/>
      <c r="E402" s="12"/>
      <c r="F402" s="12"/>
      <c r="G402" s="12"/>
      <c r="H402" s="12">
        <v>100020293</v>
      </c>
      <c r="I402" s="12" t="s">
        <v>1292</v>
      </c>
      <c r="J402" s="12"/>
      <c r="K402" s="12"/>
      <c r="L402" s="12" t="s">
        <v>1290</v>
      </c>
      <c r="M402" s="12"/>
      <c r="N402" s="13"/>
      <c r="O402" s="10">
        <v>4003</v>
      </c>
      <c r="P402" s="10"/>
      <c r="Q402" s="8"/>
      <c r="R402" s="6"/>
      <c r="S402" s="6"/>
      <c r="T402" t="b">
        <v>0</v>
      </c>
      <c r="U402" s="6"/>
      <c r="V402" s="6">
        <v>74292</v>
      </c>
      <c r="W402" s="6"/>
      <c r="X402" s="6"/>
      <c r="Y402" s="6"/>
      <c r="Z402" s="6">
        <v>-1</v>
      </c>
      <c r="AA402" s="4" t="s">
        <v>1293</v>
      </c>
    </row>
    <row r="403" spans="1:27">
      <c r="A403" s="12">
        <v>100020293</v>
      </c>
      <c r="B403" s="12">
        <v>2</v>
      </c>
      <c r="C403" s="12" t="s">
        <v>658</v>
      </c>
      <c r="D403" s="12"/>
      <c r="E403" s="12"/>
      <c r="F403" s="12"/>
      <c r="G403" s="12"/>
      <c r="H403" s="12">
        <v>100020294</v>
      </c>
      <c r="I403" s="12" t="s">
        <v>1294</v>
      </c>
      <c r="J403" s="12"/>
      <c r="K403" s="12"/>
      <c r="L403" s="12" t="s">
        <v>1295</v>
      </c>
      <c r="M403" s="12"/>
      <c r="N403" s="13"/>
      <c r="O403" s="10">
        <v>4004</v>
      </c>
      <c r="P403" s="10"/>
      <c r="Q403" s="8"/>
      <c r="R403" s="6"/>
      <c r="S403" s="6"/>
      <c r="T403" t="b">
        <v>0</v>
      </c>
      <c r="U403" s="6"/>
      <c r="V403" s="6">
        <v>74293</v>
      </c>
      <c r="W403" s="6"/>
      <c r="X403" s="6"/>
      <c r="Y403" s="6"/>
      <c r="Z403" s="6"/>
      <c r="AA403" s="4" t="s">
        <v>1296</v>
      </c>
    </row>
    <row r="404" spans="1:27">
      <c r="A404" s="12">
        <v>100020294</v>
      </c>
      <c r="B404" s="12">
        <v>2</v>
      </c>
      <c r="C404" s="12" t="s">
        <v>658</v>
      </c>
      <c r="D404" s="12"/>
      <c r="E404" s="12"/>
      <c r="F404" s="12"/>
      <c r="G404" s="12"/>
      <c r="H404" s="12">
        <v>100020295</v>
      </c>
      <c r="I404" s="12" t="s">
        <v>1297</v>
      </c>
      <c r="J404" s="12"/>
      <c r="K404" s="12"/>
      <c r="L404" s="12" t="s">
        <v>1287</v>
      </c>
      <c r="M404" s="12"/>
      <c r="N404" s="13"/>
      <c r="O404" s="10">
        <v>4003</v>
      </c>
      <c r="P404" s="10"/>
      <c r="Q404" s="8"/>
      <c r="R404" s="6"/>
      <c r="S404" s="6"/>
      <c r="T404" t="b">
        <v>0</v>
      </c>
      <c r="U404" s="6"/>
      <c r="V404" s="6">
        <v>74294</v>
      </c>
      <c r="W404" s="6"/>
      <c r="X404" s="6"/>
      <c r="Y404" s="6"/>
      <c r="Z404" s="6"/>
      <c r="AA404" s="4" t="s">
        <v>1298</v>
      </c>
    </row>
    <row r="405" spans="1:27">
      <c r="A405" s="12">
        <v>100020295</v>
      </c>
      <c r="B405" s="12">
        <v>2</v>
      </c>
      <c r="C405" s="12" t="s">
        <v>658</v>
      </c>
      <c r="D405" s="12"/>
      <c r="E405" s="12"/>
      <c r="F405" s="12"/>
      <c r="G405" s="12"/>
      <c r="H405" s="12">
        <v>100020296</v>
      </c>
      <c r="I405" s="12" t="s">
        <v>1299</v>
      </c>
      <c r="J405" s="12"/>
      <c r="K405" s="12"/>
      <c r="L405" s="12" t="s">
        <v>1290</v>
      </c>
      <c r="M405" s="12"/>
      <c r="N405" s="13"/>
      <c r="O405" s="10">
        <v>4005</v>
      </c>
      <c r="P405" s="10"/>
      <c r="Q405" s="8"/>
      <c r="R405" s="6"/>
      <c r="S405" s="6"/>
      <c r="T405" t="b">
        <v>0</v>
      </c>
      <c r="U405" s="6"/>
      <c r="V405" s="6">
        <v>74295</v>
      </c>
      <c r="W405" s="6"/>
      <c r="X405" s="6"/>
      <c r="Y405" s="6"/>
      <c r="Z405" s="6"/>
      <c r="AA405" s="4" t="s">
        <v>1300</v>
      </c>
    </row>
    <row r="406" spans="1:27">
      <c r="A406" s="12">
        <v>100020296</v>
      </c>
      <c r="B406" s="12">
        <v>2</v>
      </c>
      <c r="C406" s="12" t="s">
        <v>658</v>
      </c>
      <c r="D406" s="12"/>
      <c r="E406" s="12"/>
      <c r="F406" s="12"/>
      <c r="G406" s="12"/>
      <c r="H406" s="12">
        <v>100020297</v>
      </c>
      <c r="I406" s="12" t="s">
        <v>1301</v>
      </c>
      <c r="J406" s="12"/>
      <c r="K406" s="12"/>
      <c r="L406" s="12" t="s">
        <v>1290</v>
      </c>
      <c r="M406" s="12"/>
      <c r="N406" s="13"/>
      <c r="O406" s="10">
        <v>4001</v>
      </c>
      <c r="P406" s="10"/>
      <c r="Q406" s="8"/>
      <c r="R406" s="6"/>
      <c r="S406" s="6"/>
      <c r="T406" t="b">
        <v>0</v>
      </c>
      <c r="U406" s="6"/>
      <c r="V406" s="6">
        <v>74296</v>
      </c>
      <c r="W406" s="6"/>
      <c r="X406" s="6"/>
      <c r="Y406" s="6"/>
      <c r="Z406" s="6"/>
      <c r="AA406" s="4" t="s">
        <v>1302</v>
      </c>
    </row>
    <row r="407" spans="1:27">
      <c r="A407" s="12">
        <v>100020297</v>
      </c>
      <c r="B407" s="12">
        <v>2</v>
      </c>
      <c r="C407" s="12" t="s">
        <v>658</v>
      </c>
      <c r="D407" s="12"/>
      <c r="E407" s="12"/>
      <c r="F407" s="12"/>
      <c r="G407" s="12"/>
      <c r="H407" s="12"/>
      <c r="I407" s="12" t="s">
        <v>1303</v>
      </c>
      <c r="J407" s="12"/>
      <c r="K407" s="12"/>
      <c r="L407" s="12" t="s">
        <v>1287</v>
      </c>
      <c r="M407" s="12"/>
      <c r="N407" s="13"/>
      <c r="O407" s="10">
        <v>3020</v>
      </c>
      <c r="P407" s="10"/>
      <c r="Q407" s="8"/>
      <c r="R407" s="6"/>
      <c r="S407" s="6"/>
      <c r="T407" t="b">
        <v>0</v>
      </c>
      <c r="U407" s="6"/>
      <c r="V407" s="6">
        <v>74297</v>
      </c>
      <c r="W407" s="6"/>
      <c r="X407" s="6"/>
      <c r="Y407" s="6"/>
      <c r="Z407" s="6"/>
      <c r="AA407" s="4" t="s">
        <v>1304</v>
      </c>
    </row>
    <row r="408" spans="1:27">
      <c r="A408" s="12">
        <v>100020298</v>
      </c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3"/>
      <c r="O408" s="10"/>
      <c r="P408" s="10"/>
      <c r="Q408" s="8"/>
      <c r="R408" s="6"/>
      <c r="S408" s="6"/>
      <c r="T408"/>
      <c r="U408" s="6"/>
      <c r="V408" s="6"/>
      <c r="W408" s="6"/>
      <c r="X408" s="6"/>
      <c r="Y408" s="6"/>
      <c r="Z408" s="6"/>
    </row>
    <row r="409" spans="1:27">
      <c r="A409" s="12">
        <v>100020299</v>
      </c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3"/>
      <c r="O409" s="10"/>
      <c r="P409" s="10"/>
      <c r="Q409" s="8"/>
      <c r="R409" s="6"/>
      <c r="S409" s="6"/>
      <c r="T409"/>
      <c r="U409" s="6"/>
      <c r="V409" s="6"/>
      <c r="W409" s="6"/>
      <c r="X409" s="6"/>
      <c r="Y409" s="6"/>
      <c r="Z409" s="6"/>
    </row>
    <row r="410" spans="1:27">
      <c r="A410" s="12">
        <v>100020300</v>
      </c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3"/>
      <c r="O410" s="10"/>
      <c r="P410" s="10"/>
      <c r="Q410" s="8"/>
      <c r="R410" s="6"/>
      <c r="S410" s="6"/>
      <c r="T410"/>
      <c r="U410" s="6"/>
      <c r="V410" s="6"/>
      <c r="W410" s="6"/>
      <c r="X410" s="6"/>
      <c r="Y410" s="6"/>
      <c r="Z410" s="6"/>
    </row>
    <row r="411" spans="1:27">
      <c r="A411" s="12">
        <v>100020301</v>
      </c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3"/>
      <c r="O411" s="10"/>
      <c r="P411" s="10"/>
      <c r="Q411" s="8"/>
      <c r="R411" s="6"/>
      <c r="S411" s="6"/>
      <c r="T411"/>
      <c r="U411" s="6"/>
      <c r="V411" s="6"/>
      <c r="W411" s="6"/>
      <c r="X411" s="6"/>
      <c r="Y411" s="6"/>
      <c r="Z411" s="6"/>
    </row>
    <row r="412" spans="1:27">
      <c r="A412" s="12">
        <v>100020302</v>
      </c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3"/>
      <c r="O412" s="10"/>
      <c r="P412" s="10"/>
      <c r="Q412" s="8"/>
      <c r="R412" s="6"/>
      <c r="S412" s="6"/>
      <c r="T412"/>
      <c r="U412" s="6"/>
      <c r="V412" s="6"/>
      <c r="W412" s="6"/>
      <c r="X412" s="6"/>
      <c r="Y412" s="6"/>
      <c r="Z412" s="6"/>
    </row>
    <row r="413" spans="1:27">
      <c r="A413" s="12">
        <v>100020303</v>
      </c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3"/>
      <c r="O413" s="10"/>
      <c r="P413" s="10"/>
      <c r="Q413" s="8"/>
      <c r="R413" s="6"/>
      <c r="S413" s="6"/>
      <c r="T413"/>
      <c r="U413" s="6"/>
      <c r="V413" s="6"/>
      <c r="W413" s="6"/>
      <c r="X413" s="6"/>
      <c r="Y413" s="6"/>
      <c r="Z413" s="6"/>
    </row>
    <row r="414" spans="1:27">
      <c r="A414" s="12">
        <v>100020304</v>
      </c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3"/>
      <c r="O414" s="10"/>
      <c r="P414" s="10"/>
      <c r="Q414" s="8"/>
      <c r="R414" s="6"/>
      <c r="S414" s="6"/>
      <c r="T414"/>
      <c r="U414" s="6"/>
      <c r="V414" s="6"/>
      <c r="W414" s="6"/>
      <c r="X414" s="6"/>
      <c r="Y414" s="6"/>
      <c r="Z414" s="6"/>
    </row>
    <row r="415" spans="1:27">
      <c r="A415" s="12">
        <v>100020305</v>
      </c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3"/>
      <c r="O415" s="10"/>
      <c r="P415" s="10"/>
      <c r="Q415" s="8"/>
      <c r="R415" s="6"/>
      <c r="S415" s="6"/>
      <c r="T415"/>
      <c r="U415" s="6"/>
      <c r="V415" s="6"/>
      <c r="W415" s="6"/>
      <c r="X415" s="6"/>
      <c r="Y415" s="6"/>
      <c r="Z415" s="6"/>
    </row>
    <row r="416" spans="1:27">
      <c r="A416" s="12">
        <v>100020306</v>
      </c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3"/>
      <c r="O416" s="10"/>
      <c r="P416" s="10"/>
      <c r="Q416" s="8"/>
      <c r="R416" s="6"/>
      <c r="S416" s="6"/>
      <c r="T416"/>
      <c r="U416" s="6"/>
      <c r="V416" s="6"/>
      <c r="W416" s="6"/>
      <c r="X416" s="6"/>
      <c r="Y416" s="6"/>
      <c r="Z416" s="6"/>
    </row>
    <row r="417" spans="1:26">
      <c r="A417" s="12">
        <v>100020307</v>
      </c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3"/>
      <c r="O417" s="10"/>
      <c r="P417" s="10"/>
      <c r="Q417" s="8"/>
      <c r="R417" s="6"/>
      <c r="S417" s="6"/>
      <c r="T417"/>
      <c r="U417" s="6"/>
      <c r="V417" s="6"/>
      <c r="W417" s="6"/>
      <c r="X417" s="6"/>
      <c r="Y417" s="6"/>
      <c r="Z417" s="6"/>
    </row>
    <row r="418" spans="1:26">
      <c r="A418" s="12">
        <v>100020308</v>
      </c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3"/>
      <c r="O418" s="10"/>
      <c r="P418" s="10"/>
      <c r="Q418" s="8"/>
      <c r="R418" s="6"/>
      <c r="S418" s="6"/>
      <c r="T418"/>
      <c r="U418" s="6"/>
      <c r="V418" s="6"/>
      <c r="W418" s="6"/>
      <c r="X418" s="6"/>
      <c r="Y418" s="6"/>
      <c r="Z418" s="6"/>
    </row>
    <row r="419" spans="1:26">
      <c r="A419" s="12">
        <v>100020309</v>
      </c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3"/>
      <c r="O419" s="10"/>
      <c r="P419" s="10"/>
      <c r="Q419" s="8"/>
      <c r="R419" s="6"/>
      <c r="S419" s="6"/>
      <c r="T419"/>
      <c r="U419" s="6"/>
      <c r="V419" s="6"/>
      <c r="W419" s="6"/>
      <c r="X419" s="6"/>
      <c r="Y419" s="6"/>
      <c r="Z419" s="6"/>
    </row>
    <row r="420" spans="1:26">
      <c r="A420" s="12">
        <v>100020310</v>
      </c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3"/>
      <c r="O420" s="10"/>
      <c r="P420" s="10"/>
      <c r="Q420" s="8"/>
      <c r="R420" s="6"/>
      <c r="S420" s="6"/>
      <c r="T420"/>
      <c r="U420" s="6"/>
      <c r="V420" s="6"/>
      <c r="W420" s="6"/>
      <c r="X420" s="6"/>
      <c r="Y420" s="6"/>
      <c r="Z420" s="6"/>
    </row>
    <row r="421" spans="1:26">
      <c r="A421" s="12">
        <v>100020311</v>
      </c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3"/>
      <c r="O421" s="10"/>
      <c r="P421" s="10"/>
      <c r="Q421" s="8"/>
      <c r="R421" s="6"/>
      <c r="S421" s="6"/>
      <c r="T421"/>
      <c r="U421" s="6"/>
      <c r="V421" s="6"/>
      <c r="W421" s="6"/>
      <c r="X421" s="6"/>
      <c r="Y421" s="6"/>
      <c r="Z421" s="6"/>
    </row>
    <row r="422" spans="1:26">
      <c r="A422" s="12">
        <v>100020312</v>
      </c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3"/>
      <c r="O422" s="10"/>
      <c r="P422" s="10"/>
      <c r="Q422" s="8"/>
      <c r="R422" s="6"/>
      <c r="S422" s="6"/>
      <c r="T422"/>
      <c r="U422" s="6"/>
      <c r="V422" s="6"/>
      <c r="W422" s="6"/>
      <c r="X422" s="6"/>
      <c r="Y422" s="6"/>
      <c r="Z422" s="6"/>
    </row>
    <row r="423" spans="1:26">
      <c r="A423" s="12">
        <v>100020313</v>
      </c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3"/>
      <c r="O423" s="10"/>
      <c r="P423" s="10"/>
      <c r="Q423" s="8"/>
      <c r="R423" s="6"/>
      <c r="S423" s="6"/>
      <c r="T423"/>
      <c r="U423" s="6"/>
      <c r="V423" s="6"/>
      <c r="W423" s="6"/>
      <c r="X423" s="6"/>
      <c r="Y423" s="6"/>
      <c r="Z423" s="6"/>
    </row>
    <row r="424" spans="1:26">
      <c r="A424" s="12">
        <v>100020314</v>
      </c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3"/>
      <c r="O424" s="10"/>
      <c r="P424" s="10"/>
      <c r="Q424" s="8"/>
      <c r="R424" s="6"/>
      <c r="S424" s="6"/>
      <c r="T424"/>
      <c r="U424" s="6"/>
      <c r="V424" s="6"/>
      <c r="W424" s="6"/>
      <c r="X424" s="6"/>
      <c r="Y424" s="6"/>
      <c r="Z424" s="6"/>
    </row>
    <row r="425" spans="1:26">
      <c r="A425" s="12">
        <v>100020315</v>
      </c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3"/>
      <c r="O425" s="10"/>
      <c r="P425" s="10"/>
      <c r="Q425" s="8"/>
      <c r="R425" s="6"/>
      <c r="S425" s="6"/>
      <c r="T425"/>
      <c r="U425" s="6"/>
      <c r="V425" s="6"/>
      <c r="W425" s="6"/>
      <c r="X425" s="6"/>
      <c r="Y425" s="6"/>
      <c r="Z425" s="6"/>
    </row>
    <row r="426" spans="1:26">
      <c r="A426" s="12">
        <v>100020316</v>
      </c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3"/>
      <c r="O426" s="10"/>
      <c r="P426" s="10"/>
      <c r="Q426" s="8"/>
      <c r="R426" s="6"/>
      <c r="S426" s="6"/>
      <c r="T426"/>
      <c r="U426" s="6"/>
      <c r="V426" s="6"/>
      <c r="W426" s="6"/>
      <c r="X426" s="6"/>
      <c r="Y426" s="6"/>
      <c r="Z426" s="6"/>
    </row>
    <row r="427" spans="1:26">
      <c r="A427" s="12">
        <v>100020317</v>
      </c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3"/>
      <c r="O427" s="10"/>
      <c r="P427" s="10"/>
      <c r="Q427" s="8"/>
      <c r="R427" s="6"/>
      <c r="S427" s="6"/>
      <c r="T427"/>
      <c r="U427" s="6"/>
      <c r="V427" s="6"/>
      <c r="W427" s="6"/>
      <c r="X427" s="6"/>
      <c r="Y427" s="6"/>
      <c r="Z427" s="6"/>
    </row>
    <row r="428" spans="1:26">
      <c r="A428" s="12">
        <v>100020318</v>
      </c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3"/>
      <c r="O428" s="10"/>
      <c r="P428" s="10"/>
      <c r="Q428" s="8"/>
      <c r="R428" s="6"/>
      <c r="S428" s="6"/>
      <c r="T428"/>
      <c r="U428" s="6"/>
      <c r="V428" s="6"/>
      <c r="W428" s="6"/>
      <c r="X428" s="6"/>
      <c r="Y428" s="6"/>
      <c r="Z428" s="6"/>
    </row>
    <row r="429" spans="1:26">
      <c r="A429" s="12">
        <v>100020319</v>
      </c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3"/>
      <c r="O429" s="10"/>
      <c r="P429" s="10"/>
      <c r="Q429" s="8"/>
      <c r="R429" s="6"/>
      <c r="S429" s="6"/>
      <c r="T429"/>
      <c r="U429" s="6"/>
      <c r="V429" s="6"/>
      <c r="W429" s="6"/>
      <c r="X429" s="6"/>
      <c r="Y429" s="6"/>
      <c r="Z429" s="6"/>
    </row>
    <row r="430" spans="1:26">
      <c r="A430" s="12">
        <v>100020320</v>
      </c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3"/>
      <c r="O430" s="10"/>
      <c r="P430" s="10"/>
      <c r="Q430" s="8"/>
      <c r="R430" s="6"/>
      <c r="S430" s="6"/>
      <c r="T430"/>
      <c r="U430" s="6"/>
      <c r="V430" s="6"/>
      <c r="W430" s="6"/>
      <c r="X430" s="6"/>
      <c r="Y430" s="6"/>
      <c r="Z430" s="6"/>
    </row>
    <row r="431" spans="1:26">
      <c r="A431" s="12">
        <v>100020321</v>
      </c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3"/>
      <c r="O431" s="10"/>
      <c r="P431" s="10"/>
      <c r="Q431" s="8"/>
      <c r="R431" s="6"/>
      <c r="S431" s="6"/>
      <c r="T431"/>
      <c r="U431" s="6"/>
      <c r="V431" s="6"/>
      <c r="W431" s="6"/>
      <c r="X431" s="6"/>
      <c r="Y431" s="6"/>
      <c r="Z431" s="6"/>
    </row>
    <row r="432" spans="1:26">
      <c r="A432" s="12">
        <v>100020322</v>
      </c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3"/>
      <c r="O432" s="10"/>
      <c r="P432" s="10"/>
      <c r="Q432" s="8"/>
      <c r="R432" s="6"/>
      <c r="S432" s="6"/>
      <c r="T432"/>
      <c r="U432" s="6"/>
      <c r="V432" s="6"/>
      <c r="W432" s="6"/>
      <c r="X432" s="6"/>
      <c r="Y432" s="6"/>
      <c r="Z432" s="6"/>
    </row>
    <row r="433" spans="1:27">
      <c r="A433" s="12">
        <v>100020323</v>
      </c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3"/>
      <c r="O433" s="10"/>
      <c r="P433" s="10"/>
      <c r="Q433" s="8"/>
      <c r="R433" s="6"/>
      <c r="S433" s="6"/>
      <c r="T433"/>
      <c r="U433" s="6"/>
      <c r="V433" s="6"/>
      <c r="W433" s="6"/>
      <c r="X433" s="6"/>
      <c r="Y433" s="6"/>
      <c r="Z433" s="6"/>
    </row>
    <row r="434" spans="1:27">
      <c r="A434" s="12">
        <v>100020324</v>
      </c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3"/>
      <c r="O434" s="10"/>
      <c r="P434" s="10"/>
      <c r="Q434" s="8"/>
      <c r="R434" s="6"/>
      <c r="S434" s="6"/>
      <c r="T434"/>
      <c r="U434" s="6"/>
      <c r="V434" s="6"/>
      <c r="W434" s="6"/>
      <c r="X434" s="6"/>
      <c r="Y434" s="6"/>
      <c r="Z434" s="6"/>
    </row>
    <row r="435" spans="1:27">
      <c r="A435" s="12">
        <v>100020325</v>
      </c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3"/>
      <c r="O435" s="10"/>
      <c r="P435" s="10"/>
      <c r="Q435" s="8"/>
      <c r="R435" s="6"/>
      <c r="S435" s="6"/>
      <c r="T435"/>
      <c r="U435" s="6"/>
      <c r="V435" s="6"/>
      <c r="W435" s="6"/>
      <c r="X435" s="6"/>
      <c r="Y435" s="6"/>
      <c r="Z435" s="6"/>
    </row>
    <row r="436" spans="1:27">
      <c r="A436" s="12">
        <v>100020326</v>
      </c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3"/>
      <c r="O436" s="10"/>
      <c r="P436" s="10"/>
      <c r="Q436" s="8"/>
      <c r="R436" s="6"/>
      <c r="S436" s="6"/>
      <c r="T436"/>
      <c r="U436" s="6"/>
      <c r="V436" s="6"/>
      <c r="W436" s="6"/>
      <c r="X436" s="6"/>
      <c r="Y436" s="6"/>
      <c r="Z436" s="6"/>
    </row>
    <row r="437" spans="1:27">
      <c r="A437" s="12">
        <v>100020327</v>
      </c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3"/>
      <c r="O437" s="10"/>
      <c r="P437" s="10"/>
      <c r="Q437" s="8"/>
      <c r="R437" s="6"/>
      <c r="S437" s="6"/>
      <c r="T437"/>
      <c r="U437" s="6"/>
      <c r="V437" s="6"/>
      <c r="W437" s="6"/>
      <c r="X437" s="6"/>
      <c r="Y437" s="6"/>
      <c r="Z437" s="6"/>
    </row>
    <row r="438" spans="1:27">
      <c r="A438" s="12">
        <v>100020328</v>
      </c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3"/>
      <c r="O438" s="10"/>
      <c r="P438" s="10"/>
      <c r="Q438" s="8"/>
      <c r="R438" s="6"/>
      <c r="S438" s="6"/>
      <c r="T438"/>
      <c r="U438" s="6"/>
      <c r="V438" s="6"/>
      <c r="W438" s="6"/>
      <c r="X438" s="6"/>
      <c r="Y438" s="6"/>
      <c r="Z438" s="6"/>
    </row>
    <row r="439" spans="1:27">
      <c r="A439" s="12">
        <v>100020329</v>
      </c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3"/>
      <c r="O439" s="10"/>
      <c r="P439" s="10"/>
      <c r="Q439" s="8"/>
      <c r="R439" s="6"/>
      <c r="S439" s="6"/>
      <c r="T439"/>
      <c r="U439" s="6"/>
      <c r="V439" s="6"/>
      <c r="W439" s="6"/>
      <c r="X439" s="6"/>
      <c r="Y439" s="6"/>
      <c r="Z439" s="6"/>
    </row>
    <row r="440" spans="1:27">
      <c r="A440" s="12">
        <v>100020330</v>
      </c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3"/>
      <c r="O440" s="10"/>
      <c r="P440" s="10"/>
      <c r="Q440" s="8"/>
      <c r="R440" s="6"/>
      <c r="S440" s="6"/>
      <c r="T440"/>
      <c r="U440" s="6"/>
      <c r="V440" s="6"/>
      <c r="W440" s="6"/>
      <c r="X440" s="6"/>
      <c r="Y440" s="6"/>
      <c r="Z440" s="6"/>
    </row>
    <row r="441" spans="1:27">
      <c r="A441" s="53">
        <v>100030001</v>
      </c>
      <c r="B441" s="53">
        <v>7</v>
      </c>
      <c r="C441" s="53" t="s">
        <v>1305</v>
      </c>
      <c r="D441" s="53">
        <v>13</v>
      </c>
      <c r="E441" s="53"/>
      <c r="F441" s="53">
        <v>30001</v>
      </c>
      <c r="G441" s="53"/>
      <c r="H441" s="53">
        <v>100030002</v>
      </c>
      <c r="I441" s="53" t="s">
        <v>1306</v>
      </c>
      <c r="J441" s="53"/>
      <c r="K441" s="53"/>
      <c r="L441" s="53" t="s">
        <v>1307</v>
      </c>
      <c r="M441" s="53"/>
      <c r="N441" s="54"/>
      <c r="O441" s="55" t="s">
        <v>1308</v>
      </c>
      <c r="P441" s="55" t="s">
        <v>1309</v>
      </c>
      <c r="Q441" s="56"/>
      <c r="R441" s="57">
        <v>0</v>
      </c>
      <c r="S441" s="57"/>
      <c r="T441" s="58" t="b">
        <v>0</v>
      </c>
      <c r="U441" s="57"/>
      <c r="V441" s="57">
        <v>74501</v>
      </c>
      <c r="W441" s="57"/>
      <c r="X441" s="57"/>
      <c r="Y441" s="57">
        <v>85501</v>
      </c>
      <c r="Z441" s="57"/>
      <c r="AA441" s="4" t="s">
        <v>1310</v>
      </c>
    </row>
    <row r="442" spans="1:27">
      <c r="A442" s="53">
        <v>100030002</v>
      </c>
      <c r="B442" s="53">
        <v>7</v>
      </c>
      <c r="C442" s="53" t="s">
        <v>1305</v>
      </c>
      <c r="D442" s="53">
        <v>13</v>
      </c>
      <c r="E442" s="53"/>
      <c r="F442" s="53">
        <v>30001</v>
      </c>
      <c r="G442" s="53"/>
      <c r="H442" s="53">
        <v>100030003</v>
      </c>
      <c r="I442" s="53" t="s">
        <v>1311</v>
      </c>
      <c r="J442" s="53"/>
      <c r="K442" s="53"/>
      <c r="L442" s="53" t="s">
        <v>1312</v>
      </c>
      <c r="M442" s="53"/>
      <c r="N442" s="54"/>
      <c r="O442" s="55" t="s">
        <v>1308</v>
      </c>
      <c r="P442" s="55" t="s">
        <v>1309</v>
      </c>
      <c r="Q442" s="56"/>
      <c r="R442" s="57">
        <v>0</v>
      </c>
      <c r="S442" s="57"/>
      <c r="T442" s="58" t="b">
        <v>0</v>
      </c>
      <c r="U442" s="57"/>
      <c r="V442" s="57">
        <v>74502</v>
      </c>
      <c r="W442" s="57"/>
      <c r="X442" s="57"/>
      <c r="Y442" s="57">
        <v>85501</v>
      </c>
      <c r="Z442" s="57"/>
      <c r="AA442" s="4" t="s">
        <v>1313</v>
      </c>
    </row>
    <row r="443" spans="1:27">
      <c r="A443" s="53">
        <v>100030003</v>
      </c>
      <c r="B443" s="53">
        <v>7</v>
      </c>
      <c r="C443" s="53" t="s">
        <v>1305</v>
      </c>
      <c r="D443" s="53">
        <v>13</v>
      </c>
      <c r="E443" s="53"/>
      <c r="F443" s="53">
        <v>30001</v>
      </c>
      <c r="G443" s="53"/>
      <c r="H443" s="53">
        <v>100030004</v>
      </c>
      <c r="I443" s="53" t="s">
        <v>1314</v>
      </c>
      <c r="J443" s="53"/>
      <c r="K443" s="53"/>
      <c r="L443" s="53" t="s">
        <v>1315</v>
      </c>
      <c r="M443" s="53"/>
      <c r="N443" s="54"/>
      <c r="O443" s="55" t="s">
        <v>1308</v>
      </c>
      <c r="P443" s="55" t="s">
        <v>1309</v>
      </c>
      <c r="Q443" s="56"/>
      <c r="R443" s="57">
        <v>0</v>
      </c>
      <c r="S443" s="57"/>
      <c r="T443" s="58" t="b">
        <v>0</v>
      </c>
      <c r="U443" s="57"/>
      <c r="V443" s="57">
        <v>74503</v>
      </c>
      <c r="W443" s="57"/>
      <c r="X443" s="57"/>
      <c r="Y443" s="57">
        <v>85501</v>
      </c>
      <c r="Z443" s="57"/>
      <c r="AA443" s="4" t="s">
        <v>1316</v>
      </c>
    </row>
    <row r="444" spans="1:27">
      <c r="A444" s="53">
        <v>100030004</v>
      </c>
      <c r="B444" s="53">
        <v>7</v>
      </c>
      <c r="C444" s="53" t="s">
        <v>1305</v>
      </c>
      <c r="D444" s="53">
        <v>13</v>
      </c>
      <c r="E444" s="53"/>
      <c r="F444" s="53">
        <v>30001</v>
      </c>
      <c r="G444" s="53"/>
      <c r="H444" s="53">
        <v>100030005</v>
      </c>
      <c r="I444" s="53" t="s">
        <v>1317</v>
      </c>
      <c r="J444" s="53"/>
      <c r="K444" s="53"/>
      <c r="L444" s="53" t="s">
        <v>1318</v>
      </c>
      <c r="M444" s="53"/>
      <c r="N444" s="54"/>
      <c r="O444" s="55" t="s">
        <v>1308</v>
      </c>
      <c r="P444" s="55" t="s">
        <v>1309</v>
      </c>
      <c r="Q444" s="56"/>
      <c r="R444" s="57">
        <v>0</v>
      </c>
      <c r="S444" s="57"/>
      <c r="T444" s="58" t="b">
        <v>0</v>
      </c>
      <c r="U444" s="57"/>
      <c r="V444" s="57">
        <v>74504</v>
      </c>
      <c r="W444" s="57"/>
      <c r="X444" s="57"/>
      <c r="Y444" s="57">
        <v>85501</v>
      </c>
      <c r="Z444" s="57"/>
      <c r="AA444" s="4" t="s">
        <v>1319</v>
      </c>
    </row>
    <row r="445" spans="1:27">
      <c r="A445" s="53">
        <v>100030005</v>
      </c>
      <c r="B445" s="53">
        <v>7</v>
      </c>
      <c r="C445" s="53" t="s">
        <v>1305</v>
      </c>
      <c r="D445" s="53">
        <v>13</v>
      </c>
      <c r="E445" s="53"/>
      <c r="F445" s="53">
        <v>30001</v>
      </c>
      <c r="G445" s="53"/>
      <c r="H445" s="53">
        <v>100030006</v>
      </c>
      <c r="I445" s="53" t="s">
        <v>1320</v>
      </c>
      <c r="J445" s="53"/>
      <c r="K445" s="53"/>
      <c r="L445" s="53" t="s">
        <v>1321</v>
      </c>
      <c r="M445" s="53"/>
      <c r="N445" s="54"/>
      <c r="O445" s="55" t="s">
        <v>1308</v>
      </c>
      <c r="P445" s="55" t="s">
        <v>1309</v>
      </c>
      <c r="Q445" s="56"/>
      <c r="R445" s="57">
        <v>0</v>
      </c>
      <c r="S445" s="57"/>
      <c r="T445" s="58" t="b">
        <v>0</v>
      </c>
      <c r="U445" s="57"/>
      <c r="V445" s="57">
        <v>74505</v>
      </c>
      <c r="W445" s="57"/>
      <c r="X445" s="57"/>
      <c r="Y445" s="57">
        <v>85501</v>
      </c>
      <c r="Z445" s="57"/>
      <c r="AA445" s="4" t="s">
        <v>1322</v>
      </c>
    </row>
    <row r="446" spans="1:27">
      <c r="A446" s="53">
        <v>100030006</v>
      </c>
      <c r="B446" s="53">
        <v>7</v>
      </c>
      <c r="C446" s="53" t="s">
        <v>1305</v>
      </c>
      <c r="D446" s="53">
        <v>13</v>
      </c>
      <c r="E446" s="53"/>
      <c r="F446" s="53">
        <v>30001</v>
      </c>
      <c r="G446" s="53"/>
      <c r="H446" s="53"/>
      <c r="I446" s="53" t="s">
        <v>1323</v>
      </c>
      <c r="J446" s="53"/>
      <c r="K446" s="53"/>
      <c r="L446" s="53" t="s">
        <v>1324</v>
      </c>
      <c r="M446" s="53"/>
      <c r="N446" s="54"/>
      <c r="O446" s="55" t="s">
        <v>1308</v>
      </c>
      <c r="P446" s="55" t="s">
        <v>1309</v>
      </c>
      <c r="Q446" s="56"/>
      <c r="R446" s="57">
        <v>0</v>
      </c>
      <c r="S446" s="57"/>
      <c r="T446" s="58" t="b">
        <v>0</v>
      </c>
      <c r="U446" s="57"/>
      <c r="V446" s="57">
        <v>74506</v>
      </c>
      <c r="W446" s="57"/>
      <c r="X446" s="57"/>
      <c r="Y446" s="57">
        <v>85501</v>
      </c>
      <c r="Z446" s="57"/>
      <c r="AA446" s="4" t="s">
        <v>1325</v>
      </c>
    </row>
    <row r="447" spans="1:27">
      <c r="A447" s="53">
        <v>100030011</v>
      </c>
      <c r="B447" s="53">
        <v>7</v>
      </c>
      <c r="C447" s="53" t="s">
        <v>1305</v>
      </c>
      <c r="D447" s="53">
        <v>14</v>
      </c>
      <c r="E447" s="53"/>
      <c r="F447" s="53">
        <v>30011</v>
      </c>
      <c r="G447" s="53"/>
      <c r="H447" s="53">
        <v>100030012</v>
      </c>
      <c r="I447" s="53" t="s">
        <v>1326</v>
      </c>
      <c r="J447" s="53"/>
      <c r="K447" s="53"/>
      <c r="L447" s="53" t="s">
        <v>1327</v>
      </c>
      <c r="M447" s="53"/>
      <c r="N447" s="54"/>
      <c r="O447" s="55" t="s">
        <v>1308</v>
      </c>
      <c r="P447" s="55" t="s">
        <v>1328</v>
      </c>
      <c r="Q447" s="56"/>
      <c r="R447" s="57">
        <v>0</v>
      </c>
      <c r="S447" s="57"/>
      <c r="T447" s="58" t="b">
        <v>0</v>
      </c>
      <c r="U447" s="57"/>
      <c r="V447" s="57">
        <v>74521</v>
      </c>
      <c r="W447" s="57"/>
      <c r="X447" s="57"/>
      <c r="Y447" s="57">
        <v>85502</v>
      </c>
      <c r="Z447" s="57"/>
      <c r="AA447" s="4" t="s">
        <v>1329</v>
      </c>
    </row>
    <row r="448" spans="1:27">
      <c r="A448" s="53">
        <v>100030012</v>
      </c>
      <c r="B448" s="53">
        <v>7</v>
      </c>
      <c r="C448" s="53" t="s">
        <v>1305</v>
      </c>
      <c r="D448" s="53">
        <v>14</v>
      </c>
      <c r="E448" s="53"/>
      <c r="F448" s="53">
        <v>30011</v>
      </c>
      <c r="G448" s="53"/>
      <c r="H448" s="53">
        <v>100030013</v>
      </c>
      <c r="I448" s="53" t="s">
        <v>1330</v>
      </c>
      <c r="J448" s="53"/>
      <c r="K448" s="53"/>
      <c r="L448" s="53" t="s">
        <v>1312</v>
      </c>
      <c r="M448" s="53"/>
      <c r="N448" s="54"/>
      <c r="O448" s="55" t="s">
        <v>1308</v>
      </c>
      <c r="P448" s="55" t="s">
        <v>1328</v>
      </c>
      <c r="Q448" s="56"/>
      <c r="R448" s="57">
        <v>0</v>
      </c>
      <c r="S448" s="57"/>
      <c r="T448" t="b">
        <v>0</v>
      </c>
      <c r="U448" s="57"/>
      <c r="V448" s="57">
        <v>74522</v>
      </c>
      <c r="W448" s="57"/>
      <c r="X448" s="57"/>
      <c r="Y448" s="57">
        <v>85502</v>
      </c>
      <c r="Z448" s="57"/>
      <c r="AA448" s="4" t="s">
        <v>1331</v>
      </c>
    </row>
    <row r="449" spans="1:27">
      <c r="A449" s="53">
        <v>100030013</v>
      </c>
      <c r="B449" s="53">
        <v>7</v>
      </c>
      <c r="C449" s="53" t="s">
        <v>1305</v>
      </c>
      <c r="D449" s="53">
        <v>14</v>
      </c>
      <c r="E449" s="53"/>
      <c r="F449" s="53">
        <v>30011</v>
      </c>
      <c r="G449" s="53"/>
      <c r="H449" s="53">
        <v>100030014</v>
      </c>
      <c r="I449" s="53" t="s">
        <v>1332</v>
      </c>
      <c r="J449" s="53"/>
      <c r="K449" s="53"/>
      <c r="L449" s="53" t="s">
        <v>1333</v>
      </c>
      <c r="M449" s="53"/>
      <c r="N449" s="54"/>
      <c r="O449" s="55" t="s">
        <v>1308</v>
      </c>
      <c r="P449" s="55" t="s">
        <v>1328</v>
      </c>
      <c r="Q449" s="56"/>
      <c r="R449" s="57">
        <v>0</v>
      </c>
      <c r="S449" s="57"/>
      <c r="T449" t="b">
        <v>0</v>
      </c>
      <c r="U449" s="57"/>
      <c r="V449" s="57">
        <v>74523</v>
      </c>
      <c r="W449" s="57"/>
      <c r="X449" s="57"/>
      <c r="Y449" s="57">
        <v>85502</v>
      </c>
      <c r="Z449" s="57"/>
      <c r="AA449" s="4" t="s">
        <v>1334</v>
      </c>
    </row>
    <row r="450" spans="1:27">
      <c r="A450" s="53">
        <v>100030014</v>
      </c>
      <c r="B450" s="53">
        <v>7</v>
      </c>
      <c r="C450" s="53" t="s">
        <v>1305</v>
      </c>
      <c r="D450" s="53">
        <v>14</v>
      </c>
      <c r="E450" s="53"/>
      <c r="F450" s="53">
        <v>30011</v>
      </c>
      <c r="G450" s="53"/>
      <c r="H450" s="53">
        <v>100030015</v>
      </c>
      <c r="I450" s="53" t="s">
        <v>1335</v>
      </c>
      <c r="J450" s="53"/>
      <c r="K450" s="53"/>
      <c r="L450" s="53" t="s">
        <v>1318</v>
      </c>
      <c r="M450" s="53"/>
      <c r="N450" s="54"/>
      <c r="O450" s="55" t="s">
        <v>1308</v>
      </c>
      <c r="P450" s="55" t="s">
        <v>1328</v>
      </c>
      <c r="Q450" s="56"/>
      <c r="R450" s="57">
        <v>0</v>
      </c>
      <c r="S450" s="57"/>
      <c r="T450" t="b">
        <v>0</v>
      </c>
      <c r="U450" s="57"/>
      <c r="V450" s="57">
        <v>74524</v>
      </c>
      <c r="W450" s="57"/>
      <c r="X450" s="57"/>
      <c r="Y450" s="57">
        <v>85502</v>
      </c>
      <c r="Z450" s="57"/>
      <c r="AA450" s="4" t="s">
        <v>1336</v>
      </c>
    </row>
    <row r="451" spans="1:27">
      <c r="A451" s="53">
        <v>100030015</v>
      </c>
      <c r="B451" s="53">
        <v>7</v>
      </c>
      <c r="C451" s="53" t="s">
        <v>1305</v>
      </c>
      <c r="D451" s="53">
        <v>14</v>
      </c>
      <c r="E451" s="53"/>
      <c r="F451" s="53">
        <v>30011</v>
      </c>
      <c r="G451" s="53"/>
      <c r="H451" s="53">
        <v>100030016</v>
      </c>
      <c r="I451" s="53" t="s">
        <v>1337</v>
      </c>
      <c r="J451" s="53"/>
      <c r="K451" s="53"/>
      <c r="L451" s="53" t="s">
        <v>1321</v>
      </c>
      <c r="M451" s="53"/>
      <c r="N451" s="54"/>
      <c r="O451" s="55" t="s">
        <v>1308</v>
      </c>
      <c r="P451" s="55" t="s">
        <v>1328</v>
      </c>
      <c r="Q451" s="56"/>
      <c r="R451" s="57">
        <v>0</v>
      </c>
      <c r="S451" s="57"/>
      <c r="T451" t="b">
        <v>0</v>
      </c>
      <c r="U451" s="57"/>
      <c r="V451" s="57">
        <v>74525</v>
      </c>
      <c r="W451" s="57"/>
      <c r="X451" s="57"/>
      <c r="Y451" s="57">
        <v>85502</v>
      </c>
      <c r="Z451" s="57"/>
      <c r="AA451" s="4" t="s">
        <v>1338</v>
      </c>
    </row>
    <row r="452" spans="1:27">
      <c r="A452" s="53">
        <v>100030016</v>
      </c>
      <c r="B452" s="53">
        <v>7</v>
      </c>
      <c r="C452" s="53" t="s">
        <v>1305</v>
      </c>
      <c r="D452" s="53">
        <v>14</v>
      </c>
      <c r="E452" s="53"/>
      <c r="F452" s="53">
        <v>30011</v>
      </c>
      <c r="G452" s="53"/>
      <c r="H452" s="53"/>
      <c r="I452" s="53" t="s">
        <v>1339</v>
      </c>
      <c r="J452" s="53"/>
      <c r="K452" s="53"/>
      <c r="L452" s="53" t="s">
        <v>1340</v>
      </c>
      <c r="M452" s="53"/>
      <c r="N452" s="54"/>
      <c r="O452" s="55" t="s">
        <v>1308</v>
      </c>
      <c r="P452" s="55" t="s">
        <v>1328</v>
      </c>
      <c r="Q452" s="56"/>
      <c r="R452" s="57">
        <v>0</v>
      </c>
      <c r="S452" s="57"/>
      <c r="T452" t="b">
        <v>0</v>
      </c>
      <c r="U452" s="57"/>
      <c r="V452" s="57">
        <v>74526</v>
      </c>
      <c r="W452" s="57"/>
      <c r="X452" s="57"/>
      <c r="Y452" s="57">
        <v>85502</v>
      </c>
      <c r="Z452" s="57"/>
      <c r="AA452" s="4" t="s">
        <v>1341</v>
      </c>
    </row>
    <row r="453" spans="1:27">
      <c r="A453" s="53">
        <v>100030051</v>
      </c>
      <c r="B453" s="53">
        <v>7</v>
      </c>
      <c r="C453" s="53" t="s">
        <v>1305</v>
      </c>
      <c r="D453" s="53">
        <v>15</v>
      </c>
      <c r="E453" s="53"/>
      <c r="F453" s="53">
        <v>30051</v>
      </c>
      <c r="G453" s="53"/>
      <c r="H453" s="53">
        <f>A454</f>
        <v>100030052</v>
      </c>
      <c r="I453" s="53" t="s">
        <v>1342</v>
      </c>
      <c r="J453" s="53"/>
      <c r="K453" s="53"/>
      <c r="L453" s="53" t="s">
        <v>1327</v>
      </c>
      <c r="M453" s="53"/>
      <c r="N453" s="54"/>
      <c r="O453" s="55" t="s">
        <v>1308</v>
      </c>
      <c r="P453" s="55" t="s">
        <v>1343</v>
      </c>
      <c r="Q453" s="56"/>
      <c r="R453" s="57">
        <v>0</v>
      </c>
      <c r="S453" s="57"/>
      <c r="T453" t="b">
        <v>0</v>
      </c>
      <c r="U453" s="57"/>
      <c r="V453" s="57">
        <v>74601</v>
      </c>
      <c r="W453" s="57"/>
      <c r="X453" s="57"/>
      <c r="Y453" s="57">
        <v>85503</v>
      </c>
      <c r="Z453" s="57"/>
      <c r="AA453" s="4" t="s">
        <v>1344</v>
      </c>
    </row>
    <row r="454" spans="1:27">
      <c r="A454" s="53">
        <v>100030052</v>
      </c>
      <c r="B454" s="53">
        <v>7</v>
      </c>
      <c r="C454" s="53" t="s">
        <v>1305</v>
      </c>
      <c r="D454" s="53">
        <v>15</v>
      </c>
      <c r="E454" s="53"/>
      <c r="F454" s="53">
        <v>30051</v>
      </c>
      <c r="G454" s="53"/>
      <c r="H454" s="53">
        <f>A455</f>
        <v>100030053</v>
      </c>
      <c r="I454" s="53" t="s">
        <v>1345</v>
      </c>
      <c r="J454" s="53"/>
      <c r="K454" s="53"/>
      <c r="L454" s="53" t="s">
        <v>1312</v>
      </c>
      <c r="M454" s="53"/>
      <c r="N454" s="54"/>
      <c r="O454" s="55" t="s">
        <v>1308</v>
      </c>
      <c r="P454" s="55" t="s">
        <v>1343</v>
      </c>
      <c r="Q454" s="56"/>
      <c r="R454" s="57">
        <v>0</v>
      </c>
      <c r="S454" s="57"/>
      <c r="T454" t="b">
        <v>0</v>
      </c>
      <c r="U454" s="57"/>
      <c r="V454" s="57">
        <v>74602</v>
      </c>
      <c r="W454" s="57"/>
      <c r="X454" s="57"/>
      <c r="Y454" s="57">
        <v>85503</v>
      </c>
      <c r="Z454" s="57"/>
      <c r="AA454" s="4" t="s">
        <v>1346</v>
      </c>
    </row>
    <row r="455" spans="1:27">
      <c r="A455" s="53">
        <v>100030053</v>
      </c>
      <c r="B455" s="53">
        <v>7</v>
      </c>
      <c r="C455" s="53" t="s">
        <v>1305</v>
      </c>
      <c r="D455" s="53">
        <v>15</v>
      </c>
      <c r="E455" s="53"/>
      <c r="F455" s="53">
        <v>30051</v>
      </c>
      <c r="G455" s="53"/>
      <c r="H455" s="53">
        <f>A456</f>
        <v>100030054</v>
      </c>
      <c r="I455" s="53" t="s">
        <v>1347</v>
      </c>
      <c r="J455" s="53"/>
      <c r="K455" s="53"/>
      <c r="L455" s="53" t="s">
        <v>1348</v>
      </c>
      <c r="M455" s="53"/>
      <c r="N455" s="54"/>
      <c r="O455" s="55" t="s">
        <v>1308</v>
      </c>
      <c r="P455" s="55" t="s">
        <v>1343</v>
      </c>
      <c r="Q455" s="56"/>
      <c r="R455" s="57">
        <v>0</v>
      </c>
      <c r="S455" s="57"/>
      <c r="T455" t="b">
        <v>0</v>
      </c>
      <c r="U455" s="57"/>
      <c r="V455" s="57">
        <v>74603</v>
      </c>
      <c r="W455" s="57"/>
      <c r="X455" s="57"/>
      <c r="Y455" s="57">
        <v>85503</v>
      </c>
      <c r="Z455" s="57"/>
      <c r="AA455" s="4" t="s">
        <v>1349</v>
      </c>
    </row>
    <row r="456" spans="1:27">
      <c r="A456" s="53">
        <v>100030054</v>
      </c>
      <c r="B456" s="53">
        <v>7</v>
      </c>
      <c r="C456" s="53" t="s">
        <v>1305</v>
      </c>
      <c r="D456" s="53">
        <v>15</v>
      </c>
      <c r="E456" s="53"/>
      <c r="F456" s="53">
        <v>30051</v>
      </c>
      <c r="G456" s="53"/>
      <c r="H456" s="53">
        <f>A457</f>
        <v>100030055</v>
      </c>
      <c r="I456" s="53" t="s">
        <v>1350</v>
      </c>
      <c r="J456" s="53"/>
      <c r="K456" s="53"/>
      <c r="L456" s="53" t="s">
        <v>1318</v>
      </c>
      <c r="M456" s="53"/>
      <c r="N456" s="54"/>
      <c r="O456" s="55" t="s">
        <v>1308</v>
      </c>
      <c r="P456" s="55" t="s">
        <v>1343</v>
      </c>
      <c r="Q456" s="56"/>
      <c r="R456" s="57">
        <v>0</v>
      </c>
      <c r="S456" s="57"/>
      <c r="T456" t="b">
        <v>0</v>
      </c>
      <c r="U456" s="57"/>
      <c r="V456" s="57">
        <v>74604</v>
      </c>
      <c r="W456" s="57"/>
      <c r="X456" s="57"/>
      <c r="Y456" s="57">
        <v>85503</v>
      </c>
      <c r="Z456" s="57"/>
      <c r="AA456" s="4" t="s">
        <v>1351</v>
      </c>
    </row>
    <row r="457" spans="1:27">
      <c r="A457" s="53">
        <v>100030055</v>
      </c>
      <c r="B457" s="53">
        <v>7</v>
      </c>
      <c r="C457" s="53" t="s">
        <v>1305</v>
      </c>
      <c r="D457" s="53">
        <v>15</v>
      </c>
      <c r="E457" s="53"/>
      <c r="F457" s="53">
        <v>30051</v>
      </c>
      <c r="G457" s="53"/>
      <c r="H457" s="53">
        <f>A458</f>
        <v>100030056</v>
      </c>
      <c r="I457" s="53" t="s">
        <v>1352</v>
      </c>
      <c r="J457" s="53"/>
      <c r="K457" s="53"/>
      <c r="L457" s="53" t="s">
        <v>1321</v>
      </c>
      <c r="M457" s="53"/>
      <c r="N457" s="54"/>
      <c r="O457" s="55" t="s">
        <v>1308</v>
      </c>
      <c r="P457" s="55" t="s">
        <v>1343</v>
      </c>
      <c r="Q457" s="56"/>
      <c r="R457" s="57">
        <v>0</v>
      </c>
      <c r="S457" s="57"/>
      <c r="T457" t="b">
        <v>0</v>
      </c>
      <c r="U457" s="57"/>
      <c r="V457" s="57">
        <v>74605</v>
      </c>
      <c r="W457" s="57"/>
      <c r="X457" s="57"/>
      <c r="Y457" s="57">
        <v>85503</v>
      </c>
      <c r="Z457" s="57"/>
      <c r="AA457" s="4" t="s">
        <v>1353</v>
      </c>
    </row>
    <row r="458" spans="1:27">
      <c r="A458" s="53">
        <v>100030056</v>
      </c>
      <c r="B458" s="53">
        <v>7</v>
      </c>
      <c r="C458" s="53" t="s">
        <v>1305</v>
      </c>
      <c r="D458" s="53">
        <v>15</v>
      </c>
      <c r="E458" s="53"/>
      <c r="F458" s="53">
        <v>30051</v>
      </c>
      <c r="G458" s="53"/>
      <c r="H458" s="53"/>
      <c r="I458" s="53" t="s">
        <v>1354</v>
      </c>
      <c r="J458" s="53"/>
      <c r="K458" s="53"/>
      <c r="L458" s="53" t="s">
        <v>1355</v>
      </c>
      <c r="M458" s="53"/>
      <c r="N458" s="54"/>
      <c r="O458" s="55" t="s">
        <v>1308</v>
      </c>
      <c r="P458" s="55" t="s">
        <v>1343</v>
      </c>
      <c r="Q458" s="56"/>
      <c r="R458" s="57">
        <v>0</v>
      </c>
      <c r="S458" s="57"/>
      <c r="T458" t="b">
        <v>0</v>
      </c>
      <c r="U458" s="57"/>
      <c r="V458" s="57">
        <v>74606</v>
      </c>
      <c r="W458" s="57"/>
      <c r="X458" s="57"/>
      <c r="Y458" s="57">
        <v>85503</v>
      </c>
      <c r="Z458" s="57"/>
      <c r="AA458" s="4" t="s">
        <v>1356</v>
      </c>
    </row>
    <row r="459" spans="1:27">
      <c r="A459" s="53">
        <v>100030061</v>
      </c>
      <c r="B459" s="53">
        <v>7</v>
      </c>
      <c r="C459" s="53" t="s">
        <v>1305</v>
      </c>
      <c r="D459" s="53">
        <v>16</v>
      </c>
      <c r="E459" s="53"/>
      <c r="F459" s="53">
        <v>30061</v>
      </c>
      <c r="G459" s="53"/>
      <c r="H459" s="53">
        <f>A460</f>
        <v>100030062</v>
      </c>
      <c r="I459" s="53" t="s">
        <v>1357</v>
      </c>
      <c r="J459" s="53"/>
      <c r="K459" s="53"/>
      <c r="L459" s="53" t="s">
        <v>1327</v>
      </c>
      <c r="M459" s="53"/>
      <c r="N459" s="54"/>
      <c r="O459" s="55" t="s">
        <v>1308</v>
      </c>
      <c r="P459" s="55" t="s">
        <v>1358</v>
      </c>
      <c r="Q459" s="56"/>
      <c r="R459" s="57">
        <v>0</v>
      </c>
      <c r="S459" s="57"/>
      <c r="T459" t="b">
        <v>0</v>
      </c>
      <c r="U459" s="57"/>
      <c r="V459" s="57">
        <v>74621</v>
      </c>
      <c r="W459" s="57"/>
      <c r="X459" s="57"/>
      <c r="Y459" s="57">
        <v>85504</v>
      </c>
      <c r="Z459" s="57"/>
      <c r="AA459" s="4" t="s">
        <v>1359</v>
      </c>
    </row>
    <row r="460" spans="1:27">
      <c r="A460" s="53">
        <v>100030062</v>
      </c>
      <c r="B460" s="53">
        <v>7</v>
      </c>
      <c r="C460" s="53" t="s">
        <v>1305</v>
      </c>
      <c r="D460" s="53">
        <v>16</v>
      </c>
      <c r="E460" s="53"/>
      <c r="F460" s="53">
        <v>30061</v>
      </c>
      <c r="G460" s="53"/>
      <c r="H460" s="53">
        <f>A461</f>
        <v>100030063</v>
      </c>
      <c r="I460" s="53" t="s">
        <v>1360</v>
      </c>
      <c r="J460" s="53"/>
      <c r="K460" s="53"/>
      <c r="L460" s="53" t="s">
        <v>1312</v>
      </c>
      <c r="M460" s="53"/>
      <c r="N460" s="54"/>
      <c r="O460" s="55" t="s">
        <v>1308</v>
      </c>
      <c r="P460" s="55" t="s">
        <v>1358</v>
      </c>
      <c r="Q460" s="56"/>
      <c r="R460" s="57">
        <v>0</v>
      </c>
      <c r="S460" s="57"/>
      <c r="T460" t="b">
        <v>0</v>
      </c>
      <c r="U460" s="57"/>
      <c r="V460" s="57">
        <v>74622</v>
      </c>
      <c r="W460" s="57"/>
      <c r="X460" s="57"/>
      <c r="Y460" s="57">
        <v>85504</v>
      </c>
      <c r="Z460" s="57"/>
      <c r="AA460" s="4" t="s">
        <v>1361</v>
      </c>
    </row>
    <row r="461" spans="1:27">
      <c r="A461" s="53">
        <v>100030063</v>
      </c>
      <c r="B461" s="53">
        <v>7</v>
      </c>
      <c r="C461" s="53" t="s">
        <v>1305</v>
      </c>
      <c r="D461" s="53">
        <v>16</v>
      </c>
      <c r="E461" s="53"/>
      <c r="F461" s="53">
        <v>30061</v>
      </c>
      <c r="G461" s="53"/>
      <c r="H461" s="53">
        <f>A462</f>
        <v>100030064</v>
      </c>
      <c r="I461" s="53" t="s">
        <v>1362</v>
      </c>
      <c r="J461" s="53"/>
      <c r="K461" s="53"/>
      <c r="L461" s="53" t="s">
        <v>1363</v>
      </c>
      <c r="M461" s="53"/>
      <c r="N461" s="54"/>
      <c r="O461" s="55" t="s">
        <v>1308</v>
      </c>
      <c r="P461" s="55" t="s">
        <v>1358</v>
      </c>
      <c r="Q461" s="56"/>
      <c r="R461" s="57">
        <v>0</v>
      </c>
      <c r="S461" s="57"/>
      <c r="T461" t="b">
        <v>0</v>
      </c>
      <c r="U461" s="57"/>
      <c r="V461" s="57">
        <v>74623</v>
      </c>
      <c r="W461" s="57"/>
      <c r="X461" s="57"/>
      <c r="Y461" s="57">
        <v>85504</v>
      </c>
      <c r="Z461" s="57"/>
      <c r="AA461" s="4" t="s">
        <v>1364</v>
      </c>
    </row>
    <row r="462" spans="1:27">
      <c r="A462" s="53">
        <v>100030064</v>
      </c>
      <c r="B462" s="53">
        <v>7</v>
      </c>
      <c r="C462" s="53" t="s">
        <v>1305</v>
      </c>
      <c r="D462" s="53">
        <v>16</v>
      </c>
      <c r="E462" s="53"/>
      <c r="F462" s="53">
        <v>30061</v>
      </c>
      <c r="G462" s="53"/>
      <c r="H462" s="53">
        <f>A463</f>
        <v>100030065</v>
      </c>
      <c r="I462" s="53" t="s">
        <v>1365</v>
      </c>
      <c r="J462" s="53"/>
      <c r="K462" s="53"/>
      <c r="L462" s="53" t="s">
        <v>1318</v>
      </c>
      <c r="M462" s="53"/>
      <c r="N462" s="54"/>
      <c r="O462" s="55" t="s">
        <v>1308</v>
      </c>
      <c r="P462" s="55" t="s">
        <v>1358</v>
      </c>
      <c r="Q462" s="56"/>
      <c r="R462" s="57">
        <v>0</v>
      </c>
      <c r="S462" s="57"/>
      <c r="T462" t="b">
        <v>0</v>
      </c>
      <c r="U462" s="57"/>
      <c r="V462" s="57">
        <v>74624</v>
      </c>
      <c r="W462" s="57"/>
      <c r="X462" s="57"/>
      <c r="Y462" s="57">
        <v>85504</v>
      </c>
      <c r="Z462" s="57"/>
      <c r="AA462" s="4" t="s">
        <v>1366</v>
      </c>
    </row>
    <row r="463" spans="1:27">
      <c r="A463" s="53">
        <v>100030065</v>
      </c>
      <c r="B463" s="53">
        <v>7</v>
      </c>
      <c r="C463" s="53" t="s">
        <v>1305</v>
      </c>
      <c r="D463" s="53">
        <v>16</v>
      </c>
      <c r="E463" s="53"/>
      <c r="F463" s="53">
        <v>30061</v>
      </c>
      <c r="G463" s="53"/>
      <c r="H463" s="53">
        <f>A464</f>
        <v>100030066</v>
      </c>
      <c r="I463" s="53" t="s">
        <v>1367</v>
      </c>
      <c r="J463" s="53"/>
      <c r="K463" s="53"/>
      <c r="L463" s="53" t="s">
        <v>1321</v>
      </c>
      <c r="M463" s="53"/>
      <c r="N463" s="54"/>
      <c r="O463" s="55" t="s">
        <v>1308</v>
      </c>
      <c r="P463" s="55" t="s">
        <v>1358</v>
      </c>
      <c r="Q463" s="56"/>
      <c r="R463" s="57">
        <v>0</v>
      </c>
      <c r="S463" s="57"/>
      <c r="T463" t="b">
        <v>0</v>
      </c>
      <c r="U463" s="57"/>
      <c r="V463" s="57">
        <v>74625</v>
      </c>
      <c r="W463" s="57"/>
      <c r="X463" s="57"/>
      <c r="Y463" s="57">
        <v>85504</v>
      </c>
      <c r="Z463" s="57"/>
      <c r="AA463" s="4" t="s">
        <v>1368</v>
      </c>
    </row>
    <row r="464" spans="1:27">
      <c r="A464" s="53">
        <v>100030066</v>
      </c>
      <c r="B464" s="53">
        <v>7</v>
      </c>
      <c r="C464" s="53" t="s">
        <v>1305</v>
      </c>
      <c r="D464" s="53">
        <v>16</v>
      </c>
      <c r="E464" s="53"/>
      <c r="F464" s="53">
        <v>30061</v>
      </c>
      <c r="G464" s="53"/>
      <c r="H464" s="53"/>
      <c r="I464" s="53" t="s">
        <v>1369</v>
      </c>
      <c r="J464" s="53"/>
      <c r="K464" s="53"/>
      <c r="L464" s="53" t="s">
        <v>1370</v>
      </c>
      <c r="M464" s="53"/>
      <c r="N464" s="54"/>
      <c r="O464" s="55" t="s">
        <v>1308</v>
      </c>
      <c r="P464" s="55" t="s">
        <v>1358</v>
      </c>
      <c r="Q464" s="56"/>
      <c r="R464" s="57">
        <v>0</v>
      </c>
      <c r="S464" s="57"/>
      <c r="T464" t="b">
        <v>0</v>
      </c>
      <c r="U464" s="57"/>
      <c r="V464" s="57">
        <v>74626</v>
      </c>
      <c r="W464" s="57"/>
      <c r="X464" s="57"/>
      <c r="Y464" s="57">
        <v>85504</v>
      </c>
      <c r="Z464" s="57"/>
      <c r="AA464" s="4" t="s">
        <v>1371</v>
      </c>
    </row>
    <row r="465" spans="1:27">
      <c r="A465" s="53">
        <v>100030071</v>
      </c>
      <c r="B465" s="53">
        <v>7</v>
      </c>
      <c r="C465" s="53" t="s">
        <v>1305</v>
      </c>
      <c r="D465" s="53">
        <v>17</v>
      </c>
      <c r="E465" s="53"/>
      <c r="F465" s="53">
        <v>30071</v>
      </c>
      <c r="G465" s="53"/>
      <c r="H465" s="53">
        <f>A466</f>
        <v>100030072</v>
      </c>
      <c r="I465" s="53" t="s">
        <v>1372</v>
      </c>
      <c r="J465" s="53"/>
      <c r="K465" s="53"/>
      <c r="L465" s="53" t="s">
        <v>1327</v>
      </c>
      <c r="M465" s="53"/>
      <c r="N465" s="54"/>
      <c r="O465" s="55">
        <v>3017</v>
      </c>
      <c r="P465" s="55" t="s">
        <v>1373</v>
      </c>
      <c r="Q465" s="56"/>
      <c r="R465" s="57">
        <v>0</v>
      </c>
      <c r="S465" s="57"/>
      <c r="T465" t="b">
        <v>0</v>
      </c>
      <c r="U465" s="57"/>
      <c r="V465" s="57">
        <v>74641</v>
      </c>
      <c r="W465" s="57"/>
      <c r="X465" s="57"/>
      <c r="Y465" s="57"/>
      <c r="Z465" s="57"/>
      <c r="AA465" s="4" t="s">
        <v>1374</v>
      </c>
    </row>
    <row r="466" spans="1:27">
      <c r="A466" s="53">
        <v>100030072</v>
      </c>
      <c r="B466" s="53">
        <v>7</v>
      </c>
      <c r="C466" s="53" t="s">
        <v>1305</v>
      </c>
      <c r="D466" s="53">
        <v>17</v>
      </c>
      <c r="E466" s="53"/>
      <c r="F466" s="53">
        <v>30071</v>
      </c>
      <c r="G466" s="53"/>
      <c r="H466" s="53">
        <f>A467</f>
        <v>100030073</v>
      </c>
      <c r="I466" s="53" t="s">
        <v>1375</v>
      </c>
      <c r="J466" s="53"/>
      <c r="K466" s="53"/>
      <c r="L466" s="53" t="s">
        <v>1312</v>
      </c>
      <c r="M466" s="53"/>
      <c r="N466" s="54"/>
      <c r="O466" s="55">
        <v>3017</v>
      </c>
      <c r="P466" s="55" t="s">
        <v>1373</v>
      </c>
      <c r="Q466" s="56"/>
      <c r="R466" s="57">
        <v>0</v>
      </c>
      <c r="S466" s="57"/>
      <c r="T466" t="b">
        <v>0</v>
      </c>
      <c r="U466" s="57"/>
      <c r="V466" s="57">
        <v>74642</v>
      </c>
      <c r="W466" s="57"/>
      <c r="X466" s="57"/>
      <c r="Y466" s="57"/>
      <c r="Z466" s="57"/>
      <c r="AA466" s="4" t="s">
        <v>1376</v>
      </c>
    </row>
    <row r="467" spans="1:27">
      <c r="A467" s="53">
        <v>100030073</v>
      </c>
      <c r="B467" s="53">
        <v>7</v>
      </c>
      <c r="C467" s="53" t="s">
        <v>1305</v>
      </c>
      <c r="D467" s="53">
        <v>17</v>
      </c>
      <c r="E467" s="53"/>
      <c r="F467" s="53">
        <v>30071</v>
      </c>
      <c r="G467" s="53"/>
      <c r="H467" s="53">
        <f>A468</f>
        <v>100030074</v>
      </c>
      <c r="I467" s="53" t="s">
        <v>1377</v>
      </c>
      <c r="J467" s="53"/>
      <c r="K467" s="53"/>
      <c r="L467" s="53" t="s">
        <v>1378</v>
      </c>
      <c r="M467" s="53"/>
      <c r="N467" s="54"/>
      <c r="O467" s="55">
        <v>3017</v>
      </c>
      <c r="P467" s="55" t="s">
        <v>1373</v>
      </c>
      <c r="Q467" s="56"/>
      <c r="R467" s="57">
        <v>0</v>
      </c>
      <c r="S467" s="57"/>
      <c r="T467" t="b">
        <v>0</v>
      </c>
      <c r="U467" s="57"/>
      <c r="V467" s="57">
        <v>74643</v>
      </c>
      <c r="W467" s="57"/>
      <c r="X467" s="57"/>
      <c r="Y467" s="57"/>
      <c r="Z467" s="57"/>
      <c r="AA467" s="4" t="s">
        <v>1379</v>
      </c>
    </row>
    <row r="468" spans="1:27">
      <c r="A468" s="53">
        <v>100030074</v>
      </c>
      <c r="B468" s="53">
        <v>7</v>
      </c>
      <c r="C468" s="53" t="s">
        <v>1305</v>
      </c>
      <c r="D468" s="53">
        <v>17</v>
      </c>
      <c r="E468" s="53"/>
      <c r="F468" s="53">
        <v>30071</v>
      </c>
      <c r="G468" s="53"/>
      <c r="H468" s="53">
        <f>A469</f>
        <v>100030075</v>
      </c>
      <c r="I468" s="53" t="s">
        <v>1380</v>
      </c>
      <c r="J468" s="53"/>
      <c r="K468" s="53"/>
      <c r="L468" s="53" t="s">
        <v>1318</v>
      </c>
      <c r="M468" s="53"/>
      <c r="N468" s="54"/>
      <c r="O468" s="55">
        <v>3017</v>
      </c>
      <c r="P468" s="55" t="s">
        <v>1381</v>
      </c>
      <c r="Q468" s="56"/>
      <c r="R468" s="57">
        <v>0</v>
      </c>
      <c r="S468" s="57"/>
      <c r="T468" t="b">
        <v>0</v>
      </c>
      <c r="U468" s="57"/>
      <c r="V468" s="57">
        <v>74644</v>
      </c>
      <c r="W468" s="57"/>
      <c r="X468" s="57"/>
      <c r="Y468" s="57"/>
      <c r="Z468" s="57"/>
      <c r="AA468" s="4" t="s">
        <v>1382</v>
      </c>
    </row>
    <row r="469" spans="1:27">
      <c r="A469" s="53">
        <v>100030075</v>
      </c>
      <c r="B469" s="53">
        <v>7</v>
      </c>
      <c r="C469" s="53" t="s">
        <v>1305</v>
      </c>
      <c r="D469" s="53">
        <v>17</v>
      </c>
      <c r="E469" s="53"/>
      <c r="F469" s="53">
        <v>30071</v>
      </c>
      <c r="G469" s="53"/>
      <c r="H469" s="53">
        <f>A470</f>
        <v>100030076</v>
      </c>
      <c r="I469" s="53" t="s">
        <v>1383</v>
      </c>
      <c r="J469" s="53"/>
      <c r="K469" s="53"/>
      <c r="L469" s="53" t="s">
        <v>1321</v>
      </c>
      <c r="M469" s="53"/>
      <c r="N469" s="54"/>
      <c r="O469" s="55">
        <v>3017</v>
      </c>
      <c r="P469" s="55" t="s">
        <v>1381</v>
      </c>
      <c r="Q469" s="56"/>
      <c r="R469" s="57">
        <v>0</v>
      </c>
      <c r="S469" s="57"/>
      <c r="T469" t="b">
        <v>0</v>
      </c>
      <c r="U469" s="57"/>
      <c r="V469" s="57">
        <v>74645</v>
      </c>
      <c r="W469" s="57"/>
      <c r="X469" s="57"/>
      <c r="Y469" s="57"/>
      <c r="Z469" s="57"/>
      <c r="AA469" s="4" t="s">
        <v>1384</v>
      </c>
    </row>
    <row r="470" spans="1:27">
      <c r="A470" s="53">
        <v>100030076</v>
      </c>
      <c r="B470" s="53">
        <v>7</v>
      </c>
      <c r="C470" s="53" t="s">
        <v>1305</v>
      </c>
      <c r="D470" s="53">
        <v>17</v>
      </c>
      <c r="E470" s="53"/>
      <c r="F470" s="53">
        <v>30071</v>
      </c>
      <c r="G470" s="53"/>
      <c r="H470" s="53"/>
      <c r="I470" s="53" t="s">
        <v>1385</v>
      </c>
      <c r="J470" s="53"/>
      <c r="K470" s="53"/>
      <c r="L470" s="53" t="s">
        <v>1386</v>
      </c>
      <c r="M470" s="53"/>
      <c r="N470" s="54"/>
      <c r="O470" s="55">
        <v>3017</v>
      </c>
      <c r="P470" s="55" t="s">
        <v>1381</v>
      </c>
      <c r="Q470" s="56"/>
      <c r="R470" s="57">
        <v>0</v>
      </c>
      <c r="S470" s="57"/>
      <c r="T470" t="b">
        <v>0</v>
      </c>
      <c r="U470" s="57"/>
      <c r="V470" s="57">
        <v>74646</v>
      </c>
      <c r="W470" s="57"/>
      <c r="X470" s="57"/>
      <c r="Y470" s="57"/>
      <c r="Z470" s="57"/>
      <c r="AA470" s="4" t="s">
        <v>1387</v>
      </c>
    </row>
    <row r="471" spans="1:27">
      <c r="A471" s="53">
        <v>100030091</v>
      </c>
      <c r="B471" s="53">
        <v>7</v>
      </c>
      <c r="C471" s="53" t="s">
        <v>1305</v>
      </c>
      <c r="D471" s="53">
        <v>18</v>
      </c>
      <c r="E471" s="53"/>
      <c r="F471" s="53">
        <v>30091</v>
      </c>
      <c r="G471" s="53"/>
      <c r="H471" s="53">
        <f>A472</f>
        <v>100030092</v>
      </c>
      <c r="I471" s="53" t="s">
        <v>1388</v>
      </c>
      <c r="J471" s="53"/>
      <c r="K471" s="53"/>
      <c r="L471" s="53" t="s">
        <v>1327</v>
      </c>
      <c r="M471" s="53"/>
      <c r="N471" s="54"/>
      <c r="O471" s="55" t="s">
        <v>1308</v>
      </c>
      <c r="P471" s="55" t="s">
        <v>1389</v>
      </c>
      <c r="Q471" s="56"/>
      <c r="R471" s="57">
        <v>0</v>
      </c>
      <c r="S471" s="57"/>
      <c r="T471" t="b">
        <v>0</v>
      </c>
      <c r="U471" s="57"/>
      <c r="V471" s="57">
        <v>74681</v>
      </c>
      <c r="W471" s="57"/>
      <c r="X471" s="57"/>
      <c r="Y471" s="57">
        <v>85505</v>
      </c>
      <c r="Z471" s="57"/>
      <c r="AA471" s="4" t="s">
        <v>1390</v>
      </c>
    </row>
    <row r="472" spans="1:27">
      <c r="A472" s="53">
        <v>100030092</v>
      </c>
      <c r="B472" s="53">
        <v>7</v>
      </c>
      <c r="C472" s="53" t="s">
        <v>1305</v>
      </c>
      <c r="D472" s="53">
        <v>18</v>
      </c>
      <c r="E472" s="53"/>
      <c r="F472" s="53">
        <v>30091</v>
      </c>
      <c r="G472" s="53"/>
      <c r="H472" s="53">
        <f>A473</f>
        <v>100030093</v>
      </c>
      <c r="I472" s="53" t="s">
        <v>1391</v>
      </c>
      <c r="J472" s="53"/>
      <c r="K472" s="53"/>
      <c r="L472" s="53" t="s">
        <v>1312</v>
      </c>
      <c r="M472" s="53"/>
      <c r="N472" s="54"/>
      <c r="O472" s="55" t="s">
        <v>1308</v>
      </c>
      <c r="P472" s="55" t="s">
        <v>1389</v>
      </c>
      <c r="Q472" s="56"/>
      <c r="R472" s="57">
        <v>0</v>
      </c>
      <c r="S472" s="57"/>
      <c r="T472" t="b">
        <v>0</v>
      </c>
      <c r="U472" s="57"/>
      <c r="V472" s="57">
        <v>74682</v>
      </c>
      <c r="W472" s="57"/>
      <c r="X472" s="57"/>
      <c r="Y472" s="57">
        <v>85505</v>
      </c>
      <c r="Z472" s="57"/>
      <c r="AA472" s="4" t="s">
        <v>1392</v>
      </c>
    </row>
    <row r="473" spans="1:27">
      <c r="A473" s="53">
        <v>100030093</v>
      </c>
      <c r="B473" s="53">
        <v>7</v>
      </c>
      <c r="C473" s="53" t="s">
        <v>1305</v>
      </c>
      <c r="D473" s="53">
        <v>18</v>
      </c>
      <c r="E473" s="53"/>
      <c r="F473" s="53">
        <v>30091</v>
      </c>
      <c r="G473" s="53"/>
      <c r="H473" s="53">
        <f>A474</f>
        <v>100030094</v>
      </c>
      <c r="I473" s="53" t="s">
        <v>1393</v>
      </c>
      <c r="J473" s="53"/>
      <c r="K473" s="53"/>
      <c r="L473" s="53" t="s">
        <v>1394</v>
      </c>
      <c r="M473" s="53"/>
      <c r="N473" s="54"/>
      <c r="O473" s="55" t="s">
        <v>1308</v>
      </c>
      <c r="P473" s="55" t="s">
        <v>1389</v>
      </c>
      <c r="Q473" s="56"/>
      <c r="R473" s="57">
        <v>0</v>
      </c>
      <c r="S473" s="57"/>
      <c r="T473" t="b">
        <v>0</v>
      </c>
      <c r="U473" s="57"/>
      <c r="V473" s="57">
        <v>74683</v>
      </c>
      <c r="W473" s="57"/>
      <c r="X473" s="57"/>
      <c r="Y473" s="57">
        <v>85505</v>
      </c>
      <c r="Z473" s="57"/>
      <c r="AA473" s="4" t="s">
        <v>1395</v>
      </c>
    </row>
    <row r="474" spans="1:27">
      <c r="A474" s="53">
        <v>100030094</v>
      </c>
      <c r="B474" s="53">
        <v>7</v>
      </c>
      <c r="C474" s="53" t="s">
        <v>1305</v>
      </c>
      <c r="D474" s="53">
        <v>18</v>
      </c>
      <c r="E474" s="53"/>
      <c r="F474" s="53">
        <v>30091</v>
      </c>
      <c r="G474" s="53"/>
      <c r="H474" s="53">
        <f>A475</f>
        <v>100030095</v>
      </c>
      <c r="I474" s="53" t="s">
        <v>1396</v>
      </c>
      <c r="J474" s="53"/>
      <c r="K474" s="53"/>
      <c r="L474" s="53" t="s">
        <v>1318</v>
      </c>
      <c r="M474" s="53"/>
      <c r="N474" s="54"/>
      <c r="O474" s="55" t="s">
        <v>1308</v>
      </c>
      <c r="P474" s="55" t="s">
        <v>1389</v>
      </c>
      <c r="Q474" s="56"/>
      <c r="R474" s="57">
        <v>0</v>
      </c>
      <c r="S474" s="57"/>
      <c r="T474" t="b">
        <v>0</v>
      </c>
      <c r="U474" s="57"/>
      <c r="V474" s="57">
        <v>74684</v>
      </c>
      <c r="W474" s="57"/>
      <c r="X474" s="57"/>
      <c r="Y474" s="57">
        <v>85505</v>
      </c>
      <c r="Z474" s="57"/>
      <c r="AA474" s="4" t="s">
        <v>1397</v>
      </c>
    </row>
    <row r="475" spans="1:27">
      <c r="A475" s="53">
        <v>100030095</v>
      </c>
      <c r="B475" s="53">
        <v>7</v>
      </c>
      <c r="C475" s="53" t="s">
        <v>1305</v>
      </c>
      <c r="D475" s="53">
        <v>18</v>
      </c>
      <c r="E475" s="53"/>
      <c r="F475" s="53">
        <v>30091</v>
      </c>
      <c r="G475" s="53"/>
      <c r="H475" s="53">
        <f>A476</f>
        <v>100030096</v>
      </c>
      <c r="I475" s="53" t="s">
        <v>1398</v>
      </c>
      <c r="J475" s="53"/>
      <c r="K475" s="53"/>
      <c r="L475" s="53" t="s">
        <v>1321</v>
      </c>
      <c r="M475" s="53"/>
      <c r="N475" s="54"/>
      <c r="O475" s="55" t="s">
        <v>1308</v>
      </c>
      <c r="P475" s="55" t="s">
        <v>1389</v>
      </c>
      <c r="Q475" s="56"/>
      <c r="R475" s="57">
        <v>0</v>
      </c>
      <c r="S475" s="57"/>
      <c r="T475" t="b">
        <v>0</v>
      </c>
      <c r="U475" s="57"/>
      <c r="V475" s="57">
        <v>74685</v>
      </c>
      <c r="W475" s="57"/>
      <c r="X475" s="57"/>
      <c r="Y475" s="57">
        <v>85505</v>
      </c>
      <c r="Z475" s="57"/>
      <c r="AA475" s="4" t="s">
        <v>1399</v>
      </c>
    </row>
    <row r="476" spans="1:27">
      <c r="A476" s="53">
        <v>100030096</v>
      </c>
      <c r="B476" s="53">
        <v>7</v>
      </c>
      <c r="C476" s="53" t="s">
        <v>1305</v>
      </c>
      <c r="D476" s="53">
        <v>18</v>
      </c>
      <c r="E476" s="53"/>
      <c r="F476" s="53">
        <v>30091</v>
      </c>
      <c r="G476" s="53"/>
      <c r="H476" s="53"/>
      <c r="I476" s="53" t="s">
        <v>1400</v>
      </c>
      <c r="J476" s="53"/>
      <c r="K476" s="53"/>
      <c r="L476" s="53" t="s">
        <v>1401</v>
      </c>
      <c r="M476" s="53"/>
      <c r="N476" s="54"/>
      <c r="O476" s="55" t="s">
        <v>1308</v>
      </c>
      <c r="P476" s="55" t="s">
        <v>1389</v>
      </c>
      <c r="Q476" s="56"/>
      <c r="R476" s="57">
        <v>0</v>
      </c>
      <c r="S476" s="57"/>
      <c r="T476" t="b">
        <v>0</v>
      </c>
      <c r="U476" s="57"/>
      <c r="V476" s="57">
        <v>74686</v>
      </c>
      <c r="W476" s="57"/>
      <c r="X476" s="57"/>
      <c r="Y476" s="57">
        <v>85505</v>
      </c>
      <c r="Z476" s="57"/>
      <c r="AA476" s="4" t="s">
        <v>1402</v>
      </c>
    </row>
    <row r="477" spans="1:27">
      <c r="A477" s="4">
        <v>100040001</v>
      </c>
      <c r="B477" s="4">
        <v>4</v>
      </c>
      <c r="C477" s="4" t="s">
        <v>1403</v>
      </c>
      <c r="I477" s="4" t="s">
        <v>1404</v>
      </c>
      <c r="L477" s="4" t="s">
        <v>1405</v>
      </c>
      <c r="Q477" s="38"/>
      <c r="R477" s="38">
        <v>1</v>
      </c>
      <c r="S477" s="38"/>
      <c r="T477" t="b">
        <v>0</v>
      </c>
      <c r="U477" s="38"/>
      <c r="V477" s="50">
        <v>4058133</v>
      </c>
      <c r="W477" s="50"/>
      <c r="X477" s="50" t="s">
        <v>1406</v>
      </c>
      <c r="Y477" s="50"/>
      <c r="Z477" s="50"/>
      <c r="AA477" s="4" t="s">
        <v>1407</v>
      </c>
    </row>
    <row r="478" spans="1:27">
      <c r="A478" s="4">
        <v>100040002</v>
      </c>
      <c r="B478" s="4">
        <v>4</v>
      </c>
      <c r="C478" s="4" t="s">
        <v>1403</v>
      </c>
      <c r="I478" s="4" t="s">
        <v>1408</v>
      </c>
      <c r="L478" s="4" t="s">
        <v>1409</v>
      </c>
      <c r="Q478" s="38"/>
      <c r="R478" s="38">
        <v>2</v>
      </c>
      <c r="S478" s="38"/>
      <c r="T478" t="b">
        <v>0</v>
      </c>
      <c r="U478" s="38"/>
      <c r="V478" s="50">
        <v>4058134</v>
      </c>
      <c r="W478" s="50"/>
      <c r="X478" s="50" t="s">
        <v>1410</v>
      </c>
      <c r="Y478" s="50"/>
      <c r="Z478" s="50"/>
      <c r="AA478" s="4" t="s">
        <v>1411</v>
      </c>
    </row>
    <row r="479" spans="1:27">
      <c r="A479" s="4">
        <v>100040003</v>
      </c>
      <c r="B479" s="4">
        <v>4</v>
      </c>
      <c r="C479" s="4" t="s">
        <v>1403</v>
      </c>
      <c r="I479" s="4" t="s">
        <v>1412</v>
      </c>
      <c r="L479" s="4" t="s">
        <v>1413</v>
      </c>
      <c r="Q479" s="38"/>
      <c r="R479" s="38">
        <v>3</v>
      </c>
      <c r="S479" s="38"/>
      <c r="T479" t="b">
        <v>0</v>
      </c>
      <c r="U479" s="38"/>
      <c r="V479" s="50">
        <v>4058135</v>
      </c>
      <c r="W479" s="50"/>
      <c r="X479" s="50" t="s">
        <v>1414</v>
      </c>
      <c r="Y479" s="50"/>
      <c r="Z479" s="50"/>
      <c r="AA479" s="4" t="s">
        <v>1415</v>
      </c>
    </row>
    <row r="480" spans="1:27">
      <c r="A480" s="4">
        <v>100040004</v>
      </c>
      <c r="B480" s="4">
        <v>4</v>
      </c>
      <c r="C480" s="4" t="s">
        <v>1403</v>
      </c>
      <c r="I480" s="4" t="s">
        <v>1416</v>
      </c>
      <c r="L480" s="4" t="s">
        <v>1405</v>
      </c>
      <c r="Q480" s="38"/>
      <c r="R480" s="38">
        <v>1</v>
      </c>
      <c r="S480" s="38"/>
      <c r="T480" t="b">
        <v>0</v>
      </c>
      <c r="U480" s="38"/>
      <c r="V480" s="50">
        <v>4058154</v>
      </c>
      <c r="W480" s="50"/>
      <c r="X480" s="50" t="s">
        <v>1406</v>
      </c>
      <c r="Y480" s="50"/>
      <c r="Z480" s="50"/>
      <c r="AA480" s="4" t="s">
        <v>1417</v>
      </c>
    </row>
    <row r="481" spans="1:27">
      <c r="A481" s="4">
        <v>100040005</v>
      </c>
      <c r="B481" s="4">
        <v>4</v>
      </c>
      <c r="C481" s="4" t="s">
        <v>1403</v>
      </c>
      <c r="I481" s="4" t="s">
        <v>1418</v>
      </c>
      <c r="L481" s="4" t="s">
        <v>1409</v>
      </c>
      <c r="Q481" s="38"/>
      <c r="R481" s="38">
        <v>2</v>
      </c>
      <c r="S481" s="38"/>
      <c r="T481" t="b">
        <v>0</v>
      </c>
      <c r="U481" s="38"/>
      <c r="V481" s="50">
        <v>4058155</v>
      </c>
      <c r="W481" s="50"/>
      <c r="X481" s="50" t="s">
        <v>1410</v>
      </c>
      <c r="Y481" s="50"/>
      <c r="Z481" s="50"/>
      <c r="AA481" s="4" t="s">
        <v>1419</v>
      </c>
    </row>
    <row r="482" spans="1:27">
      <c r="A482" s="4">
        <v>100040006</v>
      </c>
      <c r="B482" s="4">
        <v>4</v>
      </c>
      <c r="C482" s="4" t="s">
        <v>1403</v>
      </c>
      <c r="I482" s="4" t="s">
        <v>1420</v>
      </c>
      <c r="L482" s="4" t="s">
        <v>1413</v>
      </c>
      <c r="Q482" s="38"/>
      <c r="R482" s="38">
        <v>3</v>
      </c>
      <c r="S482" s="38"/>
      <c r="T482" t="b">
        <v>0</v>
      </c>
      <c r="U482" s="38"/>
      <c r="V482" s="50">
        <v>4058156</v>
      </c>
      <c r="W482" s="50"/>
      <c r="X482" s="50" t="s">
        <v>1414</v>
      </c>
      <c r="Y482" s="50"/>
      <c r="Z482" s="50"/>
      <c r="AA482" s="4" t="s">
        <v>1421</v>
      </c>
    </row>
    <row r="483" spans="1:27">
      <c r="A483" s="4">
        <v>100040007</v>
      </c>
      <c r="B483" s="4">
        <v>4</v>
      </c>
      <c r="C483" s="4" t="s">
        <v>1403</v>
      </c>
      <c r="I483" s="4" t="s">
        <v>1422</v>
      </c>
      <c r="L483" s="4" t="s">
        <v>1405</v>
      </c>
      <c r="Q483" s="38"/>
      <c r="R483" s="38">
        <v>1</v>
      </c>
      <c r="S483" s="38"/>
      <c r="T483" t="b">
        <v>0</v>
      </c>
      <c r="U483" s="38"/>
      <c r="V483" s="50">
        <v>4058163</v>
      </c>
      <c r="W483" s="50"/>
      <c r="X483" s="50" t="s">
        <v>1406</v>
      </c>
      <c r="Y483" s="50"/>
      <c r="Z483" s="50"/>
      <c r="AA483" s="4" t="s">
        <v>1423</v>
      </c>
    </row>
    <row r="484" spans="1:27">
      <c r="A484" s="4">
        <v>100040008</v>
      </c>
      <c r="B484" s="4">
        <v>4</v>
      </c>
      <c r="C484" s="4" t="s">
        <v>1403</v>
      </c>
      <c r="I484" s="4" t="s">
        <v>1424</v>
      </c>
      <c r="L484" s="4" t="s">
        <v>1409</v>
      </c>
      <c r="Q484" s="38"/>
      <c r="R484" s="38">
        <v>2</v>
      </c>
      <c r="S484" s="38"/>
      <c r="T484" t="b">
        <v>0</v>
      </c>
      <c r="U484" s="38"/>
      <c r="V484" s="50">
        <v>4058164</v>
      </c>
      <c r="W484" s="50"/>
      <c r="X484" s="50" t="s">
        <v>1410</v>
      </c>
      <c r="Y484" s="50"/>
      <c r="Z484" s="50"/>
      <c r="AA484" s="4" t="s">
        <v>1425</v>
      </c>
    </row>
    <row r="485" spans="1:27">
      <c r="A485" s="4">
        <v>100040009</v>
      </c>
      <c r="B485" s="4">
        <v>4</v>
      </c>
      <c r="C485" s="4" t="s">
        <v>1403</v>
      </c>
      <c r="I485" s="4" t="s">
        <v>1426</v>
      </c>
      <c r="L485" s="4" t="s">
        <v>1413</v>
      </c>
      <c r="Q485" s="38"/>
      <c r="R485" s="38">
        <v>3</v>
      </c>
      <c r="S485" s="38"/>
      <c r="T485" t="b">
        <v>0</v>
      </c>
      <c r="U485" s="38"/>
      <c r="V485" s="50">
        <v>4058165</v>
      </c>
      <c r="W485" s="50"/>
      <c r="X485" s="50" t="s">
        <v>1414</v>
      </c>
      <c r="Y485" s="50"/>
      <c r="Z485" s="50"/>
      <c r="AA485" s="4" t="s">
        <v>1427</v>
      </c>
    </row>
    <row r="486" spans="1:27">
      <c r="A486" s="4">
        <v>100040010</v>
      </c>
      <c r="B486" s="4">
        <v>4</v>
      </c>
      <c r="C486" s="4" t="s">
        <v>1403</v>
      </c>
      <c r="I486" s="4" t="s">
        <v>1428</v>
      </c>
      <c r="L486" s="4" t="s">
        <v>1405</v>
      </c>
      <c r="Q486" s="38"/>
      <c r="R486" s="38">
        <v>1</v>
      </c>
      <c r="S486" s="38"/>
      <c r="T486" t="b">
        <v>0</v>
      </c>
      <c r="U486" s="38"/>
      <c r="V486" s="50">
        <v>4058172</v>
      </c>
      <c r="W486" s="50"/>
      <c r="X486" s="50" t="s">
        <v>1406</v>
      </c>
      <c r="Y486" s="50"/>
      <c r="Z486" s="50"/>
      <c r="AA486" s="4" t="s">
        <v>1429</v>
      </c>
    </row>
    <row r="487" spans="1:27">
      <c r="A487" s="4">
        <v>100040011</v>
      </c>
      <c r="B487" s="4">
        <v>4</v>
      </c>
      <c r="C487" s="4" t="s">
        <v>1403</v>
      </c>
      <c r="I487" s="4" t="s">
        <v>1430</v>
      </c>
      <c r="L487" s="4" t="s">
        <v>1409</v>
      </c>
      <c r="Q487" s="38"/>
      <c r="R487" s="38">
        <v>2</v>
      </c>
      <c r="S487" s="38"/>
      <c r="T487" t="b">
        <v>0</v>
      </c>
      <c r="U487" s="38"/>
      <c r="V487" s="50">
        <v>4058173</v>
      </c>
      <c r="W487" s="50"/>
      <c r="X487" s="50" t="s">
        <v>1410</v>
      </c>
      <c r="Y487" s="50"/>
      <c r="Z487" s="50"/>
      <c r="AA487" s="4" t="s">
        <v>1431</v>
      </c>
    </row>
    <row r="488" spans="1:27">
      <c r="A488" s="4">
        <v>100040012</v>
      </c>
      <c r="B488" s="4">
        <v>4</v>
      </c>
      <c r="C488" s="4" t="s">
        <v>1403</v>
      </c>
      <c r="I488" s="4" t="s">
        <v>1432</v>
      </c>
      <c r="L488" s="4" t="s">
        <v>1413</v>
      </c>
      <c r="Q488" s="38"/>
      <c r="R488" s="38">
        <v>3</v>
      </c>
      <c r="S488" s="38"/>
      <c r="T488" t="b">
        <v>0</v>
      </c>
      <c r="U488" s="38"/>
      <c r="V488" s="50">
        <v>4058174</v>
      </c>
      <c r="W488" s="50"/>
      <c r="X488" s="50" t="s">
        <v>1414</v>
      </c>
      <c r="Y488" s="50"/>
      <c r="Z488" s="50"/>
      <c r="AA488" s="4" t="s">
        <v>1433</v>
      </c>
    </row>
    <row r="489" spans="1:27">
      <c r="A489" s="4">
        <v>100040013</v>
      </c>
      <c r="B489" s="4">
        <v>4</v>
      </c>
      <c r="C489" s="4" t="s">
        <v>1403</v>
      </c>
      <c r="I489" s="4" t="s">
        <v>1434</v>
      </c>
      <c r="L489" s="4" t="s">
        <v>1405</v>
      </c>
      <c r="Q489" s="38"/>
      <c r="R489" s="38">
        <v>1</v>
      </c>
      <c r="S489" s="38"/>
      <c r="T489" t="b">
        <v>0</v>
      </c>
      <c r="U489" s="38"/>
      <c r="V489" s="50">
        <v>4058175</v>
      </c>
      <c r="W489" s="50"/>
      <c r="X489" s="50" t="s">
        <v>1406</v>
      </c>
      <c r="Y489" s="50"/>
      <c r="Z489" s="50"/>
      <c r="AA489" s="4" t="s">
        <v>1435</v>
      </c>
    </row>
    <row r="490" spans="1:27">
      <c r="A490" s="4">
        <v>100040014</v>
      </c>
      <c r="B490" s="4">
        <v>4</v>
      </c>
      <c r="C490" s="4" t="s">
        <v>1403</v>
      </c>
      <c r="I490" s="4" t="s">
        <v>1436</v>
      </c>
      <c r="L490" s="4" t="s">
        <v>1409</v>
      </c>
      <c r="Q490" s="38"/>
      <c r="R490" s="38">
        <v>2</v>
      </c>
      <c r="S490" s="38"/>
      <c r="T490" t="b">
        <v>0</v>
      </c>
      <c r="U490" s="38"/>
      <c r="V490" s="50">
        <v>4058176</v>
      </c>
      <c r="W490" s="50"/>
      <c r="X490" s="50" t="s">
        <v>1410</v>
      </c>
      <c r="Y490" s="50"/>
      <c r="Z490" s="50"/>
      <c r="AA490" s="4" t="s">
        <v>1437</v>
      </c>
    </row>
    <row r="491" spans="1:27">
      <c r="A491" s="4">
        <v>100040015</v>
      </c>
      <c r="B491" s="4">
        <v>4</v>
      </c>
      <c r="C491" s="4" t="s">
        <v>1403</v>
      </c>
      <c r="I491" s="4" t="s">
        <v>1438</v>
      </c>
      <c r="L491" s="4" t="s">
        <v>1413</v>
      </c>
      <c r="Q491" s="38"/>
      <c r="R491" s="38">
        <v>3</v>
      </c>
      <c r="S491" s="38"/>
      <c r="T491" t="b">
        <v>0</v>
      </c>
      <c r="U491" s="38"/>
      <c r="V491" s="50">
        <v>4058177</v>
      </c>
      <c r="W491" s="50"/>
      <c r="X491" s="50" t="s">
        <v>1414</v>
      </c>
      <c r="Y491" s="50"/>
      <c r="Z491" s="50"/>
      <c r="AA491" s="4" t="s">
        <v>1439</v>
      </c>
    </row>
    <row r="492" spans="1:27">
      <c r="A492" s="4">
        <v>100040016</v>
      </c>
      <c r="B492" s="4">
        <v>4</v>
      </c>
      <c r="C492" s="4" t="s">
        <v>1403</v>
      </c>
      <c r="I492" s="4" t="s">
        <v>1440</v>
      </c>
      <c r="L492" s="4" t="s">
        <v>1405</v>
      </c>
      <c r="Q492" s="38"/>
      <c r="R492" s="38">
        <v>1</v>
      </c>
      <c r="S492" s="38"/>
      <c r="T492" t="b">
        <v>0</v>
      </c>
      <c r="U492" s="38"/>
      <c r="V492" s="50">
        <v>4058178</v>
      </c>
      <c r="W492" s="50"/>
      <c r="X492" s="50" t="s">
        <v>1406</v>
      </c>
      <c r="Y492" s="50"/>
      <c r="Z492" s="50"/>
      <c r="AA492" s="4" t="s">
        <v>1441</v>
      </c>
    </row>
    <row r="493" spans="1:27">
      <c r="A493" s="4">
        <v>100040017</v>
      </c>
      <c r="B493" s="4">
        <v>4</v>
      </c>
      <c r="C493" s="4" t="s">
        <v>1403</v>
      </c>
      <c r="I493" s="4" t="s">
        <v>1442</v>
      </c>
      <c r="L493" s="4" t="s">
        <v>1409</v>
      </c>
      <c r="Q493" s="38"/>
      <c r="R493" s="38">
        <v>2</v>
      </c>
      <c r="S493" s="38"/>
      <c r="T493" t="b">
        <v>0</v>
      </c>
      <c r="U493" s="38"/>
      <c r="V493" s="50">
        <v>4058179</v>
      </c>
      <c r="W493" s="50"/>
      <c r="X493" s="50" t="s">
        <v>1410</v>
      </c>
      <c r="Y493" s="50"/>
      <c r="Z493" s="50"/>
      <c r="AA493" s="4" t="s">
        <v>1443</v>
      </c>
    </row>
    <row r="494" spans="1:27">
      <c r="A494" s="4">
        <v>100040018</v>
      </c>
      <c r="B494" s="4">
        <v>4</v>
      </c>
      <c r="C494" s="4" t="s">
        <v>1403</v>
      </c>
      <c r="I494" s="4" t="s">
        <v>1444</v>
      </c>
      <c r="L494" s="4" t="s">
        <v>1413</v>
      </c>
      <c r="Q494" s="38"/>
      <c r="R494" s="38">
        <v>3</v>
      </c>
      <c r="S494" s="38"/>
      <c r="T494" t="b">
        <v>0</v>
      </c>
      <c r="U494" s="38"/>
      <c r="V494" s="50">
        <v>4058180</v>
      </c>
      <c r="W494" s="50"/>
      <c r="X494" s="50" t="s">
        <v>1414</v>
      </c>
      <c r="Y494" s="50"/>
      <c r="Z494" s="50"/>
      <c r="AA494" s="4" t="s">
        <v>1445</v>
      </c>
    </row>
    <row r="495" spans="1:27">
      <c r="A495" s="4">
        <v>100040019</v>
      </c>
      <c r="B495" s="4">
        <v>4</v>
      </c>
      <c r="C495" s="4" t="s">
        <v>1403</v>
      </c>
      <c r="I495" s="4" t="s">
        <v>1446</v>
      </c>
      <c r="L495" s="4" t="s">
        <v>1405</v>
      </c>
      <c r="Q495" s="38"/>
      <c r="R495" s="38">
        <v>1</v>
      </c>
      <c r="S495" s="38"/>
      <c r="T495" t="b">
        <v>0</v>
      </c>
      <c r="U495" s="38"/>
      <c r="V495" s="50">
        <v>4058181</v>
      </c>
      <c r="W495" s="50"/>
      <c r="X495" s="50" t="s">
        <v>1406</v>
      </c>
      <c r="Y495" s="50"/>
      <c r="Z495" s="50"/>
      <c r="AA495" s="4" t="s">
        <v>1447</v>
      </c>
    </row>
    <row r="496" spans="1:27">
      <c r="A496" s="4">
        <v>100040020</v>
      </c>
      <c r="B496" s="4">
        <v>4</v>
      </c>
      <c r="C496" s="4" t="s">
        <v>1403</v>
      </c>
      <c r="I496" s="4" t="s">
        <v>1448</v>
      </c>
      <c r="L496" s="4" t="s">
        <v>1409</v>
      </c>
      <c r="Q496" s="38"/>
      <c r="R496" s="38">
        <v>2</v>
      </c>
      <c r="S496" s="38"/>
      <c r="T496" t="b">
        <v>0</v>
      </c>
      <c r="U496" s="38"/>
      <c r="V496" s="50">
        <v>4058182</v>
      </c>
      <c r="W496" s="50"/>
      <c r="X496" s="50" t="s">
        <v>1410</v>
      </c>
      <c r="Y496" s="50"/>
      <c r="Z496" s="50"/>
      <c r="AA496" s="4" t="s">
        <v>1449</v>
      </c>
    </row>
    <row r="497" spans="1:27">
      <c r="A497" s="4">
        <v>100040021</v>
      </c>
      <c r="B497" s="4">
        <v>4</v>
      </c>
      <c r="C497" s="4" t="s">
        <v>1403</v>
      </c>
      <c r="I497" s="4" t="s">
        <v>1450</v>
      </c>
      <c r="L497" s="4" t="s">
        <v>1413</v>
      </c>
      <c r="Q497" s="38"/>
      <c r="R497" s="38">
        <v>3</v>
      </c>
      <c r="S497" s="38"/>
      <c r="T497" t="b">
        <v>0</v>
      </c>
      <c r="U497" s="38"/>
      <c r="V497" s="50">
        <v>4058183</v>
      </c>
      <c r="W497" s="50"/>
      <c r="X497" s="50" t="s">
        <v>1414</v>
      </c>
      <c r="Y497" s="50"/>
      <c r="Z497" s="50"/>
      <c r="AA497" s="4" t="s">
        <v>1451</v>
      </c>
    </row>
    <row r="498" spans="1:27">
      <c r="A498" s="4">
        <v>100040022</v>
      </c>
      <c r="B498" s="4">
        <v>4</v>
      </c>
      <c r="C498" s="4" t="s">
        <v>1403</v>
      </c>
      <c r="I498" s="4" t="s">
        <v>1452</v>
      </c>
      <c r="L498" s="4" t="s">
        <v>1405</v>
      </c>
      <c r="Q498" s="38"/>
      <c r="R498" s="38">
        <v>1</v>
      </c>
      <c r="S498" s="38"/>
      <c r="T498" t="b">
        <v>0</v>
      </c>
      <c r="U498" s="38"/>
      <c r="V498" s="50">
        <v>4058190</v>
      </c>
      <c r="W498" s="50"/>
      <c r="X498" s="50" t="s">
        <v>1406</v>
      </c>
      <c r="Y498" s="50"/>
      <c r="Z498" s="50"/>
      <c r="AA498" s="4" t="s">
        <v>1453</v>
      </c>
    </row>
    <row r="499" spans="1:27">
      <c r="A499" s="4">
        <v>100040023</v>
      </c>
      <c r="B499" s="4">
        <v>4</v>
      </c>
      <c r="C499" s="4" t="s">
        <v>1403</v>
      </c>
      <c r="I499" s="4" t="s">
        <v>1454</v>
      </c>
      <c r="L499" s="4" t="s">
        <v>1409</v>
      </c>
      <c r="Q499" s="38"/>
      <c r="R499" s="38">
        <v>2</v>
      </c>
      <c r="S499" s="38"/>
      <c r="T499" t="b">
        <v>0</v>
      </c>
      <c r="U499" s="38"/>
      <c r="V499" s="50">
        <v>4058191</v>
      </c>
      <c r="W499" s="50"/>
      <c r="X499" s="50" t="s">
        <v>1410</v>
      </c>
      <c r="Y499" s="50"/>
      <c r="Z499" s="50"/>
      <c r="AA499" s="4" t="s">
        <v>1455</v>
      </c>
    </row>
    <row r="500" spans="1:27">
      <c r="A500" s="4">
        <v>100040024</v>
      </c>
      <c r="B500" s="4">
        <v>4</v>
      </c>
      <c r="C500" s="4" t="s">
        <v>1403</v>
      </c>
      <c r="I500" s="4" t="s">
        <v>1456</v>
      </c>
      <c r="L500" s="4" t="s">
        <v>1413</v>
      </c>
      <c r="Q500" s="38"/>
      <c r="R500" s="38">
        <v>3</v>
      </c>
      <c r="S500" s="38"/>
      <c r="T500" t="b">
        <v>0</v>
      </c>
      <c r="U500" s="38"/>
      <c r="V500" s="50">
        <v>4058192</v>
      </c>
      <c r="W500" s="50"/>
      <c r="X500" s="50" t="s">
        <v>1414</v>
      </c>
      <c r="Y500" s="50"/>
      <c r="Z500" s="50"/>
      <c r="AA500" s="4" t="s">
        <v>1457</v>
      </c>
    </row>
    <row r="501" spans="1:27">
      <c r="A501" s="4">
        <v>100040025</v>
      </c>
      <c r="B501" s="4">
        <v>4</v>
      </c>
      <c r="C501" s="4" t="s">
        <v>1403</v>
      </c>
      <c r="I501" s="4" t="s">
        <v>1458</v>
      </c>
      <c r="L501" s="4" t="s">
        <v>1405</v>
      </c>
      <c r="Q501" s="38"/>
      <c r="R501" s="38">
        <v>1</v>
      </c>
      <c r="S501" s="38"/>
      <c r="T501" t="b">
        <v>0</v>
      </c>
      <c r="U501" s="38"/>
      <c r="V501" s="50">
        <v>4058193</v>
      </c>
      <c r="W501" s="50"/>
      <c r="X501" s="50" t="s">
        <v>1406</v>
      </c>
      <c r="Y501" s="50"/>
      <c r="Z501" s="50"/>
      <c r="AA501" s="4" t="s">
        <v>1459</v>
      </c>
    </row>
    <row r="502" spans="1:27">
      <c r="A502" s="4">
        <v>100040026</v>
      </c>
      <c r="B502" s="4">
        <v>4</v>
      </c>
      <c r="C502" s="4" t="s">
        <v>1403</v>
      </c>
      <c r="I502" s="4" t="s">
        <v>1460</v>
      </c>
      <c r="L502" s="4" t="s">
        <v>1409</v>
      </c>
      <c r="Q502" s="38"/>
      <c r="R502" s="38">
        <v>2</v>
      </c>
      <c r="S502" s="38"/>
      <c r="T502" t="b">
        <v>0</v>
      </c>
      <c r="U502" s="38"/>
      <c r="V502" s="50">
        <v>4058194</v>
      </c>
      <c r="W502" s="50"/>
      <c r="X502" s="50" t="s">
        <v>1410</v>
      </c>
      <c r="Y502" s="50"/>
      <c r="Z502" s="50"/>
      <c r="AA502" s="4" t="s">
        <v>1461</v>
      </c>
    </row>
    <row r="503" spans="1:27">
      <c r="A503" s="4">
        <v>100040027</v>
      </c>
      <c r="B503" s="4">
        <v>4</v>
      </c>
      <c r="C503" s="4" t="s">
        <v>1403</v>
      </c>
      <c r="I503" s="4" t="s">
        <v>1462</v>
      </c>
      <c r="L503" s="4" t="s">
        <v>1413</v>
      </c>
      <c r="Q503" s="38"/>
      <c r="R503" s="38">
        <v>3</v>
      </c>
      <c r="S503" s="38"/>
      <c r="T503" t="b">
        <v>0</v>
      </c>
      <c r="U503" s="38"/>
      <c r="V503" s="50">
        <v>4058195</v>
      </c>
      <c r="W503" s="50"/>
      <c r="X503" s="50" t="s">
        <v>1414</v>
      </c>
      <c r="Y503" s="50"/>
      <c r="Z503" s="50"/>
      <c r="AA503" s="4" t="s">
        <v>1463</v>
      </c>
    </row>
    <row r="504" spans="1:27">
      <c r="A504" s="4">
        <v>100040028</v>
      </c>
      <c r="B504" s="4">
        <v>4</v>
      </c>
      <c r="C504" s="4" t="s">
        <v>1403</v>
      </c>
      <c r="I504" s="4" t="s">
        <v>1464</v>
      </c>
      <c r="L504" s="4" t="s">
        <v>1405</v>
      </c>
      <c r="Q504" s="38"/>
      <c r="R504" s="38">
        <v>1</v>
      </c>
      <c r="S504" s="38"/>
      <c r="T504" t="b">
        <v>0</v>
      </c>
      <c r="U504" s="38"/>
      <c r="V504" s="50">
        <v>4058196</v>
      </c>
      <c r="W504" s="50"/>
      <c r="X504" s="50" t="s">
        <v>1406</v>
      </c>
      <c r="Y504" s="50"/>
      <c r="Z504" s="50"/>
      <c r="AA504" s="4" t="s">
        <v>1465</v>
      </c>
    </row>
    <row r="505" spans="1:27">
      <c r="A505" s="4">
        <v>100040029</v>
      </c>
      <c r="B505" s="4">
        <v>4</v>
      </c>
      <c r="C505" s="4" t="s">
        <v>1403</v>
      </c>
      <c r="I505" s="4" t="s">
        <v>1466</v>
      </c>
      <c r="L505" s="4" t="s">
        <v>1409</v>
      </c>
      <c r="Q505" s="38"/>
      <c r="R505" s="38">
        <v>2</v>
      </c>
      <c r="S505" s="38"/>
      <c r="T505" t="b">
        <v>0</v>
      </c>
      <c r="U505" s="38"/>
      <c r="V505" s="50">
        <v>4058197</v>
      </c>
      <c r="W505" s="50"/>
      <c r="X505" s="50" t="s">
        <v>1410</v>
      </c>
      <c r="Y505" s="50"/>
      <c r="Z505" s="50"/>
      <c r="AA505" s="4" t="s">
        <v>1467</v>
      </c>
    </row>
    <row r="506" spans="1:27">
      <c r="A506" s="4">
        <v>100040030</v>
      </c>
      <c r="B506" s="4">
        <v>4</v>
      </c>
      <c r="C506" s="4" t="s">
        <v>1403</v>
      </c>
      <c r="I506" s="4" t="s">
        <v>1468</v>
      </c>
      <c r="L506" s="4" t="s">
        <v>1413</v>
      </c>
      <c r="Q506" s="38"/>
      <c r="R506" s="38">
        <v>3</v>
      </c>
      <c r="S506" s="38"/>
      <c r="T506" t="b">
        <v>0</v>
      </c>
      <c r="U506" s="38"/>
      <c r="V506" s="50">
        <v>4058198</v>
      </c>
      <c r="W506" s="50"/>
      <c r="X506" s="50" t="s">
        <v>1414</v>
      </c>
      <c r="Y506" s="50"/>
      <c r="Z506" s="50"/>
      <c r="AA506" s="4" t="s">
        <v>1469</v>
      </c>
    </row>
    <row r="507" spans="1:27">
      <c r="A507" s="4">
        <v>100040031</v>
      </c>
      <c r="B507" s="4">
        <v>4</v>
      </c>
      <c r="C507" s="4" t="s">
        <v>1403</v>
      </c>
      <c r="I507" s="4" t="s">
        <v>1470</v>
      </c>
      <c r="L507" s="4" t="s">
        <v>1405</v>
      </c>
      <c r="Q507" s="38"/>
      <c r="R507" s="38">
        <v>1</v>
      </c>
      <c r="S507" s="38"/>
      <c r="T507" t="b">
        <v>0</v>
      </c>
      <c r="U507" s="38"/>
      <c r="V507" s="50">
        <v>4058193</v>
      </c>
      <c r="W507" s="50"/>
      <c r="X507" s="50" t="s">
        <v>1406</v>
      </c>
      <c r="Y507" s="50"/>
      <c r="Z507" s="50"/>
      <c r="AA507" s="4" t="s">
        <v>1471</v>
      </c>
    </row>
    <row r="508" spans="1:27">
      <c r="A508" s="4">
        <v>100040032</v>
      </c>
      <c r="B508" s="4">
        <v>4</v>
      </c>
      <c r="C508" s="4" t="s">
        <v>1403</v>
      </c>
      <c r="I508" s="4" t="s">
        <v>1472</v>
      </c>
      <c r="L508" s="4" t="s">
        <v>1409</v>
      </c>
      <c r="Q508" s="38"/>
      <c r="R508" s="38">
        <v>2</v>
      </c>
      <c r="S508" s="38"/>
      <c r="T508" t="b">
        <v>0</v>
      </c>
      <c r="U508" s="38"/>
      <c r="V508" s="50">
        <v>4058194</v>
      </c>
      <c r="W508" s="50"/>
      <c r="X508" s="50" t="s">
        <v>1410</v>
      </c>
      <c r="Y508" s="50"/>
      <c r="Z508" s="50"/>
      <c r="AA508" s="4" t="s">
        <v>1473</v>
      </c>
    </row>
    <row r="509" spans="1:27">
      <c r="A509" s="4">
        <v>100040033</v>
      </c>
      <c r="B509" s="4">
        <v>4</v>
      </c>
      <c r="C509" s="4" t="s">
        <v>1403</v>
      </c>
      <c r="I509" s="4" t="s">
        <v>1474</v>
      </c>
      <c r="L509" s="4" t="s">
        <v>1413</v>
      </c>
      <c r="Q509" s="38"/>
      <c r="R509" s="38">
        <v>3</v>
      </c>
      <c r="S509" s="38"/>
      <c r="T509" t="b">
        <v>0</v>
      </c>
      <c r="U509" s="38"/>
      <c r="V509" s="50">
        <v>4058195</v>
      </c>
      <c r="W509" s="50"/>
      <c r="X509" s="50" t="s">
        <v>1414</v>
      </c>
      <c r="Y509" s="50"/>
      <c r="Z509" s="50"/>
      <c r="AA509" s="4" t="s">
        <v>1475</v>
      </c>
    </row>
    <row r="510" spans="1:27">
      <c r="A510" s="4">
        <v>100040034</v>
      </c>
      <c r="B510" s="4">
        <v>4</v>
      </c>
      <c r="C510" s="4" t="s">
        <v>1403</v>
      </c>
      <c r="I510" s="4" t="s">
        <v>1476</v>
      </c>
      <c r="L510" s="4" t="s">
        <v>1405</v>
      </c>
      <c r="Q510" s="38"/>
      <c r="R510" s="38">
        <v>1</v>
      </c>
      <c r="S510" s="38"/>
      <c r="T510" t="b">
        <v>0</v>
      </c>
      <c r="U510" s="38"/>
      <c r="V510" s="50">
        <v>4058196</v>
      </c>
      <c r="W510" s="50"/>
      <c r="X510" s="50" t="s">
        <v>1406</v>
      </c>
      <c r="Y510" s="50"/>
      <c r="Z510" s="50"/>
      <c r="AA510" s="4" t="s">
        <v>1477</v>
      </c>
    </row>
    <row r="511" spans="1:27">
      <c r="A511" s="4">
        <v>100040035</v>
      </c>
      <c r="B511" s="4">
        <v>4</v>
      </c>
      <c r="C511" s="4" t="s">
        <v>1403</v>
      </c>
      <c r="I511" s="4" t="s">
        <v>1478</v>
      </c>
      <c r="L511" s="4" t="s">
        <v>1409</v>
      </c>
      <c r="Q511" s="38"/>
      <c r="R511" s="38">
        <v>2</v>
      </c>
      <c r="S511" s="38"/>
      <c r="T511" t="b">
        <v>0</v>
      </c>
      <c r="U511" s="38"/>
      <c r="V511" s="50">
        <v>4058197</v>
      </c>
      <c r="W511" s="50"/>
      <c r="X511" s="50" t="s">
        <v>1410</v>
      </c>
      <c r="Y511" s="50"/>
      <c r="Z511" s="50"/>
      <c r="AA511" s="4" t="s">
        <v>1479</v>
      </c>
    </row>
    <row r="512" spans="1:27">
      <c r="A512" s="4">
        <v>100040036</v>
      </c>
      <c r="B512" s="4">
        <v>4</v>
      </c>
      <c r="C512" s="4" t="s">
        <v>1403</v>
      </c>
      <c r="I512" s="4" t="s">
        <v>1480</v>
      </c>
      <c r="L512" s="4" t="s">
        <v>1413</v>
      </c>
      <c r="Q512" s="38"/>
      <c r="R512" s="38">
        <v>3</v>
      </c>
      <c r="S512" s="38"/>
      <c r="T512" t="b">
        <v>0</v>
      </c>
      <c r="U512" s="38"/>
      <c r="V512" s="50">
        <v>4058198</v>
      </c>
      <c r="W512" s="50"/>
      <c r="X512" s="50" t="s">
        <v>1414</v>
      </c>
      <c r="Y512" s="50"/>
      <c r="Z512" s="50"/>
      <c r="AA512" s="4" t="s">
        <v>1481</v>
      </c>
    </row>
    <row r="513" spans="1:27">
      <c r="A513" s="4">
        <v>100040037</v>
      </c>
      <c r="B513" s="4">
        <v>4</v>
      </c>
      <c r="C513" s="4" t="s">
        <v>1403</v>
      </c>
      <c r="I513" s="4" t="s">
        <v>1482</v>
      </c>
      <c r="L513" s="4" t="s">
        <v>1405</v>
      </c>
      <c r="Q513" s="38"/>
      <c r="R513" s="38">
        <v>1</v>
      </c>
      <c r="S513" s="38"/>
      <c r="T513" t="b">
        <v>0</v>
      </c>
      <c r="U513" s="38"/>
      <c r="V513" s="50">
        <v>4058211</v>
      </c>
      <c r="W513" s="50"/>
      <c r="X513" s="50" t="s">
        <v>1406</v>
      </c>
      <c r="Y513" s="50"/>
      <c r="Z513" s="50"/>
      <c r="AA513" s="4" t="s">
        <v>1483</v>
      </c>
    </row>
    <row r="514" spans="1:27">
      <c r="A514" s="4">
        <v>100040038</v>
      </c>
      <c r="B514" s="4">
        <v>4</v>
      </c>
      <c r="C514" s="4" t="s">
        <v>1403</v>
      </c>
      <c r="I514" s="4" t="s">
        <v>1484</v>
      </c>
      <c r="L514" s="4" t="s">
        <v>1405</v>
      </c>
      <c r="Q514" s="38"/>
      <c r="R514" s="38">
        <v>1</v>
      </c>
      <c r="S514" s="38"/>
      <c r="T514" t="b">
        <v>0</v>
      </c>
      <c r="U514" s="38"/>
      <c r="V514" s="50">
        <v>4058212</v>
      </c>
      <c r="W514" s="50"/>
      <c r="X514" s="50" t="s">
        <v>1410</v>
      </c>
      <c r="Y514" s="50"/>
      <c r="Z514" s="50"/>
      <c r="AA514" s="4" t="s">
        <v>1485</v>
      </c>
    </row>
    <row r="515" spans="1:27">
      <c r="A515" s="4">
        <v>100040039</v>
      </c>
      <c r="B515" s="4">
        <v>4</v>
      </c>
      <c r="C515" s="4" t="s">
        <v>1403</v>
      </c>
      <c r="I515" s="4" t="s">
        <v>1486</v>
      </c>
      <c r="L515" s="4" t="s">
        <v>1405</v>
      </c>
      <c r="Q515" s="38"/>
      <c r="R515" s="38">
        <v>1</v>
      </c>
      <c r="S515" s="38"/>
      <c r="T515" t="b">
        <v>0</v>
      </c>
      <c r="U515" s="38"/>
      <c r="V515" s="50">
        <v>4058213</v>
      </c>
      <c r="W515" s="50"/>
      <c r="X515" s="50" t="s">
        <v>1414</v>
      </c>
      <c r="Y515" s="50"/>
      <c r="Z515" s="50"/>
      <c r="AA515" s="4" t="s">
        <v>1487</v>
      </c>
    </row>
    <row r="516" spans="1:27">
      <c r="A516" s="4">
        <v>100040040</v>
      </c>
      <c r="B516" s="4">
        <v>4</v>
      </c>
      <c r="C516" s="4" t="s">
        <v>1403</v>
      </c>
      <c r="I516" s="4" t="s">
        <v>1488</v>
      </c>
      <c r="L516" s="4" t="s">
        <v>1409</v>
      </c>
      <c r="Q516" s="38"/>
      <c r="R516" s="38">
        <v>2</v>
      </c>
      <c r="S516" s="38"/>
      <c r="T516" t="b">
        <v>0</v>
      </c>
      <c r="U516" s="38"/>
      <c r="V516" s="50">
        <v>4058214</v>
      </c>
      <c r="W516" s="50"/>
      <c r="X516" s="50" t="s">
        <v>1406</v>
      </c>
      <c r="Y516" s="50"/>
      <c r="Z516" s="50"/>
      <c r="AA516" s="4" t="s">
        <v>1489</v>
      </c>
    </row>
    <row r="517" spans="1:27">
      <c r="A517" s="4">
        <v>100040041</v>
      </c>
      <c r="B517" s="4">
        <v>4</v>
      </c>
      <c r="C517" s="4" t="s">
        <v>1403</v>
      </c>
      <c r="I517" s="4" t="s">
        <v>1490</v>
      </c>
      <c r="L517" s="4" t="s">
        <v>1409</v>
      </c>
      <c r="Q517" s="38"/>
      <c r="R517" s="38">
        <v>2</v>
      </c>
      <c r="S517" s="38"/>
      <c r="T517" t="b">
        <v>0</v>
      </c>
      <c r="U517" s="38"/>
      <c r="V517" s="50">
        <v>4058215</v>
      </c>
      <c r="W517" s="50"/>
      <c r="X517" s="50" t="s">
        <v>1410</v>
      </c>
      <c r="Y517" s="50"/>
      <c r="Z517" s="50"/>
      <c r="AA517" s="4" t="s">
        <v>1491</v>
      </c>
    </row>
    <row r="518" spans="1:27">
      <c r="A518" s="4">
        <v>100040042</v>
      </c>
      <c r="B518" s="4">
        <v>4</v>
      </c>
      <c r="C518" s="4" t="s">
        <v>1403</v>
      </c>
      <c r="I518" s="4" t="s">
        <v>1492</v>
      </c>
      <c r="L518" s="4" t="s">
        <v>1409</v>
      </c>
      <c r="Q518" s="38"/>
      <c r="R518" s="38">
        <v>2</v>
      </c>
      <c r="S518" s="38"/>
      <c r="T518" t="b">
        <v>0</v>
      </c>
      <c r="U518" s="38"/>
      <c r="V518" s="50">
        <v>4058216</v>
      </c>
      <c r="W518" s="50"/>
      <c r="X518" s="50" t="s">
        <v>1414</v>
      </c>
      <c r="Y518" s="50"/>
      <c r="Z518" s="50"/>
      <c r="AA518" s="4" t="s">
        <v>1493</v>
      </c>
    </row>
    <row r="519" spans="1:27">
      <c r="A519" s="4">
        <v>100040043</v>
      </c>
      <c r="B519" s="4">
        <v>4</v>
      </c>
      <c r="C519" s="4" t="s">
        <v>1403</v>
      </c>
      <c r="I519" s="4" t="s">
        <v>1494</v>
      </c>
      <c r="L519" s="4" t="s">
        <v>1413</v>
      </c>
      <c r="Q519" s="38"/>
      <c r="R519" s="38">
        <v>3</v>
      </c>
      <c r="S519" s="38"/>
      <c r="T519" t="b">
        <v>0</v>
      </c>
      <c r="U519" s="38"/>
      <c r="V519" s="50">
        <v>4058217</v>
      </c>
      <c r="W519" s="50"/>
      <c r="X519" s="50" t="s">
        <v>1406</v>
      </c>
      <c r="Y519" s="50"/>
      <c r="Z519" s="50"/>
      <c r="AA519" s="4" t="s">
        <v>1495</v>
      </c>
    </row>
    <row r="520" spans="1:27">
      <c r="A520" s="4">
        <v>100040044</v>
      </c>
      <c r="B520" s="4">
        <v>4</v>
      </c>
      <c r="C520" s="4" t="s">
        <v>1403</v>
      </c>
      <c r="I520" s="4" t="s">
        <v>1496</v>
      </c>
      <c r="L520" s="4" t="s">
        <v>1413</v>
      </c>
      <c r="Q520" s="38"/>
      <c r="R520" s="38">
        <v>3</v>
      </c>
      <c r="S520" s="38"/>
      <c r="T520" t="b">
        <v>0</v>
      </c>
      <c r="U520" s="38"/>
      <c r="V520" s="50">
        <v>4058218</v>
      </c>
      <c r="W520" s="50"/>
      <c r="X520" s="50" t="s">
        <v>1410</v>
      </c>
      <c r="Y520" s="50"/>
      <c r="Z520" s="50"/>
      <c r="AA520" s="4" t="s">
        <v>1497</v>
      </c>
    </row>
    <row r="521" spans="1:27">
      <c r="A521" s="4">
        <v>100040045</v>
      </c>
      <c r="B521" s="4">
        <v>4</v>
      </c>
      <c r="C521" s="4" t="s">
        <v>1403</v>
      </c>
      <c r="I521" s="4" t="s">
        <v>1498</v>
      </c>
      <c r="L521" s="4" t="s">
        <v>1413</v>
      </c>
      <c r="Q521" s="38"/>
      <c r="R521" s="38">
        <v>3</v>
      </c>
      <c r="S521" s="38"/>
      <c r="T521" t="b">
        <v>0</v>
      </c>
      <c r="U521" s="38"/>
      <c r="V521" s="50">
        <v>4058219</v>
      </c>
      <c r="W521" s="50"/>
      <c r="X521" s="50" t="s">
        <v>1414</v>
      </c>
      <c r="Y521" s="50"/>
      <c r="Z521" s="50"/>
      <c r="AA521" s="4" t="s">
        <v>1499</v>
      </c>
    </row>
    <row r="522" spans="1:27">
      <c r="A522" s="4">
        <v>100040046</v>
      </c>
      <c r="B522" s="4">
        <v>4</v>
      </c>
      <c r="C522" s="4" t="s">
        <v>1403</v>
      </c>
      <c r="I522" s="4" t="s">
        <v>1500</v>
      </c>
      <c r="L522" s="4" t="s">
        <v>1405</v>
      </c>
      <c r="Q522" s="38"/>
      <c r="R522" s="38">
        <v>1</v>
      </c>
      <c r="S522" s="38"/>
      <c r="T522" t="b">
        <v>0</v>
      </c>
      <c r="U522" s="38"/>
      <c r="V522" s="50">
        <v>4058220</v>
      </c>
      <c r="W522" s="50"/>
      <c r="X522" s="50" t="s">
        <v>1406</v>
      </c>
      <c r="Y522" s="50"/>
      <c r="Z522" s="50"/>
      <c r="AA522" s="4" t="s">
        <v>1501</v>
      </c>
    </row>
    <row r="523" spans="1:27">
      <c r="A523" s="4">
        <v>100040047</v>
      </c>
      <c r="B523" s="4">
        <v>4</v>
      </c>
      <c r="C523" s="4" t="s">
        <v>1403</v>
      </c>
      <c r="I523" s="4" t="s">
        <v>1502</v>
      </c>
      <c r="L523" s="4" t="s">
        <v>1405</v>
      </c>
      <c r="Q523" s="38"/>
      <c r="R523" s="38">
        <v>1</v>
      </c>
      <c r="S523" s="38"/>
      <c r="T523" t="b">
        <v>0</v>
      </c>
      <c r="U523" s="38"/>
      <c r="V523" s="50">
        <v>4058221</v>
      </c>
      <c r="W523" s="50"/>
      <c r="X523" s="50" t="s">
        <v>1410</v>
      </c>
      <c r="Y523" s="50"/>
      <c r="Z523" s="50"/>
      <c r="AA523" s="4" t="s">
        <v>1503</v>
      </c>
    </row>
    <row r="524" spans="1:27">
      <c r="A524" s="4">
        <v>100040048</v>
      </c>
      <c r="B524" s="4">
        <v>4</v>
      </c>
      <c r="C524" s="4" t="s">
        <v>1403</v>
      </c>
      <c r="I524" s="4" t="s">
        <v>1504</v>
      </c>
      <c r="L524" s="4" t="s">
        <v>1405</v>
      </c>
      <c r="Q524" s="38"/>
      <c r="R524" s="38">
        <v>1</v>
      </c>
      <c r="S524" s="38"/>
      <c r="T524" t="b">
        <v>0</v>
      </c>
      <c r="U524" s="38"/>
      <c r="V524" s="50">
        <v>4058222</v>
      </c>
      <c r="W524" s="50"/>
      <c r="X524" s="50" t="s">
        <v>1414</v>
      </c>
      <c r="Y524" s="50"/>
      <c r="Z524" s="50"/>
      <c r="AA524" s="4" t="s">
        <v>1505</v>
      </c>
    </row>
    <row r="525" spans="1:27">
      <c r="A525" s="4">
        <v>100040049</v>
      </c>
      <c r="B525" s="4">
        <v>4</v>
      </c>
      <c r="C525" s="4" t="s">
        <v>1403</v>
      </c>
      <c r="I525" s="4" t="s">
        <v>1506</v>
      </c>
      <c r="L525" s="4" t="s">
        <v>1409</v>
      </c>
      <c r="Q525" s="38"/>
      <c r="R525" s="38">
        <v>2</v>
      </c>
      <c r="S525" s="38"/>
      <c r="T525" t="b">
        <v>0</v>
      </c>
      <c r="U525" s="38"/>
      <c r="V525" s="50">
        <v>4058223</v>
      </c>
      <c r="W525" s="50"/>
      <c r="X525" s="50" t="s">
        <v>1406</v>
      </c>
      <c r="Y525" s="50"/>
      <c r="Z525" s="50"/>
      <c r="AA525" s="4" t="s">
        <v>1507</v>
      </c>
    </row>
    <row r="526" spans="1:27">
      <c r="A526" s="4">
        <v>100040050</v>
      </c>
      <c r="B526" s="4">
        <v>4</v>
      </c>
      <c r="C526" s="4" t="s">
        <v>1403</v>
      </c>
      <c r="I526" s="4" t="s">
        <v>1508</v>
      </c>
      <c r="L526" s="4" t="s">
        <v>1409</v>
      </c>
      <c r="Q526" s="38"/>
      <c r="R526" s="38">
        <v>2</v>
      </c>
      <c r="S526" s="38"/>
      <c r="T526" t="b">
        <v>0</v>
      </c>
      <c r="U526" s="38"/>
      <c r="V526" s="50">
        <v>4058224</v>
      </c>
      <c r="W526" s="50"/>
      <c r="X526" s="50" t="s">
        <v>1410</v>
      </c>
      <c r="Y526" s="50"/>
      <c r="Z526" s="50"/>
      <c r="AA526" s="4" t="s">
        <v>1509</v>
      </c>
    </row>
    <row r="527" spans="1:27">
      <c r="A527" s="4">
        <v>100040051</v>
      </c>
      <c r="B527" s="4">
        <v>4</v>
      </c>
      <c r="C527" s="4" t="s">
        <v>1403</v>
      </c>
      <c r="I527" s="4" t="s">
        <v>1510</v>
      </c>
      <c r="L527" s="4" t="s">
        <v>1409</v>
      </c>
      <c r="Q527" s="38"/>
      <c r="R527" s="38">
        <v>2</v>
      </c>
      <c r="S527" s="38"/>
      <c r="T527" t="b">
        <v>0</v>
      </c>
      <c r="U527" s="38"/>
      <c r="V527" s="50">
        <v>4058225</v>
      </c>
      <c r="W527" s="50"/>
      <c r="X527" s="50" t="s">
        <v>1414</v>
      </c>
      <c r="Y527" s="50"/>
      <c r="Z527" s="50"/>
      <c r="AA527" s="4" t="s">
        <v>1511</v>
      </c>
    </row>
    <row r="528" spans="1:27">
      <c r="A528" s="4">
        <v>100040052</v>
      </c>
      <c r="B528" s="4">
        <v>4</v>
      </c>
      <c r="C528" s="4" t="s">
        <v>1403</v>
      </c>
      <c r="I528" s="4" t="s">
        <v>1512</v>
      </c>
      <c r="L528" s="4" t="s">
        <v>1413</v>
      </c>
      <c r="Q528" s="38"/>
      <c r="R528" s="38">
        <v>3</v>
      </c>
      <c r="S528" s="38"/>
      <c r="T528" t="b">
        <v>0</v>
      </c>
      <c r="U528" s="38"/>
      <c r="V528" s="50">
        <v>4058226</v>
      </c>
      <c r="W528" s="50"/>
      <c r="X528" s="50" t="s">
        <v>1406</v>
      </c>
      <c r="Y528" s="50"/>
      <c r="Z528" s="50"/>
      <c r="AA528" s="4" t="s">
        <v>1513</v>
      </c>
    </row>
    <row r="529" spans="1:27">
      <c r="A529" s="4">
        <v>100040053</v>
      </c>
      <c r="B529" s="4">
        <v>4</v>
      </c>
      <c r="C529" s="4" t="s">
        <v>1403</v>
      </c>
      <c r="I529" s="4" t="s">
        <v>1514</v>
      </c>
      <c r="L529" s="4" t="s">
        <v>1413</v>
      </c>
      <c r="Q529" s="38"/>
      <c r="R529" s="38">
        <v>3</v>
      </c>
      <c r="S529" s="38"/>
      <c r="T529" t="b">
        <v>0</v>
      </c>
      <c r="U529" s="38"/>
      <c r="V529" s="50">
        <v>4058227</v>
      </c>
      <c r="W529" s="50"/>
      <c r="X529" s="50" t="s">
        <v>1410</v>
      </c>
      <c r="Y529" s="50"/>
      <c r="Z529" s="50"/>
      <c r="AA529" s="4" t="s">
        <v>1515</v>
      </c>
    </row>
    <row r="530" spans="1:27">
      <c r="A530" s="4">
        <v>100040054</v>
      </c>
      <c r="B530" s="4">
        <v>4</v>
      </c>
      <c r="C530" s="4" t="s">
        <v>1403</v>
      </c>
      <c r="I530" s="4" t="s">
        <v>1516</v>
      </c>
      <c r="L530" s="4" t="s">
        <v>1413</v>
      </c>
      <c r="Q530" s="38"/>
      <c r="R530" s="38">
        <v>3</v>
      </c>
      <c r="S530" s="38"/>
      <c r="T530" t="b">
        <v>0</v>
      </c>
      <c r="U530" s="38"/>
      <c r="V530" s="50">
        <v>4058228</v>
      </c>
      <c r="W530" s="50"/>
      <c r="X530" s="50" t="s">
        <v>1414</v>
      </c>
      <c r="Y530" s="50"/>
      <c r="Z530" s="50"/>
      <c r="AA530" s="4" t="s">
        <v>1517</v>
      </c>
    </row>
    <row r="531" spans="1:27">
      <c r="A531" s="4">
        <v>100040055</v>
      </c>
      <c r="B531" s="4">
        <v>4</v>
      </c>
      <c r="C531" s="4" t="s">
        <v>1403</v>
      </c>
      <c r="I531" s="4" t="s">
        <v>1518</v>
      </c>
      <c r="L531" s="4" t="s">
        <v>1405</v>
      </c>
      <c r="Q531" s="38"/>
      <c r="R531" s="38">
        <v>1</v>
      </c>
      <c r="S531" s="38"/>
      <c r="T531" t="b">
        <v>0</v>
      </c>
      <c r="U531" s="38"/>
      <c r="V531" s="50">
        <v>4058229</v>
      </c>
      <c r="W531" s="50"/>
      <c r="X531" s="50" t="s">
        <v>1406</v>
      </c>
      <c r="Y531" s="50"/>
      <c r="Z531" s="50"/>
      <c r="AA531" s="4" t="s">
        <v>1519</v>
      </c>
    </row>
    <row r="532" spans="1:27">
      <c r="A532" s="4">
        <v>100040056</v>
      </c>
      <c r="B532" s="4">
        <v>4</v>
      </c>
      <c r="C532" s="4" t="s">
        <v>1403</v>
      </c>
      <c r="I532" s="4" t="s">
        <v>1520</v>
      </c>
      <c r="L532" s="4" t="s">
        <v>1405</v>
      </c>
      <c r="Q532" s="38"/>
      <c r="R532" s="38">
        <v>1</v>
      </c>
      <c r="S532" s="38"/>
      <c r="T532" t="b">
        <v>0</v>
      </c>
      <c r="U532" s="38"/>
      <c r="V532" s="50">
        <v>4058230</v>
      </c>
      <c r="W532" s="50"/>
      <c r="X532" s="50" t="s">
        <v>1410</v>
      </c>
      <c r="Y532" s="50"/>
      <c r="Z532" s="50"/>
      <c r="AA532" s="4" t="s">
        <v>1521</v>
      </c>
    </row>
    <row r="533" spans="1:27">
      <c r="A533" s="4">
        <v>100040057</v>
      </c>
      <c r="B533" s="4">
        <v>4</v>
      </c>
      <c r="C533" s="4" t="s">
        <v>1403</v>
      </c>
      <c r="I533" s="4" t="s">
        <v>1522</v>
      </c>
      <c r="L533" s="4" t="s">
        <v>1405</v>
      </c>
      <c r="Q533" s="38"/>
      <c r="R533" s="38">
        <v>1</v>
      </c>
      <c r="S533" s="38"/>
      <c r="T533" t="b">
        <v>0</v>
      </c>
      <c r="U533" s="38"/>
      <c r="V533" s="50">
        <v>4058231</v>
      </c>
      <c r="W533" s="50"/>
      <c r="X533" s="50" t="s">
        <v>1414</v>
      </c>
      <c r="Y533" s="50"/>
      <c r="Z533" s="50"/>
      <c r="AA533" s="4" t="s">
        <v>1523</v>
      </c>
    </row>
    <row r="534" spans="1:27">
      <c r="A534" s="4">
        <v>100040058</v>
      </c>
      <c r="B534" s="4">
        <v>4</v>
      </c>
      <c r="C534" s="4" t="s">
        <v>1403</v>
      </c>
      <c r="I534" s="4" t="s">
        <v>1524</v>
      </c>
      <c r="L534" s="4" t="s">
        <v>1409</v>
      </c>
      <c r="Q534" s="38"/>
      <c r="R534" s="38">
        <v>2</v>
      </c>
      <c r="S534" s="38"/>
      <c r="T534" t="b">
        <v>0</v>
      </c>
      <c r="U534" s="38"/>
      <c r="V534" s="50">
        <v>4058232</v>
      </c>
      <c r="W534" s="50"/>
      <c r="X534" s="50" t="s">
        <v>1406</v>
      </c>
      <c r="Y534" s="50"/>
      <c r="Z534" s="50"/>
      <c r="AA534" s="4" t="s">
        <v>1525</v>
      </c>
    </row>
    <row r="535" spans="1:27">
      <c r="A535" s="4">
        <v>100040059</v>
      </c>
      <c r="B535" s="4">
        <v>4</v>
      </c>
      <c r="C535" s="4" t="s">
        <v>1403</v>
      </c>
      <c r="I535" s="4" t="s">
        <v>1526</v>
      </c>
      <c r="L535" s="4" t="s">
        <v>1409</v>
      </c>
      <c r="Q535" s="38"/>
      <c r="R535" s="38">
        <v>2</v>
      </c>
      <c r="S535" s="38"/>
      <c r="T535" t="b">
        <v>0</v>
      </c>
      <c r="U535" s="38"/>
      <c r="V535" s="50">
        <v>4058233</v>
      </c>
      <c r="W535" s="50"/>
      <c r="X535" s="50" t="s">
        <v>1410</v>
      </c>
      <c r="Y535" s="50"/>
      <c r="Z535" s="50"/>
      <c r="AA535" s="4" t="s">
        <v>1527</v>
      </c>
    </row>
    <row r="536" spans="1:27">
      <c r="A536" s="4">
        <v>100040060</v>
      </c>
      <c r="B536" s="4">
        <v>4</v>
      </c>
      <c r="C536" s="4" t="s">
        <v>1403</v>
      </c>
      <c r="I536" s="4" t="s">
        <v>1528</v>
      </c>
      <c r="L536" s="4" t="s">
        <v>1409</v>
      </c>
      <c r="Q536" s="38"/>
      <c r="R536" s="38">
        <v>2</v>
      </c>
      <c r="S536" s="38"/>
      <c r="T536" t="b">
        <v>0</v>
      </c>
      <c r="U536" s="38"/>
      <c r="V536" s="50">
        <v>4058234</v>
      </c>
      <c r="W536" s="50"/>
      <c r="X536" s="50" t="s">
        <v>1414</v>
      </c>
      <c r="Y536" s="50"/>
      <c r="Z536" s="50"/>
      <c r="AA536" s="4" t="s">
        <v>1529</v>
      </c>
    </row>
    <row r="537" spans="1:27">
      <c r="A537" s="4">
        <v>100040061</v>
      </c>
      <c r="B537" s="4">
        <v>4</v>
      </c>
      <c r="C537" s="4" t="s">
        <v>1403</v>
      </c>
      <c r="I537" s="4" t="s">
        <v>1530</v>
      </c>
      <c r="L537" s="4" t="s">
        <v>1413</v>
      </c>
      <c r="Q537" s="38"/>
      <c r="R537" s="38">
        <v>3</v>
      </c>
      <c r="S537" s="38"/>
      <c r="T537" t="b">
        <v>0</v>
      </c>
      <c r="U537" s="38"/>
      <c r="V537" s="50">
        <v>4058235</v>
      </c>
      <c r="W537" s="50"/>
      <c r="X537" s="50" t="s">
        <v>1406</v>
      </c>
      <c r="Y537" s="50"/>
      <c r="Z537" s="50"/>
      <c r="AA537" s="4" t="s">
        <v>1531</v>
      </c>
    </row>
    <row r="538" spans="1:27">
      <c r="A538" s="4">
        <v>100040062</v>
      </c>
      <c r="B538" s="4">
        <v>4</v>
      </c>
      <c r="C538" s="4" t="s">
        <v>1403</v>
      </c>
      <c r="I538" s="4" t="s">
        <v>1532</v>
      </c>
      <c r="L538" s="4" t="s">
        <v>1413</v>
      </c>
      <c r="Q538" s="38"/>
      <c r="R538" s="38">
        <v>3</v>
      </c>
      <c r="S538" s="38"/>
      <c r="T538" t="b">
        <v>0</v>
      </c>
      <c r="U538" s="38"/>
      <c r="V538" s="50">
        <v>4058236</v>
      </c>
      <c r="W538" s="50"/>
      <c r="X538" s="50" t="s">
        <v>1410</v>
      </c>
      <c r="Y538" s="50"/>
      <c r="Z538" s="50"/>
      <c r="AA538" s="4" t="s">
        <v>1533</v>
      </c>
    </row>
    <row r="539" spans="1:27">
      <c r="A539" s="4">
        <v>100040063</v>
      </c>
      <c r="B539" s="4">
        <v>4</v>
      </c>
      <c r="C539" s="4" t="s">
        <v>1403</v>
      </c>
      <c r="I539" s="4" t="s">
        <v>1534</v>
      </c>
      <c r="L539" s="4" t="s">
        <v>1413</v>
      </c>
      <c r="Q539" s="38"/>
      <c r="R539" s="38">
        <v>3</v>
      </c>
      <c r="S539" s="38"/>
      <c r="T539" t="b">
        <v>0</v>
      </c>
      <c r="U539" s="38"/>
      <c r="V539" s="50">
        <v>4058237</v>
      </c>
      <c r="W539" s="50"/>
      <c r="X539" s="50" t="s">
        <v>1414</v>
      </c>
      <c r="Y539" s="50"/>
      <c r="Z539" s="50"/>
      <c r="AA539" s="4" t="s">
        <v>1535</v>
      </c>
    </row>
    <row r="540" spans="1:27">
      <c r="A540" s="4">
        <v>100040064</v>
      </c>
      <c r="B540" s="4">
        <v>4</v>
      </c>
      <c r="C540" s="4" t="s">
        <v>1403</v>
      </c>
      <c r="I540" s="4" t="s">
        <v>1536</v>
      </c>
      <c r="L540" s="4" t="s">
        <v>1409</v>
      </c>
      <c r="Q540" s="38"/>
      <c r="R540" s="38">
        <v>2</v>
      </c>
      <c r="S540" s="38"/>
      <c r="T540" t="b">
        <v>0</v>
      </c>
      <c r="U540" s="38"/>
      <c r="V540" s="50">
        <v>4058238</v>
      </c>
      <c r="W540" s="50"/>
      <c r="X540" s="50" t="s">
        <v>1406</v>
      </c>
      <c r="Y540" s="50"/>
      <c r="Z540" s="50"/>
      <c r="AA540" s="4" t="s">
        <v>1537</v>
      </c>
    </row>
    <row r="541" spans="1:27">
      <c r="A541" s="4">
        <v>100040065</v>
      </c>
      <c r="B541" s="4">
        <v>4</v>
      </c>
      <c r="C541" s="4" t="s">
        <v>1403</v>
      </c>
      <c r="I541" s="4" t="s">
        <v>1538</v>
      </c>
      <c r="L541" s="4" t="s">
        <v>1409</v>
      </c>
      <c r="Q541" s="38"/>
      <c r="R541" s="38">
        <v>2</v>
      </c>
      <c r="S541" s="38"/>
      <c r="T541" t="b">
        <v>0</v>
      </c>
      <c r="U541" s="38"/>
      <c r="V541" s="50">
        <v>4058239</v>
      </c>
      <c r="W541" s="50"/>
      <c r="X541" s="50" t="s">
        <v>1410</v>
      </c>
      <c r="Y541" s="50"/>
      <c r="Z541" s="50"/>
      <c r="AA541" s="4" t="s">
        <v>1539</v>
      </c>
    </row>
    <row r="542" spans="1:27">
      <c r="A542" s="4">
        <v>100040066</v>
      </c>
      <c r="B542" s="4">
        <v>4</v>
      </c>
      <c r="C542" s="4" t="s">
        <v>1403</v>
      </c>
      <c r="I542" s="4" t="s">
        <v>1540</v>
      </c>
      <c r="L542" s="4" t="s">
        <v>1409</v>
      </c>
      <c r="Q542" s="38"/>
      <c r="R542" s="38">
        <v>2</v>
      </c>
      <c r="S542" s="38"/>
      <c r="T542" t="b">
        <v>0</v>
      </c>
      <c r="U542" s="38"/>
      <c r="V542" s="50">
        <v>4058240</v>
      </c>
      <c r="W542" s="50"/>
      <c r="X542" s="50" t="s">
        <v>1414</v>
      </c>
      <c r="Y542" s="50"/>
      <c r="Z542" s="50"/>
      <c r="AA542" s="4" t="s">
        <v>1541</v>
      </c>
    </row>
    <row r="543" spans="1:27">
      <c r="A543" s="4">
        <v>100040067</v>
      </c>
      <c r="B543" s="4">
        <v>4</v>
      </c>
      <c r="C543" s="4" t="s">
        <v>1403</v>
      </c>
      <c r="I543" s="4" t="s">
        <v>1542</v>
      </c>
      <c r="L543" s="4" t="s">
        <v>1413</v>
      </c>
      <c r="Q543" s="38"/>
      <c r="R543" s="38">
        <v>3</v>
      </c>
      <c r="S543" s="38"/>
      <c r="T543" t="b">
        <v>0</v>
      </c>
      <c r="U543" s="38"/>
      <c r="V543" s="50">
        <v>4058241</v>
      </c>
      <c r="W543" s="50"/>
      <c r="X543" s="50" t="s">
        <v>1406</v>
      </c>
      <c r="Y543" s="50"/>
      <c r="Z543" s="50"/>
      <c r="AA543" s="4" t="s">
        <v>1543</v>
      </c>
    </row>
    <row r="544" spans="1:27">
      <c r="A544" s="4">
        <v>100040068</v>
      </c>
      <c r="B544" s="4">
        <v>4</v>
      </c>
      <c r="C544" s="4" t="s">
        <v>1403</v>
      </c>
      <c r="I544" s="4" t="s">
        <v>1544</v>
      </c>
      <c r="L544" s="4" t="s">
        <v>1413</v>
      </c>
      <c r="Q544" s="38"/>
      <c r="R544" s="38">
        <v>3</v>
      </c>
      <c r="S544" s="38"/>
      <c r="T544" t="b">
        <v>0</v>
      </c>
      <c r="U544" s="38"/>
      <c r="V544" s="50">
        <v>4058242</v>
      </c>
      <c r="W544" s="50"/>
      <c r="X544" s="50" t="s">
        <v>1410</v>
      </c>
      <c r="Y544" s="50"/>
      <c r="Z544" s="50"/>
      <c r="AA544" s="4" t="s">
        <v>1545</v>
      </c>
    </row>
    <row r="545" spans="1:27">
      <c r="A545" s="4">
        <v>100040069</v>
      </c>
      <c r="B545" s="4">
        <v>4</v>
      </c>
      <c r="C545" s="4" t="s">
        <v>1403</v>
      </c>
      <c r="I545" s="4" t="s">
        <v>1546</v>
      </c>
      <c r="L545" s="4" t="s">
        <v>1413</v>
      </c>
      <c r="Q545" s="38"/>
      <c r="R545" s="38">
        <v>3</v>
      </c>
      <c r="S545" s="38"/>
      <c r="T545" t="b">
        <v>0</v>
      </c>
      <c r="U545" s="38"/>
      <c r="V545" s="50">
        <v>4058243</v>
      </c>
      <c r="W545" s="50"/>
      <c r="X545" s="50" t="s">
        <v>1414</v>
      </c>
      <c r="Y545" s="50"/>
      <c r="Z545" s="50"/>
      <c r="AA545" s="4" t="s">
        <v>1547</v>
      </c>
    </row>
    <row r="546" spans="1:27">
      <c r="A546" s="4">
        <v>100040070</v>
      </c>
      <c r="B546" s="4">
        <v>4</v>
      </c>
      <c r="C546" s="4" t="s">
        <v>1403</v>
      </c>
      <c r="I546" s="4" t="s">
        <v>1548</v>
      </c>
      <c r="L546" s="4" t="s">
        <v>1405</v>
      </c>
      <c r="Q546" s="38"/>
      <c r="R546" s="38">
        <v>1</v>
      </c>
      <c r="S546" s="38"/>
      <c r="T546" t="b">
        <v>0</v>
      </c>
      <c r="U546" s="38"/>
      <c r="V546" s="50">
        <v>4058244</v>
      </c>
      <c r="W546" s="50"/>
      <c r="X546" s="50" t="s">
        <v>1549</v>
      </c>
      <c r="Y546" s="50"/>
      <c r="Z546" s="50"/>
      <c r="AA546" s="4" t="s">
        <v>1550</v>
      </c>
    </row>
    <row r="547" spans="1:27">
      <c r="A547" s="4">
        <v>100040071</v>
      </c>
      <c r="B547" s="4">
        <v>4</v>
      </c>
      <c r="C547" s="4" t="s">
        <v>1403</v>
      </c>
      <c r="I547" s="4" t="s">
        <v>1551</v>
      </c>
      <c r="L547" s="4" t="s">
        <v>1405</v>
      </c>
      <c r="Q547" s="38"/>
      <c r="R547" s="38">
        <v>1</v>
      </c>
      <c r="S547" s="38"/>
      <c r="T547" t="b">
        <v>0</v>
      </c>
      <c r="U547" s="38"/>
      <c r="V547" s="50">
        <v>4058245</v>
      </c>
      <c r="W547" s="50"/>
      <c r="X547" s="50" t="s">
        <v>1406</v>
      </c>
      <c r="Y547" s="50"/>
      <c r="Z547" s="50"/>
      <c r="AA547" s="4" t="s">
        <v>1552</v>
      </c>
    </row>
    <row r="548" spans="1:27">
      <c r="A548" s="4">
        <v>100040072</v>
      </c>
      <c r="B548" s="4">
        <v>4</v>
      </c>
      <c r="C548" s="4" t="s">
        <v>1403</v>
      </c>
      <c r="I548" s="4" t="s">
        <v>1553</v>
      </c>
      <c r="L548" s="4" t="s">
        <v>1405</v>
      </c>
      <c r="Q548" s="38"/>
      <c r="R548" s="38">
        <v>1</v>
      </c>
      <c r="S548" s="38"/>
      <c r="T548" t="b">
        <v>0</v>
      </c>
      <c r="U548" s="38"/>
      <c r="V548" s="50">
        <v>4058246</v>
      </c>
      <c r="W548" s="50"/>
      <c r="X548" s="50" t="s">
        <v>1410</v>
      </c>
      <c r="Y548" s="50"/>
      <c r="Z548" s="50"/>
      <c r="AA548" s="4" t="s">
        <v>1554</v>
      </c>
    </row>
    <row r="549" spans="1:27">
      <c r="A549" s="4">
        <v>100040073</v>
      </c>
      <c r="B549" s="4">
        <v>4</v>
      </c>
      <c r="C549" s="4" t="s">
        <v>1403</v>
      </c>
      <c r="I549" s="4" t="s">
        <v>1555</v>
      </c>
      <c r="L549" s="4" t="s">
        <v>1409</v>
      </c>
      <c r="Q549" s="38"/>
      <c r="R549" s="38">
        <v>2</v>
      </c>
      <c r="S549" s="38"/>
      <c r="T549" t="b">
        <v>0</v>
      </c>
      <c r="U549" s="38"/>
      <c r="V549" s="50">
        <v>4058247</v>
      </c>
      <c r="W549" s="50"/>
      <c r="X549" s="50" t="s">
        <v>1549</v>
      </c>
      <c r="Y549" s="50"/>
      <c r="Z549" s="50"/>
      <c r="AA549" s="4" t="s">
        <v>1556</v>
      </c>
    </row>
    <row r="550" spans="1:27">
      <c r="A550" s="4">
        <v>100040074</v>
      </c>
      <c r="B550" s="4">
        <v>4</v>
      </c>
      <c r="C550" s="4" t="s">
        <v>1403</v>
      </c>
      <c r="I550" s="4" t="s">
        <v>1557</v>
      </c>
      <c r="L550" s="4" t="s">
        <v>1409</v>
      </c>
      <c r="Q550" s="38"/>
      <c r="R550" s="38">
        <v>2</v>
      </c>
      <c r="S550" s="38"/>
      <c r="T550" t="b">
        <v>0</v>
      </c>
      <c r="U550" s="38"/>
      <c r="V550" s="50">
        <v>4058248</v>
      </c>
      <c r="W550" s="50"/>
      <c r="X550" s="50" t="s">
        <v>1406</v>
      </c>
      <c r="Y550" s="50"/>
      <c r="Z550" s="50"/>
      <c r="AA550" s="4" t="s">
        <v>1558</v>
      </c>
    </row>
    <row r="551" spans="1:27">
      <c r="A551" s="4">
        <v>100040075</v>
      </c>
      <c r="B551" s="4">
        <v>4</v>
      </c>
      <c r="C551" s="4" t="s">
        <v>1403</v>
      </c>
      <c r="I551" s="4" t="s">
        <v>1559</v>
      </c>
      <c r="L551" s="4" t="s">
        <v>1409</v>
      </c>
      <c r="Q551" s="38"/>
      <c r="R551" s="38">
        <v>2</v>
      </c>
      <c r="S551" s="38"/>
      <c r="T551" t="b">
        <v>0</v>
      </c>
      <c r="U551" s="38"/>
      <c r="V551" s="50">
        <v>4058249</v>
      </c>
      <c r="W551" s="50"/>
      <c r="X551" s="50" t="s">
        <v>1410</v>
      </c>
      <c r="Y551" s="50"/>
      <c r="Z551" s="50"/>
      <c r="AA551" s="4" t="s">
        <v>1560</v>
      </c>
    </row>
    <row r="552" spans="1:27">
      <c r="A552" s="4">
        <v>100040076</v>
      </c>
      <c r="B552" s="4">
        <v>4</v>
      </c>
      <c r="C552" s="4" t="s">
        <v>1403</v>
      </c>
      <c r="I552" s="4" t="s">
        <v>1561</v>
      </c>
      <c r="L552" s="4" t="s">
        <v>1413</v>
      </c>
      <c r="Q552" s="38"/>
      <c r="R552" s="38">
        <v>3</v>
      </c>
      <c r="S552" s="38"/>
      <c r="T552" t="b">
        <v>0</v>
      </c>
      <c r="U552" s="38"/>
      <c r="V552" s="50">
        <v>4058250</v>
      </c>
      <c r="W552" s="50"/>
      <c r="X552" s="50" t="s">
        <v>1549</v>
      </c>
      <c r="Y552" s="50"/>
      <c r="Z552" s="50"/>
      <c r="AA552" s="4" t="s">
        <v>1562</v>
      </c>
    </row>
    <row r="553" spans="1:27">
      <c r="A553" s="4">
        <v>100040077</v>
      </c>
      <c r="B553" s="4">
        <v>4</v>
      </c>
      <c r="C553" s="4" t="s">
        <v>1403</v>
      </c>
      <c r="I553" s="4" t="s">
        <v>1563</v>
      </c>
      <c r="L553" s="4" t="s">
        <v>1413</v>
      </c>
      <c r="Q553" s="38"/>
      <c r="R553" s="38">
        <v>3</v>
      </c>
      <c r="S553" s="38"/>
      <c r="T553" t="b">
        <v>0</v>
      </c>
      <c r="U553" s="38"/>
      <c r="V553" s="50">
        <v>4058251</v>
      </c>
      <c r="W553" s="50"/>
      <c r="X553" s="50" t="s">
        <v>1406</v>
      </c>
      <c r="Y553" s="50"/>
      <c r="Z553" s="50"/>
      <c r="AA553" s="4" t="s">
        <v>1564</v>
      </c>
    </row>
    <row r="554" spans="1:27">
      <c r="A554" s="4">
        <v>100040078</v>
      </c>
      <c r="B554" s="4">
        <v>4</v>
      </c>
      <c r="C554" s="4" t="s">
        <v>1403</v>
      </c>
      <c r="I554" s="4" t="s">
        <v>1565</v>
      </c>
      <c r="L554" s="4" t="s">
        <v>1413</v>
      </c>
      <c r="Q554" s="38"/>
      <c r="R554" s="38">
        <v>3</v>
      </c>
      <c r="S554" s="38"/>
      <c r="T554" t="b">
        <v>0</v>
      </c>
      <c r="U554" s="38"/>
      <c r="V554" s="50">
        <v>4058252</v>
      </c>
      <c r="W554" s="50"/>
      <c r="X554" s="50" t="s">
        <v>1410</v>
      </c>
      <c r="Y554" s="50"/>
      <c r="Z554" s="50"/>
      <c r="AA554" s="4" t="s">
        <v>1566</v>
      </c>
    </row>
    <row r="555" spans="1:27">
      <c r="A555" s="4">
        <v>100050001</v>
      </c>
      <c r="B555" s="4">
        <v>5</v>
      </c>
      <c r="C555" s="4" t="s">
        <v>1567</v>
      </c>
      <c r="I555" s="4" t="s">
        <v>1568</v>
      </c>
      <c r="L555" s="4" t="s">
        <v>1569</v>
      </c>
      <c r="Q555" s="38"/>
      <c r="R555" s="38">
        <v>1</v>
      </c>
      <c r="S555" s="38">
        <v>120</v>
      </c>
      <c r="T555" t="b">
        <v>1</v>
      </c>
      <c r="U555" s="38">
        <v>300</v>
      </c>
      <c r="V555" s="50">
        <v>78001</v>
      </c>
      <c r="W555" s="50"/>
      <c r="X555" s="50"/>
      <c r="Y555" s="50"/>
      <c r="Z555" s="50"/>
      <c r="AA555" s="4" t="s">
        <v>1570</v>
      </c>
    </row>
    <row r="556" spans="1:27">
      <c r="A556" s="4">
        <v>100050002</v>
      </c>
      <c r="B556" s="4">
        <v>5</v>
      </c>
      <c r="C556" s="4" t="s">
        <v>1567</v>
      </c>
      <c r="I556" s="4" t="s">
        <v>1571</v>
      </c>
      <c r="L556" s="4" t="s">
        <v>1572</v>
      </c>
      <c r="Q556" s="38"/>
      <c r="R556" s="38">
        <v>1</v>
      </c>
      <c r="S556" s="38">
        <v>120</v>
      </c>
      <c r="T556" t="b">
        <v>1</v>
      </c>
      <c r="U556" s="38">
        <v>300</v>
      </c>
      <c r="V556" s="50">
        <v>78002</v>
      </c>
      <c r="W556" s="50"/>
      <c r="X556" s="50"/>
      <c r="Y556" s="50"/>
      <c r="Z556" s="50"/>
      <c r="AA556" s="4" t="s">
        <v>1573</v>
      </c>
    </row>
    <row r="557" spans="1:27">
      <c r="A557" s="4">
        <v>100050003</v>
      </c>
      <c r="B557" s="4">
        <v>5</v>
      </c>
      <c r="C557" s="4" t="s">
        <v>1567</v>
      </c>
      <c r="I557" s="4" t="s">
        <v>1574</v>
      </c>
      <c r="L557" s="4" t="s">
        <v>1575</v>
      </c>
      <c r="Q557" s="38"/>
      <c r="R557" s="38">
        <v>1</v>
      </c>
      <c r="S557" s="38">
        <v>120</v>
      </c>
      <c r="T557" t="b">
        <v>1</v>
      </c>
      <c r="U557" s="38">
        <v>300</v>
      </c>
      <c r="V557" s="50">
        <v>78003</v>
      </c>
      <c r="W557" s="50"/>
      <c r="X557" s="50"/>
      <c r="Y557" s="50"/>
      <c r="Z557" s="50"/>
      <c r="AA557" s="4" t="s">
        <v>1576</v>
      </c>
    </row>
    <row r="558" spans="1:27">
      <c r="A558" s="4">
        <v>100050004</v>
      </c>
      <c r="B558" s="4">
        <v>5</v>
      </c>
      <c r="C558" s="4" t="s">
        <v>1567</v>
      </c>
      <c r="I558" s="4" t="s">
        <v>1577</v>
      </c>
      <c r="L558" s="4" t="s">
        <v>1578</v>
      </c>
      <c r="Q558" s="38"/>
      <c r="R558" s="38">
        <v>2</v>
      </c>
      <c r="S558" s="38">
        <v>1440</v>
      </c>
      <c r="T558" t="b">
        <v>1</v>
      </c>
      <c r="U558" s="38">
        <v>300</v>
      </c>
      <c r="V558" s="50">
        <v>78004</v>
      </c>
      <c r="W558" s="50"/>
      <c r="X558" s="50"/>
      <c r="Y558" s="50"/>
      <c r="Z558" s="50"/>
      <c r="AA558" s="4" t="s">
        <v>1579</v>
      </c>
    </row>
    <row r="559" spans="1:27">
      <c r="A559" s="4">
        <v>100050005</v>
      </c>
      <c r="B559" s="4">
        <v>5</v>
      </c>
      <c r="C559" s="4" t="s">
        <v>1567</v>
      </c>
      <c r="I559" s="4" t="s">
        <v>1580</v>
      </c>
      <c r="L559" s="4" t="s">
        <v>1581</v>
      </c>
      <c r="Q559" s="38"/>
      <c r="R559" s="38">
        <v>2</v>
      </c>
      <c r="S559" s="38">
        <v>1440</v>
      </c>
      <c r="T559" t="b">
        <v>1</v>
      </c>
      <c r="U559" s="38">
        <v>300</v>
      </c>
      <c r="V559" s="50">
        <v>78005</v>
      </c>
      <c r="W559" s="50"/>
      <c r="X559" s="50"/>
      <c r="Y559" s="50"/>
      <c r="Z559" s="50"/>
      <c r="AA559" s="4" t="s">
        <v>1582</v>
      </c>
    </row>
    <row r="560" spans="1:27">
      <c r="A560" s="4">
        <v>100050006</v>
      </c>
      <c r="B560" s="4">
        <v>5</v>
      </c>
      <c r="C560" s="4" t="s">
        <v>1567</v>
      </c>
      <c r="I560" s="4" t="s">
        <v>1583</v>
      </c>
      <c r="L560" s="4" t="s">
        <v>1584</v>
      </c>
      <c r="Q560" s="38"/>
      <c r="R560" s="38">
        <v>3</v>
      </c>
      <c r="S560" s="38">
        <v>2880</v>
      </c>
      <c r="T560" t="b">
        <v>1</v>
      </c>
      <c r="U560" s="38">
        <v>300</v>
      </c>
      <c r="V560" s="50">
        <v>78006</v>
      </c>
      <c r="W560" s="50"/>
      <c r="X560" s="50"/>
      <c r="Y560" s="50"/>
      <c r="Z560" s="50"/>
      <c r="AA560" s="4" t="s">
        <v>1585</v>
      </c>
    </row>
    <row r="561" spans="1:27">
      <c r="A561" s="4">
        <v>100050007</v>
      </c>
      <c r="B561" s="4">
        <v>5</v>
      </c>
      <c r="C561" s="4" t="s">
        <v>1567</v>
      </c>
      <c r="I561" s="4" t="s">
        <v>1586</v>
      </c>
      <c r="L561" s="4" t="s">
        <v>1587</v>
      </c>
      <c r="Q561" s="38"/>
      <c r="R561" s="38">
        <v>3</v>
      </c>
      <c r="S561" s="38">
        <v>2880</v>
      </c>
      <c r="T561" t="b">
        <v>1</v>
      </c>
      <c r="U561" s="38">
        <v>300</v>
      </c>
      <c r="V561" s="50">
        <v>78007</v>
      </c>
      <c r="W561" s="50"/>
      <c r="X561" s="50"/>
      <c r="Y561" s="50"/>
      <c r="Z561" s="50"/>
      <c r="AA561" s="4" t="s">
        <v>1588</v>
      </c>
    </row>
    <row r="562" spans="1:27">
      <c r="A562" s="4">
        <v>100050008</v>
      </c>
      <c r="B562" s="4">
        <v>5</v>
      </c>
      <c r="C562" s="4" t="s">
        <v>1567</v>
      </c>
      <c r="I562" s="4" t="s">
        <v>1589</v>
      </c>
      <c r="L562" s="4" t="s">
        <v>1590</v>
      </c>
      <c r="Q562" s="38"/>
      <c r="R562" s="38">
        <v>1</v>
      </c>
      <c r="S562" s="38">
        <v>120</v>
      </c>
      <c r="T562" t="b">
        <v>1</v>
      </c>
      <c r="U562" s="38">
        <v>300</v>
      </c>
      <c r="V562" s="50">
        <v>78008</v>
      </c>
      <c r="W562" s="50"/>
      <c r="X562" s="50"/>
      <c r="Y562" s="50"/>
      <c r="Z562" s="50"/>
      <c r="AA562" s="4" t="s">
        <v>1591</v>
      </c>
    </row>
    <row r="563" spans="1:27">
      <c r="A563" s="4">
        <v>100050009</v>
      </c>
      <c r="B563" s="4">
        <v>5</v>
      </c>
      <c r="C563" s="4" t="s">
        <v>1567</v>
      </c>
      <c r="I563" s="4" t="s">
        <v>1592</v>
      </c>
      <c r="L563" s="4" t="s">
        <v>1593</v>
      </c>
      <c r="Q563" s="38"/>
      <c r="R563" s="38">
        <v>1</v>
      </c>
      <c r="S563" s="38">
        <v>120</v>
      </c>
      <c r="T563" t="b">
        <v>1</v>
      </c>
      <c r="U563" s="38">
        <v>300</v>
      </c>
      <c r="V563" s="50">
        <v>78009</v>
      </c>
      <c r="W563" s="50"/>
      <c r="X563" s="50"/>
      <c r="Y563" s="50"/>
      <c r="Z563" s="50"/>
      <c r="AA563" s="4" t="s">
        <v>1594</v>
      </c>
    </row>
    <row r="564" spans="1:27">
      <c r="A564" s="4">
        <v>100050010</v>
      </c>
      <c r="B564" s="4">
        <v>5</v>
      </c>
      <c r="C564" s="4" t="s">
        <v>1567</v>
      </c>
      <c r="I564" s="4" t="s">
        <v>1595</v>
      </c>
      <c r="L564" s="4" t="s">
        <v>1578</v>
      </c>
      <c r="Q564" s="38"/>
      <c r="R564" s="38">
        <v>1</v>
      </c>
      <c r="S564" s="38">
        <v>120</v>
      </c>
      <c r="T564" t="b">
        <v>1</v>
      </c>
      <c r="U564" s="38">
        <v>300</v>
      </c>
      <c r="V564" s="50">
        <v>78010</v>
      </c>
      <c r="W564" s="50"/>
      <c r="X564" s="50"/>
      <c r="Y564" s="50"/>
      <c r="Z564" s="50"/>
      <c r="AA564" s="4" t="s">
        <v>1596</v>
      </c>
    </row>
    <row r="565" spans="1:27">
      <c r="A565" s="4">
        <v>100050011</v>
      </c>
      <c r="B565" s="4">
        <v>5</v>
      </c>
      <c r="C565" s="4" t="s">
        <v>1567</v>
      </c>
      <c r="I565" s="4" t="s">
        <v>1597</v>
      </c>
      <c r="L565" s="4" t="s">
        <v>1581</v>
      </c>
      <c r="Q565" s="38"/>
      <c r="R565" s="38">
        <v>2</v>
      </c>
      <c r="S565" s="38">
        <v>1440</v>
      </c>
      <c r="T565" t="b">
        <v>1</v>
      </c>
      <c r="U565" s="38">
        <v>300</v>
      </c>
      <c r="V565" s="50">
        <v>78011</v>
      </c>
      <c r="W565" s="50"/>
      <c r="X565" s="50"/>
      <c r="Y565" s="50"/>
      <c r="Z565" s="50"/>
      <c r="AA565" s="4" t="s">
        <v>1598</v>
      </c>
    </row>
    <row r="566" spans="1:27">
      <c r="A566" s="4">
        <v>100050012</v>
      </c>
      <c r="B566" s="4">
        <v>5</v>
      </c>
      <c r="C566" s="4" t="s">
        <v>1567</v>
      </c>
      <c r="I566" s="4" t="s">
        <v>1599</v>
      </c>
      <c r="L566" s="4" t="s">
        <v>1600</v>
      </c>
      <c r="Q566" s="38"/>
      <c r="R566" s="38">
        <v>2</v>
      </c>
      <c r="S566" s="38">
        <v>1440</v>
      </c>
      <c r="T566" t="b">
        <v>1</v>
      </c>
      <c r="U566" s="38">
        <v>300</v>
      </c>
      <c r="V566" s="50">
        <v>78012</v>
      </c>
      <c r="W566" s="50"/>
      <c r="X566" s="50"/>
      <c r="Y566" s="50"/>
      <c r="Z566" s="50"/>
      <c r="AA566" s="4" t="s">
        <v>1601</v>
      </c>
    </row>
    <row r="567" spans="1:27">
      <c r="A567" s="4">
        <v>100050013</v>
      </c>
      <c r="B567" s="4">
        <v>5</v>
      </c>
      <c r="C567" s="4" t="s">
        <v>1567</v>
      </c>
      <c r="I567" s="4" t="s">
        <v>1602</v>
      </c>
      <c r="L567" s="4" t="s">
        <v>1603</v>
      </c>
      <c r="Q567" s="38"/>
      <c r="R567" s="38">
        <v>3</v>
      </c>
      <c r="S567" s="38">
        <v>2880</v>
      </c>
      <c r="T567" t="b">
        <v>1</v>
      </c>
      <c r="U567" s="38">
        <v>300</v>
      </c>
      <c r="V567" s="50">
        <v>78013</v>
      </c>
      <c r="W567" s="50"/>
      <c r="X567" s="50"/>
      <c r="Y567" s="50"/>
      <c r="Z567" s="50"/>
      <c r="AA567" s="4" t="s">
        <v>1604</v>
      </c>
    </row>
    <row r="568" spans="1:27">
      <c r="A568" s="4">
        <v>100050014</v>
      </c>
      <c r="B568" s="4">
        <v>5</v>
      </c>
      <c r="C568" s="4" t="s">
        <v>1567</v>
      </c>
      <c r="I568" s="4" t="s">
        <v>1605</v>
      </c>
      <c r="L568" s="4" t="s">
        <v>1606</v>
      </c>
      <c r="Q568" s="38"/>
      <c r="R568" s="38">
        <v>3</v>
      </c>
      <c r="S568" s="38">
        <v>2880</v>
      </c>
      <c r="T568" t="b">
        <v>1</v>
      </c>
      <c r="U568" s="38">
        <v>300</v>
      </c>
      <c r="V568" s="50">
        <v>78014</v>
      </c>
      <c r="W568" s="50"/>
      <c r="X568" s="50"/>
      <c r="Y568" s="50"/>
      <c r="Z568" s="50"/>
      <c r="AA568" s="4" t="s">
        <v>1607</v>
      </c>
    </row>
    <row r="569" spans="1:27">
      <c r="A569" s="4">
        <v>100050015</v>
      </c>
      <c r="B569" s="4">
        <v>5</v>
      </c>
      <c r="C569" s="4" t="s">
        <v>1567</v>
      </c>
      <c r="I569" s="4" t="s">
        <v>1608</v>
      </c>
      <c r="L569" s="4" t="s">
        <v>1609</v>
      </c>
      <c r="Q569" s="38"/>
      <c r="R569" s="38">
        <v>1</v>
      </c>
      <c r="S569" s="38">
        <v>120</v>
      </c>
      <c r="T569" t="b">
        <v>1</v>
      </c>
      <c r="U569" s="38">
        <v>300</v>
      </c>
      <c r="V569" s="50">
        <v>78015</v>
      </c>
      <c r="W569" s="50"/>
      <c r="X569" s="50"/>
      <c r="Y569" s="50"/>
      <c r="Z569" s="50"/>
      <c r="AA569" s="4" t="s">
        <v>1610</v>
      </c>
    </row>
    <row r="570" spans="1:27">
      <c r="A570" s="4">
        <v>100050016</v>
      </c>
      <c r="B570" s="4">
        <v>5</v>
      </c>
      <c r="C570" s="4" t="s">
        <v>1567</v>
      </c>
      <c r="I570" s="4" t="s">
        <v>1611</v>
      </c>
      <c r="L570" s="4" t="s">
        <v>1612</v>
      </c>
      <c r="Q570" s="38"/>
      <c r="R570" s="38">
        <v>1</v>
      </c>
      <c r="S570" s="38">
        <v>120</v>
      </c>
      <c r="T570" t="b">
        <v>1</v>
      </c>
      <c r="U570" s="38">
        <v>300</v>
      </c>
      <c r="V570" s="50">
        <v>78016</v>
      </c>
      <c r="W570" s="50"/>
      <c r="X570" s="50"/>
      <c r="Y570" s="50"/>
      <c r="Z570" s="50"/>
      <c r="AA570" s="4" t="s">
        <v>1613</v>
      </c>
    </row>
    <row r="571" spans="1:27">
      <c r="A571" s="4">
        <v>100050017</v>
      </c>
      <c r="B571" s="4">
        <v>5</v>
      </c>
      <c r="C571" s="4" t="s">
        <v>1567</v>
      </c>
      <c r="I571" s="4" t="s">
        <v>1614</v>
      </c>
      <c r="L571" s="4" t="s">
        <v>1615</v>
      </c>
      <c r="Q571" s="38"/>
      <c r="R571" s="38">
        <v>2</v>
      </c>
      <c r="S571" s="38">
        <v>120</v>
      </c>
      <c r="T571" t="b">
        <v>1</v>
      </c>
      <c r="U571" s="38">
        <v>300</v>
      </c>
      <c r="V571" s="50">
        <v>78017</v>
      </c>
      <c r="W571" s="50"/>
      <c r="X571" s="50"/>
      <c r="Y571" s="50"/>
      <c r="Z571" s="50"/>
      <c r="AA571" s="4" t="s">
        <v>1616</v>
      </c>
    </row>
    <row r="572" spans="1:27">
      <c r="A572" s="4">
        <v>100050018</v>
      </c>
      <c r="B572" s="4">
        <v>5</v>
      </c>
      <c r="C572" s="4" t="s">
        <v>1567</v>
      </c>
      <c r="I572" s="4" t="s">
        <v>1617</v>
      </c>
      <c r="L572" s="4" t="s">
        <v>1618</v>
      </c>
      <c r="Q572" s="38"/>
      <c r="R572" s="38">
        <v>2</v>
      </c>
      <c r="S572" s="38">
        <v>1440</v>
      </c>
      <c r="T572" t="b">
        <v>1</v>
      </c>
      <c r="U572" s="38">
        <v>300</v>
      </c>
      <c r="V572" s="50">
        <v>78018</v>
      </c>
      <c r="W572" s="50"/>
      <c r="X572" s="50"/>
      <c r="Y572" s="50"/>
      <c r="Z572" s="50"/>
      <c r="AA572" s="4" t="s">
        <v>1619</v>
      </c>
    </row>
    <row r="573" spans="1:27">
      <c r="A573" s="4">
        <v>100050019</v>
      </c>
      <c r="B573" s="4">
        <v>5</v>
      </c>
      <c r="C573" s="4" t="s">
        <v>1567</v>
      </c>
      <c r="I573" s="4" t="s">
        <v>1620</v>
      </c>
      <c r="L573" s="4" t="s">
        <v>1621</v>
      </c>
      <c r="Q573" s="38"/>
      <c r="R573" s="38">
        <v>3</v>
      </c>
      <c r="S573" s="38">
        <v>1440</v>
      </c>
      <c r="T573" t="b">
        <v>1</v>
      </c>
      <c r="U573" s="38">
        <v>300</v>
      </c>
      <c r="V573" s="50">
        <v>78019</v>
      </c>
      <c r="W573" s="50"/>
      <c r="X573" s="50"/>
      <c r="Y573" s="50"/>
      <c r="Z573" s="50"/>
      <c r="AA573" s="4" t="s">
        <v>1622</v>
      </c>
    </row>
    <row r="574" spans="1:27">
      <c r="A574" s="4">
        <v>100050020</v>
      </c>
      <c r="B574" s="4">
        <v>5</v>
      </c>
      <c r="C574" s="4" t="s">
        <v>1567</v>
      </c>
      <c r="I574" s="4" t="s">
        <v>1623</v>
      </c>
      <c r="L574" s="4" t="s">
        <v>1624</v>
      </c>
      <c r="Q574" s="38"/>
      <c r="R574" s="38">
        <v>3</v>
      </c>
      <c r="S574" s="38">
        <v>2880</v>
      </c>
      <c r="T574" t="b">
        <v>1</v>
      </c>
      <c r="U574" s="38">
        <v>300</v>
      </c>
      <c r="V574" s="50">
        <v>78020</v>
      </c>
      <c r="W574" s="50"/>
      <c r="X574" s="50"/>
      <c r="Y574" s="50"/>
      <c r="Z574" s="50"/>
      <c r="AA574" s="4" t="s">
        <v>1625</v>
      </c>
    </row>
    <row r="575" spans="1:27">
      <c r="A575" s="4">
        <v>100050021</v>
      </c>
      <c r="B575" s="4">
        <v>5</v>
      </c>
      <c r="C575" s="4" t="s">
        <v>1567</v>
      </c>
      <c r="I575" s="4" t="s">
        <v>1626</v>
      </c>
      <c r="L575" s="4" t="s">
        <v>1627</v>
      </c>
      <c r="Q575" s="38"/>
      <c r="R575" s="38">
        <v>3</v>
      </c>
      <c r="S575" s="38">
        <v>2880</v>
      </c>
      <c r="T575" t="b">
        <v>1</v>
      </c>
      <c r="U575" s="38">
        <v>300</v>
      </c>
      <c r="V575" s="50">
        <v>78021</v>
      </c>
      <c r="W575" s="50"/>
      <c r="X575" s="50"/>
      <c r="Y575" s="50"/>
      <c r="Z575" s="50"/>
      <c r="AA575" s="4" t="s">
        <v>1628</v>
      </c>
    </row>
    <row r="576" spans="1:27">
      <c r="A576" s="4">
        <v>100050022</v>
      </c>
      <c r="B576" s="4">
        <v>5</v>
      </c>
      <c r="C576" s="4" t="s">
        <v>1567</v>
      </c>
      <c r="I576" s="4" t="s">
        <v>1629</v>
      </c>
      <c r="L576" s="4" t="s">
        <v>1630</v>
      </c>
      <c r="Q576" s="38"/>
      <c r="R576" s="38">
        <v>1</v>
      </c>
      <c r="S576" s="38">
        <v>120</v>
      </c>
      <c r="T576" t="b">
        <v>1</v>
      </c>
      <c r="U576" s="38">
        <v>300</v>
      </c>
      <c r="V576" s="50">
        <v>78022</v>
      </c>
      <c r="W576" s="50"/>
      <c r="X576" s="50"/>
      <c r="Y576" s="50"/>
      <c r="Z576" s="50"/>
      <c r="AA576" s="4" t="s">
        <v>1631</v>
      </c>
    </row>
    <row r="577" spans="1:27">
      <c r="A577" s="4">
        <v>100050023</v>
      </c>
      <c r="B577" s="4">
        <v>5</v>
      </c>
      <c r="C577" s="4" t="s">
        <v>1567</v>
      </c>
      <c r="I577" s="4" t="s">
        <v>1632</v>
      </c>
      <c r="L577" s="4" t="s">
        <v>1633</v>
      </c>
      <c r="Q577" s="38"/>
      <c r="R577" s="38">
        <v>1</v>
      </c>
      <c r="S577" s="38">
        <v>120</v>
      </c>
      <c r="T577" t="b">
        <v>1</v>
      </c>
      <c r="U577" s="38">
        <v>300</v>
      </c>
      <c r="V577" s="50">
        <v>78023</v>
      </c>
      <c r="W577" s="50"/>
      <c r="X577" s="50"/>
      <c r="Y577" s="50"/>
      <c r="Z577" s="50"/>
      <c r="AA577" s="4" t="s">
        <v>1634</v>
      </c>
    </row>
    <row r="578" spans="1:27">
      <c r="A578" s="4">
        <v>100050024</v>
      </c>
      <c r="B578" s="4">
        <v>5</v>
      </c>
      <c r="C578" s="4" t="s">
        <v>1567</v>
      </c>
      <c r="I578" s="4" t="s">
        <v>1635</v>
      </c>
      <c r="L578" s="4" t="s">
        <v>1590</v>
      </c>
      <c r="Q578" s="38"/>
      <c r="R578" s="38">
        <v>1</v>
      </c>
      <c r="S578" s="38">
        <v>120</v>
      </c>
      <c r="T578" t="b">
        <v>1</v>
      </c>
      <c r="U578" s="38">
        <v>300</v>
      </c>
      <c r="V578" s="50">
        <v>78024</v>
      </c>
      <c r="W578" s="50"/>
      <c r="X578" s="50"/>
      <c r="Y578" s="50"/>
      <c r="Z578" s="50"/>
      <c r="AA578" s="4" t="s">
        <v>1636</v>
      </c>
    </row>
    <row r="579" spans="1:27">
      <c r="A579" s="4">
        <v>100050025</v>
      </c>
      <c r="B579" s="4">
        <v>5</v>
      </c>
      <c r="C579" s="4" t="s">
        <v>1567</v>
      </c>
      <c r="I579" s="4" t="s">
        <v>1637</v>
      </c>
      <c r="L579" s="4" t="s">
        <v>1638</v>
      </c>
      <c r="Q579" s="38"/>
      <c r="R579" s="38">
        <v>1</v>
      </c>
      <c r="S579" s="38">
        <v>120</v>
      </c>
      <c r="T579" t="b">
        <v>1</v>
      </c>
      <c r="U579" s="38">
        <v>300</v>
      </c>
      <c r="V579" s="50">
        <v>78025</v>
      </c>
      <c r="W579" s="50"/>
      <c r="X579" s="50"/>
      <c r="Y579" s="50"/>
      <c r="Z579" s="50"/>
      <c r="AA579" s="4" t="s">
        <v>1639</v>
      </c>
    </row>
    <row r="580" spans="1:27">
      <c r="A580" s="4">
        <v>100050026</v>
      </c>
      <c r="B580" s="4">
        <v>5</v>
      </c>
      <c r="C580" s="4" t="s">
        <v>1567</v>
      </c>
      <c r="I580" s="4" t="s">
        <v>1640</v>
      </c>
      <c r="L580" s="4" t="s">
        <v>1641</v>
      </c>
      <c r="Q580" s="38"/>
      <c r="R580" s="38">
        <v>2</v>
      </c>
      <c r="S580" s="38">
        <v>1440</v>
      </c>
      <c r="T580" t="b">
        <v>1</v>
      </c>
      <c r="U580" s="38">
        <v>300</v>
      </c>
      <c r="V580" s="50">
        <v>78026</v>
      </c>
      <c r="W580" s="50"/>
      <c r="X580" s="50"/>
      <c r="Y580" s="50"/>
      <c r="Z580" s="50"/>
      <c r="AA580" s="4" t="s">
        <v>1642</v>
      </c>
    </row>
    <row r="581" spans="1:27">
      <c r="A581" s="4">
        <v>100050027</v>
      </c>
      <c r="B581" s="4">
        <v>5</v>
      </c>
      <c r="C581" s="4" t="s">
        <v>1567</v>
      </c>
      <c r="I581" s="4" t="s">
        <v>1643</v>
      </c>
      <c r="L581" s="4" t="s">
        <v>1644</v>
      </c>
      <c r="Q581" s="38"/>
      <c r="R581" s="38">
        <v>2</v>
      </c>
      <c r="S581" s="38">
        <v>1440</v>
      </c>
      <c r="T581" t="b">
        <v>1</v>
      </c>
      <c r="U581" s="38">
        <v>300</v>
      </c>
      <c r="V581" s="50">
        <v>78027</v>
      </c>
      <c r="W581" s="50"/>
      <c r="X581" s="50"/>
      <c r="Y581" s="50"/>
      <c r="Z581" s="50"/>
      <c r="AA581" s="4" t="s">
        <v>1645</v>
      </c>
    </row>
    <row r="582" spans="1:27">
      <c r="A582" s="4">
        <v>100050028</v>
      </c>
      <c r="B582" s="4">
        <v>5</v>
      </c>
      <c r="C582" s="4" t="s">
        <v>1567</v>
      </c>
      <c r="I582" s="4" t="s">
        <v>1646</v>
      </c>
      <c r="L582" s="4" t="s">
        <v>1647</v>
      </c>
      <c r="Q582" s="38"/>
      <c r="R582" s="38">
        <v>2</v>
      </c>
      <c r="S582" s="38">
        <v>1440</v>
      </c>
      <c r="T582" t="b">
        <v>1</v>
      </c>
      <c r="U582" s="38">
        <v>300</v>
      </c>
      <c r="V582" s="50">
        <v>78028</v>
      </c>
      <c r="W582" s="50"/>
      <c r="X582" s="50"/>
      <c r="Y582" s="50"/>
      <c r="Z582" s="50"/>
      <c r="AA582" s="4" t="s">
        <v>1648</v>
      </c>
    </row>
    <row r="583" spans="1:27">
      <c r="A583" s="4">
        <v>100050029</v>
      </c>
      <c r="B583" s="4">
        <v>5</v>
      </c>
      <c r="C583" s="4" t="s">
        <v>1567</v>
      </c>
      <c r="I583" s="4" t="s">
        <v>1649</v>
      </c>
      <c r="L583" s="4" t="s">
        <v>1581</v>
      </c>
      <c r="Q583" s="38"/>
      <c r="R583" s="38">
        <v>3</v>
      </c>
      <c r="S583" s="38">
        <v>2880</v>
      </c>
      <c r="T583" t="b">
        <v>1</v>
      </c>
      <c r="U583" s="38">
        <v>300</v>
      </c>
      <c r="V583" s="50">
        <v>78029</v>
      </c>
      <c r="W583" s="50"/>
      <c r="X583" s="50"/>
      <c r="Y583" s="50"/>
      <c r="Z583" s="50"/>
      <c r="AA583" s="4" t="s">
        <v>1650</v>
      </c>
    </row>
    <row r="584" spans="1:27">
      <c r="A584" s="4">
        <v>100050030</v>
      </c>
      <c r="B584" s="4">
        <v>5</v>
      </c>
      <c r="C584" s="4" t="s">
        <v>1567</v>
      </c>
      <c r="I584" s="4" t="s">
        <v>1651</v>
      </c>
      <c r="L584" s="4" t="s">
        <v>1652</v>
      </c>
      <c r="Q584" s="38"/>
      <c r="R584" s="38">
        <v>3</v>
      </c>
      <c r="S584" s="38">
        <v>2880</v>
      </c>
      <c r="T584" t="b">
        <v>1</v>
      </c>
      <c r="U584" s="38">
        <v>300</v>
      </c>
      <c r="V584" s="50">
        <v>78030</v>
      </c>
      <c r="W584" s="50"/>
      <c r="X584" s="50"/>
      <c r="Y584" s="50"/>
      <c r="Z584" s="50"/>
      <c r="AA584" s="4" t="s">
        <v>1653</v>
      </c>
    </row>
    <row r="585" spans="1:27">
      <c r="A585" s="4">
        <v>100050031</v>
      </c>
      <c r="B585" s="4">
        <v>5</v>
      </c>
      <c r="C585" s="4" t="s">
        <v>1567</v>
      </c>
      <c r="I585" s="4" t="s">
        <v>1654</v>
      </c>
      <c r="L585" s="4" t="s">
        <v>1600</v>
      </c>
      <c r="Q585" s="38"/>
      <c r="R585" s="38">
        <v>3</v>
      </c>
      <c r="S585" s="38">
        <v>2880</v>
      </c>
      <c r="T585" t="b">
        <v>1</v>
      </c>
      <c r="U585" s="38">
        <v>300</v>
      </c>
      <c r="V585" s="50">
        <v>78031</v>
      </c>
      <c r="W585" s="50"/>
      <c r="X585" s="50"/>
      <c r="Y585" s="50"/>
      <c r="Z585" s="50"/>
      <c r="AA585" s="4" t="s">
        <v>1655</v>
      </c>
    </row>
    <row r="586" spans="1:27">
      <c r="A586" s="4">
        <v>100050032</v>
      </c>
      <c r="B586" s="4">
        <v>5</v>
      </c>
      <c r="C586" s="4" t="s">
        <v>1567</v>
      </c>
      <c r="I586" s="4" t="s">
        <v>1656</v>
      </c>
      <c r="L586" s="4" t="s">
        <v>1569</v>
      </c>
      <c r="Q586" s="38"/>
      <c r="R586" s="38">
        <v>1</v>
      </c>
      <c r="S586" s="38">
        <v>120</v>
      </c>
      <c r="T586" t="b">
        <v>1</v>
      </c>
      <c r="U586" s="38">
        <v>300</v>
      </c>
      <c r="V586" s="50">
        <v>78032</v>
      </c>
      <c r="W586" s="50"/>
      <c r="X586" s="50"/>
      <c r="Y586" s="50"/>
      <c r="Z586" s="50"/>
      <c r="AA586" s="4" t="s">
        <v>1657</v>
      </c>
    </row>
    <row r="587" spans="1:27">
      <c r="A587" s="4">
        <v>100050033</v>
      </c>
      <c r="B587" s="4">
        <v>5</v>
      </c>
      <c r="C587" s="4" t="s">
        <v>1567</v>
      </c>
      <c r="I587" s="4" t="s">
        <v>1658</v>
      </c>
      <c r="L587" s="4" t="s">
        <v>1590</v>
      </c>
      <c r="Q587" s="38"/>
      <c r="R587" s="38">
        <v>1</v>
      </c>
      <c r="S587" s="38">
        <v>120</v>
      </c>
      <c r="T587" t="b">
        <v>1</v>
      </c>
      <c r="U587" s="38">
        <v>300</v>
      </c>
      <c r="V587" s="50">
        <v>78033</v>
      </c>
      <c r="W587" s="50"/>
      <c r="X587" s="50"/>
      <c r="Y587" s="50"/>
      <c r="Z587" s="50"/>
      <c r="AA587" s="4" t="s">
        <v>1659</v>
      </c>
    </row>
    <row r="588" spans="1:27">
      <c r="A588" s="4">
        <v>100050034</v>
      </c>
      <c r="B588" s="4">
        <v>5</v>
      </c>
      <c r="C588" s="4" t="s">
        <v>1567</v>
      </c>
      <c r="I588" s="4" t="s">
        <v>1660</v>
      </c>
      <c r="L588" s="4" t="s">
        <v>1641</v>
      </c>
      <c r="Q588" s="38"/>
      <c r="R588" s="38">
        <v>1</v>
      </c>
      <c r="S588" s="38">
        <v>120</v>
      </c>
      <c r="T588" t="b">
        <v>1</v>
      </c>
      <c r="U588" s="38">
        <v>300</v>
      </c>
      <c r="V588" s="50">
        <v>78034</v>
      </c>
      <c r="W588" s="50"/>
      <c r="X588" s="50"/>
      <c r="Y588" s="50"/>
      <c r="Z588" s="50"/>
      <c r="AA588" s="4" t="s">
        <v>1661</v>
      </c>
    </row>
    <row r="589" spans="1:27">
      <c r="A589" s="4">
        <v>100050035</v>
      </c>
      <c r="B589" s="4">
        <v>5</v>
      </c>
      <c r="C589" s="4" t="s">
        <v>1567</v>
      </c>
      <c r="I589" s="4" t="s">
        <v>1662</v>
      </c>
      <c r="L589" s="4" t="s">
        <v>1593</v>
      </c>
      <c r="Q589" s="38"/>
      <c r="R589" s="38">
        <v>2</v>
      </c>
      <c r="S589" s="38">
        <v>1440</v>
      </c>
      <c r="T589" t="b">
        <v>1</v>
      </c>
      <c r="U589" s="38">
        <v>300</v>
      </c>
      <c r="V589" s="50">
        <v>78035</v>
      </c>
      <c r="W589" s="50"/>
      <c r="X589" s="50"/>
      <c r="Y589" s="50"/>
      <c r="Z589" s="50"/>
      <c r="AA589" s="4" t="s">
        <v>1663</v>
      </c>
    </row>
    <row r="590" spans="1:27">
      <c r="A590" s="4">
        <v>100050036</v>
      </c>
      <c r="B590" s="4">
        <v>5</v>
      </c>
      <c r="C590" s="4" t="s">
        <v>1567</v>
      </c>
      <c r="I590" s="4" t="s">
        <v>1664</v>
      </c>
      <c r="L590" s="4" t="s">
        <v>1578</v>
      </c>
      <c r="Q590" s="38"/>
      <c r="R590" s="38">
        <v>2</v>
      </c>
      <c r="S590" s="38">
        <v>1440</v>
      </c>
      <c r="T590" t="b">
        <v>1</v>
      </c>
      <c r="U590" s="38">
        <v>300</v>
      </c>
      <c r="V590" s="50">
        <v>78036</v>
      </c>
      <c r="W590" s="50"/>
      <c r="X590" s="50"/>
      <c r="Y590" s="50"/>
      <c r="Z590" s="50"/>
      <c r="AA590" s="4" t="s">
        <v>1665</v>
      </c>
    </row>
    <row r="591" spans="1:27">
      <c r="A591" s="4">
        <v>100050037</v>
      </c>
      <c r="B591" s="4">
        <v>5</v>
      </c>
      <c r="C591" s="4" t="s">
        <v>1567</v>
      </c>
      <c r="I591" s="4" t="s">
        <v>1666</v>
      </c>
      <c r="L591" s="4" t="s">
        <v>1581</v>
      </c>
      <c r="Q591" s="38"/>
      <c r="R591" s="38">
        <v>3</v>
      </c>
      <c r="S591" s="38">
        <v>2880</v>
      </c>
      <c r="T591" t="b">
        <v>1</v>
      </c>
      <c r="U591" s="38">
        <v>300</v>
      </c>
      <c r="V591" s="50">
        <v>78037</v>
      </c>
      <c r="W591" s="50"/>
      <c r="X591" s="50"/>
      <c r="Y591" s="50"/>
      <c r="Z591" s="50"/>
      <c r="AA591" s="4" t="s">
        <v>1667</v>
      </c>
    </row>
    <row r="592" spans="1:27">
      <c r="A592" s="4">
        <v>100050038</v>
      </c>
      <c r="B592" s="4">
        <v>5</v>
      </c>
      <c r="C592" s="4" t="s">
        <v>1567</v>
      </c>
      <c r="I592" s="4" t="s">
        <v>1668</v>
      </c>
      <c r="L592" s="4" t="s">
        <v>1584</v>
      </c>
      <c r="Q592" s="38"/>
      <c r="R592" s="38">
        <v>3</v>
      </c>
      <c r="S592" s="38">
        <v>2880</v>
      </c>
      <c r="T592" t="b">
        <v>1</v>
      </c>
      <c r="U592" s="38">
        <v>300</v>
      </c>
      <c r="V592" s="50">
        <v>78038</v>
      </c>
      <c r="W592" s="50"/>
      <c r="X592" s="50"/>
      <c r="Y592" s="50"/>
      <c r="Z592" s="50"/>
      <c r="AA592" s="4" t="s">
        <v>1669</v>
      </c>
    </row>
    <row r="593" spans="1:27">
      <c r="A593" s="4">
        <v>100050039</v>
      </c>
      <c r="B593" s="4">
        <v>5</v>
      </c>
      <c r="C593" s="4" t="s">
        <v>1567</v>
      </c>
      <c r="I593" s="4" t="s">
        <v>1670</v>
      </c>
      <c r="L593" s="4" t="s">
        <v>1590</v>
      </c>
      <c r="Q593" s="38"/>
      <c r="R593" s="38">
        <v>1</v>
      </c>
      <c r="S593" s="38">
        <v>120</v>
      </c>
      <c r="T593" t="b">
        <v>1</v>
      </c>
      <c r="U593" s="38">
        <v>300</v>
      </c>
      <c r="V593" s="50">
        <v>78039</v>
      </c>
      <c r="W593" s="50"/>
      <c r="X593" s="50"/>
      <c r="Y593" s="50"/>
      <c r="Z593" s="50"/>
      <c r="AA593" s="4" t="s">
        <v>1671</v>
      </c>
    </row>
    <row r="594" spans="1:27">
      <c r="A594" s="4">
        <v>100050040</v>
      </c>
      <c r="B594" s="4">
        <v>5</v>
      </c>
      <c r="C594" s="4" t="s">
        <v>1567</v>
      </c>
      <c r="I594" s="4" t="s">
        <v>1672</v>
      </c>
      <c r="L594" s="4" t="s">
        <v>1641</v>
      </c>
      <c r="Q594" s="38"/>
      <c r="R594" s="38">
        <v>1</v>
      </c>
      <c r="S594" s="38">
        <v>120</v>
      </c>
      <c r="T594" t="b">
        <v>1</v>
      </c>
      <c r="U594" s="38">
        <v>300</v>
      </c>
      <c r="V594" s="50">
        <v>78040</v>
      </c>
      <c r="W594" s="50"/>
      <c r="X594" s="50"/>
      <c r="Y594" s="50"/>
      <c r="Z594" s="50"/>
      <c r="AA594" s="4" t="s">
        <v>1673</v>
      </c>
    </row>
    <row r="595" spans="1:27">
      <c r="A595" s="4">
        <v>100050041</v>
      </c>
      <c r="B595" s="4">
        <v>5</v>
      </c>
      <c r="C595" s="4" t="s">
        <v>1567</v>
      </c>
      <c r="I595" s="4" t="s">
        <v>1674</v>
      </c>
      <c r="L595" s="4" t="s">
        <v>1593</v>
      </c>
      <c r="Q595" s="38"/>
      <c r="R595" s="38">
        <v>2</v>
      </c>
      <c r="S595" s="38">
        <v>2880</v>
      </c>
      <c r="T595" t="b">
        <v>1</v>
      </c>
      <c r="U595" s="38">
        <v>300</v>
      </c>
      <c r="V595" s="50">
        <v>78041</v>
      </c>
      <c r="W595" s="50"/>
      <c r="X595" s="50"/>
      <c r="Y595" s="50"/>
      <c r="Z595" s="50"/>
      <c r="AA595" s="4" t="s">
        <v>1675</v>
      </c>
    </row>
    <row r="596" spans="1:27">
      <c r="A596" s="4">
        <v>100050042</v>
      </c>
      <c r="B596" s="4">
        <v>5</v>
      </c>
      <c r="C596" s="4" t="s">
        <v>1567</v>
      </c>
      <c r="I596" s="4" t="s">
        <v>1676</v>
      </c>
      <c r="L596" s="4" t="s">
        <v>1644</v>
      </c>
      <c r="Q596" s="38"/>
      <c r="R596" s="38">
        <v>2</v>
      </c>
      <c r="S596" s="38">
        <v>2880</v>
      </c>
      <c r="T596" t="b">
        <v>1</v>
      </c>
      <c r="U596" s="38">
        <v>300</v>
      </c>
      <c r="V596" s="50">
        <v>78042</v>
      </c>
      <c r="W596" s="50"/>
      <c r="X596" s="50"/>
      <c r="Y596" s="50"/>
      <c r="Z596" s="50"/>
      <c r="AA596" s="4" t="s">
        <v>1677</v>
      </c>
    </row>
    <row r="597" spans="1:27">
      <c r="A597" s="4">
        <v>100050043</v>
      </c>
      <c r="B597" s="4">
        <v>5</v>
      </c>
      <c r="C597" s="4" t="s">
        <v>1567</v>
      </c>
      <c r="I597" s="4" t="s">
        <v>1678</v>
      </c>
      <c r="L597" s="4" t="s">
        <v>1578</v>
      </c>
      <c r="Q597" s="38"/>
      <c r="R597" s="38">
        <v>2</v>
      </c>
      <c r="S597" s="38">
        <v>2880</v>
      </c>
      <c r="T597" t="b">
        <v>1</v>
      </c>
      <c r="U597" s="38">
        <v>300</v>
      </c>
      <c r="V597" s="50">
        <v>78043</v>
      </c>
      <c r="W597" s="50"/>
      <c r="X597" s="50"/>
      <c r="Y597" s="50"/>
      <c r="Z597" s="50"/>
      <c r="AA597" s="4" t="s">
        <v>1679</v>
      </c>
    </row>
    <row r="598" spans="1:27">
      <c r="A598" s="4">
        <v>100050044</v>
      </c>
      <c r="B598" s="4">
        <v>5</v>
      </c>
      <c r="C598" s="4" t="s">
        <v>1567</v>
      </c>
      <c r="I598" s="4" t="s">
        <v>1680</v>
      </c>
      <c r="L598" s="4" t="s">
        <v>1647</v>
      </c>
      <c r="Q598" s="38"/>
      <c r="R598" s="38">
        <v>3</v>
      </c>
      <c r="S598" s="38">
        <f>S589*3</f>
        <v>4320</v>
      </c>
      <c r="T598" t="b">
        <v>1</v>
      </c>
      <c r="U598" s="38">
        <v>300</v>
      </c>
      <c r="V598" s="50">
        <v>78044</v>
      </c>
      <c r="W598" s="50"/>
      <c r="X598" s="50"/>
      <c r="Y598" s="50"/>
      <c r="Z598" s="50"/>
      <c r="AA598" s="4" t="s">
        <v>1681</v>
      </c>
    </row>
    <row r="599" spans="1:27">
      <c r="A599" s="4">
        <v>100050045</v>
      </c>
      <c r="B599" s="4">
        <v>5</v>
      </c>
      <c r="C599" s="4" t="s">
        <v>1567</v>
      </c>
      <c r="I599" s="4" t="s">
        <v>1682</v>
      </c>
      <c r="L599" s="4" t="s">
        <v>1683</v>
      </c>
      <c r="Q599" s="38"/>
      <c r="R599" s="38">
        <v>3</v>
      </c>
      <c r="S599" s="38">
        <f>S590*3</f>
        <v>4320</v>
      </c>
      <c r="T599" t="b">
        <v>1</v>
      </c>
      <c r="U599" s="38">
        <v>300</v>
      </c>
      <c r="V599" s="50">
        <v>78045</v>
      </c>
      <c r="W599" s="50"/>
      <c r="X599" s="50"/>
      <c r="Y599" s="50"/>
      <c r="Z599" s="50"/>
      <c r="AA599" s="4" t="s">
        <v>1684</v>
      </c>
    </row>
    <row r="600" spans="1:27">
      <c r="A600" s="4">
        <v>100050046</v>
      </c>
      <c r="B600" s="4">
        <v>5</v>
      </c>
      <c r="C600" s="4" t="s">
        <v>1567</v>
      </c>
      <c r="I600" s="4" t="s">
        <v>1685</v>
      </c>
      <c r="L600" s="4" t="s">
        <v>1641</v>
      </c>
      <c r="Q600" s="38"/>
      <c r="R600" s="38">
        <v>1</v>
      </c>
      <c r="S600" s="38">
        <v>120</v>
      </c>
      <c r="T600" t="b">
        <v>1</v>
      </c>
      <c r="U600" s="38">
        <v>300</v>
      </c>
      <c r="V600" s="50">
        <v>78046</v>
      </c>
      <c r="W600" s="50"/>
      <c r="X600" s="50"/>
      <c r="Y600" s="50"/>
      <c r="Z600" s="50"/>
      <c r="AA600" s="4" t="s">
        <v>1686</v>
      </c>
    </row>
    <row r="601" spans="1:27">
      <c r="A601" s="4">
        <v>100050047</v>
      </c>
      <c r="B601" s="4">
        <v>5</v>
      </c>
      <c r="C601" s="4" t="s">
        <v>1567</v>
      </c>
      <c r="I601" s="4" t="s">
        <v>1687</v>
      </c>
      <c r="L601" s="4" t="s">
        <v>1644</v>
      </c>
      <c r="Q601" s="38"/>
      <c r="R601" s="38">
        <v>1</v>
      </c>
      <c r="S601" s="38">
        <v>120</v>
      </c>
      <c r="T601" t="b">
        <v>1</v>
      </c>
      <c r="U601" s="38">
        <v>300</v>
      </c>
      <c r="V601" s="50">
        <v>78047</v>
      </c>
      <c r="W601" s="50"/>
      <c r="X601" s="50"/>
      <c r="Y601" s="50"/>
      <c r="Z601" s="50"/>
      <c r="AA601" s="4" t="s">
        <v>1688</v>
      </c>
    </row>
    <row r="602" spans="1:27">
      <c r="A602" s="4">
        <v>100050048</v>
      </c>
      <c r="B602" s="4">
        <v>5</v>
      </c>
      <c r="C602" s="4" t="s">
        <v>1567</v>
      </c>
      <c r="I602" s="4" t="s">
        <v>1689</v>
      </c>
      <c r="L602" s="4" t="s">
        <v>1647</v>
      </c>
      <c r="Q602" s="38"/>
      <c r="R602" s="38">
        <v>2</v>
      </c>
      <c r="S602" s="38">
        <v>1440</v>
      </c>
      <c r="T602" t="b">
        <v>1</v>
      </c>
      <c r="U602" s="38">
        <v>300</v>
      </c>
      <c r="V602" s="50">
        <v>78048</v>
      </c>
      <c r="W602" s="50"/>
      <c r="X602" s="50"/>
      <c r="Y602" s="50"/>
      <c r="Z602" s="50"/>
      <c r="AA602" s="4" t="s">
        <v>1690</v>
      </c>
    </row>
    <row r="603" spans="1:27">
      <c r="A603" s="4">
        <v>100050049</v>
      </c>
      <c r="B603" s="4">
        <v>5</v>
      </c>
      <c r="C603" s="4" t="s">
        <v>1567</v>
      </c>
      <c r="I603" s="4" t="s">
        <v>1691</v>
      </c>
      <c r="L603" s="4" t="s">
        <v>1692</v>
      </c>
      <c r="Q603" s="38"/>
      <c r="R603" s="38">
        <v>2</v>
      </c>
      <c r="S603" s="38">
        <v>1440</v>
      </c>
      <c r="T603" t="b">
        <v>1</v>
      </c>
      <c r="U603" s="38">
        <v>300</v>
      </c>
      <c r="V603" s="50">
        <v>78049</v>
      </c>
      <c r="W603" s="50"/>
      <c r="X603" s="50"/>
      <c r="Y603" s="50"/>
      <c r="Z603" s="50"/>
      <c r="AA603" s="4" t="s">
        <v>1693</v>
      </c>
    </row>
    <row r="604" spans="1:27">
      <c r="A604" s="4">
        <v>100050050</v>
      </c>
      <c r="B604" s="4">
        <v>5</v>
      </c>
      <c r="C604" s="4" t="s">
        <v>1567</v>
      </c>
      <c r="I604" s="4" t="s">
        <v>1694</v>
      </c>
      <c r="L604" s="4" t="s">
        <v>1581</v>
      </c>
      <c r="Q604" s="38"/>
      <c r="R604" s="38">
        <v>3</v>
      </c>
      <c r="S604" s="38">
        <v>2880</v>
      </c>
      <c r="T604" t="b">
        <v>1</v>
      </c>
      <c r="U604" s="38">
        <v>300</v>
      </c>
      <c r="V604" s="50">
        <v>78050</v>
      </c>
      <c r="W604" s="50"/>
      <c r="X604" s="50"/>
      <c r="Y604" s="50"/>
      <c r="Z604" s="50"/>
      <c r="AA604" s="4" t="s">
        <v>1695</v>
      </c>
    </row>
    <row r="605" spans="1:27">
      <c r="A605" s="4">
        <v>100050051</v>
      </c>
      <c r="B605" s="4">
        <v>5</v>
      </c>
      <c r="C605" s="4" t="s">
        <v>1567</v>
      </c>
      <c r="I605" s="4" t="s">
        <v>1696</v>
      </c>
      <c r="L605" s="4" t="s">
        <v>1697</v>
      </c>
      <c r="Q605" s="38"/>
      <c r="R605" s="38">
        <v>3</v>
      </c>
      <c r="S605" s="38">
        <v>2880</v>
      </c>
      <c r="T605" t="b">
        <v>1</v>
      </c>
      <c r="U605" s="38">
        <v>300</v>
      </c>
      <c r="V605" s="50">
        <v>78051</v>
      </c>
      <c r="W605" s="50"/>
      <c r="X605" s="50"/>
      <c r="Y605" s="50"/>
      <c r="Z605" s="50"/>
      <c r="AA605" s="4" t="s">
        <v>1698</v>
      </c>
    </row>
    <row r="606" spans="1:27">
      <c r="A606" s="4">
        <v>100050052</v>
      </c>
      <c r="B606" s="4">
        <v>5</v>
      </c>
      <c r="C606" s="4" t="s">
        <v>1567</v>
      </c>
      <c r="I606" s="4" t="s">
        <v>1699</v>
      </c>
      <c r="L606" s="4" t="s">
        <v>1590</v>
      </c>
      <c r="Q606" s="38"/>
      <c r="R606" s="38">
        <v>1</v>
      </c>
      <c r="S606" s="38">
        <v>120</v>
      </c>
      <c r="T606" t="b">
        <v>1</v>
      </c>
      <c r="U606" s="38">
        <v>300</v>
      </c>
      <c r="V606" s="50">
        <v>78052</v>
      </c>
      <c r="W606" s="50"/>
      <c r="X606" s="50"/>
      <c r="Y606" s="50"/>
      <c r="Z606" s="50"/>
      <c r="AA606" s="4" t="s">
        <v>1700</v>
      </c>
    </row>
    <row r="607" spans="1:27">
      <c r="A607" s="4">
        <v>100050053</v>
      </c>
      <c r="B607" s="4">
        <v>5</v>
      </c>
      <c r="C607" s="4" t="s">
        <v>1567</v>
      </c>
      <c r="I607" s="4" t="s">
        <v>1701</v>
      </c>
      <c r="L607" s="4" t="s">
        <v>1641</v>
      </c>
      <c r="Q607" s="38"/>
      <c r="R607" s="38">
        <v>1</v>
      </c>
      <c r="S607" s="38">
        <v>120</v>
      </c>
      <c r="T607" t="b">
        <v>1</v>
      </c>
      <c r="U607" s="38">
        <v>300</v>
      </c>
      <c r="V607" s="50">
        <v>78053</v>
      </c>
      <c r="W607" s="50"/>
      <c r="X607" s="50"/>
      <c r="Y607" s="50"/>
      <c r="Z607" s="50"/>
      <c r="AA607" s="4" t="s">
        <v>1702</v>
      </c>
    </row>
    <row r="608" spans="1:27">
      <c r="A608" s="4">
        <v>100050054</v>
      </c>
      <c r="B608" s="4">
        <v>5</v>
      </c>
      <c r="C608" s="4" t="s">
        <v>1567</v>
      </c>
      <c r="I608" s="4" t="s">
        <v>1703</v>
      </c>
      <c r="L608" s="4" t="s">
        <v>1593</v>
      </c>
      <c r="Q608" s="38"/>
      <c r="R608" s="38">
        <v>2</v>
      </c>
      <c r="S608" s="38">
        <v>1440</v>
      </c>
      <c r="T608" t="b">
        <v>1</v>
      </c>
      <c r="U608" s="38">
        <v>300</v>
      </c>
      <c r="V608" s="50">
        <v>78054</v>
      </c>
      <c r="W608" s="50"/>
      <c r="X608" s="50"/>
      <c r="Y608" s="50"/>
      <c r="Z608" s="50"/>
      <c r="AA608" s="4" t="s">
        <v>1704</v>
      </c>
    </row>
    <row r="609" spans="1:27">
      <c r="A609" s="4">
        <v>100050055</v>
      </c>
      <c r="B609" s="4">
        <v>5</v>
      </c>
      <c r="C609" s="4" t="s">
        <v>1567</v>
      </c>
      <c r="I609" s="4" t="s">
        <v>1705</v>
      </c>
      <c r="L609" s="4" t="s">
        <v>1644</v>
      </c>
      <c r="Q609" s="38"/>
      <c r="R609" s="38">
        <v>2</v>
      </c>
      <c r="S609" s="38">
        <v>1440</v>
      </c>
      <c r="T609" t="b">
        <v>1</v>
      </c>
      <c r="U609" s="38">
        <v>300</v>
      </c>
      <c r="V609" s="50">
        <v>78055</v>
      </c>
      <c r="W609" s="50"/>
      <c r="X609" s="50"/>
      <c r="Y609" s="50"/>
      <c r="Z609" s="50"/>
      <c r="AA609" s="4" t="s">
        <v>1706</v>
      </c>
    </row>
    <row r="610" spans="1:27">
      <c r="A610" s="4">
        <v>100050056</v>
      </c>
      <c r="B610" s="4">
        <v>5</v>
      </c>
      <c r="C610" s="4" t="s">
        <v>1567</v>
      </c>
      <c r="I610" s="4" t="s">
        <v>1707</v>
      </c>
      <c r="L610" s="4" t="s">
        <v>1578</v>
      </c>
      <c r="Q610" s="38"/>
      <c r="R610" s="38">
        <v>3</v>
      </c>
      <c r="S610" s="38">
        <v>2880</v>
      </c>
      <c r="T610" t="b">
        <v>1</v>
      </c>
      <c r="U610" s="38">
        <v>300</v>
      </c>
      <c r="V610" s="50">
        <v>78056</v>
      </c>
      <c r="W610" s="50"/>
      <c r="X610" s="50"/>
      <c r="Y610" s="50"/>
      <c r="Z610" s="50"/>
      <c r="AA610" s="4" t="s">
        <v>1708</v>
      </c>
    </row>
    <row r="611" spans="1:27">
      <c r="A611" s="4">
        <v>100050057</v>
      </c>
      <c r="B611" s="4">
        <v>5</v>
      </c>
      <c r="C611" s="4" t="s">
        <v>1567</v>
      </c>
      <c r="I611" s="4" t="s">
        <v>1709</v>
      </c>
      <c r="L611" s="4" t="s">
        <v>1647</v>
      </c>
      <c r="Q611" s="38"/>
      <c r="R611" s="38">
        <v>3</v>
      </c>
      <c r="S611" s="38">
        <v>2880</v>
      </c>
      <c r="T611" t="b">
        <v>1</v>
      </c>
      <c r="U611" s="38">
        <v>300</v>
      </c>
      <c r="V611" s="50">
        <v>78057</v>
      </c>
      <c r="W611" s="50"/>
      <c r="X611" s="50"/>
      <c r="Y611" s="50"/>
      <c r="Z611" s="50"/>
      <c r="AA611" s="4" t="s">
        <v>1710</v>
      </c>
    </row>
    <row r="612" spans="1:27">
      <c r="A612" s="4">
        <v>100050058</v>
      </c>
      <c r="B612" s="4">
        <v>5</v>
      </c>
      <c r="C612" s="4" t="s">
        <v>1567</v>
      </c>
      <c r="I612" s="4" t="s">
        <v>1711</v>
      </c>
      <c r="L612" s="4" t="s">
        <v>1630</v>
      </c>
      <c r="Q612" s="38"/>
      <c r="R612" s="38">
        <v>1</v>
      </c>
      <c r="S612" s="38">
        <v>120</v>
      </c>
      <c r="T612" t="b">
        <v>1</v>
      </c>
      <c r="U612" s="38">
        <v>300</v>
      </c>
      <c r="V612" s="50">
        <v>78058</v>
      </c>
      <c r="W612" s="50"/>
      <c r="X612" s="50"/>
      <c r="Y612" s="50"/>
      <c r="Z612" s="50"/>
      <c r="AA612" s="4" t="s">
        <v>1712</v>
      </c>
    </row>
    <row r="613" spans="1:27">
      <c r="A613" s="4">
        <v>100050059</v>
      </c>
      <c r="B613" s="4">
        <v>5</v>
      </c>
      <c r="C613" s="4" t="s">
        <v>1567</v>
      </c>
      <c r="I613" s="4" t="s">
        <v>1713</v>
      </c>
      <c r="L613" s="4" t="s">
        <v>1633</v>
      </c>
      <c r="Q613" s="38"/>
      <c r="R613" s="38">
        <v>1</v>
      </c>
      <c r="S613" s="38">
        <v>120</v>
      </c>
      <c r="T613" t="b">
        <v>1</v>
      </c>
      <c r="U613" s="38">
        <v>300</v>
      </c>
      <c r="V613" s="50">
        <v>78059</v>
      </c>
      <c r="W613" s="50"/>
      <c r="X613" s="50"/>
      <c r="Y613" s="50"/>
      <c r="Z613" s="50"/>
      <c r="AA613" s="4" t="s">
        <v>1714</v>
      </c>
    </row>
    <row r="614" spans="1:27">
      <c r="A614" s="4">
        <v>100050060</v>
      </c>
      <c r="B614" s="4">
        <v>5</v>
      </c>
      <c r="C614" s="4" t="s">
        <v>1567</v>
      </c>
      <c r="I614" s="4" t="s">
        <v>1715</v>
      </c>
      <c r="L614" s="4" t="s">
        <v>1716</v>
      </c>
      <c r="Q614" s="38"/>
      <c r="R614" s="38">
        <v>1</v>
      </c>
      <c r="S614" s="38">
        <v>120</v>
      </c>
      <c r="T614" t="b">
        <v>1</v>
      </c>
      <c r="U614" s="38">
        <v>300</v>
      </c>
      <c r="V614" s="50">
        <v>78060</v>
      </c>
      <c r="W614" s="50"/>
      <c r="X614" s="50"/>
      <c r="Y614" s="50"/>
      <c r="Z614" s="50"/>
      <c r="AA614" s="4" t="s">
        <v>1717</v>
      </c>
    </row>
    <row r="615" spans="1:27">
      <c r="A615" s="4">
        <v>100050061</v>
      </c>
      <c r="B615" s="4">
        <v>5</v>
      </c>
      <c r="C615" s="4" t="s">
        <v>1567</v>
      </c>
      <c r="I615" s="4" t="s">
        <v>1718</v>
      </c>
      <c r="L615" s="4" t="s">
        <v>1590</v>
      </c>
      <c r="Q615" s="38"/>
      <c r="R615" s="38">
        <v>1</v>
      </c>
      <c r="S615" s="38">
        <v>120</v>
      </c>
      <c r="T615" t="b">
        <v>1</v>
      </c>
      <c r="U615" s="38">
        <v>300</v>
      </c>
      <c r="V615" s="50">
        <v>78061</v>
      </c>
      <c r="W615" s="50"/>
      <c r="X615" s="50"/>
      <c r="Y615" s="50"/>
      <c r="Z615" s="50"/>
      <c r="AA615" s="4" t="s">
        <v>1719</v>
      </c>
    </row>
    <row r="616" spans="1:27">
      <c r="A616" s="4">
        <v>100050062</v>
      </c>
      <c r="B616" s="4">
        <v>5</v>
      </c>
      <c r="C616" s="4" t="s">
        <v>1567</v>
      </c>
      <c r="I616" s="4" t="s">
        <v>1720</v>
      </c>
      <c r="L616" s="4" t="s">
        <v>1638</v>
      </c>
      <c r="Q616" s="38"/>
      <c r="R616" s="38">
        <v>2</v>
      </c>
      <c r="S616" s="38">
        <v>1440</v>
      </c>
      <c r="T616" t="b">
        <v>1</v>
      </c>
      <c r="U616" s="38">
        <v>300</v>
      </c>
      <c r="V616" s="50">
        <v>78062</v>
      </c>
      <c r="W616" s="50"/>
      <c r="X616" s="50"/>
      <c r="Y616" s="50"/>
      <c r="Z616" s="50"/>
      <c r="AA616" s="4" t="s">
        <v>1721</v>
      </c>
    </row>
    <row r="617" spans="1:27">
      <c r="A617" s="4">
        <v>100050063</v>
      </c>
      <c r="B617" s="4">
        <v>5</v>
      </c>
      <c r="C617" s="4" t="s">
        <v>1567</v>
      </c>
      <c r="I617" s="4" t="s">
        <v>1722</v>
      </c>
      <c r="L617" s="4" t="s">
        <v>1641</v>
      </c>
      <c r="Q617" s="38"/>
      <c r="R617" s="38">
        <v>2</v>
      </c>
      <c r="S617" s="38">
        <v>1440</v>
      </c>
      <c r="T617" t="b">
        <v>1</v>
      </c>
      <c r="U617" s="38">
        <v>300</v>
      </c>
      <c r="V617" s="50">
        <v>78063</v>
      </c>
      <c r="W617" s="50"/>
      <c r="X617" s="50"/>
      <c r="Y617" s="50"/>
      <c r="Z617" s="50"/>
      <c r="AA617" s="4" t="s">
        <v>1723</v>
      </c>
    </row>
    <row r="618" spans="1:27">
      <c r="A618" s="4">
        <v>100050064</v>
      </c>
      <c r="B618" s="4">
        <v>5</v>
      </c>
      <c r="C618" s="4" t="s">
        <v>1567</v>
      </c>
      <c r="I618" s="4" t="s">
        <v>1724</v>
      </c>
      <c r="L618" s="4" t="s">
        <v>1593</v>
      </c>
      <c r="Q618" s="38"/>
      <c r="R618" s="38">
        <v>2</v>
      </c>
      <c r="S618" s="38">
        <v>1440</v>
      </c>
      <c r="T618" t="b">
        <v>1</v>
      </c>
      <c r="U618" s="38">
        <v>300</v>
      </c>
      <c r="V618" s="50">
        <v>78064</v>
      </c>
      <c r="W618" s="50"/>
      <c r="X618" s="50"/>
      <c r="Y618" s="50"/>
      <c r="Z618" s="50"/>
      <c r="AA618" s="4" t="s">
        <v>1725</v>
      </c>
    </row>
    <row r="619" spans="1:27">
      <c r="A619" s="4">
        <v>100050065</v>
      </c>
      <c r="B619" s="4">
        <v>5</v>
      </c>
      <c r="C619" s="4" t="s">
        <v>1567</v>
      </c>
      <c r="I619" s="4" t="s">
        <v>1726</v>
      </c>
      <c r="L619" s="4" t="s">
        <v>1644</v>
      </c>
      <c r="Q619" s="38"/>
      <c r="R619" s="38">
        <v>2</v>
      </c>
      <c r="S619" s="38">
        <v>1440</v>
      </c>
      <c r="T619" t="b">
        <v>1</v>
      </c>
      <c r="U619" s="38">
        <v>300</v>
      </c>
      <c r="V619" s="50">
        <v>78065</v>
      </c>
      <c r="W619" s="50"/>
      <c r="X619" s="50"/>
      <c r="Y619" s="50"/>
      <c r="Z619" s="50"/>
      <c r="AA619" s="4" t="s">
        <v>1727</v>
      </c>
    </row>
    <row r="620" spans="1:27">
      <c r="A620" s="4">
        <v>100050066</v>
      </c>
      <c r="B620" s="4">
        <v>5</v>
      </c>
      <c r="C620" s="4" t="s">
        <v>1567</v>
      </c>
      <c r="I620" s="4" t="s">
        <v>1728</v>
      </c>
      <c r="L620" s="4" t="s">
        <v>1578</v>
      </c>
      <c r="Q620" s="38"/>
      <c r="R620" s="38">
        <v>3</v>
      </c>
      <c r="S620" s="38">
        <v>2880</v>
      </c>
      <c r="T620" t="b">
        <v>1</v>
      </c>
      <c r="U620" s="38">
        <v>300</v>
      </c>
      <c r="V620" s="50">
        <v>78066</v>
      </c>
      <c r="W620" s="50"/>
      <c r="X620" s="50"/>
      <c r="Y620" s="50"/>
      <c r="Z620" s="50"/>
      <c r="AA620" s="4" t="s">
        <v>1729</v>
      </c>
    </row>
    <row r="621" spans="1:27">
      <c r="A621" s="4">
        <v>100050067</v>
      </c>
      <c r="B621" s="4">
        <v>5</v>
      </c>
      <c r="C621" s="4" t="s">
        <v>1567</v>
      </c>
      <c r="I621" s="4" t="s">
        <v>1730</v>
      </c>
      <c r="L621" s="4" t="s">
        <v>1647</v>
      </c>
      <c r="Q621" s="38"/>
      <c r="R621" s="38">
        <v>3</v>
      </c>
      <c r="S621" s="38">
        <v>2880</v>
      </c>
      <c r="T621" t="b">
        <v>1</v>
      </c>
      <c r="U621" s="38">
        <v>300</v>
      </c>
      <c r="V621" s="50">
        <v>78067</v>
      </c>
      <c r="W621" s="50"/>
      <c r="X621" s="50"/>
      <c r="Y621" s="50"/>
      <c r="Z621" s="50"/>
      <c r="AA621" s="4" t="s">
        <v>1731</v>
      </c>
    </row>
    <row r="622" spans="1:27">
      <c r="A622" s="4">
        <v>100050068</v>
      </c>
      <c r="B622" s="4">
        <v>5</v>
      </c>
      <c r="C622" s="4" t="s">
        <v>1567</v>
      </c>
      <c r="I622" s="4" t="s">
        <v>1732</v>
      </c>
      <c r="L622" s="4" t="s">
        <v>1692</v>
      </c>
      <c r="Q622" s="38"/>
      <c r="R622" s="38">
        <v>3</v>
      </c>
      <c r="S622" s="38">
        <v>2880</v>
      </c>
      <c r="T622" t="b">
        <v>1</v>
      </c>
      <c r="U622" s="38">
        <v>300</v>
      </c>
      <c r="V622" s="50">
        <v>78068</v>
      </c>
      <c r="W622" s="50"/>
      <c r="X622" s="50"/>
      <c r="Y622" s="50"/>
      <c r="Z622" s="50"/>
      <c r="AA622" s="4" t="s">
        <v>1733</v>
      </c>
    </row>
    <row r="623" spans="1:27">
      <c r="A623" s="4">
        <v>100050069</v>
      </c>
      <c r="B623" s="4">
        <v>5</v>
      </c>
      <c r="C623" s="4" t="s">
        <v>1567</v>
      </c>
      <c r="I623" s="4" t="s">
        <v>1734</v>
      </c>
      <c r="L623" s="4" t="s">
        <v>1581</v>
      </c>
      <c r="Q623" s="38"/>
      <c r="R623" s="38">
        <v>3</v>
      </c>
      <c r="S623" s="38">
        <v>2880</v>
      </c>
      <c r="T623" t="b">
        <v>1</v>
      </c>
      <c r="U623" s="38">
        <v>300</v>
      </c>
      <c r="V623" s="50">
        <v>78069</v>
      </c>
      <c r="W623" s="50"/>
      <c r="X623" s="50"/>
      <c r="Y623" s="50"/>
      <c r="Z623" s="50"/>
      <c r="AA623" s="4" t="s">
        <v>1735</v>
      </c>
    </row>
    <row r="624" spans="1:27">
      <c r="A624" s="4">
        <v>100050070</v>
      </c>
      <c r="B624" s="4">
        <v>5</v>
      </c>
      <c r="C624" s="4" t="s">
        <v>1567</v>
      </c>
      <c r="I624" s="4" t="s">
        <v>1736</v>
      </c>
      <c r="L624" s="4" t="s">
        <v>1641</v>
      </c>
      <c r="Q624" s="38"/>
      <c r="R624" s="38">
        <v>1</v>
      </c>
      <c r="S624" s="38">
        <v>120</v>
      </c>
      <c r="T624" t="b">
        <v>1</v>
      </c>
      <c r="U624" s="38">
        <v>300</v>
      </c>
      <c r="V624" s="50">
        <v>78070</v>
      </c>
      <c r="W624" s="50"/>
      <c r="X624" s="50"/>
      <c r="Y624" s="50"/>
      <c r="Z624" s="50"/>
      <c r="AA624" s="4" t="s">
        <v>1737</v>
      </c>
    </row>
    <row r="625" spans="1:27">
      <c r="A625" s="4">
        <v>100050071</v>
      </c>
      <c r="B625" s="4">
        <v>5</v>
      </c>
      <c r="C625" s="4" t="s">
        <v>1567</v>
      </c>
      <c r="I625" s="4" t="s">
        <v>1738</v>
      </c>
      <c r="L625" s="4" t="s">
        <v>1644</v>
      </c>
      <c r="Q625" s="38"/>
      <c r="R625" s="38">
        <v>1</v>
      </c>
      <c r="S625" s="38">
        <v>120</v>
      </c>
      <c r="T625" t="b">
        <v>1</v>
      </c>
      <c r="U625" s="38">
        <v>300</v>
      </c>
      <c r="V625" s="50">
        <v>78071</v>
      </c>
      <c r="W625" s="50"/>
      <c r="X625" s="50"/>
      <c r="Y625" s="50"/>
      <c r="Z625" s="50"/>
      <c r="AA625" s="4" t="s">
        <v>1739</v>
      </c>
    </row>
    <row r="626" spans="1:27">
      <c r="A626" s="4">
        <v>100050072</v>
      </c>
      <c r="B626" s="4">
        <v>5</v>
      </c>
      <c r="C626" s="4" t="s">
        <v>1567</v>
      </c>
      <c r="I626" s="4" t="s">
        <v>1740</v>
      </c>
      <c r="L626" s="4" t="s">
        <v>1692</v>
      </c>
      <c r="Q626" s="38"/>
      <c r="R626" s="38">
        <v>2</v>
      </c>
      <c r="S626" s="38">
        <v>1440</v>
      </c>
      <c r="T626" t="b">
        <v>1</v>
      </c>
      <c r="U626" s="38">
        <v>300</v>
      </c>
      <c r="V626" s="50">
        <v>78072</v>
      </c>
      <c r="W626" s="50"/>
      <c r="X626" s="50"/>
      <c r="Y626" s="50"/>
      <c r="Z626" s="50"/>
      <c r="AA626" s="4" t="s">
        <v>1741</v>
      </c>
    </row>
    <row r="627" spans="1:27">
      <c r="A627" s="4">
        <v>100050073</v>
      </c>
      <c r="B627" s="4">
        <v>5</v>
      </c>
      <c r="C627" s="4" t="s">
        <v>1567</v>
      </c>
      <c r="I627" s="4" t="s">
        <v>1742</v>
      </c>
      <c r="L627" s="4" t="s">
        <v>1697</v>
      </c>
      <c r="Q627" s="38"/>
      <c r="R627" s="38">
        <v>2</v>
      </c>
      <c r="S627" s="38">
        <v>1440</v>
      </c>
      <c r="T627" t="b">
        <v>1</v>
      </c>
      <c r="U627" s="38">
        <v>300</v>
      </c>
      <c r="V627" s="50">
        <v>78073</v>
      </c>
      <c r="W627" s="50"/>
      <c r="X627" s="50"/>
      <c r="Y627" s="50"/>
      <c r="Z627" s="50"/>
      <c r="AA627" s="4" t="s">
        <v>1743</v>
      </c>
    </row>
    <row r="628" spans="1:27">
      <c r="A628" s="4">
        <v>100050074</v>
      </c>
      <c r="B628" s="4">
        <v>5</v>
      </c>
      <c r="C628" s="4" t="s">
        <v>1567</v>
      </c>
      <c r="I628" s="4" t="s">
        <v>1744</v>
      </c>
      <c r="L628" s="4" t="s">
        <v>1600</v>
      </c>
      <c r="Q628" s="38"/>
      <c r="R628" s="38">
        <v>3</v>
      </c>
      <c r="S628" s="38">
        <v>2880</v>
      </c>
      <c r="T628" t="b">
        <v>1</v>
      </c>
      <c r="U628" s="38">
        <v>300</v>
      </c>
      <c r="V628" s="50">
        <v>78074</v>
      </c>
      <c r="W628" s="50"/>
      <c r="X628" s="50"/>
      <c r="Y628" s="50"/>
      <c r="Z628" s="50"/>
      <c r="AA628" s="4" t="s">
        <v>1745</v>
      </c>
    </row>
    <row r="629" spans="1:27">
      <c r="A629" s="4">
        <v>100050075</v>
      </c>
      <c r="B629" s="4">
        <v>5</v>
      </c>
      <c r="C629" s="4" t="s">
        <v>1567</v>
      </c>
      <c r="I629" s="4" t="s">
        <v>1746</v>
      </c>
      <c r="L629" s="4" t="s">
        <v>1747</v>
      </c>
      <c r="Q629" s="38"/>
      <c r="R629" s="38">
        <v>3</v>
      </c>
      <c r="S629" s="38">
        <v>2880</v>
      </c>
      <c r="T629" t="b">
        <v>1</v>
      </c>
      <c r="U629" s="38">
        <v>300</v>
      </c>
      <c r="V629" s="50">
        <v>78075</v>
      </c>
      <c r="W629" s="50"/>
      <c r="X629" s="50"/>
      <c r="Y629" s="50"/>
      <c r="Z629" s="50"/>
      <c r="AA629" s="4" t="s">
        <v>1748</v>
      </c>
    </row>
    <row r="630" spans="1:27">
      <c r="A630" s="4">
        <v>100060001</v>
      </c>
      <c r="B630" s="4">
        <v>6</v>
      </c>
      <c r="C630" s="4" t="s">
        <v>1749</v>
      </c>
      <c r="I630" s="1" t="s">
        <v>1750</v>
      </c>
      <c r="L630" s="4" t="s">
        <v>1751</v>
      </c>
      <c r="Q630" s="38"/>
      <c r="R630" s="38">
        <v>1</v>
      </c>
      <c r="S630" s="38"/>
      <c r="T630" t="b">
        <v>0</v>
      </c>
      <c r="U630" s="38"/>
      <c r="V630" s="59">
        <v>79001</v>
      </c>
      <c r="W630" s="38">
        <v>1</v>
      </c>
      <c r="AA630" s="4" t="s">
        <v>1752</v>
      </c>
    </row>
    <row r="631" spans="1:27">
      <c r="A631" s="4">
        <v>100060002</v>
      </c>
      <c r="B631" s="4">
        <v>6</v>
      </c>
      <c r="C631" s="4" t="s">
        <v>1749</v>
      </c>
      <c r="I631" s="1" t="s">
        <v>1753</v>
      </c>
      <c r="L631" s="4" t="s">
        <v>1754</v>
      </c>
      <c r="R631" s="50">
        <v>2</v>
      </c>
      <c r="T631" t="b">
        <v>0</v>
      </c>
      <c r="V631" s="59">
        <v>79002</v>
      </c>
      <c r="W631" s="38">
        <v>1</v>
      </c>
      <c r="AA631" s="4" t="s">
        <v>1755</v>
      </c>
    </row>
    <row r="632" spans="1:27">
      <c r="A632" s="4">
        <v>100060003</v>
      </c>
      <c r="B632" s="4">
        <v>6</v>
      </c>
      <c r="C632" s="4" t="s">
        <v>1749</v>
      </c>
      <c r="I632" s="1" t="s">
        <v>1756</v>
      </c>
      <c r="L632" s="4" t="s">
        <v>1757</v>
      </c>
      <c r="R632" s="50">
        <v>3</v>
      </c>
      <c r="T632" t="b">
        <v>0</v>
      </c>
      <c r="V632" s="59">
        <v>79003</v>
      </c>
      <c r="W632" s="38">
        <v>1</v>
      </c>
      <c r="AA632" s="4" t="s">
        <v>1758</v>
      </c>
    </row>
    <row r="633" spans="1:27">
      <c r="A633" s="4">
        <v>100060004</v>
      </c>
      <c r="B633" s="4">
        <v>6</v>
      </c>
      <c r="C633" s="4" t="s">
        <v>1749</v>
      </c>
      <c r="I633" s="1" t="s">
        <v>1759</v>
      </c>
      <c r="L633" s="4" t="s">
        <v>1751</v>
      </c>
      <c r="R633" s="38">
        <v>1</v>
      </c>
      <c r="T633" t="b">
        <v>0</v>
      </c>
      <c r="V633" s="59">
        <v>79004</v>
      </c>
      <c r="W633" s="38">
        <v>1</v>
      </c>
      <c r="AA633" s="4" t="s">
        <v>1760</v>
      </c>
    </row>
    <row r="634" spans="1:27">
      <c r="A634" s="4">
        <v>100060005</v>
      </c>
      <c r="B634" s="4">
        <v>6</v>
      </c>
      <c r="C634" s="4" t="s">
        <v>1749</v>
      </c>
      <c r="I634" s="1" t="s">
        <v>1761</v>
      </c>
      <c r="L634" s="4" t="s">
        <v>1754</v>
      </c>
      <c r="R634" s="50">
        <v>2</v>
      </c>
      <c r="T634" t="b">
        <v>0</v>
      </c>
      <c r="V634" s="59">
        <v>79005</v>
      </c>
      <c r="W634" s="38">
        <v>1</v>
      </c>
      <c r="AA634" s="4" t="s">
        <v>1762</v>
      </c>
    </row>
    <row r="635" spans="1:27">
      <c r="A635" s="4">
        <v>100060006</v>
      </c>
      <c r="B635" s="4">
        <v>6</v>
      </c>
      <c r="C635" s="4" t="s">
        <v>1749</v>
      </c>
      <c r="I635" s="1" t="s">
        <v>1763</v>
      </c>
      <c r="L635" s="4" t="s">
        <v>1757</v>
      </c>
      <c r="R635" s="50">
        <v>3</v>
      </c>
      <c r="T635" t="b">
        <v>0</v>
      </c>
      <c r="V635" s="59">
        <v>79006</v>
      </c>
      <c r="W635" s="38">
        <v>1</v>
      </c>
      <c r="AA635" s="4" t="s">
        <v>1764</v>
      </c>
    </row>
    <row r="636" spans="1:27">
      <c r="A636" s="4">
        <v>100060007</v>
      </c>
      <c r="B636" s="4">
        <v>6</v>
      </c>
      <c r="C636" s="4" t="s">
        <v>1749</v>
      </c>
      <c r="I636" s="1" t="s">
        <v>1765</v>
      </c>
      <c r="L636" s="4" t="s">
        <v>1751</v>
      </c>
      <c r="R636" s="38">
        <v>1</v>
      </c>
      <c r="T636" t="b">
        <v>0</v>
      </c>
      <c r="V636" s="59">
        <v>79007</v>
      </c>
      <c r="W636" s="38">
        <v>1</v>
      </c>
      <c r="AA636" s="4" t="s">
        <v>1766</v>
      </c>
    </row>
    <row r="637" spans="1:27">
      <c r="A637" s="4">
        <v>100060008</v>
      </c>
      <c r="B637" s="4">
        <v>6</v>
      </c>
      <c r="C637" s="4" t="s">
        <v>1749</v>
      </c>
      <c r="I637" s="1" t="s">
        <v>1767</v>
      </c>
      <c r="L637" s="4" t="s">
        <v>1754</v>
      </c>
      <c r="R637" s="50">
        <v>2</v>
      </c>
      <c r="T637" t="b">
        <v>0</v>
      </c>
      <c r="V637" s="59">
        <v>79008</v>
      </c>
      <c r="W637" s="38">
        <v>1</v>
      </c>
      <c r="AA637" s="4" t="s">
        <v>1768</v>
      </c>
    </row>
    <row r="638" spans="1:27">
      <c r="A638" s="4">
        <v>100060009</v>
      </c>
      <c r="B638" s="4">
        <v>6</v>
      </c>
      <c r="C638" s="4" t="s">
        <v>1749</v>
      </c>
      <c r="I638" s="1" t="s">
        <v>1769</v>
      </c>
      <c r="L638" s="4" t="s">
        <v>1757</v>
      </c>
      <c r="R638" s="50">
        <v>3</v>
      </c>
      <c r="T638" t="b">
        <v>0</v>
      </c>
      <c r="V638" s="59">
        <v>79009</v>
      </c>
      <c r="W638" s="38">
        <v>1</v>
      </c>
      <c r="AA638" s="4" t="s">
        <v>1770</v>
      </c>
    </row>
    <row r="639" spans="1:27">
      <c r="A639" s="4">
        <v>100060010</v>
      </c>
      <c r="B639" s="4">
        <v>6</v>
      </c>
      <c r="C639" s="4" t="s">
        <v>1749</v>
      </c>
      <c r="I639" s="1" t="s">
        <v>1771</v>
      </c>
      <c r="L639" s="4" t="s">
        <v>1751</v>
      </c>
      <c r="R639" s="38">
        <v>1</v>
      </c>
      <c r="T639" t="b">
        <v>0</v>
      </c>
      <c r="V639" s="59">
        <v>79010</v>
      </c>
      <c r="W639" s="50">
        <v>2</v>
      </c>
      <c r="AA639" s="4" t="s">
        <v>1772</v>
      </c>
    </row>
    <row r="640" spans="1:27">
      <c r="A640" s="4">
        <v>100060011</v>
      </c>
      <c r="B640" s="4">
        <v>6</v>
      </c>
      <c r="C640" s="4" t="s">
        <v>1749</v>
      </c>
      <c r="I640" s="1" t="s">
        <v>1773</v>
      </c>
      <c r="L640" s="4" t="s">
        <v>1754</v>
      </c>
      <c r="R640" s="50">
        <v>2</v>
      </c>
      <c r="T640" t="b">
        <v>0</v>
      </c>
      <c r="V640" s="59">
        <v>79011</v>
      </c>
      <c r="W640" s="50">
        <v>2</v>
      </c>
      <c r="AA640" s="4" t="s">
        <v>1774</v>
      </c>
    </row>
    <row r="641" spans="1:27">
      <c r="A641" s="4">
        <v>100060012</v>
      </c>
      <c r="B641" s="4">
        <v>6</v>
      </c>
      <c r="C641" s="4" t="s">
        <v>1749</v>
      </c>
      <c r="I641" s="1" t="s">
        <v>1775</v>
      </c>
      <c r="L641" s="4" t="s">
        <v>1757</v>
      </c>
      <c r="R641" s="50">
        <v>3</v>
      </c>
      <c r="T641" t="b">
        <v>0</v>
      </c>
      <c r="V641" s="59">
        <v>79012</v>
      </c>
      <c r="W641" s="50">
        <v>2</v>
      </c>
      <c r="AA641" s="4" t="s">
        <v>1776</v>
      </c>
    </row>
    <row r="642" spans="1:27">
      <c r="A642" s="4">
        <v>100060013</v>
      </c>
      <c r="B642" s="4">
        <v>6</v>
      </c>
      <c r="C642" s="4" t="s">
        <v>1749</v>
      </c>
      <c r="I642" s="1" t="s">
        <v>1777</v>
      </c>
      <c r="L642" s="4" t="s">
        <v>1751</v>
      </c>
      <c r="R642" s="38">
        <v>1</v>
      </c>
      <c r="T642" t="b">
        <v>0</v>
      </c>
      <c r="V642" s="59">
        <v>79013</v>
      </c>
      <c r="W642" s="50">
        <v>2</v>
      </c>
      <c r="AA642" s="4" t="s">
        <v>1778</v>
      </c>
    </row>
    <row r="643" spans="1:27">
      <c r="A643" s="4">
        <v>100060014</v>
      </c>
      <c r="B643" s="4">
        <v>6</v>
      </c>
      <c r="C643" s="4" t="s">
        <v>1749</v>
      </c>
      <c r="I643" s="1" t="s">
        <v>1779</v>
      </c>
      <c r="L643" s="4" t="s">
        <v>1754</v>
      </c>
      <c r="R643" s="50">
        <v>2</v>
      </c>
      <c r="T643" t="b">
        <v>0</v>
      </c>
      <c r="V643" s="59">
        <v>79014</v>
      </c>
      <c r="W643" s="50">
        <v>2</v>
      </c>
      <c r="AA643" s="4" t="s">
        <v>1780</v>
      </c>
    </row>
    <row r="644" spans="1:27">
      <c r="A644" s="4">
        <v>100060015</v>
      </c>
      <c r="B644" s="4">
        <v>6</v>
      </c>
      <c r="C644" s="4" t="s">
        <v>1749</v>
      </c>
      <c r="I644" s="1" t="s">
        <v>1781</v>
      </c>
      <c r="L644" s="4" t="s">
        <v>1757</v>
      </c>
      <c r="R644" s="50">
        <v>3</v>
      </c>
      <c r="T644" t="b">
        <v>0</v>
      </c>
      <c r="V644" s="59">
        <v>79015</v>
      </c>
      <c r="W644" s="50">
        <v>2</v>
      </c>
      <c r="AA644" s="4" t="s">
        <v>1782</v>
      </c>
    </row>
    <row r="645" spans="1:27">
      <c r="A645" s="4">
        <v>100060016</v>
      </c>
      <c r="B645" s="4">
        <v>6</v>
      </c>
      <c r="C645" s="4" t="s">
        <v>1749</v>
      </c>
      <c r="I645" s="1" t="s">
        <v>1783</v>
      </c>
      <c r="L645" s="4" t="s">
        <v>1751</v>
      </c>
      <c r="R645" s="38">
        <v>1</v>
      </c>
      <c r="T645" t="b">
        <v>0</v>
      </c>
      <c r="V645" s="59">
        <v>79016</v>
      </c>
      <c r="W645" s="50">
        <v>2</v>
      </c>
      <c r="AA645" s="4" t="s">
        <v>1784</v>
      </c>
    </row>
    <row r="646" spans="1:27">
      <c r="A646" s="4">
        <v>100060017</v>
      </c>
      <c r="B646" s="4">
        <v>6</v>
      </c>
      <c r="C646" s="4" t="s">
        <v>1749</v>
      </c>
      <c r="I646" s="1" t="s">
        <v>1785</v>
      </c>
      <c r="L646" s="4" t="s">
        <v>1754</v>
      </c>
      <c r="R646" s="50">
        <v>2</v>
      </c>
      <c r="T646" t="b">
        <v>0</v>
      </c>
      <c r="V646" s="59">
        <v>79017</v>
      </c>
      <c r="W646" s="50">
        <v>2</v>
      </c>
      <c r="AA646" s="4" t="s">
        <v>1786</v>
      </c>
    </row>
    <row r="647" spans="1:27">
      <c r="A647" s="4">
        <v>100060018</v>
      </c>
      <c r="B647" s="4">
        <v>6</v>
      </c>
      <c r="C647" s="4" t="s">
        <v>1749</v>
      </c>
      <c r="I647" s="1" t="s">
        <v>1787</v>
      </c>
      <c r="L647" s="4" t="s">
        <v>1757</v>
      </c>
      <c r="R647" s="50">
        <v>3</v>
      </c>
      <c r="T647" t="b">
        <v>0</v>
      </c>
      <c r="V647" s="59">
        <v>79018</v>
      </c>
      <c r="W647" s="50">
        <v>2</v>
      </c>
      <c r="AA647" s="4" t="s">
        <v>1788</v>
      </c>
    </row>
    <row r="648" ht="17.25" spans="1:27">
      <c r="A648" s="4">
        <v>100060019</v>
      </c>
      <c r="B648" s="4">
        <v>6</v>
      </c>
      <c r="C648" s="4" t="s">
        <v>1749</v>
      </c>
      <c r="I648" s="1" t="s">
        <v>1756</v>
      </c>
      <c r="L648" s="4" t="s">
        <v>1751</v>
      </c>
      <c r="R648" s="38">
        <v>1</v>
      </c>
      <c r="T648" t="b">
        <v>0</v>
      </c>
      <c r="V648" s="59">
        <v>79019</v>
      </c>
      <c r="W648" s="50">
        <v>3</v>
      </c>
      <c r="AA648" s="4" t="s">
        <v>1789</v>
      </c>
    </row>
    <row r="649" ht="17.25" spans="1:27">
      <c r="A649" s="4">
        <v>100060020</v>
      </c>
      <c r="B649" s="4">
        <v>6</v>
      </c>
      <c r="C649" s="4" t="s">
        <v>1749</v>
      </c>
      <c r="I649" s="1" t="s">
        <v>1790</v>
      </c>
      <c r="L649" s="4" t="s">
        <v>1754</v>
      </c>
      <c r="R649" s="50">
        <v>2</v>
      </c>
      <c r="T649" t="b">
        <v>0</v>
      </c>
      <c r="V649" s="59">
        <v>79020</v>
      </c>
      <c r="W649" s="50">
        <v>3</v>
      </c>
      <c r="AA649" s="4" t="s">
        <v>1791</v>
      </c>
    </row>
    <row r="650" spans="1:27">
      <c r="A650" s="4">
        <v>100060021</v>
      </c>
      <c r="B650" s="4">
        <v>6</v>
      </c>
      <c r="C650" s="4" t="s">
        <v>1749</v>
      </c>
      <c r="I650" s="1" t="s">
        <v>1792</v>
      </c>
      <c r="L650" s="4" t="s">
        <v>1757</v>
      </c>
      <c r="R650" s="50">
        <v>3</v>
      </c>
      <c r="T650" t="b">
        <v>0</v>
      </c>
      <c r="V650" s="59">
        <v>79021</v>
      </c>
      <c r="W650" s="50">
        <v>3</v>
      </c>
      <c r="AA650" s="4" t="s">
        <v>1793</v>
      </c>
    </row>
    <row r="651" ht="17.25" spans="1:27">
      <c r="A651" s="4">
        <v>100060022</v>
      </c>
      <c r="B651" s="4">
        <v>6</v>
      </c>
      <c r="C651" s="4" t="s">
        <v>1749</v>
      </c>
      <c r="I651" s="1" t="s">
        <v>1794</v>
      </c>
      <c r="L651" s="4" t="s">
        <v>1751</v>
      </c>
      <c r="R651" s="38">
        <v>1</v>
      </c>
      <c r="T651" t="b">
        <v>0</v>
      </c>
      <c r="V651" s="59">
        <v>79022</v>
      </c>
      <c r="W651" s="50">
        <v>3</v>
      </c>
      <c r="AA651" s="4" t="s">
        <v>1795</v>
      </c>
    </row>
    <row r="652" ht="17.25" spans="1:27">
      <c r="A652" s="4">
        <v>100060023</v>
      </c>
      <c r="B652" s="4">
        <v>6</v>
      </c>
      <c r="C652" s="4" t="s">
        <v>1749</v>
      </c>
      <c r="I652" s="1" t="s">
        <v>1796</v>
      </c>
      <c r="L652" s="4" t="s">
        <v>1754</v>
      </c>
      <c r="R652" s="50">
        <v>2</v>
      </c>
      <c r="T652" t="b">
        <v>0</v>
      </c>
      <c r="V652" s="59">
        <v>79023</v>
      </c>
      <c r="W652" s="50">
        <v>3</v>
      </c>
      <c r="AA652" s="4" t="s">
        <v>1797</v>
      </c>
    </row>
    <row r="653" ht="17.25" spans="1:27">
      <c r="A653" s="4">
        <v>100060024</v>
      </c>
      <c r="B653" s="4">
        <v>6</v>
      </c>
      <c r="C653" s="4" t="s">
        <v>1749</v>
      </c>
      <c r="I653" s="1" t="s">
        <v>1798</v>
      </c>
      <c r="L653" s="4" t="s">
        <v>1757</v>
      </c>
      <c r="R653" s="50">
        <v>3</v>
      </c>
      <c r="T653" t="b">
        <v>0</v>
      </c>
      <c r="V653" s="59">
        <v>79024</v>
      </c>
      <c r="W653" s="50">
        <v>3</v>
      </c>
      <c r="AA653" s="4" t="s">
        <v>1799</v>
      </c>
    </row>
    <row r="654" spans="1:27">
      <c r="A654" s="4">
        <v>100060025</v>
      </c>
      <c r="B654" s="4">
        <v>6</v>
      </c>
      <c r="C654" s="4" t="s">
        <v>1749</v>
      </c>
      <c r="I654" s="1" t="s">
        <v>1800</v>
      </c>
      <c r="L654" s="4" t="s">
        <v>1751</v>
      </c>
      <c r="R654" s="38">
        <v>1</v>
      </c>
      <c r="T654" t="b">
        <v>0</v>
      </c>
      <c r="V654" s="59">
        <v>79025</v>
      </c>
      <c r="W654" s="50">
        <v>3</v>
      </c>
      <c r="AA654" s="4" t="s">
        <v>1737</v>
      </c>
    </row>
    <row r="655" spans="1:27">
      <c r="A655" s="4">
        <v>100060026</v>
      </c>
      <c r="B655" s="4">
        <v>6</v>
      </c>
      <c r="C655" s="4" t="s">
        <v>1749</v>
      </c>
      <c r="I655" s="1" t="s">
        <v>1801</v>
      </c>
      <c r="L655" s="4" t="s">
        <v>1754</v>
      </c>
      <c r="R655" s="50">
        <v>2</v>
      </c>
      <c r="T655" t="b">
        <v>0</v>
      </c>
      <c r="V655" s="59">
        <v>79026</v>
      </c>
      <c r="W655" s="50">
        <v>3</v>
      </c>
      <c r="AA655" s="4" t="s">
        <v>1739</v>
      </c>
    </row>
    <row r="656" spans="1:27">
      <c r="A656" s="4">
        <v>100060027</v>
      </c>
      <c r="B656" s="4">
        <v>6</v>
      </c>
      <c r="C656" s="4" t="s">
        <v>1749</v>
      </c>
      <c r="I656" s="1" t="s">
        <v>1802</v>
      </c>
      <c r="L656" s="4" t="s">
        <v>1757</v>
      </c>
      <c r="R656" s="50">
        <v>3</v>
      </c>
      <c r="T656" t="b">
        <v>0</v>
      </c>
      <c r="V656" s="59">
        <v>79027</v>
      </c>
      <c r="W656" s="50">
        <v>3</v>
      </c>
      <c r="AA656" s="4" t="s">
        <v>1741</v>
      </c>
    </row>
    <row r="657" spans="1:27">
      <c r="A657" s="4">
        <v>100070101</v>
      </c>
      <c r="B657" s="4">
        <v>7</v>
      </c>
      <c r="C657" s="4" t="s">
        <v>1803</v>
      </c>
      <c r="D657" s="4">
        <v>1</v>
      </c>
      <c r="E657" s="4" t="s">
        <v>1804</v>
      </c>
      <c r="F657" s="4">
        <v>70101</v>
      </c>
      <c r="H657" s="4">
        <f>A658</f>
        <v>100070102</v>
      </c>
      <c r="I657" s="4" t="s">
        <v>1805</v>
      </c>
      <c r="L657" s="4" t="s">
        <v>1806</v>
      </c>
      <c r="O657" s="38">
        <v>3201</v>
      </c>
      <c r="P657" s="38" t="s">
        <v>1807</v>
      </c>
      <c r="R657" s="50">
        <v>1</v>
      </c>
      <c r="V657" s="59">
        <v>76001</v>
      </c>
      <c r="AA657" s="4" t="s">
        <v>1808</v>
      </c>
    </row>
    <row r="658" spans="1:27">
      <c r="A658" s="4">
        <v>100070102</v>
      </c>
      <c r="B658" s="4">
        <v>7</v>
      </c>
      <c r="C658" s="4" t="s">
        <v>1803</v>
      </c>
      <c r="D658" s="4">
        <v>1</v>
      </c>
      <c r="E658" s="4" t="s">
        <v>1804</v>
      </c>
      <c r="F658" s="4">
        <v>70101</v>
      </c>
      <c r="H658" s="4">
        <f>A659</f>
        <v>100070103</v>
      </c>
      <c r="I658" s="4" t="s">
        <v>1809</v>
      </c>
      <c r="L658" s="4" t="s">
        <v>1810</v>
      </c>
      <c r="O658" s="38">
        <v>3201</v>
      </c>
      <c r="P658" s="38" t="s">
        <v>1807</v>
      </c>
      <c r="R658" s="50">
        <v>1</v>
      </c>
      <c r="V658" s="59">
        <v>76001</v>
      </c>
      <c r="AA658" s="4" t="s">
        <v>1811</v>
      </c>
    </row>
    <row r="659" spans="1:27">
      <c r="A659" s="4">
        <v>100070103</v>
      </c>
      <c r="B659" s="4">
        <v>7</v>
      </c>
      <c r="C659" s="4" t="s">
        <v>1803</v>
      </c>
      <c r="D659" s="4">
        <v>1</v>
      </c>
      <c r="E659" s="4" t="s">
        <v>1804</v>
      </c>
      <c r="F659" s="4">
        <v>70101</v>
      </c>
      <c r="H659" s="4">
        <f>A660</f>
        <v>100070104</v>
      </c>
      <c r="I659" s="4" t="s">
        <v>1812</v>
      </c>
      <c r="L659" s="4" t="s">
        <v>1813</v>
      </c>
      <c r="O659" s="38">
        <v>3201</v>
      </c>
      <c r="P659" s="38" t="s">
        <v>1807</v>
      </c>
      <c r="R659" s="50">
        <v>1</v>
      </c>
      <c r="V659" s="59">
        <v>76001</v>
      </c>
      <c r="AA659" s="4" t="s">
        <v>1814</v>
      </c>
    </row>
    <row r="660" spans="1:27">
      <c r="A660" s="4">
        <v>100070104</v>
      </c>
      <c r="B660" s="4">
        <v>7</v>
      </c>
      <c r="C660" s="4" t="s">
        <v>1803</v>
      </c>
      <c r="D660" s="4">
        <v>1</v>
      </c>
      <c r="E660" s="4" t="s">
        <v>1804</v>
      </c>
      <c r="F660" s="4">
        <v>70101</v>
      </c>
      <c r="H660" s="4">
        <f>A661</f>
        <v>100070105</v>
      </c>
      <c r="I660" s="4" t="s">
        <v>1815</v>
      </c>
      <c r="L660" s="4" t="s">
        <v>1816</v>
      </c>
      <c r="O660" s="38">
        <v>3201</v>
      </c>
      <c r="P660" s="38" t="s">
        <v>1807</v>
      </c>
      <c r="R660" s="50">
        <v>1</v>
      </c>
      <c r="V660" s="59">
        <v>76001</v>
      </c>
      <c r="AA660" s="4" t="s">
        <v>1817</v>
      </c>
    </row>
    <row r="661" spans="1:27">
      <c r="A661" s="4">
        <v>100070105</v>
      </c>
      <c r="B661" s="4">
        <v>7</v>
      </c>
      <c r="C661" s="4" t="s">
        <v>1803</v>
      </c>
      <c r="D661" s="4">
        <v>1</v>
      </c>
      <c r="E661" s="4" t="s">
        <v>1804</v>
      </c>
      <c r="F661" s="4">
        <v>70101</v>
      </c>
      <c r="H661" s="4">
        <f>A662</f>
        <v>100070106</v>
      </c>
      <c r="I661" s="4" t="s">
        <v>1818</v>
      </c>
      <c r="L661" s="4" t="s">
        <v>1819</v>
      </c>
      <c r="O661" s="38">
        <v>3201</v>
      </c>
      <c r="P661" s="38" t="s">
        <v>1807</v>
      </c>
      <c r="R661" s="50">
        <v>1</v>
      </c>
      <c r="V661" s="59">
        <v>76001</v>
      </c>
      <c r="AA661" s="4" t="s">
        <v>1820</v>
      </c>
    </row>
    <row r="662" spans="1:27">
      <c r="A662" s="4">
        <v>100070106</v>
      </c>
      <c r="B662" s="4">
        <v>7</v>
      </c>
      <c r="C662" s="4" t="s">
        <v>1803</v>
      </c>
      <c r="D662" s="4">
        <v>1</v>
      </c>
      <c r="E662" s="4" t="s">
        <v>1804</v>
      </c>
      <c r="F662" s="4">
        <v>70101</v>
      </c>
      <c r="I662" s="4" t="s">
        <v>1821</v>
      </c>
      <c r="L662" s="4" t="s">
        <v>1822</v>
      </c>
      <c r="O662" s="38">
        <v>3201</v>
      </c>
      <c r="P662" s="38" t="s">
        <v>1807</v>
      </c>
      <c r="R662" s="50">
        <v>1</v>
      </c>
      <c r="V662" s="59">
        <v>76001</v>
      </c>
      <c r="AA662" s="4" t="s">
        <v>1823</v>
      </c>
    </row>
    <row r="663" spans="1:27">
      <c r="A663" s="4">
        <v>100070111</v>
      </c>
      <c r="B663" s="4">
        <v>7</v>
      </c>
      <c r="D663" s="4">
        <v>1</v>
      </c>
      <c r="E663" s="4" t="s">
        <v>1804</v>
      </c>
      <c r="F663" s="4">
        <v>70111</v>
      </c>
      <c r="H663" s="4">
        <f>A664</f>
        <v>100070112</v>
      </c>
      <c r="I663" s="4" t="s">
        <v>1824</v>
      </c>
      <c r="L663" s="4" t="s">
        <v>1806</v>
      </c>
      <c r="O663" s="38">
        <v>3301</v>
      </c>
      <c r="P663" s="38" t="s">
        <v>1825</v>
      </c>
      <c r="R663" s="50">
        <v>1</v>
      </c>
      <c r="V663" s="50">
        <v>76002</v>
      </c>
      <c r="AA663" s="4" t="s">
        <v>1826</v>
      </c>
    </row>
    <row r="664" spans="1:27">
      <c r="A664" s="4">
        <v>100070112</v>
      </c>
      <c r="B664" s="4">
        <v>7</v>
      </c>
      <c r="D664" s="4">
        <v>1</v>
      </c>
      <c r="E664" s="4" t="s">
        <v>1804</v>
      </c>
      <c r="F664" s="4">
        <v>70111</v>
      </c>
      <c r="H664" s="4">
        <f>A665</f>
        <v>100070113</v>
      </c>
      <c r="I664" s="4" t="s">
        <v>1827</v>
      </c>
      <c r="L664" s="4" t="s">
        <v>1810</v>
      </c>
      <c r="O664" s="38">
        <v>3301</v>
      </c>
      <c r="P664" s="38" t="s">
        <v>1825</v>
      </c>
      <c r="R664" s="50">
        <v>1</v>
      </c>
      <c r="V664" s="50">
        <v>76002</v>
      </c>
      <c r="AA664" s="4" t="s">
        <v>1828</v>
      </c>
    </row>
    <row r="665" spans="1:27">
      <c r="A665" s="4">
        <v>100070113</v>
      </c>
      <c r="B665" s="4">
        <v>7</v>
      </c>
      <c r="D665" s="4">
        <v>1</v>
      </c>
      <c r="E665" s="4" t="s">
        <v>1804</v>
      </c>
      <c r="F665" s="4">
        <v>70111</v>
      </c>
      <c r="H665" s="4">
        <f>A666</f>
        <v>100070114</v>
      </c>
      <c r="I665" s="4" t="s">
        <v>1829</v>
      </c>
      <c r="L665" s="4" t="s">
        <v>1813</v>
      </c>
      <c r="O665" s="38">
        <v>3301</v>
      </c>
      <c r="P665" s="38" t="s">
        <v>1825</v>
      </c>
      <c r="R665" s="50">
        <v>1</v>
      </c>
      <c r="V665" s="50">
        <v>76002</v>
      </c>
      <c r="AA665" s="4" t="s">
        <v>1830</v>
      </c>
    </row>
    <row r="666" spans="1:27">
      <c r="A666" s="4">
        <v>100070114</v>
      </c>
      <c r="B666" s="4">
        <v>7</v>
      </c>
      <c r="D666" s="4">
        <v>1</v>
      </c>
      <c r="E666" s="4" t="s">
        <v>1804</v>
      </c>
      <c r="F666" s="4">
        <v>70111</v>
      </c>
      <c r="H666" s="4">
        <f>A667</f>
        <v>100070115</v>
      </c>
      <c r="I666" s="4" t="s">
        <v>1831</v>
      </c>
      <c r="L666" s="4" t="s">
        <v>1816</v>
      </c>
      <c r="O666" s="38">
        <v>3301</v>
      </c>
      <c r="P666" s="38" t="s">
        <v>1825</v>
      </c>
      <c r="R666" s="50">
        <v>1</v>
      </c>
      <c r="V666" s="50">
        <v>76002</v>
      </c>
      <c r="AA666" s="4" t="s">
        <v>1832</v>
      </c>
    </row>
    <row r="667" spans="1:27">
      <c r="A667" s="4">
        <v>100070115</v>
      </c>
      <c r="B667" s="4">
        <v>7</v>
      </c>
      <c r="D667" s="4">
        <v>1</v>
      </c>
      <c r="E667" s="4" t="s">
        <v>1804</v>
      </c>
      <c r="F667" s="4">
        <v>70111</v>
      </c>
      <c r="H667" s="4">
        <f>A668</f>
        <v>100070116</v>
      </c>
      <c r="I667" s="4" t="s">
        <v>1833</v>
      </c>
      <c r="L667" s="4" t="s">
        <v>1819</v>
      </c>
      <c r="O667" s="38">
        <v>3301</v>
      </c>
      <c r="P667" s="38" t="s">
        <v>1825</v>
      </c>
      <c r="R667" s="50">
        <v>1</v>
      </c>
      <c r="V667" s="50">
        <v>76002</v>
      </c>
      <c r="AA667" s="4" t="s">
        <v>1834</v>
      </c>
    </row>
    <row r="668" spans="1:27">
      <c r="A668" s="4">
        <v>100070116</v>
      </c>
      <c r="B668" s="4">
        <v>7</v>
      </c>
      <c r="D668" s="4">
        <v>1</v>
      </c>
      <c r="E668" s="4" t="s">
        <v>1804</v>
      </c>
      <c r="F668" s="4">
        <v>70111</v>
      </c>
      <c r="I668" s="4" t="s">
        <v>1835</v>
      </c>
      <c r="L668" s="4" t="s">
        <v>1822</v>
      </c>
      <c r="O668" s="38">
        <v>3301</v>
      </c>
      <c r="P668" s="38" t="s">
        <v>1825</v>
      </c>
      <c r="R668" s="50">
        <v>1</v>
      </c>
      <c r="V668" s="50">
        <v>76002</v>
      </c>
      <c r="AA668" s="4" t="s">
        <v>1836</v>
      </c>
    </row>
    <row r="669" spans="1:27">
      <c r="A669" s="4">
        <v>100070121</v>
      </c>
      <c r="B669" s="4">
        <v>7</v>
      </c>
      <c r="D669" s="4">
        <v>1</v>
      </c>
      <c r="E669" s="4" t="s">
        <v>1804</v>
      </c>
      <c r="F669" s="4">
        <v>70121</v>
      </c>
      <c r="H669" s="4">
        <f>A670</f>
        <v>100070122</v>
      </c>
      <c r="I669" s="4" t="s">
        <v>1837</v>
      </c>
      <c r="L669" s="4" t="s">
        <v>1806</v>
      </c>
      <c r="O669" s="38">
        <v>11041</v>
      </c>
      <c r="P669" s="38" t="s">
        <v>1838</v>
      </c>
      <c r="R669" s="50">
        <v>1</v>
      </c>
      <c r="V669" s="50">
        <v>76003</v>
      </c>
      <c r="AA669" s="4" t="s">
        <v>1839</v>
      </c>
    </row>
    <row r="670" spans="1:27">
      <c r="A670" s="4">
        <v>100070122</v>
      </c>
      <c r="B670" s="4">
        <v>7</v>
      </c>
      <c r="D670" s="4">
        <v>1</v>
      </c>
      <c r="E670" s="4" t="s">
        <v>1804</v>
      </c>
      <c r="F670" s="4">
        <v>70121</v>
      </c>
      <c r="H670" s="4">
        <f>A671</f>
        <v>100070123</v>
      </c>
      <c r="I670" s="4" t="s">
        <v>1840</v>
      </c>
      <c r="L670" s="4" t="s">
        <v>1810</v>
      </c>
      <c r="O670" s="38">
        <v>11041</v>
      </c>
      <c r="P670" s="38" t="s">
        <v>1838</v>
      </c>
      <c r="R670" s="50">
        <v>1</v>
      </c>
      <c r="V670" s="50">
        <v>76003</v>
      </c>
      <c r="AA670" s="4" t="s">
        <v>1841</v>
      </c>
    </row>
    <row r="671" spans="1:27">
      <c r="A671" s="4">
        <v>100070123</v>
      </c>
      <c r="B671" s="4">
        <v>7</v>
      </c>
      <c r="D671" s="4">
        <v>1</v>
      </c>
      <c r="E671" s="4" t="s">
        <v>1804</v>
      </c>
      <c r="F671" s="4">
        <v>70121</v>
      </c>
      <c r="H671" s="4">
        <f>A672</f>
        <v>100070124</v>
      </c>
      <c r="I671" s="4" t="s">
        <v>1842</v>
      </c>
      <c r="L671" s="4" t="s">
        <v>1813</v>
      </c>
      <c r="O671" s="38">
        <v>11041</v>
      </c>
      <c r="P671" s="38" t="s">
        <v>1838</v>
      </c>
      <c r="R671" s="50">
        <v>1</v>
      </c>
      <c r="V671" s="50">
        <v>76003</v>
      </c>
      <c r="AA671" s="4" t="s">
        <v>1843</v>
      </c>
    </row>
    <row r="672" spans="1:27">
      <c r="A672" s="4">
        <v>100070124</v>
      </c>
      <c r="B672" s="4">
        <v>7</v>
      </c>
      <c r="D672" s="4">
        <v>1</v>
      </c>
      <c r="E672" s="4" t="s">
        <v>1804</v>
      </c>
      <c r="F672" s="4">
        <v>70121</v>
      </c>
      <c r="H672" s="4">
        <f>A673</f>
        <v>100070125</v>
      </c>
      <c r="I672" s="4" t="s">
        <v>1844</v>
      </c>
      <c r="L672" s="4" t="s">
        <v>1816</v>
      </c>
      <c r="O672" s="38">
        <v>11041</v>
      </c>
      <c r="P672" s="38" t="s">
        <v>1838</v>
      </c>
      <c r="R672" s="50">
        <v>1</v>
      </c>
      <c r="V672" s="50">
        <v>76003</v>
      </c>
      <c r="AA672" s="4" t="s">
        <v>1845</v>
      </c>
    </row>
    <row r="673" spans="1:27">
      <c r="A673" s="4">
        <v>100070125</v>
      </c>
      <c r="B673" s="4">
        <v>7</v>
      </c>
      <c r="D673" s="4">
        <v>1</v>
      </c>
      <c r="E673" s="4" t="s">
        <v>1804</v>
      </c>
      <c r="F673" s="4">
        <v>70121</v>
      </c>
      <c r="H673" s="4">
        <f>A674</f>
        <v>100070126</v>
      </c>
      <c r="I673" s="4" t="s">
        <v>1846</v>
      </c>
      <c r="L673" s="4" t="s">
        <v>1819</v>
      </c>
      <c r="O673" s="38">
        <v>11041</v>
      </c>
      <c r="P673" s="38" t="s">
        <v>1838</v>
      </c>
      <c r="R673" s="50">
        <v>1</v>
      </c>
      <c r="V673" s="50">
        <v>76003</v>
      </c>
      <c r="AA673" s="4" t="s">
        <v>1847</v>
      </c>
    </row>
    <row r="674" spans="1:27">
      <c r="A674" s="4">
        <v>100070126</v>
      </c>
      <c r="B674" s="4">
        <v>7</v>
      </c>
      <c r="D674" s="4">
        <v>1</v>
      </c>
      <c r="E674" s="4" t="s">
        <v>1804</v>
      </c>
      <c r="F674" s="4">
        <v>70121</v>
      </c>
      <c r="I674" s="4" t="s">
        <v>1848</v>
      </c>
      <c r="L674" s="4" t="s">
        <v>1822</v>
      </c>
      <c r="O674" s="38">
        <v>11041</v>
      </c>
      <c r="P674" s="38" t="s">
        <v>1838</v>
      </c>
      <c r="R674" s="50">
        <v>1</v>
      </c>
      <c r="V674" s="50">
        <v>76003</v>
      </c>
      <c r="AA674" s="4" t="s">
        <v>1849</v>
      </c>
    </row>
    <row r="675" spans="1:27">
      <c r="A675" s="4">
        <v>100070131</v>
      </c>
      <c r="B675" s="4">
        <v>7</v>
      </c>
      <c r="D675" s="4">
        <v>1</v>
      </c>
      <c r="E675" s="4" t="s">
        <v>1804</v>
      </c>
      <c r="F675" s="4">
        <v>70131</v>
      </c>
      <c r="H675" s="4">
        <f>A676</f>
        <v>100070132</v>
      </c>
      <c r="I675" s="4" t="s">
        <v>1850</v>
      </c>
      <c r="L675" s="4" t="s">
        <v>1806</v>
      </c>
      <c r="O675" s="38">
        <v>11041</v>
      </c>
      <c r="P675" s="38" t="s">
        <v>1851</v>
      </c>
      <c r="R675" s="50">
        <v>1</v>
      </c>
      <c r="V675" s="50">
        <v>76004</v>
      </c>
      <c r="AA675" s="4" t="s">
        <v>1852</v>
      </c>
    </row>
    <row r="676" spans="1:27">
      <c r="A676" s="4">
        <v>100070132</v>
      </c>
      <c r="B676" s="4">
        <v>7</v>
      </c>
      <c r="D676" s="4">
        <v>1</v>
      </c>
      <c r="E676" s="4" t="s">
        <v>1804</v>
      </c>
      <c r="F676" s="4">
        <v>70131</v>
      </c>
      <c r="H676" s="4">
        <f>A677</f>
        <v>100070133</v>
      </c>
      <c r="I676" s="4" t="s">
        <v>1853</v>
      </c>
      <c r="L676" s="4" t="s">
        <v>1810</v>
      </c>
      <c r="O676" s="38">
        <v>11041</v>
      </c>
      <c r="P676" s="38" t="s">
        <v>1851</v>
      </c>
      <c r="R676" s="50">
        <v>1</v>
      </c>
      <c r="V676" s="50">
        <v>76004</v>
      </c>
      <c r="AA676" s="4" t="s">
        <v>1854</v>
      </c>
    </row>
    <row r="677" spans="1:27">
      <c r="A677" s="4">
        <v>100070133</v>
      </c>
      <c r="B677" s="4">
        <v>7</v>
      </c>
      <c r="D677" s="4">
        <v>1</v>
      </c>
      <c r="E677" s="4" t="s">
        <v>1804</v>
      </c>
      <c r="F677" s="4">
        <v>70131</v>
      </c>
      <c r="H677" s="4">
        <f>A678</f>
        <v>100070134</v>
      </c>
      <c r="I677" s="4" t="s">
        <v>1855</v>
      </c>
      <c r="L677" s="4" t="s">
        <v>1813</v>
      </c>
      <c r="O677" s="38">
        <v>11041</v>
      </c>
      <c r="P677" s="38" t="s">
        <v>1851</v>
      </c>
      <c r="R677" s="50">
        <v>1</v>
      </c>
      <c r="V677" s="50">
        <v>76004</v>
      </c>
      <c r="AA677" s="4" t="s">
        <v>1856</v>
      </c>
    </row>
    <row r="678" spans="1:27">
      <c r="A678" s="4">
        <v>100070134</v>
      </c>
      <c r="B678" s="4">
        <v>7</v>
      </c>
      <c r="D678" s="4">
        <v>1</v>
      </c>
      <c r="E678" s="4" t="s">
        <v>1804</v>
      </c>
      <c r="F678" s="4">
        <v>70131</v>
      </c>
      <c r="H678" s="4">
        <f>A679</f>
        <v>100070135</v>
      </c>
      <c r="I678" s="4" t="s">
        <v>1857</v>
      </c>
      <c r="L678" s="4" t="s">
        <v>1816</v>
      </c>
      <c r="O678" s="38">
        <v>11041</v>
      </c>
      <c r="P678" s="38" t="s">
        <v>1851</v>
      </c>
      <c r="R678" s="50">
        <v>1</v>
      </c>
      <c r="V678" s="50">
        <v>76004</v>
      </c>
      <c r="AA678" s="4" t="s">
        <v>1858</v>
      </c>
    </row>
    <row r="679" spans="1:27">
      <c r="A679" s="4">
        <v>100070135</v>
      </c>
      <c r="B679" s="4">
        <v>7</v>
      </c>
      <c r="D679" s="4">
        <v>1</v>
      </c>
      <c r="E679" s="4" t="s">
        <v>1804</v>
      </c>
      <c r="F679" s="4">
        <v>70131</v>
      </c>
      <c r="H679" s="4">
        <f>A680</f>
        <v>100070136</v>
      </c>
      <c r="I679" s="4" t="s">
        <v>1859</v>
      </c>
      <c r="L679" s="4" t="s">
        <v>1819</v>
      </c>
      <c r="O679" s="38">
        <v>11041</v>
      </c>
      <c r="P679" s="38" t="s">
        <v>1851</v>
      </c>
      <c r="R679" s="50">
        <v>1</v>
      </c>
      <c r="V679" s="50">
        <v>76004</v>
      </c>
      <c r="AA679" s="4" t="s">
        <v>1860</v>
      </c>
    </row>
    <row r="680" spans="1:27">
      <c r="A680" s="4">
        <v>100070136</v>
      </c>
      <c r="B680" s="4">
        <v>7</v>
      </c>
      <c r="D680" s="4">
        <v>1</v>
      </c>
      <c r="E680" s="4" t="s">
        <v>1804</v>
      </c>
      <c r="F680" s="4">
        <v>70131</v>
      </c>
      <c r="I680" s="4" t="s">
        <v>1861</v>
      </c>
      <c r="L680" s="4" t="s">
        <v>1822</v>
      </c>
      <c r="O680" s="38">
        <v>11041</v>
      </c>
      <c r="P680" s="38" t="s">
        <v>1851</v>
      </c>
      <c r="R680" s="50">
        <v>1</v>
      </c>
      <c r="V680" s="50">
        <v>76004</v>
      </c>
      <c r="AA680" s="4" t="s">
        <v>1862</v>
      </c>
    </row>
    <row r="681" spans="1:27">
      <c r="A681" s="4">
        <v>100070141</v>
      </c>
      <c r="B681" s="4">
        <v>7</v>
      </c>
      <c r="D681" s="4">
        <v>1</v>
      </c>
      <c r="E681" s="4" t="s">
        <v>1804</v>
      </c>
      <c r="F681" s="4">
        <v>70141</v>
      </c>
      <c r="H681" s="4">
        <f>A682</f>
        <v>100070142</v>
      </c>
      <c r="I681" s="4" t="s">
        <v>1863</v>
      </c>
      <c r="L681" s="4" t="s">
        <v>1806</v>
      </c>
      <c r="O681" s="38">
        <v>11041</v>
      </c>
      <c r="P681" s="38" t="s">
        <v>1864</v>
      </c>
      <c r="R681" s="50">
        <v>1</v>
      </c>
      <c r="V681" s="50">
        <v>76005</v>
      </c>
      <c r="AA681" s="4" t="s">
        <v>1865</v>
      </c>
    </row>
    <row r="682" spans="1:27">
      <c r="A682" s="4">
        <v>100070142</v>
      </c>
      <c r="B682" s="4">
        <v>7</v>
      </c>
      <c r="D682" s="4">
        <v>1</v>
      </c>
      <c r="E682" s="4" t="s">
        <v>1804</v>
      </c>
      <c r="F682" s="4">
        <v>70141</v>
      </c>
      <c r="H682" s="4">
        <f>A683</f>
        <v>100070143</v>
      </c>
      <c r="I682" s="4" t="s">
        <v>1866</v>
      </c>
      <c r="L682" s="4" t="s">
        <v>1810</v>
      </c>
      <c r="O682" s="38">
        <v>11041</v>
      </c>
      <c r="P682" s="38" t="s">
        <v>1864</v>
      </c>
      <c r="R682" s="50">
        <v>1</v>
      </c>
      <c r="V682" s="50">
        <v>76005</v>
      </c>
      <c r="AA682" s="4" t="s">
        <v>1867</v>
      </c>
    </row>
    <row r="683" spans="1:27">
      <c r="A683" s="4">
        <v>100070143</v>
      </c>
      <c r="B683" s="4">
        <v>7</v>
      </c>
      <c r="D683" s="4">
        <v>1</v>
      </c>
      <c r="E683" s="4" t="s">
        <v>1804</v>
      </c>
      <c r="F683" s="4">
        <v>70141</v>
      </c>
      <c r="H683" s="4">
        <f>A684</f>
        <v>100070144</v>
      </c>
      <c r="I683" s="4" t="s">
        <v>1868</v>
      </c>
      <c r="L683" s="4" t="s">
        <v>1813</v>
      </c>
      <c r="O683" s="38">
        <v>11041</v>
      </c>
      <c r="P683" s="38" t="s">
        <v>1864</v>
      </c>
      <c r="R683" s="50">
        <v>1</v>
      </c>
      <c r="V683" s="50">
        <v>76005</v>
      </c>
      <c r="AA683" s="4" t="s">
        <v>1869</v>
      </c>
    </row>
    <row r="684" spans="1:27">
      <c r="A684" s="4">
        <v>100070144</v>
      </c>
      <c r="B684" s="4">
        <v>7</v>
      </c>
      <c r="D684" s="4">
        <v>1</v>
      </c>
      <c r="E684" s="4" t="s">
        <v>1804</v>
      </c>
      <c r="F684" s="4">
        <v>70141</v>
      </c>
      <c r="H684" s="4">
        <f>A685</f>
        <v>100070145</v>
      </c>
      <c r="I684" s="4" t="s">
        <v>1870</v>
      </c>
      <c r="L684" s="4" t="s">
        <v>1816</v>
      </c>
      <c r="O684" s="38">
        <v>11041</v>
      </c>
      <c r="P684" s="38" t="s">
        <v>1864</v>
      </c>
      <c r="R684" s="50">
        <v>1</v>
      </c>
      <c r="V684" s="50">
        <v>76005</v>
      </c>
      <c r="AA684" s="4" t="s">
        <v>1871</v>
      </c>
    </row>
    <row r="685" spans="1:27">
      <c r="A685" s="4">
        <v>100070145</v>
      </c>
      <c r="B685" s="4">
        <v>7</v>
      </c>
      <c r="D685" s="4">
        <v>1</v>
      </c>
      <c r="E685" s="4" t="s">
        <v>1804</v>
      </c>
      <c r="F685" s="4">
        <v>70141</v>
      </c>
      <c r="H685" s="4">
        <f>A686</f>
        <v>100070146</v>
      </c>
      <c r="I685" s="4" t="s">
        <v>1872</v>
      </c>
      <c r="L685" s="4" t="s">
        <v>1819</v>
      </c>
      <c r="O685" s="38">
        <v>11041</v>
      </c>
      <c r="P685" s="38" t="s">
        <v>1864</v>
      </c>
      <c r="R685" s="50">
        <v>1</v>
      </c>
      <c r="V685" s="50">
        <v>76005</v>
      </c>
      <c r="AA685" s="4" t="s">
        <v>1873</v>
      </c>
    </row>
    <row r="686" spans="1:27">
      <c r="A686" s="4">
        <v>100070146</v>
      </c>
      <c r="B686" s="4">
        <v>7</v>
      </c>
      <c r="D686" s="4">
        <v>1</v>
      </c>
      <c r="E686" s="4" t="s">
        <v>1804</v>
      </c>
      <c r="F686" s="4">
        <v>70141</v>
      </c>
      <c r="I686" s="4" t="s">
        <v>1874</v>
      </c>
      <c r="L686" s="4" t="s">
        <v>1822</v>
      </c>
      <c r="O686" s="38">
        <v>11041</v>
      </c>
      <c r="P686" s="38" t="s">
        <v>1864</v>
      </c>
      <c r="R686" s="50">
        <v>1</v>
      </c>
      <c r="V686" s="50">
        <v>76005</v>
      </c>
      <c r="AA686" s="4" t="s">
        <v>1875</v>
      </c>
    </row>
    <row r="687" spans="1:27">
      <c r="A687" s="4">
        <v>100070151</v>
      </c>
      <c r="B687" s="4">
        <v>7</v>
      </c>
      <c r="D687" s="4">
        <v>1</v>
      </c>
      <c r="E687" s="4" t="s">
        <v>1804</v>
      </c>
      <c r="F687" s="4">
        <v>70151</v>
      </c>
      <c r="H687" s="4">
        <f>A688</f>
        <v>100070152</v>
      </c>
      <c r="I687" s="4" t="s">
        <v>1876</v>
      </c>
      <c r="L687" s="4" t="s">
        <v>1806</v>
      </c>
      <c r="O687" s="38">
        <v>11041</v>
      </c>
      <c r="P687" s="38" t="s">
        <v>1877</v>
      </c>
      <c r="R687" s="50">
        <v>1</v>
      </c>
      <c r="V687" s="50">
        <v>76006</v>
      </c>
      <c r="AA687" s="4" t="s">
        <v>1878</v>
      </c>
    </row>
    <row r="688" spans="1:27">
      <c r="A688" s="4">
        <v>100070152</v>
      </c>
      <c r="B688" s="4">
        <v>7</v>
      </c>
      <c r="D688" s="4">
        <v>1</v>
      </c>
      <c r="E688" s="4" t="s">
        <v>1804</v>
      </c>
      <c r="F688" s="4">
        <v>70151</v>
      </c>
      <c r="H688" s="4">
        <f>A689</f>
        <v>100070153</v>
      </c>
      <c r="I688" s="4" t="s">
        <v>1879</v>
      </c>
      <c r="L688" s="4" t="s">
        <v>1810</v>
      </c>
      <c r="O688" s="38">
        <v>11041</v>
      </c>
      <c r="P688" s="38" t="s">
        <v>1877</v>
      </c>
      <c r="R688" s="50">
        <v>1</v>
      </c>
      <c r="V688" s="50">
        <v>76006</v>
      </c>
      <c r="AA688" s="4" t="s">
        <v>1880</v>
      </c>
    </row>
    <row r="689" spans="1:27">
      <c r="A689" s="4">
        <v>100070153</v>
      </c>
      <c r="B689" s="4">
        <v>7</v>
      </c>
      <c r="D689" s="4">
        <v>1</v>
      </c>
      <c r="E689" s="4" t="s">
        <v>1804</v>
      </c>
      <c r="F689" s="4">
        <v>70151</v>
      </c>
      <c r="H689" s="4">
        <f>A690</f>
        <v>100070154</v>
      </c>
      <c r="I689" s="4" t="s">
        <v>1881</v>
      </c>
      <c r="L689" s="4" t="s">
        <v>1813</v>
      </c>
      <c r="O689" s="38">
        <v>11041</v>
      </c>
      <c r="P689" s="38" t="s">
        <v>1877</v>
      </c>
      <c r="R689" s="50">
        <v>1</v>
      </c>
      <c r="V689" s="50">
        <v>76006</v>
      </c>
      <c r="AA689" s="4" t="s">
        <v>1882</v>
      </c>
    </row>
    <row r="690" spans="1:27">
      <c r="A690" s="4">
        <v>100070154</v>
      </c>
      <c r="B690" s="4">
        <v>7</v>
      </c>
      <c r="D690" s="4">
        <v>1</v>
      </c>
      <c r="E690" s="4" t="s">
        <v>1804</v>
      </c>
      <c r="F690" s="4">
        <v>70151</v>
      </c>
      <c r="H690" s="4">
        <f>A691</f>
        <v>100070155</v>
      </c>
      <c r="I690" s="4" t="s">
        <v>1883</v>
      </c>
      <c r="L690" s="4" t="s">
        <v>1816</v>
      </c>
      <c r="O690" s="38">
        <v>11041</v>
      </c>
      <c r="P690" s="38" t="s">
        <v>1877</v>
      </c>
      <c r="R690" s="50">
        <v>1</v>
      </c>
      <c r="V690" s="50">
        <v>76006</v>
      </c>
      <c r="AA690" s="4" t="s">
        <v>1884</v>
      </c>
    </row>
    <row r="691" spans="1:27">
      <c r="A691" s="4">
        <v>100070155</v>
      </c>
      <c r="B691" s="4">
        <v>7</v>
      </c>
      <c r="D691" s="4">
        <v>1</v>
      </c>
      <c r="E691" s="4" t="s">
        <v>1804</v>
      </c>
      <c r="F691" s="4">
        <v>70151</v>
      </c>
      <c r="H691" s="4">
        <f>A692</f>
        <v>100070156</v>
      </c>
      <c r="I691" s="4" t="s">
        <v>1885</v>
      </c>
      <c r="L691" s="4" t="s">
        <v>1819</v>
      </c>
      <c r="O691" s="38">
        <v>11041</v>
      </c>
      <c r="P691" s="38" t="s">
        <v>1877</v>
      </c>
      <c r="R691" s="50">
        <v>1</v>
      </c>
      <c r="V691" s="50">
        <v>76006</v>
      </c>
      <c r="AA691" s="4" t="s">
        <v>1886</v>
      </c>
    </row>
    <row r="692" spans="1:27">
      <c r="A692" s="4">
        <v>100070156</v>
      </c>
      <c r="B692" s="4">
        <v>7</v>
      </c>
      <c r="D692" s="4">
        <v>1</v>
      </c>
      <c r="E692" s="4" t="s">
        <v>1804</v>
      </c>
      <c r="F692" s="4">
        <v>70151</v>
      </c>
      <c r="I692" s="4" t="s">
        <v>1887</v>
      </c>
      <c r="L692" s="4" t="s">
        <v>1822</v>
      </c>
      <c r="O692" s="38">
        <v>11041</v>
      </c>
      <c r="P692" s="38" t="s">
        <v>1877</v>
      </c>
      <c r="R692" s="50">
        <v>1</v>
      </c>
      <c r="V692" s="50">
        <v>76006</v>
      </c>
      <c r="AA692" s="4" t="s">
        <v>1888</v>
      </c>
    </row>
    <row r="693" spans="1:27">
      <c r="A693" s="4">
        <v>100070161</v>
      </c>
      <c r="B693" s="4">
        <v>7</v>
      </c>
      <c r="D693" s="4">
        <v>1</v>
      </c>
      <c r="E693" s="4" t="s">
        <v>1804</v>
      </c>
      <c r="F693" s="4">
        <v>70161</v>
      </c>
      <c r="H693" s="4">
        <f>A694</f>
        <v>100070162</v>
      </c>
      <c r="I693" s="4" t="s">
        <v>1889</v>
      </c>
      <c r="L693" s="4" t="s">
        <v>1806</v>
      </c>
      <c r="O693" s="38">
        <v>11041</v>
      </c>
      <c r="P693" s="38" t="s">
        <v>1890</v>
      </c>
      <c r="R693" s="50">
        <v>1</v>
      </c>
      <c r="V693" s="50">
        <v>76007</v>
      </c>
      <c r="AA693" s="4" t="s">
        <v>1891</v>
      </c>
    </row>
    <row r="694" spans="1:27">
      <c r="A694" s="4">
        <v>100070162</v>
      </c>
      <c r="B694" s="4">
        <v>7</v>
      </c>
      <c r="D694" s="4">
        <v>1</v>
      </c>
      <c r="E694" s="4" t="s">
        <v>1804</v>
      </c>
      <c r="F694" s="4">
        <v>70161</v>
      </c>
      <c r="H694" s="4">
        <f t="shared" ref="H694:H699" si="2">A695</f>
        <v>100070163</v>
      </c>
      <c r="I694" s="4" t="s">
        <v>1892</v>
      </c>
      <c r="L694" s="4" t="s">
        <v>1810</v>
      </c>
      <c r="O694" s="38">
        <v>11041</v>
      </c>
      <c r="P694" s="38" t="s">
        <v>1890</v>
      </c>
      <c r="R694" s="50">
        <v>1</v>
      </c>
      <c r="V694" s="50">
        <v>76007</v>
      </c>
      <c r="AA694" s="4" t="s">
        <v>1893</v>
      </c>
    </row>
    <row r="695" spans="1:27">
      <c r="A695" s="4">
        <v>100070163</v>
      </c>
      <c r="B695" s="4">
        <v>7</v>
      </c>
      <c r="D695" s="4">
        <v>1</v>
      </c>
      <c r="E695" s="4" t="s">
        <v>1804</v>
      </c>
      <c r="F695" s="4">
        <v>70161</v>
      </c>
      <c r="H695" s="4">
        <f t="shared" si="2"/>
        <v>100070164</v>
      </c>
      <c r="I695" s="4" t="s">
        <v>1894</v>
      </c>
      <c r="L695" s="4" t="s">
        <v>1895</v>
      </c>
      <c r="O695" s="38">
        <v>11041</v>
      </c>
      <c r="P695" s="38" t="s">
        <v>1890</v>
      </c>
      <c r="R695" s="50">
        <v>1</v>
      </c>
      <c r="V695" s="50">
        <v>76007</v>
      </c>
      <c r="AA695" s="4" t="s">
        <v>1896</v>
      </c>
    </row>
    <row r="696" spans="1:27">
      <c r="A696" s="4">
        <v>100070164</v>
      </c>
      <c r="B696" s="4">
        <v>7</v>
      </c>
      <c r="D696" s="4">
        <v>1</v>
      </c>
      <c r="E696" s="4" t="s">
        <v>1804</v>
      </c>
      <c r="F696" s="4">
        <v>70161</v>
      </c>
      <c r="H696" s="4">
        <f t="shared" si="2"/>
        <v>100070165</v>
      </c>
      <c r="I696" s="4" t="s">
        <v>1897</v>
      </c>
      <c r="L696" s="4" t="s">
        <v>1813</v>
      </c>
      <c r="O696" s="38">
        <v>11041</v>
      </c>
      <c r="P696" s="38" t="s">
        <v>1890</v>
      </c>
      <c r="R696" s="50">
        <v>1</v>
      </c>
      <c r="V696" s="50">
        <v>76007</v>
      </c>
      <c r="AA696" s="4" t="s">
        <v>1898</v>
      </c>
    </row>
    <row r="697" spans="1:27">
      <c r="A697" s="4">
        <v>100070165</v>
      </c>
      <c r="B697" s="4">
        <v>7</v>
      </c>
      <c r="D697" s="4">
        <v>1</v>
      </c>
      <c r="E697" s="4" t="s">
        <v>1804</v>
      </c>
      <c r="F697" s="4">
        <v>70161</v>
      </c>
      <c r="H697" s="4">
        <f t="shared" si="2"/>
        <v>100070166</v>
      </c>
      <c r="I697" s="4" t="s">
        <v>1899</v>
      </c>
      <c r="L697" s="4" t="s">
        <v>1900</v>
      </c>
      <c r="O697" s="38">
        <v>11041</v>
      </c>
      <c r="P697" s="38" t="s">
        <v>1890</v>
      </c>
      <c r="R697" s="50">
        <v>1</v>
      </c>
      <c r="V697" s="50">
        <v>76007</v>
      </c>
      <c r="AA697" s="4" t="s">
        <v>1901</v>
      </c>
    </row>
    <row r="698" spans="1:27">
      <c r="A698" s="4">
        <v>100070166</v>
      </c>
      <c r="B698" s="4">
        <v>7</v>
      </c>
      <c r="D698" s="4">
        <v>1</v>
      </c>
      <c r="E698" s="4" t="s">
        <v>1804</v>
      </c>
      <c r="F698" s="4">
        <v>70161</v>
      </c>
      <c r="H698" s="4">
        <f t="shared" si="2"/>
        <v>100070167</v>
      </c>
      <c r="I698" s="4" t="s">
        <v>1902</v>
      </c>
      <c r="L698" s="4" t="s">
        <v>1903</v>
      </c>
      <c r="O698" s="38">
        <v>11041</v>
      </c>
      <c r="P698" s="38" t="s">
        <v>1890</v>
      </c>
      <c r="R698" s="50">
        <v>1</v>
      </c>
      <c r="V698" s="50">
        <v>76007</v>
      </c>
      <c r="AA698" s="4" t="s">
        <v>1904</v>
      </c>
    </row>
    <row r="699" spans="1:27">
      <c r="A699" s="4">
        <v>100070167</v>
      </c>
      <c r="B699" s="4">
        <v>7</v>
      </c>
      <c r="D699" s="4">
        <v>1</v>
      </c>
      <c r="E699" s="4" t="s">
        <v>1804</v>
      </c>
      <c r="F699" s="4">
        <v>70161</v>
      </c>
      <c r="H699" s="4">
        <f t="shared" si="2"/>
        <v>100070168</v>
      </c>
      <c r="I699" s="4" t="s">
        <v>1905</v>
      </c>
      <c r="L699" s="4" t="s">
        <v>1906</v>
      </c>
      <c r="O699" s="38">
        <v>11041</v>
      </c>
      <c r="P699" s="38" t="s">
        <v>1890</v>
      </c>
      <c r="R699" s="50">
        <v>1</v>
      </c>
      <c r="V699" s="50">
        <v>76007</v>
      </c>
      <c r="AA699" s="4" t="s">
        <v>1907</v>
      </c>
    </row>
    <row r="700" spans="1:27">
      <c r="A700" s="4">
        <v>100070168</v>
      </c>
      <c r="B700" s="4">
        <v>7</v>
      </c>
      <c r="D700" s="4">
        <v>1</v>
      </c>
      <c r="E700" s="4" t="s">
        <v>1804</v>
      </c>
      <c r="F700" s="4">
        <v>70161</v>
      </c>
      <c r="I700" s="4" t="s">
        <v>1908</v>
      </c>
      <c r="L700" s="4" t="s">
        <v>1816</v>
      </c>
      <c r="O700" s="38">
        <v>11041</v>
      </c>
      <c r="P700" s="38" t="s">
        <v>1890</v>
      </c>
      <c r="R700" s="50">
        <v>1</v>
      </c>
      <c r="V700" s="50">
        <v>76007</v>
      </c>
      <c r="AA700" s="4" t="s">
        <v>1909</v>
      </c>
    </row>
    <row r="701" spans="1:27">
      <c r="A701" s="4">
        <v>100070171</v>
      </c>
      <c r="B701" s="4">
        <v>7</v>
      </c>
      <c r="D701" s="4">
        <v>1</v>
      </c>
      <c r="E701" s="4" t="s">
        <v>1804</v>
      </c>
      <c r="F701" s="4">
        <v>70171</v>
      </c>
      <c r="H701" s="4">
        <f>A702</f>
        <v>100070172</v>
      </c>
      <c r="I701" s="4" t="s">
        <v>1910</v>
      </c>
      <c r="L701" s="4" t="s">
        <v>1806</v>
      </c>
      <c r="O701" s="38">
        <v>11041</v>
      </c>
      <c r="P701" s="38" t="s">
        <v>1911</v>
      </c>
      <c r="R701" s="50">
        <v>1</v>
      </c>
      <c r="V701" s="50">
        <v>76008</v>
      </c>
      <c r="AA701" s="4" t="s">
        <v>1912</v>
      </c>
    </row>
    <row r="702" spans="1:27">
      <c r="A702" s="4">
        <v>100070172</v>
      </c>
      <c r="B702" s="4">
        <v>7</v>
      </c>
      <c r="D702" s="4">
        <v>1</v>
      </c>
      <c r="E702" s="4" t="s">
        <v>1804</v>
      </c>
      <c r="F702" s="4">
        <v>70171</v>
      </c>
      <c r="H702" s="4">
        <f t="shared" ref="H702:H711" si="3">A703</f>
        <v>100070173</v>
      </c>
      <c r="I702" s="4" t="s">
        <v>1913</v>
      </c>
      <c r="L702" s="4" t="s">
        <v>1810</v>
      </c>
      <c r="O702" s="38">
        <v>11041</v>
      </c>
      <c r="P702" s="38" t="s">
        <v>1911</v>
      </c>
      <c r="R702" s="50">
        <v>1</v>
      </c>
      <c r="V702" s="50">
        <v>76008</v>
      </c>
      <c r="AA702" s="4" t="s">
        <v>1914</v>
      </c>
    </row>
    <row r="703" spans="1:27">
      <c r="A703" s="4">
        <v>100070173</v>
      </c>
      <c r="B703" s="4">
        <v>7</v>
      </c>
      <c r="D703" s="4">
        <v>1</v>
      </c>
      <c r="E703" s="4" t="s">
        <v>1804</v>
      </c>
      <c r="F703" s="4">
        <v>70171</v>
      </c>
      <c r="H703" s="4">
        <f t="shared" si="3"/>
        <v>100070174</v>
      </c>
      <c r="I703" s="4" t="s">
        <v>1915</v>
      </c>
      <c r="L703" s="4" t="s">
        <v>1813</v>
      </c>
      <c r="O703" s="38">
        <v>11041</v>
      </c>
      <c r="P703" s="38" t="s">
        <v>1911</v>
      </c>
      <c r="R703" s="50">
        <v>1</v>
      </c>
      <c r="V703" s="50">
        <v>76008</v>
      </c>
      <c r="AA703" s="4" t="s">
        <v>1916</v>
      </c>
    </row>
    <row r="704" spans="1:27">
      <c r="A704" s="4">
        <v>100070174</v>
      </c>
      <c r="B704" s="4">
        <v>7</v>
      </c>
      <c r="D704" s="4">
        <v>1</v>
      </c>
      <c r="E704" s="4" t="s">
        <v>1804</v>
      </c>
      <c r="F704" s="4">
        <v>70171</v>
      </c>
      <c r="H704" s="4">
        <f t="shared" si="3"/>
        <v>100070175</v>
      </c>
      <c r="I704" s="4" t="s">
        <v>1917</v>
      </c>
      <c r="L704" s="4" t="s">
        <v>1816</v>
      </c>
      <c r="O704" s="38">
        <v>11041</v>
      </c>
      <c r="P704" s="38" t="s">
        <v>1911</v>
      </c>
      <c r="R704" s="50">
        <v>1</v>
      </c>
      <c r="V704" s="50">
        <v>76008</v>
      </c>
      <c r="AA704" s="4" t="s">
        <v>1918</v>
      </c>
    </row>
    <row r="705" spans="1:27">
      <c r="A705" s="4">
        <v>100070175</v>
      </c>
      <c r="B705" s="4">
        <v>7</v>
      </c>
      <c r="D705" s="4">
        <v>1</v>
      </c>
      <c r="E705" s="4" t="s">
        <v>1804</v>
      </c>
      <c r="F705" s="4">
        <v>70171</v>
      </c>
      <c r="H705" s="4">
        <f t="shared" si="3"/>
        <v>100070176</v>
      </c>
      <c r="I705" s="4" t="s">
        <v>1919</v>
      </c>
      <c r="L705" s="4" t="s">
        <v>1819</v>
      </c>
      <c r="O705" s="38">
        <v>11041</v>
      </c>
      <c r="P705" s="38" t="s">
        <v>1911</v>
      </c>
      <c r="R705" s="50">
        <v>1</v>
      </c>
      <c r="V705" s="50">
        <v>76008</v>
      </c>
      <c r="AA705" s="4" t="s">
        <v>1920</v>
      </c>
    </row>
    <row r="706" spans="1:27">
      <c r="A706" s="4">
        <v>100070176</v>
      </c>
      <c r="B706" s="4">
        <v>7</v>
      </c>
      <c r="D706" s="4">
        <v>1</v>
      </c>
      <c r="E706" s="4" t="s">
        <v>1804</v>
      </c>
      <c r="F706" s="4">
        <v>70171</v>
      </c>
      <c r="I706" s="4" t="s">
        <v>1921</v>
      </c>
      <c r="L706" s="4" t="s">
        <v>1822</v>
      </c>
      <c r="O706" s="38">
        <v>11041</v>
      </c>
      <c r="P706" s="38" t="s">
        <v>1911</v>
      </c>
      <c r="R706" s="50">
        <v>1</v>
      </c>
      <c r="V706" s="50">
        <v>76008</v>
      </c>
      <c r="AA706" s="4" t="s">
        <v>1922</v>
      </c>
    </row>
    <row r="707" spans="1:27">
      <c r="A707" s="4">
        <v>100070201</v>
      </c>
      <c r="B707" s="4">
        <v>7</v>
      </c>
      <c r="C707" s="4" t="s">
        <v>1803</v>
      </c>
      <c r="D707" s="4">
        <v>2</v>
      </c>
      <c r="E707" s="4" t="s">
        <v>1923</v>
      </c>
      <c r="F707" s="4">
        <v>70201</v>
      </c>
      <c r="H707" s="4">
        <f t="shared" si="3"/>
        <v>100070202</v>
      </c>
      <c r="I707" s="4" t="s">
        <v>1924</v>
      </c>
      <c r="L707" s="4" t="s">
        <v>1806</v>
      </c>
      <c r="O707" s="38">
        <v>3202</v>
      </c>
      <c r="P707" s="60" t="s">
        <v>1807</v>
      </c>
      <c r="R707" s="50">
        <v>1</v>
      </c>
      <c r="V707" s="59">
        <v>76001</v>
      </c>
      <c r="AA707" s="4" t="s">
        <v>1925</v>
      </c>
    </row>
    <row r="708" spans="1:27">
      <c r="A708" s="4">
        <v>100070202</v>
      </c>
      <c r="B708" s="4">
        <v>7</v>
      </c>
      <c r="C708" s="4" t="s">
        <v>1803</v>
      </c>
      <c r="D708" s="4">
        <v>2</v>
      </c>
      <c r="E708" s="4" t="s">
        <v>1923</v>
      </c>
      <c r="F708" s="4">
        <v>70201</v>
      </c>
      <c r="H708" s="4">
        <f t="shared" si="3"/>
        <v>100070203</v>
      </c>
      <c r="I708" s="4" t="s">
        <v>1926</v>
      </c>
      <c r="L708" s="4" t="s">
        <v>1810</v>
      </c>
      <c r="O708" s="38">
        <v>3202</v>
      </c>
      <c r="P708" s="60" t="s">
        <v>1807</v>
      </c>
      <c r="R708" s="50">
        <v>1</v>
      </c>
      <c r="V708" s="59">
        <v>76001</v>
      </c>
      <c r="AA708" s="4" t="s">
        <v>1927</v>
      </c>
    </row>
    <row r="709" spans="1:27">
      <c r="A709" s="4">
        <v>100070203</v>
      </c>
      <c r="B709" s="4">
        <v>7</v>
      </c>
      <c r="C709" s="4" t="s">
        <v>1803</v>
      </c>
      <c r="D709" s="4">
        <v>2</v>
      </c>
      <c r="E709" s="4" t="s">
        <v>1923</v>
      </c>
      <c r="F709" s="4">
        <v>70201</v>
      </c>
      <c r="H709" s="4">
        <f t="shared" si="3"/>
        <v>100070204</v>
      </c>
      <c r="I709" s="4" t="s">
        <v>1928</v>
      </c>
      <c r="L709" s="4" t="s">
        <v>1813</v>
      </c>
      <c r="O709" s="38">
        <v>3202</v>
      </c>
      <c r="P709" s="60" t="s">
        <v>1807</v>
      </c>
      <c r="R709" s="50">
        <v>1</v>
      </c>
      <c r="V709" s="59">
        <v>76001</v>
      </c>
      <c r="AA709" s="4" t="s">
        <v>1929</v>
      </c>
    </row>
    <row r="710" spans="1:27">
      <c r="A710" s="4">
        <v>100070204</v>
      </c>
      <c r="B710" s="4">
        <v>7</v>
      </c>
      <c r="C710" s="4" t="s">
        <v>1803</v>
      </c>
      <c r="D710" s="4">
        <v>2</v>
      </c>
      <c r="E710" s="4" t="s">
        <v>1923</v>
      </c>
      <c r="F710" s="4">
        <v>70201</v>
      </c>
      <c r="H710" s="4">
        <f t="shared" si="3"/>
        <v>100070205</v>
      </c>
      <c r="I710" s="4" t="s">
        <v>1930</v>
      </c>
      <c r="L710" s="4" t="s">
        <v>1816</v>
      </c>
      <c r="O710" s="38">
        <v>3202</v>
      </c>
      <c r="P710" s="60" t="s">
        <v>1807</v>
      </c>
      <c r="R710" s="50">
        <v>1</v>
      </c>
      <c r="V710" s="59">
        <v>76001</v>
      </c>
      <c r="AA710" s="4" t="s">
        <v>1931</v>
      </c>
    </row>
    <row r="711" spans="1:27">
      <c r="A711" s="4">
        <v>100070205</v>
      </c>
      <c r="B711" s="4">
        <v>7</v>
      </c>
      <c r="C711" s="4" t="s">
        <v>1803</v>
      </c>
      <c r="D711" s="4">
        <v>2</v>
      </c>
      <c r="E711" s="4" t="s">
        <v>1923</v>
      </c>
      <c r="F711" s="4">
        <v>70201</v>
      </c>
      <c r="H711" s="4">
        <f t="shared" si="3"/>
        <v>100070206</v>
      </c>
      <c r="I711" s="4" t="s">
        <v>1932</v>
      </c>
      <c r="L711" s="4" t="s">
        <v>1819</v>
      </c>
      <c r="O711" s="38">
        <v>3202</v>
      </c>
      <c r="P711" s="60" t="s">
        <v>1807</v>
      </c>
      <c r="R711" s="50">
        <v>1</v>
      </c>
      <c r="V711" s="59">
        <v>76001</v>
      </c>
      <c r="AA711" s="4" t="s">
        <v>1933</v>
      </c>
    </row>
    <row r="712" spans="1:27">
      <c r="A712" s="4">
        <v>100070206</v>
      </c>
      <c r="B712" s="4">
        <v>7</v>
      </c>
      <c r="C712" s="4" t="s">
        <v>1803</v>
      </c>
      <c r="D712" s="4">
        <v>2</v>
      </c>
      <c r="E712" s="4" t="s">
        <v>1923</v>
      </c>
      <c r="F712" s="4">
        <v>70201</v>
      </c>
      <c r="I712" s="4" t="s">
        <v>1934</v>
      </c>
      <c r="L712" s="4" t="s">
        <v>1822</v>
      </c>
      <c r="O712" s="38">
        <v>3202</v>
      </c>
      <c r="P712" s="60" t="s">
        <v>1807</v>
      </c>
      <c r="R712" s="50">
        <v>1</v>
      </c>
      <c r="V712" s="59">
        <v>76001</v>
      </c>
      <c r="AA712" s="4" t="s">
        <v>1935</v>
      </c>
    </row>
    <row r="713" spans="1:27">
      <c r="A713" s="4">
        <v>100070211</v>
      </c>
      <c r="B713" s="4">
        <v>7</v>
      </c>
      <c r="D713" s="4">
        <v>2</v>
      </c>
      <c r="E713" s="4" t="s">
        <v>1923</v>
      </c>
      <c r="F713" s="4">
        <v>70211</v>
      </c>
      <c r="H713" s="4">
        <f t="shared" ref="H713:H717" si="4">A714</f>
        <v>100070212</v>
      </c>
      <c r="I713" s="4" t="s">
        <v>1936</v>
      </c>
      <c r="L713" s="4" t="s">
        <v>1806</v>
      </c>
      <c r="O713" s="38">
        <v>3302</v>
      </c>
      <c r="P713" s="60" t="s">
        <v>1825</v>
      </c>
      <c r="R713" s="50">
        <v>1</v>
      </c>
      <c r="V713" s="50">
        <v>76002</v>
      </c>
      <c r="AA713" s="4" t="s">
        <v>1937</v>
      </c>
    </row>
    <row r="714" spans="1:27">
      <c r="A714" s="4">
        <v>100070212</v>
      </c>
      <c r="B714" s="4">
        <v>7</v>
      </c>
      <c r="D714" s="4">
        <v>2</v>
      </c>
      <c r="E714" s="4" t="s">
        <v>1923</v>
      </c>
      <c r="F714" s="4">
        <v>70211</v>
      </c>
      <c r="H714" s="4">
        <f t="shared" si="4"/>
        <v>100070213</v>
      </c>
      <c r="I714" s="4" t="s">
        <v>1938</v>
      </c>
      <c r="L714" s="4" t="s">
        <v>1810</v>
      </c>
      <c r="O714" s="38">
        <v>3302</v>
      </c>
      <c r="P714" s="60" t="s">
        <v>1825</v>
      </c>
      <c r="R714" s="50">
        <v>1</v>
      </c>
      <c r="V714" s="50">
        <v>76002</v>
      </c>
      <c r="AA714" s="4" t="s">
        <v>1939</v>
      </c>
    </row>
    <row r="715" spans="1:27">
      <c r="A715" s="4">
        <v>100070213</v>
      </c>
      <c r="B715" s="4">
        <v>7</v>
      </c>
      <c r="D715" s="4">
        <v>2</v>
      </c>
      <c r="E715" s="4" t="s">
        <v>1923</v>
      </c>
      <c r="F715" s="4">
        <v>70211</v>
      </c>
      <c r="H715" s="4">
        <f t="shared" si="4"/>
        <v>100070214</v>
      </c>
      <c r="I715" s="4" t="s">
        <v>1940</v>
      </c>
      <c r="L715" s="4" t="s">
        <v>1813</v>
      </c>
      <c r="O715" s="38">
        <v>3302</v>
      </c>
      <c r="P715" s="60" t="s">
        <v>1825</v>
      </c>
      <c r="R715" s="50">
        <v>1</v>
      </c>
      <c r="V715" s="50">
        <v>76002</v>
      </c>
      <c r="AA715" s="4" t="s">
        <v>1941</v>
      </c>
    </row>
    <row r="716" spans="1:27">
      <c r="A716" s="4">
        <v>100070214</v>
      </c>
      <c r="B716" s="4">
        <v>7</v>
      </c>
      <c r="D716" s="4">
        <v>2</v>
      </c>
      <c r="E716" s="4" t="s">
        <v>1923</v>
      </c>
      <c r="F716" s="4">
        <v>70211</v>
      </c>
      <c r="H716" s="4">
        <f t="shared" si="4"/>
        <v>100070215</v>
      </c>
      <c r="I716" s="4" t="s">
        <v>1942</v>
      </c>
      <c r="L716" s="4" t="s">
        <v>1816</v>
      </c>
      <c r="O716" s="38">
        <v>3302</v>
      </c>
      <c r="P716" s="60" t="s">
        <v>1825</v>
      </c>
      <c r="R716" s="50">
        <v>1</v>
      </c>
      <c r="V716" s="50">
        <v>76002</v>
      </c>
      <c r="AA716" s="4" t="s">
        <v>1943</v>
      </c>
    </row>
    <row r="717" spans="1:27">
      <c r="A717" s="4">
        <v>100070215</v>
      </c>
      <c r="B717" s="4">
        <v>7</v>
      </c>
      <c r="D717" s="4">
        <v>2</v>
      </c>
      <c r="E717" s="4" t="s">
        <v>1923</v>
      </c>
      <c r="F717" s="4">
        <v>70211</v>
      </c>
      <c r="H717" s="4">
        <f t="shared" si="4"/>
        <v>100070216</v>
      </c>
      <c r="I717" s="4" t="s">
        <v>1944</v>
      </c>
      <c r="L717" s="4" t="s">
        <v>1819</v>
      </c>
      <c r="O717" s="38">
        <v>3302</v>
      </c>
      <c r="P717" s="60" t="s">
        <v>1825</v>
      </c>
      <c r="R717" s="50">
        <v>1</v>
      </c>
      <c r="V717" s="50">
        <v>76002</v>
      </c>
      <c r="AA717" s="4" t="s">
        <v>1945</v>
      </c>
    </row>
    <row r="718" spans="1:27">
      <c r="A718" s="4">
        <v>100070216</v>
      </c>
      <c r="B718" s="4">
        <v>7</v>
      </c>
      <c r="D718" s="4">
        <v>2</v>
      </c>
      <c r="E718" s="4" t="s">
        <v>1923</v>
      </c>
      <c r="F718" s="4">
        <v>70211</v>
      </c>
      <c r="I718" s="4" t="s">
        <v>1946</v>
      </c>
      <c r="L718" s="4" t="s">
        <v>1822</v>
      </c>
      <c r="O718" s="38">
        <v>3302</v>
      </c>
      <c r="P718" s="60" t="s">
        <v>1825</v>
      </c>
      <c r="R718" s="50">
        <v>1</v>
      </c>
      <c r="V718" s="50">
        <v>76002</v>
      </c>
      <c r="AA718" s="4" t="s">
        <v>1947</v>
      </c>
    </row>
    <row r="719" spans="1:27">
      <c r="A719" s="4">
        <v>100070221</v>
      </c>
      <c r="B719" s="4">
        <v>7</v>
      </c>
      <c r="D719" s="4">
        <v>2</v>
      </c>
      <c r="E719" s="4" t="s">
        <v>1923</v>
      </c>
      <c r="F719" s="4">
        <v>70221</v>
      </c>
      <c r="H719" s="4">
        <f t="shared" ref="H719:H723" si="5">A720</f>
        <v>100070222</v>
      </c>
      <c r="I719" s="4" t="s">
        <v>1948</v>
      </c>
      <c r="L719" s="4" t="s">
        <v>1806</v>
      </c>
      <c r="O719" s="38">
        <v>11042</v>
      </c>
      <c r="P719" s="60" t="s">
        <v>1838</v>
      </c>
      <c r="R719" s="50">
        <v>1</v>
      </c>
      <c r="V719" s="50">
        <v>76003</v>
      </c>
      <c r="AA719" s="4" t="s">
        <v>1949</v>
      </c>
    </row>
    <row r="720" spans="1:27">
      <c r="A720" s="4">
        <v>100070222</v>
      </c>
      <c r="B720" s="4">
        <v>7</v>
      </c>
      <c r="D720" s="4">
        <v>2</v>
      </c>
      <c r="E720" s="4" t="s">
        <v>1923</v>
      </c>
      <c r="F720" s="4">
        <v>70221</v>
      </c>
      <c r="H720" s="4">
        <f t="shared" si="5"/>
        <v>100070223</v>
      </c>
      <c r="I720" s="4" t="s">
        <v>1950</v>
      </c>
      <c r="L720" s="4" t="s">
        <v>1810</v>
      </c>
      <c r="O720" s="38">
        <v>11042</v>
      </c>
      <c r="P720" s="60" t="s">
        <v>1838</v>
      </c>
      <c r="R720" s="50">
        <v>1</v>
      </c>
      <c r="V720" s="50">
        <v>76003</v>
      </c>
      <c r="AA720" s="4" t="s">
        <v>1951</v>
      </c>
    </row>
    <row r="721" spans="1:27">
      <c r="A721" s="4">
        <v>100070223</v>
      </c>
      <c r="B721" s="4">
        <v>7</v>
      </c>
      <c r="D721" s="4">
        <v>2</v>
      </c>
      <c r="E721" s="4" t="s">
        <v>1923</v>
      </c>
      <c r="F721" s="4">
        <v>70221</v>
      </c>
      <c r="H721" s="4">
        <f t="shared" si="5"/>
        <v>100070224</v>
      </c>
      <c r="I721" s="4" t="s">
        <v>1952</v>
      </c>
      <c r="L721" s="4" t="s">
        <v>1813</v>
      </c>
      <c r="O721" s="38">
        <v>11042</v>
      </c>
      <c r="P721" s="60" t="s">
        <v>1838</v>
      </c>
      <c r="R721" s="50">
        <v>1</v>
      </c>
      <c r="V721" s="50">
        <v>76003</v>
      </c>
      <c r="AA721" s="4" t="s">
        <v>1953</v>
      </c>
    </row>
    <row r="722" spans="1:27">
      <c r="A722" s="4">
        <v>100070224</v>
      </c>
      <c r="B722" s="4">
        <v>7</v>
      </c>
      <c r="D722" s="4">
        <v>2</v>
      </c>
      <c r="E722" s="4" t="s">
        <v>1923</v>
      </c>
      <c r="F722" s="4">
        <v>70221</v>
      </c>
      <c r="H722" s="4">
        <f t="shared" si="5"/>
        <v>100070225</v>
      </c>
      <c r="I722" s="4" t="s">
        <v>1954</v>
      </c>
      <c r="L722" s="4" t="s">
        <v>1816</v>
      </c>
      <c r="O722" s="38">
        <v>11042</v>
      </c>
      <c r="P722" s="60" t="s">
        <v>1838</v>
      </c>
      <c r="R722" s="50">
        <v>1</v>
      </c>
      <c r="V722" s="50">
        <v>76003</v>
      </c>
      <c r="AA722" s="4" t="s">
        <v>1955</v>
      </c>
    </row>
    <row r="723" spans="1:27">
      <c r="A723" s="4">
        <v>100070225</v>
      </c>
      <c r="B723" s="4">
        <v>7</v>
      </c>
      <c r="D723" s="4">
        <v>2</v>
      </c>
      <c r="E723" s="4" t="s">
        <v>1923</v>
      </c>
      <c r="F723" s="4">
        <v>70221</v>
      </c>
      <c r="H723" s="4">
        <f t="shared" si="5"/>
        <v>100070226</v>
      </c>
      <c r="I723" s="4" t="s">
        <v>1956</v>
      </c>
      <c r="L723" s="4" t="s">
        <v>1819</v>
      </c>
      <c r="O723" s="38">
        <v>11042</v>
      </c>
      <c r="P723" s="60" t="s">
        <v>1838</v>
      </c>
      <c r="R723" s="50">
        <v>1</v>
      </c>
      <c r="V723" s="50">
        <v>76003</v>
      </c>
      <c r="AA723" s="4" t="s">
        <v>1957</v>
      </c>
    </row>
    <row r="724" spans="1:27">
      <c r="A724" s="4">
        <v>100070226</v>
      </c>
      <c r="B724" s="4">
        <v>7</v>
      </c>
      <c r="D724" s="4">
        <v>2</v>
      </c>
      <c r="E724" s="4" t="s">
        <v>1923</v>
      </c>
      <c r="F724" s="4">
        <v>70221</v>
      </c>
      <c r="I724" s="4" t="s">
        <v>1958</v>
      </c>
      <c r="L724" s="4" t="s">
        <v>1822</v>
      </c>
      <c r="O724" s="38">
        <v>11042</v>
      </c>
      <c r="P724" s="60" t="s">
        <v>1838</v>
      </c>
      <c r="R724" s="50">
        <v>1</v>
      </c>
      <c r="V724" s="50">
        <v>76003</v>
      </c>
      <c r="AA724" s="4" t="s">
        <v>1959</v>
      </c>
    </row>
    <row r="725" spans="1:27">
      <c r="A725" s="4">
        <v>100070231</v>
      </c>
      <c r="B725" s="4">
        <v>7</v>
      </c>
      <c r="D725" s="4">
        <v>2</v>
      </c>
      <c r="E725" s="4" t="s">
        <v>1923</v>
      </c>
      <c r="F725" s="4">
        <v>70231</v>
      </c>
      <c r="H725" s="4">
        <f t="shared" ref="H725:H729" si="6">A726</f>
        <v>100070232</v>
      </c>
      <c r="I725" s="4" t="s">
        <v>1960</v>
      </c>
      <c r="L725" s="4" t="s">
        <v>1806</v>
      </c>
      <c r="O725" s="38">
        <v>11042</v>
      </c>
      <c r="P725" s="60" t="s">
        <v>1851</v>
      </c>
      <c r="R725" s="50">
        <v>1</v>
      </c>
      <c r="V725" s="50">
        <v>76004</v>
      </c>
      <c r="AA725" s="4" t="s">
        <v>1961</v>
      </c>
    </row>
    <row r="726" spans="1:27">
      <c r="A726" s="4">
        <v>100070232</v>
      </c>
      <c r="B726" s="4">
        <v>7</v>
      </c>
      <c r="D726" s="4">
        <v>2</v>
      </c>
      <c r="E726" s="4" t="s">
        <v>1923</v>
      </c>
      <c r="F726" s="4">
        <v>70231</v>
      </c>
      <c r="H726" s="4">
        <f t="shared" si="6"/>
        <v>100070233</v>
      </c>
      <c r="I726" s="4" t="s">
        <v>1962</v>
      </c>
      <c r="L726" s="4" t="s">
        <v>1810</v>
      </c>
      <c r="O726" s="38">
        <v>11042</v>
      </c>
      <c r="P726" s="60" t="s">
        <v>1851</v>
      </c>
      <c r="R726" s="50">
        <v>1</v>
      </c>
      <c r="V726" s="50">
        <v>76004</v>
      </c>
      <c r="AA726" s="4" t="s">
        <v>1963</v>
      </c>
    </row>
    <row r="727" spans="1:27">
      <c r="A727" s="4">
        <v>100070233</v>
      </c>
      <c r="B727" s="4">
        <v>7</v>
      </c>
      <c r="D727" s="4">
        <v>2</v>
      </c>
      <c r="E727" s="4" t="s">
        <v>1923</v>
      </c>
      <c r="F727" s="4">
        <v>70231</v>
      </c>
      <c r="H727" s="4">
        <f t="shared" si="6"/>
        <v>100070234</v>
      </c>
      <c r="I727" s="4" t="s">
        <v>1964</v>
      </c>
      <c r="L727" s="4" t="s">
        <v>1813</v>
      </c>
      <c r="O727" s="38">
        <v>11042</v>
      </c>
      <c r="P727" s="60" t="s">
        <v>1851</v>
      </c>
      <c r="R727" s="50">
        <v>1</v>
      </c>
      <c r="V727" s="50">
        <v>76004</v>
      </c>
      <c r="AA727" s="4" t="s">
        <v>1965</v>
      </c>
    </row>
    <row r="728" spans="1:27">
      <c r="A728" s="4">
        <v>100070234</v>
      </c>
      <c r="B728" s="4">
        <v>7</v>
      </c>
      <c r="D728" s="4">
        <v>2</v>
      </c>
      <c r="E728" s="4" t="s">
        <v>1923</v>
      </c>
      <c r="F728" s="4">
        <v>70231</v>
      </c>
      <c r="H728" s="4">
        <f t="shared" si="6"/>
        <v>100070235</v>
      </c>
      <c r="I728" s="4" t="s">
        <v>1966</v>
      </c>
      <c r="L728" s="4" t="s">
        <v>1816</v>
      </c>
      <c r="O728" s="38">
        <v>11042</v>
      </c>
      <c r="P728" s="60" t="s">
        <v>1851</v>
      </c>
      <c r="R728" s="50">
        <v>1</v>
      </c>
      <c r="V728" s="50">
        <v>76004</v>
      </c>
      <c r="AA728" s="4" t="s">
        <v>1967</v>
      </c>
    </row>
    <row r="729" spans="1:27">
      <c r="A729" s="4">
        <v>100070235</v>
      </c>
      <c r="B729" s="4">
        <v>7</v>
      </c>
      <c r="D729" s="4">
        <v>2</v>
      </c>
      <c r="E729" s="4" t="s">
        <v>1923</v>
      </c>
      <c r="F729" s="4">
        <v>70231</v>
      </c>
      <c r="H729" s="4">
        <f t="shared" si="6"/>
        <v>100070236</v>
      </c>
      <c r="I729" s="4" t="s">
        <v>1968</v>
      </c>
      <c r="L729" s="4" t="s">
        <v>1819</v>
      </c>
      <c r="O729" s="38">
        <v>11042</v>
      </c>
      <c r="P729" s="60" t="s">
        <v>1851</v>
      </c>
      <c r="R729" s="50">
        <v>1</v>
      </c>
      <c r="V729" s="50">
        <v>76004</v>
      </c>
      <c r="AA729" s="4" t="s">
        <v>1969</v>
      </c>
    </row>
    <row r="730" spans="1:27">
      <c r="A730" s="4">
        <v>100070236</v>
      </c>
      <c r="B730" s="4">
        <v>7</v>
      </c>
      <c r="D730" s="4">
        <v>2</v>
      </c>
      <c r="E730" s="4" t="s">
        <v>1923</v>
      </c>
      <c r="F730" s="4">
        <v>70231</v>
      </c>
      <c r="I730" s="4" t="s">
        <v>1970</v>
      </c>
      <c r="L730" s="4" t="s">
        <v>1822</v>
      </c>
      <c r="O730" s="38">
        <v>11042</v>
      </c>
      <c r="P730" s="60" t="s">
        <v>1851</v>
      </c>
      <c r="R730" s="50">
        <v>1</v>
      </c>
      <c r="V730" s="50">
        <v>76004</v>
      </c>
      <c r="AA730" s="4" t="s">
        <v>1971</v>
      </c>
    </row>
    <row r="731" spans="1:27">
      <c r="A731" s="4">
        <v>100070241</v>
      </c>
      <c r="B731" s="4">
        <v>7</v>
      </c>
      <c r="D731" s="4">
        <v>2</v>
      </c>
      <c r="E731" s="4" t="s">
        <v>1923</v>
      </c>
      <c r="F731" s="4">
        <v>70241</v>
      </c>
      <c r="H731" s="4">
        <f t="shared" ref="H731:H735" si="7">A732</f>
        <v>100070242</v>
      </c>
      <c r="I731" s="4" t="s">
        <v>1972</v>
      </c>
      <c r="L731" s="4" t="s">
        <v>1806</v>
      </c>
      <c r="O731" s="38">
        <v>11042</v>
      </c>
      <c r="P731" s="60" t="s">
        <v>1864</v>
      </c>
      <c r="R731" s="50">
        <v>1</v>
      </c>
      <c r="V731" s="50">
        <v>76005</v>
      </c>
      <c r="AA731" s="4" t="s">
        <v>1973</v>
      </c>
    </row>
    <row r="732" spans="1:27">
      <c r="A732" s="4">
        <v>100070242</v>
      </c>
      <c r="B732" s="4">
        <v>7</v>
      </c>
      <c r="D732" s="4">
        <v>2</v>
      </c>
      <c r="E732" s="4" t="s">
        <v>1923</v>
      </c>
      <c r="F732" s="4">
        <v>70241</v>
      </c>
      <c r="H732" s="4">
        <f t="shared" si="7"/>
        <v>100070243</v>
      </c>
      <c r="I732" s="4" t="s">
        <v>1974</v>
      </c>
      <c r="L732" s="4" t="s">
        <v>1810</v>
      </c>
      <c r="O732" s="38">
        <v>11042</v>
      </c>
      <c r="P732" s="60" t="s">
        <v>1864</v>
      </c>
      <c r="R732" s="50">
        <v>1</v>
      </c>
      <c r="V732" s="50">
        <v>76005</v>
      </c>
      <c r="AA732" s="4" t="s">
        <v>1975</v>
      </c>
    </row>
    <row r="733" spans="1:27">
      <c r="A733" s="4">
        <v>100070243</v>
      </c>
      <c r="B733" s="4">
        <v>7</v>
      </c>
      <c r="D733" s="4">
        <v>2</v>
      </c>
      <c r="E733" s="4" t="s">
        <v>1923</v>
      </c>
      <c r="F733" s="4">
        <v>70241</v>
      </c>
      <c r="H733" s="4">
        <f t="shared" si="7"/>
        <v>100070244</v>
      </c>
      <c r="I733" s="4" t="s">
        <v>1976</v>
      </c>
      <c r="L733" s="4" t="s">
        <v>1813</v>
      </c>
      <c r="O733" s="38">
        <v>11042</v>
      </c>
      <c r="P733" s="60" t="s">
        <v>1864</v>
      </c>
      <c r="R733" s="50">
        <v>1</v>
      </c>
      <c r="V733" s="50">
        <v>76005</v>
      </c>
      <c r="AA733" s="4" t="s">
        <v>1977</v>
      </c>
    </row>
    <row r="734" spans="1:27">
      <c r="A734" s="4">
        <v>100070244</v>
      </c>
      <c r="B734" s="4">
        <v>7</v>
      </c>
      <c r="D734" s="4">
        <v>2</v>
      </c>
      <c r="E734" s="4" t="s">
        <v>1923</v>
      </c>
      <c r="F734" s="4">
        <v>70241</v>
      </c>
      <c r="H734" s="4">
        <f t="shared" si="7"/>
        <v>100070245</v>
      </c>
      <c r="I734" s="4" t="s">
        <v>1978</v>
      </c>
      <c r="L734" s="4" t="s">
        <v>1816</v>
      </c>
      <c r="O734" s="38">
        <v>11042</v>
      </c>
      <c r="P734" s="60" t="s">
        <v>1864</v>
      </c>
      <c r="R734" s="50">
        <v>1</v>
      </c>
      <c r="V734" s="50">
        <v>76005</v>
      </c>
      <c r="AA734" s="4" t="s">
        <v>1979</v>
      </c>
    </row>
    <row r="735" spans="1:27">
      <c r="A735" s="4">
        <v>100070245</v>
      </c>
      <c r="B735" s="4">
        <v>7</v>
      </c>
      <c r="D735" s="4">
        <v>2</v>
      </c>
      <c r="E735" s="4" t="s">
        <v>1923</v>
      </c>
      <c r="F735" s="4">
        <v>70241</v>
      </c>
      <c r="H735" s="4">
        <f t="shared" si="7"/>
        <v>100070246</v>
      </c>
      <c r="I735" s="4" t="s">
        <v>1980</v>
      </c>
      <c r="L735" s="4" t="s">
        <v>1819</v>
      </c>
      <c r="O735" s="38">
        <v>11042</v>
      </c>
      <c r="P735" s="60" t="s">
        <v>1864</v>
      </c>
      <c r="R735" s="50">
        <v>1</v>
      </c>
      <c r="V735" s="50">
        <v>76005</v>
      </c>
      <c r="AA735" s="4" t="s">
        <v>1981</v>
      </c>
    </row>
    <row r="736" spans="1:27">
      <c r="A736" s="4">
        <v>100070246</v>
      </c>
      <c r="B736" s="4">
        <v>7</v>
      </c>
      <c r="D736" s="4">
        <v>2</v>
      </c>
      <c r="E736" s="4" t="s">
        <v>1923</v>
      </c>
      <c r="F736" s="4">
        <v>70241</v>
      </c>
      <c r="I736" s="4" t="s">
        <v>1982</v>
      </c>
      <c r="L736" s="4" t="s">
        <v>1822</v>
      </c>
      <c r="O736" s="38">
        <v>11042</v>
      </c>
      <c r="P736" s="60" t="s">
        <v>1864</v>
      </c>
      <c r="R736" s="50">
        <v>1</v>
      </c>
      <c r="V736" s="50">
        <v>76005</v>
      </c>
      <c r="AA736" s="4" t="s">
        <v>1983</v>
      </c>
    </row>
    <row r="737" spans="1:27">
      <c r="A737" s="4">
        <v>100070251</v>
      </c>
      <c r="B737" s="4">
        <v>7</v>
      </c>
      <c r="D737" s="4">
        <v>2</v>
      </c>
      <c r="E737" s="4" t="s">
        <v>1923</v>
      </c>
      <c r="F737" s="4">
        <v>70251</v>
      </c>
      <c r="H737" s="4">
        <f t="shared" ref="H737:H741" si="8">A738</f>
        <v>100070252</v>
      </c>
      <c r="I737" s="4" t="s">
        <v>1984</v>
      </c>
      <c r="L737" s="4" t="s">
        <v>1806</v>
      </c>
      <c r="O737" s="38">
        <v>11042</v>
      </c>
      <c r="P737" s="60" t="s">
        <v>1877</v>
      </c>
      <c r="R737" s="50">
        <v>1</v>
      </c>
      <c r="V737" s="50">
        <v>76006</v>
      </c>
      <c r="AA737" s="4" t="s">
        <v>1985</v>
      </c>
    </row>
    <row r="738" spans="1:27">
      <c r="A738" s="4">
        <v>100070252</v>
      </c>
      <c r="B738" s="4">
        <v>7</v>
      </c>
      <c r="D738" s="4">
        <v>2</v>
      </c>
      <c r="E738" s="4" t="s">
        <v>1923</v>
      </c>
      <c r="F738" s="4">
        <v>70251</v>
      </c>
      <c r="H738" s="4">
        <f t="shared" si="8"/>
        <v>100070253</v>
      </c>
      <c r="I738" s="4" t="s">
        <v>1986</v>
      </c>
      <c r="L738" s="4" t="s">
        <v>1810</v>
      </c>
      <c r="O738" s="38">
        <v>11042</v>
      </c>
      <c r="P738" s="60" t="s">
        <v>1877</v>
      </c>
      <c r="R738" s="50">
        <v>1</v>
      </c>
      <c r="V738" s="50">
        <v>76006</v>
      </c>
      <c r="AA738" s="4" t="s">
        <v>1987</v>
      </c>
    </row>
    <row r="739" spans="1:27">
      <c r="A739" s="4">
        <v>100070253</v>
      </c>
      <c r="B739" s="4">
        <v>7</v>
      </c>
      <c r="D739" s="4">
        <v>2</v>
      </c>
      <c r="E739" s="4" t="s">
        <v>1923</v>
      </c>
      <c r="F739" s="4">
        <v>70251</v>
      </c>
      <c r="H739" s="4">
        <f t="shared" si="8"/>
        <v>100070254</v>
      </c>
      <c r="I739" s="4" t="s">
        <v>1988</v>
      </c>
      <c r="L739" s="4" t="s">
        <v>1813</v>
      </c>
      <c r="O739" s="38">
        <v>11042</v>
      </c>
      <c r="P739" s="60" t="s">
        <v>1877</v>
      </c>
      <c r="R739" s="50">
        <v>1</v>
      </c>
      <c r="V739" s="50">
        <v>76006</v>
      </c>
      <c r="AA739" s="4" t="s">
        <v>1989</v>
      </c>
    </row>
    <row r="740" spans="1:27">
      <c r="A740" s="4">
        <v>100070254</v>
      </c>
      <c r="B740" s="4">
        <v>7</v>
      </c>
      <c r="D740" s="4">
        <v>2</v>
      </c>
      <c r="E740" s="4" t="s">
        <v>1923</v>
      </c>
      <c r="F740" s="4">
        <v>70251</v>
      </c>
      <c r="H740" s="4">
        <f t="shared" si="8"/>
        <v>100070255</v>
      </c>
      <c r="I740" s="4" t="s">
        <v>1990</v>
      </c>
      <c r="L740" s="4" t="s">
        <v>1816</v>
      </c>
      <c r="O740" s="38">
        <v>11042</v>
      </c>
      <c r="P740" s="60" t="s">
        <v>1877</v>
      </c>
      <c r="R740" s="50">
        <v>1</v>
      </c>
      <c r="V740" s="50">
        <v>76006</v>
      </c>
      <c r="AA740" s="4" t="s">
        <v>1991</v>
      </c>
    </row>
    <row r="741" spans="1:27">
      <c r="A741" s="4">
        <v>100070255</v>
      </c>
      <c r="B741" s="4">
        <v>7</v>
      </c>
      <c r="D741" s="4">
        <v>2</v>
      </c>
      <c r="E741" s="4" t="s">
        <v>1923</v>
      </c>
      <c r="F741" s="4">
        <v>70251</v>
      </c>
      <c r="H741" s="4">
        <f t="shared" si="8"/>
        <v>100070256</v>
      </c>
      <c r="I741" s="4" t="s">
        <v>1992</v>
      </c>
      <c r="L741" s="4" t="s">
        <v>1819</v>
      </c>
      <c r="O741" s="38">
        <v>11042</v>
      </c>
      <c r="P741" s="60" t="s">
        <v>1877</v>
      </c>
      <c r="R741" s="50">
        <v>1</v>
      </c>
      <c r="V741" s="50">
        <v>76006</v>
      </c>
      <c r="AA741" s="4" t="s">
        <v>1993</v>
      </c>
    </row>
    <row r="742" spans="1:27">
      <c r="A742" s="4">
        <v>100070256</v>
      </c>
      <c r="B742" s="4">
        <v>7</v>
      </c>
      <c r="D742" s="4">
        <v>2</v>
      </c>
      <c r="E742" s="4" t="s">
        <v>1923</v>
      </c>
      <c r="F742" s="4">
        <v>70251</v>
      </c>
      <c r="I742" s="4" t="s">
        <v>1994</v>
      </c>
      <c r="L742" s="4" t="s">
        <v>1822</v>
      </c>
      <c r="O742" s="38">
        <v>11042</v>
      </c>
      <c r="P742" s="60" t="s">
        <v>1877</v>
      </c>
      <c r="R742" s="50">
        <v>1</v>
      </c>
      <c r="V742" s="50">
        <v>76006</v>
      </c>
      <c r="AA742" s="4" t="s">
        <v>1995</v>
      </c>
    </row>
    <row r="743" spans="1:27">
      <c r="A743" s="4">
        <v>100070261</v>
      </c>
      <c r="B743" s="4">
        <v>7</v>
      </c>
      <c r="D743" s="4">
        <v>2</v>
      </c>
      <c r="E743" s="4" t="s">
        <v>1923</v>
      </c>
      <c r="F743" s="4">
        <v>70261</v>
      </c>
      <c r="H743" s="4">
        <f t="shared" ref="H743:H749" si="9">A744</f>
        <v>100070262</v>
      </c>
      <c r="I743" s="4" t="s">
        <v>1996</v>
      </c>
      <c r="L743" s="4" t="s">
        <v>1806</v>
      </c>
      <c r="O743" s="38">
        <v>11042</v>
      </c>
      <c r="P743" s="60" t="s">
        <v>1890</v>
      </c>
      <c r="R743" s="50">
        <v>1</v>
      </c>
      <c r="V743" s="50">
        <v>76007</v>
      </c>
      <c r="AA743" s="4" t="s">
        <v>1997</v>
      </c>
    </row>
    <row r="744" spans="1:27">
      <c r="A744" s="4">
        <v>100070262</v>
      </c>
      <c r="B744" s="4">
        <v>7</v>
      </c>
      <c r="D744" s="4">
        <v>2</v>
      </c>
      <c r="E744" s="4" t="s">
        <v>1923</v>
      </c>
      <c r="F744" s="4">
        <v>70261</v>
      </c>
      <c r="H744" s="4">
        <f t="shared" si="9"/>
        <v>100070263</v>
      </c>
      <c r="I744" s="4" t="s">
        <v>1998</v>
      </c>
      <c r="L744" s="4" t="s">
        <v>1810</v>
      </c>
      <c r="O744" s="38">
        <v>11042</v>
      </c>
      <c r="P744" s="60" t="s">
        <v>1890</v>
      </c>
      <c r="R744" s="50">
        <v>1</v>
      </c>
      <c r="V744" s="50">
        <v>76007</v>
      </c>
      <c r="AA744" s="4" t="s">
        <v>1999</v>
      </c>
    </row>
    <row r="745" spans="1:27">
      <c r="A745" s="4">
        <v>100070263</v>
      </c>
      <c r="B745" s="4">
        <v>7</v>
      </c>
      <c r="D745" s="4">
        <v>2</v>
      </c>
      <c r="E745" s="4" t="s">
        <v>1923</v>
      </c>
      <c r="F745" s="4">
        <v>70261</v>
      </c>
      <c r="H745" s="4">
        <f t="shared" si="9"/>
        <v>100070264</v>
      </c>
      <c r="I745" s="4" t="s">
        <v>2000</v>
      </c>
      <c r="L745" s="4" t="s">
        <v>1895</v>
      </c>
      <c r="O745" s="38">
        <v>11042</v>
      </c>
      <c r="P745" s="60" t="s">
        <v>1890</v>
      </c>
      <c r="R745" s="50">
        <v>1</v>
      </c>
      <c r="V745" s="50">
        <v>76007</v>
      </c>
      <c r="AA745" s="4" t="s">
        <v>2001</v>
      </c>
    </row>
    <row r="746" spans="1:27">
      <c r="A746" s="4">
        <v>100070264</v>
      </c>
      <c r="B746" s="4">
        <v>7</v>
      </c>
      <c r="D746" s="4">
        <v>2</v>
      </c>
      <c r="E746" s="4" t="s">
        <v>1923</v>
      </c>
      <c r="F746" s="4">
        <v>70261</v>
      </c>
      <c r="H746" s="4">
        <f t="shared" si="9"/>
        <v>100070265</v>
      </c>
      <c r="I746" s="4" t="s">
        <v>2002</v>
      </c>
      <c r="L746" s="4" t="s">
        <v>1813</v>
      </c>
      <c r="O746" s="38">
        <v>11042</v>
      </c>
      <c r="P746" s="60" t="s">
        <v>1890</v>
      </c>
      <c r="R746" s="50">
        <v>1</v>
      </c>
      <c r="V746" s="50">
        <v>76007</v>
      </c>
      <c r="AA746" s="4" t="s">
        <v>2003</v>
      </c>
    </row>
    <row r="747" spans="1:27">
      <c r="A747" s="4">
        <v>100070265</v>
      </c>
      <c r="B747" s="4">
        <v>7</v>
      </c>
      <c r="D747" s="4">
        <v>2</v>
      </c>
      <c r="E747" s="4" t="s">
        <v>1923</v>
      </c>
      <c r="F747" s="4">
        <v>70261</v>
      </c>
      <c r="H747" s="4">
        <f t="shared" si="9"/>
        <v>100070266</v>
      </c>
      <c r="I747" s="4" t="s">
        <v>2004</v>
      </c>
      <c r="L747" s="4" t="s">
        <v>1900</v>
      </c>
      <c r="O747" s="38">
        <v>11042</v>
      </c>
      <c r="P747" s="60" t="s">
        <v>1890</v>
      </c>
      <c r="R747" s="50">
        <v>1</v>
      </c>
      <c r="V747" s="50">
        <v>76007</v>
      </c>
      <c r="AA747" s="4" t="s">
        <v>2005</v>
      </c>
    </row>
    <row r="748" spans="1:27">
      <c r="A748" s="4">
        <v>100070266</v>
      </c>
      <c r="B748" s="4">
        <v>7</v>
      </c>
      <c r="D748" s="4">
        <v>2</v>
      </c>
      <c r="E748" s="4" t="s">
        <v>1923</v>
      </c>
      <c r="F748" s="4">
        <v>70261</v>
      </c>
      <c r="H748" s="4">
        <f t="shared" si="9"/>
        <v>100070267</v>
      </c>
      <c r="I748" s="4" t="s">
        <v>2006</v>
      </c>
      <c r="L748" s="4" t="s">
        <v>1903</v>
      </c>
      <c r="O748" s="38">
        <v>11042</v>
      </c>
      <c r="P748" s="60" t="s">
        <v>1890</v>
      </c>
      <c r="R748" s="50">
        <v>1</v>
      </c>
      <c r="V748" s="50">
        <v>76007</v>
      </c>
      <c r="AA748" s="4" t="s">
        <v>2007</v>
      </c>
    </row>
    <row r="749" spans="1:27">
      <c r="A749" s="4">
        <v>100070267</v>
      </c>
      <c r="B749" s="4">
        <v>7</v>
      </c>
      <c r="D749" s="4">
        <v>2</v>
      </c>
      <c r="E749" s="4" t="s">
        <v>1923</v>
      </c>
      <c r="F749" s="4">
        <v>70261</v>
      </c>
      <c r="H749" s="4">
        <f t="shared" si="9"/>
        <v>100070268</v>
      </c>
      <c r="I749" s="4" t="s">
        <v>2008</v>
      </c>
      <c r="L749" s="4" t="s">
        <v>1906</v>
      </c>
      <c r="O749" s="38">
        <v>11042</v>
      </c>
      <c r="P749" s="60" t="s">
        <v>1890</v>
      </c>
      <c r="R749" s="50">
        <v>1</v>
      </c>
      <c r="V749" s="50">
        <v>76007</v>
      </c>
      <c r="AA749" s="4" t="s">
        <v>2009</v>
      </c>
    </row>
    <row r="750" spans="1:27">
      <c r="A750" s="4">
        <v>100070268</v>
      </c>
      <c r="B750" s="4">
        <v>7</v>
      </c>
      <c r="D750" s="4">
        <v>2</v>
      </c>
      <c r="E750" s="4" t="s">
        <v>1923</v>
      </c>
      <c r="F750" s="4">
        <v>70261</v>
      </c>
      <c r="I750" s="4" t="s">
        <v>2010</v>
      </c>
      <c r="L750" s="4" t="s">
        <v>1816</v>
      </c>
      <c r="O750" s="38">
        <v>11042</v>
      </c>
      <c r="P750" s="60" t="s">
        <v>1890</v>
      </c>
      <c r="R750" s="50">
        <v>1</v>
      </c>
      <c r="V750" s="50">
        <v>76007</v>
      </c>
      <c r="AA750" s="4" t="s">
        <v>2011</v>
      </c>
    </row>
    <row r="751" spans="1:27">
      <c r="A751" s="4">
        <v>100070271</v>
      </c>
      <c r="B751" s="4">
        <v>7</v>
      </c>
      <c r="D751" s="4">
        <v>2</v>
      </c>
      <c r="E751" s="4" t="s">
        <v>1923</v>
      </c>
      <c r="F751" s="4">
        <v>70271</v>
      </c>
      <c r="H751" s="4">
        <f t="shared" ref="H751:H755" si="10">A752</f>
        <v>100070272</v>
      </c>
      <c r="I751" s="4" t="s">
        <v>2012</v>
      </c>
      <c r="L751" s="4" t="s">
        <v>1806</v>
      </c>
      <c r="O751" s="38">
        <v>11042</v>
      </c>
      <c r="P751" s="60" t="s">
        <v>1911</v>
      </c>
      <c r="R751" s="50">
        <v>1</v>
      </c>
      <c r="V751" s="50">
        <v>76008</v>
      </c>
      <c r="AA751" s="4" t="s">
        <v>2013</v>
      </c>
    </row>
    <row r="752" spans="1:27">
      <c r="A752" s="4">
        <v>100070272</v>
      </c>
      <c r="B752" s="4">
        <v>7</v>
      </c>
      <c r="D752" s="4">
        <v>2</v>
      </c>
      <c r="E752" s="4" t="s">
        <v>1923</v>
      </c>
      <c r="F752" s="4">
        <v>70271</v>
      </c>
      <c r="H752" s="4">
        <f t="shared" si="10"/>
        <v>100070273</v>
      </c>
      <c r="I752" s="4" t="s">
        <v>2014</v>
      </c>
      <c r="L752" s="4" t="s">
        <v>1810</v>
      </c>
      <c r="O752" s="38">
        <v>11042</v>
      </c>
      <c r="P752" s="60" t="s">
        <v>1911</v>
      </c>
      <c r="R752" s="50">
        <v>1</v>
      </c>
      <c r="V752" s="50">
        <v>76008</v>
      </c>
      <c r="AA752" s="4" t="s">
        <v>2015</v>
      </c>
    </row>
    <row r="753" spans="1:27">
      <c r="A753" s="4">
        <v>100070273</v>
      </c>
      <c r="B753" s="4">
        <v>7</v>
      </c>
      <c r="D753" s="4">
        <v>2</v>
      </c>
      <c r="E753" s="4" t="s">
        <v>1923</v>
      </c>
      <c r="F753" s="4">
        <v>70271</v>
      </c>
      <c r="H753" s="4">
        <f t="shared" si="10"/>
        <v>100070274</v>
      </c>
      <c r="I753" s="4" t="s">
        <v>2016</v>
      </c>
      <c r="L753" s="4" t="s">
        <v>1813</v>
      </c>
      <c r="O753" s="38">
        <v>11042</v>
      </c>
      <c r="P753" s="60" t="s">
        <v>1911</v>
      </c>
      <c r="R753" s="50">
        <v>1</v>
      </c>
      <c r="V753" s="50">
        <v>76008</v>
      </c>
      <c r="AA753" s="4" t="s">
        <v>2017</v>
      </c>
    </row>
    <row r="754" spans="1:27">
      <c r="A754" s="4">
        <v>100070274</v>
      </c>
      <c r="B754" s="4">
        <v>7</v>
      </c>
      <c r="D754" s="4">
        <v>2</v>
      </c>
      <c r="E754" s="4" t="s">
        <v>1923</v>
      </c>
      <c r="F754" s="4">
        <v>70271</v>
      </c>
      <c r="H754" s="4">
        <f t="shared" si="10"/>
        <v>100070275</v>
      </c>
      <c r="I754" s="4" t="s">
        <v>2018</v>
      </c>
      <c r="L754" s="4" t="s">
        <v>1816</v>
      </c>
      <c r="O754" s="38">
        <v>11042</v>
      </c>
      <c r="P754" s="60" t="s">
        <v>1911</v>
      </c>
      <c r="R754" s="50">
        <v>1</v>
      </c>
      <c r="V754" s="50">
        <v>76008</v>
      </c>
      <c r="AA754" s="4" t="s">
        <v>2019</v>
      </c>
    </row>
    <row r="755" spans="1:27">
      <c r="A755" s="4">
        <v>100070275</v>
      </c>
      <c r="B755" s="4">
        <v>7</v>
      </c>
      <c r="D755" s="4">
        <v>2</v>
      </c>
      <c r="E755" s="4" t="s">
        <v>1923</v>
      </c>
      <c r="F755" s="4">
        <v>70271</v>
      </c>
      <c r="H755" s="4">
        <f t="shared" si="10"/>
        <v>100070276</v>
      </c>
      <c r="I755" s="4" t="s">
        <v>2020</v>
      </c>
      <c r="L755" s="4" t="s">
        <v>1819</v>
      </c>
      <c r="O755" s="38">
        <v>11042</v>
      </c>
      <c r="P755" s="60" t="s">
        <v>1911</v>
      </c>
      <c r="R755" s="50">
        <v>1</v>
      </c>
      <c r="V755" s="50">
        <v>76008</v>
      </c>
      <c r="AA755" s="4" t="s">
        <v>2021</v>
      </c>
    </row>
    <row r="756" spans="1:27">
      <c r="A756" s="4">
        <v>100070276</v>
      </c>
      <c r="B756" s="4">
        <v>7</v>
      </c>
      <c r="D756" s="4">
        <v>2</v>
      </c>
      <c r="E756" s="4" t="s">
        <v>1923</v>
      </c>
      <c r="F756" s="4">
        <v>70271</v>
      </c>
      <c r="I756" s="4" t="s">
        <v>2022</v>
      </c>
      <c r="L756" s="4" t="s">
        <v>1822</v>
      </c>
      <c r="O756" s="38">
        <v>11042</v>
      </c>
      <c r="P756" s="60" t="s">
        <v>1911</v>
      </c>
      <c r="R756" s="50">
        <v>1</v>
      </c>
      <c r="V756" s="50">
        <v>76008</v>
      </c>
      <c r="AA756" s="4" t="s">
        <v>2023</v>
      </c>
    </row>
    <row r="757" spans="1:27">
      <c r="A757" s="4">
        <v>100070301</v>
      </c>
      <c r="B757" s="4">
        <v>7</v>
      </c>
      <c r="C757" s="4" t="s">
        <v>1803</v>
      </c>
      <c r="D757" s="4">
        <v>3</v>
      </c>
      <c r="E757" s="4" t="s">
        <v>108</v>
      </c>
      <c r="F757" s="4">
        <v>70301</v>
      </c>
      <c r="H757" s="4">
        <f t="shared" ref="H757:H761" si="11">A758</f>
        <v>100070302</v>
      </c>
      <c r="I757" s="4" t="s">
        <v>2024</v>
      </c>
      <c r="L757" s="4" t="s">
        <v>1806</v>
      </c>
      <c r="O757" s="38">
        <v>3205</v>
      </c>
      <c r="P757" s="38" t="s">
        <v>1807</v>
      </c>
      <c r="R757" s="50">
        <v>1</v>
      </c>
      <c r="V757" s="50">
        <v>76001</v>
      </c>
      <c r="AA757" s="4" t="s">
        <v>2025</v>
      </c>
    </row>
    <row r="758" spans="1:27">
      <c r="A758" s="4">
        <v>100070302</v>
      </c>
      <c r="B758" s="4">
        <v>7</v>
      </c>
      <c r="C758" s="4" t="s">
        <v>1803</v>
      </c>
      <c r="D758" s="4">
        <v>3</v>
      </c>
      <c r="E758" s="4" t="s">
        <v>108</v>
      </c>
      <c r="F758" s="4">
        <v>70301</v>
      </c>
      <c r="H758" s="4">
        <f t="shared" si="11"/>
        <v>100070303</v>
      </c>
      <c r="I758" s="4" t="s">
        <v>2026</v>
      </c>
      <c r="L758" s="4" t="s">
        <v>1810</v>
      </c>
      <c r="O758" s="38">
        <v>3205</v>
      </c>
      <c r="P758" s="38" t="s">
        <v>1807</v>
      </c>
      <c r="R758" s="50">
        <v>1</v>
      </c>
      <c r="V758" s="50">
        <v>76001</v>
      </c>
      <c r="AA758" s="4" t="s">
        <v>2027</v>
      </c>
    </row>
    <row r="759" spans="1:27">
      <c r="A759" s="4">
        <v>100070303</v>
      </c>
      <c r="B759" s="4">
        <v>7</v>
      </c>
      <c r="C759" s="4" t="s">
        <v>1803</v>
      </c>
      <c r="D759" s="4">
        <v>3</v>
      </c>
      <c r="E759" s="4" t="s">
        <v>108</v>
      </c>
      <c r="F759" s="4">
        <v>70301</v>
      </c>
      <c r="H759" s="4">
        <f t="shared" si="11"/>
        <v>100070304</v>
      </c>
      <c r="I759" s="4" t="s">
        <v>2028</v>
      </c>
      <c r="L759" s="4" t="s">
        <v>1813</v>
      </c>
      <c r="O759" s="38">
        <v>3205</v>
      </c>
      <c r="P759" s="38" t="s">
        <v>1807</v>
      </c>
      <c r="R759" s="50">
        <v>1</v>
      </c>
      <c r="V759" s="50">
        <v>76001</v>
      </c>
      <c r="AA759" s="4" t="s">
        <v>2029</v>
      </c>
    </row>
    <row r="760" spans="1:27">
      <c r="A760" s="4">
        <v>100070304</v>
      </c>
      <c r="B760" s="4">
        <v>7</v>
      </c>
      <c r="C760" s="4" t="s">
        <v>1803</v>
      </c>
      <c r="D760" s="4">
        <v>3</v>
      </c>
      <c r="E760" s="4" t="s">
        <v>108</v>
      </c>
      <c r="F760" s="4">
        <v>70301</v>
      </c>
      <c r="H760" s="4">
        <f t="shared" si="11"/>
        <v>100070305</v>
      </c>
      <c r="I760" s="4" t="s">
        <v>2030</v>
      </c>
      <c r="L760" s="4" t="s">
        <v>1816</v>
      </c>
      <c r="O760" s="38">
        <v>3205</v>
      </c>
      <c r="P760" s="38" t="s">
        <v>1807</v>
      </c>
      <c r="R760" s="50">
        <v>1</v>
      </c>
      <c r="V760" s="50">
        <v>76001</v>
      </c>
      <c r="AA760" s="4" t="s">
        <v>2031</v>
      </c>
    </row>
    <row r="761" spans="1:27">
      <c r="A761" s="4">
        <v>100070305</v>
      </c>
      <c r="B761" s="4">
        <v>7</v>
      </c>
      <c r="C761" s="4" t="s">
        <v>1803</v>
      </c>
      <c r="D761" s="4">
        <v>3</v>
      </c>
      <c r="E761" s="4" t="s">
        <v>108</v>
      </c>
      <c r="F761" s="4">
        <v>70301</v>
      </c>
      <c r="H761" s="4">
        <f t="shared" si="11"/>
        <v>100070306</v>
      </c>
      <c r="I761" s="4" t="s">
        <v>2032</v>
      </c>
      <c r="L761" s="4" t="s">
        <v>1819</v>
      </c>
      <c r="O761" s="38">
        <v>3205</v>
      </c>
      <c r="P761" s="38" t="s">
        <v>1807</v>
      </c>
      <c r="R761" s="50">
        <v>1</v>
      </c>
      <c r="V761" s="50">
        <v>76001</v>
      </c>
      <c r="AA761" s="4" t="s">
        <v>2033</v>
      </c>
    </row>
    <row r="762" spans="1:27">
      <c r="A762" s="4">
        <v>100070306</v>
      </c>
      <c r="B762" s="4">
        <v>7</v>
      </c>
      <c r="C762" s="4" t="s">
        <v>1803</v>
      </c>
      <c r="D762" s="4">
        <v>3</v>
      </c>
      <c r="E762" s="4" t="s">
        <v>108</v>
      </c>
      <c r="F762" s="4">
        <v>70301</v>
      </c>
      <c r="I762" s="4" t="s">
        <v>2034</v>
      </c>
      <c r="L762" s="4" t="s">
        <v>1822</v>
      </c>
      <c r="O762" s="38">
        <v>3205</v>
      </c>
      <c r="P762" s="38" t="s">
        <v>1807</v>
      </c>
      <c r="R762" s="50">
        <v>1</v>
      </c>
      <c r="V762" s="50">
        <v>76001</v>
      </c>
      <c r="AA762" s="4" t="s">
        <v>2035</v>
      </c>
    </row>
    <row r="763" spans="1:27">
      <c r="A763" s="4">
        <v>100070311</v>
      </c>
      <c r="B763" s="4">
        <v>7</v>
      </c>
      <c r="D763" s="4">
        <v>3</v>
      </c>
      <c r="E763" s="4" t="s">
        <v>108</v>
      </c>
      <c r="F763" s="4">
        <v>70311</v>
      </c>
      <c r="H763" s="4">
        <f t="shared" ref="H763:H767" si="12">A764</f>
        <v>100070312</v>
      </c>
      <c r="I763" s="4" t="s">
        <v>2036</v>
      </c>
      <c r="L763" s="4" t="s">
        <v>1806</v>
      </c>
      <c r="O763" s="38">
        <v>3308</v>
      </c>
      <c r="P763" s="38" t="s">
        <v>1825</v>
      </c>
      <c r="R763" s="50">
        <v>1</v>
      </c>
      <c r="V763" s="50">
        <v>76002</v>
      </c>
      <c r="AA763" s="4" t="s">
        <v>2037</v>
      </c>
    </row>
    <row r="764" spans="1:27">
      <c r="A764" s="4">
        <v>100070312</v>
      </c>
      <c r="B764" s="4">
        <v>7</v>
      </c>
      <c r="D764" s="4">
        <v>3</v>
      </c>
      <c r="E764" s="4" t="s">
        <v>108</v>
      </c>
      <c r="F764" s="4">
        <v>70311</v>
      </c>
      <c r="H764" s="4">
        <f t="shared" si="12"/>
        <v>100070313</v>
      </c>
      <c r="I764" s="4" t="s">
        <v>2038</v>
      </c>
      <c r="L764" s="4" t="s">
        <v>1810</v>
      </c>
      <c r="O764" s="38">
        <v>3308</v>
      </c>
      <c r="P764" s="38" t="s">
        <v>1825</v>
      </c>
      <c r="R764" s="50">
        <v>1</v>
      </c>
      <c r="V764" s="50">
        <v>76002</v>
      </c>
      <c r="AA764" s="4" t="s">
        <v>2039</v>
      </c>
    </row>
    <row r="765" spans="1:27">
      <c r="A765" s="4">
        <v>100070313</v>
      </c>
      <c r="B765" s="4">
        <v>7</v>
      </c>
      <c r="D765" s="4">
        <v>3</v>
      </c>
      <c r="E765" s="4" t="s">
        <v>108</v>
      </c>
      <c r="F765" s="4">
        <v>70311</v>
      </c>
      <c r="H765" s="4">
        <f t="shared" si="12"/>
        <v>100070314</v>
      </c>
      <c r="I765" s="4" t="s">
        <v>2040</v>
      </c>
      <c r="L765" s="4" t="s">
        <v>1813</v>
      </c>
      <c r="O765" s="38">
        <v>3308</v>
      </c>
      <c r="P765" s="38" t="s">
        <v>1825</v>
      </c>
      <c r="R765" s="50">
        <v>1</v>
      </c>
      <c r="V765" s="50">
        <v>76002</v>
      </c>
      <c r="AA765" s="4" t="s">
        <v>2041</v>
      </c>
    </row>
    <row r="766" spans="1:27">
      <c r="A766" s="4">
        <v>100070314</v>
      </c>
      <c r="B766" s="4">
        <v>7</v>
      </c>
      <c r="D766" s="4">
        <v>3</v>
      </c>
      <c r="E766" s="4" t="s">
        <v>108</v>
      </c>
      <c r="F766" s="4">
        <v>70311</v>
      </c>
      <c r="H766" s="4">
        <f t="shared" si="12"/>
        <v>100070315</v>
      </c>
      <c r="I766" s="4" t="s">
        <v>2042</v>
      </c>
      <c r="L766" s="4" t="s">
        <v>1816</v>
      </c>
      <c r="O766" s="38">
        <v>3308</v>
      </c>
      <c r="P766" s="38" t="s">
        <v>1825</v>
      </c>
      <c r="R766" s="50">
        <v>1</v>
      </c>
      <c r="V766" s="50">
        <v>76002</v>
      </c>
      <c r="AA766" s="4" t="s">
        <v>2043</v>
      </c>
    </row>
    <row r="767" spans="1:27">
      <c r="A767" s="4">
        <v>100070315</v>
      </c>
      <c r="B767" s="4">
        <v>7</v>
      </c>
      <c r="D767" s="4">
        <v>3</v>
      </c>
      <c r="E767" s="4" t="s">
        <v>108</v>
      </c>
      <c r="F767" s="4">
        <v>70311</v>
      </c>
      <c r="H767" s="4">
        <f t="shared" si="12"/>
        <v>100070316</v>
      </c>
      <c r="I767" s="4" t="s">
        <v>2044</v>
      </c>
      <c r="L767" s="4" t="s">
        <v>1819</v>
      </c>
      <c r="O767" s="38">
        <v>3308</v>
      </c>
      <c r="P767" s="38" t="s">
        <v>1825</v>
      </c>
      <c r="R767" s="50">
        <v>1</v>
      </c>
      <c r="V767" s="50">
        <v>76002</v>
      </c>
      <c r="AA767" s="4" t="s">
        <v>2045</v>
      </c>
    </row>
    <row r="768" spans="1:27">
      <c r="A768" s="4">
        <v>100070316</v>
      </c>
      <c r="B768" s="4">
        <v>7</v>
      </c>
      <c r="D768" s="4">
        <v>3</v>
      </c>
      <c r="E768" s="4" t="s">
        <v>108</v>
      </c>
      <c r="F768" s="4">
        <v>70311</v>
      </c>
      <c r="I768" s="4" t="s">
        <v>2046</v>
      </c>
      <c r="L768" s="4" t="s">
        <v>1822</v>
      </c>
      <c r="O768" s="38">
        <v>3308</v>
      </c>
      <c r="P768" s="38" t="s">
        <v>1825</v>
      </c>
      <c r="R768" s="50">
        <v>1</v>
      </c>
      <c r="V768" s="50">
        <v>76002</v>
      </c>
      <c r="AA768" s="4" t="s">
        <v>2047</v>
      </c>
    </row>
    <row r="769" spans="1:27">
      <c r="A769" s="4">
        <v>100070321</v>
      </c>
      <c r="B769" s="4">
        <v>7</v>
      </c>
      <c r="D769" s="4">
        <v>3</v>
      </c>
      <c r="E769" s="4" t="s">
        <v>108</v>
      </c>
      <c r="F769" s="4">
        <v>70321</v>
      </c>
      <c r="H769" s="4">
        <f t="shared" ref="H769:H773" si="13">A770</f>
        <v>100070322</v>
      </c>
      <c r="I769" s="4" t="s">
        <v>2048</v>
      </c>
      <c r="L769" s="4" t="s">
        <v>1806</v>
      </c>
      <c r="O769" s="38">
        <v>11003</v>
      </c>
      <c r="P769" s="38" t="s">
        <v>1838</v>
      </c>
      <c r="R769" s="50">
        <v>1</v>
      </c>
      <c r="V769" s="50">
        <v>76003</v>
      </c>
      <c r="AA769" s="4" t="s">
        <v>2049</v>
      </c>
    </row>
    <row r="770" spans="1:27">
      <c r="A770" s="4">
        <v>100070322</v>
      </c>
      <c r="B770" s="4">
        <v>7</v>
      </c>
      <c r="D770" s="4">
        <v>3</v>
      </c>
      <c r="E770" s="4" t="s">
        <v>108</v>
      </c>
      <c r="F770" s="4">
        <v>70321</v>
      </c>
      <c r="H770" s="4">
        <f t="shared" si="13"/>
        <v>100070323</v>
      </c>
      <c r="I770" s="4" t="s">
        <v>2050</v>
      </c>
      <c r="L770" s="4" t="s">
        <v>1810</v>
      </c>
      <c r="O770" s="38">
        <v>11003</v>
      </c>
      <c r="P770" s="38" t="s">
        <v>1838</v>
      </c>
      <c r="R770" s="50">
        <v>1</v>
      </c>
      <c r="V770" s="50">
        <v>76003</v>
      </c>
      <c r="AA770" s="4" t="s">
        <v>2051</v>
      </c>
    </row>
    <row r="771" spans="1:27">
      <c r="A771" s="4">
        <v>100070323</v>
      </c>
      <c r="B771" s="4">
        <v>7</v>
      </c>
      <c r="D771" s="4">
        <v>3</v>
      </c>
      <c r="E771" s="4" t="s">
        <v>108</v>
      </c>
      <c r="F771" s="4">
        <v>70321</v>
      </c>
      <c r="H771" s="4">
        <f t="shared" si="13"/>
        <v>100070324</v>
      </c>
      <c r="I771" s="4" t="s">
        <v>2052</v>
      </c>
      <c r="L771" s="4" t="s">
        <v>1813</v>
      </c>
      <c r="O771" s="38">
        <v>11003</v>
      </c>
      <c r="P771" s="38" t="s">
        <v>1838</v>
      </c>
      <c r="R771" s="50">
        <v>1</v>
      </c>
      <c r="V771" s="50">
        <v>76003</v>
      </c>
      <c r="AA771" s="4" t="s">
        <v>2053</v>
      </c>
    </row>
    <row r="772" spans="1:27">
      <c r="A772" s="4">
        <v>100070324</v>
      </c>
      <c r="B772" s="4">
        <v>7</v>
      </c>
      <c r="D772" s="4">
        <v>3</v>
      </c>
      <c r="E772" s="4" t="s">
        <v>108</v>
      </c>
      <c r="F772" s="4">
        <v>70321</v>
      </c>
      <c r="H772" s="4">
        <f t="shared" si="13"/>
        <v>100070325</v>
      </c>
      <c r="I772" s="4" t="s">
        <v>2054</v>
      </c>
      <c r="L772" s="4" t="s">
        <v>1816</v>
      </c>
      <c r="O772" s="38">
        <v>11003</v>
      </c>
      <c r="P772" s="38" t="s">
        <v>1838</v>
      </c>
      <c r="R772" s="50">
        <v>1</v>
      </c>
      <c r="V772" s="50">
        <v>76003</v>
      </c>
      <c r="AA772" s="4" t="s">
        <v>2055</v>
      </c>
    </row>
    <row r="773" spans="1:27">
      <c r="A773" s="4">
        <v>100070325</v>
      </c>
      <c r="B773" s="4">
        <v>7</v>
      </c>
      <c r="D773" s="4">
        <v>3</v>
      </c>
      <c r="E773" s="4" t="s">
        <v>108</v>
      </c>
      <c r="F773" s="4">
        <v>70321</v>
      </c>
      <c r="H773" s="4">
        <f t="shared" si="13"/>
        <v>100070326</v>
      </c>
      <c r="I773" s="4" t="s">
        <v>2056</v>
      </c>
      <c r="L773" s="4" t="s">
        <v>1819</v>
      </c>
      <c r="O773" s="38">
        <v>11003</v>
      </c>
      <c r="P773" s="38" t="s">
        <v>1838</v>
      </c>
      <c r="R773" s="50">
        <v>1</v>
      </c>
      <c r="V773" s="50">
        <v>76003</v>
      </c>
      <c r="AA773" s="4" t="s">
        <v>2057</v>
      </c>
    </row>
    <row r="774" spans="1:27">
      <c r="A774" s="4">
        <v>100070326</v>
      </c>
      <c r="B774" s="4">
        <v>7</v>
      </c>
      <c r="D774" s="4">
        <v>3</v>
      </c>
      <c r="E774" s="4" t="s">
        <v>108</v>
      </c>
      <c r="F774" s="4">
        <v>70321</v>
      </c>
      <c r="I774" s="4" t="s">
        <v>2058</v>
      </c>
      <c r="L774" s="4" t="s">
        <v>1822</v>
      </c>
      <c r="O774" s="38">
        <v>11003</v>
      </c>
      <c r="P774" s="38" t="s">
        <v>1838</v>
      </c>
      <c r="R774" s="50">
        <v>1</v>
      </c>
      <c r="V774" s="50">
        <v>76003</v>
      </c>
      <c r="AA774" s="4" t="s">
        <v>2059</v>
      </c>
    </row>
    <row r="775" spans="1:27">
      <c r="A775" s="4">
        <v>100070331</v>
      </c>
      <c r="B775" s="4">
        <v>7</v>
      </c>
      <c r="D775" s="4">
        <v>3</v>
      </c>
      <c r="E775" s="4" t="s">
        <v>108</v>
      </c>
      <c r="F775" s="4">
        <v>70331</v>
      </c>
      <c r="H775" s="4">
        <f t="shared" ref="H775:H779" si="14">A776</f>
        <v>100070332</v>
      </c>
      <c r="I775" s="4" t="s">
        <v>2060</v>
      </c>
      <c r="L775" s="4" t="s">
        <v>1806</v>
      </c>
      <c r="O775" s="38">
        <v>11003</v>
      </c>
      <c r="P775" s="38" t="s">
        <v>1851</v>
      </c>
      <c r="R775" s="50">
        <v>1</v>
      </c>
      <c r="V775" s="50">
        <v>76004</v>
      </c>
      <c r="AA775" s="4" t="s">
        <v>2061</v>
      </c>
    </row>
    <row r="776" spans="1:27">
      <c r="A776" s="4">
        <v>100070332</v>
      </c>
      <c r="B776" s="4">
        <v>7</v>
      </c>
      <c r="D776" s="4">
        <v>3</v>
      </c>
      <c r="E776" s="4" t="s">
        <v>108</v>
      </c>
      <c r="F776" s="4">
        <v>70331</v>
      </c>
      <c r="H776" s="4">
        <f t="shared" si="14"/>
        <v>100070333</v>
      </c>
      <c r="I776" s="4" t="s">
        <v>2062</v>
      </c>
      <c r="L776" s="4" t="s">
        <v>1810</v>
      </c>
      <c r="O776" s="38">
        <v>11003</v>
      </c>
      <c r="P776" s="38" t="s">
        <v>1851</v>
      </c>
      <c r="R776" s="50">
        <v>1</v>
      </c>
      <c r="V776" s="50">
        <v>76004</v>
      </c>
      <c r="AA776" s="4" t="s">
        <v>2063</v>
      </c>
    </row>
    <row r="777" spans="1:27">
      <c r="A777" s="4">
        <v>100070333</v>
      </c>
      <c r="B777" s="4">
        <v>7</v>
      </c>
      <c r="D777" s="4">
        <v>3</v>
      </c>
      <c r="E777" s="4" t="s">
        <v>108</v>
      </c>
      <c r="F777" s="4">
        <v>70331</v>
      </c>
      <c r="H777" s="4">
        <f t="shared" si="14"/>
        <v>100070334</v>
      </c>
      <c r="I777" s="4" t="s">
        <v>2064</v>
      </c>
      <c r="L777" s="4" t="s">
        <v>1813</v>
      </c>
      <c r="O777" s="38">
        <v>11003</v>
      </c>
      <c r="P777" s="38" t="s">
        <v>1851</v>
      </c>
      <c r="R777" s="50">
        <v>1</v>
      </c>
      <c r="V777" s="50">
        <v>76004</v>
      </c>
      <c r="AA777" s="4" t="s">
        <v>2065</v>
      </c>
    </row>
    <row r="778" spans="1:27">
      <c r="A778" s="4">
        <v>100070334</v>
      </c>
      <c r="B778" s="4">
        <v>7</v>
      </c>
      <c r="D778" s="4">
        <v>3</v>
      </c>
      <c r="E778" s="4" t="s">
        <v>108</v>
      </c>
      <c r="F778" s="4">
        <v>70331</v>
      </c>
      <c r="H778" s="4">
        <f t="shared" si="14"/>
        <v>100070335</v>
      </c>
      <c r="I778" s="4" t="s">
        <v>2066</v>
      </c>
      <c r="L778" s="4" t="s">
        <v>1816</v>
      </c>
      <c r="O778" s="38">
        <v>11003</v>
      </c>
      <c r="P778" s="38" t="s">
        <v>1851</v>
      </c>
      <c r="R778" s="50">
        <v>1</v>
      </c>
      <c r="V778" s="50">
        <v>76004</v>
      </c>
      <c r="AA778" s="4" t="s">
        <v>2067</v>
      </c>
    </row>
    <row r="779" spans="1:27">
      <c r="A779" s="4">
        <v>100070335</v>
      </c>
      <c r="B779" s="4">
        <v>7</v>
      </c>
      <c r="D779" s="4">
        <v>3</v>
      </c>
      <c r="E779" s="4" t="s">
        <v>108</v>
      </c>
      <c r="F779" s="4">
        <v>70331</v>
      </c>
      <c r="H779" s="4">
        <f t="shared" si="14"/>
        <v>100070336</v>
      </c>
      <c r="I779" s="4" t="s">
        <v>2068</v>
      </c>
      <c r="L779" s="4" t="s">
        <v>1819</v>
      </c>
      <c r="O779" s="38">
        <v>11003</v>
      </c>
      <c r="P779" s="38" t="s">
        <v>1851</v>
      </c>
      <c r="R779" s="50">
        <v>1</v>
      </c>
      <c r="V779" s="50">
        <v>76004</v>
      </c>
      <c r="AA779" s="4" t="s">
        <v>2069</v>
      </c>
    </row>
    <row r="780" spans="1:27">
      <c r="A780" s="4">
        <v>100070336</v>
      </c>
      <c r="B780" s="4">
        <v>7</v>
      </c>
      <c r="D780" s="4">
        <v>3</v>
      </c>
      <c r="E780" s="4" t="s">
        <v>108</v>
      </c>
      <c r="F780" s="4">
        <v>70331</v>
      </c>
      <c r="I780" s="4" t="s">
        <v>2070</v>
      </c>
      <c r="L780" s="4" t="s">
        <v>1822</v>
      </c>
      <c r="O780" s="38">
        <v>11003</v>
      </c>
      <c r="P780" s="38" t="s">
        <v>1851</v>
      </c>
      <c r="R780" s="50">
        <v>1</v>
      </c>
      <c r="V780" s="50">
        <v>76004</v>
      </c>
      <c r="AA780" s="4" t="s">
        <v>2071</v>
      </c>
    </row>
    <row r="781" spans="1:27">
      <c r="A781" s="4">
        <v>100070341</v>
      </c>
      <c r="B781" s="4">
        <v>7</v>
      </c>
      <c r="D781" s="4">
        <v>3</v>
      </c>
      <c r="E781" s="4" t="s">
        <v>108</v>
      </c>
      <c r="F781" s="4">
        <v>70341</v>
      </c>
      <c r="H781" s="4">
        <f t="shared" ref="H781:H785" si="15">A782</f>
        <v>100070342</v>
      </c>
      <c r="I781" s="4" t="s">
        <v>2072</v>
      </c>
      <c r="L781" s="4" t="s">
        <v>1806</v>
      </c>
      <c r="O781" s="38">
        <v>11003</v>
      </c>
      <c r="P781" s="38" t="s">
        <v>1911</v>
      </c>
      <c r="R781" s="50">
        <v>1</v>
      </c>
      <c r="V781" s="50">
        <v>76009</v>
      </c>
      <c r="AA781" s="4" t="s">
        <v>2073</v>
      </c>
    </row>
    <row r="782" spans="1:27">
      <c r="A782" s="4">
        <v>100070342</v>
      </c>
      <c r="B782" s="4">
        <v>7</v>
      </c>
      <c r="D782" s="4">
        <v>3</v>
      </c>
      <c r="E782" s="4" t="s">
        <v>108</v>
      </c>
      <c r="F782" s="4">
        <v>70341</v>
      </c>
      <c r="H782" s="4">
        <f t="shared" si="15"/>
        <v>100070343</v>
      </c>
      <c r="I782" s="4" t="s">
        <v>2074</v>
      </c>
      <c r="L782" s="4" t="s">
        <v>1810</v>
      </c>
      <c r="O782" s="38">
        <v>11003</v>
      </c>
      <c r="P782" s="38" t="s">
        <v>1911</v>
      </c>
      <c r="R782" s="50">
        <v>1</v>
      </c>
      <c r="V782" s="50">
        <v>76009</v>
      </c>
      <c r="AA782" s="4" t="s">
        <v>2075</v>
      </c>
    </row>
    <row r="783" spans="1:27">
      <c r="A783" s="4">
        <v>100070343</v>
      </c>
      <c r="B783" s="4">
        <v>7</v>
      </c>
      <c r="D783" s="4">
        <v>3</v>
      </c>
      <c r="E783" s="4" t="s">
        <v>108</v>
      </c>
      <c r="F783" s="4">
        <v>70341</v>
      </c>
      <c r="H783" s="4">
        <f t="shared" si="15"/>
        <v>100070344</v>
      </c>
      <c r="I783" s="4" t="s">
        <v>2076</v>
      </c>
      <c r="L783" s="4" t="s">
        <v>1813</v>
      </c>
      <c r="O783" s="38">
        <v>11003</v>
      </c>
      <c r="P783" s="38" t="s">
        <v>1911</v>
      </c>
      <c r="R783" s="50">
        <v>1</v>
      </c>
      <c r="V783" s="50">
        <v>76009</v>
      </c>
      <c r="AA783" s="4" t="s">
        <v>2077</v>
      </c>
    </row>
    <row r="784" spans="1:27">
      <c r="A784" s="4">
        <v>100070344</v>
      </c>
      <c r="B784" s="4">
        <v>7</v>
      </c>
      <c r="D784" s="4">
        <v>3</v>
      </c>
      <c r="E784" s="4" t="s">
        <v>108</v>
      </c>
      <c r="F784" s="4">
        <v>70341</v>
      </c>
      <c r="H784" s="4">
        <f t="shared" si="15"/>
        <v>100070345</v>
      </c>
      <c r="I784" s="4" t="s">
        <v>2078</v>
      </c>
      <c r="L784" s="4" t="s">
        <v>1816</v>
      </c>
      <c r="O784" s="38">
        <v>11003</v>
      </c>
      <c r="P784" s="38" t="s">
        <v>1911</v>
      </c>
      <c r="R784" s="50">
        <v>1</v>
      </c>
      <c r="V784" s="50">
        <v>76009</v>
      </c>
      <c r="AA784" s="4" t="s">
        <v>2079</v>
      </c>
    </row>
    <row r="785" spans="1:27">
      <c r="A785" s="4">
        <v>100070345</v>
      </c>
      <c r="B785" s="4">
        <v>7</v>
      </c>
      <c r="D785" s="4">
        <v>3</v>
      </c>
      <c r="E785" s="4" t="s">
        <v>108</v>
      </c>
      <c r="F785" s="4">
        <v>70341</v>
      </c>
      <c r="H785" s="4">
        <f t="shared" si="15"/>
        <v>100070346</v>
      </c>
      <c r="I785" s="4" t="s">
        <v>2080</v>
      </c>
      <c r="L785" s="4" t="s">
        <v>1819</v>
      </c>
      <c r="O785" s="38">
        <v>11003</v>
      </c>
      <c r="P785" s="38" t="s">
        <v>1911</v>
      </c>
      <c r="R785" s="50">
        <v>1</v>
      </c>
      <c r="V785" s="50">
        <v>76009</v>
      </c>
      <c r="AA785" s="4" t="s">
        <v>2081</v>
      </c>
    </row>
    <row r="786" spans="1:27">
      <c r="A786" s="4">
        <v>100070346</v>
      </c>
      <c r="B786" s="4">
        <v>7</v>
      </c>
      <c r="D786" s="4">
        <v>3</v>
      </c>
      <c r="E786" s="4" t="s">
        <v>108</v>
      </c>
      <c r="F786" s="4">
        <v>70341</v>
      </c>
      <c r="I786" s="4" t="s">
        <v>2082</v>
      </c>
      <c r="L786" s="4" t="s">
        <v>1822</v>
      </c>
      <c r="O786" s="38">
        <v>11003</v>
      </c>
      <c r="P786" s="38" t="s">
        <v>1911</v>
      </c>
      <c r="R786" s="50">
        <v>1</v>
      </c>
      <c r="V786" s="50">
        <v>76009</v>
      </c>
      <c r="AA786" s="4" t="s">
        <v>2083</v>
      </c>
    </row>
    <row r="787" spans="1:27">
      <c r="A787" s="4">
        <v>100070351</v>
      </c>
      <c r="B787" s="4">
        <v>7</v>
      </c>
      <c r="D787" s="4">
        <v>3</v>
      </c>
      <c r="E787" s="4" t="s">
        <v>108</v>
      </c>
      <c r="F787" s="4">
        <v>70351</v>
      </c>
      <c r="H787" s="4">
        <f t="shared" ref="H787:H791" si="16">A788</f>
        <v>100070352</v>
      </c>
      <c r="I787" s="4" t="s">
        <v>2084</v>
      </c>
      <c r="L787" s="4" t="s">
        <v>1806</v>
      </c>
      <c r="O787" s="38">
        <v>11003</v>
      </c>
      <c r="P787" s="38" t="s">
        <v>1877</v>
      </c>
      <c r="R787" s="50">
        <v>1</v>
      </c>
      <c r="V787" s="50">
        <v>76006</v>
      </c>
      <c r="AA787" s="4" t="s">
        <v>2085</v>
      </c>
    </row>
    <row r="788" spans="1:27">
      <c r="A788" s="4">
        <v>100070352</v>
      </c>
      <c r="B788" s="4">
        <v>7</v>
      </c>
      <c r="D788" s="4">
        <v>3</v>
      </c>
      <c r="E788" s="4" t="s">
        <v>108</v>
      </c>
      <c r="F788" s="4">
        <v>70351</v>
      </c>
      <c r="H788" s="4">
        <f t="shared" si="16"/>
        <v>100070353</v>
      </c>
      <c r="I788" s="4" t="s">
        <v>2086</v>
      </c>
      <c r="L788" s="4" t="s">
        <v>1810</v>
      </c>
      <c r="O788" s="38">
        <v>11003</v>
      </c>
      <c r="P788" s="38" t="s">
        <v>1877</v>
      </c>
      <c r="R788" s="50">
        <v>1</v>
      </c>
      <c r="V788" s="50">
        <v>76006</v>
      </c>
      <c r="AA788" s="4" t="s">
        <v>2087</v>
      </c>
    </row>
    <row r="789" spans="1:27">
      <c r="A789" s="4">
        <v>100070353</v>
      </c>
      <c r="B789" s="4">
        <v>7</v>
      </c>
      <c r="D789" s="4">
        <v>3</v>
      </c>
      <c r="E789" s="4" t="s">
        <v>108</v>
      </c>
      <c r="F789" s="4">
        <v>70351</v>
      </c>
      <c r="H789" s="4">
        <f t="shared" si="16"/>
        <v>100070354</v>
      </c>
      <c r="I789" s="4" t="s">
        <v>2088</v>
      </c>
      <c r="L789" s="4" t="s">
        <v>1813</v>
      </c>
      <c r="O789" s="38">
        <v>11003</v>
      </c>
      <c r="P789" s="38" t="s">
        <v>1877</v>
      </c>
      <c r="R789" s="50">
        <v>1</v>
      </c>
      <c r="V789" s="50">
        <v>76006</v>
      </c>
      <c r="AA789" s="4" t="s">
        <v>2089</v>
      </c>
    </row>
    <row r="790" spans="1:27">
      <c r="A790" s="4">
        <v>100070354</v>
      </c>
      <c r="B790" s="4">
        <v>7</v>
      </c>
      <c r="D790" s="4">
        <v>3</v>
      </c>
      <c r="E790" s="4" t="s">
        <v>108</v>
      </c>
      <c r="F790" s="4">
        <v>70351</v>
      </c>
      <c r="H790" s="4">
        <f t="shared" si="16"/>
        <v>100070355</v>
      </c>
      <c r="I790" s="4" t="s">
        <v>2090</v>
      </c>
      <c r="L790" s="4" t="s">
        <v>1816</v>
      </c>
      <c r="O790" s="38">
        <v>11003</v>
      </c>
      <c r="P790" s="38" t="s">
        <v>1877</v>
      </c>
      <c r="R790" s="50">
        <v>1</v>
      </c>
      <c r="V790" s="50">
        <v>76006</v>
      </c>
      <c r="AA790" s="4" t="s">
        <v>2091</v>
      </c>
    </row>
    <row r="791" spans="1:27">
      <c r="A791" s="4">
        <v>100070355</v>
      </c>
      <c r="B791" s="4">
        <v>7</v>
      </c>
      <c r="D791" s="4">
        <v>3</v>
      </c>
      <c r="E791" s="4" t="s">
        <v>108</v>
      </c>
      <c r="F791" s="4">
        <v>70351</v>
      </c>
      <c r="H791" s="4">
        <f t="shared" si="16"/>
        <v>100070356</v>
      </c>
      <c r="I791" s="4" t="s">
        <v>2092</v>
      </c>
      <c r="L791" s="4" t="s">
        <v>1819</v>
      </c>
      <c r="O791" s="38">
        <v>11003</v>
      </c>
      <c r="P791" s="38" t="s">
        <v>1877</v>
      </c>
      <c r="R791" s="50">
        <v>1</v>
      </c>
      <c r="V791" s="50">
        <v>76006</v>
      </c>
      <c r="AA791" s="4" t="s">
        <v>2093</v>
      </c>
    </row>
    <row r="792" spans="1:27">
      <c r="A792" s="4">
        <v>100070356</v>
      </c>
      <c r="B792" s="4">
        <v>7</v>
      </c>
      <c r="D792" s="4">
        <v>3</v>
      </c>
      <c r="E792" s="4" t="s">
        <v>108</v>
      </c>
      <c r="F792" s="4">
        <v>70351</v>
      </c>
      <c r="I792" s="4" t="s">
        <v>2094</v>
      </c>
      <c r="L792" s="4" t="s">
        <v>1822</v>
      </c>
      <c r="O792" s="38">
        <v>11003</v>
      </c>
      <c r="P792" s="38" t="s">
        <v>1877</v>
      </c>
      <c r="R792" s="50">
        <v>1</v>
      </c>
      <c r="V792" s="50">
        <v>76006</v>
      </c>
      <c r="AA792" s="4" t="s">
        <v>2095</v>
      </c>
    </row>
    <row r="793" spans="1:27">
      <c r="A793" s="4">
        <v>100070361</v>
      </c>
      <c r="B793" s="4">
        <v>7</v>
      </c>
      <c r="D793" s="4">
        <v>3</v>
      </c>
      <c r="E793" s="4" t="s">
        <v>108</v>
      </c>
      <c r="F793" s="4">
        <v>70361</v>
      </c>
      <c r="H793" s="4">
        <f t="shared" ref="H793:H799" si="17">A794</f>
        <v>100070362</v>
      </c>
      <c r="I793" s="4" t="s">
        <v>2096</v>
      </c>
      <c r="L793" s="4" t="s">
        <v>1806</v>
      </c>
      <c r="O793" s="38">
        <v>11003</v>
      </c>
      <c r="P793" s="38" t="s">
        <v>1890</v>
      </c>
      <c r="R793" s="50">
        <v>1</v>
      </c>
      <c r="V793" s="50">
        <v>76007</v>
      </c>
      <c r="AA793" s="4" t="s">
        <v>2097</v>
      </c>
    </row>
    <row r="794" spans="1:27">
      <c r="A794" s="4">
        <v>100070362</v>
      </c>
      <c r="B794" s="4">
        <v>7</v>
      </c>
      <c r="D794" s="4">
        <v>3</v>
      </c>
      <c r="E794" s="4" t="s">
        <v>108</v>
      </c>
      <c r="F794" s="4">
        <v>70361</v>
      </c>
      <c r="H794" s="4">
        <f t="shared" si="17"/>
        <v>100070363</v>
      </c>
      <c r="I794" s="4" t="s">
        <v>2098</v>
      </c>
      <c r="L794" s="4" t="s">
        <v>1810</v>
      </c>
      <c r="O794" s="38">
        <v>11003</v>
      </c>
      <c r="P794" s="38" t="s">
        <v>1890</v>
      </c>
      <c r="R794" s="50">
        <v>1</v>
      </c>
      <c r="V794" s="50">
        <v>76007</v>
      </c>
      <c r="AA794" s="4" t="s">
        <v>2099</v>
      </c>
    </row>
    <row r="795" spans="1:27">
      <c r="A795" s="4">
        <v>100070363</v>
      </c>
      <c r="B795" s="4">
        <v>7</v>
      </c>
      <c r="D795" s="4">
        <v>3</v>
      </c>
      <c r="E795" s="4" t="s">
        <v>108</v>
      </c>
      <c r="F795" s="4">
        <v>70361</v>
      </c>
      <c r="H795" s="4">
        <f t="shared" si="17"/>
        <v>100070364</v>
      </c>
      <c r="I795" s="4" t="s">
        <v>2100</v>
      </c>
      <c r="L795" s="4" t="s">
        <v>1895</v>
      </c>
      <c r="O795" s="38">
        <v>11003</v>
      </c>
      <c r="P795" s="38" t="s">
        <v>1890</v>
      </c>
      <c r="R795" s="50">
        <v>1</v>
      </c>
      <c r="V795" s="50">
        <v>76007</v>
      </c>
      <c r="AA795" s="4" t="s">
        <v>2101</v>
      </c>
    </row>
    <row r="796" spans="1:27">
      <c r="A796" s="4">
        <v>100070364</v>
      </c>
      <c r="B796" s="4">
        <v>7</v>
      </c>
      <c r="D796" s="4">
        <v>3</v>
      </c>
      <c r="E796" s="4" t="s">
        <v>108</v>
      </c>
      <c r="F796" s="4">
        <v>70361</v>
      </c>
      <c r="H796" s="4">
        <f t="shared" si="17"/>
        <v>100070365</v>
      </c>
      <c r="I796" s="4" t="s">
        <v>2102</v>
      </c>
      <c r="L796" s="4" t="s">
        <v>1813</v>
      </c>
      <c r="O796" s="38">
        <v>11003</v>
      </c>
      <c r="P796" s="38" t="s">
        <v>1890</v>
      </c>
      <c r="R796" s="50">
        <v>1</v>
      </c>
      <c r="V796" s="50">
        <v>76007</v>
      </c>
      <c r="AA796" s="4" t="s">
        <v>2103</v>
      </c>
    </row>
    <row r="797" spans="1:27">
      <c r="A797" s="4">
        <v>100070365</v>
      </c>
      <c r="B797" s="4">
        <v>7</v>
      </c>
      <c r="D797" s="4">
        <v>3</v>
      </c>
      <c r="E797" s="4" t="s">
        <v>108</v>
      </c>
      <c r="F797" s="4">
        <v>70361</v>
      </c>
      <c r="H797" s="4">
        <f t="shared" si="17"/>
        <v>100070366</v>
      </c>
      <c r="I797" s="4" t="s">
        <v>2104</v>
      </c>
      <c r="L797" s="4" t="s">
        <v>1900</v>
      </c>
      <c r="O797" s="38">
        <v>11003</v>
      </c>
      <c r="P797" s="38" t="s">
        <v>1890</v>
      </c>
      <c r="R797" s="50">
        <v>1</v>
      </c>
      <c r="V797" s="50">
        <v>76007</v>
      </c>
      <c r="AA797" s="4" t="s">
        <v>2105</v>
      </c>
    </row>
    <row r="798" spans="1:27">
      <c r="A798" s="4">
        <v>100070366</v>
      </c>
      <c r="B798" s="4">
        <v>7</v>
      </c>
      <c r="D798" s="4">
        <v>3</v>
      </c>
      <c r="E798" s="4" t="s">
        <v>108</v>
      </c>
      <c r="F798" s="4">
        <v>70361</v>
      </c>
      <c r="H798" s="4">
        <f t="shared" si="17"/>
        <v>100070367</v>
      </c>
      <c r="I798" s="4" t="s">
        <v>2106</v>
      </c>
      <c r="L798" s="4" t="s">
        <v>1903</v>
      </c>
      <c r="O798" s="38">
        <v>11003</v>
      </c>
      <c r="P798" s="38" t="s">
        <v>1890</v>
      </c>
      <c r="R798" s="50">
        <v>1</v>
      </c>
      <c r="V798" s="50">
        <v>76007</v>
      </c>
      <c r="AA798" s="4" t="s">
        <v>2107</v>
      </c>
    </row>
    <row r="799" spans="1:27">
      <c r="A799" s="4">
        <v>100070367</v>
      </c>
      <c r="B799" s="4">
        <v>7</v>
      </c>
      <c r="D799" s="4">
        <v>3</v>
      </c>
      <c r="E799" s="4" t="s">
        <v>108</v>
      </c>
      <c r="F799" s="4">
        <v>70361</v>
      </c>
      <c r="H799" s="4">
        <f t="shared" si="17"/>
        <v>100070368</v>
      </c>
      <c r="I799" s="4" t="s">
        <v>2108</v>
      </c>
      <c r="L799" s="4" t="s">
        <v>1906</v>
      </c>
      <c r="O799" s="38">
        <v>11003</v>
      </c>
      <c r="P799" s="38" t="s">
        <v>1890</v>
      </c>
      <c r="R799" s="50">
        <v>1</v>
      </c>
      <c r="V799" s="50">
        <v>76007</v>
      </c>
      <c r="AA799" s="4" t="s">
        <v>2109</v>
      </c>
    </row>
    <row r="800" spans="1:27">
      <c r="A800" s="4">
        <v>100070368</v>
      </c>
      <c r="B800" s="4">
        <v>7</v>
      </c>
      <c r="D800" s="4">
        <v>3</v>
      </c>
      <c r="E800" s="4" t="s">
        <v>108</v>
      </c>
      <c r="F800" s="4">
        <v>70361</v>
      </c>
      <c r="I800" s="4" t="s">
        <v>2110</v>
      </c>
      <c r="L800" s="4" t="s">
        <v>1816</v>
      </c>
      <c r="O800" s="38">
        <v>11003</v>
      </c>
      <c r="P800" s="38" t="s">
        <v>1890</v>
      </c>
      <c r="R800" s="50">
        <v>1</v>
      </c>
      <c r="V800" s="50">
        <v>76007</v>
      </c>
      <c r="AA800" s="4" t="s">
        <v>2111</v>
      </c>
    </row>
    <row r="801" spans="1:27">
      <c r="A801" s="4">
        <v>100070371</v>
      </c>
      <c r="B801" s="4">
        <v>7</v>
      </c>
      <c r="D801" s="4">
        <v>3</v>
      </c>
      <c r="E801" s="4" t="s">
        <v>108</v>
      </c>
      <c r="F801" s="4">
        <v>70371</v>
      </c>
      <c r="H801" s="4">
        <f t="shared" ref="H801:H805" si="18">A802</f>
        <v>100070372</v>
      </c>
      <c r="I801" s="4" t="s">
        <v>2112</v>
      </c>
      <c r="L801" s="4" t="s">
        <v>1806</v>
      </c>
      <c r="O801" s="38">
        <v>11003</v>
      </c>
      <c r="P801" s="38" t="s">
        <v>1911</v>
      </c>
      <c r="R801" s="50">
        <v>1</v>
      </c>
      <c r="V801" s="50">
        <v>76008</v>
      </c>
      <c r="AA801" s="4" t="s">
        <v>2113</v>
      </c>
    </row>
    <row r="802" spans="1:27">
      <c r="A802" s="4">
        <v>100070372</v>
      </c>
      <c r="B802" s="4">
        <v>7</v>
      </c>
      <c r="D802" s="4">
        <v>3</v>
      </c>
      <c r="E802" s="4" t="s">
        <v>108</v>
      </c>
      <c r="F802" s="4">
        <v>70371</v>
      </c>
      <c r="H802" s="4">
        <f t="shared" si="18"/>
        <v>100070373</v>
      </c>
      <c r="I802" s="4" t="s">
        <v>2114</v>
      </c>
      <c r="L802" s="4" t="s">
        <v>1810</v>
      </c>
      <c r="O802" s="38">
        <v>11003</v>
      </c>
      <c r="P802" s="38" t="s">
        <v>1911</v>
      </c>
      <c r="R802" s="50">
        <v>1</v>
      </c>
      <c r="V802" s="50">
        <v>76008</v>
      </c>
      <c r="AA802" s="4" t="s">
        <v>2115</v>
      </c>
    </row>
    <row r="803" spans="1:27">
      <c r="A803" s="4">
        <v>100070373</v>
      </c>
      <c r="B803" s="4">
        <v>7</v>
      </c>
      <c r="D803" s="4">
        <v>3</v>
      </c>
      <c r="E803" s="4" t="s">
        <v>108</v>
      </c>
      <c r="F803" s="4">
        <v>70371</v>
      </c>
      <c r="H803" s="4">
        <f t="shared" si="18"/>
        <v>100070374</v>
      </c>
      <c r="I803" s="4" t="s">
        <v>2116</v>
      </c>
      <c r="L803" s="4" t="s">
        <v>1813</v>
      </c>
      <c r="O803" s="38">
        <v>11003</v>
      </c>
      <c r="P803" s="38" t="s">
        <v>1911</v>
      </c>
      <c r="R803" s="50">
        <v>1</v>
      </c>
      <c r="V803" s="50">
        <v>76008</v>
      </c>
      <c r="AA803" s="4" t="s">
        <v>2117</v>
      </c>
    </row>
    <row r="804" spans="1:27">
      <c r="A804" s="4">
        <v>100070374</v>
      </c>
      <c r="B804" s="4">
        <v>7</v>
      </c>
      <c r="D804" s="4">
        <v>3</v>
      </c>
      <c r="E804" s="4" t="s">
        <v>108</v>
      </c>
      <c r="F804" s="4">
        <v>70371</v>
      </c>
      <c r="H804" s="4">
        <f t="shared" si="18"/>
        <v>100070375</v>
      </c>
      <c r="I804" s="4" t="s">
        <v>2118</v>
      </c>
      <c r="L804" s="4" t="s">
        <v>1816</v>
      </c>
      <c r="O804" s="38">
        <v>11003</v>
      </c>
      <c r="P804" s="38" t="s">
        <v>1911</v>
      </c>
      <c r="R804" s="50">
        <v>1</v>
      </c>
      <c r="V804" s="50">
        <v>76008</v>
      </c>
      <c r="AA804" s="4" t="s">
        <v>2119</v>
      </c>
    </row>
    <row r="805" spans="1:27">
      <c r="A805" s="4">
        <v>100070375</v>
      </c>
      <c r="B805" s="4">
        <v>7</v>
      </c>
      <c r="D805" s="4">
        <v>3</v>
      </c>
      <c r="E805" s="4" t="s">
        <v>108</v>
      </c>
      <c r="F805" s="4">
        <v>70371</v>
      </c>
      <c r="H805" s="4">
        <f t="shared" si="18"/>
        <v>100070376</v>
      </c>
      <c r="I805" s="4" t="s">
        <v>2120</v>
      </c>
      <c r="L805" s="4" t="s">
        <v>1819</v>
      </c>
      <c r="O805" s="38">
        <v>11003</v>
      </c>
      <c r="P805" s="38" t="s">
        <v>1911</v>
      </c>
      <c r="R805" s="50">
        <v>1</v>
      </c>
      <c r="V805" s="50">
        <v>76008</v>
      </c>
      <c r="AA805" s="4" t="s">
        <v>2121</v>
      </c>
    </row>
    <row r="806" spans="1:27">
      <c r="A806" s="4">
        <v>100070376</v>
      </c>
      <c r="B806" s="4">
        <v>7</v>
      </c>
      <c r="D806" s="4">
        <v>3</v>
      </c>
      <c r="E806" s="4" t="s">
        <v>108</v>
      </c>
      <c r="F806" s="4">
        <v>70371</v>
      </c>
      <c r="I806" s="4" t="s">
        <v>2122</v>
      </c>
      <c r="L806" s="4" t="s">
        <v>1822</v>
      </c>
      <c r="O806" s="38">
        <v>11003</v>
      </c>
      <c r="P806" s="38" t="s">
        <v>1911</v>
      </c>
      <c r="R806" s="50">
        <v>1</v>
      </c>
      <c r="V806" s="50">
        <v>76008</v>
      </c>
      <c r="AA806" s="4" t="s">
        <v>2123</v>
      </c>
    </row>
    <row r="807" spans="1:27">
      <c r="A807" s="4">
        <v>100070401</v>
      </c>
      <c r="B807" s="4">
        <v>7</v>
      </c>
      <c r="C807" s="4" t="s">
        <v>1803</v>
      </c>
      <c r="D807" s="4">
        <v>4</v>
      </c>
      <c r="E807" s="4" t="s">
        <v>2124</v>
      </c>
      <c r="F807" s="4">
        <v>70401</v>
      </c>
      <c r="H807" s="4">
        <f t="shared" ref="H807:H811" si="19">A808</f>
        <v>100070402</v>
      </c>
      <c r="I807" s="4" t="s">
        <v>2125</v>
      </c>
      <c r="L807" s="4" t="s">
        <v>1806</v>
      </c>
      <c r="O807" s="38">
        <v>3206</v>
      </c>
      <c r="P807" s="60" t="s">
        <v>1807</v>
      </c>
      <c r="R807" s="50">
        <v>1</v>
      </c>
      <c r="V807" s="50">
        <v>76001</v>
      </c>
      <c r="AA807" s="4" t="s">
        <v>2126</v>
      </c>
    </row>
    <row r="808" spans="1:27">
      <c r="A808" s="4">
        <v>100070402</v>
      </c>
      <c r="B808" s="4">
        <v>7</v>
      </c>
      <c r="C808" s="4" t="s">
        <v>1803</v>
      </c>
      <c r="D808" s="4">
        <v>4</v>
      </c>
      <c r="E808" s="4" t="s">
        <v>2124</v>
      </c>
      <c r="F808" s="4">
        <v>70401</v>
      </c>
      <c r="H808" s="4">
        <f t="shared" si="19"/>
        <v>100070403</v>
      </c>
      <c r="I808" s="4" t="s">
        <v>2127</v>
      </c>
      <c r="L808" s="4" t="s">
        <v>1810</v>
      </c>
      <c r="O808" s="38">
        <v>3206</v>
      </c>
      <c r="P808" s="60" t="s">
        <v>1807</v>
      </c>
      <c r="R808" s="50">
        <v>1</v>
      </c>
      <c r="V808" s="50">
        <v>76001</v>
      </c>
      <c r="AA808" s="4" t="s">
        <v>2128</v>
      </c>
    </row>
    <row r="809" spans="1:27">
      <c r="A809" s="4">
        <v>100070403</v>
      </c>
      <c r="B809" s="4">
        <v>7</v>
      </c>
      <c r="C809" s="4" t="s">
        <v>1803</v>
      </c>
      <c r="D809" s="4">
        <v>4</v>
      </c>
      <c r="E809" s="4" t="s">
        <v>2124</v>
      </c>
      <c r="F809" s="4">
        <v>70401</v>
      </c>
      <c r="H809" s="4">
        <f t="shared" si="19"/>
        <v>100070404</v>
      </c>
      <c r="I809" s="4" t="s">
        <v>2129</v>
      </c>
      <c r="L809" s="4" t="s">
        <v>1813</v>
      </c>
      <c r="O809" s="38">
        <v>3206</v>
      </c>
      <c r="P809" s="60" t="s">
        <v>1807</v>
      </c>
      <c r="R809" s="50">
        <v>1</v>
      </c>
      <c r="V809" s="50">
        <v>76001</v>
      </c>
      <c r="AA809" s="4" t="s">
        <v>2130</v>
      </c>
    </row>
    <row r="810" spans="1:27">
      <c r="A810" s="4">
        <v>100070404</v>
      </c>
      <c r="B810" s="4">
        <v>7</v>
      </c>
      <c r="C810" s="4" t="s">
        <v>1803</v>
      </c>
      <c r="D810" s="4">
        <v>4</v>
      </c>
      <c r="E810" s="4" t="s">
        <v>2124</v>
      </c>
      <c r="F810" s="4">
        <v>70401</v>
      </c>
      <c r="H810" s="4">
        <f t="shared" si="19"/>
        <v>100070405</v>
      </c>
      <c r="I810" s="4" t="s">
        <v>2131</v>
      </c>
      <c r="L810" s="4" t="s">
        <v>1816</v>
      </c>
      <c r="O810" s="38">
        <v>3206</v>
      </c>
      <c r="P810" s="60" t="s">
        <v>1807</v>
      </c>
      <c r="R810" s="50">
        <v>1</v>
      </c>
      <c r="V810" s="50">
        <v>76001</v>
      </c>
      <c r="AA810" s="4" t="s">
        <v>2132</v>
      </c>
    </row>
    <row r="811" spans="1:27">
      <c r="A811" s="4">
        <v>100070405</v>
      </c>
      <c r="B811" s="4">
        <v>7</v>
      </c>
      <c r="C811" s="4" t="s">
        <v>1803</v>
      </c>
      <c r="D811" s="4">
        <v>4</v>
      </c>
      <c r="E811" s="4" t="s">
        <v>2124</v>
      </c>
      <c r="F811" s="4">
        <v>70401</v>
      </c>
      <c r="H811" s="4">
        <f t="shared" si="19"/>
        <v>100070406</v>
      </c>
      <c r="I811" s="4" t="s">
        <v>2133</v>
      </c>
      <c r="L811" s="4" t="s">
        <v>1819</v>
      </c>
      <c r="O811" s="38">
        <v>3206</v>
      </c>
      <c r="P811" s="60" t="s">
        <v>1807</v>
      </c>
      <c r="R811" s="50">
        <v>1</v>
      </c>
      <c r="V811" s="50">
        <v>76001</v>
      </c>
      <c r="AA811" s="4" t="s">
        <v>2134</v>
      </c>
    </row>
    <row r="812" spans="1:27">
      <c r="A812" s="4">
        <v>100070406</v>
      </c>
      <c r="B812" s="4">
        <v>7</v>
      </c>
      <c r="C812" s="4" t="s">
        <v>1803</v>
      </c>
      <c r="D812" s="4">
        <v>4</v>
      </c>
      <c r="E812" s="4" t="s">
        <v>2124</v>
      </c>
      <c r="F812" s="4">
        <v>70401</v>
      </c>
      <c r="I812" s="4" t="s">
        <v>2135</v>
      </c>
      <c r="L812" s="4" t="s">
        <v>1822</v>
      </c>
      <c r="O812" s="38">
        <v>3206</v>
      </c>
      <c r="P812" s="60" t="s">
        <v>1807</v>
      </c>
      <c r="R812" s="50">
        <v>1</v>
      </c>
      <c r="V812" s="50">
        <v>76001</v>
      </c>
      <c r="AA812" s="4" t="s">
        <v>2136</v>
      </c>
    </row>
    <row r="813" spans="1:27">
      <c r="A813" s="4">
        <v>100070411</v>
      </c>
      <c r="B813" s="4">
        <v>7</v>
      </c>
      <c r="D813" s="4">
        <v>4</v>
      </c>
      <c r="E813" s="4" t="s">
        <v>2124</v>
      </c>
      <c r="F813" s="4">
        <v>70411</v>
      </c>
      <c r="H813" s="4">
        <f t="shared" ref="H813:H817" si="20">A814</f>
        <v>100070412</v>
      </c>
      <c r="I813" s="4" t="s">
        <v>2137</v>
      </c>
      <c r="L813" s="4" t="s">
        <v>1806</v>
      </c>
      <c r="O813" s="38">
        <v>3307</v>
      </c>
      <c r="P813" s="60" t="s">
        <v>1825</v>
      </c>
      <c r="R813" s="50">
        <v>1</v>
      </c>
      <c r="V813" s="50">
        <v>76002</v>
      </c>
      <c r="AA813" s="4" t="s">
        <v>2138</v>
      </c>
    </row>
    <row r="814" spans="1:27">
      <c r="A814" s="4">
        <v>100070412</v>
      </c>
      <c r="B814" s="4">
        <v>7</v>
      </c>
      <c r="D814" s="4">
        <v>4</v>
      </c>
      <c r="E814" s="4" t="s">
        <v>2124</v>
      </c>
      <c r="F814" s="4">
        <v>70411</v>
      </c>
      <c r="H814" s="4">
        <f t="shared" si="20"/>
        <v>100070413</v>
      </c>
      <c r="I814" s="4" t="s">
        <v>2139</v>
      </c>
      <c r="L814" s="4" t="s">
        <v>1810</v>
      </c>
      <c r="O814" s="38">
        <v>3307</v>
      </c>
      <c r="P814" s="60" t="s">
        <v>1825</v>
      </c>
      <c r="R814" s="50">
        <v>1</v>
      </c>
      <c r="V814" s="50">
        <v>76002</v>
      </c>
      <c r="AA814" s="4" t="s">
        <v>2140</v>
      </c>
    </row>
    <row r="815" spans="1:27">
      <c r="A815" s="4">
        <v>100070413</v>
      </c>
      <c r="B815" s="4">
        <v>7</v>
      </c>
      <c r="D815" s="4">
        <v>4</v>
      </c>
      <c r="E815" s="4" t="s">
        <v>2124</v>
      </c>
      <c r="F815" s="4">
        <v>70411</v>
      </c>
      <c r="H815" s="4">
        <f t="shared" si="20"/>
        <v>100070414</v>
      </c>
      <c r="I815" s="4" t="s">
        <v>2141</v>
      </c>
      <c r="L815" s="4" t="s">
        <v>1813</v>
      </c>
      <c r="O815" s="38">
        <v>3307</v>
      </c>
      <c r="P815" s="60" t="s">
        <v>1825</v>
      </c>
      <c r="R815" s="50">
        <v>1</v>
      </c>
      <c r="V815" s="50">
        <v>76002</v>
      </c>
      <c r="AA815" s="4" t="s">
        <v>2142</v>
      </c>
    </row>
    <row r="816" spans="1:27">
      <c r="A816" s="4">
        <v>100070414</v>
      </c>
      <c r="B816" s="4">
        <v>7</v>
      </c>
      <c r="D816" s="4">
        <v>4</v>
      </c>
      <c r="E816" s="4" t="s">
        <v>2124</v>
      </c>
      <c r="F816" s="4">
        <v>70411</v>
      </c>
      <c r="H816" s="4">
        <f t="shared" si="20"/>
        <v>100070415</v>
      </c>
      <c r="I816" s="4" t="s">
        <v>2143</v>
      </c>
      <c r="L816" s="4" t="s">
        <v>1816</v>
      </c>
      <c r="O816" s="38">
        <v>3307</v>
      </c>
      <c r="P816" s="60" t="s">
        <v>1825</v>
      </c>
      <c r="R816" s="50">
        <v>1</v>
      </c>
      <c r="V816" s="50">
        <v>76002</v>
      </c>
      <c r="AA816" s="4" t="s">
        <v>2144</v>
      </c>
    </row>
    <row r="817" spans="1:27">
      <c r="A817" s="4">
        <v>100070415</v>
      </c>
      <c r="B817" s="4">
        <v>7</v>
      </c>
      <c r="D817" s="4">
        <v>4</v>
      </c>
      <c r="E817" s="4" t="s">
        <v>2124</v>
      </c>
      <c r="F817" s="4">
        <v>70411</v>
      </c>
      <c r="H817" s="4">
        <f t="shared" si="20"/>
        <v>100070416</v>
      </c>
      <c r="I817" s="4" t="s">
        <v>2145</v>
      </c>
      <c r="L817" s="4" t="s">
        <v>1819</v>
      </c>
      <c r="O817" s="38">
        <v>3307</v>
      </c>
      <c r="P817" s="60" t="s">
        <v>1825</v>
      </c>
      <c r="R817" s="50">
        <v>1</v>
      </c>
      <c r="V817" s="50">
        <v>76002</v>
      </c>
      <c r="AA817" s="4" t="s">
        <v>2146</v>
      </c>
    </row>
    <row r="818" spans="1:27">
      <c r="A818" s="4">
        <v>100070416</v>
      </c>
      <c r="B818" s="4">
        <v>7</v>
      </c>
      <c r="D818" s="4">
        <v>4</v>
      </c>
      <c r="E818" s="4" t="s">
        <v>2124</v>
      </c>
      <c r="F818" s="4">
        <v>70411</v>
      </c>
      <c r="I818" s="4" t="s">
        <v>2147</v>
      </c>
      <c r="L818" s="4" t="s">
        <v>1822</v>
      </c>
      <c r="O818" s="38">
        <v>3307</v>
      </c>
      <c r="P818" s="60" t="s">
        <v>1825</v>
      </c>
      <c r="R818" s="50">
        <v>1</v>
      </c>
      <c r="V818" s="50">
        <v>76002</v>
      </c>
      <c r="AA818" s="4" t="s">
        <v>2148</v>
      </c>
    </row>
    <row r="819" spans="1:27">
      <c r="A819" s="4">
        <v>100070421</v>
      </c>
      <c r="B819" s="4">
        <v>7</v>
      </c>
      <c r="D819" s="4">
        <v>4</v>
      </c>
      <c r="E819" s="4" t="s">
        <v>2124</v>
      </c>
      <c r="F819" s="4">
        <v>70421</v>
      </c>
      <c r="H819" s="4">
        <f t="shared" ref="H819:H823" si="21">A820</f>
        <v>100070422</v>
      </c>
      <c r="I819" s="4" t="s">
        <v>2149</v>
      </c>
      <c r="L819" s="4" t="s">
        <v>1806</v>
      </c>
      <c r="O819" s="38">
        <v>11012</v>
      </c>
      <c r="P819" s="60" t="s">
        <v>1838</v>
      </c>
      <c r="R819" s="50">
        <v>1</v>
      </c>
      <c r="V819" s="50">
        <v>76003</v>
      </c>
      <c r="AA819" s="4" t="s">
        <v>2150</v>
      </c>
    </row>
    <row r="820" spans="1:27">
      <c r="A820" s="4">
        <v>100070422</v>
      </c>
      <c r="B820" s="4">
        <v>7</v>
      </c>
      <c r="D820" s="4">
        <v>4</v>
      </c>
      <c r="E820" s="4" t="s">
        <v>2124</v>
      </c>
      <c r="F820" s="4">
        <v>70421</v>
      </c>
      <c r="H820" s="4">
        <f t="shared" si="21"/>
        <v>100070423</v>
      </c>
      <c r="I820" s="4" t="s">
        <v>2151</v>
      </c>
      <c r="L820" s="4" t="s">
        <v>1810</v>
      </c>
      <c r="O820" s="38">
        <v>11012</v>
      </c>
      <c r="P820" s="60" t="s">
        <v>1838</v>
      </c>
      <c r="R820" s="50">
        <v>1</v>
      </c>
      <c r="V820" s="50">
        <v>76003</v>
      </c>
      <c r="AA820" s="4" t="s">
        <v>2152</v>
      </c>
    </row>
    <row r="821" spans="1:27">
      <c r="A821" s="4">
        <v>100070423</v>
      </c>
      <c r="B821" s="4">
        <v>7</v>
      </c>
      <c r="D821" s="4">
        <v>4</v>
      </c>
      <c r="E821" s="4" t="s">
        <v>2124</v>
      </c>
      <c r="F821" s="4">
        <v>70421</v>
      </c>
      <c r="H821" s="4">
        <f t="shared" si="21"/>
        <v>100070424</v>
      </c>
      <c r="I821" s="4" t="s">
        <v>2153</v>
      </c>
      <c r="L821" s="4" t="s">
        <v>1813</v>
      </c>
      <c r="O821" s="38">
        <v>11012</v>
      </c>
      <c r="P821" s="60" t="s">
        <v>1838</v>
      </c>
      <c r="R821" s="50">
        <v>1</v>
      </c>
      <c r="V821" s="50">
        <v>76003</v>
      </c>
      <c r="AA821" s="4" t="s">
        <v>2154</v>
      </c>
    </row>
    <row r="822" spans="1:27">
      <c r="A822" s="4">
        <v>100070424</v>
      </c>
      <c r="B822" s="4">
        <v>7</v>
      </c>
      <c r="D822" s="4">
        <v>4</v>
      </c>
      <c r="E822" s="4" t="s">
        <v>2124</v>
      </c>
      <c r="F822" s="4">
        <v>70421</v>
      </c>
      <c r="H822" s="4">
        <f t="shared" si="21"/>
        <v>100070425</v>
      </c>
      <c r="I822" s="4" t="s">
        <v>2155</v>
      </c>
      <c r="L822" s="4" t="s">
        <v>1816</v>
      </c>
      <c r="O822" s="38">
        <v>11012</v>
      </c>
      <c r="P822" s="60" t="s">
        <v>1838</v>
      </c>
      <c r="R822" s="50">
        <v>1</v>
      </c>
      <c r="V822" s="50">
        <v>76003</v>
      </c>
      <c r="AA822" s="4" t="s">
        <v>2156</v>
      </c>
    </row>
    <row r="823" spans="1:27">
      <c r="A823" s="4">
        <v>100070425</v>
      </c>
      <c r="B823" s="4">
        <v>7</v>
      </c>
      <c r="D823" s="4">
        <v>4</v>
      </c>
      <c r="E823" s="4" t="s">
        <v>2124</v>
      </c>
      <c r="F823" s="4">
        <v>70421</v>
      </c>
      <c r="H823" s="4">
        <f t="shared" si="21"/>
        <v>100070426</v>
      </c>
      <c r="I823" s="4" t="s">
        <v>2157</v>
      </c>
      <c r="L823" s="4" t="s">
        <v>1819</v>
      </c>
      <c r="O823" s="38">
        <v>11012</v>
      </c>
      <c r="P823" s="60" t="s">
        <v>1838</v>
      </c>
      <c r="R823" s="50">
        <v>1</v>
      </c>
      <c r="V823" s="50">
        <v>76003</v>
      </c>
      <c r="AA823" s="4" t="s">
        <v>2158</v>
      </c>
    </row>
    <row r="824" spans="1:27">
      <c r="A824" s="4">
        <v>100070426</v>
      </c>
      <c r="B824" s="4">
        <v>7</v>
      </c>
      <c r="D824" s="4">
        <v>4</v>
      </c>
      <c r="E824" s="4" t="s">
        <v>2124</v>
      </c>
      <c r="F824" s="4">
        <v>70421</v>
      </c>
      <c r="I824" s="4" t="s">
        <v>2159</v>
      </c>
      <c r="L824" s="4" t="s">
        <v>1822</v>
      </c>
      <c r="O824" s="38">
        <v>11012</v>
      </c>
      <c r="P824" s="60" t="s">
        <v>1838</v>
      </c>
      <c r="R824" s="50">
        <v>1</v>
      </c>
      <c r="V824" s="50">
        <v>76003</v>
      </c>
      <c r="AA824" s="4" t="s">
        <v>2160</v>
      </c>
    </row>
    <row r="825" spans="1:27">
      <c r="A825" s="4">
        <v>100070431</v>
      </c>
      <c r="B825" s="4">
        <v>7</v>
      </c>
      <c r="D825" s="4">
        <v>4</v>
      </c>
      <c r="E825" s="4" t="s">
        <v>2124</v>
      </c>
      <c r="F825" s="4">
        <v>70431</v>
      </c>
      <c r="H825" s="4">
        <f t="shared" ref="H825:H829" si="22">A826</f>
        <v>100070432</v>
      </c>
      <c r="I825" s="4" t="s">
        <v>2161</v>
      </c>
      <c r="L825" s="4" t="s">
        <v>1806</v>
      </c>
      <c r="O825" s="38">
        <v>11012</v>
      </c>
      <c r="P825" s="60" t="s">
        <v>1851</v>
      </c>
      <c r="R825" s="50">
        <v>1</v>
      </c>
      <c r="V825" s="50">
        <v>76004</v>
      </c>
      <c r="AA825" s="4" t="s">
        <v>2162</v>
      </c>
    </row>
    <row r="826" spans="1:27">
      <c r="A826" s="4">
        <v>100070432</v>
      </c>
      <c r="B826" s="4">
        <v>7</v>
      </c>
      <c r="D826" s="4">
        <v>4</v>
      </c>
      <c r="E826" s="4" t="s">
        <v>2124</v>
      </c>
      <c r="F826" s="4">
        <v>70431</v>
      </c>
      <c r="H826" s="4">
        <f t="shared" si="22"/>
        <v>100070433</v>
      </c>
      <c r="I826" s="4" t="s">
        <v>2163</v>
      </c>
      <c r="L826" s="4" t="s">
        <v>1810</v>
      </c>
      <c r="O826" s="38">
        <v>11012</v>
      </c>
      <c r="P826" s="60" t="s">
        <v>1851</v>
      </c>
      <c r="R826" s="50">
        <v>1</v>
      </c>
      <c r="V826" s="50">
        <v>76004</v>
      </c>
      <c r="AA826" s="4" t="s">
        <v>2164</v>
      </c>
    </row>
    <row r="827" spans="1:27">
      <c r="A827" s="4">
        <v>100070433</v>
      </c>
      <c r="B827" s="4">
        <v>7</v>
      </c>
      <c r="D827" s="4">
        <v>4</v>
      </c>
      <c r="E827" s="4" t="s">
        <v>2124</v>
      </c>
      <c r="F827" s="4">
        <v>70431</v>
      </c>
      <c r="H827" s="4">
        <f t="shared" si="22"/>
        <v>100070434</v>
      </c>
      <c r="I827" s="4" t="s">
        <v>2165</v>
      </c>
      <c r="L827" s="4" t="s">
        <v>1813</v>
      </c>
      <c r="O827" s="38">
        <v>11012</v>
      </c>
      <c r="P827" s="60" t="s">
        <v>1851</v>
      </c>
      <c r="R827" s="50">
        <v>1</v>
      </c>
      <c r="V827" s="50">
        <v>76004</v>
      </c>
      <c r="AA827" s="4" t="s">
        <v>2166</v>
      </c>
    </row>
    <row r="828" spans="1:27">
      <c r="A828" s="4">
        <v>100070434</v>
      </c>
      <c r="B828" s="4">
        <v>7</v>
      </c>
      <c r="D828" s="4">
        <v>4</v>
      </c>
      <c r="E828" s="4" t="s">
        <v>2124</v>
      </c>
      <c r="F828" s="4">
        <v>70431</v>
      </c>
      <c r="H828" s="4">
        <f t="shared" si="22"/>
        <v>100070435</v>
      </c>
      <c r="I828" s="4" t="s">
        <v>2167</v>
      </c>
      <c r="L828" s="4" t="s">
        <v>1816</v>
      </c>
      <c r="O828" s="38">
        <v>11012</v>
      </c>
      <c r="P828" s="60" t="s">
        <v>1851</v>
      </c>
      <c r="R828" s="50">
        <v>1</v>
      </c>
      <c r="V828" s="50">
        <v>76004</v>
      </c>
      <c r="AA828" s="4" t="s">
        <v>2168</v>
      </c>
    </row>
    <row r="829" spans="1:27">
      <c r="A829" s="4">
        <v>100070435</v>
      </c>
      <c r="B829" s="4">
        <v>7</v>
      </c>
      <c r="D829" s="4">
        <v>4</v>
      </c>
      <c r="E829" s="4" t="s">
        <v>2124</v>
      </c>
      <c r="F829" s="4">
        <v>70431</v>
      </c>
      <c r="H829" s="4">
        <f t="shared" si="22"/>
        <v>100070436</v>
      </c>
      <c r="I829" s="4" t="s">
        <v>2169</v>
      </c>
      <c r="L829" s="4" t="s">
        <v>1819</v>
      </c>
      <c r="O829" s="38">
        <v>11012</v>
      </c>
      <c r="P829" s="60" t="s">
        <v>1851</v>
      </c>
      <c r="R829" s="50">
        <v>1</v>
      </c>
      <c r="V829" s="50">
        <v>76004</v>
      </c>
      <c r="AA829" s="4" t="s">
        <v>2170</v>
      </c>
    </row>
    <row r="830" spans="1:27">
      <c r="A830" s="4">
        <v>100070436</v>
      </c>
      <c r="B830" s="4">
        <v>7</v>
      </c>
      <c r="D830" s="4">
        <v>4</v>
      </c>
      <c r="E830" s="4" t="s">
        <v>2124</v>
      </c>
      <c r="F830" s="4">
        <v>70431</v>
      </c>
      <c r="I830" s="4" t="s">
        <v>2171</v>
      </c>
      <c r="L830" s="4" t="s">
        <v>1822</v>
      </c>
      <c r="O830" s="38">
        <v>11012</v>
      </c>
      <c r="P830" s="60" t="s">
        <v>1851</v>
      </c>
      <c r="R830" s="50">
        <v>1</v>
      </c>
      <c r="V830" s="50">
        <v>76004</v>
      </c>
      <c r="AA830" s="4" t="s">
        <v>2172</v>
      </c>
    </row>
    <row r="831" spans="1:27">
      <c r="A831" s="4">
        <v>100070441</v>
      </c>
      <c r="B831" s="4">
        <v>7</v>
      </c>
      <c r="D831" s="4">
        <v>4</v>
      </c>
      <c r="E831" s="4" t="s">
        <v>2124</v>
      </c>
      <c r="F831" s="4">
        <v>70441</v>
      </c>
      <c r="H831" s="4">
        <f t="shared" ref="H831:H835" si="23">A832</f>
        <v>100070442</v>
      </c>
      <c r="I831" s="4" t="s">
        <v>2173</v>
      </c>
      <c r="L831" s="4" t="s">
        <v>1806</v>
      </c>
      <c r="O831" s="38">
        <v>11012</v>
      </c>
      <c r="P831" s="60" t="s">
        <v>1838</v>
      </c>
      <c r="R831" s="50">
        <v>1</v>
      </c>
      <c r="V831" s="50">
        <v>76010</v>
      </c>
      <c r="AA831" s="4" t="s">
        <v>2174</v>
      </c>
    </row>
    <row r="832" spans="1:27">
      <c r="A832" s="4">
        <v>100070442</v>
      </c>
      <c r="B832" s="4">
        <v>7</v>
      </c>
      <c r="D832" s="4">
        <v>4</v>
      </c>
      <c r="E832" s="4" t="s">
        <v>2124</v>
      </c>
      <c r="F832" s="4">
        <v>70441</v>
      </c>
      <c r="H832" s="4">
        <f t="shared" si="23"/>
        <v>100070443</v>
      </c>
      <c r="I832" s="4" t="s">
        <v>2175</v>
      </c>
      <c r="L832" s="4" t="s">
        <v>1810</v>
      </c>
      <c r="O832" s="38">
        <v>11012</v>
      </c>
      <c r="P832" s="60" t="s">
        <v>1838</v>
      </c>
      <c r="R832" s="50">
        <v>1</v>
      </c>
      <c r="V832" s="50">
        <v>76010</v>
      </c>
      <c r="AA832" s="4" t="s">
        <v>2176</v>
      </c>
    </row>
    <row r="833" spans="1:27">
      <c r="A833" s="4">
        <v>100070443</v>
      </c>
      <c r="B833" s="4">
        <v>7</v>
      </c>
      <c r="D833" s="4">
        <v>4</v>
      </c>
      <c r="E833" s="4" t="s">
        <v>2124</v>
      </c>
      <c r="F833" s="4">
        <v>70441</v>
      </c>
      <c r="H833" s="4">
        <f t="shared" si="23"/>
        <v>100070444</v>
      </c>
      <c r="I833" s="4" t="s">
        <v>2177</v>
      </c>
      <c r="L833" s="4" t="s">
        <v>1813</v>
      </c>
      <c r="O833" s="38">
        <v>11012</v>
      </c>
      <c r="P833" s="60" t="s">
        <v>1838</v>
      </c>
      <c r="R833" s="50">
        <v>1</v>
      </c>
      <c r="V833" s="50">
        <v>76010</v>
      </c>
      <c r="AA833" s="4" t="s">
        <v>2178</v>
      </c>
    </row>
    <row r="834" spans="1:27">
      <c r="A834" s="4">
        <v>100070444</v>
      </c>
      <c r="B834" s="4">
        <v>7</v>
      </c>
      <c r="D834" s="4">
        <v>4</v>
      </c>
      <c r="E834" s="4" t="s">
        <v>2124</v>
      </c>
      <c r="F834" s="4">
        <v>70441</v>
      </c>
      <c r="H834" s="4">
        <f t="shared" si="23"/>
        <v>100070445</v>
      </c>
      <c r="I834" s="4" t="s">
        <v>2179</v>
      </c>
      <c r="L834" s="4" t="s">
        <v>1816</v>
      </c>
      <c r="O834" s="38">
        <v>11012</v>
      </c>
      <c r="P834" s="60" t="s">
        <v>1838</v>
      </c>
      <c r="R834" s="50">
        <v>1</v>
      </c>
      <c r="V834" s="50">
        <v>76010</v>
      </c>
      <c r="AA834" s="4" t="s">
        <v>2180</v>
      </c>
    </row>
    <row r="835" spans="1:27">
      <c r="A835" s="4">
        <v>100070445</v>
      </c>
      <c r="B835" s="4">
        <v>7</v>
      </c>
      <c r="D835" s="4">
        <v>4</v>
      </c>
      <c r="E835" s="4" t="s">
        <v>2124</v>
      </c>
      <c r="F835" s="4">
        <v>70441</v>
      </c>
      <c r="H835" s="4">
        <f t="shared" si="23"/>
        <v>100070446</v>
      </c>
      <c r="I835" s="4" t="s">
        <v>2181</v>
      </c>
      <c r="L835" s="4" t="s">
        <v>1819</v>
      </c>
      <c r="O835" s="38">
        <v>11012</v>
      </c>
      <c r="P835" s="60" t="s">
        <v>1838</v>
      </c>
      <c r="R835" s="50">
        <v>1</v>
      </c>
      <c r="V835" s="50">
        <v>76010</v>
      </c>
      <c r="AA835" s="4" t="s">
        <v>2182</v>
      </c>
    </row>
    <row r="836" spans="1:27">
      <c r="A836" s="4">
        <v>100070446</v>
      </c>
      <c r="B836" s="4">
        <v>7</v>
      </c>
      <c r="D836" s="4">
        <v>4</v>
      </c>
      <c r="E836" s="4" t="s">
        <v>2124</v>
      </c>
      <c r="F836" s="4">
        <v>70441</v>
      </c>
      <c r="I836" s="4" t="s">
        <v>2183</v>
      </c>
      <c r="L836" s="4" t="s">
        <v>1822</v>
      </c>
      <c r="O836" s="38">
        <v>11012</v>
      </c>
      <c r="P836" s="60" t="s">
        <v>1838</v>
      </c>
      <c r="R836" s="50">
        <v>1</v>
      </c>
      <c r="V836" s="50">
        <v>76010</v>
      </c>
      <c r="AA836" s="4" t="s">
        <v>2184</v>
      </c>
    </row>
    <row r="837" spans="1:27">
      <c r="A837" s="4">
        <v>100070451</v>
      </c>
      <c r="B837" s="4">
        <v>7</v>
      </c>
      <c r="D837" s="4">
        <v>4</v>
      </c>
      <c r="E837" s="4" t="s">
        <v>2124</v>
      </c>
      <c r="F837" s="4">
        <v>70451</v>
      </c>
      <c r="H837" s="4">
        <f t="shared" ref="H837:H841" si="24">A838</f>
        <v>100070452</v>
      </c>
      <c r="I837" s="4" t="s">
        <v>2185</v>
      </c>
      <c r="L837" s="4" t="s">
        <v>1806</v>
      </c>
      <c r="O837" s="38">
        <v>11012</v>
      </c>
      <c r="P837" s="60" t="s">
        <v>1877</v>
      </c>
      <c r="R837" s="50">
        <v>1</v>
      </c>
      <c r="V837" s="50">
        <v>76006</v>
      </c>
      <c r="AA837" s="4" t="s">
        <v>2186</v>
      </c>
    </row>
    <row r="838" spans="1:27">
      <c r="A838" s="4">
        <v>100070452</v>
      </c>
      <c r="B838" s="4">
        <v>7</v>
      </c>
      <c r="D838" s="4">
        <v>4</v>
      </c>
      <c r="E838" s="4" t="s">
        <v>2124</v>
      </c>
      <c r="F838" s="4">
        <v>70451</v>
      </c>
      <c r="H838" s="4">
        <f t="shared" si="24"/>
        <v>100070453</v>
      </c>
      <c r="I838" s="4" t="s">
        <v>2187</v>
      </c>
      <c r="L838" s="4" t="s">
        <v>1810</v>
      </c>
      <c r="O838" s="38">
        <v>11012</v>
      </c>
      <c r="P838" s="60" t="s">
        <v>1877</v>
      </c>
      <c r="R838" s="50">
        <v>1</v>
      </c>
      <c r="V838" s="50">
        <v>76006</v>
      </c>
      <c r="AA838" s="4" t="s">
        <v>2188</v>
      </c>
    </row>
    <row r="839" spans="1:27">
      <c r="A839" s="4">
        <v>100070453</v>
      </c>
      <c r="B839" s="4">
        <v>7</v>
      </c>
      <c r="D839" s="4">
        <v>4</v>
      </c>
      <c r="E839" s="4" t="s">
        <v>2124</v>
      </c>
      <c r="F839" s="4">
        <v>70451</v>
      </c>
      <c r="H839" s="4">
        <f t="shared" si="24"/>
        <v>100070454</v>
      </c>
      <c r="I839" s="4" t="s">
        <v>2189</v>
      </c>
      <c r="L839" s="4" t="s">
        <v>1813</v>
      </c>
      <c r="O839" s="38">
        <v>11012</v>
      </c>
      <c r="P839" s="60" t="s">
        <v>1877</v>
      </c>
      <c r="R839" s="50">
        <v>1</v>
      </c>
      <c r="V839" s="50">
        <v>76006</v>
      </c>
      <c r="AA839" s="4" t="s">
        <v>2190</v>
      </c>
    </row>
    <row r="840" spans="1:27">
      <c r="A840" s="4">
        <v>100070454</v>
      </c>
      <c r="B840" s="4">
        <v>7</v>
      </c>
      <c r="D840" s="4">
        <v>4</v>
      </c>
      <c r="E840" s="4" t="s">
        <v>2124</v>
      </c>
      <c r="F840" s="4">
        <v>70451</v>
      </c>
      <c r="H840" s="4">
        <f t="shared" si="24"/>
        <v>100070455</v>
      </c>
      <c r="I840" s="4" t="s">
        <v>2191</v>
      </c>
      <c r="L840" s="4" t="s">
        <v>1816</v>
      </c>
      <c r="O840" s="38">
        <v>11012</v>
      </c>
      <c r="P840" s="60" t="s">
        <v>1877</v>
      </c>
      <c r="R840" s="50">
        <v>1</v>
      </c>
      <c r="V840" s="50">
        <v>76006</v>
      </c>
      <c r="AA840" s="4" t="s">
        <v>2192</v>
      </c>
    </row>
    <row r="841" spans="1:27">
      <c r="A841" s="4">
        <v>100070455</v>
      </c>
      <c r="B841" s="4">
        <v>7</v>
      </c>
      <c r="D841" s="4">
        <v>4</v>
      </c>
      <c r="E841" s="4" t="s">
        <v>2124</v>
      </c>
      <c r="F841" s="4">
        <v>70451</v>
      </c>
      <c r="H841" s="4">
        <f t="shared" si="24"/>
        <v>100070456</v>
      </c>
      <c r="I841" s="4" t="s">
        <v>2193</v>
      </c>
      <c r="L841" s="4" t="s">
        <v>1819</v>
      </c>
      <c r="O841" s="38">
        <v>11012</v>
      </c>
      <c r="P841" s="60" t="s">
        <v>1877</v>
      </c>
      <c r="R841" s="50">
        <v>1</v>
      </c>
      <c r="V841" s="50">
        <v>76006</v>
      </c>
      <c r="AA841" s="4" t="s">
        <v>2194</v>
      </c>
    </row>
    <row r="842" spans="1:27">
      <c r="A842" s="4">
        <v>100070456</v>
      </c>
      <c r="B842" s="4">
        <v>7</v>
      </c>
      <c r="D842" s="4">
        <v>4</v>
      </c>
      <c r="E842" s="4" t="s">
        <v>2124</v>
      </c>
      <c r="F842" s="4">
        <v>70451</v>
      </c>
      <c r="I842" s="4" t="s">
        <v>2195</v>
      </c>
      <c r="L842" s="4" t="s">
        <v>1822</v>
      </c>
      <c r="O842" s="38">
        <v>11012</v>
      </c>
      <c r="P842" s="60" t="s">
        <v>1877</v>
      </c>
      <c r="R842" s="50">
        <v>1</v>
      </c>
      <c r="V842" s="50">
        <v>76006</v>
      </c>
      <c r="AA842" s="4" t="s">
        <v>2196</v>
      </c>
    </row>
    <row r="843" spans="1:27">
      <c r="A843" s="4">
        <v>100070461</v>
      </c>
      <c r="B843" s="4">
        <v>7</v>
      </c>
      <c r="D843" s="4">
        <v>4</v>
      </c>
      <c r="E843" s="4" t="s">
        <v>2124</v>
      </c>
      <c r="F843" s="4">
        <v>70461</v>
      </c>
      <c r="H843" s="4">
        <f t="shared" ref="H843:H849" si="25">A844</f>
        <v>100070462</v>
      </c>
      <c r="I843" s="4" t="s">
        <v>2197</v>
      </c>
      <c r="L843" s="4" t="s">
        <v>1806</v>
      </c>
      <c r="O843" s="38">
        <v>11012</v>
      </c>
      <c r="P843" s="60" t="s">
        <v>1890</v>
      </c>
      <c r="R843" s="50">
        <v>1</v>
      </c>
      <c r="V843" s="50">
        <v>76007</v>
      </c>
      <c r="AA843" s="4" t="s">
        <v>2198</v>
      </c>
    </row>
    <row r="844" spans="1:27">
      <c r="A844" s="4">
        <v>100070462</v>
      </c>
      <c r="B844" s="4">
        <v>7</v>
      </c>
      <c r="D844" s="4">
        <v>4</v>
      </c>
      <c r="E844" s="4" t="s">
        <v>2124</v>
      </c>
      <c r="F844" s="4">
        <v>70461</v>
      </c>
      <c r="H844" s="4">
        <f t="shared" si="25"/>
        <v>100070463</v>
      </c>
      <c r="I844" s="4" t="s">
        <v>2199</v>
      </c>
      <c r="L844" s="4" t="s">
        <v>1810</v>
      </c>
      <c r="O844" s="38">
        <v>11012</v>
      </c>
      <c r="P844" s="60" t="s">
        <v>1890</v>
      </c>
      <c r="R844" s="50">
        <v>1</v>
      </c>
      <c r="V844" s="50">
        <v>76007</v>
      </c>
      <c r="AA844" s="4" t="s">
        <v>2200</v>
      </c>
    </row>
    <row r="845" spans="1:27">
      <c r="A845" s="4">
        <v>100070463</v>
      </c>
      <c r="B845" s="4">
        <v>7</v>
      </c>
      <c r="D845" s="4">
        <v>4</v>
      </c>
      <c r="E845" s="4" t="s">
        <v>2124</v>
      </c>
      <c r="F845" s="4">
        <v>70461</v>
      </c>
      <c r="H845" s="4">
        <f t="shared" si="25"/>
        <v>100070464</v>
      </c>
      <c r="I845" s="4" t="s">
        <v>2201</v>
      </c>
      <c r="L845" s="4" t="s">
        <v>1895</v>
      </c>
      <c r="O845" s="38">
        <v>11012</v>
      </c>
      <c r="P845" s="60" t="s">
        <v>1890</v>
      </c>
      <c r="R845" s="50">
        <v>1</v>
      </c>
      <c r="V845" s="50">
        <v>76007</v>
      </c>
      <c r="AA845" s="4" t="s">
        <v>2202</v>
      </c>
    </row>
    <row r="846" spans="1:27">
      <c r="A846" s="4">
        <v>100070464</v>
      </c>
      <c r="B846" s="4">
        <v>7</v>
      </c>
      <c r="D846" s="4">
        <v>4</v>
      </c>
      <c r="E846" s="4" t="s">
        <v>2124</v>
      </c>
      <c r="F846" s="4">
        <v>70461</v>
      </c>
      <c r="H846" s="4">
        <f t="shared" si="25"/>
        <v>100070465</v>
      </c>
      <c r="I846" s="4" t="s">
        <v>2203</v>
      </c>
      <c r="L846" s="4" t="s">
        <v>1813</v>
      </c>
      <c r="O846" s="38">
        <v>11012</v>
      </c>
      <c r="P846" s="60" t="s">
        <v>1890</v>
      </c>
      <c r="R846" s="50">
        <v>1</v>
      </c>
      <c r="V846" s="50">
        <v>76007</v>
      </c>
      <c r="AA846" s="4" t="s">
        <v>2204</v>
      </c>
    </row>
    <row r="847" spans="1:27">
      <c r="A847" s="4">
        <v>100070465</v>
      </c>
      <c r="B847" s="4">
        <v>7</v>
      </c>
      <c r="D847" s="4">
        <v>4</v>
      </c>
      <c r="E847" s="4" t="s">
        <v>2124</v>
      </c>
      <c r="F847" s="4">
        <v>70461</v>
      </c>
      <c r="H847" s="4">
        <f t="shared" si="25"/>
        <v>100070466</v>
      </c>
      <c r="I847" s="4" t="s">
        <v>2205</v>
      </c>
      <c r="L847" s="4" t="s">
        <v>1900</v>
      </c>
      <c r="O847" s="38">
        <v>11012</v>
      </c>
      <c r="P847" s="60" t="s">
        <v>1890</v>
      </c>
      <c r="R847" s="50">
        <v>1</v>
      </c>
      <c r="V847" s="50">
        <v>76007</v>
      </c>
      <c r="AA847" s="4" t="s">
        <v>2206</v>
      </c>
    </row>
    <row r="848" spans="1:27">
      <c r="A848" s="4">
        <v>100070466</v>
      </c>
      <c r="B848" s="4">
        <v>7</v>
      </c>
      <c r="D848" s="4">
        <v>4</v>
      </c>
      <c r="E848" s="4" t="s">
        <v>2124</v>
      </c>
      <c r="F848" s="4">
        <v>70461</v>
      </c>
      <c r="H848" s="4">
        <f t="shared" si="25"/>
        <v>100070467</v>
      </c>
      <c r="I848" s="4" t="s">
        <v>2207</v>
      </c>
      <c r="L848" s="4" t="s">
        <v>1903</v>
      </c>
      <c r="O848" s="38">
        <v>11012</v>
      </c>
      <c r="P848" s="60" t="s">
        <v>1890</v>
      </c>
      <c r="R848" s="50">
        <v>1</v>
      </c>
      <c r="V848" s="50">
        <v>76007</v>
      </c>
      <c r="AA848" s="4" t="s">
        <v>2208</v>
      </c>
    </row>
    <row r="849" spans="1:27">
      <c r="A849" s="4">
        <v>100070467</v>
      </c>
      <c r="B849" s="4">
        <v>7</v>
      </c>
      <c r="D849" s="4">
        <v>4</v>
      </c>
      <c r="E849" s="4" t="s">
        <v>2124</v>
      </c>
      <c r="F849" s="4">
        <v>70461</v>
      </c>
      <c r="H849" s="4">
        <f t="shared" si="25"/>
        <v>100070468</v>
      </c>
      <c r="I849" s="4" t="s">
        <v>2209</v>
      </c>
      <c r="L849" s="4" t="s">
        <v>1906</v>
      </c>
      <c r="O849" s="38">
        <v>11012</v>
      </c>
      <c r="P849" s="60" t="s">
        <v>1890</v>
      </c>
      <c r="R849" s="50">
        <v>1</v>
      </c>
      <c r="V849" s="50">
        <v>76007</v>
      </c>
      <c r="AA849" s="4" t="s">
        <v>2210</v>
      </c>
    </row>
    <row r="850" spans="1:27">
      <c r="A850" s="4">
        <v>100070468</v>
      </c>
      <c r="B850" s="4">
        <v>7</v>
      </c>
      <c r="D850" s="4">
        <v>4</v>
      </c>
      <c r="E850" s="4" t="s">
        <v>2124</v>
      </c>
      <c r="F850" s="4">
        <v>70461</v>
      </c>
      <c r="I850" s="4" t="s">
        <v>2211</v>
      </c>
      <c r="L850" s="4" t="s">
        <v>1816</v>
      </c>
      <c r="O850" s="38">
        <v>11012</v>
      </c>
      <c r="P850" s="60" t="s">
        <v>1890</v>
      </c>
      <c r="R850" s="50">
        <v>1</v>
      </c>
      <c r="V850" s="50">
        <v>76007</v>
      </c>
      <c r="AA850" s="4" t="s">
        <v>2212</v>
      </c>
    </row>
    <row r="851" spans="1:27">
      <c r="A851" s="4">
        <v>100070471</v>
      </c>
      <c r="B851" s="4">
        <v>7</v>
      </c>
      <c r="D851" s="4">
        <v>4</v>
      </c>
      <c r="E851" s="4" t="s">
        <v>2124</v>
      </c>
      <c r="F851" s="4">
        <v>70471</v>
      </c>
      <c r="H851" s="4">
        <f t="shared" ref="H851:H855" si="26">A852</f>
        <v>100070472</v>
      </c>
      <c r="I851" s="4" t="s">
        <v>2213</v>
      </c>
      <c r="L851" s="4" t="s">
        <v>1806</v>
      </c>
      <c r="O851" s="38">
        <v>11012</v>
      </c>
      <c r="P851" s="60" t="s">
        <v>1911</v>
      </c>
      <c r="R851" s="50">
        <v>1</v>
      </c>
      <c r="V851" s="50">
        <v>76009</v>
      </c>
      <c r="AA851" s="4" t="s">
        <v>2214</v>
      </c>
    </row>
    <row r="852" spans="1:27">
      <c r="A852" s="4">
        <v>100070472</v>
      </c>
      <c r="B852" s="4">
        <v>7</v>
      </c>
      <c r="D852" s="4">
        <v>4</v>
      </c>
      <c r="E852" s="4" t="s">
        <v>2124</v>
      </c>
      <c r="F852" s="4">
        <v>70471</v>
      </c>
      <c r="H852" s="4">
        <f t="shared" si="26"/>
        <v>100070473</v>
      </c>
      <c r="I852" s="4" t="s">
        <v>2215</v>
      </c>
      <c r="L852" s="4" t="s">
        <v>1810</v>
      </c>
      <c r="O852" s="38">
        <v>11012</v>
      </c>
      <c r="P852" s="60" t="s">
        <v>1911</v>
      </c>
      <c r="R852" s="50">
        <v>1</v>
      </c>
      <c r="V852" s="50">
        <v>76009</v>
      </c>
      <c r="AA852" s="4" t="s">
        <v>2216</v>
      </c>
    </row>
    <row r="853" spans="1:27">
      <c r="A853" s="4">
        <v>100070473</v>
      </c>
      <c r="B853" s="4">
        <v>7</v>
      </c>
      <c r="D853" s="4">
        <v>4</v>
      </c>
      <c r="E853" s="4" t="s">
        <v>2124</v>
      </c>
      <c r="F853" s="4">
        <v>70471</v>
      </c>
      <c r="H853" s="4">
        <f t="shared" si="26"/>
        <v>100070474</v>
      </c>
      <c r="I853" s="4" t="s">
        <v>2217</v>
      </c>
      <c r="L853" s="4" t="s">
        <v>1813</v>
      </c>
      <c r="O853" s="38">
        <v>11012</v>
      </c>
      <c r="P853" s="60" t="s">
        <v>1911</v>
      </c>
      <c r="R853" s="50">
        <v>1</v>
      </c>
      <c r="V853" s="50">
        <v>76009</v>
      </c>
      <c r="AA853" s="4" t="s">
        <v>2218</v>
      </c>
    </row>
    <row r="854" spans="1:27">
      <c r="A854" s="4">
        <v>100070474</v>
      </c>
      <c r="B854" s="4">
        <v>7</v>
      </c>
      <c r="D854" s="4">
        <v>4</v>
      </c>
      <c r="E854" s="4" t="s">
        <v>2124</v>
      </c>
      <c r="F854" s="4">
        <v>70471</v>
      </c>
      <c r="H854" s="4">
        <f t="shared" si="26"/>
        <v>100070475</v>
      </c>
      <c r="I854" s="4" t="s">
        <v>2219</v>
      </c>
      <c r="L854" s="4" t="s">
        <v>1816</v>
      </c>
      <c r="O854" s="38">
        <v>11012</v>
      </c>
      <c r="P854" s="60" t="s">
        <v>1911</v>
      </c>
      <c r="R854" s="50">
        <v>1</v>
      </c>
      <c r="V854" s="50">
        <v>76009</v>
      </c>
      <c r="AA854" s="4" t="s">
        <v>2220</v>
      </c>
    </row>
    <row r="855" spans="1:27">
      <c r="A855" s="4">
        <v>100070475</v>
      </c>
      <c r="B855" s="4">
        <v>7</v>
      </c>
      <c r="D855" s="4">
        <v>4</v>
      </c>
      <c r="E855" s="4" t="s">
        <v>2124</v>
      </c>
      <c r="F855" s="4">
        <v>70471</v>
      </c>
      <c r="H855" s="4">
        <f t="shared" si="26"/>
        <v>100070476</v>
      </c>
      <c r="I855" s="4" t="s">
        <v>2221</v>
      </c>
      <c r="L855" s="4" t="s">
        <v>1819</v>
      </c>
      <c r="O855" s="38">
        <v>11012</v>
      </c>
      <c r="P855" s="60" t="s">
        <v>1911</v>
      </c>
      <c r="R855" s="50">
        <v>1</v>
      </c>
      <c r="V855" s="50">
        <v>76009</v>
      </c>
      <c r="AA855" s="4" t="s">
        <v>2222</v>
      </c>
    </row>
    <row r="856" spans="1:27">
      <c r="A856" s="4">
        <v>100070476</v>
      </c>
      <c r="B856" s="4">
        <v>7</v>
      </c>
      <c r="D856" s="4">
        <v>4</v>
      </c>
      <c r="E856" s="4" t="s">
        <v>2124</v>
      </c>
      <c r="F856" s="4">
        <v>70471</v>
      </c>
      <c r="I856" s="4" t="s">
        <v>2223</v>
      </c>
      <c r="L856" s="4" t="s">
        <v>1822</v>
      </c>
      <c r="O856" s="38">
        <v>11012</v>
      </c>
      <c r="P856" s="60" t="s">
        <v>1911</v>
      </c>
      <c r="R856" s="50">
        <v>1</v>
      </c>
      <c r="V856" s="50">
        <v>76009</v>
      </c>
      <c r="AA856" s="4" t="s">
        <v>2224</v>
      </c>
    </row>
    <row r="857" spans="1:27">
      <c r="A857" s="4">
        <v>100070501</v>
      </c>
      <c r="B857" s="4">
        <v>7</v>
      </c>
      <c r="C857" s="4" t="s">
        <v>1803</v>
      </c>
      <c r="D857" s="4">
        <v>5</v>
      </c>
      <c r="E857" s="4" t="s">
        <v>2225</v>
      </c>
      <c r="F857" s="4">
        <v>70501</v>
      </c>
      <c r="H857" s="4">
        <f t="shared" ref="H857:H861" si="27">A858</f>
        <v>100070502</v>
      </c>
      <c r="I857" s="4" t="s">
        <v>2226</v>
      </c>
      <c r="L857" s="4" t="s">
        <v>1806</v>
      </c>
      <c r="O857" s="38">
        <v>3207</v>
      </c>
      <c r="P857" s="38" t="s">
        <v>1807</v>
      </c>
      <c r="R857" s="50">
        <v>1</v>
      </c>
      <c r="V857" s="59">
        <v>76001</v>
      </c>
      <c r="AA857" s="4" t="s">
        <v>2227</v>
      </c>
    </row>
    <row r="858" spans="1:27">
      <c r="A858" s="4">
        <v>100070502</v>
      </c>
      <c r="B858" s="4">
        <v>7</v>
      </c>
      <c r="C858" s="4" t="s">
        <v>1803</v>
      </c>
      <c r="D858" s="4">
        <v>5</v>
      </c>
      <c r="E858" s="4" t="s">
        <v>2225</v>
      </c>
      <c r="F858" s="4">
        <v>70501</v>
      </c>
      <c r="H858" s="4">
        <f t="shared" si="27"/>
        <v>100070503</v>
      </c>
      <c r="I858" s="4" t="s">
        <v>2228</v>
      </c>
      <c r="L858" s="4" t="s">
        <v>1810</v>
      </c>
      <c r="O858" s="38">
        <v>3207</v>
      </c>
      <c r="P858" s="38" t="s">
        <v>1807</v>
      </c>
      <c r="R858" s="50">
        <v>1</v>
      </c>
      <c r="V858" s="59">
        <v>76001</v>
      </c>
      <c r="AA858" s="4" t="s">
        <v>2229</v>
      </c>
    </row>
    <row r="859" spans="1:27">
      <c r="A859" s="4">
        <v>100070503</v>
      </c>
      <c r="B859" s="4">
        <v>7</v>
      </c>
      <c r="C859" s="4" t="s">
        <v>1803</v>
      </c>
      <c r="D859" s="4">
        <v>5</v>
      </c>
      <c r="E859" s="4" t="s">
        <v>2225</v>
      </c>
      <c r="F859" s="4">
        <v>70501</v>
      </c>
      <c r="H859" s="4">
        <f t="shared" si="27"/>
        <v>100070504</v>
      </c>
      <c r="I859" s="4" t="s">
        <v>2230</v>
      </c>
      <c r="L859" s="4" t="s">
        <v>1813</v>
      </c>
      <c r="O859" s="38">
        <v>3207</v>
      </c>
      <c r="P859" s="38" t="s">
        <v>1807</v>
      </c>
      <c r="R859" s="50">
        <v>1</v>
      </c>
      <c r="V859" s="59">
        <v>76001</v>
      </c>
      <c r="AA859" s="4" t="s">
        <v>2231</v>
      </c>
    </row>
    <row r="860" spans="1:27">
      <c r="A860" s="4">
        <v>100070504</v>
      </c>
      <c r="B860" s="4">
        <v>7</v>
      </c>
      <c r="C860" s="4" t="s">
        <v>1803</v>
      </c>
      <c r="D860" s="4">
        <v>5</v>
      </c>
      <c r="E860" s="4" t="s">
        <v>2225</v>
      </c>
      <c r="F860" s="4">
        <v>70501</v>
      </c>
      <c r="H860" s="4">
        <f t="shared" si="27"/>
        <v>100070505</v>
      </c>
      <c r="I860" s="4" t="s">
        <v>2232</v>
      </c>
      <c r="L860" s="4" t="s">
        <v>1816</v>
      </c>
      <c r="O860" s="38">
        <v>3207</v>
      </c>
      <c r="P860" s="38" t="s">
        <v>1807</v>
      </c>
      <c r="R860" s="50">
        <v>1</v>
      </c>
      <c r="V860" s="59">
        <v>76001</v>
      </c>
      <c r="AA860" s="4" t="s">
        <v>2233</v>
      </c>
    </row>
    <row r="861" spans="1:27">
      <c r="A861" s="4">
        <v>100070505</v>
      </c>
      <c r="B861" s="4">
        <v>7</v>
      </c>
      <c r="C861" s="4" t="s">
        <v>1803</v>
      </c>
      <c r="D861" s="4">
        <v>5</v>
      </c>
      <c r="E861" s="4" t="s">
        <v>2225</v>
      </c>
      <c r="F861" s="4">
        <v>70501</v>
      </c>
      <c r="H861" s="4">
        <f t="shared" si="27"/>
        <v>100070506</v>
      </c>
      <c r="I861" s="4" t="s">
        <v>2234</v>
      </c>
      <c r="L861" s="4" t="s">
        <v>1819</v>
      </c>
      <c r="O861" s="38">
        <v>3207</v>
      </c>
      <c r="P861" s="38" t="s">
        <v>1807</v>
      </c>
      <c r="R861" s="50">
        <v>1</v>
      </c>
      <c r="V861" s="59">
        <v>76001</v>
      </c>
      <c r="AA861" s="4" t="s">
        <v>2235</v>
      </c>
    </row>
    <row r="862" spans="1:27">
      <c r="A862" s="4">
        <v>100070506</v>
      </c>
      <c r="B862" s="4">
        <v>7</v>
      </c>
      <c r="C862" s="4" t="s">
        <v>1803</v>
      </c>
      <c r="D862" s="4">
        <v>5</v>
      </c>
      <c r="E862" s="4" t="s">
        <v>2225</v>
      </c>
      <c r="F862" s="4">
        <v>70501</v>
      </c>
      <c r="I862" s="4" t="s">
        <v>2236</v>
      </c>
      <c r="L862" s="4" t="s">
        <v>1822</v>
      </c>
      <c r="O862" s="38">
        <v>3207</v>
      </c>
      <c r="P862" s="38" t="s">
        <v>1807</v>
      </c>
      <c r="R862" s="50">
        <v>1</v>
      </c>
      <c r="V862" s="59">
        <v>76001</v>
      </c>
      <c r="AA862" s="4" t="s">
        <v>2237</v>
      </c>
    </row>
    <row r="863" spans="1:27">
      <c r="A863" s="4">
        <v>100070511</v>
      </c>
      <c r="B863" s="4">
        <v>7</v>
      </c>
      <c r="D863" s="4">
        <v>5</v>
      </c>
      <c r="E863" s="4" t="s">
        <v>2225</v>
      </c>
      <c r="F863" s="4">
        <v>70511</v>
      </c>
      <c r="H863" s="4">
        <f t="shared" ref="H863:H867" si="28">A864</f>
        <v>100070512</v>
      </c>
      <c r="I863" s="4" t="s">
        <v>2238</v>
      </c>
      <c r="L863" s="4" t="s">
        <v>1806</v>
      </c>
      <c r="O863" s="38">
        <v>3306</v>
      </c>
      <c r="P863" s="38" t="s">
        <v>1825</v>
      </c>
      <c r="R863" s="50">
        <v>1</v>
      </c>
      <c r="V863" s="50">
        <v>76002</v>
      </c>
      <c r="AA863" s="4" t="s">
        <v>2239</v>
      </c>
    </row>
    <row r="864" spans="1:27">
      <c r="A864" s="4">
        <v>100070512</v>
      </c>
      <c r="B864" s="4">
        <v>7</v>
      </c>
      <c r="D864" s="4">
        <v>5</v>
      </c>
      <c r="E864" s="4" t="s">
        <v>2225</v>
      </c>
      <c r="F864" s="4">
        <v>70511</v>
      </c>
      <c r="H864" s="4">
        <f t="shared" si="28"/>
        <v>100070513</v>
      </c>
      <c r="I864" s="4" t="s">
        <v>2240</v>
      </c>
      <c r="L864" s="4" t="s">
        <v>1810</v>
      </c>
      <c r="O864" s="38">
        <v>3306</v>
      </c>
      <c r="P864" s="38" t="s">
        <v>1825</v>
      </c>
      <c r="R864" s="50">
        <v>1</v>
      </c>
      <c r="V864" s="50">
        <v>76002</v>
      </c>
      <c r="AA864" s="4" t="s">
        <v>2241</v>
      </c>
    </row>
    <row r="865" spans="1:27">
      <c r="A865" s="4">
        <v>100070513</v>
      </c>
      <c r="B865" s="4">
        <v>7</v>
      </c>
      <c r="D865" s="4">
        <v>5</v>
      </c>
      <c r="E865" s="4" t="s">
        <v>2225</v>
      </c>
      <c r="F865" s="4">
        <v>70511</v>
      </c>
      <c r="H865" s="4">
        <f t="shared" si="28"/>
        <v>100070514</v>
      </c>
      <c r="I865" s="4" t="s">
        <v>2242</v>
      </c>
      <c r="L865" s="4" t="s">
        <v>1813</v>
      </c>
      <c r="O865" s="38">
        <v>3306</v>
      </c>
      <c r="P865" s="38" t="s">
        <v>1825</v>
      </c>
      <c r="R865" s="50">
        <v>1</v>
      </c>
      <c r="V865" s="50">
        <v>76002</v>
      </c>
      <c r="AA865" s="4" t="s">
        <v>2243</v>
      </c>
    </row>
    <row r="866" spans="1:27">
      <c r="A866" s="4">
        <v>100070514</v>
      </c>
      <c r="B866" s="4">
        <v>7</v>
      </c>
      <c r="D866" s="4">
        <v>5</v>
      </c>
      <c r="E866" s="4" t="s">
        <v>2225</v>
      </c>
      <c r="F866" s="4">
        <v>70511</v>
      </c>
      <c r="H866" s="4">
        <f t="shared" si="28"/>
        <v>100070515</v>
      </c>
      <c r="I866" s="4" t="s">
        <v>2244</v>
      </c>
      <c r="L866" s="4" t="s">
        <v>1816</v>
      </c>
      <c r="O866" s="38">
        <v>3306</v>
      </c>
      <c r="P866" s="38" t="s">
        <v>1825</v>
      </c>
      <c r="R866" s="50">
        <v>1</v>
      </c>
      <c r="V866" s="50">
        <v>76002</v>
      </c>
      <c r="AA866" s="4" t="s">
        <v>2245</v>
      </c>
    </row>
    <row r="867" spans="1:27">
      <c r="A867" s="4">
        <v>100070515</v>
      </c>
      <c r="B867" s="4">
        <v>7</v>
      </c>
      <c r="D867" s="4">
        <v>5</v>
      </c>
      <c r="E867" s="4" t="s">
        <v>2225</v>
      </c>
      <c r="F867" s="4">
        <v>70511</v>
      </c>
      <c r="H867" s="4">
        <f t="shared" si="28"/>
        <v>100070516</v>
      </c>
      <c r="I867" s="4" t="s">
        <v>2246</v>
      </c>
      <c r="L867" s="4" t="s">
        <v>1819</v>
      </c>
      <c r="O867" s="38">
        <v>3306</v>
      </c>
      <c r="P867" s="38" t="s">
        <v>1825</v>
      </c>
      <c r="R867" s="50">
        <v>1</v>
      </c>
      <c r="V867" s="50">
        <v>76002</v>
      </c>
      <c r="AA867" s="4" t="s">
        <v>2247</v>
      </c>
    </row>
    <row r="868" spans="1:27">
      <c r="A868" s="4">
        <v>100070516</v>
      </c>
      <c r="B868" s="4">
        <v>7</v>
      </c>
      <c r="D868" s="4">
        <v>5</v>
      </c>
      <c r="E868" s="4" t="s">
        <v>2225</v>
      </c>
      <c r="F868" s="4">
        <v>70511</v>
      </c>
      <c r="I868" s="4" t="s">
        <v>2248</v>
      </c>
      <c r="L868" s="4" t="s">
        <v>1822</v>
      </c>
      <c r="O868" s="38">
        <v>3306</v>
      </c>
      <c r="P868" s="38" t="s">
        <v>1825</v>
      </c>
      <c r="R868" s="50">
        <v>1</v>
      </c>
      <c r="V868" s="50">
        <v>76002</v>
      </c>
      <c r="AA868" s="4" t="s">
        <v>2249</v>
      </c>
    </row>
    <row r="869" spans="1:27">
      <c r="A869" s="4">
        <v>100070521</v>
      </c>
      <c r="B869" s="4">
        <v>7</v>
      </c>
      <c r="D869" s="4">
        <v>5</v>
      </c>
      <c r="E869" s="4" t="s">
        <v>2225</v>
      </c>
      <c r="F869" s="4">
        <v>70521</v>
      </c>
      <c r="H869" s="4">
        <f t="shared" ref="H869:H873" si="29">A870</f>
        <v>100070522</v>
      </c>
      <c r="I869" s="4" t="s">
        <v>2250</v>
      </c>
      <c r="L869" s="4" t="s">
        <v>1806</v>
      </c>
      <c r="O869" s="38">
        <v>11028</v>
      </c>
      <c r="P869" s="38" t="s">
        <v>1838</v>
      </c>
      <c r="R869" s="50">
        <v>1</v>
      </c>
      <c r="V869" s="50">
        <v>76003</v>
      </c>
      <c r="AA869" s="4" t="s">
        <v>2251</v>
      </c>
    </row>
    <row r="870" spans="1:27">
      <c r="A870" s="4">
        <v>100070522</v>
      </c>
      <c r="B870" s="4">
        <v>7</v>
      </c>
      <c r="D870" s="4">
        <v>5</v>
      </c>
      <c r="E870" s="4" t="s">
        <v>2225</v>
      </c>
      <c r="F870" s="4">
        <v>70521</v>
      </c>
      <c r="H870" s="4">
        <f t="shared" si="29"/>
        <v>100070523</v>
      </c>
      <c r="I870" s="4" t="s">
        <v>2252</v>
      </c>
      <c r="L870" s="4" t="s">
        <v>1810</v>
      </c>
      <c r="O870" s="38">
        <v>11028</v>
      </c>
      <c r="P870" s="38" t="s">
        <v>1838</v>
      </c>
      <c r="R870" s="50">
        <v>1</v>
      </c>
      <c r="V870" s="50">
        <v>76003</v>
      </c>
      <c r="AA870" s="4" t="s">
        <v>2253</v>
      </c>
    </row>
    <row r="871" spans="1:27">
      <c r="A871" s="4">
        <v>100070523</v>
      </c>
      <c r="B871" s="4">
        <v>7</v>
      </c>
      <c r="D871" s="4">
        <v>5</v>
      </c>
      <c r="E871" s="4" t="s">
        <v>2225</v>
      </c>
      <c r="F871" s="4">
        <v>70521</v>
      </c>
      <c r="H871" s="4">
        <f t="shared" si="29"/>
        <v>100070524</v>
      </c>
      <c r="I871" s="4" t="s">
        <v>2254</v>
      </c>
      <c r="L871" s="4" t="s">
        <v>1813</v>
      </c>
      <c r="O871" s="38">
        <v>11028</v>
      </c>
      <c r="P871" s="38" t="s">
        <v>1838</v>
      </c>
      <c r="R871" s="50">
        <v>1</v>
      </c>
      <c r="V871" s="50">
        <v>76003</v>
      </c>
      <c r="AA871" s="4" t="s">
        <v>2255</v>
      </c>
    </row>
    <row r="872" spans="1:27">
      <c r="A872" s="4">
        <v>100070524</v>
      </c>
      <c r="B872" s="4">
        <v>7</v>
      </c>
      <c r="D872" s="4">
        <v>5</v>
      </c>
      <c r="E872" s="4" t="s">
        <v>2225</v>
      </c>
      <c r="F872" s="4">
        <v>70521</v>
      </c>
      <c r="H872" s="4">
        <f t="shared" si="29"/>
        <v>100070525</v>
      </c>
      <c r="I872" s="4" t="s">
        <v>2256</v>
      </c>
      <c r="L872" s="4" t="s">
        <v>1816</v>
      </c>
      <c r="O872" s="38">
        <v>11028</v>
      </c>
      <c r="P872" s="38" t="s">
        <v>1838</v>
      </c>
      <c r="R872" s="50">
        <v>1</v>
      </c>
      <c r="V872" s="50">
        <v>76003</v>
      </c>
      <c r="AA872" s="4" t="s">
        <v>2257</v>
      </c>
    </row>
    <row r="873" spans="1:27">
      <c r="A873" s="4">
        <v>100070525</v>
      </c>
      <c r="B873" s="4">
        <v>7</v>
      </c>
      <c r="D873" s="4">
        <v>5</v>
      </c>
      <c r="E873" s="4" t="s">
        <v>2225</v>
      </c>
      <c r="F873" s="4">
        <v>70521</v>
      </c>
      <c r="H873" s="4">
        <f t="shared" si="29"/>
        <v>100070526</v>
      </c>
      <c r="I873" s="4" t="s">
        <v>2258</v>
      </c>
      <c r="L873" s="4" t="s">
        <v>1819</v>
      </c>
      <c r="O873" s="38">
        <v>11028</v>
      </c>
      <c r="P873" s="38" t="s">
        <v>1838</v>
      </c>
      <c r="R873" s="50">
        <v>1</v>
      </c>
      <c r="V873" s="50">
        <v>76003</v>
      </c>
      <c r="AA873" s="4" t="s">
        <v>2259</v>
      </c>
    </row>
    <row r="874" spans="1:27">
      <c r="A874" s="4">
        <v>100070526</v>
      </c>
      <c r="B874" s="4">
        <v>7</v>
      </c>
      <c r="D874" s="4">
        <v>5</v>
      </c>
      <c r="E874" s="4" t="s">
        <v>2225</v>
      </c>
      <c r="F874" s="4">
        <v>70521</v>
      </c>
      <c r="I874" s="4" t="s">
        <v>2260</v>
      </c>
      <c r="L874" s="4" t="s">
        <v>1822</v>
      </c>
      <c r="O874" s="38">
        <v>11028</v>
      </c>
      <c r="P874" s="38" t="s">
        <v>1838</v>
      </c>
      <c r="R874" s="50">
        <v>1</v>
      </c>
      <c r="V874" s="50">
        <v>76003</v>
      </c>
      <c r="AA874" s="4" t="s">
        <v>2261</v>
      </c>
    </row>
    <row r="875" spans="1:27">
      <c r="A875" s="4">
        <v>100070531</v>
      </c>
      <c r="B875" s="4">
        <v>7</v>
      </c>
      <c r="D875" s="4">
        <v>5</v>
      </c>
      <c r="E875" s="4" t="s">
        <v>2225</v>
      </c>
      <c r="F875" s="4">
        <v>70531</v>
      </c>
      <c r="H875" s="4">
        <f t="shared" ref="H875:H879" si="30">A876</f>
        <v>100070532</v>
      </c>
      <c r="I875" s="4" t="s">
        <v>2262</v>
      </c>
      <c r="L875" s="4" t="s">
        <v>1806</v>
      </c>
      <c r="O875" s="38">
        <v>11028</v>
      </c>
      <c r="P875" s="38" t="s">
        <v>1851</v>
      </c>
      <c r="R875" s="50">
        <v>1</v>
      </c>
      <c r="V875" s="50">
        <v>76004</v>
      </c>
      <c r="AA875" s="4" t="s">
        <v>2263</v>
      </c>
    </row>
    <row r="876" spans="1:27">
      <c r="A876" s="4">
        <v>100070532</v>
      </c>
      <c r="B876" s="4">
        <v>7</v>
      </c>
      <c r="D876" s="4">
        <v>5</v>
      </c>
      <c r="E876" s="4" t="s">
        <v>2225</v>
      </c>
      <c r="F876" s="4">
        <v>70531</v>
      </c>
      <c r="H876" s="4">
        <f t="shared" si="30"/>
        <v>100070533</v>
      </c>
      <c r="I876" s="4" t="s">
        <v>2264</v>
      </c>
      <c r="L876" s="4" t="s">
        <v>1810</v>
      </c>
      <c r="O876" s="38">
        <v>11028</v>
      </c>
      <c r="P876" s="38" t="s">
        <v>1851</v>
      </c>
      <c r="R876" s="50">
        <v>1</v>
      </c>
      <c r="V876" s="50">
        <v>76004</v>
      </c>
      <c r="AA876" s="4" t="s">
        <v>2265</v>
      </c>
    </row>
    <row r="877" spans="1:27">
      <c r="A877" s="4">
        <v>100070533</v>
      </c>
      <c r="B877" s="4">
        <v>7</v>
      </c>
      <c r="D877" s="4">
        <v>5</v>
      </c>
      <c r="E877" s="4" t="s">
        <v>2225</v>
      </c>
      <c r="F877" s="4">
        <v>70531</v>
      </c>
      <c r="H877" s="4">
        <f t="shared" si="30"/>
        <v>100070534</v>
      </c>
      <c r="I877" s="4" t="s">
        <v>2266</v>
      </c>
      <c r="L877" s="4" t="s">
        <v>1813</v>
      </c>
      <c r="O877" s="38">
        <v>11028</v>
      </c>
      <c r="P877" s="38" t="s">
        <v>1851</v>
      </c>
      <c r="R877" s="50">
        <v>1</v>
      </c>
      <c r="V877" s="50">
        <v>76004</v>
      </c>
      <c r="AA877" s="4" t="s">
        <v>2267</v>
      </c>
    </row>
    <row r="878" spans="1:27">
      <c r="A878" s="4">
        <v>100070534</v>
      </c>
      <c r="B878" s="4">
        <v>7</v>
      </c>
      <c r="D878" s="4">
        <v>5</v>
      </c>
      <c r="E878" s="4" t="s">
        <v>2225</v>
      </c>
      <c r="F878" s="4">
        <v>70531</v>
      </c>
      <c r="H878" s="4">
        <f t="shared" si="30"/>
        <v>100070535</v>
      </c>
      <c r="I878" s="4" t="s">
        <v>2268</v>
      </c>
      <c r="L878" s="4" t="s">
        <v>1816</v>
      </c>
      <c r="O878" s="38">
        <v>11028</v>
      </c>
      <c r="P878" s="38" t="s">
        <v>1851</v>
      </c>
      <c r="R878" s="50">
        <v>1</v>
      </c>
      <c r="V878" s="50">
        <v>76004</v>
      </c>
      <c r="AA878" s="4" t="s">
        <v>2269</v>
      </c>
    </row>
    <row r="879" spans="1:27">
      <c r="A879" s="4">
        <v>100070535</v>
      </c>
      <c r="B879" s="4">
        <v>7</v>
      </c>
      <c r="D879" s="4">
        <v>5</v>
      </c>
      <c r="E879" s="4" t="s">
        <v>2225</v>
      </c>
      <c r="F879" s="4">
        <v>70531</v>
      </c>
      <c r="H879" s="4">
        <f t="shared" si="30"/>
        <v>100070536</v>
      </c>
      <c r="I879" s="4" t="s">
        <v>2270</v>
      </c>
      <c r="L879" s="4" t="s">
        <v>1819</v>
      </c>
      <c r="O879" s="38">
        <v>11028</v>
      </c>
      <c r="P879" s="38" t="s">
        <v>1851</v>
      </c>
      <c r="R879" s="50">
        <v>1</v>
      </c>
      <c r="V879" s="50">
        <v>76004</v>
      </c>
      <c r="AA879" s="4" t="s">
        <v>2271</v>
      </c>
    </row>
    <row r="880" spans="1:27">
      <c r="A880" s="4">
        <v>100070536</v>
      </c>
      <c r="B880" s="4">
        <v>7</v>
      </c>
      <c r="D880" s="4">
        <v>5</v>
      </c>
      <c r="E880" s="4" t="s">
        <v>2225</v>
      </c>
      <c r="F880" s="4">
        <v>70531</v>
      </c>
      <c r="I880" s="4" t="s">
        <v>2272</v>
      </c>
      <c r="L880" s="4" t="s">
        <v>1822</v>
      </c>
      <c r="O880" s="38">
        <v>11028</v>
      </c>
      <c r="P880" s="38" t="s">
        <v>1851</v>
      </c>
      <c r="R880" s="50">
        <v>1</v>
      </c>
      <c r="V880" s="50">
        <v>76004</v>
      </c>
      <c r="AA880" s="4" t="s">
        <v>2273</v>
      </c>
    </row>
    <row r="881" spans="1:27">
      <c r="A881" s="4">
        <v>100070541</v>
      </c>
      <c r="B881" s="4">
        <v>7</v>
      </c>
      <c r="D881" s="4">
        <v>5</v>
      </c>
      <c r="E881" s="4" t="s">
        <v>2225</v>
      </c>
      <c r="F881" s="4">
        <v>70541</v>
      </c>
      <c r="H881" s="4">
        <f t="shared" ref="H881:H885" si="31">A882</f>
        <v>100070542</v>
      </c>
      <c r="I881" s="4" t="s">
        <v>2274</v>
      </c>
      <c r="L881" s="4" t="s">
        <v>1806</v>
      </c>
      <c r="O881" s="38">
        <v>11028</v>
      </c>
      <c r="P881" s="38" t="s">
        <v>1864</v>
      </c>
      <c r="R881" s="50">
        <v>1</v>
      </c>
      <c r="V881" s="50">
        <v>76005</v>
      </c>
      <c r="AA881" s="4" t="s">
        <v>2275</v>
      </c>
    </row>
    <row r="882" spans="1:27">
      <c r="A882" s="4">
        <v>100070542</v>
      </c>
      <c r="B882" s="4">
        <v>7</v>
      </c>
      <c r="D882" s="4">
        <v>5</v>
      </c>
      <c r="E882" s="4" t="s">
        <v>2225</v>
      </c>
      <c r="F882" s="4">
        <v>70541</v>
      </c>
      <c r="H882" s="4">
        <f t="shared" si="31"/>
        <v>100070543</v>
      </c>
      <c r="I882" s="4" t="s">
        <v>2276</v>
      </c>
      <c r="L882" s="4" t="s">
        <v>1810</v>
      </c>
      <c r="O882" s="38">
        <v>11028</v>
      </c>
      <c r="P882" s="38" t="s">
        <v>1864</v>
      </c>
      <c r="R882" s="50">
        <v>1</v>
      </c>
      <c r="V882" s="50">
        <v>76005</v>
      </c>
      <c r="AA882" s="4" t="s">
        <v>2277</v>
      </c>
    </row>
    <row r="883" spans="1:27">
      <c r="A883" s="4">
        <v>100070543</v>
      </c>
      <c r="B883" s="4">
        <v>7</v>
      </c>
      <c r="D883" s="4">
        <v>5</v>
      </c>
      <c r="E883" s="4" t="s">
        <v>2225</v>
      </c>
      <c r="F883" s="4">
        <v>70541</v>
      </c>
      <c r="H883" s="4">
        <f t="shared" si="31"/>
        <v>100070544</v>
      </c>
      <c r="I883" s="4" t="s">
        <v>2278</v>
      </c>
      <c r="L883" s="4" t="s">
        <v>1813</v>
      </c>
      <c r="O883" s="38">
        <v>11028</v>
      </c>
      <c r="P883" s="38" t="s">
        <v>1864</v>
      </c>
      <c r="R883" s="50">
        <v>1</v>
      </c>
      <c r="V883" s="50">
        <v>76005</v>
      </c>
      <c r="AA883" s="4" t="s">
        <v>2279</v>
      </c>
    </row>
    <row r="884" spans="1:27">
      <c r="A884" s="4">
        <v>100070544</v>
      </c>
      <c r="B884" s="4">
        <v>7</v>
      </c>
      <c r="D884" s="4">
        <v>5</v>
      </c>
      <c r="E884" s="4" t="s">
        <v>2225</v>
      </c>
      <c r="F884" s="4">
        <v>70541</v>
      </c>
      <c r="H884" s="4">
        <f t="shared" si="31"/>
        <v>100070545</v>
      </c>
      <c r="I884" s="4" t="s">
        <v>2280</v>
      </c>
      <c r="L884" s="4" t="s">
        <v>1816</v>
      </c>
      <c r="O884" s="38">
        <v>11028</v>
      </c>
      <c r="P884" s="38" t="s">
        <v>1864</v>
      </c>
      <c r="R884" s="50">
        <v>1</v>
      </c>
      <c r="V884" s="50">
        <v>76005</v>
      </c>
      <c r="AA884" s="4" t="s">
        <v>2281</v>
      </c>
    </row>
    <row r="885" spans="1:27">
      <c r="A885" s="4">
        <v>100070545</v>
      </c>
      <c r="B885" s="4">
        <v>7</v>
      </c>
      <c r="D885" s="4">
        <v>5</v>
      </c>
      <c r="E885" s="4" t="s">
        <v>2225</v>
      </c>
      <c r="F885" s="4">
        <v>70541</v>
      </c>
      <c r="H885" s="4">
        <f t="shared" si="31"/>
        <v>100070546</v>
      </c>
      <c r="I885" s="4" t="s">
        <v>2282</v>
      </c>
      <c r="L885" s="4" t="s">
        <v>1819</v>
      </c>
      <c r="O885" s="38">
        <v>11028</v>
      </c>
      <c r="P885" s="38" t="s">
        <v>1864</v>
      </c>
      <c r="R885" s="50">
        <v>1</v>
      </c>
      <c r="V885" s="50">
        <v>76005</v>
      </c>
      <c r="AA885" s="4" t="s">
        <v>2283</v>
      </c>
    </row>
    <row r="886" spans="1:27">
      <c r="A886" s="4">
        <v>100070546</v>
      </c>
      <c r="B886" s="4">
        <v>7</v>
      </c>
      <c r="D886" s="4">
        <v>5</v>
      </c>
      <c r="E886" s="4" t="s">
        <v>2225</v>
      </c>
      <c r="F886" s="4">
        <v>70541</v>
      </c>
      <c r="I886" s="4" t="s">
        <v>2284</v>
      </c>
      <c r="L886" s="4" t="s">
        <v>1822</v>
      </c>
      <c r="O886" s="38">
        <v>11028</v>
      </c>
      <c r="P886" s="38" t="s">
        <v>1864</v>
      </c>
      <c r="R886" s="50">
        <v>1</v>
      </c>
      <c r="V886" s="50">
        <v>76005</v>
      </c>
      <c r="AA886" s="4" t="s">
        <v>2285</v>
      </c>
    </row>
    <row r="887" spans="1:27">
      <c r="A887" s="4">
        <v>100070551</v>
      </c>
      <c r="B887" s="4">
        <v>7</v>
      </c>
      <c r="D887" s="4">
        <v>5</v>
      </c>
      <c r="E887" s="4" t="s">
        <v>2225</v>
      </c>
      <c r="F887" s="4">
        <v>70551</v>
      </c>
      <c r="H887" s="4">
        <f t="shared" ref="H887:H891" si="32">A888</f>
        <v>100070552</v>
      </c>
      <c r="I887" s="4" t="s">
        <v>2286</v>
      </c>
      <c r="L887" s="4" t="s">
        <v>1806</v>
      </c>
      <c r="O887" s="38">
        <v>11028</v>
      </c>
      <c r="P887" s="38" t="s">
        <v>1877</v>
      </c>
      <c r="R887" s="50">
        <v>1</v>
      </c>
      <c r="V887" s="50">
        <v>76006</v>
      </c>
      <c r="AA887" s="4" t="s">
        <v>2287</v>
      </c>
    </row>
    <row r="888" spans="1:27">
      <c r="A888" s="4">
        <v>100070552</v>
      </c>
      <c r="B888" s="4">
        <v>7</v>
      </c>
      <c r="D888" s="4">
        <v>5</v>
      </c>
      <c r="E888" s="4" t="s">
        <v>2225</v>
      </c>
      <c r="F888" s="4">
        <v>70551</v>
      </c>
      <c r="H888" s="4">
        <f t="shared" si="32"/>
        <v>100070553</v>
      </c>
      <c r="I888" s="4" t="s">
        <v>2288</v>
      </c>
      <c r="L888" s="4" t="s">
        <v>1810</v>
      </c>
      <c r="O888" s="38">
        <v>11028</v>
      </c>
      <c r="P888" s="38" t="s">
        <v>1877</v>
      </c>
      <c r="R888" s="50">
        <v>1</v>
      </c>
      <c r="V888" s="50">
        <v>76006</v>
      </c>
      <c r="AA888" s="4" t="s">
        <v>2289</v>
      </c>
    </row>
    <row r="889" spans="1:27">
      <c r="A889" s="4">
        <v>100070553</v>
      </c>
      <c r="B889" s="4">
        <v>7</v>
      </c>
      <c r="D889" s="4">
        <v>5</v>
      </c>
      <c r="E889" s="4" t="s">
        <v>2225</v>
      </c>
      <c r="F889" s="4">
        <v>70551</v>
      </c>
      <c r="H889" s="4">
        <f t="shared" si="32"/>
        <v>100070554</v>
      </c>
      <c r="I889" s="4" t="s">
        <v>2290</v>
      </c>
      <c r="L889" s="4" t="s">
        <v>1813</v>
      </c>
      <c r="O889" s="38">
        <v>11028</v>
      </c>
      <c r="P889" s="38" t="s">
        <v>1877</v>
      </c>
      <c r="R889" s="50">
        <v>1</v>
      </c>
      <c r="V889" s="50">
        <v>76006</v>
      </c>
      <c r="AA889" s="4" t="s">
        <v>2291</v>
      </c>
    </row>
    <row r="890" spans="1:27">
      <c r="A890" s="4">
        <v>100070554</v>
      </c>
      <c r="B890" s="4">
        <v>7</v>
      </c>
      <c r="D890" s="4">
        <v>5</v>
      </c>
      <c r="E890" s="4" t="s">
        <v>2225</v>
      </c>
      <c r="F890" s="4">
        <v>70551</v>
      </c>
      <c r="H890" s="4">
        <f t="shared" si="32"/>
        <v>100070555</v>
      </c>
      <c r="I890" s="4" t="s">
        <v>2292</v>
      </c>
      <c r="L890" s="4" t="s">
        <v>1816</v>
      </c>
      <c r="O890" s="38">
        <v>11028</v>
      </c>
      <c r="P890" s="38" t="s">
        <v>1877</v>
      </c>
      <c r="R890" s="50">
        <v>1</v>
      </c>
      <c r="V890" s="50">
        <v>76006</v>
      </c>
      <c r="AA890" s="4" t="s">
        <v>2293</v>
      </c>
    </row>
    <row r="891" spans="1:27">
      <c r="A891" s="4">
        <v>100070555</v>
      </c>
      <c r="B891" s="4">
        <v>7</v>
      </c>
      <c r="D891" s="4">
        <v>5</v>
      </c>
      <c r="E891" s="4" t="s">
        <v>2225</v>
      </c>
      <c r="F891" s="4">
        <v>70551</v>
      </c>
      <c r="H891" s="4">
        <f t="shared" si="32"/>
        <v>100070556</v>
      </c>
      <c r="I891" s="4" t="s">
        <v>2294</v>
      </c>
      <c r="L891" s="4" t="s">
        <v>1819</v>
      </c>
      <c r="O891" s="38">
        <v>11028</v>
      </c>
      <c r="P891" s="38" t="s">
        <v>1877</v>
      </c>
      <c r="R891" s="50">
        <v>1</v>
      </c>
      <c r="V891" s="50">
        <v>76006</v>
      </c>
      <c r="AA891" s="4" t="s">
        <v>2295</v>
      </c>
    </row>
    <row r="892" spans="1:27">
      <c r="A892" s="4">
        <v>100070556</v>
      </c>
      <c r="B892" s="4">
        <v>7</v>
      </c>
      <c r="D892" s="4">
        <v>5</v>
      </c>
      <c r="E892" s="4" t="s">
        <v>2225</v>
      </c>
      <c r="F892" s="4">
        <v>70551</v>
      </c>
      <c r="I892" s="4" t="s">
        <v>2296</v>
      </c>
      <c r="L892" s="4" t="s">
        <v>1822</v>
      </c>
      <c r="O892" s="38">
        <v>11028</v>
      </c>
      <c r="P892" s="38" t="s">
        <v>1877</v>
      </c>
      <c r="R892" s="50">
        <v>1</v>
      </c>
      <c r="V892" s="50">
        <v>76006</v>
      </c>
      <c r="AA892" s="4" t="s">
        <v>2297</v>
      </c>
    </row>
    <row r="893" spans="1:27">
      <c r="A893" s="4">
        <v>100070561</v>
      </c>
      <c r="B893" s="4">
        <v>7</v>
      </c>
      <c r="D893" s="4">
        <v>5</v>
      </c>
      <c r="E893" s="4" t="s">
        <v>2225</v>
      </c>
      <c r="F893" s="4">
        <v>70561</v>
      </c>
      <c r="H893" s="4">
        <f t="shared" ref="H893:H899" si="33">A894</f>
        <v>100070562</v>
      </c>
      <c r="I893" s="4" t="s">
        <v>2298</v>
      </c>
      <c r="L893" s="4" t="s">
        <v>1806</v>
      </c>
      <c r="O893" s="38">
        <v>11028</v>
      </c>
      <c r="P893" s="38" t="s">
        <v>1890</v>
      </c>
      <c r="R893" s="50">
        <v>1</v>
      </c>
      <c r="V893" s="50">
        <v>76007</v>
      </c>
      <c r="AA893" s="4" t="s">
        <v>2299</v>
      </c>
    </row>
    <row r="894" spans="1:27">
      <c r="A894" s="4">
        <v>100070562</v>
      </c>
      <c r="B894" s="4">
        <v>7</v>
      </c>
      <c r="D894" s="4">
        <v>5</v>
      </c>
      <c r="E894" s="4" t="s">
        <v>2225</v>
      </c>
      <c r="F894" s="4">
        <v>70561</v>
      </c>
      <c r="H894" s="4">
        <f t="shared" si="33"/>
        <v>100070563</v>
      </c>
      <c r="I894" s="4" t="s">
        <v>2300</v>
      </c>
      <c r="L894" s="4" t="s">
        <v>1810</v>
      </c>
      <c r="O894" s="38">
        <v>11028</v>
      </c>
      <c r="P894" s="38" t="s">
        <v>1890</v>
      </c>
      <c r="R894" s="50">
        <v>1</v>
      </c>
      <c r="V894" s="50">
        <v>76007</v>
      </c>
      <c r="AA894" s="4" t="s">
        <v>2301</v>
      </c>
    </row>
    <row r="895" spans="1:27">
      <c r="A895" s="4">
        <v>100070563</v>
      </c>
      <c r="B895" s="4">
        <v>7</v>
      </c>
      <c r="D895" s="4">
        <v>5</v>
      </c>
      <c r="E895" s="4" t="s">
        <v>2225</v>
      </c>
      <c r="F895" s="4">
        <v>70561</v>
      </c>
      <c r="H895" s="4">
        <f t="shared" si="33"/>
        <v>100070564</v>
      </c>
      <c r="I895" s="4" t="s">
        <v>2302</v>
      </c>
      <c r="L895" s="4" t="s">
        <v>1895</v>
      </c>
      <c r="O895" s="38">
        <v>11028</v>
      </c>
      <c r="P895" s="38" t="s">
        <v>1890</v>
      </c>
      <c r="R895" s="50">
        <v>1</v>
      </c>
      <c r="V895" s="50">
        <v>76007</v>
      </c>
      <c r="AA895" s="4" t="s">
        <v>2303</v>
      </c>
    </row>
    <row r="896" spans="1:27">
      <c r="A896" s="4">
        <v>100070564</v>
      </c>
      <c r="B896" s="4">
        <v>7</v>
      </c>
      <c r="D896" s="4">
        <v>5</v>
      </c>
      <c r="E896" s="4" t="s">
        <v>2225</v>
      </c>
      <c r="F896" s="4">
        <v>70561</v>
      </c>
      <c r="H896" s="4">
        <f t="shared" si="33"/>
        <v>100070565</v>
      </c>
      <c r="I896" s="4" t="s">
        <v>2304</v>
      </c>
      <c r="L896" s="4" t="s">
        <v>1813</v>
      </c>
      <c r="O896" s="38">
        <v>11028</v>
      </c>
      <c r="P896" s="38" t="s">
        <v>1890</v>
      </c>
      <c r="R896" s="50">
        <v>1</v>
      </c>
      <c r="V896" s="50">
        <v>76007</v>
      </c>
      <c r="AA896" s="4" t="s">
        <v>2305</v>
      </c>
    </row>
    <row r="897" spans="1:27">
      <c r="A897" s="4">
        <v>100070565</v>
      </c>
      <c r="B897" s="4">
        <v>7</v>
      </c>
      <c r="D897" s="4">
        <v>5</v>
      </c>
      <c r="E897" s="4" t="s">
        <v>2225</v>
      </c>
      <c r="F897" s="4">
        <v>70561</v>
      </c>
      <c r="H897" s="4">
        <f t="shared" si="33"/>
        <v>100070566</v>
      </c>
      <c r="I897" s="4" t="s">
        <v>2306</v>
      </c>
      <c r="L897" s="4" t="s">
        <v>1900</v>
      </c>
      <c r="O897" s="38">
        <v>11028</v>
      </c>
      <c r="P897" s="38" t="s">
        <v>1890</v>
      </c>
      <c r="R897" s="50">
        <v>1</v>
      </c>
      <c r="V897" s="50">
        <v>76007</v>
      </c>
      <c r="AA897" s="4" t="s">
        <v>2307</v>
      </c>
    </row>
    <row r="898" spans="1:27">
      <c r="A898" s="4">
        <v>100070566</v>
      </c>
      <c r="B898" s="4">
        <v>7</v>
      </c>
      <c r="D898" s="4">
        <v>5</v>
      </c>
      <c r="E898" s="4" t="s">
        <v>2225</v>
      </c>
      <c r="F898" s="4">
        <v>70561</v>
      </c>
      <c r="H898" s="4">
        <f t="shared" si="33"/>
        <v>100070567</v>
      </c>
      <c r="I898" s="4" t="s">
        <v>2308</v>
      </c>
      <c r="L898" s="4" t="s">
        <v>1903</v>
      </c>
      <c r="O898" s="38">
        <v>11028</v>
      </c>
      <c r="P898" s="38" t="s">
        <v>1890</v>
      </c>
      <c r="R898" s="50">
        <v>1</v>
      </c>
      <c r="V898" s="50">
        <v>76007</v>
      </c>
      <c r="AA898" s="4" t="s">
        <v>2309</v>
      </c>
    </row>
    <row r="899" spans="1:27">
      <c r="A899" s="4">
        <v>100070567</v>
      </c>
      <c r="B899" s="4">
        <v>7</v>
      </c>
      <c r="D899" s="4">
        <v>5</v>
      </c>
      <c r="E899" s="4" t="s">
        <v>2225</v>
      </c>
      <c r="F899" s="4">
        <v>70561</v>
      </c>
      <c r="H899" s="4">
        <f t="shared" si="33"/>
        <v>100070568</v>
      </c>
      <c r="I899" s="4" t="s">
        <v>2310</v>
      </c>
      <c r="L899" s="4" t="s">
        <v>1906</v>
      </c>
      <c r="O899" s="38">
        <v>11028</v>
      </c>
      <c r="P899" s="38" t="s">
        <v>1890</v>
      </c>
      <c r="R899" s="50">
        <v>1</v>
      </c>
      <c r="V899" s="50">
        <v>76007</v>
      </c>
      <c r="AA899" s="4" t="s">
        <v>2311</v>
      </c>
    </row>
    <row r="900" spans="1:27">
      <c r="A900" s="4">
        <v>100070568</v>
      </c>
      <c r="B900" s="4">
        <v>7</v>
      </c>
      <c r="D900" s="4">
        <v>5</v>
      </c>
      <c r="E900" s="4" t="s">
        <v>2225</v>
      </c>
      <c r="F900" s="4">
        <v>70561</v>
      </c>
      <c r="I900" s="4" t="s">
        <v>2312</v>
      </c>
      <c r="L900" s="4" t="s">
        <v>1816</v>
      </c>
      <c r="O900" s="38">
        <v>11028</v>
      </c>
      <c r="P900" s="38" t="s">
        <v>1890</v>
      </c>
      <c r="R900" s="50">
        <v>1</v>
      </c>
      <c r="V900" s="50">
        <v>76007</v>
      </c>
      <c r="AA900" s="4" t="s">
        <v>2313</v>
      </c>
    </row>
    <row r="901" spans="1:27">
      <c r="A901" s="4">
        <v>100070571</v>
      </c>
      <c r="B901" s="4">
        <v>7</v>
      </c>
      <c r="D901" s="4">
        <v>5</v>
      </c>
      <c r="E901" s="4" t="s">
        <v>2225</v>
      </c>
      <c r="F901" s="4">
        <v>70571</v>
      </c>
      <c r="H901" s="4">
        <f t="shared" ref="H901:H905" si="34">A902</f>
        <v>100070572</v>
      </c>
      <c r="I901" s="4" t="s">
        <v>2314</v>
      </c>
      <c r="L901" s="4" t="s">
        <v>1806</v>
      </c>
      <c r="O901" s="38">
        <v>11028</v>
      </c>
      <c r="P901" s="38" t="s">
        <v>1911</v>
      </c>
      <c r="R901" s="50">
        <v>1</v>
      </c>
      <c r="V901" s="50">
        <v>76008</v>
      </c>
      <c r="AA901" s="4" t="s">
        <v>2315</v>
      </c>
    </row>
    <row r="902" spans="1:27">
      <c r="A902" s="4">
        <v>100070572</v>
      </c>
      <c r="B902" s="4">
        <v>7</v>
      </c>
      <c r="D902" s="4">
        <v>5</v>
      </c>
      <c r="E902" s="4" t="s">
        <v>2225</v>
      </c>
      <c r="F902" s="4">
        <v>70571</v>
      </c>
      <c r="H902" s="4">
        <f t="shared" si="34"/>
        <v>100070573</v>
      </c>
      <c r="I902" s="4" t="s">
        <v>2316</v>
      </c>
      <c r="L902" s="4" t="s">
        <v>1810</v>
      </c>
      <c r="O902" s="38">
        <v>11028</v>
      </c>
      <c r="P902" s="38" t="s">
        <v>1911</v>
      </c>
      <c r="R902" s="50">
        <v>1</v>
      </c>
      <c r="V902" s="50">
        <v>76008</v>
      </c>
      <c r="AA902" s="4" t="s">
        <v>2317</v>
      </c>
    </row>
    <row r="903" spans="1:27">
      <c r="A903" s="4">
        <v>100070573</v>
      </c>
      <c r="B903" s="4">
        <v>7</v>
      </c>
      <c r="D903" s="4">
        <v>5</v>
      </c>
      <c r="E903" s="4" t="s">
        <v>2225</v>
      </c>
      <c r="F903" s="4">
        <v>70571</v>
      </c>
      <c r="H903" s="4">
        <f t="shared" si="34"/>
        <v>100070574</v>
      </c>
      <c r="I903" s="4" t="s">
        <v>2318</v>
      </c>
      <c r="L903" s="4" t="s">
        <v>1813</v>
      </c>
      <c r="O903" s="38">
        <v>11028</v>
      </c>
      <c r="P903" s="38" t="s">
        <v>1911</v>
      </c>
      <c r="R903" s="50">
        <v>1</v>
      </c>
      <c r="V903" s="50">
        <v>76008</v>
      </c>
      <c r="AA903" s="4" t="s">
        <v>2319</v>
      </c>
    </row>
    <row r="904" spans="1:27">
      <c r="A904" s="4">
        <v>100070574</v>
      </c>
      <c r="B904" s="4">
        <v>7</v>
      </c>
      <c r="D904" s="4">
        <v>5</v>
      </c>
      <c r="E904" s="4" t="s">
        <v>2225</v>
      </c>
      <c r="F904" s="4">
        <v>70571</v>
      </c>
      <c r="H904" s="4">
        <f t="shared" si="34"/>
        <v>100070575</v>
      </c>
      <c r="I904" s="4" t="s">
        <v>2320</v>
      </c>
      <c r="L904" s="4" t="s">
        <v>1816</v>
      </c>
      <c r="O904" s="38">
        <v>11028</v>
      </c>
      <c r="P904" s="38" t="s">
        <v>1911</v>
      </c>
      <c r="R904" s="50">
        <v>1</v>
      </c>
      <c r="V904" s="50">
        <v>76008</v>
      </c>
      <c r="AA904" s="4" t="s">
        <v>2321</v>
      </c>
    </row>
    <row r="905" spans="1:27">
      <c r="A905" s="4">
        <v>100070575</v>
      </c>
      <c r="B905" s="4">
        <v>7</v>
      </c>
      <c r="D905" s="4">
        <v>5</v>
      </c>
      <c r="E905" s="4" t="s">
        <v>2225</v>
      </c>
      <c r="F905" s="4">
        <v>70571</v>
      </c>
      <c r="H905" s="4">
        <f t="shared" si="34"/>
        <v>100070576</v>
      </c>
      <c r="I905" s="4" t="s">
        <v>2322</v>
      </c>
      <c r="L905" s="4" t="s">
        <v>1819</v>
      </c>
      <c r="O905" s="38">
        <v>11028</v>
      </c>
      <c r="P905" s="38" t="s">
        <v>1911</v>
      </c>
      <c r="R905" s="50">
        <v>1</v>
      </c>
      <c r="V905" s="50">
        <v>76008</v>
      </c>
      <c r="AA905" s="4" t="s">
        <v>2323</v>
      </c>
    </row>
    <row r="906" spans="1:27">
      <c r="A906" s="4">
        <v>100070576</v>
      </c>
      <c r="B906" s="4">
        <v>7</v>
      </c>
      <c r="D906" s="4">
        <v>5</v>
      </c>
      <c r="E906" s="4" t="s">
        <v>2225</v>
      </c>
      <c r="F906" s="4">
        <v>70571</v>
      </c>
      <c r="I906" s="4" t="s">
        <v>2324</v>
      </c>
      <c r="L906" s="4" t="s">
        <v>1822</v>
      </c>
      <c r="O906" s="38">
        <v>11028</v>
      </c>
      <c r="P906" s="38" t="s">
        <v>1911</v>
      </c>
      <c r="R906" s="50">
        <v>1</v>
      </c>
      <c r="V906" s="50">
        <v>76008</v>
      </c>
      <c r="AA906" s="4" t="s">
        <v>2325</v>
      </c>
    </row>
    <row r="907" spans="1:27">
      <c r="A907" s="4">
        <v>100070601</v>
      </c>
      <c r="B907" s="4">
        <v>7</v>
      </c>
      <c r="C907" s="4" t="s">
        <v>1803</v>
      </c>
      <c r="D907" s="4">
        <v>6</v>
      </c>
      <c r="E907" s="4" t="s">
        <v>2326</v>
      </c>
      <c r="F907" s="4">
        <v>70601</v>
      </c>
      <c r="H907" s="4">
        <f t="shared" ref="H907:H911" si="35">A908</f>
        <v>100070602</v>
      </c>
      <c r="I907" s="4" t="s">
        <v>2327</v>
      </c>
      <c r="L907" s="4" t="s">
        <v>1806</v>
      </c>
      <c r="O907" s="38">
        <v>3208</v>
      </c>
      <c r="P907" s="38" t="s">
        <v>1807</v>
      </c>
      <c r="R907" s="50">
        <v>1</v>
      </c>
      <c r="V907" s="59">
        <v>76001</v>
      </c>
      <c r="AA907" s="4" t="s">
        <v>2328</v>
      </c>
    </row>
    <row r="908" spans="1:27">
      <c r="A908" s="4">
        <v>100070602</v>
      </c>
      <c r="B908" s="4">
        <v>7</v>
      </c>
      <c r="C908" s="4" t="s">
        <v>1803</v>
      </c>
      <c r="D908" s="4">
        <v>6</v>
      </c>
      <c r="E908" s="4" t="s">
        <v>2326</v>
      </c>
      <c r="F908" s="4">
        <v>70601</v>
      </c>
      <c r="H908" s="4">
        <f t="shared" si="35"/>
        <v>100070603</v>
      </c>
      <c r="I908" s="4" t="s">
        <v>2329</v>
      </c>
      <c r="L908" s="4" t="s">
        <v>1810</v>
      </c>
      <c r="O908" s="38">
        <v>3208</v>
      </c>
      <c r="P908" s="38" t="s">
        <v>1807</v>
      </c>
      <c r="R908" s="50">
        <v>1</v>
      </c>
      <c r="V908" s="59">
        <v>76001</v>
      </c>
      <c r="AA908" s="4" t="s">
        <v>2330</v>
      </c>
    </row>
    <row r="909" spans="1:27">
      <c r="A909" s="4">
        <v>100070603</v>
      </c>
      <c r="B909" s="4">
        <v>7</v>
      </c>
      <c r="C909" s="4" t="s">
        <v>1803</v>
      </c>
      <c r="D909" s="4">
        <v>6</v>
      </c>
      <c r="E909" s="4" t="s">
        <v>2326</v>
      </c>
      <c r="F909" s="4">
        <v>70601</v>
      </c>
      <c r="H909" s="4">
        <f t="shared" si="35"/>
        <v>100070604</v>
      </c>
      <c r="I909" s="4" t="s">
        <v>2331</v>
      </c>
      <c r="L909" s="4" t="s">
        <v>1813</v>
      </c>
      <c r="O909" s="38">
        <v>3208</v>
      </c>
      <c r="P909" s="38" t="s">
        <v>1807</v>
      </c>
      <c r="R909" s="50">
        <v>1</v>
      </c>
      <c r="V909" s="59">
        <v>76001</v>
      </c>
      <c r="AA909" s="4" t="s">
        <v>2332</v>
      </c>
    </row>
    <row r="910" spans="1:27">
      <c r="A910" s="4">
        <v>100070604</v>
      </c>
      <c r="B910" s="4">
        <v>7</v>
      </c>
      <c r="C910" s="4" t="s">
        <v>1803</v>
      </c>
      <c r="D910" s="4">
        <v>6</v>
      </c>
      <c r="E910" s="4" t="s">
        <v>2326</v>
      </c>
      <c r="F910" s="4">
        <v>70601</v>
      </c>
      <c r="H910" s="4">
        <f t="shared" si="35"/>
        <v>100070605</v>
      </c>
      <c r="I910" s="4" t="s">
        <v>2333</v>
      </c>
      <c r="L910" s="4" t="s">
        <v>1816</v>
      </c>
      <c r="O910" s="38">
        <v>3208</v>
      </c>
      <c r="P910" s="38" t="s">
        <v>1807</v>
      </c>
      <c r="R910" s="50">
        <v>1</v>
      </c>
      <c r="V910" s="59">
        <v>76001</v>
      </c>
      <c r="AA910" s="4" t="s">
        <v>2334</v>
      </c>
    </row>
    <row r="911" spans="1:27">
      <c r="A911" s="4">
        <v>100070605</v>
      </c>
      <c r="B911" s="4">
        <v>7</v>
      </c>
      <c r="C911" s="4" t="s">
        <v>1803</v>
      </c>
      <c r="D911" s="4">
        <v>6</v>
      </c>
      <c r="E911" s="4" t="s">
        <v>2326</v>
      </c>
      <c r="F911" s="4">
        <v>70601</v>
      </c>
      <c r="H911" s="4">
        <f t="shared" si="35"/>
        <v>100070606</v>
      </c>
      <c r="I911" s="4" t="s">
        <v>2335</v>
      </c>
      <c r="L911" s="4" t="s">
        <v>1819</v>
      </c>
      <c r="O911" s="38">
        <v>3208</v>
      </c>
      <c r="P911" s="38" t="s">
        <v>1807</v>
      </c>
      <c r="R911" s="50">
        <v>1</v>
      </c>
      <c r="V911" s="59">
        <v>76001</v>
      </c>
      <c r="AA911" s="4" t="s">
        <v>2336</v>
      </c>
    </row>
    <row r="912" spans="1:27">
      <c r="A912" s="4">
        <v>100070606</v>
      </c>
      <c r="B912" s="4">
        <v>7</v>
      </c>
      <c r="C912" s="4" t="s">
        <v>1803</v>
      </c>
      <c r="D912" s="4">
        <v>6</v>
      </c>
      <c r="E912" s="4" t="s">
        <v>2326</v>
      </c>
      <c r="F912" s="4">
        <v>70601</v>
      </c>
      <c r="I912" s="4" t="s">
        <v>2337</v>
      </c>
      <c r="L912" s="4" t="s">
        <v>1822</v>
      </c>
      <c r="O912" s="38">
        <v>3208</v>
      </c>
      <c r="P912" s="38" t="s">
        <v>1807</v>
      </c>
      <c r="R912" s="50">
        <v>1</v>
      </c>
      <c r="V912" s="59">
        <v>76001</v>
      </c>
      <c r="AA912" s="4" t="s">
        <v>2338</v>
      </c>
    </row>
    <row r="913" spans="1:27">
      <c r="A913" s="4">
        <v>100070611</v>
      </c>
      <c r="B913" s="4">
        <v>7</v>
      </c>
      <c r="D913" s="4">
        <v>6</v>
      </c>
      <c r="E913" s="4" t="s">
        <v>2326</v>
      </c>
      <c r="F913" s="4">
        <v>70611</v>
      </c>
      <c r="H913" s="4">
        <f t="shared" ref="H913:H917" si="36">A914</f>
        <v>100070612</v>
      </c>
      <c r="I913" s="4" t="s">
        <v>2339</v>
      </c>
      <c r="L913" s="4" t="s">
        <v>1806</v>
      </c>
      <c r="O913" s="38">
        <v>3305</v>
      </c>
      <c r="P913" s="38" t="s">
        <v>1825</v>
      </c>
      <c r="R913" s="50">
        <v>1</v>
      </c>
      <c r="V913" s="50">
        <v>76002</v>
      </c>
      <c r="AA913" s="4" t="s">
        <v>2340</v>
      </c>
    </row>
    <row r="914" spans="1:27">
      <c r="A914" s="4">
        <v>100070612</v>
      </c>
      <c r="B914" s="4">
        <v>7</v>
      </c>
      <c r="D914" s="4">
        <v>6</v>
      </c>
      <c r="E914" s="4" t="s">
        <v>2326</v>
      </c>
      <c r="F914" s="4">
        <v>70611</v>
      </c>
      <c r="H914" s="4">
        <f t="shared" si="36"/>
        <v>100070613</v>
      </c>
      <c r="I914" s="4" t="s">
        <v>2341</v>
      </c>
      <c r="L914" s="4" t="s">
        <v>1810</v>
      </c>
      <c r="O914" s="38">
        <v>3305</v>
      </c>
      <c r="P914" s="38" t="s">
        <v>1825</v>
      </c>
      <c r="R914" s="50">
        <v>1</v>
      </c>
      <c r="V914" s="50">
        <v>76002</v>
      </c>
      <c r="AA914" s="4" t="s">
        <v>2342</v>
      </c>
    </row>
    <row r="915" spans="1:27">
      <c r="A915" s="4">
        <v>100070613</v>
      </c>
      <c r="B915" s="4">
        <v>7</v>
      </c>
      <c r="D915" s="4">
        <v>6</v>
      </c>
      <c r="E915" s="4" t="s">
        <v>2326</v>
      </c>
      <c r="F915" s="4">
        <v>70611</v>
      </c>
      <c r="H915" s="4">
        <f t="shared" si="36"/>
        <v>100070614</v>
      </c>
      <c r="I915" s="4" t="s">
        <v>2343</v>
      </c>
      <c r="L915" s="4" t="s">
        <v>1813</v>
      </c>
      <c r="O915" s="38">
        <v>3305</v>
      </c>
      <c r="P915" s="38" t="s">
        <v>1825</v>
      </c>
      <c r="R915" s="50">
        <v>1</v>
      </c>
      <c r="V915" s="50">
        <v>76002</v>
      </c>
      <c r="AA915" s="4" t="s">
        <v>2344</v>
      </c>
    </row>
    <row r="916" spans="1:27">
      <c r="A916" s="4">
        <v>100070614</v>
      </c>
      <c r="B916" s="4">
        <v>7</v>
      </c>
      <c r="D916" s="4">
        <v>6</v>
      </c>
      <c r="E916" s="4" t="s">
        <v>2326</v>
      </c>
      <c r="F916" s="4">
        <v>70611</v>
      </c>
      <c r="H916" s="4">
        <f t="shared" si="36"/>
        <v>100070615</v>
      </c>
      <c r="I916" s="4" t="s">
        <v>2345</v>
      </c>
      <c r="L916" s="4" t="s">
        <v>1816</v>
      </c>
      <c r="O916" s="38">
        <v>3305</v>
      </c>
      <c r="P916" s="38" t="s">
        <v>1825</v>
      </c>
      <c r="R916" s="50">
        <v>1</v>
      </c>
      <c r="V916" s="50">
        <v>76002</v>
      </c>
      <c r="AA916" s="4" t="s">
        <v>2346</v>
      </c>
    </row>
    <row r="917" spans="1:27">
      <c r="A917" s="4">
        <v>100070615</v>
      </c>
      <c r="B917" s="4">
        <v>7</v>
      </c>
      <c r="D917" s="4">
        <v>6</v>
      </c>
      <c r="E917" s="4" t="s">
        <v>2326</v>
      </c>
      <c r="F917" s="4">
        <v>70611</v>
      </c>
      <c r="H917" s="4">
        <f t="shared" si="36"/>
        <v>100070616</v>
      </c>
      <c r="I917" s="4" t="s">
        <v>2347</v>
      </c>
      <c r="L917" s="4" t="s">
        <v>1819</v>
      </c>
      <c r="O917" s="38">
        <v>3305</v>
      </c>
      <c r="P917" s="38" t="s">
        <v>1825</v>
      </c>
      <c r="R917" s="50">
        <v>1</v>
      </c>
      <c r="V917" s="50">
        <v>76002</v>
      </c>
      <c r="AA917" s="4" t="s">
        <v>2348</v>
      </c>
    </row>
    <row r="918" spans="1:27">
      <c r="A918" s="4">
        <v>100070616</v>
      </c>
      <c r="B918" s="4">
        <v>7</v>
      </c>
      <c r="D918" s="4">
        <v>6</v>
      </c>
      <c r="E918" s="4" t="s">
        <v>2326</v>
      </c>
      <c r="F918" s="4">
        <v>70611</v>
      </c>
      <c r="I918" s="4" t="s">
        <v>2349</v>
      </c>
      <c r="L918" s="4" t="s">
        <v>1822</v>
      </c>
      <c r="O918" s="38">
        <v>3305</v>
      </c>
      <c r="P918" s="38" t="s">
        <v>1825</v>
      </c>
      <c r="R918" s="50">
        <v>1</v>
      </c>
      <c r="V918" s="50">
        <v>76002</v>
      </c>
      <c r="AA918" s="4" t="s">
        <v>2350</v>
      </c>
    </row>
    <row r="919" spans="1:27">
      <c r="A919" s="4">
        <v>100070621</v>
      </c>
      <c r="B919" s="4">
        <v>7</v>
      </c>
      <c r="D919" s="4">
        <v>6</v>
      </c>
      <c r="E919" s="4" t="s">
        <v>2326</v>
      </c>
      <c r="F919" s="4">
        <v>70621</v>
      </c>
      <c r="H919" s="4">
        <f t="shared" ref="H919:H923" si="37">A920</f>
        <v>100070622</v>
      </c>
      <c r="I919" s="4" t="s">
        <v>2351</v>
      </c>
      <c r="L919" s="4" t="s">
        <v>1806</v>
      </c>
      <c r="O919" s="38">
        <v>11043</v>
      </c>
      <c r="P919" s="38" t="s">
        <v>1838</v>
      </c>
      <c r="R919" s="50">
        <v>1</v>
      </c>
      <c r="V919" s="50">
        <v>76003</v>
      </c>
      <c r="AA919" s="4" t="s">
        <v>2352</v>
      </c>
    </row>
    <row r="920" spans="1:27">
      <c r="A920" s="4">
        <v>100070622</v>
      </c>
      <c r="B920" s="4">
        <v>7</v>
      </c>
      <c r="D920" s="4">
        <v>6</v>
      </c>
      <c r="E920" s="4" t="s">
        <v>2326</v>
      </c>
      <c r="F920" s="4">
        <v>70621</v>
      </c>
      <c r="H920" s="4">
        <f t="shared" si="37"/>
        <v>100070623</v>
      </c>
      <c r="I920" s="4" t="s">
        <v>2353</v>
      </c>
      <c r="L920" s="4" t="s">
        <v>1810</v>
      </c>
      <c r="O920" s="38">
        <v>11043</v>
      </c>
      <c r="P920" s="38" t="s">
        <v>1838</v>
      </c>
      <c r="R920" s="50">
        <v>1</v>
      </c>
      <c r="V920" s="50">
        <v>76003</v>
      </c>
      <c r="AA920" s="4" t="s">
        <v>2354</v>
      </c>
    </row>
    <row r="921" spans="1:27">
      <c r="A921" s="4">
        <v>100070623</v>
      </c>
      <c r="B921" s="4">
        <v>7</v>
      </c>
      <c r="D921" s="4">
        <v>6</v>
      </c>
      <c r="E921" s="4" t="s">
        <v>2326</v>
      </c>
      <c r="F921" s="4">
        <v>70621</v>
      </c>
      <c r="H921" s="4">
        <f t="shared" si="37"/>
        <v>100070624</v>
      </c>
      <c r="I921" s="4" t="s">
        <v>2355</v>
      </c>
      <c r="L921" s="4" t="s">
        <v>1813</v>
      </c>
      <c r="O921" s="38">
        <v>11043</v>
      </c>
      <c r="P921" s="38" t="s">
        <v>1838</v>
      </c>
      <c r="R921" s="50">
        <v>1</v>
      </c>
      <c r="V921" s="50">
        <v>76003</v>
      </c>
      <c r="AA921" s="4" t="s">
        <v>2356</v>
      </c>
    </row>
    <row r="922" spans="1:27">
      <c r="A922" s="4">
        <v>100070624</v>
      </c>
      <c r="B922" s="4">
        <v>7</v>
      </c>
      <c r="D922" s="4">
        <v>6</v>
      </c>
      <c r="E922" s="4" t="s">
        <v>2326</v>
      </c>
      <c r="F922" s="4">
        <v>70621</v>
      </c>
      <c r="H922" s="4">
        <f t="shared" si="37"/>
        <v>100070625</v>
      </c>
      <c r="I922" s="4" t="s">
        <v>2357</v>
      </c>
      <c r="L922" s="4" t="s">
        <v>1816</v>
      </c>
      <c r="O922" s="38">
        <v>11043</v>
      </c>
      <c r="P922" s="38" t="s">
        <v>1838</v>
      </c>
      <c r="R922" s="50">
        <v>1</v>
      </c>
      <c r="V922" s="50">
        <v>76003</v>
      </c>
      <c r="AA922" s="4" t="s">
        <v>2358</v>
      </c>
    </row>
    <row r="923" spans="1:27">
      <c r="A923" s="4">
        <v>100070625</v>
      </c>
      <c r="B923" s="4">
        <v>7</v>
      </c>
      <c r="D923" s="4">
        <v>6</v>
      </c>
      <c r="E923" s="4" t="s">
        <v>2326</v>
      </c>
      <c r="F923" s="4">
        <v>70621</v>
      </c>
      <c r="H923" s="4">
        <f t="shared" si="37"/>
        <v>100070626</v>
      </c>
      <c r="I923" s="4" t="s">
        <v>2359</v>
      </c>
      <c r="L923" s="4" t="s">
        <v>1819</v>
      </c>
      <c r="O923" s="38">
        <v>11043</v>
      </c>
      <c r="P923" s="38" t="s">
        <v>1838</v>
      </c>
      <c r="R923" s="50">
        <v>1</v>
      </c>
      <c r="V923" s="50">
        <v>76003</v>
      </c>
      <c r="AA923" s="4" t="s">
        <v>2360</v>
      </c>
    </row>
    <row r="924" spans="1:27">
      <c r="A924" s="4">
        <v>100070626</v>
      </c>
      <c r="B924" s="4">
        <v>7</v>
      </c>
      <c r="D924" s="4">
        <v>6</v>
      </c>
      <c r="E924" s="4" t="s">
        <v>2326</v>
      </c>
      <c r="F924" s="4">
        <v>70621</v>
      </c>
      <c r="I924" s="4" t="s">
        <v>2361</v>
      </c>
      <c r="L924" s="4" t="s">
        <v>1822</v>
      </c>
      <c r="O924" s="38">
        <v>11043</v>
      </c>
      <c r="P924" s="38" t="s">
        <v>1838</v>
      </c>
      <c r="R924" s="50">
        <v>1</v>
      </c>
      <c r="V924" s="50">
        <v>76003</v>
      </c>
      <c r="AA924" s="4" t="s">
        <v>2362</v>
      </c>
    </row>
    <row r="925" spans="1:27">
      <c r="A925" s="4">
        <v>100070631</v>
      </c>
      <c r="B925" s="4">
        <v>7</v>
      </c>
      <c r="D925" s="4">
        <v>6</v>
      </c>
      <c r="E925" s="4" t="s">
        <v>2326</v>
      </c>
      <c r="F925" s="4">
        <v>70631</v>
      </c>
      <c r="H925" s="4">
        <f t="shared" ref="H925:H929" si="38">A926</f>
        <v>100070632</v>
      </c>
      <c r="I925" s="4" t="s">
        <v>2363</v>
      </c>
      <c r="L925" s="4" t="s">
        <v>1806</v>
      </c>
      <c r="O925" s="38">
        <v>11043</v>
      </c>
      <c r="P925" s="38" t="s">
        <v>1851</v>
      </c>
      <c r="R925" s="50">
        <v>1</v>
      </c>
      <c r="V925" s="50">
        <v>76004</v>
      </c>
      <c r="AA925" s="4" t="s">
        <v>2364</v>
      </c>
    </row>
    <row r="926" spans="1:27">
      <c r="A926" s="4">
        <v>100070632</v>
      </c>
      <c r="B926" s="4">
        <v>7</v>
      </c>
      <c r="D926" s="4">
        <v>6</v>
      </c>
      <c r="E926" s="4" t="s">
        <v>2326</v>
      </c>
      <c r="F926" s="4">
        <v>70631</v>
      </c>
      <c r="H926" s="4">
        <f t="shared" si="38"/>
        <v>100070633</v>
      </c>
      <c r="I926" s="4" t="s">
        <v>2365</v>
      </c>
      <c r="L926" s="4" t="s">
        <v>1810</v>
      </c>
      <c r="O926" s="38">
        <v>11043</v>
      </c>
      <c r="P926" s="38" t="s">
        <v>1851</v>
      </c>
      <c r="R926" s="50">
        <v>1</v>
      </c>
      <c r="V926" s="50">
        <v>76004</v>
      </c>
      <c r="AA926" s="4" t="s">
        <v>2366</v>
      </c>
    </row>
    <row r="927" spans="1:27">
      <c r="A927" s="4">
        <v>100070633</v>
      </c>
      <c r="B927" s="4">
        <v>7</v>
      </c>
      <c r="D927" s="4">
        <v>6</v>
      </c>
      <c r="E927" s="4" t="s">
        <v>2326</v>
      </c>
      <c r="F927" s="4">
        <v>70631</v>
      </c>
      <c r="H927" s="4">
        <f t="shared" si="38"/>
        <v>100070634</v>
      </c>
      <c r="I927" s="4" t="s">
        <v>2367</v>
      </c>
      <c r="L927" s="4" t="s">
        <v>1813</v>
      </c>
      <c r="O927" s="38">
        <v>11043</v>
      </c>
      <c r="P927" s="38" t="s">
        <v>1851</v>
      </c>
      <c r="R927" s="50">
        <v>1</v>
      </c>
      <c r="V927" s="50">
        <v>76004</v>
      </c>
      <c r="AA927" s="4" t="s">
        <v>2368</v>
      </c>
    </row>
    <row r="928" spans="1:27">
      <c r="A928" s="4">
        <v>100070634</v>
      </c>
      <c r="B928" s="4">
        <v>7</v>
      </c>
      <c r="D928" s="4">
        <v>6</v>
      </c>
      <c r="E928" s="4" t="s">
        <v>2326</v>
      </c>
      <c r="F928" s="4">
        <v>70631</v>
      </c>
      <c r="H928" s="4">
        <f t="shared" si="38"/>
        <v>100070635</v>
      </c>
      <c r="I928" s="4" t="s">
        <v>2369</v>
      </c>
      <c r="L928" s="4" t="s">
        <v>1816</v>
      </c>
      <c r="O928" s="38">
        <v>11043</v>
      </c>
      <c r="P928" s="38" t="s">
        <v>1851</v>
      </c>
      <c r="R928" s="50">
        <v>1</v>
      </c>
      <c r="V928" s="50">
        <v>76004</v>
      </c>
      <c r="AA928" s="4" t="s">
        <v>2370</v>
      </c>
    </row>
    <row r="929" spans="1:27">
      <c r="A929" s="4">
        <v>100070635</v>
      </c>
      <c r="B929" s="4">
        <v>7</v>
      </c>
      <c r="D929" s="4">
        <v>6</v>
      </c>
      <c r="E929" s="4" t="s">
        <v>2326</v>
      </c>
      <c r="F929" s="4">
        <v>70631</v>
      </c>
      <c r="H929" s="4">
        <f t="shared" si="38"/>
        <v>100070636</v>
      </c>
      <c r="I929" s="4" t="s">
        <v>2371</v>
      </c>
      <c r="L929" s="4" t="s">
        <v>1819</v>
      </c>
      <c r="O929" s="38">
        <v>11043</v>
      </c>
      <c r="P929" s="38" t="s">
        <v>1851</v>
      </c>
      <c r="R929" s="50">
        <v>1</v>
      </c>
      <c r="V929" s="50">
        <v>76004</v>
      </c>
      <c r="AA929" s="4" t="s">
        <v>2372</v>
      </c>
    </row>
    <row r="930" spans="1:27">
      <c r="A930" s="4">
        <v>100070636</v>
      </c>
      <c r="B930" s="4">
        <v>7</v>
      </c>
      <c r="D930" s="4">
        <v>6</v>
      </c>
      <c r="E930" s="4" t="s">
        <v>2326</v>
      </c>
      <c r="F930" s="4">
        <v>70631</v>
      </c>
      <c r="I930" s="4" t="s">
        <v>2373</v>
      </c>
      <c r="L930" s="4" t="s">
        <v>1822</v>
      </c>
      <c r="O930" s="38">
        <v>11043</v>
      </c>
      <c r="P930" s="38" t="s">
        <v>1851</v>
      </c>
      <c r="R930" s="50">
        <v>1</v>
      </c>
      <c r="V930" s="50">
        <v>76004</v>
      </c>
      <c r="AA930" s="4" t="s">
        <v>2374</v>
      </c>
    </row>
    <row r="931" spans="1:27">
      <c r="A931" s="4">
        <v>100070641</v>
      </c>
      <c r="B931" s="4">
        <v>7</v>
      </c>
      <c r="D931" s="4">
        <v>6</v>
      </c>
      <c r="E931" s="4" t="s">
        <v>2326</v>
      </c>
      <c r="F931" s="4">
        <v>70641</v>
      </c>
      <c r="H931" s="4">
        <f t="shared" ref="H931:H935" si="39">A932</f>
        <v>100070642</v>
      </c>
      <c r="I931" s="4" t="s">
        <v>2375</v>
      </c>
      <c r="L931" s="4" t="s">
        <v>1806</v>
      </c>
      <c r="O931" s="38">
        <v>11043</v>
      </c>
      <c r="P931" s="38" t="s">
        <v>1864</v>
      </c>
      <c r="R931" s="50">
        <v>1</v>
      </c>
      <c r="V931" s="50">
        <v>76005</v>
      </c>
      <c r="AA931" s="4" t="s">
        <v>2376</v>
      </c>
    </row>
    <row r="932" spans="1:27">
      <c r="A932" s="4">
        <v>100070642</v>
      </c>
      <c r="B932" s="4">
        <v>7</v>
      </c>
      <c r="D932" s="4">
        <v>6</v>
      </c>
      <c r="E932" s="4" t="s">
        <v>2326</v>
      </c>
      <c r="F932" s="4">
        <v>70641</v>
      </c>
      <c r="H932" s="4">
        <f t="shared" si="39"/>
        <v>100070643</v>
      </c>
      <c r="I932" s="4" t="s">
        <v>2377</v>
      </c>
      <c r="L932" s="4" t="s">
        <v>1810</v>
      </c>
      <c r="O932" s="38">
        <v>11043</v>
      </c>
      <c r="P932" s="38" t="s">
        <v>1864</v>
      </c>
      <c r="R932" s="50">
        <v>1</v>
      </c>
      <c r="V932" s="50">
        <v>76005</v>
      </c>
      <c r="AA932" s="4" t="s">
        <v>2378</v>
      </c>
    </row>
    <row r="933" spans="1:27">
      <c r="A933" s="4">
        <v>100070643</v>
      </c>
      <c r="B933" s="4">
        <v>7</v>
      </c>
      <c r="D933" s="4">
        <v>6</v>
      </c>
      <c r="E933" s="4" t="s">
        <v>2326</v>
      </c>
      <c r="F933" s="4">
        <v>70641</v>
      </c>
      <c r="H933" s="4">
        <f t="shared" si="39"/>
        <v>100070644</v>
      </c>
      <c r="I933" s="4" t="s">
        <v>2379</v>
      </c>
      <c r="L933" s="4" t="s">
        <v>1813</v>
      </c>
      <c r="O933" s="38">
        <v>11043</v>
      </c>
      <c r="P933" s="38" t="s">
        <v>1864</v>
      </c>
      <c r="R933" s="50">
        <v>1</v>
      </c>
      <c r="V933" s="50">
        <v>76005</v>
      </c>
      <c r="AA933" s="4" t="s">
        <v>2380</v>
      </c>
    </row>
    <row r="934" spans="1:27">
      <c r="A934" s="4">
        <v>100070644</v>
      </c>
      <c r="B934" s="4">
        <v>7</v>
      </c>
      <c r="D934" s="4">
        <v>6</v>
      </c>
      <c r="E934" s="4" t="s">
        <v>2326</v>
      </c>
      <c r="F934" s="4">
        <v>70641</v>
      </c>
      <c r="H934" s="4">
        <f t="shared" si="39"/>
        <v>100070645</v>
      </c>
      <c r="I934" s="4" t="s">
        <v>2381</v>
      </c>
      <c r="L934" s="4" t="s">
        <v>1816</v>
      </c>
      <c r="O934" s="38">
        <v>11043</v>
      </c>
      <c r="P934" s="38" t="s">
        <v>1864</v>
      </c>
      <c r="R934" s="50">
        <v>1</v>
      </c>
      <c r="V934" s="50">
        <v>76005</v>
      </c>
      <c r="AA934" s="4" t="s">
        <v>2382</v>
      </c>
    </row>
    <row r="935" spans="1:27">
      <c r="A935" s="4">
        <v>100070645</v>
      </c>
      <c r="B935" s="4">
        <v>7</v>
      </c>
      <c r="D935" s="4">
        <v>6</v>
      </c>
      <c r="E935" s="4" t="s">
        <v>2326</v>
      </c>
      <c r="F935" s="4">
        <v>70641</v>
      </c>
      <c r="H935" s="4">
        <f t="shared" si="39"/>
        <v>100070646</v>
      </c>
      <c r="I935" s="4" t="s">
        <v>2383</v>
      </c>
      <c r="L935" s="4" t="s">
        <v>1819</v>
      </c>
      <c r="O935" s="38">
        <v>11043</v>
      </c>
      <c r="P935" s="38" t="s">
        <v>1864</v>
      </c>
      <c r="R935" s="50">
        <v>1</v>
      </c>
      <c r="V935" s="50">
        <v>76005</v>
      </c>
      <c r="AA935" s="4" t="s">
        <v>2384</v>
      </c>
    </row>
    <row r="936" spans="1:27">
      <c r="A936" s="4">
        <v>100070646</v>
      </c>
      <c r="B936" s="4">
        <v>7</v>
      </c>
      <c r="D936" s="4">
        <v>6</v>
      </c>
      <c r="E936" s="4" t="s">
        <v>2326</v>
      </c>
      <c r="F936" s="4">
        <v>70641</v>
      </c>
      <c r="I936" s="4" t="s">
        <v>2385</v>
      </c>
      <c r="L936" s="4" t="s">
        <v>1822</v>
      </c>
      <c r="O936" s="38">
        <v>11043</v>
      </c>
      <c r="P936" s="38" t="s">
        <v>1864</v>
      </c>
      <c r="R936" s="50">
        <v>1</v>
      </c>
      <c r="V936" s="50">
        <v>76005</v>
      </c>
      <c r="AA936" s="4" t="s">
        <v>2386</v>
      </c>
    </row>
    <row r="937" spans="1:27">
      <c r="A937" s="4">
        <v>100070651</v>
      </c>
      <c r="B937" s="4">
        <v>7</v>
      </c>
      <c r="D937" s="4">
        <v>6</v>
      </c>
      <c r="E937" s="4" t="s">
        <v>2326</v>
      </c>
      <c r="F937" s="4">
        <v>70651</v>
      </c>
      <c r="H937" s="4">
        <f t="shared" ref="H937:H941" si="40">A938</f>
        <v>100070652</v>
      </c>
      <c r="I937" s="4" t="s">
        <v>2387</v>
      </c>
      <c r="L937" s="4" t="s">
        <v>1806</v>
      </c>
      <c r="O937" s="38">
        <v>11043</v>
      </c>
      <c r="P937" s="38" t="s">
        <v>1877</v>
      </c>
      <c r="R937" s="50">
        <v>1</v>
      </c>
      <c r="V937" s="50">
        <v>76006</v>
      </c>
      <c r="AA937" s="4" t="s">
        <v>2388</v>
      </c>
    </row>
    <row r="938" spans="1:27">
      <c r="A938" s="4">
        <v>100070652</v>
      </c>
      <c r="B938" s="4">
        <v>7</v>
      </c>
      <c r="D938" s="4">
        <v>6</v>
      </c>
      <c r="E938" s="4" t="s">
        <v>2326</v>
      </c>
      <c r="F938" s="4">
        <v>70651</v>
      </c>
      <c r="H938" s="4">
        <f t="shared" si="40"/>
        <v>100070653</v>
      </c>
      <c r="I938" s="4" t="s">
        <v>2389</v>
      </c>
      <c r="L938" s="4" t="s">
        <v>1810</v>
      </c>
      <c r="O938" s="38">
        <v>11043</v>
      </c>
      <c r="P938" s="38" t="s">
        <v>1877</v>
      </c>
      <c r="R938" s="50">
        <v>1</v>
      </c>
      <c r="V938" s="50">
        <v>76006</v>
      </c>
      <c r="AA938" s="4" t="s">
        <v>2390</v>
      </c>
    </row>
    <row r="939" spans="1:27">
      <c r="A939" s="4">
        <v>100070653</v>
      </c>
      <c r="B939" s="4">
        <v>7</v>
      </c>
      <c r="D939" s="4">
        <v>6</v>
      </c>
      <c r="E939" s="4" t="s">
        <v>2326</v>
      </c>
      <c r="F939" s="4">
        <v>70651</v>
      </c>
      <c r="H939" s="4">
        <f t="shared" si="40"/>
        <v>100070654</v>
      </c>
      <c r="I939" s="4" t="s">
        <v>2391</v>
      </c>
      <c r="L939" s="4" t="s">
        <v>1813</v>
      </c>
      <c r="O939" s="38">
        <v>11043</v>
      </c>
      <c r="P939" s="38" t="s">
        <v>1877</v>
      </c>
      <c r="R939" s="50">
        <v>1</v>
      </c>
      <c r="V939" s="50">
        <v>76006</v>
      </c>
      <c r="AA939" s="4" t="s">
        <v>2392</v>
      </c>
    </row>
    <row r="940" spans="1:27">
      <c r="A940" s="4">
        <v>100070654</v>
      </c>
      <c r="B940" s="4">
        <v>7</v>
      </c>
      <c r="D940" s="4">
        <v>6</v>
      </c>
      <c r="E940" s="4" t="s">
        <v>2326</v>
      </c>
      <c r="F940" s="4">
        <v>70651</v>
      </c>
      <c r="H940" s="4">
        <f t="shared" si="40"/>
        <v>100070655</v>
      </c>
      <c r="I940" s="4" t="s">
        <v>2393</v>
      </c>
      <c r="L940" s="4" t="s">
        <v>1816</v>
      </c>
      <c r="O940" s="38">
        <v>11043</v>
      </c>
      <c r="P940" s="38" t="s">
        <v>1877</v>
      </c>
      <c r="R940" s="50">
        <v>1</v>
      </c>
      <c r="V940" s="50">
        <v>76006</v>
      </c>
      <c r="AA940" s="4" t="s">
        <v>2394</v>
      </c>
    </row>
    <row r="941" spans="1:27">
      <c r="A941" s="4">
        <v>100070655</v>
      </c>
      <c r="B941" s="4">
        <v>7</v>
      </c>
      <c r="D941" s="4">
        <v>6</v>
      </c>
      <c r="E941" s="4" t="s">
        <v>2326</v>
      </c>
      <c r="F941" s="4">
        <v>70651</v>
      </c>
      <c r="H941" s="4">
        <f t="shared" si="40"/>
        <v>100070656</v>
      </c>
      <c r="I941" s="4" t="s">
        <v>2395</v>
      </c>
      <c r="L941" s="4" t="s">
        <v>1819</v>
      </c>
      <c r="O941" s="38">
        <v>11043</v>
      </c>
      <c r="P941" s="38" t="s">
        <v>1877</v>
      </c>
      <c r="R941" s="50">
        <v>1</v>
      </c>
      <c r="V941" s="50">
        <v>76006</v>
      </c>
      <c r="AA941" s="4" t="s">
        <v>2396</v>
      </c>
    </row>
    <row r="942" spans="1:27">
      <c r="A942" s="4">
        <v>100070656</v>
      </c>
      <c r="B942" s="4">
        <v>7</v>
      </c>
      <c r="D942" s="4">
        <v>6</v>
      </c>
      <c r="E942" s="4" t="s">
        <v>2326</v>
      </c>
      <c r="F942" s="4">
        <v>70651</v>
      </c>
      <c r="I942" s="4" t="s">
        <v>2397</v>
      </c>
      <c r="L942" s="4" t="s">
        <v>1822</v>
      </c>
      <c r="O942" s="38">
        <v>11043</v>
      </c>
      <c r="P942" s="38" t="s">
        <v>1877</v>
      </c>
      <c r="R942" s="50">
        <v>1</v>
      </c>
      <c r="V942" s="50">
        <v>76006</v>
      </c>
      <c r="AA942" s="4" t="s">
        <v>2398</v>
      </c>
    </row>
    <row r="943" spans="1:27">
      <c r="A943" s="4">
        <v>100070661</v>
      </c>
      <c r="B943" s="4">
        <v>7</v>
      </c>
      <c r="D943" s="4">
        <v>6</v>
      </c>
      <c r="E943" s="4" t="s">
        <v>2326</v>
      </c>
      <c r="F943" s="4">
        <v>70661</v>
      </c>
      <c r="H943" s="4">
        <f t="shared" ref="H943:H949" si="41">A944</f>
        <v>100070662</v>
      </c>
      <c r="I943" s="4" t="s">
        <v>2399</v>
      </c>
      <c r="L943" s="4" t="s">
        <v>1806</v>
      </c>
      <c r="O943" s="38">
        <v>11043</v>
      </c>
      <c r="P943" s="38" t="s">
        <v>1890</v>
      </c>
      <c r="R943" s="50">
        <v>1</v>
      </c>
      <c r="V943" s="50">
        <v>76007</v>
      </c>
      <c r="AA943" s="4" t="s">
        <v>2400</v>
      </c>
    </row>
    <row r="944" spans="1:27">
      <c r="A944" s="4">
        <v>100070662</v>
      </c>
      <c r="B944" s="4">
        <v>7</v>
      </c>
      <c r="D944" s="4">
        <v>6</v>
      </c>
      <c r="E944" s="4" t="s">
        <v>2326</v>
      </c>
      <c r="F944" s="4">
        <v>70661</v>
      </c>
      <c r="H944" s="4">
        <f t="shared" si="41"/>
        <v>100070663</v>
      </c>
      <c r="I944" s="4" t="s">
        <v>2401</v>
      </c>
      <c r="L944" s="4" t="s">
        <v>1810</v>
      </c>
      <c r="O944" s="38">
        <v>11043</v>
      </c>
      <c r="P944" s="38" t="s">
        <v>1890</v>
      </c>
      <c r="R944" s="50">
        <v>1</v>
      </c>
      <c r="V944" s="50">
        <v>76007</v>
      </c>
      <c r="AA944" s="4" t="s">
        <v>2402</v>
      </c>
    </row>
    <row r="945" spans="1:27">
      <c r="A945" s="4">
        <v>100070663</v>
      </c>
      <c r="B945" s="4">
        <v>7</v>
      </c>
      <c r="D945" s="4">
        <v>6</v>
      </c>
      <c r="E945" s="4" t="s">
        <v>2326</v>
      </c>
      <c r="F945" s="4">
        <v>70661</v>
      </c>
      <c r="H945" s="4">
        <f t="shared" si="41"/>
        <v>100070664</v>
      </c>
      <c r="I945" s="4" t="s">
        <v>2403</v>
      </c>
      <c r="L945" s="4" t="s">
        <v>1895</v>
      </c>
      <c r="O945" s="38">
        <v>11043</v>
      </c>
      <c r="P945" s="38" t="s">
        <v>1890</v>
      </c>
      <c r="R945" s="50">
        <v>1</v>
      </c>
      <c r="V945" s="50">
        <v>76007</v>
      </c>
      <c r="AA945" s="4" t="s">
        <v>2404</v>
      </c>
    </row>
    <row r="946" spans="1:27">
      <c r="A946" s="4">
        <v>100070664</v>
      </c>
      <c r="B946" s="4">
        <v>7</v>
      </c>
      <c r="D946" s="4">
        <v>6</v>
      </c>
      <c r="E946" s="4" t="s">
        <v>2326</v>
      </c>
      <c r="F946" s="4">
        <v>70661</v>
      </c>
      <c r="H946" s="4">
        <f t="shared" si="41"/>
        <v>100070665</v>
      </c>
      <c r="I946" s="4" t="s">
        <v>2405</v>
      </c>
      <c r="L946" s="4" t="s">
        <v>1813</v>
      </c>
      <c r="O946" s="38">
        <v>11043</v>
      </c>
      <c r="P946" s="38" t="s">
        <v>1890</v>
      </c>
      <c r="R946" s="50">
        <v>1</v>
      </c>
      <c r="V946" s="50">
        <v>76007</v>
      </c>
      <c r="AA946" s="4" t="s">
        <v>2406</v>
      </c>
    </row>
    <row r="947" spans="1:27">
      <c r="A947" s="4">
        <v>100070665</v>
      </c>
      <c r="B947" s="4">
        <v>7</v>
      </c>
      <c r="D947" s="4">
        <v>6</v>
      </c>
      <c r="E947" s="4" t="s">
        <v>2326</v>
      </c>
      <c r="F947" s="4">
        <v>70661</v>
      </c>
      <c r="H947" s="4">
        <f t="shared" si="41"/>
        <v>100070666</v>
      </c>
      <c r="I947" s="4" t="s">
        <v>2407</v>
      </c>
      <c r="L947" s="4" t="s">
        <v>1900</v>
      </c>
      <c r="O947" s="38">
        <v>11043</v>
      </c>
      <c r="P947" s="38" t="s">
        <v>1890</v>
      </c>
      <c r="R947" s="50">
        <v>1</v>
      </c>
      <c r="V947" s="50">
        <v>76007</v>
      </c>
      <c r="AA947" s="4" t="s">
        <v>2408</v>
      </c>
    </row>
    <row r="948" spans="1:27">
      <c r="A948" s="4">
        <v>100070666</v>
      </c>
      <c r="B948" s="4">
        <v>7</v>
      </c>
      <c r="D948" s="4">
        <v>6</v>
      </c>
      <c r="E948" s="4" t="s">
        <v>2326</v>
      </c>
      <c r="F948" s="4">
        <v>70661</v>
      </c>
      <c r="H948" s="4">
        <f t="shared" si="41"/>
        <v>100070667</v>
      </c>
      <c r="I948" s="4" t="s">
        <v>2409</v>
      </c>
      <c r="L948" s="4" t="s">
        <v>1903</v>
      </c>
      <c r="O948" s="38">
        <v>11043</v>
      </c>
      <c r="P948" s="38" t="s">
        <v>1890</v>
      </c>
      <c r="R948" s="50">
        <v>1</v>
      </c>
      <c r="V948" s="50">
        <v>76007</v>
      </c>
      <c r="AA948" s="4" t="s">
        <v>2410</v>
      </c>
    </row>
    <row r="949" spans="1:27">
      <c r="A949" s="4">
        <v>100070667</v>
      </c>
      <c r="B949" s="4">
        <v>7</v>
      </c>
      <c r="D949" s="4">
        <v>6</v>
      </c>
      <c r="E949" s="4" t="s">
        <v>2326</v>
      </c>
      <c r="F949" s="4">
        <v>70661</v>
      </c>
      <c r="H949" s="4">
        <f t="shared" si="41"/>
        <v>100070668</v>
      </c>
      <c r="I949" s="4" t="s">
        <v>2411</v>
      </c>
      <c r="L949" s="4" t="s">
        <v>1906</v>
      </c>
      <c r="O949" s="38">
        <v>11043</v>
      </c>
      <c r="P949" s="38" t="s">
        <v>1890</v>
      </c>
      <c r="R949" s="50">
        <v>1</v>
      </c>
      <c r="V949" s="50">
        <v>76007</v>
      </c>
      <c r="AA949" s="4" t="s">
        <v>2412</v>
      </c>
    </row>
    <row r="950" spans="1:27">
      <c r="A950" s="4">
        <v>100070668</v>
      </c>
      <c r="B950" s="4">
        <v>7</v>
      </c>
      <c r="D950" s="4">
        <v>6</v>
      </c>
      <c r="E950" s="4" t="s">
        <v>2326</v>
      </c>
      <c r="F950" s="4">
        <v>70661</v>
      </c>
      <c r="I950" s="4" t="s">
        <v>2413</v>
      </c>
      <c r="L950" s="4" t="s">
        <v>1816</v>
      </c>
      <c r="O950" s="38">
        <v>11043</v>
      </c>
      <c r="P950" s="38" t="s">
        <v>1890</v>
      </c>
      <c r="R950" s="50">
        <v>1</v>
      </c>
      <c r="V950" s="50">
        <v>76007</v>
      </c>
      <c r="AA950" s="4" t="s">
        <v>2414</v>
      </c>
    </row>
    <row r="951" spans="1:27">
      <c r="A951" s="4">
        <v>100070671</v>
      </c>
      <c r="B951" s="4">
        <v>7</v>
      </c>
      <c r="D951" s="4">
        <v>6</v>
      </c>
      <c r="E951" s="4" t="s">
        <v>2326</v>
      </c>
      <c r="F951" s="4">
        <v>70671</v>
      </c>
      <c r="H951" s="4">
        <f t="shared" ref="H951:H955" si="42">A952</f>
        <v>100070672</v>
      </c>
      <c r="I951" s="4" t="s">
        <v>2415</v>
      </c>
      <c r="L951" s="4" t="s">
        <v>1806</v>
      </c>
      <c r="O951" s="38">
        <v>11043</v>
      </c>
      <c r="P951" s="38" t="s">
        <v>1911</v>
      </c>
      <c r="R951" s="50">
        <v>1</v>
      </c>
      <c r="V951" s="50">
        <v>76008</v>
      </c>
      <c r="AA951" s="4" t="s">
        <v>2416</v>
      </c>
    </row>
    <row r="952" spans="1:27">
      <c r="A952" s="4">
        <v>100070672</v>
      </c>
      <c r="B952" s="4">
        <v>7</v>
      </c>
      <c r="D952" s="4">
        <v>6</v>
      </c>
      <c r="E952" s="4" t="s">
        <v>2326</v>
      </c>
      <c r="F952" s="4">
        <v>70671</v>
      </c>
      <c r="H952" s="4">
        <f t="shared" si="42"/>
        <v>100070673</v>
      </c>
      <c r="I952" s="4" t="s">
        <v>2417</v>
      </c>
      <c r="L952" s="4" t="s">
        <v>1810</v>
      </c>
      <c r="O952" s="38">
        <v>11043</v>
      </c>
      <c r="P952" s="38" t="s">
        <v>1911</v>
      </c>
      <c r="R952" s="50">
        <v>1</v>
      </c>
      <c r="V952" s="50">
        <v>76008</v>
      </c>
      <c r="AA952" s="4" t="s">
        <v>2418</v>
      </c>
    </row>
    <row r="953" spans="1:27">
      <c r="A953" s="4">
        <v>100070673</v>
      </c>
      <c r="B953" s="4">
        <v>7</v>
      </c>
      <c r="D953" s="4">
        <v>6</v>
      </c>
      <c r="E953" s="4" t="s">
        <v>2326</v>
      </c>
      <c r="F953" s="4">
        <v>70671</v>
      </c>
      <c r="H953" s="4">
        <f t="shared" si="42"/>
        <v>100070674</v>
      </c>
      <c r="I953" s="4" t="s">
        <v>2419</v>
      </c>
      <c r="L953" s="4" t="s">
        <v>1813</v>
      </c>
      <c r="O953" s="38">
        <v>11043</v>
      </c>
      <c r="P953" s="38" t="s">
        <v>1911</v>
      </c>
      <c r="R953" s="50">
        <v>1</v>
      </c>
      <c r="V953" s="50">
        <v>76008</v>
      </c>
      <c r="AA953" s="4" t="s">
        <v>2420</v>
      </c>
    </row>
    <row r="954" spans="1:27">
      <c r="A954" s="4">
        <v>100070674</v>
      </c>
      <c r="B954" s="4">
        <v>7</v>
      </c>
      <c r="D954" s="4">
        <v>6</v>
      </c>
      <c r="E954" s="4" t="s">
        <v>2326</v>
      </c>
      <c r="F954" s="4">
        <v>70671</v>
      </c>
      <c r="H954" s="4">
        <f t="shared" si="42"/>
        <v>100070675</v>
      </c>
      <c r="I954" s="4" t="s">
        <v>2421</v>
      </c>
      <c r="L954" s="4" t="s">
        <v>1816</v>
      </c>
      <c r="O954" s="38">
        <v>11043</v>
      </c>
      <c r="P954" s="38" t="s">
        <v>1911</v>
      </c>
      <c r="R954" s="50">
        <v>1</v>
      </c>
      <c r="V954" s="50">
        <v>76008</v>
      </c>
      <c r="AA954" s="4" t="s">
        <v>2422</v>
      </c>
    </row>
    <row r="955" spans="1:27">
      <c r="A955" s="4">
        <v>100070675</v>
      </c>
      <c r="B955" s="4">
        <v>7</v>
      </c>
      <c r="D955" s="4">
        <v>6</v>
      </c>
      <c r="E955" s="4" t="s">
        <v>2326</v>
      </c>
      <c r="F955" s="4">
        <v>70671</v>
      </c>
      <c r="H955" s="4">
        <f t="shared" si="42"/>
        <v>100070676</v>
      </c>
      <c r="I955" s="4" t="s">
        <v>2423</v>
      </c>
      <c r="L955" s="4" t="s">
        <v>1819</v>
      </c>
      <c r="O955" s="38">
        <v>11043</v>
      </c>
      <c r="P955" s="38" t="s">
        <v>1911</v>
      </c>
      <c r="R955" s="50">
        <v>1</v>
      </c>
      <c r="V955" s="50">
        <v>76008</v>
      </c>
      <c r="AA955" s="4" t="s">
        <v>2424</v>
      </c>
    </row>
    <row r="956" spans="1:27">
      <c r="A956" s="4">
        <v>100070676</v>
      </c>
      <c r="B956" s="4">
        <v>7</v>
      </c>
      <c r="D956" s="4">
        <v>6</v>
      </c>
      <c r="E956" s="4" t="s">
        <v>2326</v>
      </c>
      <c r="F956" s="4">
        <v>70671</v>
      </c>
      <c r="I956" s="4" t="s">
        <v>2425</v>
      </c>
      <c r="L956" s="4" t="s">
        <v>1822</v>
      </c>
      <c r="O956" s="38">
        <v>11043</v>
      </c>
      <c r="P956" s="38" t="s">
        <v>1911</v>
      </c>
      <c r="R956" s="50">
        <v>1</v>
      </c>
      <c r="V956" s="50">
        <v>76008</v>
      </c>
      <c r="AA956" s="4" t="s">
        <v>2426</v>
      </c>
    </row>
    <row r="957" spans="1:27">
      <c r="A957" s="4">
        <v>100070701</v>
      </c>
      <c r="B957" s="4">
        <v>7</v>
      </c>
      <c r="C957" s="4" t="s">
        <v>1803</v>
      </c>
      <c r="D957" s="4">
        <v>7</v>
      </c>
      <c r="E957" s="4" t="s">
        <v>2427</v>
      </c>
      <c r="F957" s="4">
        <v>70701</v>
      </c>
      <c r="H957" s="4">
        <f t="shared" ref="H957:H961" si="43">A958</f>
        <v>100070702</v>
      </c>
      <c r="I957" s="4" t="s">
        <v>2428</v>
      </c>
      <c r="L957" s="4" t="s">
        <v>1806</v>
      </c>
      <c r="O957" s="38">
        <v>3204</v>
      </c>
      <c r="P957" s="38" t="s">
        <v>1807</v>
      </c>
      <c r="R957" s="50">
        <v>1</v>
      </c>
      <c r="V957" s="59">
        <v>76001</v>
      </c>
      <c r="AA957" s="4" t="s">
        <v>2429</v>
      </c>
    </row>
    <row r="958" spans="1:27">
      <c r="A958" s="4">
        <v>100070702</v>
      </c>
      <c r="B958" s="4">
        <v>7</v>
      </c>
      <c r="C958" s="4" t="s">
        <v>1803</v>
      </c>
      <c r="D958" s="4">
        <v>7</v>
      </c>
      <c r="E958" s="4" t="s">
        <v>2427</v>
      </c>
      <c r="F958" s="4">
        <v>70701</v>
      </c>
      <c r="H958" s="4">
        <f t="shared" si="43"/>
        <v>100070703</v>
      </c>
      <c r="I958" s="4" t="s">
        <v>2430</v>
      </c>
      <c r="L958" s="4" t="s">
        <v>1810</v>
      </c>
      <c r="O958" s="38">
        <v>3204</v>
      </c>
      <c r="P958" s="38" t="s">
        <v>1807</v>
      </c>
      <c r="R958" s="50">
        <v>1</v>
      </c>
      <c r="V958" s="59">
        <v>76001</v>
      </c>
      <c r="AA958" s="4" t="s">
        <v>2431</v>
      </c>
    </row>
    <row r="959" spans="1:27">
      <c r="A959" s="4">
        <v>100070703</v>
      </c>
      <c r="B959" s="4">
        <v>7</v>
      </c>
      <c r="C959" s="4" t="s">
        <v>1803</v>
      </c>
      <c r="D959" s="4">
        <v>7</v>
      </c>
      <c r="E959" s="4" t="s">
        <v>2427</v>
      </c>
      <c r="F959" s="4">
        <v>70701</v>
      </c>
      <c r="H959" s="4">
        <f t="shared" si="43"/>
        <v>100070704</v>
      </c>
      <c r="I959" s="4" t="s">
        <v>2432</v>
      </c>
      <c r="L959" s="4" t="s">
        <v>1813</v>
      </c>
      <c r="O959" s="38">
        <v>3204</v>
      </c>
      <c r="P959" s="38" t="s">
        <v>1807</v>
      </c>
      <c r="R959" s="50">
        <v>1</v>
      </c>
      <c r="V959" s="59">
        <v>76001</v>
      </c>
      <c r="AA959" s="4" t="s">
        <v>2433</v>
      </c>
    </row>
    <row r="960" spans="1:27">
      <c r="A960" s="4">
        <v>100070704</v>
      </c>
      <c r="B960" s="4">
        <v>7</v>
      </c>
      <c r="C960" s="4" t="s">
        <v>1803</v>
      </c>
      <c r="D960" s="4">
        <v>7</v>
      </c>
      <c r="E960" s="4" t="s">
        <v>2427</v>
      </c>
      <c r="F960" s="4">
        <v>70701</v>
      </c>
      <c r="H960" s="4">
        <f t="shared" si="43"/>
        <v>100070705</v>
      </c>
      <c r="I960" s="4" t="s">
        <v>2434</v>
      </c>
      <c r="L960" s="4" t="s">
        <v>1816</v>
      </c>
      <c r="O960" s="38">
        <v>3204</v>
      </c>
      <c r="P960" s="38" t="s">
        <v>1807</v>
      </c>
      <c r="R960" s="50">
        <v>1</v>
      </c>
      <c r="V960" s="59">
        <v>76001</v>
      </c>
      <c r="AA960" s="4" t="s">
        <v>2435</v>
      </c>
    </row>
    <row r="961" spans="1:27">
      <c r="A961" s="4">
        <v>100070705</v>
      </c>
      <c r="B961" s="4">
        <v>7</v>
      </c>
      <c r="C961" s="4" t="s">
        <v>1803</v>
      </c>
      <c r="D961" s="4">
        <v>7</v>
      </c>
      <c r="E961" s="4" t="s">
        <v>2427</v>
      </c>
      <c r="F961" s="4">
        <v>70701</v>
      </c>
      <c r="H961" s="4">
        <f t="shared" si="43"/>
        <v>100070706</v>
      </c>
      <c r="I961" s="4" t="s">
        <v>2436</v>
      </c>
      <c r="L961" s="4" t="s">
        <v>1819</v>
      </c>
      <c r="O961" s="38">
        <v>3204</v>
      </c>
      <c r="P961" s="38" t="s">
        <v>1807</v>
      </c>
      <c r="R961" s="50">
        <v>1</v>
      </c>
      <c r="V961" s="59">
        <v>76001</v>
      </c>
      <c r="AA961" s="4" t="s">
        <v>2437</v>
      </c>
    </row>
    <row r="962" spans="1:27">
      <c r="A962" s="4">
        <v>100070706</v>
      </c>
      <c r="B962" s="4">
        <v>7</v>
      </c>
      <c r="C962" s="4" t="s">
        <v>1803</v>
      </c>
      <c r="D962" s="4">
        <v>7</v>
      </c>
      <c r="E962" s="4" t="s">
        <v>2427</v>
      </c>
      <c r="F962" s="4">
        <v>70701</v>
      </c>
      <c r="I962" s="4" t="s">
        <v>2438</v>
      </c>
      <c r="L962" s="4" t="s">
        <v>1822</v>
      </c>
      <c r="O962" s="38">
        <v>3204</v>
      </c>
      <c r="P962" s="38" t="s">
        <v>1807</v>
      </c>
      <c r="R962" s="50">
        <v>1</v>
      </c>
      <c r="V962" s="59">
        <v>76001</v>
      </c>
      <c r="AA962" s="4" t="s">
        <v>2439</v>
      </c>
    </row>
    <row r="963" spans="1:27">
      <c r="A963" s="4">
        <v>100070711</v>
      </c>
      <c r="B963" s="4">
        <v>7</v>
      </c>
      <c r="D963" s="4">
        <v>7</v>
      </c>
      <c r="E963" s="4" t="s">
        <v>2427</v>
      </c>
      <c r="F963" s="4">
        <v>70711</v>
      </c>
      <c r="H963" s="4">
        <f t="shared" ref="H963:H967" si="44">A964</f>
        <v>100070712</v>
      </c>
      <c r="I963" s="4" t="s">
        <v>2440</v>
      </c>
      <c r="L963" s="4" t="s">
        <v>1806</v>
      </c>
      <c r="O963" s="38">
        <v>3304</v>
      </c>
      <c r="P963" s="38" t="s">
        <v>1825</v>
      </c>
      <c r="R963" s="50">
        <v>1</v>
      </c>
      <c r="V963" s="50">
        <v>76002</v>
      </c>
      <c r="AA963" s="4" t="s">
        <v>2441</v>
      </c>
    </row>
    <row r="964" spans="1:27">
      <c r="A964" s="4">
        <v>100070712</v>
      </c>
      <c r="B964" s="4">
        <v>7</v>
      </c>
      <c r="D964" s="4">
        <v>7</v>
      </c>
      <c r="E964" s="4" t="s">
        <v>2427</v>
      </c>
      <c r="F964" s="4">
        <v>70711</v>
      </c>
      <c r="H964" s="4">
        <f t="shared" si="44"/>
        <v>100070713</v>
      </c>
      <c r="I964" s="4" t="s">
        <v>2442</v>
      </c>
      <c r="L964" s="4" t="s">
        <v>1810</v>
      </c>
      <c r="O964" s="38">
        <v>3304</v>
      </c>
      <c r="P964" s="38" t="s">
        <v>1825</v>
      </c>
      <c r="R964" s="50">
        <v>1</v>
      </c>
      <c r="V964" s="50">
        <v>76002</v>
      </c>
      <c r="AA964" s="4" t="s">
        <v>2443</v>
      </c>
    </row>
    <row r="965" spans="1:27">
      <c r="A965" s="4">
        <v>100070713</v>
      </c>
      <c r="B965" s="4">
        <v>7</v>
      </c>
      <c r="D965" s="4">
        <v>7</v>
      </c>
      <c r="E965" s="4" t="s">
        <v>2427</v>
      </c>
      <c r="F965" s="4">
        <v>70711</v>
      </c>
      <c r="H965" s="4">
        <f t="shared" si="44"/>
        <v>100070714</v>
      </c>
      <c r="I965" s="4" t="s">
        <v>2444</v>
      </c>
      <c r="L965" s="4" t="s">
        <v>1813</v>
      </c>
      <c r="O965" s="38">
        <v>3304</v>
      </c>
      <c r="P965" s="38" t="s">
        <v>1825</v>
      </c>
      <c r="R965" s="50">
        <v>1</v>
      </c>
      <c r="V965" s="50">
        <v>76002</v>
      </c>
      <c r="AA965" s="4" t="s">
        <v>2445</v>
      </c>
    </row>
    <row r="966" spans="1:27">
      <c r="A966" s="4">
        <v>100070714</v>
      </c>
      <c r="B966" s="4">
        <v>7</v>
      </c>
      <c r="D966" s="4">
        <v>7</v>
      </c>
      <c r="E966" s="4" t="s">
        <v>2427</v>
      </c>
      <c r="F966" s="4">
        <v>70711</v>
      </c>
      <c r="H966" s="4">
        <f t="shared" si="44"/>
        <v>100070715</v>
      </c>
      <c r="I966" s="4" t="s">
        <v>2446</v>
      </c>
      <c r="L966" s="4" t="s">
        <v>1816</v>
      </c>
      <c r="O966" s="38">
        <v>3304</v>
      </c>
      <c r="P966" s="38" t="s">
        <v>1825</v>
      </c>
      <c r="R966" s="50">
        <v>1</v>
      </c>
      <c r="V966" s="50">
        <v>76002</v>
      </c>
      <c r="AA966" s="4" t="s">
        <v>2447</v>
      </c>
    </row>
    <row r="967" spans="1:27">
      <c r="A967" s="4">
        <v>100070715</v>
      </c>
      <c r="B967" s="4">
        <v>7</v>
      </c>
      <c r="D967" s="4">
        <v>7</v>
      </c>
      <c r="E967" s="4" t="s">
        <v>2427</v>
      </c>
      <c r="F967" s="4">
        <v>70711</v>
      </c>
      <c r="H967" s="4">
        <f t="shared" si="44"/>
        <v>100070716</v>
      </c>
      <c r="I967" s="4" t="s">
        <v>2448</v>
      </c>
      <c r="L967" s="4" t="s">
        <v>1819</v>
      </c>
      <c r="O967" s="38">
        <v>3304</v>
      </c>
      <c r="P967" s="38" t="s">
        <v>1825</v>
      </c>
      <c r="R967" s="50">
        <v>1</v>
      </c>
      <c r="V967" s="50">
        <v>76002</v>
      </c>
      <c r="AA967" s="4" t="s">
        <v>2449</v>
      </c>
    </row>
    <row r="968" spans="1:27">
      <c r="A968" s="4">
        <v>100070716</v>
      </c>
      <c r="B968" s="4">
        <v>7</v>
      </c>
      <c r="D968" s="4">
        <v>7</v>
      </c>
      <c r="E968" s="4" t="s">
        <v>2427</v>
      </c>
      <c r="F968" s="4">
        <v>70711</v>
      </c>
      <c r="I968" s="4" t="s">
        <v>2450</v>
      </c>
      <c r="L968" s="4" t="s">
        <v>1822</v>
      </c>
      <c r="O968" s="38">
        <v>3304</v>
      </c>
      <c r="P968" s="38" t="s">
        <v>1825</v>
      </c>
      <c r="R968" s="50">
        <v>1</v>
      </c>
      <c r="V968" s="50">
        <v>76002</v>
      </c>
      <c r="AA968" s="4" t="s">
        <v>2451</v>
      </c>
    </row>
    <row r="969" spans="1:27">
      <c r="A969" s="4">
        <v>100070721</v>
      </c>
      <c r="B969" s="4">
        <v>7</v>
      </c>
      <c r="D969" s="4">
        <v>7</v>
      </c>
      <c r="E969" s="4" t="s">
        <v>2427</v>
      </c>
      <c r="F969" s="4">
        <v>70721</v>
      </c>
      <c r="H969" s="4">
        <f t="shared" ref="H969:H973" si="45">A970</f>
        <v>100070722</v>
      </c>
      <c r="I969" s="4" t="s">
        <v>2452</v>
      </c>
      <c r="L969" s="4" t="s">
        <v>1806</v>
      </c>
      <c r="O969" s="38">
        <v>11027</v>
      </c>
      <c r="P969" s="38" t="s">
        <v>1838</v>
      </c>
      <c r="R969" s="50">
        <v>1</v>
      </c>
      <c r="V969" s="50">
        <v>76003</v>
      </c>
      <c r="AA969" s="4" t="s">
        <v>2453</v>
      </c>
    </row>
    <row r="970" spans="1:27">
      <c r="A970" s="4">
        <v>100070722</v>
      </c>
      <c r="B970" s="4">
        <v>7</v>
      </c>
      <c r="D970" s="4">
        <v>7</v>
      </c>
      <c r="E970" s="4" t="s">
        <v>2427</v>
      </c>
      <c r="F970" s="4">
        <v>70721</v>
      </c>
      <c r="H970" s="4">
        <f t="shared" si="45"/>
        <v>100070723</v>
      </c>
      <c r="I970" s="4" t="s">
        <v>2454</v>
      </c>
      <c r="L970" s="4" t="s">
        <v>1810</v>
      </c>
      <c r="O970" s="38">
        <v>11027</v>
      </c>
      <c r="P970" s="38" t="s">
        <v>1838</v>
      </c>
      <c r="R970" s="50">
        <v>1</v>
      </c>
      <c r="V970" s="50">
        <v>76003</v>
      </c>
      <c r="AA970" s="4" t="s">
        <v>2455</v>
      </c>
    </row>
    <row r="971" spans="1:27">
      <c r="A971" s="4">
        <v>100070723</v>
      </c>
      <c r="B971" s="4">
        <v>7</v>
      </c>
      <c r="D971" s="4">
        <v>7</v>
      </c>
      <c r="E971" s="4" t="s">
        <v>2427</v>
      </c>
      <c r="F971" s="4">
        <v>70721</v>
      </c>
      <c r="H971" s="4">
        <f t="shared" si="45"/>
        <v>100070724</v>
      </c>
      <c r="I971" s="4" t="s">
        <v>2456</v>
      </c>
      <c r="L971" s="4" t="s">
        <v>1813</v>
      </c>
      <c r="O971" s="38">
        <v>11027</v>
      </c>
      <c r="P971" s="38" t="s">
        <v>1838</v>
      </c>
      <c r="R971" s="50">
        <v>1</v>
      </c>
      <c r="V971" s="50">
        <v>76003</v>
      </c>
      <c r="AA971" s="4" t="s">
        <v>2457</v>
      </c>
    </row>
    <row r="972" spans="1:27">
      <c r="A972" s="4">
        <v>100070724</v>
      </c>
      <c r="B972" s="4">
        <v>7</v>
      </c>
      <c r="D972" s="4">
        <v>7</v>
      </c>
      <c r="E972" s="4" t="s">
        <v>2427</v>
      </c>
      <c r="F972" s="4">
        <v>70721</v>
      </c>
      <c r="H972" s="4">
        <f t="shared" si="45"/>
        <v>100070725</v>
      </c>
      <c r="I972" s="4" t="s">
        <v>2458</v>
      </c>
      <c r="L972" s="4" t="s">
        <v>1816</v>
      </c>
      <c r="O972" s="38">
        <v>11027</v>
      </c>
      <c r="P972" s="38" t="s">
        <v>1838</v>
      </c>
      <c r="R972" s="50">
        <v>1</v>
      </c>
      <c r="V972" s="50">
        <v>76003</v>
      </c>
      <c r="AA972" s="4" t="s">
        <v>2459</v>
      </c>
    </row>
    <row r="973" spans="1:27">
      <c r="A973" s="4">
        <v>100070725</v>
      </c>
      <c r="B973" s="4">
        <v>7</v>
      </c>
      <c r="D973" s="4">
        <v>7</v>
      </c>
      <c r="E973" s="4" t="s">
        <v>2427</v>
      </c>
      <c r="F973" s="4">
        <v>70721</v>
      </c>
      <c r="H973" s="4">
        <f t="shared" si="45"/>
        <v>100070726</v>
      </c>
      <c r="I973" s="4" t="s">
        <v>2460</v>
      </c>
      <c r="L973" s="4" t="s">
        <v>1819</v>
      </c>
      <c r="O973" s="38">
        <v>11027</v>
      </c>
      <c r="P973" s="38" t="s">
        <v>1838</v>
      </c>
      <c r="R973" s="50">
        <v>1</v>
      </c>
      <c r="V973" s="50">
        <v>76003</v>
      </c>
      <c r="AA973" s="4" t="s">
        <v>2461</v>
      </c>
    </row>
    <row r="974" spans="1:27">
      <c r="A974" s="4">
        <v>100070726</v>
      </c>
      <c r="B974" s="4">
        <v>7</v>
      </c>
      <c r="D974" s="4">
        <v>7</v>
      </c>
      <c r="E974" s="4" t="s">
        <v>2427</v>
      </c>
      <c r="F974" s="4">
        <v>70721</v>
      </c>
      <c r="I974" s="4" t="s">
        <v>2462</v>
      </c>
      <c r="L974" s="4" t="s">
        <v>1822</v>
      </c>
      <c r="O974" s="38">
        <v>11027</v>
      </c>
      <c r="P974" s="38" t="s">
        <v>1838</v>
      </c>
      <c r="R974" s="50">
        <v>1</v>
      </c>
      <c r="V974" s="50">
        <v>76003</v>
      </c>
      <c r="AA974" s="4" t="s">
        <v>2463</v>
      </c>
    </row>
    <row r="975" spans="1:27">
      <c r="A975" s="4">
        <v>100070731</v>
      </c>
      <c r="B975" s="4">
        <v>7</v>
      </c>
      <c r="D975" s="4">
        <v>7</v>
      </c>
      <c r="E975" s="4" t="s">
        <v>2427</v>
      </c>
      <c r="F975" s="4">
        <v>70731</v>
      </c>
      <c r="H975" s="4">
        <f t="shared" ref="H975:H979" si="46">A976</f>
        <v>100070732</v>
      </c>
      <c r="I975" s="4" t="s">
        <v>2464</v>
      </c>
      <c r="L975" s="4" t="s">
        <v>1806</v>
      </c>
      <c r="O975" s="38">
        <v>11027</v>
      </c>
      <c r="P975" s="38" t="s">
        <v>1851</v>
      </c>
      <c r="R975" s="50">
        <v>1</v>
      </c>
      <c r="V975" s="50">
        <v>76004</v>
      </c>
      <c r="AA975" s="4" t="s">
        <v>2465</v>
      </c>
    </row>
    <row r="976" spans="1:27">
      <c r="A976" s="4">
        <v>100070732</v>
      </c>
      <c r="B976" s="4">
        <v>7</v>
      </c>
      <c r="D976" s="4">
        <v>7</v>
      </c>
      <c r="E976" s="4" t="s">
        <v>2427</v>
      </c>
      <c r="F976" s="4">
        <v>70731</v>
      </c>
      <c r="H976" s="4">
        <f t="shared" si="46"/>
        <v>100070733</v>
      </c>
      <c r="I976" s="4" t="s">
        <v>2466</v>
      </c>
      <c r="L976" s="4" t="s">
        <v>1810</v>
      </c>
      <c r="O976" s="38">
        <v>11027</v>
      </c>
      <c r="P976" s="38" t="s">
        <v>1851</v>
      </c>
      <c r="R976" s="50">
        <v>1</v>
      </c>
      <c r="V976" s="50">
        <v>76004</v>
      </c>
      <c r="AA976" s="4" t="s">
        <v>2467</v>
      </c>
    </row>
    <row r="977" spans="1:27">
      <c r="A977" s="4">
        <v>100070733</v>
      </c>
      <c r="B977" s="4">
        <v>7</v>
      </c>
      <c r="D977" s="4">
        <v>7</v>
      </c>
      <c r="E977" s="4" t="s">
        <v>2427</v>
      </c>
      <c r="F977" s="4">
        <v>70731</v>
      </c>
      <c r="H977" s="4">
        <f t="shared" si="46"/>
        <v>100070734</v>
      </c>
      <c r="I977" s="4" t="s">
        <v>2468</v>
      </c>
      <c r="L977" s="4" t="s">
        <v>1813</v>
      </c>
      <c r="O977" s="38">
        <v>11027</v>
      </c>
      <c r="P977" s="38" t="s">
        <v>1851</v>
      </c>
      <c r="R977" s="50">
        <v>1</v>
      </c>
      <c r="V977" s="50">
        <v>76004</v>
      </c>
      <c r="AA977" s="4" t="s">
        <v>2469</v>
      </c>
    </row>
    <row r="978" spans="1:27">
      <c r="A978" s="4">
        <v>100070734</v>
      </c>
      <c r="B978" s="4">
        <v>7</v>
      </c>
      <c r="D978" s="4">
        <v>7</v>
      </c>
      <c r="E978" s="4" t="s">
        <v>2427</v>
      </c>
      <c r="F978" s="4">
        <v>70731</v>
      </c>
      <c r="H978" s="4">
        <f t="shared" si="46"/>
        <v>100070735</v>
      </c>
      <c r="I978" s="4" t="s">
        <v>2470</v>
      </c>
      <c r="L978" s="4" t="s">
        <v>1816</v>
      </c>
      <c r="O978" s="38">
        <v>11027</v>
      </c>
      <c r="P978" s="38" t="s">
        <v>1851</v>
      </c>
      <c r="R978" s="50">
        <v>1</v>
      </c>
      <c r="V978" s="50">
        <v>76004</v>
      </c>
      <c r="AA978" s="4" t="s">
        <v>2471</v>
      </c>
    </row>
    <row r="979" spans="1:27">
      <c r="A979" s="4">
        <v>100070735</v>
      </c>
      <c r="B979" s="4">
        <v>7</v>
      </c>
      <c r="D979" s="4">
        <v>7</v>
      </c>
      <c r="E979" s="4" t="s">
        <v>2427</v>
      </c>
      <c r="F979" s="4">
        <v>70731</v>
      </c>
      <c r="H979" s="4">
        <f t="shared" si="46"/>
        <v>100070736</v>
      </c>
      <c r="I979" s="4" t="s">
        <v>2472</v>
      </c>
      <c r="L979" s="4" t="s">
        <v>1819</v>
      </c>
      <c r="O979" s="38">
        <v>11027</v>
      </c>
      <c r="P979" s="38" t="s">
        <v>1851</v>
      </c>
      <c r="R979" s="50">
        <v>1</v>
      </c>
      <c r="V979" s="50">
        <v>76004</v>
      </c>
      <c r="AA979" s="4" t="s">
        <v>2473</v>
      </c>
    </row>
    <row r="980" spans="1:27">
      <c r="A980" s="4">
        <v>100070736</v>
      </c>
      <c r="B980" s="4">
        <v>7</v>
      </c>
      <c r="D980" s="4">
        <v>7</v>
      </c>
      <c r="E980" s="4" t="s">
        <v>2427</v>
      </c>
      <c r="F980" s="4">
        <v>70731</v>
      </c>
      <c r="I980" s="4" t="s">
        <v>2474</v>
      </c>
      <c r="L980" s="4" t="s">
        <v>1822</v>
      </c>
      <c r="O980" s="38">
        <v>11027</v>
      </c>
      <c r="P980" s="38" t="s">
        <v>1851</v>
      </c>
      <c r="R980" s="50">
        <v>1</v>
      </c>
      <c r="V980" s="50">
        <v>76004</v>
      </c>
      <c r="AA980" s="4" t="s">
        <v>2475</v>
      </c>
    </row>
    <row r="981" spans="1:27">
      <c r="A981" s="4">
        <v>100070741</v>
      </c>
      <c r="B981" s="4">
        <v>7</v>
      </c>
      <c r="D981" s="4">
        <v>7</v>
      </c>
      <c r="E981" s="4" t="s">
        <v>2427</v>
      </c>
      <c r="F981" s="4">
        <v>70741</v>
      </c>
      <c r="H981" s="4">
        <f t="shared" ref="H981:H985" si="47">A982</f>
        <v>100070742</v>
      </c>
      <c r="I981" s="4" t="s">
        <v>2476</v>
      </c>
      <c r="L981" s="4" t="s">
        <v>1806</v>
      </c>
      <c r="O981" s="38">
        <v>11027</v>
      </c>
      <c r="P981" s="38" t="s">
        <v>1864</v>
      </c>
      <c r="R981" s="50">
        <v>1</v>
      </c>
      <c r="V981" s="50">
        <v>76005</v>
      </c>
      <c r="AA981" s="4" t="s">
        <v>2477</v>
      </c>
    </row>
    <row r="982" spans="1:27">
      <c r="A982" s="4">
        <v>100070742</v>
      </c>
      <c r="B982" s="4">
        <v>7</v>
      </c>
      <c r="D982" s="4">
        <v>7</v>
      </c>
      <c r="E982" s="4" t="s">
        <v>2427</v>
      </c>
      <c r="F982" s="4">
        <v>70741</v>
      </c>
      <c r="H982" s="4">
        <f t="shared" si="47"/>
        <v>100070743</v>
      </c>
      <c r="I982" s="4" t="s">
        <v>2478</v>
      </c>
      <c r="L982" s="4" t="s">
        <v>1810</v>
      </c>
      <c r="O982" s="38">
        <v>11027</v>
      </c>
      <c r="P982" s="38" t="s">
        <v>1864</v>
      </c>
      <c r="R982" s="50">
        <v>1</v>
      </c>
      <c r="V982" s="50">
        <v>76005</v>
      </c>
      <c r="AA982" s="4" t="s">
        <v>2479</v>
      </c>
    </row>
    <row r="983" spans="1:27">
      <c r="A983" s="4">
        <v>100070743</v>
      </c>
      <c r="B983" s="4">
        <v>7</v>
      </c>
      <c r="D983" s="4">
        <v>7</v>
      </c>
      <c r="E983" s="4" t="s">
        <v>2427</v>
      </c>
      <c r="F983" s="4">
        <v>70741</v>
      </c>
      <c r="H983" s="4">
        <f t="shared" si="47"/>
        <v>100070744</v>
      </c>
      <c r="I983" s="4" t="s">
        <v>2480</v>
      </c>
      <c r="L983" s="4" t="s">
        <v>1813</v>
      </c>
      <c r="O983" s="38">
        <v>11027</v>
      </c>
      <c r="P983" s="38" t="s">
        <v>1864</v>
      </c>
      <c r="R983" s="50">
        <v>1</v>
      </c>
      <c r="V983" s="50">
        <v>76005</v>
      </c>
      <c r="AA983" s="4" t="s">
        <v>2481</v>
      </c>
    </row>
    <row r="984" spans="1:27">
      <c r="A984" s="4">
        <v>100070744</v>
      </c>
      <c r="B984" s="4">
        <v>7</v>
      </c>
      <c r="D984" s="4">
        <v>7</v>
      </c>
      <c r="E984" s="4" t="s">
        <v>2427</v>
      </c>
      <c r="F984" s="4">
        <v>70741</v>
      </c>
      <c r="H984" s="4">
        <f t="shared" si="47"/>
        <v>100070745</v>
      </c>
      <c r="I984" s="4" t="s">
        <v>2482</v>
      </c>
      <c r="L984" s="4" t="s">
        <v>1816</v>
      </c>
      <c r="O984" s="38">
        <v>11027</v>
      </c>
      <c r="P984" s="38" t="s">
        <v>1864</v>
      </c>
      <c r="R984" s="50">
        <v>1</v>
      </c>
      <c r="V984" s="50">
        <v>76005</v>
      </c>
      <c r="AA984" s="4" t="s">
        <v>2483</v>
      </c>
    </row>
    <row r="985" spans="1:27">
      <c r="A985" s="4">
        <v>100070745</v>
      </c>
      <c r="B985" s="4">
        <v>7</v>
      </c>
      <c r="D985" s="4">
        <v>7</v>
      </c>
      <c r="E985" s="4" t="s">
        <v>2427</v>
      </c>
      <c r="F985" s="4">
        <v>70741</v>
      </c>
      <c r="H985" s="4">
        <f t="shared" si="47"/>
        <v>100070746</v>
      </c>
      <c r="I985" s="4" t="s">
        <v>2484</v>
      </c>
      <c r="L985" s="4" t="s">
        <v>1819</v>
      </c>
      <c r="O985" s="38">
        <v>11027</v>
      </c>
      <c r="P985" s="38" t="s">
        <v>1864</v>
      </c>
      <c r="R985" s="50">
        <v>1</v>
      </c>
      <c r="V985" s="50">
        <v>76005</v>
      </c>
      <c r="AA985" s="4" t="s">
        <v>2485</v>
      </c>
    </row>
    <row r="986" spans="1:27">
      <c r="A986" s="4">
        <v>100070746</v>
      </c>
      <c r="B986" s="4">
        <v>7</v>
      </c>
      <c r="D986" s="4">
        <v>7</v>
      </c>
      <c r="E986" s="4" t="s">
        <v>2427</v>
      </c>
      <c r="F986" s="4">
        <v>70741</v>
      </c>
      <c r="I986" s="4" t="s">
        <v>2486</v>
      </c>
      <c r="L986" s="4" t="s">
        <v>1822</v>
      </c>
      <c r="O986" s="38">
        <v>11027</v>
      </c>
      <c r="P986" s="38" t="s">
        <v>1864</v>
      </c>
      <c r="R986" s="50">
        <v>1</v>
      </c>
      <c r="V986" s="50">
        <v>76005</v>
      </c>
      <c r="AA986" s="4" t="s">
        <v>2487</v>
      </c>
    </row>
    <row r="987" spans="1:27">
      <c r="A987" s="4">
        <v>100070751</v>
      </c>
      <c r="B987" s="4">
        <v>7</v>
      </c>
      <c r="D987" s="4">
        <v>7</v>
      </c>
      <c r="E987" s="4" t="s">
        <v>2427</v>
      </c>
      <c r="F987" s="4">
        <v>70751</v>
      </c>
      <c r="H987" s="4">
        <f t="shared" ref="H987:H991" si="48">A988</f>
        <v>100070752</v>
      </c>
      <c r="I987" s="4" t="s">
        <v>2488</v>
      </c>
      <c r="L987" s="4" t="s">
        <v>1806</v>
      </c>
      <c r="O987" s="38">
        <v>11027</v>
      </c>
      <c r="P987" s="38" t="s">
        <v>1877</v>
      </c>
      <c r="R987" s="50">
        <v>1</v>
      </c>
      <c r="V987" s="50">
        <v>76006</v>
      </c>
      <c r="AA987" s="4" t="s">
        <v>2489</v>
      </c>
    </row>
    <row r="988" spans="1:27">
      <c r="A988" s="4">
        <v>100070752</v>
      </c>
      <c r="B988" s="4">
        <v>7</v>
      </c>
      <c r="D988" s="4">
        <v>7</v>
      </c>
      <c r="E988" s="4" t="s">
        <v>2427</v>
      </c>
      <c r="F988" s="4">
        <v>70751</v>
      </c>
      <c r="H988" s="4">
        <f t="shared" si="48"/>
        <v>100070753</v>
      </c>
      <c r="I988" s="4" t="s">
        <v>2490</v>
      </c>
      <c r="L988" s="4" t="s">
        <v>1810</v>
      </c>
      <c r="O988" s="38">
        <v>11027</v>
      </c>
      <c r="P988" s="38" t="s">
        <v>1877</v>
      </c>
      <c r="R988" s="50">
        <v>1</v>
      </c>
      <c r="V988" s="50">
        <v>76006</v>
      </c>
      <c r="AA988" s="4" t="s">
        <v>2491</v>
      </c>
    </row>
    <row r="989" spans="1:27">
      <c r="A989" s="4">
        <v>100070753</v>
      </c>
      <c r="B989" s="4">
        <v>7</v>
      </c>
      <c r="D989" s="4">
        <v>7</v>
      </c>
      <c r="E989" s="4" t="s">
        <v>2427</v>
      </c>
      <c r="F989" s="4">
        <v>70751</v>
      </c>
      <c r="H989" s="4">
        <f t="shared" si="48"/>
        <v>100070754</v>
      </c>
      <c r="I989" s="4" t="s">
        <v>2492</v>
      </c>
      <c r="L989" s="4" t="s">
        <v>1813</v>
      </c>
      <c r="O989" s="38">
        <v>11027</v>
      </c>
      <c r="P989" s="38" t="s">
        <v>1877</v>
      </c>
      <c r="R989" s="50">
        <v>1</v>
      </c>
      <c r="V989" s="50">
        <v>76006</v>
      </c>
      <c r="AA989" s="4" t="s">
        <v>2493</v>
      </c>
    </row>
    <row r="990" spans="1:27">
      <c r="A990" s="4">
        <v>100070754</v>
      </c>
      <c r="B990" s="4">
        <v>7</v>
      </c>
      <c r="D990" s="4">
        <v>7</v>
      </c>
      <c r="E990" s="4" t="s">
        <v>2427</v>
      </c>
      <c r="F990" s="4">
        <v>70751</v>
      </c>
      <c r="H990" s="4">
        <f t="shared" si="48"/>
        <v>100070755</v>
      </c>
      <c r="I990" s="4" t="s">
        <v>2494</v>
      </c>
      <c r="L990" s="4" t="s">
        <v>1816</v>
      </c>
      <c r="O990" s="38">
        <v>11027</v>
      </c>
      <c r="P990" s="38" t="s">
        <v>1877</v>
      </c>
      <c r="R990" s="50">
        <v>1</v>
      </c>
      <c r="V990" s="50">
        <v>76006</v>
      </c>
      <c r="AA990" s="4" t="s">
        <v>2495</v>
      </c>
    </row>
    <row r="991" spans="1:27">
      <c r="A991" s="4">
        <v>100070755</v>
      </c>
      <c r="B991" s="4">
        <v>7</v>
      </c>
      <c r="D991" s="4">
        <v>7</v>
      </c>
      <c r="E991" s="4" t="s">
        <v>2427</v>
      </c>
      <c r="F991" s="4">
        <v>70751</v>
      </c>
      <c r="H991" s="4">
        <f t="shared" si="48"/>
        <v>100070756</v>
      </c>
      <c r="I991" s="4" t="s">
        <v>2496</v>
      </c>
      <c r="L991" s="4" t="s">
        <v>1819</v>
      </c>
      <c r="O991" s="38">
        <v>11027</v>
      </c>
      <c r="P991" s="38" t="s">
        <v>1877</v>
      </c>
      <c r="R991" s="50">
        <v>1</v>
      </c>
      <c r="V991" s="50">
        <v>76006</v>
      </c>
      <c r="AA991" s="4" t="s">
        <v>2497</v>
      </c>
    </row>
    <row r="992" spans="1:27">
      <c r="A992" s="4">
        <v>100070756</v>
      </c>
      <c r="B992" s="4">
        <v>7</v>
      </c>
      <c r="D992" s="4">
        <v>7</v>
      </c>
      <c r="E992" s="4" t="s">
        <v>2427</v>
      </c>
      <c r="F992" s="4">
        <v>70751</v>
      </c>
      <c r="I992" s="4" t="s">
        <v>2498</v>
      </c>
      <c r="L992" s="4" t="s">
        <v>1822</v>
      </c>
      <c r="O992" s="38">
        <v>11027</v>
      </c>
      <c r="P992" s="38" t="s">
        <v>1877</v>
      </c>
      <c r="R992" s="50">
        <v>1</v>
      </c>
      <c r="V992" s="50">
        <v>76006</v>
      </c>
      <c r="AA992" s="4" t="s">
        <v>2499</v>
      </c>
    </row>
    <row r="993" spans="1:27">
      <c r="A993" s="4">
        <v>100070761</v>
      </c>
      <c r="B993" s="4">
        <v>7</v>
      </c>
      <c r="D993" s="4">
        <v>7</v>
      </c>
      <c r="E993" s="4" t="s">
        <v>2427</v>
      </c>
      <c r="F993" s="4">
        <v>70761</v>
      </c>
      <c r="H993" s="4">
        <f t="shared" ref="H993:H999" si="49">A994</f>
        <v>100070762</v>
      </c>
      <c r="I993" s="4" t="s">
        <v>2500</v>
      </c>
      <c r="L993" s="4" t="s">
        <v>1806</v>
      </c>
      <c r="O993" s="38">
        <v>11027</v>
      </c>
      <c r="P993" s="38" t="s">
        <v>1890</v>
      </c>
      <c r="R993" s="50">
        <v>1</v>
      </c>
      <c r="V993" s="50">
        <v>76007</v>
      </c>
      <c r="AA993" s="4" t="s">
        <v>2501</v>
      </c>
    </row>
    <row r="994" spans="1:27">
      <c r="A994" s="4">
        <v>100070762</v>
      </c>
      <c r="B994" s="4">
        <v>7</v>
      </c>
      <c r="D994" s="4">
        <v>7</v>
      </c>
      <c r="E994" s="4" t="s">
        <v>2427</v>
      </c>
      <c r="F994" s="4">
        <v>70761</v>
      </c>
      <c r="H994" s="4">
        <f t="shared" si="49"/>
        <v>100070763</v>
      </c>
      <c r="I994" s="4" t="s">
        <v>2502</v>
      </c>
      <c r="L994" s="4" t="s">
        <v>1810</v>
      </c>
      <c r="O994" s="38">
        <v>11027</v>
      </c>
      <c r="P994" s="38" t="s">
        <v>1890</v>
      </c>
      <c r="R994" s="50">
        <v>1</v>
      </c>
      <c r="V994" s="50">
        <v>76007</v>
      </c>
      <c r="AA994" s="4" t="s">
        <v>2503</v>
      </c>
    </row>
    <row r="995" spans="1:27">
      <c r="A995" s="4">
        <v>100070763</v>
      </c>
      <c r="B995" s="4">
        <v>7</v>
      </c>
      <c r="D995" s="4">
        <v>7</v>
      </c>
      <c r="E995" s="4" t="s">
        <v>2427</v>
      </c>
      <c r="F995" s="4">
        <v>70761</v>
      </c>
      <c r="H995" s="4">
        <f t="shared" si="49"/>
        <v>100070764</v>
      </c>
      <c r="I995" s="4" t="s">
        <v>2504</v>
      </c>
      <c r="L995" s="4" t="s">
        <v>1895</v>
      </c>
      <c r="O995" s="38">
        <v>11027</v>
      </c>
      <c r="P995" s="38" t="s">
        <v>1890</v>
      </c>
      <c r="R995" s="50">
        <v>1</v>
      </c>
      <c r="V995" s="50">
        <v>76007</v>
      </c>
      <c r="AA995" s="4" t="s">
        <v>2505</v>
      </c>
    </row>
    <row r="996" spans="1:27">
      <c r="A996" s="4">
        <v>100070764</v>
      </c>
      <c r="B996" s="4">
        <v>7</v>
      </c>
      <c r="D996" s="4">
        <v>7</v>
      </c>
      <c r="E996" s="4" t="s">
        <v>2427</v>
      </c>
      <c r="F996" s="4">
        <v>70761</v>
      </c>
      <c r="H996" s="4">
        <f t="shared" si="49"/>
        <v>100070765</v>
      </c>
      <c r="I996" s="4" t="s">
        <v>2506</v>
      </c>
      <c r="L996" s="4" t="s">
        <v>1813</v>
      </c>
      <c r="O996" s="38">
        <v>11027</v>
      </c>
      <c r="P996" s="38" t="s">
        <v>1890</v>
      </c>
      <c r="R996" s="50">
        <v>1</v>
      </c>
      <c r="V996" s="50">
        <v>76007</v>
      </c>
      <c r="AA996" s="4" t="s">
        <v>2507</v>
      </c>
    </row>
    <row r="997" spans="1:27">
      <c r="A997" s="4">
        <v>100070765</v>
      </c>
      <c r="B997" s="4">
        <v>7</v>
      </c>
      <c r="D997" s="4">
        <v>7</v>
      </c>
      <c r="E997" s="4" t="s">
        <v>2427</v>
      </c>
      <c r="F997" s="4">
        <v>70761</v>
      </c>
      <c r="H997" s="4">
        <f t="shared" si="49"/>
        <v>100070766</v>
      </c>
      <c r="I997" s="4" t="s">
        <v>2508</v>
      </c>
      <c r="L997" s="4" t="s">
        <v>1900</v>
      </c>
      <c r="O997" s="38">
        <v>11027</v>
      </c>
      <c r="P997" s="38" t="s">
        <v>1890</v>
      </c>
      <c r="R997" s="50">
        <v>1</v>
      </c>
      <c r="V997" s="50">
        <v>76007</v>
      </c>
      <c r="AA997" s="4" t="s">
        <v>2509</v>
      </c>
    </row>
    <row r="998" spans="1:27">
      <c r="A998" s="4">
        <v>100070766</v>
      </c>
      <c r="B998" s="4">
        <v>7</v>
      </c>
      <c r="D998" s="4">
        <v>7</v>
      </c>
      <c r="E998" s="4" t="s">
        <v>2427</v>
      </c>
      <c r="F998" s="4">
        <v>70761</v>
      </c>
      <c r="H998" s="4">
        <f t="shared" si="49"/>
        <v>100070767</v>
      </c>
      <c r="I998" s="4" t="s">
        <v>2510</v>
      </c>
      <c r="L998" s="4" t="s">
        <v>1903</v>
      </c>
      <c r="O998" s="38">
        <v>11027</v>
      </c>
      <c r="P998" s="38" t="s">
        <v>1890</v>
      </c>
      <c r="R998" s="50">
        <v>1</v>
      </c>
      <c r="V998" s="50">
        <v>76007</v>
      </c>
      <c r="AA998" s="4" t="s">
        <v>2511</v>
      </c>
    </row>
    <row r="999" spans="1:27">
      <c r="A999" s="4">
        <v>100070767</v>
      </c>
      <c r="B999" s="4">
        <v>7</v>
      </c>
      <c r="D999" s="4">
        <v>7</v>
      </c>
      <c r="E999" s="4" t="s">
        <v>2427</v>
      </c>
      <c r="F999" s="4">
        <v>70761</v>
      </c>
      <c r="H999" s="4">
        <f t="shared" si="49"/>
        <v>100070768</v>
      </c>
      <c r="I999" s="4" t="s">
        <v>2512</v>
      </c>
      <c r="L999" s="4" t="s">
        <v>1906</v>
      </c>
      <c r="O999" s="38">
        <v>11027</v>
      </c>
      <c r="P999" s="38" t="s">
        <v>1890</v>
      </c>
      <c r="R999" s="50">
        <v>1</v>
      </c>
      <c r="V999" s="50">
        <v>76007</v>
      </c>
      <c r="AA999" s="4" t="s">
        <v>2513</v>
      </c>
    </row>
    <row r="1000" spans="1:27">
      <c r="A1000" s="4">
        <v>100070768</v>
      </c>
      <c r="B1000" s="4">
        <v>7</v>
      </c>
      <c r="D1000" s="4">
        <v>7</v>
      </c>
      <c r="E1000" s="4" t="s">
        <v>2427</v>
      </c>
      <c r="F1000" s="4">
        <v>70761</v>
      </c>
      <c r="I1000" s="4" t="s">
        <v>2514</v>
      </c>
      <c r="L1000" s="4" t="s">
        <v>1816</v>
      </c>
      <c r="O1000" s="38">
        <v>11027</v>
      </c>
      <c r="P1000" s="38" t="s">
        <v>1890</v>
      </c>
      <c r="R1000" s="50">
        <v>1</v>
      </c>
      <c r="V1000" s="50">
        <v>76007</v>
      </c>
      <c r="AA1000" s="4" t="s">
        <v>2515</v>
      </c>
    </row>
    <row r="1001" spans="1:27">
      <c r="A1001" s="4">
        <v>100070771</v>
      </c>
      <c r="B1001" s="4">
        <v>7</v>
      </c>
      <c r="D1001" s="4">
        <v>7</v>
      </c>
      <c r="E1001" s="4" t="s">
        <v>2427</v>
      </c>
      <c r="F1001" s="4">
        <v>70771</v>
      </c>
      <c r="H1001" s="4">
        <f t="shared" ref="H1001:H1005" si="50">A1002</f>
        <v>100070772</v>
      </c>
      <c r="I1001" s="4" t="s">
        <v>2516</v>
      </c>
      <c r="L1001" s="4" t="s">
        <v>1806</v>
      </c>
      <c r="O1001" s="38">
        <v>11027</v>
      </c>
      <c r="P1001" s="38" t="s">
        <v>1911</v>
      </c>
      <c r="R1001" s="50">
        <v>1</v>
      </c>
      <c r="V1001" s="50">
        <v>76008</v>
      </c>
      <c r="AA1001" s="4" t="s">
        <v>2517</v>
      </c>
    </row>
    <row r="1002" spans="1:27">
      <c r="A1002" s="4">
        <v>100070772</v>
      </c>
      <c r="B1002" s="4">
        <v>7</v>
      </c>
      <c r="D1002" s="4">
        <v>7</v>
      </c>
      <c r="E1002" s="4" t="s">
        <v>2427</v>
      </c>
      <c r="F1002" s="4">
        <v>70771</v>
      </c>
      <c r="H1002" s="4">
        <f t="shared" si="50"/>
        <v>100070773</v>
      </c>
      <c r="I1002" s="4" t="s">
        <v>2518</v>
      </c>
      <c r="L1002" s="4" t="s">
        <v>1810</v>
      </c>
      <c r="O1002" s="38">
        <v>11027</v>
      </c>
      <c r="P1002" s="38" t="s">
        <v>1911</v>
      </c>
      <c r="R1002" s="50">
        <v>1</v>
      </c>
      <c r="V1002" s="50">
        <v>76008</v>
      </c>
      <c r="AA1002" s="4" t="s">
        <v>2519</v>
      </c>
    </row>
    <row r="1003" spans="1:27">
      <c r="A1003" s="4">
        <v>100070773</v>
      </c>
      <c r="B1003" s="4">
        <v>7</v>
      </c>
      <c r="D1003" s="4">
        <v>7</v>
      </c>
      <c r="E1003" s="4" t="s">
        <v>2427</v>
      </c>
      <c r="F1003" s="4">
        <v>70771</v>
      </c>
      <c r="H1003" s="4">
        <f t="shared" si="50"/>
        <v>100070774</v>
      </c>
      <c r="I1003" s="4" t="s">
        <v>2520</v>
      </c>
      <c r="L1003" s="4" t="s">
        <v>1813</v>
      </c>
      <c r="O1003" s="38">
        <v>11027</v>
      </c>
      <c r="P1003" s="38" t="s">
        <v>1911</v>
      </c>
      <c r="R1003" s="50">
        <v>1</v>
      </c>
      <c r="V1003" s="50">
        <v>76008</v>
      </c>
      <c r="AA1003" s="4" t="s">
        <v>2521</v>
      </c>
    </row>
    <row r="1004" spans="1:27">
      <c r="A1004" s="4">
        <v>100070774</v>
      </c>
      <c r="B1004" s="4">
        <v>7</v>
      </c>
      <c r="D1004" s="4">
        <v>7</v>
      </c>
      <c r="E1004" s="4" t="s">
        <v>2427</v>
      </c>
      <c r="F1004" s="4">
        <v>70771</v>
      </c>
      <c r="H1004" s="4">
        <f t="shared" si="50"/>
        <v>100070775</v>
      </c>
      <c r="I1004" s="4" t="s">
        <v>2522</v>
      </c>
      <c r="L1004" s="4" t="s">
        <v>1816</v>
      </c>
      <c r="O1004" s="38">
        <v>11027</v>
      </c>
      <c r="P1004" s="38" t="s">
        <v>1911</v>
      </c>
      <c r="R1004" s="50">
        <v>1</v>
      </c>
      <c r="V1004" s="50">
        <v>76008</v>
      </c>
      <c r="AA1004" s="4" t="s">
        <v>2523</v>
      </c>
    </row>
    <row r="1005" spans="1:27">
      <c r="A1005" s="4">
        <v>100070775</v>
      </c>
      <c r="B1005" s="4">
        <v>7</v>
      </c>
      <c r="D1005" s="4">
        <v>7</v>
      </c>
      <c r="E1005" s="4" t="s">
        <v>2427</v>
      </c>
      <c r="F1005" s="4">
        <v>70771</v>
      </c>
      <c r="H1005" s="4">
        <f t="shared" si="50"/>
        <v>100070776</v>
      </c>
      <c r="I1005" s="4" t="s">
        <v>2524</v>
      </c>
      <c r="L1005" s="4" t="s">
        <v>1819</v>
      </c>
      <c r="O1005" s="38">
        <v>11027</v>
      </c>
      <c r="P1005" s="38" t="s">
        <v>1911</v>
      </c>
      <c r="R1005" s="50">
        <v>1</v>
      </c>
      <c r="V1005" s="50">
        <v>76008</v>
      </c>
      <c r="AA1005" s="4" t="s">
        <v>2525</v>
      </c>
    </row>
    <row r="1006" spans="1:27">
      <c r="A1006" s="4">
        <v>100070776</v>
      </c>
      <c r="B1006" s="4">
        <v>7</v>
      </c>
      <c r="D1006" s="4">
        <v>7</v>
      </c>
      <c r="E1006" s="4" t="s">
        <v>2427</v>
      </c>
      <c r="F1006" s="4">
        <v>70771</v>
      </c>
      <c r="I1006" s="4" t="s">
        <v>2526</v>
      </c>
      <c r="L1006" s="4" t="s">
        <v>1822</v>
      </c>
      <c r="O1006" s="38">
        <v>11027</v>
      </c>
      <c r="P1006" s="38" t="s">
        <v>1911</v>
      </c>
      <c r="R1006" s="50">
        <v>1</v>
      </c>
      <c r="V1006" s="50">
        <v>76008</v>
      </c>
      <c r="AA1006" s="4" t="s">
        <v>2527</v>
      </c>
    </row>
    <row r="1007" spans="1:27">
      <c r="A1007" s="4">
        <v>100070801</v>
      </c>
      <c r="B1007" s="4">
        <v>7</v>
      </c>
      <c r="C1007" s="4" t="s">
        <v>1803</v>
      </c>
      <c r="D1007" s="4">
        <v>8</v>
      </c>
      <c r="E1007" s="4" t="s">
        <v>2528</v>
      </c>
      <c r="F1007" s="4">
        <v>70801</v>
      </c>
      <c r="H1007" s="4">
        <f t="shared" ref="H1007:H1011" si="51">A1008</f>
        <v>100070802</v>
      </c>
      <c r="I1007" s="4" t="s">
        <v>2529</v>
      </c>
      <c r="L1007" s="4" t="s">
        <v>1806</v>
      </c>
      <c r="O1007" s="38">
        <v>3211</v>
      </c>
      <c r="P1007" s="38" t="s">
        <v>1807</v>
      </c>
      <c r="R1007" s="50">
        <v>1</v>
      </c>
      <c r="V1007" s="59">
        <v>76001</v>
      </c>
      <c r="AA1007" s="4" t="s">
        <v>2530</v>
      </c>
    </row>
    <row r="1008" spans="1:27">
      <c r="A1008" s="4">
        <v>100070802</v>
      </c>
      <c r="B1008" s="4">
        <v>7</v>
      </c>
      <c r="C1008" s="4" t="s">
        <v>1803</v>
      </c>
      <c r="D1008" s="4">
        <v>8</v>
      </c>
      <c r="E1008" s="4" t="s">
        <v>2528</v>
      </c>
      <c r="F1008" s="4">
        <v>70801</v>
      </c>
      <c r="H1008" s="4">
        <f t="shared" si="51"/>
        <v>100070803</v>
      </c>
      <c r="I1008" s="4" t="s">
        <v>2531</v>
      </c>
      <c r="L1008" s="4" t="s">
        <v>1810</v>
      </c>
      <c r="O1008" s="38">
        <v>3211</v>
      </c>
      <c r="P1008" s="38" t="s">
        <v>1807</v>
      </c>
      <c r="R1008" s="50">
        <v>1</v>
      </c>
      <c r="V1008" s="59">
        <v>76001</v>
      </c>
      <c r="AA1008" s="4" t="s">
        <v>2532</v>
      </c>
    </row>
    <row r="1009" spans="1:27">
      <c r="A1009" s="4">
        <v>100070803</v>
      </c>
      <c r="B1009" s="4">
        <v>7</v>
      </c>
      <c r="C1009" s="4" t="s">
        <v>1803</v>
      </c>
      <c r="D1009" s="4">
        <v>8</v>
      </c>
      <c r="E1009" s="4" t="s">
        <v>2528</v>
      </c>
      <c r="F1009" s="4">
        <v>70801</v>
      </c>
      <c r="H1009" s="4">
        <f t="shared" si="51"/>
        <v>100070804</v>
      </c>
      <c r="I1009" s="4" t="s">
        <v>2533</v>
      </c>
      <c r="L1009" s="4" t="s">
        <v>1813</v>
      </c>
      <c r="O1009" s="38">
        <v>3211</v>
      </c>
      <c r="P1009" s="38" t="s">
        <v>1807</v>
      </c>
      <c r="R1009" s="50">
        <v>1</v>
      </c>
      <c r="V1009" s="59">
        <v>76001</v>
      </c>
      <c r="AA1009" s="4" t="s">
        <v>2534</v>
      </c>
    </row>
    <row r="1010" spans="1:27">
      <c r="A1010" s="4">
        <v>100070804</v>
      </c>
      <c r="B1010" s="4">
        <v>7</v>
      </c>
      <c r="C1010" s="4" t="s">
        <v>1803</v>
      </c>
      <c r="D1010" s="4">
        <v>8</v>
      </c>
      <c r="E1010" s="4" t="s">
        <v>2528</v>
      </c>
      <c r="F1010" s="4">
        <v>70801</v>
      </c>
      <c r="H1010" s="4">
        <f t="shared" si="51"/>
        <v>100070805</v>
      </c>
      <c r="I1010" s="4" t="s">
        <v>2535</v>
      </c>
      <c r="L1010" s="4" t="s">
        <v>1816</v>
      </c>
      <c r="O1010" s="38">
        <v>3211</v>
      </c>
      <c r="P1010" s="38" t="s">
        <v>1807</v>
      </c>
      <c r="R1010" s="50">
        <v>1</v>
      </c>
      <c r="V1010" s="59">
        <v>76001</v>
      </c>
      <c r="AA1010" s="4" t="s">
        <v>2536</v>
      </c>
    </row>
    <row r="1011" spans="1:27">
      <c r="A1011" s="4">
        <v>100070805</v>
      </c>
      <c r="B1011" s="4">
        <v>7</v>
      </c>
      <c r="C1011" s="4" t="s">
        <v>1803</v>
      </c>
      <c r="D1011" s="4">
        <v>8</v>
      </c>
      <c r="E1011" s="4" t="s">
        <v>2528</v>
      </c>
      <c r="F1011" s="4">
        <v>70801</v>
      </c>
      <c r="H1011" s="4">
        <f t="shared" si="51"/>
        <v>100070806</v>
      </c>
      <c r="I1011" s="4" t="s">
        <v>2537</v>
      </c>
      <c r="L1011" s="4" t="s">
        <v>1819</v>
      </c>
      <c r="O1011" s="38">
        <v>3211</v>
      </c>
      <c r="P1011" s="38" t="s">
        <v>1807</v>
      </c>
      <c r="R1011" s="50">
        <v>1</v>
      </c>
      <c r="V1011" s="59">
        <v>76001</v>
      </c>
      <c r="AA1011" s="4" t="s">
        <v>2538</v>
      </c>
    </row>
    <row r="1012" spans="1:27">
      <c r="A1012" s="4">
        <v>100070806</v>
      </c>
      <c r="B1012" s="4">
        <v>7</v>
      </c>
      <c r="C1012" s="4" t="s">
        <v>1803</v>
      </c>
      <c r="D1012" s="4">
        <v>8</v>
      </c>
      <c r="E1012" s="4" t="s">
        <v>2528</v>
      </c>
      <c r="F1012" s="4">
        <v>70801</v>
      </c>
      <c r="I1012" s="4" t="s">
        <v>2539</v>
      </c>
      <c r="L1012" s="4" t="s">
        <v>1822</v>
      </c>
      <c r="O1012" s="38">
        <v>3211</v>
      </c>
      <c r="P1012" s="38" t="s">
        <v>1807</v>
      </c>
      <c r="R1012" s="50">
        <v>1</v>
      </c>
      <c r="V1012" s="59">
        <v>76001</v>
      </c>
      <c r="AA1012" s="4" t="s">
        <v>2540</v>
      </c>
    </row>
    <row r="1013" spans="1:27">
      <c r="A1013" s="4">
        <v>100070811</v>
      </c>
      <c r="B1013" s="4">
        <v>7</v>
      </c>
      <c r="D1013" s="4">
        <v>8</v>
      </c>
      <c r="E1013" s="4" t="s">
        <v>2528</v>
      </c>
      <c r="F1013" s="4">
        <v>70811</v>
      </c>
      <c r="H1013" s="4">
        <f t="shared" ref="H1013:H1017" si="52">A1014</f>
        <v>100070812</v>
      </c>
      <c r="I1013" s="4" t="s">
        <v>2541</v>
      </c>
      <c r="L1013" s="4" t="s">
        <v>1806</v>
      </c>
      <c r="O1013" s="38">
        <v>3310</v>
      </c>
      <c r="P1013" s="38" t="s">
        <v>1825</v>
      </c>
      <c r="R1013" s="50">
        <v>1</v>
      </c>
      <c r="V1013" s="50">
        <v>76002</v>
      </c>
      <c r="AA1013" s="4" t="s">
        <v>2542</v>
      </c>
    </row>
    <row r="1014" spans="1:27">
      <c r="A1014" s="4">
        <v>100070812</v>
      </c>
      <c r="B1014" s="4">
        <v>7</v>
      </c>
      <c r="D1014" s="4">
        <v>8</v>
      </c>
      <c r="E1014" s="4" t="s">
        <v>2528</v>
      </c>
      <c r="F1014" s="4">
        <v>70811</v>
      </c>
      <c r="H1014" s="4">
        <f t="shared" si="52"/>
        <v>100070813</v>
      </c>
      <c r="I1014" s="4" t="s">
        <v>2543</v>
      </c>
      <c r="L1014" s="4" t="s">
        <v>1810</v>
      </c>
      <c r="O1014" s="38">
        <v>3310</v>
      </c>
      <c r="P1014" s="38" t="s">
        <v>1825</v>
      </c>
      <c r="R1014" s="50">
        <v>1</v>
      </c>
      <c r="V1014" s="50">
        <v>76002</v>
      </c>
      <c r="AA1014" s="4" t="s">
        <v>2544</v>
      </c>
    </row>
    <row r="1015" spans="1:27">
      <c r="A1015" s="4">
        <v>100070813</v>
      </c>
      <c r="B1015" s="4">
        <v>7</v>
      </c>
      <c r="D1015" s="4">
        <v>8</v>
      </c>
      <c r="E1015" s="4" t="s">
        <v>2528</v>
      </c>
      <c r="F1015" s="4">
        <v>70811</v>
      </c>
      <c r="H1015" s="4">
        <f t="shared" si="52"/>
        <v>100070814</v>
      </c>
      <c r="I1015" s="4" t="s">
        <v>2545</v>
      </c>
      <c r="L1015" s="4" t="s">
        <v>1813</v>
      </c>
      <c r="O1015" s="38">
        <v>3310</v>
      </c>
      <c r="P1015" s="38" t="s">
        <v>1825</v>
      </c>
      <c r="R1015" s="50">
        <v>1</v>
      </c>
      <c r="V1015" s="50">
        <v>76002</v>
      </c>
      <c r="AA1015" s="4" t="s">
        <v>2546</v>
      </c>
    </row>
    <row r="1016" spans="1:27">
      <c r="A1016" s="4">
        <v>100070814</v>
      </c>
      <c r="B1016" s="4">
        <v>7</v>
      </c>
      <c r="D1016" s="4">
        <v>8</v>
      </c>
      <c r="E1016" s="4" t="s">
        <v>2528</v>
      </c>
      <c r="F1016" s="4">
        <v>70811</v>
      </c>
      <c r="H1016" s="4">
        <f t="shared" si="52"/>
        <v>100070815</v>
      </c>
      <c r="I1016" s="4" t="s">
        <v>2547</v>
      </c>
      <c r="L1016" s="4" t="s">
        <v>1816</v>
      </c>
      <c r="O1016" s="38">
        <v>3310</v>
      </c>
      <c r="P1016" s="38" t="s">
        <v>1825</v>
      </c>
      <c r="R1016" s="50">
        <v>1</v>
      </c>
      <c r="V1016" s="50">
        <v>76002</v>
      </c>
      <c r="AA1016" s="4" t="s">
        <v>2548</v>
      </c>
    </row>
    <row r="1017" spans="1:27">
      <c r="A1017" s="4">
        <v>100070815</v>
      </c>
      <c r="B1017" s="4">
        <v>7</v>
      </c>
      <c r="D1017" s="4">
        <v>8</v>
      </c>
      <c r="E1017" s="4" t="s">
        <v>2528</v>
      </c>
      <c r="F1017" s="4">
        <v>70811</v>
      </c>
      <c r="H1017" s="4">
        <f t="shared" si="52"/>
        <v>100070816</v>
      </c>
      <c r="I1017" s="4" t="s">
        <v>2549</v>
      </c>
      <c r="L1017" s="4" t="s">
        <v>1819</v>
      </c>
      <c r="O1017" s="38">
        <v>3310</v>
      </c>
      <c r="P1017" s="38" t="s">
        <v>1825</v>
      </c>
      <c r="R1017" s="50">
        <v>1</v>
      </c>
      <c r="V1017" s="50">
        <v>76002</v>
      </c>
      <c r="AA1017" s="4" t="s">
        <v>2550</v>
      </c>
    </row>
    <row r="1018" spans="1:27">
      <c r="A1018" s="4">
        <v>100070816</v>
      </c>
      <c r="B1018" s="4">
        <v>7</v>
      </c>
      <c r="D1018" s="4">
        <v>8</v>
      </c>
      <c r="E1018" s="4" t="s">
        <v>2528</v>
      </c>
      <c r="F1018" s="4">
        <v>70811</v>
      </c>
      <c r="I1018" s="4" t="s">
        <v>2551</v>
      </c>
      <c r="L1018" s="4" t="s">
        <v>1822</v>
      </c>
      <c r="O1018" s="38">
        <v>3310</v>
      </c>
      <c r="P1018" s="38" t="s">
        <v>1825</v>
      </c>
      <c r="R1018" s="50">
        <v>1</v>
      </c>
      <c r="V1018" s="50">
        <v>76002</v>
      </c>
      <c r="AA1018" s="4" t="s">
        <v>2552</v>
      </c>
    </row>
    <row r="1019" spans="1:27">
      <c r="A1019" s="4">
        <v>100070821</v>
      </c>
      <c r="B1019" s="4">
        <v>7</v>
      </c>
      <c r="D1019" s="4">
        <v>8</v>
      </c>
      <c r="E1019" s="4" t="s">
        <v>2528</v>
      </c>
      <c r="F1019" s="4">
        <v>70821</v>
      </c>
      <c r="H1019" s="4">
        <f t="shared" ref="H1019:H1023" si="53">A1020</f>
        <v>100070822</v>
      </c>
      <c r="I1019" s="4" t="s">
        <v>2553</v>
      </c>
      <c r="L1019" s="4" t="s">
        <v>1806</v>
      </c>
      <c r="O1019" s="38">
        <v>11045</v>
      </c>
      <c r="P1019" s="38" t="s">
        <v>1838</v>
      </c>
      <c r="R1019" s="50">
        <v>1</v>
      </c>
      <c r="V1019" s="50">
        <v>76003</v>
      </c>
      <c r="AA1019" s="4" t="s">
        <v>2554</v>
      </c>
    </row>
    <row r="1020" spans="1:27">
      <c r="A1020" s="4">
        <v>100070822</v>
      </c>
      <c r="B1020" s="4">
        <v>7</v>
      </c>
      <c r="D1020" s="4">
        <v>8</v>
      </c>
      <c r="E1020" s="4" t="s">
        <v>2528</v>
      </c>
      <c r="F1020" s="4">
        <v>70821</v>
      </c>
      <c r="H1020" s="4">
        <f t="shared" si="53"/>
        <v>100070823</v>
      </c>
      <c r="I1020" s="4" t="s">
        <v>2555</v>
      </c>
      <c r="L1020" s="4" t="s">
        <v>1810</v>
      </c>
      <c r="O1020" s="38">
        <v>11045</v>
      </c>
      <c r="P1020" s="38" t="s">
        <v>1838</v>
      </c>
      <c r="R1020" s="50">
        <v>1</v>
      </c>
      <c r="V1020" s="50">
        <v>76003</v>
      </c>
      <c r="AA1020" s="4" t="s">
        <v>2556</v>
      </c>
    </row>
    <row r="1021" spans="1:27">
      <c r="A1021" s="4">
        <v>100070823</v>
      </c>
      <c r="B1021" s="4">
        <v>7</v>
      </c>
      <c r="D1021" s="4">
        <v>8</v>
      </c>
      <c r="E1021" s="4" t="s">
        <v>2528</v>
      </c>
      <c r="F1021" s="4">
        <v>70821</v>
      </c>
      <c r="H1021" s="4">
        <f t="shared" si="53"/>
        <v>100070824</v>
      </c>
      <c r="I1021" s="4" t="s">
        <v>2557</v>
      </c>
      <c r="L1021" s="4" t="s">
        <v>1813</v>
      </c>
      <c r="O1021" s="38">
        <v>11045</v>
      </c>
      <c r="P1021" s="38" t="s">
        <v>1838</v>
      </c>
      <c r="R1021" s="50">
        <v>1</v>
      </c>
      <c r="V1021" s="50">
        <v>76003</v>
      </c>
      <c r="AA1021" s="4" t="s">
        <v>2558</v>
      </c>
    </row>
    <row r="1022" spans="1:27">
      <c r="A1022" s="4">
        <v>100070824</v>
      </c>
      <c r="B1022" s="4">
        <v>7</v>
      </c>
      <c r="D1022" s="4">
        <v>8</v>
      </c>
      <c r="E1022" s="4" t="s">
        <v>2528</v>
      </c>
      <c r="F1022" s="4">
        <v>70821</v>
      </c>
      <c r="H1022" s="4">
        <f t="shared" si="53"/>
        <v>100070825</v>
      </c>
      <c r="I1022" s="4" t="s">
        <v>2559</v>
      </c>
      <c r="L1022" s="4" t="s">
        <v>1816</v>
      </c>
      <c r="O1022" s="38">
        <v>11045</v>
      </c>
      <c r="P1022" s="38" t="s">
        <v>1838</v>
      </c>
      <c r="R1022" s="50">
        <v>1</v>
      </c>
      <c r="V1022" s="50">
        <v>76003</v>
      </c>
      <c r="AA1022" s="4" t="s">
        <v>2560</v>
      </c>
    </row>
    <row r="1023" spans="1:27">
      <c r="A1023" s="4">
        <v>100070825</v>
      </c>
      <c r="B1023" s="4">
        <v>7</v>
      </c>
      <c r="D1023" s="4">
        <v>8</v>
      </c>
      <c r="E1023" s="4" t="s">
        <v>2528</v>
      </c>
      <c r="F1023" s="4">
        <v>70821</v>
      </c>
      <c r="H1023" s="4">
        <f t="shared" si="53"/>
        <v>100070826</v>
      </c>
      <c r="I1023" s="4" t="s">
        <v>2561</v>
      </c>
      <c r="L1023" s="4" t="s">
        <v>1819</v>
      </c>
      <c r="O1023" s="38">
        <v>11045</v>
      </c>
      <c r="P1023" s="38" t="s">
        <v>1838</v>
      </c>
      <c r="R1023" s="50">
        <v>1</v>
      </c>
      <c r="V1023" s="50">
        <v>76003</v>
      </c>
      <c r="AA1023" s="4" t="s">
        <v>2562</v>
      </c>
    </row>
    <row r="1024" spans="1:27">
      <c r="A1024" s="4">
        <v>100070826</v>
      </c>
      <c r="B1024" s="4">
        <v>7</v>
      </c>
      <c r="D1024" s="4">
        <v>8</v>
      </c>
      <c r="E1024" s="4" t="s">
        <v>2528</v>
      </c>
      <c r="F1024" s="4">
        <v>70821</v>
      </c>
      <c r="I1024" s="4" t="s">
        <v>2563</v>
      </c>
      <c r="L1024" s="4" t="s">
        <v>1822</v>
      </c>
      <c r="O1024" s="38">
        <v>11045</v>
      </c>
      <c r="P1024" s="38" t="s">
        <v>1838</v>
      </c>
      <c r="R1024" s="50">
        <v>1</v>
      </c>
      <c r="V1024" s="50">
        <v>76003</v>
      </c>
      <c r="AA1024" s="4" t="s">
        <v>2564</v>
      </c>
    </row>
    <row r="1025" spans="1:27">
      <c r="A1025" s="4">
        <v>100070831</v>
      </c>
      <c r="B1025" s="4">
        <v>7</v>
      </c>
      <c r="D1025" s="4">
        <v>8</v>
      </c>
      <c r="E1025" s="4" t="s">
        <v>2528</v>
      </c>
      <c r="F1025" s="4">
        <v>70831</v>
      </c>
      <c r="H1025" s="4">
        <f t="shared" ref="H1025:H1029" si="54">A1026</f>
        <v>100070832</v>
      </c>
      <c r="I1025" s="4" t="s">
        <v>2565</v>
      </c>
      <c r="L1025" s="4" t="s">
        <v>1806</v>
      </c>
      <c r="O1025" s="38">
        <v>11045</v>
      </c>
      <c r="P1025" s="38" t="s">
        <v>1851</v>
      </c>
      <c r="R1025" s="50">
        <v>1</v>
      </c>
      <c r="V1025" s="50">
        <v>76004</v>
      </c>
      <c r="AA1025" s="4" t="s">
        <v>2566</v>
      </c>
    </row>
    <row r="1026" spans="1:27">
      <c r="A1026" s="4">
        <v>100070832</v>
      </c>
      <c r="B1026" s="4">
        <v>7</v>
      </c>
      <c r="D1026" s="4">
        <v>8</v>
      </c>
      <c r="E1026" s="4" t="s">
        <v>2528</v>
      </c>
      <c r="F1026" s="4">
        <v>70831</v>
      </c>
      <c r="H1026" s="4">
        <f t="shared" si="54"/>
        <v>100070833</v>
      </c>
      <c r="I1026" s="4" t="s">
        <v>2567</v>
      </c>
      <c r="L1026" s="4" t="s">
        <v>1810</v>
      </c>
      <c r="O1026" s="38">
        <v>11045</v>
      </c>
      <c r="P1026" s="38" t="s">
        <v>1851</v>
      </c>
      <c r="R1026" s="50">
        <v>1</v>
      </c>
      <c r="V1026" s="50">
        <v>76004</v>
      </c>
      <c r="AA1026" s="4" t="s">
        <v>2568</v>
      </c>
    </row>
    <row r="1027" spans="1:27">
      <c r="A1027" s="4">
        <v>100070833</v>
      </c>
      <c r="B1027" s="4">
        <v>7</v>
      </c>
      <c r="D1027" s="4">
        <v>8</v>
      </c>
      <c r="E1027" s="4" t="s">
        <v>2528</v>
      </c>
      <c r="F1027" s="4">
        <v>70831</v>
      </c>
      <c r="H1027" s="4">
        <f t="shared" si="54"/>
        <v>100070834</v>
      </c>
      <c r="I1027" s="4" t="s">
        <v>2569</v>
      </c>
      <c r="L1027" s="4" t="s">
        <v>1813</v>
      </c>
      <c r="O1027" s="38">
        <v>11045</v>
      </c>
      <c r="P1027" s="38" t="s">
        <v>1851</v>
      </c>
      <c r="R1027" s="50">
        <v>1</v>
      </c>
      <c r="V1027" s="50">
        <v>76004</v>
      </c>
      <c r="AA1027" s="4" t="s">
        <v>2570</v>
      </c>
    </row>
    <row r="1028" spans="1:27">
      <c r="A1028" s="4">
        <v>100070834</v>
      </c>
      <c r="B1028" s="4">
        <v>7</v>
      </c>
      <c r="D1028" s="4">
        <v>8</v>
      </c>
      <c r="E1028" s="4" t="s">
        <v>2528</v>
      </c>
      <c r="F1028" s="4">
        <v>70831</v>
      </c>
      <c r="H1028" s="4">
        <f t="shared" si="54"/>
        <v>100070835</v>
      </c>
      <c r="I1028" s="4" t="s">
        <v>2571</v>
      </c>
      <c r="L1028" s="4" t="s">
        <v>1816</v>
      </c>
      <c r="O1028" s="38">
        <v>11045</v>
      </c>
      <c r="P1028" s="38" t="s">
        <v>1851</v>
      </c>
      <c r="R1028" s="50">
        <v>1</v>
      </c>
      <c r="V1028" s="50">
        <v>76004</v>
      </c>
      <c r="AA1028" s="4" t="s">
        <v>2572</v>
      </c>
    </row>
    <row r="1029" spans="1:27">
      <c r="A1029" s="4">
        <v>100070835</v>
      </c>
      <c r="B1029" s="4">
        <v>7</v>
      </c>
      <c r="D1029" s="4">
        <v>8</v>
      </c>
      <c r="E1029" s="4" t="s">
        <v>2528</v>
      </c>
      <c r="F1029" s="4">
        <v>70831</v>
      </c>
      <c r="H1029" s="4">
        <f t="shared" si="54"/>
        <v>100070836</v>
      </c>
      <c r="I1029" s="4" t="s">
        <v>2573</v>
      </c>
      <c r="L1029" s="4" t="s">
        <v>1819</v>
      </c>
      <c r="O1029" s="38">
        <v>11045</v>
      </c>
      <c r="P1029" s="38" t="s">
        <v>1851</v>
      </c>
      <c r="R1029" s="50">
        <v>1</v>
      </c>
      <c r="V1029" s="50">
        <v>76004</v>
      </c>
      <c r="AA1029" s="4" t="s">
        <v>2574</v>
      </c>
    </row>
    <row r="1030" spans="1:27">
      <c r="A1030" s="4">
        <v>100070836</v>
      </c>
      <c r="B1030" s="4">
        <v>7</v>
      </c>
      <c r="D1030" s="4">
        <v>8</v>
      </c>
      <c r="E1030" s="4" t="s">
        <v>2528</v>
      </c>
      <c r="F1030" s="4">
        <v>70831</v>
      </c>
      <c r="I1030" s="4" t="s">
        <v>2575</v>
      </c>
      <c r="L1030" s="4" t="s">
        <v>1822</v>
      </c>
      <c r="O1030" s="38">
        <v>11045</v>
      </c>
      <c r="P1030" s="38" t="s">
        <v>1851</v>
      </c>
      <c r="R1030" s="50">
        <v>1</v>
      </c>
      <c r="V1030" s="50">
        <v>76004</v>
      </c>
      <c r="AA1030" s="4" t="s">
        <v>2576</v>
      </c>
    </row>
    <row r="1031" spans="1:27">
      <c r="A1031" s="4">
        <v>100070841</v>
      </c>
      <c r="B1031" s="4">
        <v>7</v>
      </c>
      <c r="D1031" s="4">
        <v>8</v>
      </c>
      <c r="E1031" s="4" t="s">
        <v>2528</v>
      </c>
      <c r="F1031" s="4">
        <v>70841</v>
      </c>
      <c r="H1031" s="4">
        <f t="shared" ref="H1031:H1035" si="55">A1032</f>
        <v>100070842</v>
      </c>
      <c r="I1031" s="4" t="s">
        <v>2577</v>
      </c>
      <c r="L1031" s="4" t="s">
        <v>1806</v>
      </c>
      <c r="O1031" s="38">
        <v>11045</v>
      </c>
      <c r="P1031" s="38" t="s">
        <v>1864</v>
      </c>
      <c r="R1031" s="50">
        <v>1</v>
      </c>
      <c r="V1031" s="50">
        <v>76005</v>
      </c>
      <c r="AA1031" s="4" t="s">
        <v>2578</v>
      </c>
    </row>
    <row r="1032" spans="1:27">
      <c r="A1032" s="4">
        <v>100070842</v>
      </c>
      <c r="B1032" s="4">
        <v>7</v>
      </c>
      <c r="D1032" s="4">
        <v>8</v>
      </c>
      <c r="E1032" s="4" t="s">
        <v>2528</v>
      </c>
      <c r="F1032" s="4">
        <v>70841</v>
      </c>
      <c r="H1032" s="4">
        <f t="shared" si="55"/>
        <v>100070843</v>
      </c>
      <c r="I1032" s="4" t="s">
        <v>2579</v>
      </c>
      <c r="L1032" s="4" t="s">
        <v>1810</v>
      </c>
      <c r="O1032" s="38">
        <v>11045</v>
      </c>
      <c r="P1032" s="38" t="s">
        <v>1864</v>
      </c>
      <c r="R1032" s="50">
        <v>1</v>
      </c>
      <c r="V1032" s="50">
        <v>76005</v>
      </c>
      <c r="AA1032" s="4" t="s">
        <v>2580</v>
      </c>
    </row>
    <row r="1033" spans="1:27">
      <c r="A1033" s="4">
        <v>100070843</v>
      </c>
      <c r="B1033" s="4">
        <v>7</v>
      </c>
      <c r="D1033" s="4">
        <v>8</v>
      </c>
      <c r="E1033" s="4" t="s">
        <v>2528</v>
      </c>
      <c r="F1033" s="4">
        <v>70841</v>
      </c>
      <c r="H1033" s="4">
        <f t="shared" si="55"/>
        <v>100070844</v>
      </c>
      <c r="I1033" s="4" t="s">
        <v>2581</v>
      </c>
      <c r="L1033" s="4" t="s">
        <v>1813</v>
      </c>
      <c r="O1033" s="38">
        <v>11045</v>
      </c>
      <c r="P1033" s="38" t="s">
        <v>1864</v>
      </c>
      <c r="R1033" s="50">
        <v>1</v>
      </c>
      <c r="V1033" s="50">
        <v>76005</v>
      </c>
      <c r="AA1033" s="4" t="s">
        <v>2582</v>
      </c>
    </row>
    <row r="1034" spans="1:27">
      <c r="A1034" s="4">
        <v>100070844</v>
      </c>
      <c r="B1034" s="4">
        <v>7</v>
      </c>
      <c r="D1034" s="4">
        <v>8</v>
      </c>
      <c r="E1034" s="4" t="s">
        <v>2528</v>
      </c>
      <c r="F1034" s="4">
        <v>70841</v>
      </c>
      <c r="H1034" s="4">
        <f t="shared" si="55"/>
        <v>100070845</v>
      </c>
      <c r="I1034" s="4" t="s">
        <v>2583</v>
      </c>
      <c r="L1034" s="4" t="s">
        <v>1816</v>
      </c>
      <c r="O1034" s="38">
        <v>11045</v>
      </c>
      <c r="P1034" s="38" t="s">
        <v>1864</v>
      </c>
      <c r="R1034" s="50">
        <v>1</v>
      </c>
      <c r="V1034" s="50">
        <v>76005</v>
      </c>
      <c r="AA1034" s="4" t="s">
        <v>2584</v>
      </c>
    </row>
    <row r="1035" spans="1:27">
      <c r="A1035" s="4">
        <v>100070845</v>
      </c>
      <c r="B1035" s="4">
        <v>7</v>
      </c>
      <c r="D1035" s="4">
        <v>8</v>
      </c>
      <c r="E1035" s="4" t="s">
        <v>2528</v>
      </c>
      <c r="F1035" s="4">
        <v>70841</v>
      </c>
      <c r="H1035" s="4">
        <f t="shared" si="55"/>
        <v>100070846</v>
      </c>
      <c r="I1035" s="4" t="s">
        <v>2585</v>
      </c>
      <c r="L1035" s="4" t="s">
        <v>1819</v>
      </c>
      <c r="O1035" s="38">
        <v>11045</v>
      </c>
      <c r="P1035" s="38" t="s">
        <v>1864</v>
      </c>
      <c r="R1035" s="50">
        <v>1</v>
      </c>
      <c r="V1035" s="50">
        <v>76005</v>
      </c>
      <c r="AA1035" s="4" t="s">
        <v>2586</v>
      </c>
    </row>
    <row r="1036" spans="1:27">
      <c r="A1036" s="4">
        <v>100070846</v>
      </c>
      <c r="B1036" s="4">
        <v>7</v>
      </c>
      <c r="D1036" s="4">
        <v>8</v>
      </c>
      <c r="E1036" s="4" t="s">
        <v>2528</v>
      </c>
      <c r="F1036" s="4">
        <v>70841</v>
      </c>
      <c r="I1036" s="4" t="s">
        <v>2587</v>
      </c>
      <c r="L1036" s="4" t="s">
        <v>1822</v>
      </c>
      <c r="O1036" s="38">
        <v>11045</v>
      </c>
      <c r="P1036" s="38" t="s">
        <v>1864</v>
      </c>
      <c r="R1036" s="50">
        <v>1</v>
      </c>
      <c r="V1036" s="50">
        <v>76005</v>
      </c>
      <c r="AA1036" s="4" t="s">
        <v>2588</v>
      </c>
    </row>
    <row r="1037" spans="1:27">
      <c r="A1037" s="4">
        <v>100070851</v>
      </c>
      <c r="B1037" s="4">
        <v>7</v>
      </c>
      <c r="D1037" s="4">
        <v>8</v>
      </c>
      <c r="E1037" s="4" t="s">
        <v>2528</v>
      </c>
      <c r="F1037" s="4">
        <v>70851</v>
      </c>
      <c r="H1037" s="4">
        <f t="shared" ref="H1037:H1041" si="56">A1038</f>
        <v>100070852</v>
      </c>
      <c r="I1037" s="4" t="s">
        <v>2589</v>
      </c>
      <c r="L1037" s="4" t="s">
        <v>1806</v>
      </c>
      <c r="O1037" s="38">
        <v>11045</v>
      </c>
      <c r="P1037" s="38" t="s">
        <v>1877</v>
      </c>
      <c r="R1037" s="50">
        <v>1</v>
      </c>
      <c r="V1037" s="50">
        <v>76006</v>
      </c>
      <c r="AA1037" s="4" t="s">
        <v>2590</v>
      </c>
    </row>
    <row r="1038" spans="1:27">
      <c r="A1038" s="4">
        <v>100070852</v>
      </c>
      <c r="B1038" s="4">
        <v>7</v>
      </c>
      <c r="D1038" s="4">
        <v>8</v>
      </c>
      <c r="E1038" s="4" t="s">
        <v>2528</v>
      </c>
      <c r="F1038" s="4">
        <v>70851</v>
      </c>
      <c r="H1038" s="4">
        <f t="shared" si="56"/>
        <v>100070853</v>
      </c>
      <c r="I1038" s="4" t="s">
        <v>2591</v>
      </c>
      <c r="L1038" s="4" t="s">
        <v>1810</v>
      </c>
      <c r="O1038" s="38">
        <v>11045</v>
      </c>
      <c r="P1038" s="38" t="s">
        <v>1877</v>
      </c>
      <c r="R1038" s="50">
        <v>1</v>
      </c>
      <c r="V1038" s="50">
        <v>76006</v>
      </c>
      <c r="AA1038" s="4" t="s">
        <v>2592</v>
      </c>
    </row>
    <row r="1039" spans="1:27">
      <c r="A1039" s="4">
        <v>100070853</v>
      </c>
      <c r="B1039" s="4">
        <v>7</v>
      </c>
      <c r="D1039" s="4">
        <v>8</v>
      </c>
      <c r="E1039" s="4" t="s">
        <v>2528</v>
      </c>
      <c r="F1039" s="4">
        <v>70851</v>
      </c>
      <c r="H1039" s="4">
        <f t="shared" si="56"/>
        <v>100070854</v>
      </c>
      <c r="I1039" s="4" t="s">
        <v>2593</v>
      </c>
      <c r="L1039" s="4" t="s">
        <v>1813</v>
      </c>
      <c r="O1039" s="38">
        <v>11045</v>
      </c>
      <c r="P1039" s="38" t="s">
        <v>1877</v>
      </c>
      <c r="R1039" s="50">
        <v>1</v>
      </c>
      <c r="V1039" s="50">
        <v>76006</v>
      </c>
      <c r="AA1039" s="4" t="s">
        <v>2594</v>
      </c>
    </row>
    <row r="1040" spans="1:27">
      <c r="A1040" s="4">
        <v>100070854</v>
      </c>
      <c r="B1040" s="4">
        <v>7</v>
      </c>
      <c r="D1040" s="4">
        <v>8</v>
      </c>
      <c r="E1040" s="4" t="s">
        <v>2528</v>
      </c>
      <c r="F1040" s="4">
        <v>70851</v>
      </c>
      <c r="H1040" s="4">
        <f t="shared" si="56"/>
        <v>100070855</v>
      </c>
      <c r="I1040" s="4" t="s">
        <v>2595</v>
      </c>
      <c r="L1040" s="4" t="s">
        <v>1816</v>
      </c>
      <c r="O1040" s="38">
        <v>11045</v>
      </c>
      <c r="P1040" s="38" t="s">
        <v>1877</v>
      </c>
      <c r="R1040" s="50">
        <v>1</v>
      </c>
      <c r="V1040" s="50">
        <v>76006</v>
      </c>
      <c r="AA1040" s="4" t="s">
        <v>2596</v>
      </c>
    </row>
    <row r="1041" spans="1:27">
      <c r="A1041" s="4">
        <v>100070855</v>
      </c>
      <c r="B1041" s="4">
        <v>7</v>
      </c>
      <c r="D1041" s="4">
        <v>8</v>
      </c>
      <c r="E1041" s="4" t="s">
        <v>2528</v>
      </c>
      <c r="F1041" s="4">
        <v>70851</v>
      </c>
      <c r="H1041" s="4">
        <f t="shared" si="56"/>
        <v>100070856</v>
      </c>
      <c r="I1041" s="4" t="s">
        <v>2597</v>
      </c>
      <c r="L1041" s="4" t="s">
        <v>1819</v>
      </c>
      <c r="O1041" s="38">
        <v>11045</v>
      </c>
      <c r="P1041" s="38" t="s">
        <v>1877</v>
      </c>
      <c r="R1041" s="50">
        <v>1</v>
      </c>
      <c r="V1041" s="50">
        <v>76006</v>
      </c>
      <c r="AA1041" s="4" t="s">
        <v>2598</v>
      </c>
    </row>
    <row r="1042" spans="1:27">
      <c r="A1042" s="4">
        <v>100070856</v>
      </c>
      <c r="B1042" s="4">
        <v>7</v>
      </c>
      <c r="D1042" s="4">
        <v>8</v>
      </c>
      <c r="E1042" s="4" t="s">
        <v>2528</v>
      </c>
      <c r="F1042" s="4">
        <v>70851</v>
      </c>
      <c r="I1042" s="4" t="s">
        <v>2599</v>
      </c>
      <c r="L1042" s="4" t="s">
        <v>1822</v>
      </c>
      <c r="O1042" s="38">
        <v>11045</v>
      </c>
      <c r="P1042" s="38" t="s">
        <v>1877</v>
      </c>
      <c r="R1042" s="50">
        <v>1</v>
      </c>
      <c r="V1042" s="50">
        <v>76006</v>
      </c>
      <c r="AA1042" s="4" t="s">
        <v>2600</v>
      </c>
    </row>
    <row r="1043" spans="1:27">
      <c r="A1043" s="4">
        <v>100070861</v>
      </c>
      <c r="B1043" s="4">
        <v>7</v>
      </c>
      <c r="D1043" s="4">
        <v>8</v>
      </c>
      <c r="E1043" s="4" t="s">
        <v>2528</v>
      </c>
      <c r="F1043" s="4">
        <v>70861</v>
      </c>
      <c r="H1043" s="4">
        <f t="shared" ref="H1043:H1049" si="57">A1044</f>
        <v>100070862</v>
      </c>
      <c r="I1043" s="4" t="s">
        <v>2601</v>
      </c>
      <c r="L1043" s="4" t="s">
        <v>1806</v>
      </c>
      <c r="O1043" s="38">
        <v>11045</v>
      </c>
      <c r="P1043" s="38" t="s">
        <v>1890</v>
      </c>
      <c r="R1043" s="50">
        <v>1</v>
      </c>
      <c r="V1043" s="50">
        <v>76007</v>
      </c>
      <c r="AA1043" s="4" t="s">
        <v>2602</v>
      </c>
    </row>
    <row r="1044" spans="1:27">
      <c r="A1044" s="4">
        <v>100070862</v>
      </c>
      <c r="B1044" s="4">
        <v>7</v>
      </c>
      <c r="D1044" s="4">
        <v>8</v>
      </c>
      <c r="E1044" s="4" t="s">
        <v>2528</v>
      </c>
      <c r="F1044" s="4">
        <v>70861</v>
      </c>
      <c r="H1044" s="4">
        <f t="shared" si="57"/>
        <v>100070863</v>
      </c>
      <c r="I1044" s="4" t="s">
        <v>2603</v>
      </c>
      <c r="L1044" s="4" t="s">
        <v>1810</v>
      </c>
      <c r="O1044" s="38">
        <v>11045</v>
      </c>
      <c r="P1044" s="38" t="s">
        <v>1890</v>
      </c>
      <c r="R1044" s="50">
        <v>1</v>
      </c>
      <c r="V1044" s="50">
        <v>76007</v>
      </c>
      <c r="AA1044" s="4" t="s">
        <v>2604</v>
      </c>
    </row>
    <row r="1045" spans="1:27">
      <c r="A1045" s="4">
        <v>100070863</v>
      </c>
      <c r="B1045" s="4">
        <v>7</v>
      </c>
      <c r="D1045" s="4">
        <v>8</v>
      </c>
      <c r="E1045" s="4" t="s">
        <v>2528</v>
      </c>
      <c r="F1045" s="4">
        <v>70861</v>
      </c>
      <c r="H1045" s="4">
        <f t="shared" si="57"/>
        <v>100070864</v>
      </c>
      <c r="I1045" s="4" t="s">
        <v>2605</v>
      </c>
      <c r="L1045" s="4" t="s">
        <v>1895</v>
      </c>
      <c r="O1045" s="38">
        <v>11045</v>
      </c>
      <c r="P1045" s="38" t="s">
        <v>1890</v>
      </c>
      <c r="R1045" s="50">
        <v>1</v>
      </c>
      <c r="V1045" s="50">
        <v>76007</v>
      </c>
      <c r="AA1045" s="4" t="s">
        <v>2606</v>
      </c>
    </row>
    <row r="1046" spans="1:27">
      <c r="A1046" s="4">
        <v>100070864</v>
      </c>
      <c r="B1046" s="4">
        <v>7</v>
      </c>
      <c r="D1046" s="4">
        <v>8</v>
      </c>
      <c r="E1046" s="4" t="s">
        <v>2528</v>
      </c>
      <c r="F1046" s="4">
        <v>70861</v>
      </c>
      <c r="H1046" s="4">
        <f t="shared" si="57"/>
        <v>100070865</v>
      </c>
      <c r="I1046" s="4" t="s">
        <v>2607</v>
      </c>
      <c r="L1046" s="4" t="s">
        <v>1813</v>
      </c>
      <c r="O1046" s="38">
        <v>11045</v>
      </c>
      <c r="P1046" s="38" t="s">
        <v>1890</v>
      </c>
      <c r="R1046" s="50">
        <v>1</v>
      </c>
      <c r="V1046" s="50">
        <v>76007</v>
      </c>
      <c r="AA1046" s="4" t="s">
        <v>2608</v>
      </c>
    </row>
    <row r="1047" spans="1:27">
      <c r="A1047" s="4">
        <v>100070865</v>
      </c>
      <c r="B1047" s="4">
        <v>7</v>
      </c>
      <c r="D1047" s="4">
        <v>8</v>
      </c>
      <c r="E1047" s="4" t="s">
        <v>2528</v>
      </c>
      <c r="F1047" s="4">
        <v>70861</v>
      </c>
      <c r="H1047" s="4">
        <f t="shared" si="57"/>
        <v>100070866</v>
      </c>
      <c r="I1047" s="4" t="s">
        <v>2609</v>
      </c>
      <c r="L1047" s="4" t="s">
        <v>1900</v>
      </c>
      <c r="O1047" s="38">
        <v>11045</v>
      </c>
      <c r="P1047" s="38" t="s">
        <v>1890</v>
      </c>
      <c r="R1047" s="50">
        <v>1</v>
      </c>
      <c r="V1047" s="50">
        <v>76007</v>
      </c>
      <c r="AA1047" s="4" t="s">
        <v>2610</v>
      </c>
    </row>
    <row r="1048" spans="1:27">
      <c r="A1048" s="4">
        <v>100070866</v>
      </c>
      <c r="B1048" s="4">
        <v>7</v>
      </c>
      <c r="D1048" s="4">
        <v>8</v>
      </c>
      <c r="E1048" s="4" t="s">
        <v>2528</v>
      </c>
      <c r="F1048" s="4">
        <v>70861</v>
      </c>
      <c r="H1048" s="4">
        <f t="shared" si="57"/>
        <v>100070867</v>
      </c>
      <c r="I1048" s="4" t="s">
        <v>2611</v>
      </c>
      <c r="L1048" s="4" t="s">
        <v>1903</v>
      </c>
      <c r="O1048" s="38">
        <v>11045</v>
      </c>
      <c r="P1048" s="38" t="s">
        <v>1890</v>
      </c>
      <c r="R1048" s="50">
        <v>1</v>
      </c>
      <c r="V1048" s="50">
        <v>76007</v>
      </c>
      <c r="AA1048" s="4" t="s">
        <v>2612</v>
      </c>
    </row>
    <row r="1049" spans="1:27">
      <c r="A1049" s="4">
        <v>100070867</v>
      </c>
      <c r="B1049" s="4">
        <v>7</v>
      </c>
      <c r="D1049" s="4">
        <v>8</v>
      </c>
      <c r="E1049" s="4" t="s">
        <v>2528</v>
      </c>
      <c r="F1049" s="4">
        <v>70861</v>
      </c>
      <c r="H1049" s="4">
        <f t="shared" si="57"/>
        <v>100070868</v>
      </c>
      <c r="I1049" s="4" t="s">
        <v>2613</v>
      </c>
      <c r="L1049" s="4" t="s">
        <v>1906</v>
      </c>
      <c r="O1049" s="38">
        <v>11045</v>
      </c>
      <c r="P1049" s="38" t="s">
        <v>1890</v>
      </c>
      <c r="R1049" s="50">
        <v>1</v>
      </c>
      <c r="V1049" s="50">
        <v>76007</v>
      </c>
      <c r="AA1049" s="4" t="s">
        <v>2614</v>
      </c>
    </row>
    <row r="1050" spans="1:27">
      <c r="A1050" s="4">
        <v>100070868</v>
      </c>
      <c r="B1050" s="4">
        <v>7</v>
      </c>
      <c r="D1050" s="4">
        <v>8</v>
      </c>
      <c r="E1050" s="4" t="s">
        <v>2528</v>
      </c>
      <c r="F1050" s="4">
        <v>70861</v>
      </c>
      <c r="I1050" s="4" t="s">
        <v>2615</v>
      </c>
      <c r="L1050" s="4" t="s">
        <v>1816</v>
      </c>
      <c r="O1050" s="38">
        <v>11045</v>
      </c>
      <c r="P1050" s="38" t="s">
        <v>1890</v>
      </c>
      <c r="R1050" s="50">
        <v>1</v>
      </c>
      <c r="V1050" s="50">
        <v>76007</v>
      </c>
      <c r="AA1050" s="4" t="s">
        <v>2616</v>
      </c>
    </row>
    <row r="1051" spans="1:27">
      <c r="A1051" s="4">
        <v>100070871</v>
      </c>
      <c r="B1051" s="4">
        <v>7</v>
      </c>
      <c r="D1051" s="4">
        <v>8</v>
      </c>
      <c r="E1051" s="4" t="s">
        <v>2528</v>
      </c>
      <c r="F1051" s="4">
        <v>70871</v>
      </c>
      <c r="H1051" s="4">
        <f t="shared" ref="H1051:H1055" si="58">A1052</f>
        <v>100070872</v>
      </c>
      <c r="I1051" s="4" t="s">
        <v>2617</v>
      </c>
      <c r="L1051" s="4" t="s">
        <v>1806</v>
      </c>
      <c r="O1051" s="38">
        <v>11045</v>
      </c>
      <c r="P1051" s="38" t="s">
        <v>1911</v>
      </c>
      <c r="R1051" s="50">
        <v>1</v>
      </c>
      <c r="V1051" s="50">
        <v>76008</v>
      </c>
      <c r="AA1051" s="4" t="s">
        <v>2618</v>
      </c>
    </row>
    <row r="1052" spans="1:27">
      <c r="A1052" s="4">
        <v>100070872</v>
      </c>
      <c r="B1052" s="4">
        <v>7</v>
      </c>
      <c r="D1052" s="4">
        <v>8</v>
      </c>
      <c r="E1052" s="4" t="s">
        <v>2528</v>
      </c>
      <c r="F1052" s="4">
        <v>70871</v>
      </c>
      <c r="H1052" s="4">
        <f t="shared" si="58"/>
        <v>100070873</v>
      </c>
      <c r="I1052" s="4" t="s">
        <v>2619</v>
      </c>
      <c r="L1052" s="4" t="s">
        <v>1810</v>
      </c>
      <c r="O1052" s="38">
        <v>11045</v>
      </c>
      <c r="P1052" s="38" t="s">
        <v>1911</v>
      </c>
      <c r="R1052" s="50">
        <v>1</v>
      </c>
      <c r="V1052" s="50">
        <v>76008</v>
      </c>
      <c r="AA1052" s="4" t="s">
        <v>2620</v>
      </c>
    </row>
    <row r="1053" spans="1:27">
      <c r="A1053" s="4">
        <v>100070873</v>
      </c>
      <c r="B1053" s="4">
        <v>7</v>
      </c>
      <c r="D1053" s="4">
        <v>8</v>
      </c>
      <c r="E1053" s="4" t="s">
        <v>2528</v>
      </c>
      <c r="F1053" s="4">
        <v>70871</v>
      </c>
      <c r="H1053" s="4">
        <f t="shared" si="58"/>
        <v>100070874</v>
      </c>
      <c r="I1053" s="4" t="s">
        <v>2621</v>
      </c>
      <c r="L1053" s="4" t="s">
        <v>1813</v>
      </c>
      <c r="O1053" s="38">
        <v>11045</v>
      </c>
      <c r="P1053" s="38" t="s">
        <v>1911</v>
      </c>
      <c r="R1053" s="50">
        <v>1</v>
      </c>
      <c r="V1053" s="50">
        <v>76008</v>
      </c>
      <c r="AA1053" s="4" t="s">
        <v>2622</v>
      </c>
    </row>
    <row r="1054" spans="1:27">
      <c r="A1054" s="4">
        <v>100070874</v>
      </c>
      <c r="B1054" s="4">
        <v>7</v>
      </c>
      <c r="D1054" s="4">
        <v>8</v>
      </c>
      <c r="E1054" s="4" t="s">
        <v>2528</v>
      </c>
      <c r="F1054" s="4">
        <v>70871</v>
      </c>
      <c r="H1054" s="4">
        <f t="shared" si="58"/>
        <v>100070875</v>
      </c>
      <c r="I1054" s="4" t="s">
        <v>2623</v>
      </c>
      <c r="L1054" s="4" t="s">
        <v>1816</v>
      </c>
      <c r="O1054" s="38">
        <v>11045</v>
      </c>
      <c r="P1054" s="38" t="s">
        <v>1911</v>
      </c>
      <c r="R1054" s="50">
        <v>1</v>
      </c>
      <c r="V1054" s="50">
        <v>76008</v>
      </c>
      <c r="AA1054" s="4" t="s">
        <v>2624</v>
      </c>
    </row>
    <row r="1055" spans="1:27">
      <c r="A1055" s="4">
        <v>100070875</v>
      </c>
      <c r="B1055" s="4">
        <v>7</v>
      </c>
      <c r="D1055" s="4">
        <v>8</v>
      </c>
      <c r="E1055" s="4" t="s">
        <v>2528</v>
      </c>
      <c r="F1055" s="4">
        <v>70871</v>
      </c>
      <c r="H1055" s="4">
        <f t="shared" si="58"/>
        <v>100070876</v>
      </c>
      <c r="I1055" s="4" t="s">
        <v>2625</v>
      </c>
      <c r="L1055" s="4" t="s">
        <v>1819</v>
      </c>
      <c r="O1055" s="38">
        <v>11045</v>
      </c>
      <c r="P1055" s="38" t="s">
        <v>1911</v>
      </c>
      <c r="R1055" s="50">
        <v>1</v>
      </c>
      <c r="V1055" s="50">
        <v>76008</v>
      </c>
      <c r="AA1055" s="4" t="s">
        <v>2626</v>
      </c>
    </row>
    <row r="1056" spans="1:27">
      <c r="A1056" s="4">
        <v>100070876</v>
      </c>
      <c r="B1056" s="4">
        <v>7</v>
      </c>
      <c r="D1056" s="4">
        <v>8</v>
      </c>
      <c r="E1056" s="4" t="s">
        <v>2528</v>
      </c>
      <c r="F1056" s="4">
        <v>70871</v>
      </c>
      <c r="I1056" s="4" t="s">
        <v>2627</v>
      </c>
      <c r="L1056" s="4" t="s">
        <v>1822</v>
      </c>
      <c r="O1056" s="38">
        <v>11045</v>
      </c>
      <c r="P1056" s="38" t="s">
        <v>1911</v>
      </c>
      <c r="R1056" s="50">
        <v>1</v>
      </c>
      <c r="V1056" s="50">
        <v>76008</v>
      </c>
      <c r="AA1056" s="4" t="s">
        <v>2628</v>
      </c>
    </row>
    <row r="1057" spans="1:27">
      <c r="A1057" s="4">
        <v>100070901</v>
      </c>
      <c r="B1057" s="4">
        <v>7</v>
      </c>
      <c r="C1057" s="4" t="s">
        <v>1803</v>
      </c>
      <c r="D1057" s="4">
        <v>9</v>
      </c>
      <c r="E1057" s="4" t="s">
        <v>2629</v>
      </c>
      <c r="F1057" s="4">
        <v>70901</v>
      </c>
      <c r="H1057" s="4">
        <f t="shared" ref="H1057:H1061" si="59">A1058</f>
        <v>100070902</v>
      </c>
      <c r="I1057" s="4" t="s">
        <v>2630</v>
      </c>
      <c r="L1057" s="4" t="s">
        <v>1806</v>
      </c>
      <c r="O1057" s="38">
        <v>3212</v>
      </c>
      <c r="P1057" s="38" t="s">
        <v>1807</v>
      </c>
      <c r="R1057" s="50">
        <v>1</v>
      </c>
      <c r="V1057" s="59">
        <v>76001</v>
      </c>
      <c r="AA1057" s="4" t="s">
        <v>2631</v>
      </c>
    </row>
    <row r="1058" spans="1:27">
      <c r="A1058" s="4">
        <v>100070902</v>
      </c>
      <c r="B1058" s="4">
        <v>7</v>
      </c>
      <c r="C1058" s="4" t="s">
        <v>1803</v>
      </c>
      <c r="D1058" s="4">
        <v>9</v>
      </c>
      <c r="E1058" s="4" t="s">
        <v>2629</v>
      </c>
      <c r="F1058" s="4">
        <v>70901</v>
      </c>
      <c r="H1058" s="4">
        <f t="shared" si="59"/>
        <v>100070903</v>
      </c>
      <c r="I1058" s="4" t="s">
        <v>2632</v>
      </c>
      <c r="L1058" s="4" t="s">
        <v>1810</v>
      </c>
      <c r="O1058" s="38">
        <v>3212</v>
      </c>
      <c r="P1058" s="38" t="s">
        <v>1807</v>
      </c>
      <c r="R1058" s="50">
        <v>1</v>
      </c>
      <c r="V1058" s="59">
        <v>76001</v>
      </c>
      <c r="AA1058" s="4" t="s">
        <v>2633</v>
      </c>
    </row>
    <row r="1059" spans="1:27">
      <c r="A1059" s="4">
        <v>100070903</v>
      </c>
      <c r="B1059" s="4">
        <v>7</v>
      </c>
      <c r="C1059" s="4" t="s">
        <v>1803</v>
      </c>
      <c r="D1059" s="4">
        <v>9</v>
      </c>
      <c r="E1059" s="4" t="s">
        <v>2629</v>
      </c>
      <c r="F1059" s="4">
        <v>70901</v>
      </c>
      <c r="H1059" s="4">
        <f t="shared" si="59"/>
        <v>100070904</v>
      </c>
      <c r="I1059" s="4" t="s">
        <v>2634</v>
      </c>
      <c r="L1059" s="4" t="s">
        <v>1813</v>
      </c>
      <c r="O1059" s="38">
        <v>3212</v>
      </c>
      <c r="P1059" s="38" t="s">
        <v>1807</v>
      </c>
      <c r="R1059" s="50">
        <v>1</v>
      </c>
      <c r="V1059" s="59">
        <v>76001</v>
      </c>
      <c r="AA1059" s="4" t="s">
        <v>2635</v>
      </c>
    </row>
    <row r="1060" spans="1:27">
      <c r="A1060" s="4">
        <v>100070904</v>
      </c>
      <c r="B1060" s="4">
        <v>7</v>
      </c>
      <c r="C1060" s="4" t="s">
        <v>1803</v>
      </c>
      <c r="D1060" s="4">
        <v>9</v>
      </c>
      <c r="E1060" s="4" t="s">
        <v>2629</v>
      </c>
      <c r="F1060" s="4">
        <v>70901</v>
      </c>
      <c r="H1060" s="4">
        <f t="shared" si="59"/>
        <v>100070905</v>
      </c>
      <c r="I1060" s="4" t="s">
        <v>2636</v>
      </c>
      <c r="L1060" s="4" t="s">
        <v>1816</v>
      </c>
      <c r="O1060" s="38">
        <v>3212</v>
      </c>
      <c r="P1060" s="38" t="s">
        <v>1807</v>
      </c>
      <c r="R1060" s="50">
        <v>1</v>
      </c>
      <c r="V1060" s="59">
        <v>76001</v>
      </c>
      <c r="AA1060" s="4" t="s">
        <v>2637</v>
      </c>
    </row>
    <row r="1061" spans="1:27">
      <c r="A1061" s="4">
        <v>100070905</v>
      </c>
      <c r="B1061" s="4">
        <v>7</v>
      </c>
      <c r="C1061" s="4" t="s">
        <v>1803</v>
      </c>
      <c r="D1061" s="4">
        <v>9</v>
      </c>
      <c r="E1061" s="4" t="s">
        <v>2629</v>
      </c>
      <c r="F1061" s="4">
        <v>70901</v>
      </c>
      <c r="H1061" s="4">
        <f t="shared" si="59"/>
        <v>100070906</v>
      </c>
      <c r="I1061" s="4" t="s">
        <v>2638</v>
      </c>
      <c r="L1061" s="4" t="s">
        <v>1819</v>
      </c>
      <c r="O1061" s="38">
        <v>3212</v>
      </c>
      <c r="P1061" s="38" t="s">
        <v>1807</v>
      </c>
      <c r="R1061" s="50">
        <v>1</v>
      </c>
      <c r="V1061" s="59">
        <v>76001</v>
      </c>
      <c r="AA1061" s="4" t="s">
        <v>2639</v>
      </c>
    </row>
    <row r="1062" spans="1:27">
      <c r="A1062" s="4">
        <v>100070906</v>
      </c>
      <c r="B1062" s="4">
        <v>7</v>
      </c>
      <c r="C1062" s="4" t="s">
        <v>1803</v>
      </c>
      <c r="D1062" s="4">
        <v>9</v>
      </c>
      <c r="E1062" s="4" t="s">
        <v>2629</v>
      </c>
      <c r="F1062" s="4">
        <v>70901</v>
      </c>
      <c r="I1062" s="4" t="s">
        <v>2640</v>
      </c>
      <c r="L1062" s="4" t="s">
        <v>1822</v>
      </c>
      <c r="O1062" s="38">
        <v>3212</v>
      </c>
      <c r="P1062" s="38" t="s">
        <v>1807</v>
      </c>
      <c r="R1062" s="50">
        <v>1</v>
      </c>
      <c r="V1062" s="59">
        <v>76001</v>
      </c>
      <c r="AA1062" s="4" t="s">
        <v>2641</v>
      </c>
    </row>
    <row r="1063" spans="1:27">
      <c r="A1063" s="4">
        <v>100070911</v>
      </c>
      <c r="B1063" s="4">
        <v>7</v>
      </c>
      <c r="D1063" s="4">
        <v>9</v>
      </c>
      <c r="E1063" s="4" t="s">
        <v>2629</v>
      </c>
      <c r="F1063" s="4">
        <v>70911</v>
      </c>
      <c r="H1063" s="4">
        <f t="shared" ref="H1063:H1067" si="60">A1064</f>
        <v>100070912</v>
      </c>
      <c r="I1063" s="4" t="s">
        <v>2642</v>
      </c>
      <c r="L1063" s="4" t="s">
        <v>1806</v>
      </c>
      <c r="O1063" s="38">
        <v>3309</v>
      </c>
      <c r="P1063" s="38" t="s">
        <v>1825</v>
      </c>
      <c r="R1063" s="50">
        <v>1</v>
      </c>
      <c r="V1063" s="50">
        <v>76002</v>
      </c>
      <c r="AA1063" s="4" t="s">
        <v>2643</v>
      </c>
    </row>
    <row r="1064" spans="1:27">
      <c r="A1064" s="4">
        <v>100070912</v>
      </c>
      <c r="B1064" s="4">
        <v>7</v>
      </c>
      <c r="D1064" s="4">
        <v>9</v>
      </c>
      <c r="E1064" s="4" t="s">
        <v>2629</v>
      </c>
      <c r="F1064" s="4">
        <v>70911</v>
      </c>
      <c r="H1064" s="4">
        <f t="shared" si="60"/>
        <v>100070913</v>
      </c>
      <c r="I1064" s="4" t="s">
        <v>2644</v>
      </c>
      <c r="L1064" s="4" t="s">
        <v>1810</v>
      </c>
      <c r="O1064" s="38">
        <v>3309</v>
      </c>
      <c r="P1064" s="38" t="s">
        <v>1825</v>
      </c>
      <c r="R1064" s="50">
        <v>1</v>
      </c>
      <c r="V1064" s="50">
        <v>76002</v>
      </c>
      <c r="AA1064" s="4" t="s">
        <v>2645</v>
      </c>
    </row>
    <row r="1065" spans="1:27">
      <c r="A1065" s="4">
        <v>100070913</v>
      </c>
      <c r="B1065" s="4">
        <v>7</v>
      </c>
      <c r="D1065" s="4">
        <v>9</v>
      </c>
      <c r="E1065" s="4" t="s">
        <v>2629</v>
      </c>
      <c r="F1065" s="4">
        <v>70911</v>
      </c>
      <c r="H1065" s="4">
        <f t="shared" si="60"/>
        <v>100070914</v>
      </c>
      <c r="I1065" s="4" t="s">
        <v>2646</v>
      </c>
      <c r="L1065" s="4" t="s">
        <v>1813</v>
      </c>
      <c r="O1065" s="38">
        <v>3309</v>
      </c>
      <c r="P1065" s="38" t="s">
        <v>1825</v>
      </c>
      <c r="R1065" s="50">
        <v>1</v>
      </c>
      <c r="V1065" s="50">
        <v>76002</v>
      </c>
      <c r="AA1065" s="4" t="s">
        <v>2647</v>
      </c>
    </row>
    <row r="1066" spans="1:27">
      <c r="A1066" s="4">
        <v>100070914</v>
      </c>
      <c r="B1066" s="4">
        <v>7</v>
      </c>
      <c r="D1066" s="4">
        <v>9</v>
      </c>
      <c r="E1066" s="4" t="s">
        <v>2629</v>
      </c>
      <c r="F1066" s="4">
        <v>70911</v>
      </c>
      <c r="H1066" s="4">
        <f t="shared" si="60"/>
        <v>100070915</v>
      </c>
      <c r="I1066" s="4" t="s">
        <v>2648</v>
      </c>
      <c r="L1066" s="4" t="s">
        <v>1816</v>
      </c>
      <c r="O1066" s="38">
        <v>3309</v>
      </c>
      <c r="P1066" s="38" t="s">
        <v>1825</v>
      </c>
      <c r="R1066" s="50">
        <v>1</v>
      </c>
      <c r="V1066" s="50">
        <v>76002</v>
      </c>
      <c r="AA1066" s="4" t="s">
        <v>2649</v>
      </c>
    </row>
    <row r="1067" spans="1:27">
      <c r="A1067" s="4">
        <v>100070915</v>
      </c>
      <c r="B1067" s="4">
        <v>7</v>
      </c>
      <c r="D1067" s="4">
        <v>9</v>
      </c>
      <c r="E1067" s="4" t="s">
        <v>2629</v>
      </c>
      <c r="F1067" s="4">
        <v>70911</v>
      </c>
      <c r="H1067" s="4">
        <f t="shared" si="60"/>
        <v>100070916</v>
      </c>
      <c r="I1067" s="4" t="s">
        <v>2650</v>
      </c>
      <c r="L1067" s="4" t="s">
        <v>1819</v>
      </c>
      <c r="O1067" s="38">
        <v>3309</v>
      </c>
      <c r="P1067" s="38" t="s">
        <v>1825</v>
      </c>
      <c r="R1067" s="50">
        <v>1</v>
      </c>
      <c r="V1067" s="50">
        <v>76002</v>
      </c>
      <c r="AA1067" s="4" t="s">
        <v>2651</v>
      </c>
    </row>
    <row r="1068" spans="1:27">
      <c r="A1068" s="4">
        <v>100070916</v>
      </c>
      <c r="B1068" s="4">
        <v>7</v>
      </c>
      <c r="D1068" s="4">
        <v>9</v>
      </c>
      <c r="E1068" s="4" t="s">
        <v>2629</v>
      </c>
      <c r="F1068" s="4">
        <v>70911</v>
      </c>
      <c r="I1068" s="4" t="s">
        <v>2652</v>
      </c>
      <c r="L1068" s="4" t="s">
        <v>1822</v>
      </c>
      <c r="O1068" s="38">
        <v>3309</v>
      </c>
      <c r="P1068" s="38" t="s">
        <v>1825</v>
      </c>
      <c r="R1068" s="50">
        <v>1</v>
      </c>
      <c r="V1068" s="50">
        <v>76002</v>
      </c>
      <c r="AA1068" s="4" t="s">
        <v>2653</v>
      </c>
    </row>
    <row r="1069" spans="1:27">
      <c r="A1069" s="4">
        <v>100070921</v>
      </c>
      <c r="B1069" s="4">
        <v>7</v>
      </c>
      <c r="D1069" s="4">
        <v>9</v>
      </c>
      <c r="E1069" s="4" t="s">
        <v>2629</v>
      </c>
      <c r="F1069" s="4">
        <v>70921</v>
      </c>
      <c r="H1069" s="4">
        <f t="shared" ref="H1069:H1073" si="61">A1070</f>
        <v>100070922</v>
      </c>
      <c r="I1069" s="4" t="s">
        <v>2654</v>
      </c>
      <c r="L1069" s="4" t="s">
        <v>1806</v>
      </c>
      <c r="O1069" s="38">
        <v>11044</v>
      </c>
      <c r="P1069" s="38" t="s">
        <v>1838</v>
      </c>
      <c r="R1069" s="50">
        <v>1</v>
      </c>
      <c r="V1069" s="50">
        <v>76003</v>
      </c>
      <c r="AA1069" s="4" t="s">
        <v>2655</v>
      </c>
    </row>
    <row r="1070" spans="1:27">
      <c r="A1070" s="4">
        <v>100070922</v>
      </c>
      <c r="B1070" s="4">
        <v>7</v>
      </c>
      <c r="D1070" s="4">
        <v>9</v>
      </c>
      <c r="E1070" s="4" t="s">
        <v>2629</v>
      </c>
      <c r="F1070" s="4">
        <v>70921</v>
      </c>
      <c r="H1070" s="4">
        <f t="shared" si="61"/>
        <v>100070923</v>
      </c>
      <c r="I1070" s="4" t="s">
        <v>2656</v>
      </c>
      <c r="L1070" s="4" t="s">
        <v>1810</v>
      </c>
      <c r="O1070" s="38">
        <v>11044</v>
      </c>
      <c r="P1070" s="38" t="s">
        <v>1838</v>
      </c>
      <c r="R1070" s="50">
        <v>1</v>
      </c>
      <c r="V1070" s="50">
        <v>76003</v>
      </c>
      <c r="AA1070" s="4" t="s">
        <v>2657</v>
      </c>
    </row>
    <row r="1071" spans="1:27">
      <c r="A1071" s="4">
        <v>100070923</v>
      </c>
      <c r="B1071" s="4">
        <v>7</v>
      </c>
      <c r="D1071" s="4">
        <v>9</v>
      </c>
      <c r="E1071" s="4" t="s">
        <v>2629</v>
      </c>
      <c r="F1071" s="4">
        <v>70921</v>
      </c>
      <c r="H1071" s="4">
        <f t="shared" si="61"/>
        <v>100070924</v>
      </c>
      <c r="I1071" s="4" t="s">
        <v>2658</v>
      </c>
      <c r="L1071" s="4" t="s">
        <v>1813</v>
      </c>
      <c r="O1071" s="38">
        <v>11044</v>
      </c>
      <c r="P1071" s="38" t="s">
        <v>1838</v>
      </c>
      <c r="R1071" s="50">
        <v>1</v>
      </c>
      <c r="V1071" s="50">
        <v>76003</v>
      </c>
      <c r="AA1071" s="4" t="s">
        <v>2659</v>
      </c>
    </row>
    <row r="1072" spans="1:27">
      <c r="A1072" s="4">
        <v>100070924</v>
      </c>
      <c r="B1072" s="4">
        <v>7</v>
      </c>
      <c r="D1072" s="4">
        <v>9</v>
      </c>
      <c r="E1072" s="4" t="s">
        <v>2629</v>
      </c>
      <c r="F1072" s="4">
        <v>70921</v>
      </c>
      <c r="H1072" s="4">
        <f t="shared" si="61"/>
        <v>100070925</v>
      </c>
      <c r="I1072" s="4" t="s">
        <v>2660</v>
      </c>
      <c r="L1072" s="4" t="s">
        <v>1816</v>
      </c>
      <c r="O1072" s="38">
        <v>11044</v>
      </c>
      <c r="P1072" s="38" t="s">
        <v>1838</v>
      </c>
      <c r="R1072" s="50">
        <v>1</v>
      </c>
      <c r="V1072" s="50">
        <v>76003</v>
      </c>
      <c r="AA1072" s="4" t="s">
        <v>2661</v>
      </c>
    </row>
    <row r="1073" spans="1:27">
      <c r="A1073" s="4">
        <v>100070925</v>
      </c>
      <c r="B1073" s="4">
        <v>7</v>
      </c>
      <c r="D1073" s="4">
        <v>9</v>
      </c>
      <c r="E1073" s="4" t="s">
        <v>2629</v>
      </c>
      <c r="F1073" s="4">
        <v>70921</v>
      </c>
      <c r="H1073" s="4">
        <f t="shared" si="61"/>
        <v>100070926</v>
      </c>
      <c r="I1073" s="4" t="s">
        <v>2662</v>
      </c>
      <c r="L1073" s="4" t="s">
        <v>1819</v>
      </c>
      <c r="O1073" s="38">
        <v>11044</v>
      </c>
      <c r="P1073" s="38" t="s">
        <v>1838</v>
      </c>
      <c r="R1073" s="50">
        <v>1</v>
      </c>
      <c r="V1073" s="50">
        <v>76003</v>
      </c>
      <c r="AA1073" s="4" t="s">
        <v>2663</v>
      </c>
    </row>
    <row r="1074" spans="1:27">
      <c r="A1074" s="4">
        <v>100070926</v>
      </c>
      <c r="B1074" s="4">
        <v>7</v>
      </c>
      <c r="D1074" s="4">
        <v>9</v>
      </c>
      <c r="E1074" s="4" t="s">
        <v>2629</v>
      </c>
      <c r="F1074" s="4">
        <v>70921</v>
      </c>
      <c r="I1074" s="4" t="s">
        <v>2664</v>
      </c>
      <c r="L1074" s="4" t="s">
        <v>1822</v>
      </c>
      <c r="O1074" s="38">
        <v>11044</v>
      </c>
      <c r="P1074" s="38" t="s">
        <v>1838</v>
      </c>
      <c r="R1074" s="50">
        <v>1</v>
      </c>
      <c r="V1074" s="50">
        <v>76003</v>
      </c>
      <c r="AA1074" s="4" t="s">
        <v>2665</v>
      </c>
    </row>
    <row r="1075" spans="1:27">
      <c r="A1075" s="4">
        <v>100070931</v>
      </c>
      <c r="B1075" s="4">
        <v>7</v>
      </c>
      <c r="D1075" s="4">
        <v>9</v>
      </c>
      <c r="E1075" s="4" t="s">
        <v>2629</v>
      </c>
      <c r="F1075" s="4">
        <v>70931</v>
      </c>
      <c r="H1075" s="4">
        <f t="shared" ref="H1075:H1079" si="62">A1076</f>
        <v>100070932</v>
      </c>
      <c r="I1075" s="4" t="s">
        <v>2666</v>
      </c>
      <c r="L1075" s="4" t="s">
        <v>1806</v>
      </c>
      <c r="O1075" s="38">
        <v>11044</v>
      </c>
      <c r="P1075" s="38" t="s">
        <v>1851</v>
      </c>
      <c r="R1075" s="50">
        <v>1</v>
      </c>
      <c r="V1075" s="50">
        <v>76004</v>
      </c>
      <c r="AA1075" s="4" t="s">
        <v>2667</v>
      </c>
    </row>
    <row r="1076" spans="1:27">
      <c r="A1076" s="4">
        <v>100070932</v>
      </c>
      <c r="B1076" s="4">
        <v>7</v>
      </c>
      <c r="D1076" s="4">
        <v>9</v>
      </c>
      <c r="E1076" s="4" t="s">
        <v>2629</v>
      </c>
      <c r="F1076" s="4">
        <v>70931</v>
      </c>
      <c r="H1076" s="4">
        <f t="shared" si="62"/>
        <v>100070933</v>
      </c>
      <c r="I1076" s="4" t="s">
        <v>2668</v>
      </c>
      <c r="L1076" s="4" t="s">
        <v>1810</v>
      </c>
      <c r="O1076" s="38">
        <v>11044</v>
      </c>
      <c r="P1076" s="38" t="s">
        <v>1851</v>
      </c>
      <c r="R1076" s="50">
        <v>1</v>
      </c>
      <c r="V1076" s="50">
        <v>76004</v>
      </c>
      <c r="AA1076" s="4" t="s">
        <v>2669</v>
      </c>
    </row>
    <row r="1077" spans="1:27">
      <c r="A1077" s="4">
        <v>100070933</v>
      </c>
      <c r="B1077" s="4">
        <v>7</v>
      </c>
      <c r="D1077" s="4">
        <v>9</v>
      </c>
      <c r="E1077" s="4" t="s">
        <v>2629</v>
      </c>
      <c r="F1077" s="4">
        <v>70931</v>
      </c>
      <c r="H1077" s="4">
        <f t="shared" si="62"/>
        <v>100070934</v>
      </c>
      <c r="I1077" s="4" t="s">
        <v>2670</v>
      </c>
      <c r="L1077" s="4" t="s">
        <v>1813</v>
      </c>
      <c r="O1077" s="38">
        <v>11044</v>
      </c>
      <c r="P1077" s="38" t="s">
        <v>1851</v>
      </c>
      <c r="R1077" s="50">
        <v>1</v>
      </c>
      <c r="V1077" s="50">
        <v>76004</v>
      </c>
      <c r="AA1077" s="4" t="s">
        <v>2671</v>
      </c>
    </row>
    <row r="1078" spans="1:27">
      <c r="A1078" s="4">
        <v>100070934</v>
      </c>
      <c r="B1078" s="4">
        <v>7</v>
      </c>
      <c r="D1078" s="4">
        <v>9</v>
      </c>
      <c r="E1078" s="4" t="s">
        <v>2629</v>
      </c>
      <c r="F1078" s="4">
        <v>70931</v>
      </c>
      <c r="H1078" s="4">
        <f t="shared" si="62"/>
        <v>100070935</v>
      </c>
      <c r="I1078" s="4" t="s">
        <v>2672</v>
      </c>
      <c r="L1078" s="4" t="s">
        <v>1816</v>
      </c>
      <c r="O1078" s="38">
        <v>11044</v>
      </c>
      <c r="P1078" s="38" t="s">
        <v>1851</v>
      </c>
      <c r="R1078" s="50">
        <v>1</v>
      </c>
      <c r="V1078" s="50">
        <v>76004</v>
      </c>
      <c r="AA1078" s="4" t="s">
        <v>2673</v>
      </c>
    </row>
    <row r="1079" spans="1:27">
      <c r="A1079" s="4">
        <v>100070935</v>
      </c>
      <c r="B1079" s="4">
        <v>7</v>
      </c>
      <c r="D1079" s="4">
        <v>9</v>
      </c>
      <c r="E1079" s="4" t="s">
        <v>2629</v>
      </c>
      <c r="F1079" s="4">
        <v>70931</v>
      </c>
      <c r="H1079" s="4">
        <f t="shared" si="62"/>
        <v>100070936</v>
      </c>
      <c r="I1079" s="4" t="s">
        <v>2674</v>
      </c>
      <c r="L1079" s="4" t="s">
        <v>1819</v>
      </c>
      <c r="O1079" s="38">
        <v>11044</v>
      </c>
      <c r="P1079" s="38" t="s">
        <v>1851</v>
      </c>
      <c r="R1079" s="50">
        <v>1</v>
      </c>
      <c r="V1079" s="50">
        <v>76004</v>
      </c>
      <c r="AA1079" s="4" t="s">
        <v>2675</v>
      </c>
    </row>
    <row r="1080" spans="1:27">
      <c r="A1080" s="4">
        <v>100070936</v>
      </c>
      <c r="B1080" s="4">
        <v>7</v>
      </c>
      <c r="D1080" s="4">
        <v>9</v>
      </c>
      <c r="E1080" s="4" t="s">
        <v>2629</v>
      </c>
      <c r="F1080" s="4">
        <v>70931</v>
      </c>
      <c r="I1080" s="4" t="s">
        <v>2676</v>
      </c>
      <c r="L1080" s="4" t="s">
        <v>1822</v>
      </c>
      <c r="O1080" s="38">
        <v>11044</v>
      </c>
      <c r="P1080" s="38" t="s">
        <v>1851</v>
      </c>
      <c r="R1080" s="50">
        <v>1</v>
      </c>
      <c r="V1080" s="50">
        <v>76004</v>
      </c>
      <c r="AA1080" s="4" t="s">
        <v>2677</v>
      </c>
    </row>
    <row r="1081" spans="1:27">
      <c r="A1081" s="4">
        <v>100070941</v>
      </c>
      <c r="B1081" s="4">
        <v>7</v>
      </c>
      <c r="D1081" s="4">
        <v>9</v>
      </c>
      <c r="E1081" s="4" t="s">
        <v>2629</v>
      </c>
      <c r="F1081" s="4">
        <v>70941</v>
      </c>
      <c r="H1081" s="4">
        <f t="shared" ref="H1081:H1085" si="63">A1082</f>
        <v>100070942</v>
      </c>
      <c r="I1081" s="4" t="s">
        <v>2678</v>
      </c>
      <c r="L1081" s="4" t="s">
        <v>1806</v>
      </c>
      <c r="O1081" s="38">
        <v>11044</v>
      </c>
      <c r="P1081" s="38" t="s">
        <v>1864</v>
      </c>
      <c r="R1081" s="50">
        <v>1</v>
      </c>
      <c r="V1081" s="50">
        <v>76005</v>
      </c>
      <c r="AA1081" s="4" t="s">
        <v>2679</v>
      </c>
    </row>
    <row r="1082" spans="1:27">
      <c r="A1082" s="4">
        <v>100070942</v>
      </c>
      <c r="B1082" s="4">
        <v>7</v>
      </c>
      <c r="D1082" s="4">
        <v>9</v>
      </c>
      <c r="E1082" s="4" t="s">
        <v>2629</v>
      </c>
      <c r="F1082" s="4">
        <v>70941</v>
      </c>
      <c r="H1082" s="4">
        <f t="shared" si="63"/>
        <v>100070943</v>
      </c>
      <c r="I1082" s="4" t="s">
        <v>2680</v>
      </c>
      <c r="L1082" s="4" t="s">
        <v>1810</v>
      </c>
      <c r="O1082" s="38">
        <v>11044</v>
      </c>
      <c r="P1082" s="38" t="s">
        <v>1864</v>
      </c>
      <c r="R1082" s="50">
        <v>1</v>
      </c>
      <c r="V1082" s="50">
        <v>76005</v>
      </c>
      <c r="AA1082" s="4" t="s">
        <v>2681</v>
      </c>
    </row>
    <row r="1083" spans="1:27">
      <c r="A1083" s="4">
        <v>100070943</v>
      </c>
      <c r="B1083" s="4">
        <v>7</v>
      </c>
      <c r="D1083" s="4">
        <v>9</v>
      </c>
      <c r="E1083" s="4" t="s">
        <v>2629</v>
      </c>
      <c r="F1083" s="4">
        <v>70941</v>
      </c>
      <c r="H1083" s="4">
        <f t="shared" si="63"/>
        <v>100070944</v>
      </c>
      <c r="I1083" s="4" t="s">
        <v>2682</v>
      </c>
      <c r="L1083" s="4" t="s">
        <v>1813</v>
      </c>
      <c r="O1083" s="38">
        <v>11044</v>
      </c>
      <c r="P1083" s="38" t="s">
        <v>1864</v>
      </c>
      <c r="R1083" s="50">
        <v>1</v>
      </c>
      <c r="V1083" s="50">
        <v>76005</v>
      </c>
      <c r="AA1083" s="4" t="s">
        <v>2683</v>
      </c>
    </row>
    <row r="1084" spans="1:27">
      <c r="A1084" s="4">
        <v>100070944</v>
      </c>
      <c r="B1084" s="4">
        <v>7</v>
      </c>
      <c r="D1084" s="4">
        <v>9</v>
      </c>
      <c r="E1084" s="4" t="s">
        <v>2629</v>
      </c>
      <c r="F1084" s="4">
        <v>70941</v>
      </c>
      <c r="H1084" s="4">
        <f t="shared" si="63"/>
        <v>100070945</v>
      </c>
      <c r="I1084" s="4" t="s">
        <v>2684</v>
      </c>
      <c r="L1084" s="4" t="s">
        <v>1816</v>
      </c>
      <c r="O1084" s="38">
        <v>11044</v>
      </c>
      <c r="P1084" s="38" t="s">
        <v>1864</v>
      </c>
      <c r="R1084" s="50">
        <v>1</v>
      </c>
      <c r="V1084" s="50">
        <v>76005</v>
      </c>
      <c r="AA1084" s="4" t="s">
        <v>2685</v>
      </c>
    </row>
    <row r="1085" spans="1:27">
      <c r="A1085" s="4">
        <v>100070945</v>
      </c>
      <c r="B1085" s="4">
        <v>7</v>
      </c>
      <c r="D1085" s="4">
        <v>9</v>
      </c>
      <c r="E1085" s="4" t="s">
        <v>2629</v>
      </c>
      <c r="F1085" s="4">
        <v>70941</v>
      </c>
      <c r="H1085" s="4">
        <f t="shared" si="63"/>
        <v>100070946</v>
      </c>
      <c r="I1085" s="4" t="s">
        <v>2686</v>
      </c>
      <c r="L1085" s="4" t="s">
        <v>1819</v>
      </c>
      <c r="O1085" s="38">
        <v>11044</v>
      </c>
      <c r="P1085" s="38" t="s">
        <v>1864</v>
      </c>
      <c r="R1085" s="50">
        <v>1</v>
      </c>
      <c r="V1085" s="50">
        <v>76005</v>
      </c>
      <c r="AA1085" s="4" t="s">
        <v>2687</v>
      </c>
    </row>
    <row r="1086" spans="1:27">
      <c r="A1086" s="4">
        <v>100070946</v>
      </c>
      <c r="B1086" s="4">
        <v>7</v>
      </c>
      <c r="D1086" s="4">
        <v>9</v>
      </c>
      <c r="E1086" s="4" t="s">
        <v>2629</v>
      </c>
      <c r="F1086" s="4">
        <v>70941</v>
      </c>
      <c r="I1086" s="4" t="s">
        <v>2688</v>
      </c>
      <c r="L1086" s="4" t="s">
        <v>1822</v>
      </c>
      <c r="O1086" s="38">
        <v>11044</v>
      </c>
      <c r="P1086" s="38" t="s">
        <v>1864</v>
      </c>
      <c r="R1086" s="50">
        <v>1</v>
      </c>
      <c r="V1086" s="50">
        <v>76005</v>
      </c>
      <c r="AA1086" s="4" t="s">
        <v>2689</v>
      </c>
    </row>
    <row r="1087" spans="1:27">
      <c r="A1087" s="4">
        <v>100070951</v>
      </c>
      <c r="B1087" s="4">
        <v>7</v>
      </c>
      <c r="D1087" s="4">
        <v>9</v>
      </c>
      <c r="E1087" s="4" t="s">
        <v>2629</v>
      </c>
      <c r="F1087" s="4">
        <v>70951</v>
      </c>
      <c r="H1087" s="4">
        <f t="shared" ref="H1087:H1091" si="64">A1088</f>
        <v>100070952</v>
      </c>
      <c r="I1087" s="4" t="s">
        <v>2690</v>
      </c>
      <c r="L1087" s="4" t="s">
        <v>1806</v>
      </c>
      <c r="O1087" s="38">
        <v>11044</v>
      </c>
      <c r="P1087" s="38" t="s">
        <v>1877</v>
      </c>
      <c r="R1087" s="50">
        <v>1</v>
      </c>
      <c r="V1087" s="50">
        <v>76006</v>
      </c>
      <c r="AA1087" s="4" t="s">
        <v>2691</v>
      </c>
    </row>
    <row r="1088" spans="1:27">
      <c r="A1088" s="4">
        <v>100070952</v>
      </c>
      <c r="B1088" s="4">
        <v>7</v>
      </c>
      <c r="D1088" s="4">
        <v>9</v>
      </c>
      <c r="E1088" s="4" t="s">
        <v>2629</v>
      </c>
      <c r="F1088" s="4">
        <v>70951</v>
      </c>
      <c r="H1088" s="4">
        <f t="shared" si="64"/>
        <v>100070953</v>
      </c>
      <c r="I1088" s="4" t="s">
        <v>2692</v>
      </c>
      <c r="L1088" s="4" t="s">
        <v>1810</v>
      </c>
      <c r="O1088" s="38">
        <v>11044</v>
      </c>
      <c r="P1088" s="38" t="s">
        <v>1877</v>
      </c>
      <c r="R1088" s="50">
        <v>1</v>
      </c>
      <c r="V1088" s="50">
        <v>76006</v>
      </c>
      <c r="AA1088" s="4" t="s">
        <v>2693</v>
      </c>
    </row>
    <row r="1089" spans="1:27">
      <c r="A1089" s="4">
        <v>100070953</v>
      </c>
      <c r="B1089" s="4">
        <v>7</v>
      </c>
      <c r="D1089" s="4">
        <v>9</v>
      </c>
      <c r="E1089" s="4" t="s">
        <v>2629</v>
      </c>
      <c r="F1089" s="4">
        <v>70951</v>
      </c>
      <c r="H1089" s="4">
        <f t="shared" si="64"/>
        <v>100070954</v>
      </c>
      <c r="I1089" s="4" t="s">
        <v>2694</v>
      </c>
      <c r="L1089" s="4" t="s">
        <v>1813</v>
      </c>
      <c r="O1089" s="38">
        <v>11044</v>
      </c>
      <c r="P1089" s="38" t="s">
        <v>1877</v>
      </c>
      <c r="R1089" s="50">
        <v>1</v>
      </c>
      <c r="V1089" s="50">
        <v>76006</v>
      </c>
      <c r="AA1089" s="4" t="s">
        <v>2695</v>
      </c>
    </row>
    <row r="1090" spans="1:27">
      <c r="A1090" s="4">
        <v>100070954</v>
      </c>
      <c r="B1090" s="4">
        <v>7</v>
      </c>
      <c r="D1090" s="4">
        <v>9</v>
      </c>
      <c r="E1090" s="4" t="s">
        <v>2629</v>
      </c>
      <c r="F1090" s="4">
        <v>70951</v>
      </c>
      <c r="H1090" s="4">
        <f t="shared" si="64"/>
        <v>100070955</v>
      </c>
      <c r="I1090" s="4" t="s">
        <v>2696</v>
      </c>
      <c r="L1090" s="4" t="s">
        <v>1816</v>
      </c>
      <c r="O1090" s="38">
        <v>11044</v>
      </c>
      <c r="P1090" s="38" t="s">
        <v>1877</v>
      </c>
      <c r="R1090" s="50">
        <v>1</v>
      </c>
      <c r="V1090" s="50">
        <v>76006</v>
      </c>
      <c r="AA1090" s="4" t="s">
        <v>2697</v>
      </c>
    </row>
    <row r="1091" spans="1:27">
      <c r="A1091" s="4">
        <v>100070955</v>
      </c>
      <c r="B1091" s="4">
        <v>7</v>
      </c>
      <c r="D1091" s="4">
        <v>9</v>
      </c>
      <c r="E1091" s="4" t="s">
        <v>2629</v>
      </c>
      <c r="F1091" s="4">
        <v>70951</v>
      </c>
      <c r="H1091" s="4">
        <f t="shared" si="64"/>
        <v>100070956</v>
      </c>
      <c r="I1091" s="4" t="s">
        <v>2698</v>
      </c>
      <c r="L1091" s="4" t="s">
        <v>1819</v>
      </c>
      <c r="O1091" s="38">
        <v>11044</v>
      </c>
      <c r="P1091" s="38" t="s">
        <v>1877</v>
      </c>
      <c r="R1091" s="50">
        <v>1</v>
      </c>
      <c r="V1091" s="50">
        <v>76006</v>
      </c>
      <c r="AA1091" s="4" t="s">
        <v>2699</v>
      </c>
    </row>
    <row r="1092" spans="1:27">
      <c r="A1092" s="4">
        <v>100070956</v>
      </c>
      <c r="B1092" s="4">
        <v>7</v>
      </c>
      <c r="D1092" s="4">
        <v>9</v>
      </c>
      <c r="E1092" s="4" t="s">
        <v>2629</v>
      </c>
      <c r="F1092" s="4">
        <v>70951</v>
      </c>
      <c r="I1092" s="4" t="s">
        <v>2700</v>
      </c>
      <c r="L1092" s="4" t="s">
        <v>1822</v>
      </c>
      <c r="O1092" s="38">
        <v>11044</v>
      </c>
      <c r="P1092" s="38" t="s">
        <v>1877</v>
      </c>
      <c r="R1092" s="50">
        <v>1</v>
      </c>
      <c r="V1092" s="50">
        <v>76006</v>
      </c>
      <c r="AA1092" s="4" t="s">
        <v>2701</v>
      </c>
    </row>
    <row r="1093" spans="1:27">
      <c r="A1093" s="4">
        <v>100070961</v>
      </c>
      <c r="B1093" s="4">
        <v>7</v>
      </c>
      <c r="D1093" s="4">
        <v>9</v>
      </c>
      <c r="E1093" s="4" t="s">
        <v>2629</v>
      </c>
      <c r="F1093" s="4">
        <v>70961</v>
      </c>
      <c r="H1093" s="4">
        <f t="shared" ref="H1093:H1099" si="65">A1094</f>
        <v>100070962</v>
      </c>
      <c r="I1093" s="4" t="s">
        <v>2702</v>
      </c>
      <c r="L1093" s="4" t="s">
        <v>1806</v>
      </c>
      <c r="O1093" s="38">
        <v>11044</v>
      </c>
      <c r="P1093" s="38" t="s">
        <v>1890</v>
      </c>
      <c r="R1093" s="50">
        <v>1</v>
      </c>
      <c r="V1093" s="50">
        <v>76007</v>
      </c>
      <c r="AA1093" s="4" t="s">
        <v>2703</v>
      </c>
    </row>
    <row r="1094" spans="1:27">
      <c r="A1094" s="4">
        <v>100070962</v>
      </c>
      <c r="B1094" s="4">
        <v>7</v>
      </c>
      <c r="D1094" s="4">
        <v>9</v>
      </c>
      <c r="E1094" s="4" t="s">
        <v>2629</v>
      </c>
      <c r="F1094" s="4">
        <v>70961</v>
      </c>
      <c r="H1094" s="4">
        <f t="shared" si="65"/>
        <v>100070963</v>
      </c>
      <c r="I1094" s="4" t="s">
        <v>2704</v>
      </c>
      <c r="L1094" s="4" t="s">
        <v>1810</v>
      </c>
      <c r="O1094" s="38">
        <v>11044</v>
      </c>
      <c r="P1094" s="38" t="s">
        <v>1890</v>
      </c>
      <c r="R1094" s="50">
        <v>1</v>
      </c>
      <c r="V1094" s="50">
        <v>76007</v>
      </c>
      <c r="AA1094" s="4" t="s">
        <v>2705</v>
      </c>
    </row>
    <row r="1095" spans="1:27">
      <c r="A1095" s="4">
        <v>100070963</v>
      </c>
      <c r="B1095" s="4">
        <v>7</v>
      </c>
      <c r="D1095" s="4">
        <v>9</v>
      </c>
      <c r="E1095" s="4" t="s">
        <v>2629</v>
      </c>
      <c r="F1095" s="4">
        <v>70961</v>
      </c>
      <c r="H1095" s="4">
        <f t="shared" si="65"/>
        <v>100070964</v>
      </c>
      <c r="I1095" s="4" t="s">
        <v>2706</v>
      </c>
      <c r="L1095" s="4" t="s">
        <v>1895</v>
      </c>
      <c r="O1095" s="38">
        <v>11044</v>
      </c>
      <c r="P1095" s="38" t="s">
        <v>1890</v>
      </c>
      <c r="R1095" s="50">
        <v>1</v>
      </c>
      <c r="V1095" s="50">
        <v>76007</v>
      </c>
      <c r="AA1095" s="4" t="s">
        <v>2707</v>
      </c>
    </row>
    <row r="1096" spans="1:27">
      <c r="A1096" s="4">
        <v>100070964</v>
      </c>
      <c r="B1096" s="4">
        <v>7</v>
      </c>
      <c r="D1096" s="4">
        <v>9</v>
      </c>
      <c r="E1096" s="4" t="s">
        <v>2629</v>
      </c>
      <c r="F1096" s="4">
        <v>70961</v>
      </c>
      <c r="H1096" s="4">
        <f t="shared" si="65"/>
        <v>100070965</v>
      </c>
      <c r="I1096" s="4" t="s">
        <v>2708</v>
      </c>
      <c r="L1096" s="4" t="s">
        <v>1813</v>
      </c>
      <c r="O1096" s="38">
        <v>11044</v>
      </c>
      <c r="P1096" s="38" t="s">
        <v>1890</v>
      </c>
      <c r="R1096" s="50">
        <v>1</v>
      </c>
      <c r="V1096" s="50">
        <v>76007</v>
      </c>
      <c r="AA1096" s="4" t="s">
        <v>2709</v>
      </c>
    </row>
    <row r="1097" spans="1:27">
      <c r="A1097" s="4">
        <v>100070965</v>
      </c>
      <c r="B1097" s="4">
        <v>7</v>
      </c>
      <c r="D1097" s="4">
        <v>9</v>
      </c>
      <c r="E1097" s="4" t="s">
        <v>2629</v>
      </c>
      <c r="F1097" s="4">
        <v>70961</v>
      </c>
      <c r="H1097" s="4">
        <f t="shared" si="65"/>
        <v>100070966</v>
      </c>
      <c r="I1097" s="4" t="s">
        <v>2710</v>
      </c>
      <c r="L1097" s="4" t="s">
        <v>1900</v>
      </c>
      <c r="O1097" s="38">
        <v>11044</v>
      </c>
      <c r="P1097" s="38" t="s">
        <v>1890</v>
      </c>
      <c r="R1097" s="50">
        <v>1</v>
      </c>
      <c r="V1097" s="50">
        <v>76007</v>
      </c>
      <c r="AA1097" s="4" t="s">
        <v>2711</v>
      </c>
    </row>
    <row r="1098" spans="1:27">
      <c r="A1098" s="4">
        <v>100070966</v>
      </c>
      <c r="B1098" s="4">
        <v>7</v>
      </c>
      <c r="D1098" s="4">
        <v>9</v>
      </c>
      <c r="E1098" s="4" t="s">
        <v>2629</v>
      </c>
      <c r="F1098" s="4">
        <v>70961</v>
      </c>
      <c r="H1098" s="4">
        <f t="shared" si="65"/>
        <v>100070967</v>
      </c>
      <c r="I1098" s="4" t="s">
        <v>2712</v>
      </c>
      <c r="L1098" s="4" t="s">
        <v>1903</v>
      </c>
      <c r="O1098" s="38">
        <v>11044</v>
      </c>
      <c r="P1098" s="38" t="s">
        <v>1890</v>
      </c>
      <c r="R1098" s="50">
        <v>1</v>
      </c>
      <c r="V1098" s="50">
        <v>76007</v>
      </c>
      <c r="AA1098" s="4" t="s">
        <v>2713</v>
      </c>
    </row>
    <row r="1099" spans="1:27">
      <c r="A1099" s="4">
        <v>100070967</v>
      </c>
      <c r="B1099" s="4">
        <v>7</v>
      </c>
      <c r="D1099" s="4">
        <v>9</v>
      </c>
      <c r="E1099" s="4" t="s">
        <v>2629</v>
      </c>
      <c r="F1099" s="4">
        <v>70961</v>
      </c>
      <c r="H1099" s="4">
        <f t="shared" si="65"/>
        <v>100070968</v>
      </c>
      <c r="I1099" s="4" t="s">
        <v>2714</v>
      </c>
      <c r="L1099" s="4" t="s">
        <v>1906</v>
      </c>
      <c r="O1099" s="38">
        <v>11044</v>
      </c>
      <c r="P1099" s="38" t="s">
        <v>1890</v>
      </c>
      <c r="R1099" s="50">
        <v>1</v>
      </c>
      <c r="V1099" s="50">
        <v>76007</v>
      </c>
      <c r="AA1099" s="4" t="s">
        <v>2715</v>
      </c>
    </row>
    <row r="1100" spans="1:27">
      <c r="A1100" s="4">
        <v>100070968</v>
      </c>
      <c r="B1100" s="4">
        <v>7</v>
      </c>
      <c r="D1100" s="4">
        <v>9</v>
      </c>
      <c r="E1100" s="4" t="s">
        <v>2629</v>
      </c>
      <c r="F1100" s="4">
        <v>70961</v>
      </c>
      <c r="I1100" s="4" t="s">
        <v>2716</v>
      </c>
      <c r="L1100" s="4" t="s">
        <v>1816</v>
      </c>
      <c r="O1100" s="38">
        <v>11044</v>
      </c>
      <c r="P1100" s="38" t="s">
        <v>1890</v>
      </c>
      <c r="R1100" s="50">
        <v>1</v>
      </c>
      <c r="V1100" s="50">
        <v>76007</v>
      </c>
      <c r="AA1100" s="4" t="s">
        <v>2717</v>
      </c>
    </row>
    <row r="1101" spans="1:27">
      <c r="A1101" s="4">
        <v>100070971</v>
      </c>
      <c r="B1101" s="4">
        <v>7</v>
      </c>
      <c r="D1101" s="4">
        <v>9</v>
      </c>
      <c r="E1101" s="4" t="s">
        <v>2629</v>
      </c>
      <c r="F1101" s="4">
        <v>70971</v>
      </c>
      <c r="H1101" s="4">
        <f t="shared" ref="H1101:H1105" si="66">A1102</f>
        <v>100070972</v>
      </c>
      <c r="I1101" s="4" t="s">
        <v>2718</v>
      </c>
      <c r="L1101" s="4" t="s">
        <v>1806</v>
      </c>
      <c r="O1101" s="38">
        <v>11044</v>
      </c>
      <c r="P1101" s="38" t="s">
        <v>1911</v>
      </c>
      <c r="R1101" s="50">
        <v>1</v>
      </c>
      <c r="V1101" s="50">
        <v>76008</v>
      </c>
      <c r="AA1101" s="4" t="s">
        <v>2719</v>
      </c>
    </row>
    <row r="1102" spans="1:27">
      <c r="A1102" s="4">
        <v>100070972</v>
      </c>
      <c r="B1102" s="4">
        <v>7</v>
      </c>
      <c r="D1102" s="4">
        <v>9</v>
      </c>
      <c r="E1102" s="4" t="s">
        <v>2629</v>
      </c>
      <c r="F1102" s="4">
        <v>70971</v>
      </c>
      <c r="H1102" s="4">
        <f t="shared" si="66"/>
        <v>100070973</v>
      </c>
      <c r="I1102" s="4" t="s">
        <v>2720</v>
      </c>
      <c r="L1102" s="4" t="s">
        <v>1810</v>
      </c>
      <c r="O1102" s="38">
        <v>11044</v>
      </c>
      <c r="P1102" s="38" t="s">
        <v>1911</v>
      </c>
      <c r="R1102" s="50">
        <v>1</v>
      </c>
      <c r="V1102" s="50">
        <v>76008</v>
      </c>
      <c r="AA1102" s="4" t="s">
        <v>2721</v>
      </c>
    </row>
    <row r="1103" spans="1:27">
      <c r="A1103" s="4">
        <v>100070973</v>
      </c>
      <c r="B1103" s="4">
        <v>7</v>
      </c>
      <c r="D1103" s="4">
        <v>9</v>
      </c>
      <c r="E1103" s="4" t="s">
        <v>2629</v>
      </c>
      <c r="F1103" s="4">
        <v>70971</v>
      </c>
      <c r="H1103" s="4">
        <f t="shared" si="66"/>
        <v>100070974</v>
      </c>
      <c r="I1103" s="4" t="s">
        <v>2722</v>
      </c>
      <c r="L1103" s="4" t="s">
        <v>1813</v>
      </c>
      <c r="O1103" s="38">
        <v>11044</v>
      </c>
      <c r="P1103" s="38" t="s">
        <v>1911</v>
      </c>
      <c r="R1103" s="50">
        <v>1</v>
      </c>
      <c r="V1103" s="50">
        <v>76008</v>
      </c>
      <c r="AA1103" s="4" t="s">
        <v>2723</v>
      </c>
    </row>
    <row r="1104" spans="1:27">
      <c r="A1104" s="4">
        <v>100070974</v>
      </c>
      <c r="B1104" s="4">
        <v>7</v>
      </c>
      <c r="D1104" s="4">
        <v>9</v>
      </c>
      <c r="E1104" s="4" t="s">
        <v>2629</v>
      </c>
      <c r="F1104" s="4">
        <v>70971</v>
      </c>
      <c r="H1104" s="4">
        <f t="shared" si="66"/>
        <v>100070975</v>
      </c>
      <c r="I1104" s="4" t="s">
        <v>2724</v>
      </c>
      <c r="L1104" s="4" t="s">
        <v>1816</v>
      </c>
      <c r="O1104" s="38">
        <v>11044</v>
      </c>
      <c r="P1104" s="38" t="s">
        <v>1911</v>
      </c>
      <c r="R1104" s="50">
        <v>1</v>
      </c>
      <c r="V1104" s="50">
        <v>76008</v>
      </c>
      <c r="AA1104" s="4" t="s">
        <v>2725</v>
      </c>
    </row>
    <row r="1105" spans="1:27">
      <c r="A1105" s="4">
        <v>100070975</v>
      </c>
      <c r="B1105" s="4">
        <v>7</v>
      </c>
      <c r="D1105" s="4">
        <v>9</v>
      </c>
      <c r="E1105" s="4" t="s">
        <v>2629</v>
      </c>
      <c r="F1105" s="4">
        <v>70971</v>
      </c>
      <c r="H1105" s="4">
        <f t="shared" si="66"/>
        <v>100070976</v>
      </c>
      <c r="I1105" s="4" t="s">
        <v>2726</v>
      </c>
      <c r="L1105" s="4" t="s">
        <v>1819</v>
      </c>
      <c r="O1105" s="38">
        <v>11044</v>
      </c>
      <c r="P1105" s="38" t="s">
        <v>1911</v>
      </c>
      <c r="R1105" s="50">
        <v>1</v>
      </c>
      <c r="V1105" s="50">
        <v>76008</v>
      </c>
      <c r="AA1105" s="4" t="s">
        <v>2727</v>
      </c>
    </row>
    <row r="1106" spans="1:27">
      <c r="A1106" s="4">
        <v>100070976</v>
      </c>
      <c r="B1106" s="4">
        <v>7</v>
      </c>
      <c r="D1106" s="4">
        <v>9</v>
      </c>
      <c r="E1106" s="4" t="s">
        <v>2629</v>
      </c>
      <c r="F1106" s="4">
        <v>70971</v>
      </c>
      <c r="I1106" s="4" t="s">
        <v>2728</v>
      </c>
      <c r="L1106" s="4" t="s">
        <v>1822</v>
      </c>
      <c r="O1106" s="38">
        <v>11044</v>
      </c>
      <c r="P1106" s="38" t="s">
        <v>1911</v>
      </c>
      <c r="R1106" s="50">
        <v>1</v>
      </c>
      <c r="V1106" s="50">
        <v>76008</v>
      </c>
      <c r="AA1106" s="4" t="s">
        <v>2729</v>
      </c>
    </row>
    <row r="1107" spans="1:27">
      <c r="A1107" s="4">
        <v>100071001</v>
      </c>
      <c r="B1107" s="4">
        <v>7</v>
      </c>
      <c r="C1107" s="4" t="s">
        <v>1803</v>
      </c>
      <c r="D1107" s="4">
        <v>10</v>
      </c>
      <c r="E1107" s="4" t="s">
        <v>97</v>
      </c>
      <c r="F1107" s="4">
        <v>71001</v>
      </c>
      <c r="H1107" s="4">
        <f t="shared" ref="H1107:H1111" si="67">A1108</f>
        <v>100071002</v>
      </c>
      <c r="I1107" s="4" t="s">
        <v>2730</v>
      </c>
      <c r="L1107" s="4" t="s">
        <v>1806</v>
      </c>
      <c r="O1107" s="38">
        <v>3203</v>
      </c>
      <c r="P1107" s="38" t="s">
        <v>1807</v>
      </c>
      <c r="R1107" s="50">
        <v>1</v>
      </c>
      <c r="V1107" s="50">
        <v>76001</v>
      </c>
      <c r="AA1107" s="4" t="s">
        <v>2731</v>
      </c>
    </row>
    <row r="1108" spans="1:27">
      <c r="A1108" s="4">
        <v>100071002</v>
      </c>
      <c r="B1108" s="4">
        <v>7</v>
      </c>
      <c r="C1108" s="4" t="s">
        <v>1803</v>
      </c>
      <c r="D1108" s="4">
        <v>10</v>
      </c>
      <c r="E1108" s="4" t="s">
        <v>97</v>
      </c>
      <c r="F1108" s="4">
        <v>71001</v>
      </c>
      <c r="H1108" s="4">
        <f t="shared" si="67"/>
        <v>100071003</v>
      </c>
      <c r="I1108" s="4" t="s">
        <v>2732</v>
      </c>
      <c r="L1108" s="4" t="s">
        <v>1810</v>
      </c>
      <c r="O1108" s="38">
        <v>3203</v>
      </c>
      <c r="P1108" s="38" t="s">
        <v>1807</v>
      </c>
      <c r="R1108" s="50">
        <v>1</v>
      </c>
      <c r="V1108" s="50">
        <v>76001</v>
      </c>
      <c r="AA1108" s="4" t="s">
        <v>2733</v>
      </c>
    </row>
    <row r="1109" spans="1:27">
      <c r="A1109" s="4">
        <v>100071003</v>
      </c>
      <c r="B1109" s="4">
        <v>7</v>
      </c>
      <c r="C1109" s="4" t="s">
        <v>1803</v>
      </c>
      <c r="D1109" s="4">
        <v>10</v>
      </c>
      <c r="E1109" s="4" t="s">
        <v>97</v>
      </c>
      <c r="F1109" s="4">
        <v>71001</v>
      </c>
      <c r="H1109" s="4">
        <f t="shared" si="67"/>
        <v>100071004</v>
      </c>
      <c r="I1109" s="4" t="s">
        <v>2734</v>
      </c>
      <c r="L1109" s="4" t="s">
        <v>1813</v>
      </c>
      <c r="O1109" s="38">
        <v>3203</v>
      </c>
      <c r="P1109" s="38" t="s">
        <v>1807</v>
      </c>
      <c r="R1109" s="50">
        <v>1</v>
      </c>
      <c r="V1109" s="50">
        <v>76001</v>
      </c>
      <c r="AA1109" s="4" t="s">
        <v>2735</v>
      </c>
    </row>
    <row r="1110" spans="1:27">
      <c r="A1110" s="4">
        <v>100071004</v>
      </c>
      <c r="B1110" s="4">
        <v>7</v>
      </c>
      <c r="C1110" s="4" t="s">
        <v>1803</v>
      </c>
      <c r="D1110" s="4">
        <v>10</v>
      </c>
      <c r="E1110" s="4" t="s">
        <v>97</v>
      </c>
      <c r="F1110" s="4">
        <v>71001</v>
      </c>
      <c r="H1110" s="4">
        <f t="shared" si="67"/>
        <v>100071005</v>
      </c>
      <c r="I1110" s="4" t="s">
        <v>2736</v>
      </c>
      <c r="L1110" s="4" t="s">
        <v>1816</v>
      </c>
      <c r="O1110" s="38">
        <v>3203</v>
      </c>
      <c r="P1110" s="38" t="s">
        <v>1807</v>
      </c>
      <c r="R1110" s="50">
        <v>1</v>
      </c>
      <c r="V1110" s="50">
        <v>76001</v>
      </c>
      <c r="AA1110" s="4" t="s">
        <v>2737</v>
      </c>
    </row>
    <row r="1111" spans="1:27">
      <c r="A1111" s="4">
        <v>100071005</v>
      </c>
      <c r="B1111" s="4">
        <v>7</v>
      </c>
      <c r="C1111" s="4" t="s">
        <v>1803</v>
      </c>
      <c r="D1111" s="4">
        <v>10</v>
      </c>
      <c r="E1111" s="4" t="s">
        <v>97</v>
      </c>
      <c r="F1111" s="4">
        <v>71001</v>
      </c>
      <c r="H1111" s="4">
        <f t="shared" si="67"/>
        <v>100071006</v>
      </c>
      <c r="I1111" s="4" t="s">
        <v>2738</v>
      </c>
      <c r="L1111" s="4" t="s">
        <v>1819</v>
      </c>
      <c r="O1111" s="38">
        <v>3203</v>
      </c>
      <c r="P1111" s="38" t="s">
        <v>1807</v>
      </c>
      <c r="R1111" s="50">
        <v>1</v>
      </c>
      <c r="V1111" s="50">
        <v>76001</v>
      </c>
      <c r="AA1111" s="4" t="s">
        <v>2739</v>
      </c>
    </row>
    <row r="1112" spans="1:27">
      <c r="A1112" s="4">
        <v>100071006</v>
      </c>
      <c r="B1112" s="4">
        <v>7</v>
      </c>
      <c r="C1112" s="4" t="s">
        <v>1803</v>
      </c>
      <c r="D1112" s="4">
        <v>10</v>
      </c>
      <c r="E1112" s="4" t="s">
        <v>97</v>
      </c>
      <c r="F1112" s="4">
        <v>71001</v>
      </c>
      <c r="I1112" s="4" t="s">
        <v>2740</v>
      </c>
      <c r="L1112" s="4" t="s">
        <v>1822</v>
      </c>
      <c r="O1112" s="38">
        <v>3203</v>
      </c>
      <c r="P1112" s="38" t="s">
        <v>1807</v>
      </c>
      <c r="R1112" s="50">
        <v>1</v>
      </c>
      <c r="V1112" s="50">
        <v>76001</v>
      </c>
      <c r="AA1112" s="4" t="s">
        <v>2741</v>
      </c>
    </row>
    <row r="1113" spans="1:27">
      <c r="A1113" s="4">
        <v>100071011</v>
      </c>
      <c r="B1113" s="4">
        <v>7</v>
      </c>
      <c r="D1113" s="4">
        <v>10</v>
      </c>
      <c r="E1113" s="4" t="s">
        <v>97</v>
      </c>
      <c r="F1113" s="4">
        <v>71011</v>
      </c>
      <c r="H1113" s="4">
        <f t="shared" ref="H1113:H1117" si="68">A1114</f>
        <v>100071012</v>
      </c>
      <c r="I1113" s="4" t="s">
        <v>2742</v>
      </c>
      <c r="L1113" s="4" t="s">
        <v>1806</v>
      </c>
      <c r="O1113" s="38">
        <v>3303</v>
      </c>
      <c r="P1113" s="38" t="s">
        <v>1825</v>
      </c>
      <c r="R1113" s="50">
        <v>1</v>
      </c>
      <c r="V1113" s="50">
        <v>76002</v>
      </c>
      <c r="AA1113" s="4" t="s">
        <v>2743</v>
      </c>
    </row>
    <row r="1114" spans="1:27">
      <c r="A1114" s="4">
        <v>100071012</v>
      </c>
      <c r="B1114" s="4">
        <v>7</v>
      </c>
      <c r="D1114" s="4">
        <v>10</v>
      </c>
      <c r="E1114" s="4" t="s">
        <v>97</v>
      </c>
      <c r="F1114" s="4">
        <v>71011</v>
      </c>
      <c r="H1114" s="4">
        <f t="shared" si="68"/>
        <v>100071013</v>
      </c>
      <c r="I1114" s="4" t="s">
        <v>2744</v>
      </c>
      <c r="L1114" s="4" t="s">
        <v>1810</v>
      </c>
      <c r="O1114" s="38">
        <v>3303</v>
      </c>
      <c r="P1114" s="38" t="s">
        <v>1825</v>
      </c>
      <c r="R1114" s="50">
        <v>1</v>
      </c>
      <c r="V1114" s="50">
        <v>76002</v>
      </c>
      <c r="AA1114" s="4" t="s">
        <v>2745</v>
      </c>
    </row>
    <row r="1115" spans="1:27">
      <c r="A1115" s="4">
        <v>100071013</v>
      </c>
      <c r="B1115" s="4">
        <v>7</v>
      </c>
      <c r="D1115" s="4">
        <v>10</v>
      </c>
      <c r="E1115" s="4" t="s">
        <v>97</v>
      </c>
      <c r="F1115" s="4">
        <v>71011</v>
      </c>
      <c r="H1115" s="4">
        <f t="shared" si="68"/>
        <v>100071014</v>
      </c>
      <c r="I1115" s="4" t="s">
        <v>2746</v>
      </c>
      <c r="L1115" s="4" t="s">
        <v>1813</v>
      </c>
      <c r="O1115" s="38">
        <v>3303</v>
      </c>
      <c r="P1115" s="38" t="s">
        <v>1825</v>
      </c>
      <c r="R1115" s="50">
        <v>1</v>
      </c>
      <c r="V1115" s="50">
        <v>76002</v>
      </c>
      <c r="AA1115" s="4" t="s">
        <v>2747</v>
      </c>
    </row>
    <row r="1116" spans="1:27">
      <c r="A1116" s="4">
        <v>100071014</v>
      </c>
      <c r="B1116" s="4">
        <v>7</v>
      </c>
      <c r="D1116" s="4">
        <v>10</v>
      </c>
      <c r="E1116" s="4" t="s">
        <v>97</v>
      </c>
      <c r="F1116" s="4">
        <v>71011</v>
      </c>
      <c r="H1116" s="4">
        <f t="shared" si="68"/>
        <v>100071015</v>
      </c>
      <c r="I1116" s="4" t="s">
        <v>2748</v>
      </c>
      <c r="L1116" s="4" t="s">
        <v>1816</v>
      </c>
      <c r="O1116" s="38">
        <v>3303</v>
      </c>
      <c r="P1116" s="38" t="s">
        <v>1825</v>
      </c>
      <c r="R1116" s="50">
        <v>1</v>
      </c>
      <c r="V1116" s="50">
        <v>76002</v>
      </c>
      <c r="AA1116" s="4" t="s">
        <v>2749</v>
      </c>
    </row>
    <row r="1117" spans="1:27">
      <c r="A1117" s="4">
        <v>100071015</v>
      </c>
      <c r="B1117" s="4">
        <v>7</v>
      </c>
      <c r="D1117" s="4">
        <v>10</v>
      </c>
      <c r="E1117" s="4" t="s">
        <v>97</v>
      </c>
      <c r="F1117" s="4">
        <v>71011</v>
      </c>
      <c r="H1117" s="4">
        <f t="shared" si="68"/>
        <v>100071016</v>
      </c>
      <c r="I1117" s="4" t="s">
        <v>2750</v>
      </c>
      <c r="L1117" s="4" t="s">
        <v>1819</v>
      </c>
      <c r="O1117" s="38">
        <v>3303</v>
      </c>
      <c r="P1117" s="38" t="s">
        <v>1825</v>
      </c>
      <c r="R1117" s="50">
        <v>1</v>
      </c>
      <c r="V1117" s="50">
        <v>76002</v>
      </c>
      <c r="AA1117" s="4" t="s">
        <v>2751</v>
      </c>
    </row>
    <row r="1118" spans="1:27">
      <c r="A1118" s="4">
        <v>100071016</v>
      </c>
      <c r="B1118" s="4">
        <v>7</v>
      </c>
      <c r="D1118" s="4">
        <v>10</v>
      </c>
      <c r="E1118" s="4" t="s">
        <v>97</v>
      </c>
      <c r="F1118" s="4">
        <v>71011</v>
      </c>
      <c r="I1118" s="4" t="s">
        <v>2752</v>
      </c>
      <c r="L1118" s="4" t="s">
        <v>1822</v>
      </c>
      <c r="O1118" s="38">
        <v>3303</v>
      </c>
      <c r="P1118" s="38" t="s">
        <v>1825</v>
      </c>
      <c r="R1118" s="50">
        <v>1</v>
      </c>
      <c r="V1118" s="50">
        <v>76002</v>
      </c>
      <c r="AA1118" s="4" t="s">
        <v>2753</v>
      </c>
    </row>
    <row r="1119" spans="1:27">
      <c r="A1119" s="4">
        <v>100071021</v>
      </c>
      <c r="B1119" s="4">
        <v>7</v>
      </c>
      <c r="D1119" s="4">
        <v>10</v>
      </c>
      <c r="E1119" s="4" t="s">
        <v>97</v>
      </c>
      <c r="F1119" s="4">
        <v>71021</v>
      </c>
      <c r="H1119" s="4">
        <f t="shared" ref="H1119:H1123" si="69">A1120</f>
        <v>100071022</v>
      </c>
      <c r="I1119" s="4" t="s">
        <v>2754</v>
      </c>
      <c r="L1119" s="4" t="s">
        <v>1806</v>
      </c>
      <c r="O1119" s="38">
        <v>11007</v>
      </c>
      <c r="P1119" s="38" t="s">
        <v>1838</v>
      </c>
      <c r="R1119" s="50">
        <v>1</v>
      </c>
      <c r="V1119" s="50">
        <v>76003</v>
      </c>
      <c r="AA1119" s="4" t="s">
        <v>2755</v>
      </c>
    </row>
    <row r="1120" spans="1:27">
      <c r="A1120" s="4">
        <v>100071022</v>
      </c>
      <c r="B1120" s="4">
        <v>7</v>
      </c>
      <c r="D1120" s="4">
        <v>10</v>
      </c>
      <c r="E1120" s="4" t="s">
        <v>97</v>
      </c>
      <c r="F1120" s="4">
        <v>71021</v>
      </c>
      <c r="H1120" s="4">
        <f t="shared" si="69"/>
        <v>100071023</v>
      </c>
      <c r="I1120" s="4" t="s">
        <v>2756</v>
      </c>
      <c r="L1120" s="4" t="s">
        <v>1810</v>
      </c>
      <c r="O1120" s="38">
        <v>11007</v>
      </c>
      <c r="P1120" s="38" t="s">
        <v>1838</v>
      </c>
      <c r="R1120" s="50">
        <v>1</v>
      </c>
      <c r="V1120" s="50">
        <v>76003</v>
      </c>
      <c r="AA1120" s="4" t="s">
        <v>2757</v>
      </c>
    </row>
    <row r="1121" spans="1:27">
      <c r="A1121" s="4">
        <v>100071023</v>
      </c>
      <c r="B1121" s="4">
        <v>7</v>
      </c>
      <c r="D1121" s="4">
        <v>10</v>
      </c>
      <c r="E1121" s="4" t="s">
        <v>97</v>
      </c>
      <c r="F1121" s="4">
        <v>71021</v>
      </c>
      <c r="H1121" s="4">
        <f t="shared" si="69"/>
        <v>100071024</v>
      </c>
      <c r="I1121" s="4" t="s">
        <v>2758</v>
      </c>
      <c r="L1121" s="4" t="s">
        <v>1813</v>
      </c>
      <c r="O1121" s="38">
        <v>11007</v>
      </c>
      <c r="P1121" s="38" t="s">
        <v>1838</v>
      </c>
      <c r="R1121" s="50">
        <v>1</v>
      </c>
      <c r="V1121" s="50">
        <v>76003</v>
      </c>
      <c r="AA1121" s="4" t="s">
        <v>2759</v>
      </c>
    </row>
    <row r="1122" spans="1:27">
      <c r="A1122" s="4">
        <v>100071024</v>
      </c>
      <c r="B1122" s="4">
        <v>7</v>
      </c>
      <c r="D1122" s="4">
        <v>10</v>
      </c>
      <c r="E1122" s="4" t="s">
        <v>97</v>
      </c>
      <c r="F1122" s="4">
        <v>71021</v>
      </c>
      <c r="H1122" s="4">
        <f t="shared" si="69"/>
        <v>100071025</v>
      </c>
      <c r="I1122" s="4" t="s">
        <v>2760</v>
      </c>
      <c r="L1122" s="4" t="s">
        <v>1816</v>
      </c>
      <c r="O1122" s="38">
        <v>11007</v>
      </c>
      <c r="P1122" s="38" t="s">
        <v>1838</v>
      </c>
      <c r="R1122" s="50">
        <v>1</v>
      </c>
      <c r="V1122" s="50">
        <v>76003</v>
      </c>
      <c r="AA1122" s="4" t="s">
        <v>2761</v>
      </c>
    </row>
    <row r="1123" spans="1:27">
      <c r="A1123" s="4">
        <v>100071025</v>
      </c>
      <c r="B1123" s="4">
        <v>7</v>
      </c>
      <c r="D1123" s="4">
        <v>10</v>
      </c>
      <c r="E1123" s="4" t="s">
        <v>97</v>
      </c>
      <c r="F1123" s="4">
        <v>71021</v>
      </c>
      <c r="H1123" s="4">
        <f t="shared" si="69"/>
        <v>100071026</v>
      </c>
      <c r="I1123" s="4" t="s">
        <v>2762</v>
      </c>
      <c r="L1123" s="4" t="s">
        <v>1819</v>
      </c>
      <c r="O1123" s="38">
        <v>11007</v>
      </c>
      <c r="P1123" s="38" t="s">
        <v>1838</v>
      </c>
      <c r="R1123" s="50">
        <v>1</v>
      </c>
      <c r="V1123" s="50">
        <v>76003</v>
      </c>
      <c r="AA1123" s="4" t="s">
        <v>2763</v>
      </c>
    </row>
    <row r="1124" spans="1:27">
      <c r="A1124" s="4">
        <v>100071026</v>
      </c>
      <c r="B1124" s="4">
        <v>7</v>
      </c>
      <c r="D1124" s="4">
        <v>10</v>
      </c>
      <c r="E1124" s="4" t="s">
        <v>97</v>
      </c>
      <c r="F1124" s="4">
        <v>71021</v>
      </c>
      <c r="I1124" s="4" t="s">
        <v>2764</v>
      </c>
      <c r="L1124" s="4" t="s">
        <v>1822</v>
      </c>
      <c r="O1124" s="38">
        <v>11007</v>
      </c>
      <c r="P1124" s="38" t="s">
        <v>1838</v>
      </c>
      <c r="R1124" s="50">
        <v>1</v>
      </c>
      <c r="V1124" s="50">
        <v>76003</v>
      </c>
      <c r="AA1124" s="4" t="s">
        <v>2765</v>
      </c>
    </row>
    <row r="1125" spans="1:27">
      <c r="A1125" s="4">
        <v>100071031</v>
      </c>
      <c r="B1125" s="4">
        <v>7</v>
      </c>
      <c r="D1125" s="4">
        <v>10</v>
      </c>
      <c r="E1125" s="4" t="s">
        <v>97</v>
      </c>
      <c r="F1125" s="4">
        <v>71031</v>
      </c>
      <c r="H1125" s="4">
        <f t="shared" ref="H1125:H1129" si="70">A1126</f>
        <v>100071032</v>
      </c>
      <c r="I1125" s="4" t="s">
        <v>2766</v>
      </c>
      <c r="L1125" s="4" t="s">
        <v>1806</v>
      </c>
      <c r="O1125" s="38">
        <v>11007</v>
      </c>
      <c r="P1125" s="38" t="s">
        <v>1851</v>
      </c>
      <c r="R1125" s="50">
        <v>1</v>
      </c>
      <c r="V1125" s="50">
        <v>76004</v>
      </c>
      <c r="AA1125" s="4" t="s">
        <v>2767</v>
      </c>
    </row>
    <row r="1126" spans="1:27">
      <c r="A1126" s="4">
        <v>100071032</v>
      </c>
      <c r="B1126" s="4">
        <v>7</v>
      </c>
      <c r="D1126" s="4">
        <v>10</v>
      </c>
      <c r="E1126" s="4" t="s">
        <v>97</v>
      </c>
      <c r="F1126" s="4">
        <v>71031</v>
      </c>
      <c r="H1126" s="4">
        <f t="shared" si="70"/>
        <v>100071033</v>
      </c>
      <c r="I1126" s="4" t="s">
        <v>2768</v>
      </c>
      <c r="L1126" s="4" t="s">
        <v>1810</v>
      </c>
      <c r="O1126" s="38">
        <v>11007</v>
      </c>
      <c r="P1126" s="38" t="s">
        <v>1851</v>
      </c>
      <c r="R1126" s="50">
        <v>1</v>
      </c>
      <c r="V1126" s="50">
        <v>76004</v>
      </c>
      <c r="AA1126" s="4" t="s">
        <v>2769</v>
      </c>
    </row>
    <row r="1127" spans="1:27">
      <c r="A1127" s="4">
        <v>100071033</v>
      </c>
      <c r="B1127" s="4">
        <v>7</v>
      </c>
      <c r="D1127" s="4">
        <v>10</v>
      </c>
      <c r="E1127" s="4" t="s">
        <v>97</v>
      </c>
      <c r="F1127" s="4">
        <v>71031</v>
      </c>
      <c r="H1127" s="4">
        <f t="shared" si="70"/>
        <v>100071034</v>
      </c>
      <c r="I1127" s="4" t="s">
        <v>2770</v>
      </c>
      <c r="L1127" s="4" t="s">
        <v>1813</v>
      </c>
      <c r="O1127" s="38">
        <v>11007</v>
      </c>
      <c r="P1127" s="38" t="s">
        <v>1851</v>
      </c>
      <c r="R1127" s="50">
        <v>1</v>
      </c>
      <c r="V1127" s="50">
        <v>76004</v>
      </c>
      <c r="AA1127" s="4" t="s">
        <v>2771</v>
      </c>
    </row>
    <row r="1128" spans="1:27">
      <c r="A1128" s="4">
        <v>100071034</v>
      </c>
      <c r="B1128" s="4">
        <v>7</v>
      </c>
      <c r="D1128" s="4">
        <v>10</v>
      </c>
      <c r="E1128" s="4" t="s">
        <v>97</v>
      </c>
      <c r="F1128" s="4">
        <v>71031</v>
      </c>
      <c r="H1128" s="4">
        <f t="shared" si="70"/>
        <v>100071035</v>
      </c>
      <c r="I1128" s="4" t="s">
        <v>2772</v>
      </c>
      <c r="L1128" s="4" t="s">
        <v>1816</v>
      </c>
      <c r="O1128" s="38">
        <v>11007</v>
      </c>
      <c r="P1128" s="38" t="s">
        <v>1851</v>
      </c>
      <c r="R1128" s="50">
        <v>1</v>
      </c>
      <c r="V1128" s="50">
        <v>76004</v>
      </c>
      <c r="AA1128" s="4" t="s">
        <v>2773</v>
      </c>
    </row>
    <row r="1129" spans="1:27">
      <c r="A1129" s="4">
        <v>100071035</v>
      </c>
      <c r="B1129" s="4">
        <v>7</v>
      </c>
      <c r="D1129" s="4">
        <v>10</v>
      </c>
      <c r="E1129" s="4" t="s">
        <v>97</v>
      </c>
      <c r="F1129" s="4">
        <v>71031</v>
      </c>
      <c r="H1129" s="4">
        <f t="shared" si="70"/>
        <v>100071036</v>
      </c>
      <c r="I1129" s="4" t="s">
        <v>2774</v>
      </c>
      <c r="L1129" s="4" t="s">
        <v>1819</v>
      </c>
      <c r="O1129" s="38">
        <v>11007</v>
      </c>
      <c r="P1129" s="38" t="s">
        <v>1851</v>
      </c>
      <c r="R1129" s="50">
        <v>1</v>
      </c>
      <c r="V1129" s="50">
        <v>76004</v>
      </c>
      <c r="AA1129" s="4" t="s">
        <v>2775</v>
      </c>
    </row>
    <row r="1130" spans="1:27">
      <c r="A1130" s="4">
        <v>100071036</v>
      </c>
      <c r="B1130" s="4">
        <v>7</v>
      </c>
      <c r="D1130" s="4">
        <v>10</v>
      </c>
      <c r="E1130" s="4" t="s">
        <v>97</v>
      </c>
      <c r="F1130" s="4">
        <v>71031</v>
      </c>
      <c r="I1130" s="4" t="s">
        <v>2776</v>
      </c>
      <c r="L1130" s="4" t="s">
        <v>1822</v>
      </c>
      <c r="O1130" s="38">
        <v>11007</v>
      </c>
      <c r="P1130" s="38" t="s">
        <v>1851</v>
      </c>
      <c r="R1130" s="50">
        <v>1</v>
      </c>
      <c r="V1130" s="50">
        <v>76004</v>
      </c>
      <c r="AA1130" s="4" t="s">
        <v>2777</v>
      </c>
    </row>
    <row r="1131" spans="1:27">
      <c r="A1131" s="4">
        <v>100071041</v>
      </c>
      <c r="B1131" s="4">
        <v>7</v>
      </c>
      <c r="D1131" s="4">
        <v>10</v>
      </c>
      <c r="E1131" s="4" t="s">
        <v>97</v>
      </c>
      <c r="F1131" s="4">
        <v>71041</v>
      </c>
      <c r="H1131" s="4">
        <f t="shared" ref="H1131:H1135" si="71">A1132</f>
        <v>100071042</v>
      </c>
      <c r="I1131" s="4" t="s">
        <v>2778</v>
      </c>
      <c r="L1131" s="4" t="s">
        <v>1806</v>
      </c>
      <c r="O1131" s="38">
        <v>11007</v>
      </c>
      <c r="P1131" s="38" t="s">
        <v>1864</v>
      </c>
      <c r="R1131" s="50">
        <v>1</v>
      </c>
      <c r="V1131" s="50">
        <v>76005</v>
      </c>
      <c r="AA1131" s="4" t="s">
        <v>2779</v>
      </c>
    </row>
    <row r="1132" spans="1:27">
      <c r="A1132" s="4">
        <v>100071042</v>
      </c>
      <c r="B1132" s="4">
        <v>7</v>
      </c>
      <c r="D1132" s="4">
        <v>10</v>
      </c>
      <c r="E1132" s="4" t="s">
        <v>97</v>
      </c>
      <c r="F1132" s="4">
        <v>71041</v>
      </c>
      <c r="H1132" s="4">
        <f t="shared" si="71"/>
        <v>100071043</v>
      </c>
      <c r="I1132" s="4" t="s">
        <v>2780</v>
      </c>
      <c r="L1132" s="4" t="s">
        <v>1810</v>
      </c>
      <c r="O1132" s="38">
        <v>11007</v>
      </c>
      <c r="P1132" s="38" t="s">
        <v>1864</v>
      </c>
      <c r="R1132" s="50">
        <v>1</v>
      </c>
      <c r="V1132" s="50">
        <v>76005</v>
      </c>
      <c r="AA1132" s="4" t="s">
        <v>2781</v>
      </c>
    </row>
    <row r="1133" spans="1:27">
      <c r="A1133" s="4">
        <v>100071043</v>
      </c>
      <c r="B1133" s="4">
        <v>7</v>
      </c>
      <c r="D1133" s="4">
        <v>10</v>
      </c>
      <c r="E1133" s="4" t="s">
        <v>97</v>
      </c>
      <c r="F1133" s="4">
        <v>71041</v>
      </c>
      <c r="H1133" s="4">
        <f t="shared" si="71"/>
        <v>100071044</v>
      </c>
      <c r="I1133" s="4" t="s">
        <v>2782</v>
      </c>
      <c r="L1133" s="4" t="s">
        <v>1813</v>
      </c>
      <c r="O1133" s="38">
        <v>11007</v>
      </c>
      <c r="P1133" s="38" t="s">
        <v>1864</v>
      </c>
      <c r="R1133" s="50">
        <v>1</v>
      </c>
      <c r="V1133" s="50">
        <v>76005</v>
      </c>
      <c r="AA1133" s="4" t="s">
        <v>2783</v>
      </c>
    </row>
    <row r="1134" spans="1:27">
      <c r="A1134" s="4">
        <v>100071044</v>
      </c>
      <c r="B1134" s="4">
        <v>7</v>
      </c>
      <c r="D1134" s="4">
        <v>10</v>
      </c>
      <c r="E1134" s="4" t="s">
        <v>97</v>
      </c>
      <c r="F1134" s="4">
        <v>71041</v>
      </c>
      <c r="H1134" s="4">
        <f t="shared" si="71"/>
        <v>100071045</v>
      </c>
      <c r="I1134" s="4" t="s">
        <v>2784</v>
      </c>
      <c r="L1134" s="4" t="s">
        <v>1816</v>
      </c>
      <c r="O1134" s="38">
        <v>11007</v>
      </c>
      <c r="P1134" s="38" t="s">
        <v>1864</v>
      </c>
      <c r="R1134" s="50">
        <v>1</v>
      </c>
      <c r="V1134" s="50">
        <v>76005</v>
      </c>
      <c r="AA1134" s="4" t="s">
        <v>2785</v>
      </c>
    </row>
    <row r="1135" spans="1:27">
      <c r="A1135" s="4">
        <v>100071045</v>
      </c>
      <c r="B1135" s="4">
        <v>7</v>
      </c>
      <c r="D1135" s="4">
        <v>10</v>
      </c>
      <c r="E1135" s="4" t="s">
        <v>97</v>
      </c>
      <c r="F1135" s="4">
        <v>71041</v>
      </c>
      <c r="H1135" s="4">
        <f t="shared" si="71"/>
        <v>100071046</v>
      </c>
      <c r="I1135" s="4" t="s">
        <v>2786</v>
      </c>
      <c r="L1135" s="4" t="s">
        <v>1819</v>
      </c>
      <c r="O1135" s="38">
        <v>11007</v>
      </c>
      <c r="P1135" s="38" t="s">
        <v>1864</v>
      </c>
      <c r="R1135" s="50">
        <v>1</v>
      </c>
      <c r="V1135" s="50">
        <v>76005</v>
      </c>
      <c r="AA1135" s="4" t="s">
        <v>2787</v>
      </c>
    </row>
    <row r="1136" spans="1:27">
      <c r="A1136" s="4">
        <v>100071046</v>
      </c>
      <c r="B1136" s="4">
        <v>7</v>
      </c>
      <c r="D1136" s="4">
        <v>10</v>
      </c>
      <c r="E1136" s="4" t="s">
        <v>97</v>
      </c>
      <c r="F1136" s="4">
        <v>71041</v>
      </c>
      <c r="I1136" s="4" t="s">
        <v>2788</v>
      </c>
      <c r="L1136" s="4" t="s">
        <v>1822</v>
      </c>
      <c r="O1136" s="38">
        <v>11007</v>
      </c>
      <c r="P1136" s="38" t="s">
        <v>1864</v>
      </c>
      <c r="R1136" s="50">
        <v>1</v>
      </c>
      <c r="V1136" s="50">
        <v>76005</v>
      </c>
      <c r="AA1136" s="4" t="s">
        <v>2789</v>
      </c>
    </row>
    <row r="1137" spans="1:27">
      <c r="A1137" s="4">
        <v>100071051</v>
      </c>
      <c r="B1137" s="4">
        <v>7</v>
      </c>
      <c r="D1137" s="4">
        <v>10</v>
      </c>
      <c r="E1137" s="4" t="s">
        <v>97</v>
      </c>
      <c r="F1137" s="4">
        <v>71051</v>
      </c>
      <c r="H1137" s="4">
        <f t="shared" ref="H1137:H1141" si="72">A1138</f>
        <v>100071052</v>
      </c>
      <c r="I1137" s="4" t="s">
        <v>2790</v>
      </c>
      <c r="L1137" s="4" t="s">
        <v>1806</v>
      </c>
      <c r="O1137" s="38">
        <v>11007</v>
      </c>
      <c r="P1137" s="38" t="s">
        <v>1877</v>
      </c>
      <c r="R1137" s="50">
        <v>1</v>
      </c>
      <c r="V1137" s="50">
        <v>76006</v>
      </c>
      <c r="AA1137" s="4" t="s">
        <v>2791</v>
      </c>
    </row>
    <row r="1138" spans="1:27">
      <c r="A1138" s="4">
        <v>100071052</v>
      </c>
      <c r="B1138" s="4">
        <v>7</v>
      </c>
      <c r="D1138" s="4">
        <v>10</v>
      </c>
      <c r="E1138" s="4" t="s">
        <v>97</v>
      </c>
      <c r="F1138" s="4">
        <v>71051</v>
      </c>
      <c r="H1138" s="4">
        <f t="shared" si="72"/>
        <v>100071053</v>
      </c>
      <c r="I1138" s="4" t="s">
        <v>2792</v>
      </c>
      <c r="L1138" s="4" t="s">
        <v>1810</v>
      </c>
      <c r="O1138" s="38">
        <v>11007</v>
      </c>
      <c r="P1138" s="38" t="s">
        <v>1877</v>
      </c>
      <c r="R1138" s="50">
        <v>1</v>
      </c>
      <c r="V1138" s="50">
        <v>76006</v>
      </c>
      <c r="AA1138" s="4" t="s">
        <v>2793</v>
      </c>
    </row>
    <row r="1139" spans="1:27">
      <c r="A1139" s="4">
        <v>100071053</v>
      </c>
      <c r="B1139" s="4">
        <v>7</v>
      </c>
      <c r="D1139" s="4">
        <v>10</v>
      </c>
      <c r="E1139" s="4" t="s">
        <v>97</v>
      </c>
      <c r="F1139" s="4">
        <v>71051</v>
      </c>
      <c r="H1139" s="4">
        <f t="shared" si="72"/>
        <v>100071054</v>
      </c>
      <c r="I1139" s="4" t="s">
        <v>2794</v>
      </c>
      <c r="L1139" s="4" t="s">
        <v>1813</v>
      </c>
      <c r="O1139" s="38">
        <v>11007</v>
      </c>
      <c r="P1139" s="38" t="s">
        <v>1877</v>
      </c>
      <c r="R1139" s="50">
        <v>1</v>
      </c>
      <c r="V1139" s="50">
        <v>76006</v>
      </c>
      <c r="AA1139" s="4" t="s">
        <v>2795</v>
      </c>
    </row>
    <row r="1140" spans="1:27">
      <c r="A1140" s="4">
        <v>100071054</v>
      </c>
      <c r="B1140" s="4">
        <v>7</v>
      </c>
      <c r="D1140" s="4">
        <v>10</v>
      </c>
      <c r="E1140" s="4" t="s">
        <v>97</v>
      </c>
      <c r="F1140" s="4">
        <v>71051</v>
      </c>
      <c r="H1140" s="4">
        <f t="shared" si="72"/>
        <v>100071055</v>
      </c>
      <c r="I1140" s="4" t="s">
        <v>2796</v>
      </c>
      <c r="L1140" s="4" t="s">
        <v>1816</v>
      </c>
      <c r="O1140" s="38">
        <v>11007</v>
      </c>
      <c r="P1140" s="38" t="s">
        <v>1877</v>
      </c>
      <c r="R1140" s="50">
        <v>1</v>
      </c>
      <c r="V1140" s="50">
        <v>76006</v>
      </c>
      <c r="AA1140" s="4" t="s">
        <v>2797</v>
      </c>
    </row>
    <row r="1141" spans="1:27">
      <c r="A1141" s="4">
        <v>100071055</v>
      </c>
      <c r="B1141" s="4">
        <v>7</v>
      </c>
      <c r="D1141" s="4">
        <v>10</v>
      </c>
      <c r="E1141" s="4" t="s">
        <v>97</v>
      </c>
      <c r="F1141" s="4">
        <v>71051</v>
      </c>
      <c r="H1141" s="4">
        <f t="shared" si="72"/>
        <v>100071056</v>
      </c>
      <c r="I1141" s="4" t="s">
        <v>2798</v>
      </c>
      <c r="L1141" s="4" t="s">
        <v>1819</v>
      </c>
      <c r="O1141" s="38">
        <v>11007</v>
      </c>
      <c r="P1141" s="38" t="s">
        <v>1877</v>
      </c>
      <c r="R1141" s="50">
        <v>1</v>
      </c>
      <c r="V1141" s="50">
        <v>76006</v>
      </c>
      <c r="AA1141" s="4" t="s">
        <v>2799</v>
      </c>
    </row>
    <row r="1142" spans="1:27">
      <c r="A1142" s="4">
        <v>100071056</v>
      </c>
      <c r="B1142" s="4">
        <v>7</v>
      </c>
      <c r="D1142" s="4">
        <v>10</v>
      </c>
      <c r="E1142" s="4" t="s">
        <v>97</v>
      </c>
      <c r="F1142" s="4">
        <v>71051</v>
      </c>
      <c r="I1142" s="4" t="s">
        <v>2800</v>
      </c>
      <c r="L1142" s="4" t="s">
        <v>1822</v>
      </c>
      <c r="O1142" s="38">
        <v>11007</v>
      </c>
      <c r="P1142" s="38" t="s">
        <v>1877</v>
      </c>
      <c r="R1142" s="50">
        <v>1</v>
      </c>
      <c r="V1142" s="50">
        <v>76006</v>
      </c>
      <c r="AA1142" s="4" t="s">
        <v>2801</v>
      </c>
    </row>
    <row r="1143" spans="1:27">
      <c r="A1143" s="4">
        <v>100071061</v>
      </c>
      <c r="B1143" s="4">
        <v>7</v>
      </c>
      <c r="D1143" s="4">
        <v>10</v>
      </c>
      <c r="E1143" s="4" t="s">
        <v>97</v>
      </c>
      <c r="F1143" s="4">
        <v>71061</v>
      </c>
      <c r="H1143" s="4">
        <f t="shared" ref="H1143:H1149" si="73">A1144</f>
        <v>100071062</v>
      </c>
      <c r="I1143" s="4" t="s">
        <v>2802</v>
      </c>
      <c r="L1143" s="4" t="s">
        <v>1806</v>
      </c>
      <c r="O1143" s="38">
        <v>11007</v>
      </c>
      <c r="P1143" s="38" t="s">
        <v>1890</v>
      </c>
      <c r="R1143" s="50">
        <v>1</v>
      </c>
      <c r="V1143" s="50">
        <v>76007</v>
      </c>
      <c r="AA1143" s="4" t="s">
        <v>2803</v>
      </c>
    </row>
    <row r="1144" spans="1:27">
      <c r="A1144" s="4">
        <v>100071062</v>
      </c>
      <c r="B1144" s="4">
        <v>7</v>
      </c>
      <c r="D1144" s="4">
        <v>10</v>
      </c>
      <c r="E1144" s="4" t="s">
        <v>97</v>
      </c>
      <c r="F1144" s="4">
        <v>71061</v>
      </c>
      <c r="H1144" s="4">
        <f t="shared" si="73"/>
        <v>100071063</v>
      </c>
      <c r="I1144" s="4" t="s">
        <v>2804</v>
      </c>
      <c r="L1144" s="4" t="s">
        <v>1810</v>
      </c>
      <c r="O1144" s="38">
        <v>11007</v>
      </c>
      <c r="P1144" s="38" t="s">
        <v>1890</v>
      </c>
      <c r="R1144" s="50">
        <v>1</v>
      </c>
      <c r="V1144" s="50">
        <v>76007</v>
      </c>
      <c r="AA1144" s="4" t="s">
        <v>2805</v>
      </c>
    </row>
    <row r="1145" spans="1:27">
      <c r="A1145" s="4">
        <v>100071063</v>
      </c>
      <c r="B1145" s="4">
        <v>7</v>
      </c>
      <c r="D1145" s="4">
        <v>10</v>
      </c>
      <c r="E1145" s="4" t="s">
        <v>97</v>
      </c>
      <c r="F1145" s="4">
        <v>71061</v>
      </c>
      <c r="H1145" s="4">
        <f t="shared" si="73"/>
        <v>100071064</v>
      </c>
      <c r="I1145" s="4" t="s">
        <v>2806</v>
      </c>
      <c r="L1145" s="4" t="s">
        <v>1895</v>
      </c>
      <c r="O1145" s="38">
        <v>11007</v>
      </c>
      <c r="P1145" s="38" t="s">
        <v>1890</v>
      </c>
      <c r="R1145" s="50">
        <v>1</v>
      </c>
      <c r="V1145" s="50">
        <v>76007</v>
      </c>
      <c r="AA1145" s="4" t="s">
        <v>2807</v>
      </c>
    </row>
    <row r="1146" spans="1:27">
      <c r="A1146" s="4">
        <v>100071064</v>
      </c>
      <c r="B1146" s="4">
        <v>7</v>
      </c>
      <c r="D1146" s="4">
        <v>10</v>
      </c>
      <c r="E1146" s="4" t="s">
        <v>97</v>
      </c>
      <c r="F1146" s="4">
        <v>71061</v>
      </c>
      <c r="H1146" s="4">
        <f t="shared" si="73"/>
        <v>100071065</v>
      </c>
      <c r="I1146" s="4" t="s">
        <v>2808</v>
      </c>
      <c r="L1146" s="4" t="s">
        <v>1813</v>
      </c>
      <c r="O1146" s="38">
        <v>11007</v>
      </c>
      <c r="P1146" s="38" t="s">
        <v>1890</v>
      </c>
      <c r="R1146" s="50">
        <v>1</v>
      </c>
      <c r="V1146" s="50">
        <v>76007</v>
      </c>
      <c r="AA1146" s="4" t="s">
        <v>2809</v>
      </c>
    </row>
    <row r="1147" spans="1:27">
      <c r="A1147" s="4">
        <v>100071065</v>
      </c>
      <c r="B1147" s="4">
        <v>7</v>
      </c>
      <c r="D1147" s="4">
        <v>10</v>
      </c>
      <c r="E1147" s="4" t="s">
        <v>97</v>
      </c>
      <c r="F1147" s="4">
        <v>71061</v>
      </c>
      <c r="H1147" s="4">
        <f t="shared" si="73"/>
        <v>100071066</v>
      </c>
      <c r="I1147" s="4" t="s">
        <v>2810</v>
      </c>
      <c r="L1147" s="4" t="s">
        <v>1900</v>
      </c>
      <c r="O1147" s="38">
        <v>11007</v>
      </c>
      <c r="P1147" s="38" t="s">
        <v>1890</v>
      </c>
      <c r="R1147" s="50">
        <v>1</v>
      </c>
      <c r="V1147" s="50">
        <v>76007</v>
      </c>
      <c r="AA1147" s="4" t="s">
        <v>2811</v>
      </c>
    </row>
    <row r="1148" spans="1:27">
      <c r="A1148" s="4">
        <v>100071066</v>
      </c>
      <c r="B1148" s="4">
        <v>7</v>
      </c>
      <c r="D1148" s="4">
        <v>10</v>
      </c>
      <c r="E1148" s="4" t="s">
        <v>97</v>
      </c>
      <c r="F1148" s="4">
        <v>71061</v>
      </c>
      <c r="H1148" s="4">
        <f t="shared" si="73"/>
        <v>100071067</v>
      </c>
      <c r="I1148" s="4" t="s">
        <v>2812</v>
      </c>
      <c r="L1148" s="4" t="s">
        <v>1903</v>
      </c>
      <c r="O1148" s="38">
        <v>11007</v>
      </c>
      <c r="P1148" s="38" t="s">
        <v>1890</v>
      </c>
      <c r="R1148" s="50">
        <v>1</v>
      </c>
      <c r="V1148" s="50">
        <v>76007</v>
      </c>
      <c r="AA1148" s="4" t="s">
        <v>2813</v>
      </c>
    </row>
    <row r="1149" spans="1:27">
      <c r="A1149" s="4">
        <v>100071067</v>
      </c>
      <c r="B1149" s="4">
        <v>7</v>
      </c>
      <c r="D1149" s="4">
        <v>10</v>
      </c>
      <c r="E1149" s="4" t="s">
        <v>97</v>
      </c>
      <c r="F1149" s="4">
        <v>71061</v>
      </c>
      <c r="H1149" s="4">
        <f t="shared" si="73"/>
        <v>100071068</v>
      </c>
      <c r="I1149" s="4" t="s">
        <v>2814</v>
      </c>
      <c r="L1149" s="4" t="s">
        <v>1906</v>
      </c>
      <c r="O1149" s="38">
        <v>11007</v>
      </c>
      <c r="P1149" s="38" t="s">
        <v>1890</v>
      </c>
      <c r="R1149" s="50">
        <v>1</v>
      </c>
      <c r="V1149" s="50">
        <v>76007</v>
      </c>
      <c r="AA1149" s="4" t="s">
        <v>2815</v>
      </c>
    </row>
    <row r="1150" spans="1:27">
      <c r="A1150" s="4">
        <v>100071068</v>
      </c>
      <c r="B1150" s="4">
        <v>7</v>
      </c>
      <c r="D1150" s="4">
        <v>10</v>
      </c>
      <c r="E1150" s="4" t="s">
        <v>97</v>
      </c>
      <c r="F1150" s="4">
        <v>71061</v>
      </c>
      <c r="I1150" s="4" t="s">
        <v>2816</v>
      </c>
      <c r="L1150" s="4" t="s">
        <v>1816</v>
      </c>
      <c r="O1150" s="38">
        <v>11007</v>
      </c>
      <c r="P1150" s="38" t="s">
        <v>1890</v>
      </c>
      <c r="R1150" s="50">
        <v>1</v>
      </c>
      <c r="V1150" s="50">
        <v>76007</v>
      </c>
      <c r="AA1150" s="4" t="s">
        <v>2817</v>
      </c>
    </row>
    <row r="1151" spans="1:27">
      <c r="A1151" s="4">
        <v>100071071</v>
      </c>
      <c r="B1151" s="4">
        <v>7</v>
      </c>
      <c r="D1151" s="4">
        <v>10</v>
      </c>
      <c r="E1151" s="4" t="s">
        <v>97</v>
      </c>
      <c r="F1151" s="4">
        <v>71071</v>
      </c>
      <c r="H1151" s="4">
        <f t="shared" ref="H1151:H1155" si="74">A1152</f>
        <v>100071072</v>
      </c>
      <c r="I1151" s="4" t="s">
        <v>2818</v>
      </c>
      <c r="L1151" s="4" t="s">
        <v>1806</v>
      </c>
      <c r="O1151" s="38">
        <v>11007</v>
      </c>
      <c r="P1151" s="38" t="s">
        <v>1838</v>
      </c>
      <c r="R1151" s="50">
        <v>1</v>
      </c>
      <c r="V1151" s="50">
        <v>76011</v>
      </c>
      <c r="AA1151" s="4" t="s">
        <v>2819</v>
      </c>
    </row>
    <row r="1152" spans="1:27">
      <c r="A1152" s="4">
        <v>100071072</v>
      </c>
      <c r="B1152" s="4">
        <v>7</v>
      </c>
      <c r="D1152" s="4">
        <v>10</v>
      </c>
      <c r="E1152" s="4" t="s">
        <v>97</v>
      </c>
      <c r="F1152" s="4">
        <v>71071</v>
      </c>
      <c r="H1152" s="4">
        <f t="shared" si="74"/>
        <v>100071073</v>
      </c>
      <c r="I1152" s="4" t="s">
        <v>2820</v>
      </c>
      <c r="L1152" s="4" t="s">
        <v>1810</v>
      </c>
      <c r="O1152" s="38">
        <v>11007</v>
      </c>
      <c r="P1152" s="38" t="s">
        <v>1838</v>
      </c>
      <c r="R1152" s="50">
        <v>1</v>
      </c>
      <c r="V1152" s="50">
        <v>76011</v>
      </c>
      <c r="AA1152" s="4" t="s">
        <v>2821</v>
      </c>
    </row>
    <row r="1153" spans="1:27">
      <c r="A1153" s="4">
        <v>100071073</v>
      </c>
      <c r="B1153" s="4">
        <v>7</v>
      </c>
      <c r="D1153" s="4">
        <v>10</v>
      </c>
      <c r="E1153" s="4" t="s">
        <v>97</v>
      </c>
      <c r="F1153" s="4">
        <v>71071</v>
      </c>
      <c r="H1153" s="4">
        <f t="shared" si="74"/>
        <v>100071074</v>
      </c>
      <c r="I1153" s="4" t="s">
        <v>2822</v>
      </c>
      <c r="L1153" s="4" t="s">
        <v>1813</v>
      </c>
      <c r="O1153" s="38">
        <v>11007</v>
      </c>
      <c r="P1153" s="38" t="s">
        <v>1838</v>
      </c>
      <c r="R1153" s="50">
        <v>1</v>
      </c>
      <c r="V1153" s="50">
        <v>76011</v>
      </c>
      <c r="AA1153" s="4" t="s">
        <v>2823</v>
      </c>
    </row>
    <row r="1154" spans="1:27">
      <c r="A1154" s="4">
        <v>100071074</v>
      </c>
      <c r="B1154" s="4">
        <v>7</v>
      </c>
      <c r="D1154" s="4">
        <v>10</v>
      </c>
      <c r="E1154" s="4" t="s">
        <v>97</v>
      </c>
      <c r="F1154" s="4">
        <v>71071</v>
      </c>
      <c r="H1154" s="4">
        <f t="shared" si="74"/>
        <v>100071075</v>
      </c>
      <c r="I1154" s="4" t="s">
        <v>2824</v>
      </c>
      <c r="L1154" s="4" t="s">
        <v>1816</v>
      </c>
      <c r="O1154" s="38">
        <v>11007</v>
      </c>
      <c r="P1154" s="38" t="s">
        <v>1838</v>
      </c>
      <c r="R1154" s="50">
        <v>1</v>
      </c>
      <c r="V1154" s="50">
        <v>76011</v>
      </c>
      <c r="AA1154" s="4" t="s">
        <v>2825</v>
      </c>
    </row>
    <row r="1155" spans="1:27">
      <c r="A1155" s="4">
        <v>100071075</v>
      </c>
      <c r="B1155" s="4">
        <v>7</v>
      </c>
      <c r="D1155" s="4">
        <v>10</v>
      </c>
      <c r="E1155" s="4" t="s">
        <v>97</v>
      </c>
      <c r="F1155" s="4">
        <v>71071</v>
      </c>
      <c r="H1155" s="4">
        <f t="shared" si="74"/>
        <v>100071076</v>
      </c>
      <c r="I1155" s="4" t="s">
        <v>2826</v>
      </c>
      <c r="L1155" s="4" t="s">
        <v>1819</v>
      </c>
      <c r="O1155" s="38">
        <v>11007</v>
      </c>
      <c r="P1155" s="38" t="s">
        <v>1838</v>
      </c>
      <c r="R1155" s="50">
        <v>1</v>
      </c>
      <c r="V1155" s="50">
        <v>76011</v>
      </c>
      <c r="AA1155" s="4" t="s">
        <v>2827</v>
      </c>
    </row>
    <row r="1156" spans="1:27">
      <c r="A1156" s="4">
        <v>100071076</v>
      </c>
      <c r="B1156" s="4">
        <v>7</v>
      </c>
      <c r="D1156" s="4">
        <v>10</v>
      </c>
      <c r="E1156" s="4" t="s">
        <v>97</v>
      </c>
      <c r="F1156" s="4">
        <v>71071</v>
      </c>
      <c r="I1156" s="4" t="s">
        <v>2828</v>
      </c>
      <c r="L1156" s="4" t="s">
        <v>1822</v>
      </c>
      <c r="O1156" s="38">
        <v>11007</v>
      </c>
      <c r="P1156" s="38" t="s">
        <v>1838</v>
      </c>
      <c r="R1156" s="50">
        <v>1</v>
      </c>
      <c r="V1156" s="50">
        <v>76011</v>
      </c>
      <c r="AA1156" s="4" t="s">
        <v>2829</v>
      </c>
    </row>
    <row r="1157" spans="1:27">
      <c r="A1157" s="4">
        <v>100071101</v>
      </c>
      <c r="B1157" s="4">
        <v>7</v>
      </c>
      <c r="C1157" s="4" t="s">
        <v>1803</v>
      </c>
      <c r="D1157" s="4">
        <v>11</v>
      </c>
      <c r="E1157" s="4" t="s">
        <v>167</v>
      </c>
      <c r="F1157" s="4">
        <v>71101</v>
      </c>
      <c r="H1157" s="4">
        <f t="shared" ref="H1157:H1161" si="75">A1158</f>
        <v>100071102</v>
      </c>
      <c r="I1157" s="4" t="s">
        <v>2830</v>
      </c>
      <c r="L1157" s="4" t="s">
        <v>1806</v>
      </c>
      <c r="O1157" s="38">
        <v>3209</v>
      </c>
      <c r="P1157" s="38" t="s">
        <v>1807</v>
      </c>
      <c r="R1157" s="50">
        <v>1</v>
      </c>
      <c r="V1157" s="59">
        <v>76001</v>
      </c>
      <c r="AA1157" s="4" t="s">
        <v>2831</v>
      </c>
    </row>
    <row r="1158" spans="1:27">
      <c r="A1158" s="4">
        <v>100071102</v>
      </c>
      <c r="B1158" s="4">
        <v>7</v>
      </c>
      <c r="C1158" s="4" t="s">
        <v>1803</v>
      </c>
      <c r="D1158" s="4">
        <v>11</v>
      </c>
      <c r="E1158" s="4" t="s">
        <v>167</v>
      </c>
      <c r="F1158" s="4">
        <v>71101</v>
      </c>
      <c r="H1158" s="4">
        <f t="shared" si="75"/>
        <v>100071103</v>
      </c>
      <c r="I1158" s="4" t="s">
        <v>2832</v>
      </c>
      <c r="L1158" s="4" t="s">
        <v>1810</v>
      </c>
      <c r="O1158" s="38">
        <v>3209</v>
      </c>
      <c r="P1158" s="38" t="s">
        <v>1807</v>
      </c>
      <c r="R1158" s="50">
        <v>1</v>
      </c>
      <c r="V1158" s="59">
        <v>76001</v>
      </c>
      <c r="AA1158" s="4" t="s">
        <v>2833</v>
      </c>
    </row>
    <row r="1159" spans="1:27">
      <c r="A1159" s="4">
        <v>100071103</v>
      </c>
      <c r="B1159" s="4">
        <v>7</v>
      </c>
      <c r="C1159" s="4" t="s">
        <v>1803</v>
      </c>
      <c r="D1159" s="4">
        <v>11</v>
      </c>
      <c r="E1159" s="4" t="s">
        <v>167</v>
      </c>
      <c r="F1159" s="4">
        <v>71101</v>
      </c>
      <c r="H1159" s="4">
        <f t="shared" si="75"/>
        <v>100071104</v>
      </c>
      <c r="I1159" s="4" t="s">
        <v>2834</v>
      </c>
      <c r="L1159" s="4" t="s">
        <v>1813</v>
      </c>
      <c r="O1159" s="38">
        <v>3209</v>
      </c>
      <c r="P1159" s="38" t="s">
        <v>1807</v>
      </c>
      <c r="R1159" s="50">
        <v>1</v>
      </c>
      <c r="V1159" s="59">
        <v>76001</v>
      </c>
      <c r="AA1159" s="4" t="s">
        <v>2835</v>
      </c>
    </row>
    <row r="1160" spans="1:27">
      <c r="A1160" s="4">
        <v>100071104</v>
      </c>
      <c r="B1160" s="4">
        <v>7</v>
      </c>
      <c r="C1160" s="4" t="s">
        <v>1803</v>
      </c>
      <c r="D1160" s="4">
        <v>11</v>
      </c>
      <c r="E1160" s="4" t="s">
        <v>167</v>
      </c>
      <c r="F1160" s="4">
        <v>71101</v>
      </c>
      <c r="H1160" s="4">
        <f t="shared" si="75"/>
        <v>100071105</v>
      </c>
      <c r="I1160" s="4" t="s">
        <v>2836</v>
      </c>
      <c r="L1160" s="4" t="s">
        <v>1816</v>
      </c>
      <c r="O1160" s="38">
        <v>3209</v>
      </c>
      <c r="P1160" s="38" t="s">
        <v>1807</v>
      </c>
      <c r="R1160" s="50">
        <v>1</v>
      </c>
      <c r="V1160" s="59">
        <v>76001</v>
      </c>
      <c r="AA1160" s="4" t="s">
        <v>2837</v>
      </c>
    </row>
    <row r="1161" spans="1:27">
      <c r="A1161" s="4">
        <v>100071105</v>
      </c>
      <c r="B1161" s="4">
        <v>7</v>
      </c>
      <c r="C1161" s="4" t="s">
        <v>1803</v>
      </c>
      <c r="D1161" s="4">
        <v>11</v>
      </c>
      <c r="E1161" s="4" t="s">
        <v>167</v>
      </c>
      <c r="F1161" s="4">
        <v>71101</v>
      </c>
      <c r="H1161" s="4">
        <f t="shared" si="75"/>
        <v>100071106</v>
      </c>
      <c r="I1161" s="4" t="s">
        <v>2838</v>
      </c>
      <c r="L1161" s="4" t="s">
        <v>1819</v>
      </c>
      <c r="O1161" s="38">
        <v>3209</v>
      </c>
      <c r="P1161" s="38" t="s">
        <v>1807</v>
      </c>
      <c r="R1161" s="50">
        <v>1</v>
      </c>
      <c r="V1161" s="59">
        <v>76001</v>
      </c>
      <c r="AA1161" s="4" t="s">
        <v>2839</v>
      </c>
    </row>
    <row r="1162" spans="1:27">
      <c r="A1162" s="4">
        <v>100071106</v>
      </c>
      <c r="B1162" s="4">
        <v>7</v>
      </c>
      <c r="C1162" s="4" t="s">
        <v>1803</v>
      </c>
      <c r="D1162" s="4">
        <v>11</v>
      </c>
      <c r="E1162" s="4" t="s">
        <v>167</v>
      </c>
      <c r="F1162" s="4">
        <v>71101</v>
      </c>
      <c r="I1162" s="4" t="s">
        <v>2840</v>
      </c>
      <c r="L1162" s="4" t="s">
        <v>1822</v>
      </c>
      <c r="O1162" s="38">
        <v>3209</v>
      </c>
      <c r="P1162" s="38" t="s">
        <v>1807</v>
      </c>
      <c r="R1162" s="50">
        <v>1</v>
      </c>
      <c r="V1162" s="59">
        <v>76001</v>
      </c>
      <c r="AA1162" s="4" t="s">
        <v>2841</v>
      </c>
    </row>
    <row r="1163" spans="1:27">
      <c r="A1163" s="4">
        <v>100071111</v>
      </c>
      <c r="B1163" s="4">
        <v>7</v>
      </c>
      <c r="D1163" s="4">
        <v>11</v>
      </c>
      <c r="E1163" s="4" t="s">
        <v>167</v>
      </c>
      <c r="F1163" s="4">
        <v>71111</v>
      </c>
      <c r="H1163" s="4">
        <f t="shared" ref="H1163:H1167" si="76">A1164</f>
        <v>100071112</v>
      </c>
      <c r="I1163" s="4" t="s">
        <v>2842</v>
      </c>
      <c r="L1163" s="4" t="s">
        <v>1806</v>
      </c>
      <c r="O1163" s="38">
        <v>3312</v>
      </c>
      <c r="P1163" s="38" t="s">
        <v>1825</v>
      </c>
      <c r="R1163" s="50">
        <v>1</v>
      </c>
      <c r="V1163" s="50">
        <v>76002</v>
      </c>
      <c r="AA1163" s="4" t="s">
        <v>2843</v>
      </c>
    </row>
    <row r="1164" spans="1:27">
      <c r="A1164" s="4">
        <v>100071112</v>
      </c>
      <c r="B1164" s="4">
        <v>7</v>
      </c>
      <c r="D1164" s="4">
        <v>11</v>
      </c>
      <c r="E1164" s="4" t="s">
        <v>167</v>
      </c>
      <c r="F1164" s="4">
        <v>71111</v>
      </c>
      <c r="H1164" s="4">
        <f t="shared" si="76"/>
        <v>100071113</v>
      </c>
      <c r="I1164" s="4" t="s">
        <v>2844</v>
      </c>
      <c r="L1164" s="4" t="s">
        <v>1810</v>
      </c>
      <c r="O1164" s="38">
        <v>3312</v>
      </c>
      <c r="P1164" s="38" t="s">
        <v>1825</v>
      </c>
      <c r="R1164" s="50">
        <v>1</v>
      </c>
      <c r="V1164" s="50">
        <v>76002</v>
      </c>
      <c r="AA1164" s="4" t="s">
        <v>2845</v>
      </c>
    </row>
    <row r="1165" spans="1:27">
      <c r="A1165" s="4">
        <v>100071113</v>
      </c>
      <c r="B1165" s="4">
        <v>7</v>
      </c>
      <c r="D1165" s="4">
        <v>11</v>
      </c>
      <c r="E1165" s="4" t="s">
        <v>167</v>
      </c>
      <c r="F1165" s="4">
        <v>71111</v>
      </c>
      <c r="H1165" s="4">
        <f t="shared" si="76"/>
        <v>100071114</v>
      </c>
      <c r="I1165" s="4" t="s">
        <v>2846</v>
      </c>
      <c r="L1165" s="4" t="s">
        <v>1813</v>
      </c>
      <c r="O1165" s="38">
        <v>3312</v>
      </c>
      <c r="P1165" s="38" t="s">
        <v>1825</v>
      </c>
      <c r="R1165" s="50">
        <v>1</v>
      </c>
      <c r="V1165" s="50">
        <v>76002</v>
      </c>
      <c r="AA1165" s="4" t="s">
        <v>2847</v>
      </c>
    </row>
    <row r="1166" spans="1:27">
      <c r="A1166" s="4">
        <v>100071114</v>
      </c>
      <c r="B1166" s="4">
        <v>7</v>
      </c>
      <c r="D1166" s="4">
        <v>11</v>
      </c>
      <c r="E1166" s="4" t="s">
        <v>167</v>
      </c>
      <c r="F1166" s="4">
        <v>71111</v>
      </c>
      <c r="H1166" s="4">
        <f t="shared" si="76"/>
        <v>100071115</v>
      </c>
      <c r="I1166" s="4" t="s">
        <v>2848</v>
      </c>
      <c r="L1166" s="4" t="s">
        <v>1816</v>
      </c>
      <c r="O1166" s="38">
        <v>3312</v>
      </c>
      <c r="P1166" s="38" t="s">
        <v>1825</v>
      </c>
      <c r="R1166" s="50">
        <v>1</v>
      </c>
      <c r="V1166" s="50">
        <v>76002</v>
      </c>
      <c r="AA1166" s="4" t="s">
        <v>2849</v>
      </c>
    </row>
    <row r="1167" spans="1:27">
      <c r="A1167" s="4">
        <v>100071115</v>
      </c>
      <c r="B1167" s="4">
        <v>7</v>
      </c>
      <c r="D1167" s="4">
        <v>11</v>
      </c>
      <c r="E1167" s="4" t="s">
        <v>167</v>
      </c>
      <c r="F1167" s="4">
        <v>71111</v>
      </c>
      <c r="H1167" s="4">
        <f t="shared" si="76"/>
        <v>100071116</v>
      </c>
      <c r="I1167" s="4" t="s">
        <v>2850</v>
      </c>
      <c r="L1167" s="4" t="s">
        <v>1819</v>
      </c>
      <c r="O1167" s="38">
        <v>3312</v>
      </c>
      <c r="P1167" s="38" t="s">
        <v>1825</v>
      </c>
      <c r="R1167" s="50">
        <v>1</v>
      </c>
      <c r="V1167" s="50">
        <v>76002</v>
      </c>
      <c r="AA1167" s="4" t="s">
        <v>2851</v>
      </c>
    </row>
    <row r="1168" spans="1:27">
      <c r="A1168" s="4">
        <v>100071116</v>
      </c>
      <c r="B1168" s="4">
        <v>7</v>
      </c>
      <c r="D1168" s="4">
        <v>11</v>
      </c>
      <c r="E1168" s="4" t="s">
        <v>167</v>
      </c>
      <c r="F1168" s="4">
        <v>71111</v>
      </c>
      <c r="I1168" s="4" t="s">
        <v>2852</v>
      </c>
      <c r="L1168" s="4" t="s">
        <v>1822</v>
      </c>
      <c r="O1168" s="38">
        <v>3312</v>
      </c>
      <c r="P1168" s="38" t="s">
        <v>1825</v>
      </c>
      <c r="R1168" s="50">
        <v>1</v>
      </c>
      <c r="V1168" s="50">
        <v>76002</v>
      </c>
      <c r="AA1168" s="4" t="s">
        <v>2853</v>
      </c>
    </row>
    <row r="1169" spans="1:27">
      <c r="A1169" s="4">
        <v>100071121</v>
      </c>
      <c r="B1169" s="4">
        <v>7</v>
      </c>
      <c r="D1169" s="4">
        <v>11</v>
      </c>
      <c r="E1169" s="4" t="s">
        <v>167</v>
      </c>
      <c r="F1169" s="4">
        <v>71121</v>
      </c>
      <c r="H1169" s="4">
        <f t="shared" ref="H1169:H1173" si="77">A1170</f>
        <v>100071122</v>
      </c>
      <c r="I1169" s="4" t="s">
        <v>2854</v>
      </c>
      <c r="L1169" s="4" t="s">
        <v>1806</v>
      </c>
      <c r="O1169" s="38">
        <v>11022</v>
      </c>
      <c r="P1169" s="38" t="s">
        <v>1838</v>
      </c>
      <c r="R1169" s="50">
        <v>1</v>
      </c>
      <c r="V1169" s="50">
        <v>76003</v>
      </c>
      <c r="AA1169" s="4" t="s">
        <v>2855</v>
      </c>
    </row>
    <row r="1170" spans="1:27">
      <c r="A1170" s="4">
        <v>100071122</v>
      </c>
      <c r="B1170" s="4">
        <v>7</v>
      </c>
      <c r="D1170" s="4">
        <v>11</v>
      </c>
      <c r="E1170" s="4" t="s">
        <v>167</v>
      </c>
      <c r="F1170" s="4">
        <v>71121</v>
      </c>
      <c r="H1170" s="4">
        <f t="shared" si="77"/>
        <v>100071123</v>
      </c>
      <c r="I1170" s="4" t="s">
        <v>2856</v>
      </c>
      <c r="L1170" s="4" t="s">
        <v>1810</v>
      </c>
      <c r="O1170" s="38">
        <v>11022</v>
      </c>
      <c r="P1170" s="38" t="s">
        <v>1838</v>
      </c>
      <c r="R1170" s="50">
        <v>1</v>
      </c>
      <c r="V1170" s="50">
        <v>76003</v>
      </c>
      <c r="AA1170" s="4" t="s">
        <v>2857</v>
      </c>
    </row>
    <row r="1171" spans="1:27">
      <c r="A1171" s="4">
        <v>100071123</v>
      </c>
      <c r="B1171" s="4">
        <v>7</v>
      </c>
      <c r="D1171" s="4">
        <v>11</v>
      </c>
      <c r="E1171" s="4" t="s">
        <v>167</v>
      </c>
      <c r="F1171" s="4">
        <v>71121</v>
      </c>
      <c r="H1171" s="4">
        <f t="shared" si="77"/>
        <v>100071124</v>
      </c>
      <c r="I1171" s="4" t="s">
        <v>2858</v>
      </c>
      <c r="L1171" s="4" t="s">
        <v>1813</v>
      </c>
      <c r="O1171" s="38">
        <v>11022</v>
      </c>
      <c r="P1171" s="38" t="s">
        <v>1838</v>
      </c>
      <c r="R1171" s="50">
        <v>1</v>
      </c>
      <c r="V1171" s="50">
        <v>76003</v>
      </c>
      <c r="AA1171" s="4" t="s">
        <v>2859</v>
      </c>
    </row>
    <row r="1172" spans="1:27">
      <c r="A1172" s="4">
        <v>100071124</v>
      </c>
      <c r="B1172" s="4">
        <v>7</v>
      </c>
      <c r="D1172" s="4">
        <v>11</v>
      </c>
      <c r="E1172" s="4" t="s">
        <v>167</v>
      </c>
      <c r="F1172" s="4">
        <v>71121</v>
      </c>
      <c r="H1172" s="4">
        <f t="shared" si="77"/>
        <v>100071125</v>
      </c>
      <c r="I1172" s="4" t="s">
        <v>2860</v>
      </c>
      <c r="L1172" s="4" t="s">
        <v>1816</v>
      </c>
      <c r="O1172" s="38">
        <v>11022</v>
      </c>
      <c r="P1172" s="38" t="s">
        <v>1838</v>
      </c>
      <c r="R1172" s="50">
        <v>1</v>
      </c>
      <c r="V1172" s="50">
        <v>76003</v>
      </c>
      <c r="AA1172" s="4" t="s">
        <v>2861</v>
      </c>
    </row>
    <row r="1173" spans="1:27">
      <c r="A1173" s="4">
        <v>100071125</v>
      </c>
      <c r="B1173" s="4">
        <v>7</v>
      </c>
      <c r="D1173" s="4">
        <v>11</v>
      </c>
      <c r="E1173" s="4" t="s">
        <v>167</v>
      </c>
      <c r="F1173" s="4">
        <v>71121</v>
      </c>
      <c r="H1173" s="4">
        <f t="shared" si="77"/>
        <v>100071126</v>
      </c>
      <c r="I1173" s="4" t="s">
        <v>2862</v>
      </c>
      <c r="L1173" s="4" t="s">
        <v>1819</v>
      </c>
      <c r="O1173" s="38">
        <v>11022</v>
      </c>
      <c r="P1173" s="38" t="s">
        <v>1838</v>
      </c>
      <c r="R1173" s="50">
        <v>1</v>
      </c>
      <c r="V1173" s="50">
        <v>76003</v>
      </c>
      <c r="AA1173" s="4" t="s">
        <v>2863</v>
      </c>
    </row>
    <row r="1174" spans="1:27">
      <c r="A1174" s="4">
        <v>100071126</v>
      </c>
      <c r="B1174" s="4">
        <v>7</v>
      </c>
      <c r="D1174" s="4">
        <v>11</v>
      </c>
      <c r="E1174" s="4" t="s">
        <v>167</v>
      </c>
      <c r="F1174" s="4">
        <v>71121</v>
      </c>
      <c r="I1174" s="4" t="s">
        <v>2864</v>
      </c>
      <c r="L1174" s="4" t="s">
        <v>1822</v>
      </c>
      <c r="O1174" s="38">
        <v>11022</v>
      </c>
      <c r="P1174" s="38" t="s">
        <v>1838</v>
      </c>
      <c r="R1174" s="50">
        <v>1</v>
      </c>
      <c r="V1174" s="50">
        <v>76003</v>
      </c>
      <c r="AA1174" s="4" t="s">
        <v>2865</v>
      </c>
    </row>
    <row r="1175" spans="1:27">
      <c r="A1175" s="4">
        <v>100071131</v>
      </c>
      <c r="B1175" s="4">
        <v>7</v>
      </c>
      <c r="D1175" s="4">
        <v>11</v>
      </c>
      <c r="E1175" s="4" t="s">
        <v>167</v>
      </c>
      <c r="F1175" s="4">
        <v>71131</v>
      </c>
      <c r="H1175" s="4">
        <f t="shared" ref="H1175:H1179" si="78">A1176</f>
        <v>100071132</v>
      </c>
      <c r="I1175" s="4" t="s">
        <v>2866</v>
      </c>
      <c r="L1175" s="4" t="s">
        <v>1806</v>
      </c>
      <c r="O1175" s="38">
        <v>11022</v>
      </c>
      <c r="P1175" s="38" t="s">
        <v>1851</v>
      </c>
      <c r="R1175" s="50">
        <v>1</v>
      </c>
      <c r="V1175" s="50">
        <v>76004</v>
      </c>
      <c r="AA1175" s="4" t="s">
        <v>2867</v>
      </c>
    </row>
    <row r="1176" spans="1:27">
      <c r="A1176" s="4">
        <v>100071132</v>
      </c>
      <c r="B1176" s="4">
        <v>7</v>
      </c>
      <c r="D1176" s="4">
        <v>11</v>
      </c>
      <c r="E1176" s="4" t="s">
        <v>167</v>
      </c>
      <c r="F1176" s="4">
        <v>71131</v>
      </c>
      <c r="H1176" s="4">
        <f t="shared" si="78"/>
        <v>100071133</v>
      </c>
      <c r="I1176" s="4" t="s">
        <v>2868</v>
      </c>
      <c r="L1176" s="4" t="s">
        <v>1810</v>
      </c>
      <c r="O1176" s="38">
        <v>11022</v>
      </c>
      <c r="P1176" s="38" t="s">
        <v>1851</v>
      </c>
      <c r="R1176" s="50">
        <v>1</v>
      </c>
      <c r="V1176" s="50">
        <v>76004</v>
      </c>
      <c r="AA1176" s="4" t="s">
        <v>2869</v>
      </c>
    </row>
    <row r="1177" spans="1:27">
      <c r="A1177" s="4">
        <v>100071133</v>
      </c>
      <c r="B1177" s="4">
        <v>7</v>
      </c>
      <c r="D1177" s="4">
        <v>11</v>
      </c>
      <c r="E1177" s="4" t="s">
        <v>167</v>
      </c>
      <c r="F1177" s="4">
        <v>71131</v>
      </c>
      <c r="H1177" s="4">
        <f t="shared" si="78"/>
        <v>100071134</v>
      </c>
      <c r="I1177" s="4" t="s">
        <v>2870</v>
      </c>
      <c r="L1177" s="4" t="s">
        <v>1813</v>
      </c>
      <c r="O1177" s="38">
        <v>11022</v>
      </c>
      <c r="P1177" s="38" t="s">
        <v>1851</v>
      </c>
      <c r="R1177" s="50">
        <v>1</v>
      </c>
      <c r="V1177" s="50">
        <v>76004</v>
      </c>
      <c r="AA1177" s="4" t="s">
        <v>2871</v>
      </c>
    </row>
    <row r="1178" spans="1:27">
      <c r="A1178" s="4">
        <v>100071134</v>
      </c>
      <c r="B1178" s="4">
        <v>7</v>
      </c>
      <c r="D1178" s="4">
        <v>11</v>
      </c>
      <c r="E1178" s="4" t="s">
        <v>167</v>
      </c>
      <c r="F1178" s="4">
        <v>71131</v>
      </c>
      <c r="H1178" s="4">
        <f t="shared" si="78"/>
        <v>100071135</v>
      </c>
      <c r="I1178" s="4" t="s">
        <v>2872</v>
      </c>
      <c r="L1178" s="4" t="s">
        <v>1816</v>
      </c>
      <c r="O1178" s="38">
        <v>11022</v>
      </c>
      <c r="P1178" s="38" t="s">
        <v>1851</v>
      </c>
      <c r="R1178" s="50">
        <v>1</v>
      </c>
      <c r="V1178" s="50">
        <v>76004</v>
      </c>
      <c r="AA1178" s="4" t="s">
        <v>2873</v>
      </c>
    </row>
    <row r="1179" spans="1:27">
      <c r="A1179" s="4">
        <v>100071135</v>
      </c>
      <c r="B1179" s="4">
        <v>7</v>
      </c>
      <c r="D1179" s="4">
        <v>11</v>
      </c>
      <c r="E1179" s="4" t="s">
        <v>167</v>
      </c>
      <c r="F1179" s="4">
        <v>71131</v>
      </c>
      <c r="H1179" s="4">
        <f t="shared" si="78"/>
        <v>100071136</v>
      </c>
      <c r="I1179" s="4" t="s">
        <v>2874</v>
      </c>
      <c r="L1179" s="4" t="s">
        <v>1819</v>
      </c>
      <c r="O1179" s="38">
        <v>11022</v>
      </c>
      <c r="P1179" s="38" t="s">
        <v>1851</v>
      </c>
      <c r="R1179" s="50">
        <v>1</v>
      </c>
      <c r="V1179" s="50">
        <v>76004</v>
      </c>
      <c r="AA1179" s="4" t="s">
        <v>2875</v>
      </c>
    </row>
    <row r="1180" spans="1:27">
      <c r="A1180" s="4">
        <v>100071136</v>
      </c>
      <c r="B1180" s="4">
        <v>7</v>
      </c>
      <c r="D1180" s="4">
        <v>11</v>
      </c>
      <c r="E1180" s="4" t="s">
        <v>167</v>
      </c>
      <c r="F1180" s="4">
        <v>71131</v>
      </c>
      <c r="I1180" s="4" t="s">
        <v>2876</v>
      </c>
      <c r="L1180" s="4" t="s">
        <v>1822</v>
      </c>
      <c r="O1180" s="38">
        <v>11022</v>
      </c>
      <c r="P1180" s="38" t="s">
        <v>1851</v>
      </c>
      <c r="R1180" s="50">
        <v>1</v>
      </c>
      <c r="V1180" s="50">
        <v>76004</v>
      </c>
      <c r="AA1180" s="4" t="s">
        <v>2877</v>
      </c>
    </row>
    <row r="1181" spans="1:27">
      <c r="A1181" s="4">
        <v>100071141</v>
      </c>
      <c r="B1181" s="4">
        <v>7</v>
      </c>
      <c r="D1181" s="4">
        <v>11</v>
      </c>
      <c r="E1181" s="4" t="s">
        <v>167</v>
      </c>
      <c r="F1181" s="4">
        <v>71141</v>
      </c>
      <c r="H1181" s="4">
        <f t="shared" ref="H1181:H1185" si="79">A1182</f>
        <v>100071142</v>
      </c>
      <c r="I1181" s="4" t="s">
        <v>2878</v>
      </c>
      <c r="L1181" s="4" t="s">
        <v>1806</v>
      </c>
      <c r="O1181" s="38">
        <v>11022</v>
      </c>
      <c r="P1181" s="38" t="s">
        <v>1864</v>
      </c>
      <c r="R1181" s="50">
        <v>1</v>
      </c>
      <c r="V1181" s="50">
        <v>76005</v>
      </c>
      <c r="AA1181" s="4" t="s">
        <v>2879</v>
      </c>
    </row>
    <row r="1182" spans="1:27">
      <c r="A1182" s="4">
        <v>100071142</v>
      </c>
      <c r="B1182" s="4">
        <v>7</v>
      </c>
      <c r="D1182" s="4">
        <v>11</v>
      </c>
      <c r="E1182" s="4" t="s">
        <v>167</v>
      </c>
      <c r="F1182" s="4">
        <v>71141</v>
      </c>
      <c r="H1182" s="4">
        <f t="shared" si="79"/>
        <v>100071143</v>
      </c>
      <c r="I1182" s="4" t="s">
        <v>2880</v>
      </c>
      <c r="L1182" s="4" t="s">
        <v>1810</v>
      </c>
      <c r="O1182" s="38">
        <v>11022</v>
      </c>
      <c r="P1182" s="38" t="s">
        <v>1864</v>
      </c>
      <c r="R1182" s="50">
        <v>1</v>
      </c>
      <c r="V1182" s="50">
        <v>76005</v>
      </c>
      <c r="AA1182" s="4" t="s">
        <v>2881</v>
      </c>
    </row>
    <row r="1183" spans="1:27">
      <c r="A1183" s="4">
        <v>100071143</v>
      </c>
      <c r="B1183" s="4">
        <v>7</v>
      </c>
      <c r="D1183" s="4">
        <v>11</v>
      </c>
      <c r="E1183" s="4" t="s">
        <v>167</v>
      </c>
      <c r="F1183" s="4">
        <v>71141</v>
      </c>
      <c r="H1183" s="4">
        <f t="shared" si="79"/>
        <v>100071144</v>
      </c>
      <c r="I1183" s="4" t="s">
        <v>2882</v>
      </c>
      <c r="L1183" s="4" t="s">
        <v>1813</v>
      </c>
      <c r="O1183" s="38">
        <v>11022</v>
      </c>
      <c r="P1183" s="38" t="s">
        <v>1864</v>
      </c>
      <c r="R1183" s="50">
        <v>1</v>
      </c>
      <c r="V1183" s="50">
        <v>76005</v>
      </c>
      <c r="AA1183" s="4" t="s">
        <v>2883</v>
      </c>
    </row>
    <row r="1184" spans="1:27">
      <c r="A1184" s="4">
        <v>100071144</v>
      </c>
      <c r="B1184" s="4">
        <v>7</v>
      </c>
      <c r="D1184" s="4">
        <v>11</v>
      </c>
      <c r="E1184" s="4" t="s">
        <v>167</v>
      </c>
      <c r="F1184" s="4">
        <v>71141</v>
      </c>
      <c r="H1184" s="4">
        <f t="shared" si="79"/>
        <v>100071145</v>
      </c>
      <c r="I1184" s="4" t="s">
        <v>2884</v>
      </c>
      <c r="L1184" s="4" t="s">
        <v>1816</v>
      </c>
      <c r="O1184" s="38">
        <v>11022</v>
      </c>
      <c r="P1184" s="38" t="s">
        <v>1864</v>
      </c>
      <c r="R1184" s="50">
        <v>1</v>
      </c>
      <c r="V1184" s="50">
        <v>76005</v>
      </c>
      <c r="AA1184" s="4" t="s">
        <v>2885</v>
      </c>
    </row>
    <row r="1185" spans="1:27">
      <c r="A1185" s="4">
        <v>100071145</v>
      </c>
      <c r="B1185" s="4">
        <v>7</v>
      </c>
      <c r="D1185" s="4">
        <v>11</v>
      </c>
      <c r="E1185" s="4" t="s">
        <v>167</v>
      </c>
      <c r="F1185" s="4">
        <v>71141</v>
      </c>
      <c r="H1185" s="4">
        <f t="shared" si="79"/>
        <v>100071146</v>
      </c>
      <c r="I1185" s="4" t="s">
        <v>2886</v>
      </c>
      <c r="L1185" s="4" t="s">
        <v>1819</v>
      </c>
      <c r="O1185" s="38">
        <v>11022</v>
      </c>
      <c r="P1185" s="38" t="s">
        <v>1864</v>
      </c>
      <c r="R1185" s="50">
        <v>1</v>
      </c>
      <c r="V1185" s="50">
        <v>76005</v>
      </c>
      <c r="AA1185" s="4" t="s">
        <v>2887</v>
      </c>
    </row>
    <row r="1186" spans="1:27">
      <c r="A1186" s="4">
        <v>100071146</v>
      </c>
      <c r="B1186" s="4">
        <v>7</v>
      </c>
      <c r="D1186" s="4">
        <v>11</v>
      </c>
      <c r="E1186" s="4" t="s">
        <v>167</v>
      </c>
      <c r="F1186" s="4">
        <v>71141</v>
      </c>
      <c r="I1186" s="4" t="s">
        <v>2888</v>
      </c>
      <c r="L1186" s="4" t="s">
        <v>1822</v>
      </c>
      <c r="O1186" s="38">
        <v>11022</v>
      </c>
      <c r="P1186" s="38" t="s">
        <v>1864</v>
      </c>
      <c r="R1186" s="50">
        <v>1</v>
      </c>
      <c r="V1186" s="50">
        <v>76005</v>
      </c>
      <c r="AA1186" s="4" t="s">
        <v>2889</v>
      </c>
    </row>
    <row r="1187" spans="1:27">
      <c r="A1187" s="4">
        <v>100071151</v>
      </c>
      <c r="B1187" s="4">
        <v>7</v>
      </c>
      <c r="D1187" s="4">
        <v>11</v>
      </c>
      <c r="E1187" s="4" t="s">
        <v>167</v>
      </c>
      <c r="F1187" s="4">
        <v>71151</v>
      </c>
      <c r="H1187" s="4">
        <f t="shared" ref="H1187:H1191" si="80">A1188</f>
        <v>100071152</v>
      </c>
      <c r="I1187" s="4" t="s">
        <v>2890</v>
      </c>
      <c r="L1187" s="4" t="s">
        <v>1806</v>
      </c>
      <c r="O1187" s="38">
        <v>11022</v>
      </c>
      <c r="P1187" s="38" t="s">
        <v>1877</v>
      </c>
      <c r="R1187" s="50">
        <v>1</v>
      </c>
      <c r="V1187" s="50">
        <v>76006</v>
      </c>
      <c r="AA1187" s="4" t="s">
        <v>2891</v>
      </c>
    </row>
    <row r="1188" spans="1:27">
      <c r="A1188" s="4">
        <v>100071152</v>
      </c>
      <c r="B1188" s="4">
        <v>7</v>
      </c>
      <c r="D1188" s="4">
        <v>11</v>
      </c>
      <c r="E1188" s="4" t="s">
        <v>167</v>
      </c>
      <c r="F1188" s="4">
        <v>71151</v>
      </c>
      <c r="H1188" s="4">
        <f t="shared" si="80"/>
        <v>100071153</v>
      </c>
      <c r="I1188" s="4" t="s">
        <v>2892</v>
      </c>
      <c r="L1188" s="4" t="s">
        <v>1810</v>
      </c>
      <c r="O1188" s="38">
        <v>11022</v>
      </c>
      <c r="P1188" s="38" t="s">
        <v>1877</v>
      </c>
      <c r="R1188" s="50">
        <v>1</v>
      </c>
      <c r="V1188" s="50">
        <v>76006</v>
      </c>
      <c r="AA1188" s="4" t="s">
        <v>2893</v>
      </c>
    </row>
    <row r="1189" spans="1:27">
      <c r="A1189" s="4">
        <v>100071153</v>
      </c>
      <c r="B1189" s="4">
        <v>7</v>
      </c>
      <c r="D1189" s="4">
        <v>11</v>
      </c>
      <c r="E1189" s="4" t="s">
        <v>167</v>
      </c>
      <c r="F1189" s="4">
        <v>71151</v>
      </c>
      <c r="H1189" s="4">
        <f t="shared" si="80"/>
        <v>100071154</v>
      </c>
      <c r="I1189" s="4" t="s">
        <v>2894</v>
      </c>
      <c r="L1189" s="4" t="s">
        <v>1813</v>
      </c>
      <c r="O1189" s="38">
        <v>11022</v>
      </c>
      <c r="P1189" s="38" t="s">
        <v>1877</v>
      </c>
      <c r="R1189" s="50">
        <v>1</v>
      </c>
      <c r="V1189" s="50">
        <v>76006</v>
      </c>
      <c r="AA1189" s="4" t="s">
        <v>2895</v>
      </c>
    </row>
    <row r="1190" spans="1:27">
      <c r="A1190" s="4">
        <v>100071154</v>
      </c>
      <c r="B1190" s="4">
        <v>7</v>
      </c>
      <c r="D1190" s="4">
        <v>11</v>
      </c>
      <c r="E1190" s="4" t="s">
        <v>167</v>
      </c>
      <c r="F1190" s="4">
        <v>71151</v>
      </c>
      <c r="H1190" s="4">
        <f t="shared" si="80"/>
        <v>100071155</v>
      </c>
      <c r="I1190" s="4" t="s">
        <v>2896</v>
      </c>
      <c r="L1190" s="4" t="s">
        <v>1816</v>
      </c>
      <c r="O1190" s="38">
        <v>11022</v>
      </c>
      <c r="P1190" s="38" t="s">
        <v>1877</v>
      </c>
      <c r="R1190" s="50">
        <v>1</v>
      </c>
      <c r="V1190" s="50">
        <v>76006</v>
      </c>
      <c r="AA1190" s="4" t="s">
        <v>2897</v>
      </c>
    </row>
    <row r="1191" spans="1:27">
      <c r="A1191" s="4">
        <v>100071155</v>
      </c>
      <c r="B1191" s="4">
        <v>7</v>
      </c>
      <c r="D1191" s="4">
        <v>11</v>
      </c>
      <c r="E1191" s="4" t="s">
        <v>167</v>
      </c>
      <c r="F1191" s="4">
        <v>71151</v>
      </c>
      <c r="H1191" s="4">
        <f t="shared" si="80"/>
        <v>100071156</v>
      </c>
      <c r="I1191" s="4" t="s">
        <v>2898</v>
      </c>
      <c r="L1191" s="4" t="s">
        <v>1819</v>
      </c>
      <c r="O1191" s="38">
        <v>11022</v>
      </c>
      <c r="P1191" s="38" t="s">
        <v>1877</v>
      </c>
      <c r="R1191" s="50">
        <v>1</v>
      </c>
      <c r="V1191" s="50">
        <v>76006</v>
      </c>
      <c r="AA1191" s="4" t="s">
        <v>2899</v>
      </c>
    </row>
    <row r="1192" spans="1:27">
      <c r="A1192" s="4">
        <v>100071156</v>
      </c>
      <c r="B1192" s="4">
        <v>7</v>
      </c>
      <c r="D1192" s="4">
        <v>11</v>
      </c>
      <c r="E1192" s="4" t="s">
        <v>167</v>
      </c>
      <c r="F1192" s="4">
        <v>71151</v>
      </c>
      <c r="I1192" s="4" t="s">
        <v>2900</v>
      </c>
      <c r="L1192" s="4" t="s">
        <v>1822</v>
      </c>
      <c r="O1192" s="38">
        <v>11022</v>
      </c>
      <c r="P1192" s="38" t="s">
        <v>1877</v>
      </c>
      <c r="R1192" s="50">
        <v>1</v>
      </c>
      <c r="V1192" s="50">
        <v>76006</v>
      </c>
      <c r="AA1192" s="4" t="s">
        <v>2901</v>
      </c>
    </row>
    <row r="1193" spans="1:27">
      <c r="A1193" s="4">
        <v>100071161</v>
      </c>
      <c r="B1193" s="4">
        <v>7</v>
      </c>
      <c r="D1193" s="4">
        <v>11</v>
      </c>
      <c r="E1193" s="4" t="s">
        <v>167</v>
      </c>
      <c r="F1193" s="4">
        <v>71161</v>
      </c>
      <c r="H1193" s="4">
        <f t="shared" ref="H1193:H1199" si="81">A1194</f>
        <v>100071162</v>
      </c>
      <c r="I1193" s="4" t="s">
        <v>2902</v>
      </c>
      <c r="L1193" s="4" t="s">
        <v>1806</v>
      </c>
      <c r="O1193" s="38">
        <v>11022</v>
      </c>
      <c r="P1193" s="38" t="s">
        <v>1890</v>
      </c>
      <c r="R1193" s="50">
        <v>1</v>
      </c>
      <c r="V1193" s="50">
        <v>76007</v>
      </c>
      <c r="AA1193" s="4" t="s">
        <v>2903</v>
      </c>
    </row>
    <row r="1194" spans="1:27">
      <c r="A1194" s="4">
        <v>100071162</v>
      </c>
      <c r="B1194" s="4">
        <v>7</v>
      </c>
      <c r="D1194" s="4">
        <v>11</v>
      </c>
      <c r="E1194" s="4" t="s">
        <v>167</v>
      </c>
      <c r="F1194" s="4">
        <v>71161</v>
      </c>
      <c r="H1194" s="4">
        <f t="shared" si="81"/>
        <v>100071163</v>
      </c>
      <c r="I1194" s="4" t="s">
        <v>2904</v>
      </c>
      <c r="L1194" s="4" t="s">
        <v>1810</v>
      </c>
      <c r="O1194" s="38">
        <v>11022</v>
      </c>
      <c r="P1194" s="38" t="s">
        <v>1890</v>
      </c>
      <c r="R1194" s="50">
        <v>1</v>
      </c>
      <c r="V1194" s="50">
        <v>76007</v>
      </c>
      <c r="AA1194" s="4" t="s">
        <v>2905</v>
      </c>
    </row>
    <row r="1195" spans="1:27">
      <c r="A1195" s="4">
        <v>100071163</v>
      </c>
      <c r="B1195" s="4">
        <v>7</v>
      </c>
      <c r="D1195" s="4">
        <v>11</v>
      </c>
      <c r="E1195" s="4" t="s">
        <v>167</v>
      </c>
      <c r="F1195" s="4">
        <v>71161</v>
      </c>
      <c r="H1195" s="4">
        <f t="shared" si="81"/>
        <v>100071164</v>
      </c>
      <c r="I1195" s="4" t="s">
        <v>2906</v>
      </c>
      <c r="L1195" s="4" t="s">
        <v>1895</v>
      </c>
      <c r="O1195" s="38">
        <v>11022</v>
      </c>
      <c r="P1195" s="38" t="s">
        <v>1890</v>
      </c>
      <c r="R1195" s="50">
        <v>1</v>
      </c>
      <c r="V1195" s="50">
        <v>76007</v>
      </c>
      <c r="AA1195" s="4" t="s">
        <v>2907</v>
      </c>
    </row>
    <row r="1196" spans="1:27">
      <c r="A1196" s="4">
        <v>100071164</v>
      </c>
      <c r="B1196" s="4">
        <v>7</v>
      </c>
      <c r="D1196" s="4">
        <v>11</v>
      </c>
      <c r="E1196" s="4" t="s">
        <v>167</v>
      </c>
      <c r="F1196" s="4">
        <v>71161</v>
      </c>
      <c r="H1196" s="4">
        <f t="shared" si="81"/>
        <v>100071165</v>
      </c>
      <c r="I1196" s="4" t="s">
        <v>2908</v>
      </c>
      <c r="L1196" s="4" t="s">
        <v>1813</v>
      </c>
      <c r="O1196" s="38">
        <v>11022</v>
      </c>
      <c r="P1196" s="38" t="s">
        <v>1890</v>
      </c>
      <c r="R1196" s="50">
        <v>1</v>
      </c>
      <c r="V1196" s="50">
        <v>76007</v>
      </c>
      <c r="AA1196" s="4" t="s">
        <v>2909</v>
      </c>
    </row>
    <row r="1197" spans="1:27">
      <c r="A1197" s="4">
        <v>100071165</v>
      </c>
      <c r="B1197" s="4">
        <v>7</v>
      </c>
      <c r="D1197" s="4">
        <v>11</v>
      </c>
      <c r="E1197" s="4" t="s">
        <v>167</v>
      </c>
      <c r="F1197" s="4">
        <v>71161</v>
      </c>
      <c r="H1197" s="4">
        <f t="shared" si="81"/>
        <v>100071166</v>
      </c>
      <c r="I1197" s="4" t="s">
        <v>2910</v>
      </c>
      <c r="L1197" s="4" t="s">
        <v>1900</v>
      </c>
      <c r="O1197" s="38">
        <v>11022</v>
      </c>
      <c r="P1197" s="38" t="s">
        <v>1890</v>
      </c>
      <c r="R1197" s="50">
        <v>1</v>
      </c>
      <c r="V1197" s="50">
        <v>76007</v>
      </c>
      <c r="AA1197" s="4" t="s">
        <v>2911</v>
      </c>
    </row>
    <row r="1198" spans="1:27">
      <c r="A1198" s="4">
        <v>100071166</v>
      </c>
      <c r="B1198" s="4">
        <v>7</v>
      </c>
      <c r="D1198" s="4">
        <v>11</v>
      </c>
      <c r="E1198" s="4" t="s">
        <v>167</v>
      </c>
      <c r="F1198" s="4">
        <v>71161</v>
      </c>
      <c r="H1198" s="4">
        <f t="shared" si="81"/>
        <v>100071167</v>
      </c>
      <c r="I1198" s="4" t="s">
        <v>2912</v>
      </c>
      <c r="L1198" s="4" t="s">
        <v>1903</v>
      </c>
      <c r="O1198" s="38">
        <v>11022</v>
      </c>
      <c r="P1198" s="38" t="s">
        <v>1890</v>
      </c>
      <c r="R1198" s="50">
        <v>1</v>
      </c>
      <c r="V1198" s="50">
        <v>76007</v>
      </c>
      <c r="AA1198" s="4" t="s">
        <v>2913</v>
      </c>
    </row>
    <row r="1199" spans="1:27">
      <c r="A1199" s="4">
        <v>100071167</v>
      </c>
      <c r="B1199" s="4">
        <v>7</v>
      </c>
      <c r="D1199" s="4">
        <v>11</v>
      </c>
      <c r="E1199" s="4" t="s">
        <v>167</v>
      </c>
      <c r="F1199" s="4">
        <v>71161</v>
      </c>
      <c r="H1199" s="4">
        <f t="shared" si="81"/>
        <v>100071168</v>
      </c>
      <c r="I1199" s="4" t="s">
        <v>2914</v>
      </c>
      <c r="L1199" s="4" t="s">
        <v>1906</v>
      </c>
      <c r="O1199" s="38">
        <v>11022</v>
      </c>
      <c r="P1199" s="38" t="s">
        <v>1890</v>
      </c>
      <c r="R1199" s="50">
        <v>1</v>
      </c>
      <c r="V1199" s="50">
        <v>76007</v>
      </c>
      <c r="AA1199" s="4" t="s">
        <v>2915</v>
      </c>
    </row>
    <row r="1200" spans="1:27">
      <c r="A1200" s="4">
        <v>100071168</v>
      </c>
      <c r="B1200" s="4">
        <v>7</v>
      </c>
      <c r="D1200" s="4">
        <v>11</v>
      </c>
      <c r="E1200" s="4" t="s">
        <v>167</v>
      </c>
      <c r="F1200" s="4">
        <v>71161</v>
      </c>
      <c r="I1200" s="4" t="s">
        <v>2916</v>
      </c>
      <c r="L1200" s="4" t="s">
        <v>1816</v>
      </c>
      <c r="O1200" s="38">
        <v>11022</v>
      </c>
      <c r="P1200" s="38" t="s">
        <v>1890</v>
      </c>
      <c r="R1200" s="50">
        <v>1</v>
      </c>
      <c r="V1200" s="50">
        <v>76007</v>
      </c>
      <c r="AA1200" s="4" t="s">
        <v>2917</v>
      </c>
    </row>
    <row r="1201" spans="1:27">
      <c r="A1201" s="4">
        <v>100071171</v>
      </c>
      <c r="B1201" s="4">
        <v>7</v>
      </c>
      <c r="D1201" s="4">
        <v>11</v>
      </c>
      <c r="E1201" s="4" t="s">
        <v>167</v>
      </c>
      <c r="F1201" s="4">
        <v>71171</v>
      </c>
      <c r="H1201" s="4">
        <f t="shared" ref="H1201:H1205" si="82">A1202</f>
        <v>100071172</v>
      </c>
      <c r="I1201" s="4" t="s">
        <v>2918</v>
      </c>
      <c r="L1201" s="4" t="s">
        <v>1806</v>
      </c>
      <c r="O1201" s="38">
        <v>11022</v>
      </c>
      <c r="P1201" s="38" t="s">
        <v>1911</v>
      </c>
      <c r="R1201" s="50">
        <v>1</v>
      </c>
      <c r="V1201" s="50">
        <v>76008</v>
      </c>
      <c r="AA1201" s="4" t="s">
        <v>2919</v>
      </c>
    </row>
    <row r="1202" spans="1:27">
      <c r="A1202" s="4">
        <v>100071172</v>
      </c>
      <c r="B1202" s="4">
        <v>7</v>
      </c>
      <c r="D1202" s="4">
        <v>11</v>
      </c>
      <c r="E1202" s="4" t="s">
        <v>167</v>
      </c>
      <c r="F1202" s="4">
        <v>71171</v>
      </c>
      <c r="H1202" s="4">
        <f t="shared" si="82"/>
        <v>100071173</v>
      </c>
      <c r="I1202" s="4" t="s">
        <v>2920</v>
      </c>
      <c r="L1202" s="4" t="s">
        <v>1810</v>
      </c>
      <c r="O1202" s="38">
        <v>11022</v>
      </c>
      <c r="P1202" s="38" t="s">
        <v>1911</v>
      </c>
      <c r="R1202" s="50">
        <v>1</v>
      </c>
      <c r="V1202" s="50">
        <v>76008</v>
      </c>
      <c r="AA1202" s="4" t="s">
        <v>2921</v>
      </c>
    </row>
    <row r="1203" spans="1:27">
      <c r="A1203" s="4">
        <v>100071173</v>
      </c>
      <c r="B1203" s="4">
        <v>7</v>
      </c>
      <c r="D1203" s="4">
        <v>11</v>
      </c>
      <c r="E1203" s="4" t="s">
        <v>167</v>
      </c>
      <c r="F1203" s="4">
        <v>71171</v>
      </c>
      <c r="H1203" s="4">
        <f t="shared" si="82"/>
        <v>100071174</v>
      </c>
      <c r="I1203" s="4" t="s">
        <v>2922</v>
      </c>
      <c r="L1203" s="4" t="s">
        <v>1813</v>
      </c>
      <c r="O1203" s="38">
        <v>11022</v>
      </c>
      <c r="P1203" s="38" t="s">
        <v>1911</v>
      </c>
      <c r="R1203" s="50">
        <v>1</v>
      </c>
      <c r="V1203" s="50">
        <v>76008</v>
      </c>
      <c r="AA1203" s="4" t="s">
        <v>2923</v>
      </c>
    </row>
    <row r="1204" spans="1:27">
      <c r="A1204" s="4">
        <v>100071174</v>
      </c>
      <c r="B1204" s="4">
        <v>7</v>
      </c>
      <c r="D1204" s="4">
        <v>11</v>
      </c>
      <c r="E1204" s="4" t="s">
        <v>167</v>
      </c>
      <c r="F1204" s="4">
        <v>71171</v>
      </c>
      <c r="H1204" s="4">
        <f t="shared" si="82"/>
        <v>100071175</v>
      </c>
      <c r="I1204" s="4" t="s">
        <v>2924</v>
      </c>
      <c r="L1204" s="4" t="s">
        <v>1816</v>
      </c>
      <c r="O1204" s="38">
        <v>11022</v>
      </c>
      <c r="P1204" s="38" t="s">
        <v>1911</v>
      </c>
      <c r="R1204" s="50">
        <v>1</v>
      </c>
      <c r="V1204" s="50">
        <v>76008</v>
      </c>
      <c r="AA1204" s="4" t="s">
        <v>2925</v>
      </c>
    </row>
    <row r="1205" spans="1:27">
      <c r="A1205" s="4">
        <v>100071175</v>
      </c>
      <c r="B1205" s="4">
        <v>7</v>
      </c>
      <c r="D1205" s="4">
        <v>11</v>
      </c>
      <c r="E1205" s="4" t="s">
        <v>167</v>
      </c>
      <c r="F1205" s="4">
        <v>71171</v>
      </c>
      <c r="H1205" s="4">
        <f t="shared" si="82"/>
        <v>100071176</v>
      </c>
      <c r="I1205" s="4" t="s">
        <v>2926</v>
      </c>
      <c r="L1205" s="4" t="s">
        <v>1819</v>
      </c>
      <c r="O1205" s="38">
        <v>11022</v>
      </c>
      <c r="P1205" s="38" t="s">
        <v>1911</v>
      </c>
      <c r="R1205" s="50">
        <v>1</v>
      </c>
      <c r="V1205" s="50">
        <v>76008</v>
      </c>
      <c r="AA1205" s="4" t="s">
        <v>2927</v>
      </c>
    </row>
    <row r="1206" spans="1:27">
      <c r="A1206" s="4">
        <v>100071176</v>
      </c>
      <c r="B1206" s="4">
        <v>7</v>
      </c>
      <c r="D1206" s="4">
        <v>11</v>
      </c>
      <c r="E1206" s="4" t="s">
        <v>167</v>
      </c>
      <c r="F1206" s="4">
        <v>71171</v>
      </c>
      <c r="I1206" s="4" t="s">
        <v>2928</v>
      </c>
      <c r="L1206" s="4" t="s">
        <v>1822</v>
      </c>
      <c r="O1206" s="38">
        <v>11022</v>
      </c>
      <c r="P1206" s="38" t="s">
        <v>1911</v>
      </c>
      <c r="R1206" s="50">
        <v>1</v>
      </c>
      <c r="V1206" s="50">
        <v>76008</v>
      </c>
      <c r="AA1206" s="4" t="s">
        <v>2929</v>
      </c>
    </row>
    <row r="1207" spans="1:27">
      <c r="A1207" s="4">
        <v>100071201</v>
      </c>
      <c r="B1207" s="4">
        <v>7</v>
      </c>
      <c r="C1207" s="4" t="s">
        <v>1803</v>
      </c>
      <c r="D1207" s="4">
        <v>12</v>
      </c>
      <c r="E1207" s="4" t="s">
        <v>157</v>
      </c>
      <c r="F1207" s="4">
        <v>71201</v>
      </c>
      <c r="H1207" s="4">
        <f t="shared" ref="H1207:H1211" si="83">A1208</f>
        <v>100071202</v>
      </c>
      <c r="I1207" s="4" t="s">
        <v>2930</v>
      </c>
      <c r="L1207" s="4" t="s">
        <v>1806</v>
      </c>
      <c r="O1207" s="38">
        <v>3210</v>
      </c>
      <c r="P1207" s="38" t="s">
        <v>1807</v>
      </c>
      <c r="R1207" s="50">
        <v>1</v>
      </c>
      <c r="V1207" s="59">
        <v>76001</v>
      </c>
      <c r="AA1207" s="4" t="s">
        <v>2931</v>
      </c>
    </row>
    <row r="1208" spans="1:27">
      <c r="A1208" s="4">
        <v>100071202</v>
      </c>
      <c r="B1208" s="4">
        <v>7</v>
      </c>
      <c r="C1208" s="4" t="s">
        <v>1803</v>
      </c>
      <c r="D1208" s="4">
        <v>12</v>
      </c>
      <c r="E1208" s="4" t="s">
        <v>157</v>
      </c>
      <c r="F1208" s="4">
        <v>71201</v>
      </c>
      <c r="H1208" s="4">
        <f t="shared" si="83"/>
        <v>100071203</v>
      </c>
      <c r="I1208" s="4" t="s">
        <v>2932</v>
      </c>
      <c r="L1208" s="4" t="s">
        <v>1810</v>
      </c>
      <c r="O1208" s="38">
        <v>3210</v>
      </c>
      <c r="P1208" s="38" t="s">
        <v>1807</v>
      </c>
      <c r="R1208" s="50">
        <v>1</v>
      </c>
      <c r="V1208" s="59">
        <v>76001</v>
      </c>
      <c r="AA1208" s="4" t="s">
        <v>2933</v>
      </c>
    </row>
    <row r="1209" spans="1:27">
      <c r="A1209" s="4">
        <v>100071203</v>
      </c>
      <c r="B1209" s="4">
        <v>7</v>
      </c>
      <c r="C1209" s="4" t="s">
        <v>1803</v>
      </c>
      <c r="D1209" s="4">
        <v>12</v>
      </c>
      <c r="E1209" s="4" t="s">
        <v>157</v>
      </c>
      <c r="F1209" s="4">
        <v>71201</v>
      </c>
      <c r="H1209" s="4">
        <f t="shared" si="83"/>
        <v>100071204</v>
      </c>
      <c r="I1209" s="4" t="s">
        <v>2934</v>
      </c>
      <c r="L1209" s="4" t="s">
        <v>1813</v>
      </c>
      <c r="O1209" s="38">
        <v>3210</v>
      </c>
      <c r="P1209" s="38" t="s">
        <v>1807</v>
      </c>
      <c r="R1209" s="50">
        <v>1</v>
      </c>
      <c r="V1209" s="59">
        <v>76001</v>
      </c>
      <c r="AA1209" s="4" t="s">
        <v>2935</v>
      </c>
    </row>
    <row r="1210" spans="1:27">
      <c r="A1210" s="4">
        <v>100071204</v>
      </c>
      <c r="B1210" s="4">
        <v>7</v>
      </c>
      <c r="C1210" s="4" t="s">
        <v>1803</v>
      </c>
      <c r="D1210" s="4">
        <v>12</v>
      </c>
      <c r="E1210" s="4" t="s">
        <v>157</v>
      </c>
      <c r="F1210" s="4">
        <v>71201</v>
      </c>
      <c r="H1210" s="4">
        <f t="shared" si="83"/>
        <v>100071205</v>
      </c>
      <c r="I1210" s="4" t="s">
        <v>2936</v>
      </c>
      <c r="L1210" s="4" t="s">
        <v>1816</v>
      </c>
      <c r="O1210" s="38">
        <v>3210</v>
      </c>
      <c r="P1210" s="38" t="s">
        <v>1807</v>
      </c>
      <c r="R1210" s="50">
        <v>1</v>
      </c>
      <c r="V1210" s="59">
        <v>76001</v>
      </c>
      <c r="AA1210" s="4" t="s">
        <v>2937</v>
      </c>
    </row>
    <row r="1211" spans="1:27">
      <c r="A1211" s="4">
        <v>100071205</v>
      </c>
      <c r="B1211" s="4">
        <v>7</v>
      </c>
      <c r="C1211" s="4" t="s">
        <v>1803</v>
      </c>
      <c r="D1211" s="4">
        <v>12</v>
      </c>
      <c r="E1211" s="4" t="s">
        <v>157</v>
      </c>
      <c r="F1211" s="4">
        <v>71201</v>
      </c>
      <c r="H1211" s="4">
        <f t="shared" si="83"/>
        <v>100071206</v>
      </c>
      <c r="I1211" s="4" t="s">
        <v>2938</v>
      </c>
      <c r="L1211" s="4" t="s">
        <v>1819</v>
      </c>
      <c r="O1211" s="38">
        <v>3210</v>
      </c>
      <c r="P1211" s="38" t="s">
        <v>1807</v>
      </c>
      <c r="R1211" s="50">
        <v>1</v>
      </c>
      <c r="V1211" s="59">
        <v>76001</v>
      </c>
      <c r="AA1211" s="4" t="s">
        <v>2939</v>
      </c>
    </row>
    <row r="1212" spans="1:27">
      <c r="A1212" s="4">
        <v>100071206</v>
      </c>
      <c r="B1212" s="4">
        <v>7</v>
      </c>
      <c r="C1212" s="4" t="s">
        <v>1803</v>
      </c>
      <c r="D1212" s="4">
        <v>12</v>
      </c>
      <c r="E1212" s="4" t="s">
        <v>157</v>
      </c>
      <c r="F1212" s="4">
        <v>71201</v>
      </c>
      <c r="I1212" s="4" t="s">
        <v>2940</v>
      </c>
      <c r="L1212" s="4" t="s">
        <v>1822</v>
      </c>
      <c r="O1212" s="38">
        <v>3210</v>
      </c>
      <c r="P1212" s="38" t="s">
        <v>1807</v>
      </c>
      <c r="R1212" s="50">
        <v>1</v>
      </c>
      <c r="V1212" s="59">
        <v>76001</v>
      </c>
      <c r="AA1212" s="4" t="s">
        <v>2941</v>
      </c>
    </row>
    <row r="1213" spans="1:27">
      <c r="A1213" s="4">
        <v>100071211</v>
      </c>
      <c r="B1213" s="4">
        <v>7</v>
      </c>
      <c r="D1213" s="4">
        <v>12</v>
      </c>
      <c r="E1213" s="4" t="s">
        <v>157</v>
      </c>
      <c r="F1213" s="4">
        <v>71211</v>
      </c>
      <c r="H1213" s="4">
        <f t="shared" ref="H1213:H1217" si="84">A1214</f>
        <v>100071212</v>
      </c>
      <c r="I1213" s="4" t="s">
        <v>2942</v>
      </c>
      <c r="L1213" s="4" t="s">
        <v>1806</v>
      </c>
      <c r="O1213" s="38">
        <v>3311</v>
      </c>
      <c r="P1213" s="38" t="s">
        <v>1825</v>
      </c>
      <c r="R1213" s="50">
        <v>1</v>
      </c>
      <c r="V1213" s="50">
        <v>76002</v>
      </c>
      <c r="AA1213" s="4" t="s">
        <v>2943</v>
      </c>
    </row>
    <row r="1214" spans="1:27">
      <c r="A1214" s="4">
        <v>100071212</v>
      </c>
      <c r="B1214" s="4">
        <v>7</v>
      </c>
      <c r="D1214" s="4">
        <v>12</v>
      </c>
      <c r="E1214" s="4" t="s">
        <v>157</v>
      </c>
      <c r="F1214" s="4">
        <v>71211</v>
      </c>
      <c r="H1214" s="4">
        <f t="shared" si="84"/>
        <v>100071213</v>
      </c>
      <c r="I1214" s="4" t="s">
        <v>2944</v>
      </c>
      <c r="L1214" s="4" t="s">
        <v>1810</v>
      </c>
      <c r="O1214" s="38">
        <v>3311</v>
      </c>
      <c r="P1214" s="38" t="s">
        <v>1825</v>
      </c>
      <c r="R1214" s="50">
        <v>1</v>
      </c>
      <c r="V1214" s="50">
        <v>76002</v>
      </c>
      <c r="AA1214" s="4" t="s">
        <v>2945</v>
      </c>
    </row>
    <row r="1215" spans="1:27">
      <c r="A1215" s="4">
        <v>100071213</v>
      </c>
      <c r="B1215" s="4">
        <v>7</v>
      </c>
      <c r="D1215" s="4">
        <v>12</v>
      </c>
      <c r="E1215" s="4" t="s">
        <v>157</v>
      </c>
      <c r="F1215" s="4">
        <v>71211</v>
      </c>
      <c r="H1215" s="4">
        <f t="shared" si="84"/>
        <v>100071214</v>
      </c>
      <c r="I1215" s="4" t="s">
        <v>2946</v>
      </c>
      <c r="L1215" s="4" t="s">
        <v>1813</v>
      </c>
      <c r="O1215" s="38">
        <v>3311</v>
      </c>
      <c r="P1215" s="38" t="s">
        <v>1825</v>
      </c>
      <c r="R1215" s="50">
        <v>1</v>
      </c>
      <c r="V1215" s="50">
        <v>76002</v>
      </c>
      <c r="AA1215" s="4" t="s">
        <v>2947</v>
      </c>
    </row>
    <row r="1216" spans="1:27">
      <c r="A1216" s="4">
        <v>100071214</v>
      </c>
      <c r="B1216" s="4">
        <v>7</v>
      </c>
      <c r="D1216" s="4">
        <v>12</v>
      </c>
      <c r="E1216" s="4" t="s">
        <v>157</v>
      </c>
      <c r="F1216" s="4">
        <v>71211</v>
      </c>
      <c r="H1216" s="4">
        <f t="shared" si="84"/>
        <v>100071215</v>
      </c>
      <c r="I1216" s="4" t="s">
        <v>2948</v>
      </c>
      <c r="L1216" s="4" t="s">
        <v>1816</v>
      </c>
      <c r="O1216" s="38">
        <v>3311</v>
      </c>
      <c r="P1216" s="38" t="s">
        <v>1825</v>
      </c>
      <c r="R1216" s="50">
        <v>1</v>
      </c>
      <c r="V1216" s="50">
        <v>76002</v>
      </c>
      <c r="AA1216" s="4" t="s">
        <v>2949</v>
      </c>
    </row>
    <row r="1217" spans="1:27">
      <c r="A1217" s="4">
        <v>100071215</v>
      </c>
      <c r="B1217" s="4">
        <v>7</v>
      </c>
      <c r="D1217" s="4">
        <v>12</v>
      </c>
      <c r="E1217" s="4" t="s">
        <v>157</v>
      </c>
      <c r="F1217" s="4">
        <v>71211</v>
      </c>
      <c r="H1217" s="4">
        <f t="shared" si="84"/>
        <v>100071216</v>
      </c>
      <c r="I1217" s="4" t="s">
        <v>2950</v>
      </c>
      <c r="L1217" s="4" t="s">
        <v>1819</v>
      </c>
      <c r="O1217" s="38">
        <v>3311</v>
      </c>
      <c r="P1217" s="38" t="s">
        <v>1825</v>
      </c>
      <c r="R1217" s="50">
        <v>1</v>
      </c>
      <c r="V1217" s="50">
        <v>76002</v>
      </c>
      <c r="AA1217" s="4" t="s">
        <v>2951</v>
      </c>
    </row>
    <row r="1218" spans="1:27">
      <c r="A1218" s="4">
        <v>100071216</v>
      </c>
      <c r="B1218" s="4">
        <v>7</v>
      </c>
      <c r="D1218" s="4">
        <v>12</v>
      </c>
      <c r="E1218" s="4" t="s">
        <v>157</v>
      </c>
      <c r="F1218" s="4">
        <v>71211</v>
      </c>
      <c r="I1218" s="4" t="s">
        <v>2952</v>
      </c>
      <c r="L1218" s="4" t="s">
        <v>1822</v>
      </c>
      <c r="O1218" s="38">
        <v>3311</v>
      </c>
      <c r="P1218" s="38" t="s">
        <v>1825</v>
      </c>
      <c r="R1218" s="50">
        <v>1</v>
      </c>
      <c r="V1218" s="50">
        <v>76002</v>
      </c>
      <c r="AA1218" s="4" t="s">
        <v>2953</v>
      </c>
    </row>
    <row r="1219" spans="1:27">
      <c r="A1219" s="4">
        <v>100071221</v>
      </c>
      <c r="B1219" s="4">
        <v>7</v>
      </c>
      <c r="D1219" s="4">
        <v>12</v>
      </c>
      <c r="E1219" s="4" t="s">
        <v>157</v>
      </c>
      <c r="F1219" s="4">
        <v>71221</v>
      </c>
      <c r="H1219" s="4">
        <f t="shared" ref="H1219:H1223" si="85">A1220</f>
        <v>100071222</v>
      </c>
      <c r="I1219" s="4" t="s">
        <v>2954</v>
      </c>
      <c r="L1219" s="4" t="s">
        <v>1806</v>
      </c>
      <c r="O1219" s="38">
        <v>11021</v>
      </c>
      <c r="P1219" s="38" t="s">
        <v>1838</v>
      </c>
      <c r="R1219" s="50">
        <v>1</v>
      </c>
      <c r="V1219" s="50">
        <v>76003</v>
      </c>
      <c r="AA1219" s="4" t="s">
        <v>2955</v>
      </c>
    </row>
    <row r="1220" spans="1:27">
      <c r="A1220" s="4">
        <v>100071222</v>
      </c>
      <c r="B1220" s="4">
        <v>7</v>
      </c>
      <c r="D1220" s="4">
        <v>12</v>
      </c>
      <c r="E1220" s="4" t="s">
        <v>157</v>
      </c>
      <c r="F1220" s="4">
        <v>71221</v>
      </c>
      <c r="H1220" s="4">
        <f t="shared" si="85"/>
        <v>100071223</v>
      </c>
      <c r="I1220" s="4" t="s">
        <v>2956</v>
      </c>
      <c r="L1220" s="4" t="s">
        <v>1810</v>
      </c>
      <c r="O1220" s="38">
        <v>11021</v>
      </c>
      <c r="P1220" s="38" t="s">
        <v>1838</v>
      </c>
      <c r="R1220" s="50">
        <v>1</v>
      </c>
      <c r="V1220" s="50">
        <v>76003</v>
      </c>
      <c r="AA1220" s="4" t="s">
        <v>2957</v>
      </c>
    </row>
    <row r="1221" spans="1:27">
      <c r="A1221" s="4">
        <v>100071223</v>
      </c>
      <c r="B1221" s="4">
        <v>7</v>
      </c>
      <c r="D1221" s="4">
        <v>12</v>
      </c>
      <c r="E1221" s="4" t="s">
        <v>157</v>
      </c>
      <c r="F1221" s="4">
        <v>71221</v>
      </c>
      <c r="H1221" s="4">
        <f t="shared" si="85"/>
        <v>100071224</v>
      </c>
      <c r="I1221" s="4" t="s">
        <v>2958</v>
      </c>
      <c r="L1221" s="4" t="s">
        <v>1813</v>
      </c>
      <c r="O1221" s="38">
        <v>11021</v>
      </c>
      <c r="P1221" s="38" t="s">
        <v>1838</v>
      </c>
      <c r="R1221" s="50">
        <v>1</v>
      </c>
      <c r="V1221" s="50">
        <v>76003</v>
      </c>
      <c r="AA1221" s="4" t="s">
        <v>2959</v>
      </c>
    </row>
    <row r="1222" spans="1:27">
      <c r="A1222" s="4">
        <v>100071224</v>
      </c>
      <c r="B1222" s="4">
        <v>7</v>
      </c>
      <c r="D1222" s="4">
        <v>12</v>
      </c>
      <c r="E1222" s="4" t="s">
        <v>157</v>
      </c>
      <c r="F1222" s="4">
        <v>71221</v>
      </c>
      <c r="H1222" s="4">
        <f t="shared" si="85"/>
        <v>100071225</v>
      </c>
      <c r="I1222" s="4" t="s">
        <v>2960</v>
      </c>
      <c r="L1222" s="4" t="s">
        <v>1816</v>
      </c>
      <c r="O1222" s="38">
        <v>11021</v>
      </c>
      <c r="P1222" s="38" t="s">
        <v>1838</v>
      </c>
      <c r="R1222" s="50">
        <v>1</v>
      </c>
      <c r="V1222" s="50">
        <v>76003</v>
      </c>
      <c r="AA1222" s="4" t="s">
        <v>2961</v>
      </c>
    </row>
    <row r="1223" spans="1:27">
      <c r="A1223" s="4">
        <v>100071225</v>
      </c>
      <c r="B1223" s="4">
        <v>7</v>
      </c>
      <c r="D1223" s="4">
        <v>12</v>
      </c>
      <c r="E1223" s="4" t="s">
        <v>157</v>
      </c>
      <c r="F1223" s="4">
        <v>71221</v>
      </c>
      <c r="H1223" s="4">
        <f t="shared" si="85"/>
        <v>100071226</v>
      </c>
      <c r="I1223" s="4" t="s">
        <v>2962</v>
      </c>
      <c r="L1223" s="4" t="s">
        <v>1819</v>
      </c>
      <c r="O1223" s="38">
        <v>11021</v>
      </c>
      <c r="P1223" s="38" t="s">
        <v>1838</v>
      </c>
      <c r="R1223" s="50">
        <v>1</v>
      </c>
      <c r="V1223" s="50">
        <v>76003</v>
      </c>
      <c r="AA1223" s="4" t="s">
        <v>2963</v>
      </c>
    </row>
    <row r="1224" spans="1:27">
      <c r="A1224" s="4">
        <v>100071226</v>
      </c>
      <c r="B1224" s="4">
        <v>7</v>
      </c>
      <c r="D1224" s="4">
        <v>12</v>
      </c>
      <c r="E1224" s="4" t="s">
        <v>157</v>
      </c>
      <c r="F1224" s="4">
        <v>71221</v>
      </c>
      <c r="I1224" s="4" t="s">
        <v>2964</v>
      </c>
      <c r="L1224" s="4" t="s">
        <v>1822</v>
      </c>
      <c r="O1224" s="38">
        <v>11021</v>
      </c>
      <c r="P1224" s="38" t="s">
        <v>1838</v>
      </c>
      <c r="R1224" s="50">
        <v>1</v>
      </c>
      <c r="V1224" s="50">
        <v>76003</v>
      </c>
      <c r="AA1224" s="4" t="s">
        <v>2965</v>
      </c>
    </row>
    <row r="1225" spans="1:27">
      <c r="A1225" s="4">
        <v>100071231</v>
      </c>
      <c r="B1225" s="4">
        <v>7</v>
      </c>
      <c r="D1225" s="4">
        <v>12</v>
      </c>
      <c r="E1225" s="4" t="s">
        <v>157</v>
      </c>
      <c r="F1225" s="4">
        <v>71231</v>
      </c>
      <c r="H1225" s="4">
        <f t="shared" ref="H1225:H1229" si="86">A1226</f>
        <v>100071232</v>
      </c>
      <c r="I1225" s="4" t="s">
        <v>2966</v>
      </c>
      <c r="L1225" s="4" t="s">
        <v>1806</v>
      </c>
      <c r="O1225" s="38">
        <v>11021</v>
      </c>
      <c r="P1225" s="38" t="s">
        <v>1851</v>
      </c>
      <c r="R1225" s="50">
        <v>1</v>
      </c>
      <c r="V1225" s="50">
        <v>76004</v>
      </c>
      <c r="AA1225" s="4" t="s">
        <v>2967</v>
      </c>
    </row>
    <row r="1226" spans="1:27">
      <c r="A1226" s="4">
        <v>100071232</v>
      </c>
      <c r="B1226" s="4">
        <v>7</v>
      </c>
      <c r="D1226" s="4">
        <v>12</v>
      </c>
      <c r="E1226" s="4" t="s">
        <v>157</v>
      </c>
      <c r="F1226" s="4">
        <v>71231</v>
      </c>
      <c r="H1226" s="4">
        <f t="shared" si="86"/>
        <v>100071233</v>
      </c>
      <c r="I1226" s="4" t="s">
        <v>2968</v>
      </c>
      <c r="L1226" s="4" t="s">
        <v>1810</v>
      </c>
      <c r="O1226" s="38">
        <v>11021</v>
      </c>
      <c r="P1226" s="38" t="s">
        <v>1851</v>
      </c>
      <c r="R1226" s="50">
        <v>1</v>
      </c>
      <c r="V1226" s="50">
        <v>76004</v>
      </c>
      <c r="AA1226" s="4" t="s">
        <v>2969</v>
      </c>
    </row>
    <row r="1227" spans="1:27">
      <c r="A1227" s="4">
        <v>100071233</v>
      </c>
      <c r="B1227" s="4">
        <v>7</v>
      </c>
      <c r="D1227" s="4">
        <v>12</v>
      </c>
      <c r="E1227" s="4" t="s">
        <v>157</v>
      </c>
      <c r="F1227" s="4">
        <v>71231</v>
      </c>
      <c r="H1227" s="4">
        <f t="shared" si="86"/>
        <v>100071234</v>
      </c>
      <c r="I1227" s="4" t="s">
        <v>2970</v>
      </c>
      <c r="L1227" s="4" t="s">
        <v>1813</v>
      </c>
      <c r="O1227" s="38">
        <v>11021</v>
      </c>
      <c r="P1227" s="38" t="s">
        <v>1851</v>
      </c>
      <c r="R1227" s="50">
        <v>1</v>
      </c>
      <c r="V1227" s="50">
        <v>76004</v>
      </c>
      <c r="AA1227" s="4" t="s">
        <v>2971</v>
      </c>
    </row>
    <row r="1228" spans="1:27">
      <c r="A1228" s="4">
        <v>100071234</v>
      </c>
      <c r="B1228" s="4">
        <v>7</v>
      </c>
      <c r="D1228" s="4">
        <v>12</v>
      </c>
      <c r="E1228" s="4" t="s">
        <v>157</v>
      </c>
      <c r="F1228" s="4">
        <v>71231</v>
      </c>
      <c r="H1228" s="4">
        <f t="shared" si="86"/>
        <v>100071235</v>
      </c>
      <c r="I1228" s="4" t="s">
        <v>2972</v>
      </c>
      <c r="L1228" s="4" t="s">
        <v>1816</v>
      </c>
      <c r="O1228" s="38">
        <v>11021</v>
      </c>
      <c r="P1228" s="38" t="s">
        <v>1851</v>
      </c>
      <c r="R1228" s="50">
        <v>1</v>
      </c>
      <c r="V1228" s="50">
        <v>76004</v>
      </c>
      <c r="AA1228" s="4" t="s">
        <v>2973</v>
      </c>
    </row>
    <row r="1229" spans="1:27">
      <c r="A1229" s="4">
        <v>100071235</v>
      </c>
      <c r="B1229" s="4">
        <v>7</v>
      </c>
      <c r="D1229" s="4">
        <v>12</v>
      </c>
      <c r="E1229" s="4" t="s">
        <v>157</v>
      </c>
      <c r="F1229" s="4">
        <v>71231</v>
      </c>
      <c r="H1229" s="4">
        <f t="shared" si="86"/>
        <v>100071236</v>
      </c>
      <c r="I1229" s="4" t="s">
        <v>2974</v>
      </c>
      <c r="L1229" s="4" t="s">
        <v>1819</v>
      </c>
      <c r="O1229" s="38">
        <v>11021</v>
      </c>
      <c r="P1229" s="38" t="s">
        <v>1851</v>
      </c>
      <c r="R1229" s="50">
        <v>1</v>
      </c>
      <c r="V1229" s="50">
        <v>76004</v>
      </c>
      <c r="AA1229" s="4" t="s">
        <v>2975</v>
      </c>
    </row>
    <row r="1230" spans="1:27">
      <c r="A1230" s="4">
        <v>100071236</v>
      </c>
      <c r="B1230" s="4">
        <v>7</v>
      </c>
      <c r="D1230" s="4">
        <v>12</v>
      </c>
      <c r="E1230" s="4" t="s">
        <v>157</v>
      </c>
      <c r="F1230" s="4">
        <v>71231</v>
      </c>
      <c r="I1230" s="4" t="s">
        <v>2976</v>
      </c>
      <c r="L1230" s="4" t="s">
        <v>1822</v>
      </c>
      <c r="O1230" s="38">
        <v>11021</v>
      </c>
      <c r="P1230" s="38" t="s">
        <v>1851</v>
      </c>
      <c r="R1230" s="50">
        <v>1</v>
      </c>
      <c r="V1230" s="50">
        <v>76004</v>
      </c>
      <c r="AA1230" s="4" t="s">
        <v>2977</v>
      </c>
    </row>
    <row r="1231" spans="1:27">
      <c r="A1231" s="4">
        <v>100071241</v>
      </c>
      <c r="B1231" s="4">
        <v>7</v>
      </c>
      <c r="D1231" s="4">
        <v>12</v>
      </c>
      <c r="E1231" s="4" t="s">
        <v>157</v>
      </c>
      <c r="F1231" s="4">
        <v>71241</v>
      </c>
      <c r="H1231" s="4">
        <f t="shared" ref="H1231:H1235" si="87">A1232</f>
        <v>100071242</v>
      </c>
      <c r="I1231" s="4" t="s">
        <v>2978</v>
      </c>
      <c r="L1231" s="4" t="s">
        <v>1806</v>
      </c>
      <c r="O1231" s="38">
        <v>11021</v>
      </c>
      <c r="P1231" s="38" t="s">
        <v>1864</v>
      </c>
      <c r="R1231" s="50">
        <v>1</v>
      </c>
      <c r="V1231" s="50">
        <v>76005</v>
      </c>
      <c r="AA1231" s="4" t="s">
        <v>2979</v>
      </c>
    </row>
    <row r="1232" spans="1:27">
      <c r="A1232" s="4">
        <v>100071242</v>
      </c>
      <c r="B1232" s="4">
        <v>7</v>
      </c>
      <c r="D1232" s="4">
        <v>12</v>
      </c>
      <c r="E1232" s="4" t="s">
        <v>157</v>
      </c>
      <c r="F1232" s="4">
        <v>71241</v>
      </c>
      <c r="H1232" s="4">
        <f t="shared" si="87"/>
        <v>100071243</v>
      </c>
      <c r="I1232" s="4" t="s">
        <v>2980</v>
      </c>
      <c r="L1232" s="4" t="s">
        <v>1810</v>
      </c>
      <c r="O1232" s="38">
        <v>11021</v>
      </c>
      <c r="P1232" s="38" t="s">
        <v>1864</v>
      </c>
      <c r="R1232" s="50">
        <v>1</v>
      </c>
      <c r="V1232" s="50">
        <v>76005</v>
      </c>
      <c r="AA1232" s="4" t="s">
        <v>2981</v>
      </c>
    </row>
    <row r="1233" spans="1:27">
      <c r="A1233" s="4">
        <v>100071243</v>
      </c>
      <c r="B1233" s="4">
        <v>7</v>
      </c>
      <c r="D1233" s="4">
        <v>12</v>
      </c>
      <c r="E1233" s="4" t="s">
        <v>157</v>
      </c>
      <c r="F1233" s="4">
        <v>71241</v>
      </c>
      <c r="H1233" s="4">
        <f t="shared" si="87"/>
        <v>100071244</v>
      </c>
      <c r="I1233" s="4" t="s">
        <v>2982</v>
      </c>
      <c r="L1233" s="4" t="s">
        <v>1813</v>
      </c>
      <c r="O1233" s="38">
        <v>11021</v>
      </c>
      <c r="P1233" s="38" t="s">
        <v>1864</v>
      </c>
      <c r="R1233" s="50">
        <v>1</v>
      </c>
      <c r="V1233" s="50">
        <v>76005</v>
      </c>
      <c r="AA1233" s="4" t="s">
        <v>2983</v>
      </c>
    </row>
    <row r="1234" spans="1:27">
      <c r="A1234" s="4">
        <v>100071244</v>
      </c>
      <c r="B1234" s="4">
        <v>7</v>
      </c>
      <c r="D1234" s="4">
        <v>12</v>
      </c>
      <c r="E1234" s="4" t="s">
        <v>157</v>
      </c>
      <c r="F1234" s="4">
        <v>71241</v>
      </c>
      <c r="H1234" s="4">
        <f t="shared" si="87"/>
        <v>100071245</v>
      </c>
      <c r="I1234" s="4" t="s">
        <v>2984</v>
      </c>
      <c r="L1234" s="4" t="s">
        <v>1816</v>
      </c>
      <c r="O1234" s="38">
        <v>11021</v>
      </c>
      <c r="P1234" s="38" t="s">
        <v>1864</v>
      </c>
      <c r="R1234" s="50">
        <v>1</v>
      </c>
      <c r="V1234" s="50">
        <v>76005</v>
      </c>
      <c r="AA1234" s="4" t="s">
        <v>2985</v>
      </c>
    </row>
    <row r="1235" spans="1:27">
      <c r="A1235" s="4">
        <v>100071245</v>
      </c>
      <c r="B1235" s="4">
        <v>7</v>
      </c>
      <c r="D1235" s="4">
        <v>12</v>
      </c>
      <c r="E1235" s="4" t="s">
        <v>157</v>
      </c>
      <c r="F1235" s="4">
        <v>71241</v>
      </c>
      <c r="H1235" s="4">
        <f t="shared" si="87"/>
        <v>100071246</v>
      </c>
      <c r="I1235" s="4" t="s">
        <v>2986</v>
      </c>
      <c r="L1235" s="4" t="s">
        <v>1819</v>
      </c>
      <c r="O1235" s="38">
        <v>11021</v>
      </c>
      <c r="P1235" s="38" t="s">
        <v>1864</v>
      </c>
      <c r="R1235" s="50">
        <v>1</v>
      </c>
      <c r="V1235" s="50">
        <v>76005</v>
      </c>
      <c r="AA1235" s="4" t="s">
        <v>2987</v>
      </c>
    </row>
    <row r="1236" spans="1:27">
      <c r="A1236" s="4">
        <v>100071246</v>
      </c>
      <c r="B1236" s="4">
        <v>7</v>
      </c>
      <c r="D1236" s="4">
        <v>12</v>
      </c>
      <c r="E1236" s="4" t="s">
        <v>157</v>
      </c>
      <c r="F1236" s="4">
        <v>71241</v>
      </c>
      <c r="I1236" s="4" t="s">
        <v>2988</v>
      </c>
      <c r="L1236" s="4" t="s">
        <v>1822</v>
      </c>
      <c r="O1236" s="38">
        <v>11021</v>
      </c>
      <c r="P1236" s="38" t="s">
        <v>1864</v>
      </c>
      <c r="R1236" s="50">
        <v>1</v>
      </c>
      <c r="V1236" s="50">
        <v>76005</v>
      </c>
      <c r="AA1236" s="4" t="s">
        <v>2989</v>
      </c>
    </row>
    <row r="1237" spans="1:27">
      <c r="A1237" s="4">
        <v>100071251</v>
      </c>
      <c r="B1237" s="4">
        <v>7</v>
      </c>
      <c r="D1237" s="4">
        <v>12</v>
      </c>
      <c r="E1237" s="4" t="s">
        <v>157</v>
      </c>
      <c r="F1237" s="4">
        <v>71251</v>
      </c>
      <c r="H1237" s="4">
        <f t="shared" ref="H1237:H1241" si="88">A1238</f>
        <v>100071252</v>
      </c>
      <c r="I1237" s="4" t="s">
        <v>2990</v>
      </c>
      <c r="L1237" s="4" t="s">
        <v>1806</v>
      </c>
      <c r="O1237" s="38">
        <v>11021</v>
      </c>
      <c r="P1237" s="38" t="s">
        <v>1877</v>
      </c>
      <c r="R1237" s="50">
        <v>1</v>
      </c>
      <c r="V1237" s="50">
        <v>76006</v>
      </c>
      <c r="AA1237" s="4" t="s">
        <v>2991</v>
      </c>
    </row>
    <row r="1238" spans="1:27">
      <c r="A1238" s="4">
        <v>100071252</v>
      </c>
      <c r="B1238" s="4">
        <v>7</v>
      </c>
      <c r="D1238" s="4">
        <v>12</v>
      </c>
      <c r="E1238" s="4" t="s">
        <v>157</v>
      </c>
      <c r="F1238" s="4">
        <v>71251</v>
      </c>
      <c r="H1238" s="4">
        <f t="shared" si="88"/>
        <v>100071253</v>
      </c>
      <c r="I1238" s="4" t="s">
        <v>2992</v>
      </c>
      <c r="L1238" s="4" t="s">
        <v>1810</v>
      </c>
      <c r="O1238" s="38">
        <v>11021</v>
      </c>
      <c r="P1238" s="38" t="s">
        <v>1877</v>
      </c>
      <c r="R1238" s="50">
        <v>1</v>
      </c>
      <c r="V1238" s="50">
        <v>76006</v>
      </c>
      <c r="AA1238" s="4" t="s">
        <v>2993</v>
      </c>
    </row>
    <row r="1239" spans="1:27">
      <c r="A1239" s="4">
        <v>100071253</v>
      </c>
      <c r="B1239" s="4">
        <v>7</v>
      </c>
      <c r="D1239" s="4">
        <v>12</v>
      </c>
      <c r="E1239" s="4" t="s">
        <v>157</v>
      </c>
      <c r="F1239" s="4">
        <v>71251</v>
      </c>
      <c r="H1239" s="4">
        <f t="shared" si="88"/>
        <v>100071254</v>
      </c>
      <c r="I1239" s="4" t="s">
        <v>2994</v>
      </c>
      <c r="L1239" s="4" t="s">
        <v>1813</v>
      </c>
      <c r="O1239" s="38">
        <v>11021</v>
      </c>
      <c r="P1239" s="38" t="s">
        <v>1877</v>
      </c>
      <c r="R1239" s="50">
        <v>1</v>
      </c>
      <c r="V1239" s="50">
        <v>76006</v>
      </c>
      <c r="AA1239" s="4" t="s">
        <v>2995</v>
      </c>
    </row>
    <row r="1240" spans="1:27">
      <c r="A1240" s="4">
        <v>100071254</v>
      </c>
      <c r="B1240" s="4">
        <v>7</v>
      </c>
      <c r="D1240" s="4">
        <v>12</v>
      </c>
      <c r="E1240" s="4" t="s">
        <v>157</v>
      </c>
      <c r="F1240" s="4">
        <v>71251</v>
      </c>
      <c r="H1240" s="4">
        <f t="shared" si="88"/>
        <v>100071255</v>
      </c>
      <c r="I1240" s="4" t="s">
        <v>2996</v>
      </c>
      <c r="L1240" s="4" t="s">
        <v>1816</v>
      </c>
      <c r="O1240" s="38">
        <v>11021</v>
      </c>
      <c r="P1240" s="38" t="s">
        <v>1877</v>
      </c>
      <c r="R1240" s="50">
        <v>1</v>
      </c>
      <c r="V1240" s="50">
        <v>76006</v>
      </c>
      <c r="AA1240" s="4" t="s">
        <v>2997</v>
      </c>
    </row>
    <row r="1241" spans="1:27">
      <c r="A1241" s="4">
        <v>100071255</v>
      </c>
      <c r="B1241" s="4">
        <v>7</v>
      </c>
      <c r="D1241" s="4">
        <v>12</v>
      </c>
      <c r="E1241" s="4" t="s">
        <v>157</v>
      </c>
      <c r="F1241" s="4">
        <v>71251</v>
      </c>
      <c r="H1241" s="4">
        <f t="shared" si="88"/>
        <v>100071256</v>
      </c>
      <c r="I1241" s="4" t="s">
        <v>2998</v>
      </c>
      <c r="L1241" s="4" t="s">
        <v>1819</v>
      </c>
      <c r="O1241" s="38">
        <v>11021</v>
      </c>
      <c r="P1241" s="38" t="s">
        <v>1877</v>
      </c>
      <c r="R1241" s="50">
        <v>1</v>
      </c>
      <c r="V1241" s="50">
        <v>76006</v>
      </c>
      <c r="AA1241" s="4" t="s">
        <v>2999</v>
      </c>
    </row>
    <row r="1242" spans="1:27">
      <c r="A1242" s="4">
        <v>100071256</v>
      </c>
      <c r="B1242" s="4">
        <v>7</v>
      </c>
      <c r="D1242" s="4">
        <v>12</v>
      </c>
      <c r="E1242" s="4" t="s">
        <v>157</v>
      </c>
      <c r="F1242" s="4">
        <v>71251</v>
      </c>
      <c r="I1242" s="4" t="s">
        <v>3000</v>
      </c>
      <c r="L1242" s="4" t="s">
        <v>1822</v>
      </c>
      <c r="O1242" s="38">
        <v>11021</v>
      </c>
      <c r="P1242" s="38" t="s">
        <v>1877</v>
      </c>
      <c r="R1242" s="50">
        <v>1</v>
      </c>
      <c r="V1242" s="50">
        <v>76006</v>
      </c>
      <c r="AA1242" s="4" t="s">
        <v>3001</v>
      </c>
    </row>
    <row r="1243" spans="1:27">
      <c r="A1243" s="4">
        <v>100071261</v>
      </c>
      <c r="B1243" s="4">
        <v>7</v>
      </c>
      <c r="D1243" s="4">
        <v>12</v>
      </c>
      <c r="E1243" s="4" t="s">
        <v>157</v>
      </c>
      <c r="F1243" s="4">
        <v>71261</v>
      </c>
      <c r="H1243" s="4">
        <f t="shared" ref="H1243:H1249" si="89">A1244</f>
        <v>100071262</v>
      </c>
      <c r="I1243" s="4" t="s">
        <v>3002</v>
      </c>
      <c r="L1243" s="4" t="s">
        <v>1806</v>
      </c>
      <c r="O1243" s="38">
        <v>11021</v>
      </c>
      <c r="P1243" s="38" t="s">
        <v>1890</v>
      </c>
      <c r="R1243" s="50">
        <v>1</v>
      </c>
      <c r="V1243" s="50">
        <v>76007</v>
      </c>
      <c r="AA1243" s="4" t="s">
        <v>3003</v>
      </c>
    </row>
    <row r="1244" spans="1:27">
      <c r="A1244" s="4">
        <v>100071262</v>
      </c>
      <c r="B1244" s="4">
        <v>7</v>
      </c>
      <c r="D1244" s="4">
        <v>12</v>
      </c>
      <c r="E1244" s="4" t="s">
        <v>157</v>
      </c>
      <c r="F1244" s="4">
        <v>71261</v>
      </c>
      <c r="H1244" s="4">
        <f t="shared" si="89"/>
        <v>100071263</v>
      </c>
      <c r="I1244" s="4" t="s">
        <v>3004</v>
      </c>
      <c r="L1244" s="4" t="s">
        <v>1810</v>
      </c>
      <c r="O1244" s="38">
        <v>11021</v>
      </c>
      <c r="P1244" s="38" t="s">
        <v>1890</v>
      </c>
      <c r="R1244" s="50">
        <v>1</v>
      </c>
      <c r="V1244" s="50">
        <v>76007</v>
      </c>
      <c r="AA1244" s="4" t="s">
        <v>3005</v>
      </c>
    </row>
    <row r="1245" spans="1:27">
      <c r="A1245" s="4">
        <v>100071263</v>
      </c>
      <c r="B1245" s="4">
        <v>7</v>
      </c>
      <c r="D1245" s="4">
        <v>12</v>
      </c>
      <c r="E1245" s="4" t="s">
        <v>157</v>
      </c>
      <c r="F1245" s="4">
        <v>71261</v>
      </c>
      <c r="H1245" s="4">
        <f t="shared" si="89"/>
        <v>100071264</v>
      </c>
      <c r="I1245" s="4" t="s">
        <v>3006</v>
      </c>
      <c r="L1245" s="4" t="s">
        <v>1895</v>
      </c>
      <c r="O1245" s="38">
        <v>11021</v>
      </c>
      <c r="P1245" s="38" t="s">
        <v>1890</v>
      </c>
      <c r="R1245" s="50">
        <v>1</v>
      </c>
      <c r="V1245" s="50">
        <v>76007</v>
      </c>
      <c r="AA1245" s="4" t="s">
        <v>3007</v>
      </c>
    </row>
    <row r="1246" spans="1:27">
      <c r="A1246" s="4">
        <v>100071264</v>
      </c>
      <c r="B1246" s="4">
        <v>7</v>
      </c>
      <c r="D1246" s="4">
        <v>12</v>
      </c>
      <c r="E1246" s="4" t="s">
        <v>157</v>
      </c>
      <c r="F1246" s="4">
        <v>71261</v>
      </c>
      <c r="H1246" s="4">
        <f t="shared" si="89"/>
        <v>100071265</v>
      </c>
      <c r="I1246" s="4" t="s">
        <v>3008</v>
      </c>
      <c r="L1246" s="4" t="s">
        <v>1813</v>
      </c>
      <c r="O1246" s="38">
        <v>11021</v>
      </c>
      <c r="P1246" s="38" t="s">
        <v>1890</v>
      </c>
      <c r="R1246" s="50">
        <v>1</v>
      </c>
      <c r="V1246" s="50">
        <v>76007</v>
      </c>
      <c r="AA1246" s="4" t="s">
        <v>3009</v>
      </c>
    </row>
    <row r="1247" spans="1:27">
      <c r="A1247" s="4">
        <v>100071265</v>
      </c>
      <c r="B1247" s="4">
        <v>7</v>
      </c>
      <c r="D1247" s="4">
        <v>12</v>
      </c>
      <c r="E1247" s="4" t="s">
        <v>157</v>
      </c>
      <c r="F1247" s="4">
        <v>71261</v>
      </c>
      <c r="H1247" s="4">
        <f t="shared" si="89"/>
        <v>100071266</v>
      </c>
      <c r="I1247" s="4" t="s">
        <v>3010</v>
      </c>
      <c r="L1247" s="4" t="s">
        <v>1900</v>
      </c>
      <c r="O1247" s="38">
        <v>11021</v>
      </c>
      <c r="P1247" s="38" t="s">
        <v>1890</v>
      </c>
      <c r="R1247" s="50">
        <v>1</v>
      </c>
      <c r="V1247" s="50">
        <v>76007</v>
      </c>
      <c r="AA1247" s="4" t="s">
        <v>3011</v>
      </c>
    </row>
    <row r="1248" spans="1:27">
      <c r="A1248" s="4">
        <v>100071266</v>
      </c>
      <c r="B1248" s="4">
        <v>7</v>
      </c>
      <c r="D1248" s="4">
        <v>12</v>
      </c>
      <c r="E1248" s="4" t="s">
        <v>157</v>
      </c>
      <c r="F1248" s="4">
        <v>71261</v>
      </c>
      <c r="H1248" s="4">
        <f t="shared" si="89"/>
        <v>100071267</v>
      </c>
      <c r="I1248" s="4" t="s">
        <v>3012</v>
      </c>
      <c r="L1248" s="4" t="s">
        <v>1903</v>
      </c>
      <c r="O1248" s="38">
        <v>11021</v>
      </c>
      <c r="P1248" s="38" t="s">
        <v>1890</v>
      </c>
      <c r="R1248" s="50">
        <v>1</v>
      </c>
      <c r="V1248" s="50">
        <v>76007</v>
      </c>
      <c r="AA1248" s="4" t="s">
        <v>3013</v>
      </c>
    </row>
    <row r="1249" spans="1:27">
      <c r="A1249" s="4">
        <v>100071267</v>
      </c>
      <c r="B1249" s="4">
        <v>7</v>
      </c>
      <c r="D1249" s="4">
        <v>12</v>
      </c>
      <c r="E1249" s="4" t="s">
        <v>157</v>
      </c>
      <c r="F1249" s="4">
        <v>71261</v>
      </c>
      <c r="H1249" s="4">
        <f t="shared" si="89"/>
        <v>100071268</v>
      </c>
      <c r="I1249" s="4" t="s">
        <v>3014</v>
      </c>
      <c r="L1249" s="4" t="s">
        <v>1906</v>
      </c>
      <c r="O1249" s="38">
        <v>11021</v>
      </c>
      <c r="P1249" s="38" t="s">
        <v>1890</v>
      </c>
      <c r="R1249" s="50">
        <v>1</v>
      </c>
      <c r="V1249" s="50">
        <v>76007</v>
      </c>
      <c r="AA1249" s="4" t="s">
        <v>3015</v>
      </c>
    </row>
    <row r="1250" spans="1:27">
      <c r="A1250" s="4">
        <v>100071268</v>
      </c>
      <c r="B1250" s="4">
        <v>7</v>
      </c>
      <c r="D1250" s="4">
        <v>12</v>
      </c>
      <c r="E1250" s="4" t="s">
        <v>157</v>
      </c>
      <c r="F1250" s="4">
        <v>71261</v>
      </c>
      <c r="I1250" s="4" t="s">
        <v>3016</v>
      </c>
      <c r="L1250" s="4" t="s">
        <v>1816</v>
      </c>
      <c r="O1250" s="38">
        <v>11021</v>
      </c>
      <c r="P1250" s="38" t="s">
        <v>1890</v>
      </c>
      <c r="R1250" s="50">
        <v>1</v>
      </c>
      <c r="V1250" s="50">
        <v>76007</v>
      </c>
      <c r="AA1250" s="4" t="s">
        <v>3017</v>
      </c>
    </row>
    <row r="1251" spans="1:27">
      <c r="A1251" s="4">
        <v>100071271</v>
      </c>
      <c r="B1251" s="4">
        <v>7</v>
      </c>
      <c r="D1251" s="4">
        <v>12</v>
      </c>
      <c r="E1251" s="4" t="s">
        <v>157</v>
      </c>
      <c r="F1251" s="4">
        <v>71271</v>
      </c>
      <c r="H1251" s="4">
        <f t="shared" ref="H1251:H1255" si="90">A1252</f>
        <v>100071272</v>
      </c>
      <c r="I1251" s="4" t="s">
        <v>3018</v>
      </c>
      <c r="L1251" s="4" t="s">
        <v>1806</v>
      </c>
      <c r="O1251" s="38">
        <v>11021</v>
      </c>
      <c r="P1251" s="38" t="s">
        <v>1911</v>
      </c>
      <c r="R1251" s="50">
        <v>1</v>
      </c>
      <c r="V1251" s="50">
        <v>76008</v>
      </c>
      <c r="AA1251" s="4" t="s">
        <v>3019</v>
      </c>
    </row>
    <row r="1252" spans="1:27">
      <c r="A1252" s="4">
        <v>100071272</v>
      </c>
      <c r="B1252" s="4">
        <v>7</v>
      </c>
      <c r="D1252" s="4">
        <v>12</v>
      </c>
      <c r="E1252" s="4" t="s">
        <v>157</v>
      </c>
      <c r="F1252" s="4">
        <v>71271</v>
      </c>
      <c r="H1252" s="4">
        <f t="shared" si="90"/>
        <v>100071273</v>
      </c>
      <c r="I1252" s="4" t="s">
        <v>3020</v>
      </c>
      <c r="L1252" s="4" t="s">
        <v>1810</v>
      </c>
      <c r="O1252" s="38">
        <v>11021</v>
      </c>
      <c r="P1252" s="38" t="s">
        <v>1911</v>
      </c>
      <c r="R1252" s="50">
        <v>1</v>
      </c>
      <c r="V1252" s="50">
        <v>76008</v>
      </c>
      <c r="AA1252" s="4" t="s">
        <v>3021</v>
      </c>
    </row>
    <row r="1253" spans="1:27">
      <c r="A1253" s="4">
        <v>100071273</v>
      </c>
      <c r="B1253" s="4">
        <v>7</v>
      </c>
      <c r="D1253" s="4">
        <v>12</v>
      </c>
      <c r="E1253" s="4" t="s">
        <v>157</v>
      </c>
      <c r="F1253" s="4">
        <v>71271</v>
      </c>
      <c r="H1253" s="4">
        <f t="shared" si="90"/>
        <v>100071274</v>
      </c>
      <c r="I1253" s="4" t="s">
        <v>3022</v>
      </c>
      <c r="L1253" s="4" t="s">
        <v>1813</v>
      </c>
      <c r="O1253" s="38">
        <v>11021</v>
      </c>
      <c r="P1253" s="38" t="s">
        <v>1911</v>
      </c>
      <c r="R1253" s="50">
        <v>1</v>
      </c>
      <c r="V1253" s="50">
        <v>76008</v>
      </c>
      <c r="AA1253" s="4" t="s">
        <v>3023</v>
      </c>
    </row>
    <row r="1254" spans="1:27">
      <c r="A1254" s="4">
        <v>100071274</v>
      </c>
      <c r="B1254" s="4">
        <v>7</v>
      </c>
      <c r="D1254" s="4">
        <v>12</v>
      </c>
      <c r="E1254" s="4" t="s">
        <v>157</v>
      </c>
      <c r="F1254" s="4">
        <v>71271</v>
      </c>
      <c r="H1254" s="4">
        <f t="shared" si="90"/>
        <v>100071275</v>
      </c>
      <c r="I1254" s="4" t="s">
        <v>3024</v>
      </c>
      <c r="L1254" s="4" t="s">
        <v>1816</v>
      </c>
      <c r="O1254" s="38">
        <v>11021</v>
      </c>
      <c r="P1254" s="38" t="s">
        <v>1911</v>
      </c>
      <c r="R1254" s="50">
        <v>1</v>
      </c>
      <c r="V1254" s="50">
        <v>76008</v>
      </c>
      <c r="AA1254" s="4" t="s">
        <v>3025</v>
      </c>
    </row>
    <row r="1255" spans="1:27">
      <c r="A1255" s="4">
        <v>100071275</v>
      </c>
      <c r="B1255" s="4">
        <v>7</v>
      </c>
      <c r="D1255" s="4">
        <v>12</v>
      </c>
      <c r="E1255" s="4" t="s">
        <v>157</v>
      </c>
      <c r="F1255" s="4">
        <v>71271</v>
      </c>
      <c r="H1255" s="4">
        <f t="shared" si="90"/>
        <v>100071276</v>
      </c>
      <c r="I1255" s="4" t="s">
        <v>3026</v>
      </c>
      <c r="L1255" s="4" t="s">
        <v>1819</v>
      </c>
      <c r="O1255" s="38">
        <v>11021</v>
      </c>
      <c r="P1255" s="38" t="s">
        <v>1911</v>
      </c>
      <c r="R1255" s="50">
        <v>1</v>
      </c>
      <c r="V1255" s="50">
        <v>76008</v>
      </c>
      <c r="AA1255" s="4" t="s">
        <v>3027</v>
      </c>
    </row>
    <row r="1256" spans="1:27">
      <c r="A1256" s="4">
        <v>100071276</v>
      </c>
      <c r="B1256" s="4">
        <v>7</v>
      </c>
      <c r="D1256" s="4">
        <v>12</v>
      </c>
      <c r="E1256" s="4" t="s">
        <v>157</v>
      </c>
      <c r="F1256" s="4">
        <v>71271</v>
      </c>
      <c r="I1256" s="4" t="s">
        <v>3028</v>
      </c>
      <c r="L1256" s="4" t="s">
        <v>1822</v>
      </c>
      <c r="O1256" s="38">
        <v>11021</v>
      </c>
      <c r="P1256" s="38" t="s">
        <v>1911</v>
      </c>
      <c r="R1256" s="50">
        <v>1</v>
      </c>
      <c r="V1256" s="50">
        <v>76008</v>
      </c>
      <c r="AA1256" s="4" t="s">
        <v>3029</v>
      </c>
    </row>
  </sheetData>
  <conditionalFormatting sqref="W1">
    <cfRule type="duplicateValues" dxfId="0" priority="118"/>
  </conditionalFormatting>
  <conditionalFormatting sqref="A447:A554">
    <cfRule type="duplicateValues" dxfId="0" priority="124"/>
  </conditionalFormatting>
  <conditionalFormatting sqref="A707:A756">
    <cfRule type="duplicateValues" dxfId="0" priority="108"/>
  </conditionalFormatting>
  <conditionalFormatting sqref="A757:A806">
    <cfRule type="duplicateValues" dxfId="0" priority="100"/>
  </conditionalFormatting>
  <conditionalFormatting sqref="A807:A856">
    <cfRule type="duplicateValues" dxfId="0" priority="92"/>
  </conditionalFormatting>
  <conditionalFormatting sqref="A857:A906">
    <cfRule type="duplicateValues" dxfId="0" priority="84"/>
  </conditionalFormatting>
  <conditionalFormatting sqref="A907:A956">
    <cfRule type="duplicateValues" dxfId="0" priority="76"/>
  </conditionalFormatting>
  <conditionalFormatting sqref="A957:A1006">
    <cfRule type="duplicateValues" dxfId="0" priority="68"/>
  </conditionalFormatting>
  <conditionalFormatting sqref="A1007:A1056">
    <cfRule type="duplicateValues" dxfId="0" priority="60"/>
  </conditionalFormatting>
  <conditionalFormatting sqref="A1057:A1106">
    <cfRule type="duplicateValues" dxfId="0" priority="52"/>
  </conditionalFormatting>
  <conditionalFormatting sqref="A1107:A1156">
    <cfRule type="duplicateValues" dxfId="0" priority="44"/>
  </conditionalFormatting>
  <conditionalFormatting sqref="A1157:A1206">
    <cfRule type="duplicateValues" dxfId="0" priority="36"/>
  </conditionalFormatting>
  <conditionalFormatting sqref="A1207:A1256">
    <cfRule type="duplicateValues" dxfId="0" priority="28"/>
  </conditionalFormatting>
  <conditionalFormatting sqref="H111:H440">
    <cfRule type="duplicateValues" dxfId="0" priority="127"/>
  </conditionalFormatting>
  <conditionalFormatting sqref="H441:H446">
    <cfRule type="duplicateValues" dxfId="0" priority="125"/>
  </conditionalFormatting>
  <conditionalFormatting sqref="H447:H554">
    <cfRule type="duplicateValues" dxfId="0" priority="122"/>
  </conditionalFormatting>
  <conditionalFormatting sqref="H663:H667">
    <cfRule type="duplicateValues" dxfId="0" priority="115"/>
  </conditionalFormatting>
  <conditionalFormatting sqref="H669:H673">
    <cfRule type="duplicateValues" dxfId="0" priority="114"/>
  </conditionalFormatting>
  <conditionalFormatting sqref="H675:H679">
    <cfRule type="duplicateValues" dxfId="0" priority="113"/>
  </conditionalFormatting>
  <conditionalFormatting sqref="H681:H685">
    <cfRule type="duplicateValues" dxfId="0" priority="112"/>
  </conditionalFormatting>
  <conditionalFormatting sqref="H687:H691">
    <cfRule type="duplicateValues" dxfId="0" priority="111"/>
  </conditionalFormatting>
  <conditionalFormatting sqref="H693:H699">
    <cfRule type="duplicateValues" dxfId="0" priority="110"/>
  </conditionalFormatting>
  <conditionalFormatting sqref="H701:H705">
    <cfRule type="duplicateValues" dxfId="0" priority="109"/>
  </conditionalFormatting>
  <conditionalFormatting sqref="H713:H717">
    <cfRule type="duplicateValues" dxfId="0" priority="107"/>
  </conditionalFormatting>
  <conditionalFormatting sqref="H719:H723">
    <cfRule type="duplicateValues" dxfId="0" priority="106"/>
  </conditionalFormatting>
  <conditionalFormatting sqref="H725:H729">
    <cfRule type="duplicateValues" dxfId="0" priority="105"/>
  </conditionalFormatting>
  <conditionalFormatting sqref="H731:H735">
    <cfRule type="duplicateValues" dxfId="0" priority="104"/>
  </conditionalFormatting>
  <conditionalFormatting sqref="H737:H741">
    <cfRule type="duplicateValues" dxfId="0" priority="103"/>
  </conditionalFormatting>
  <conditionalFormatting sqref="H743:H749">
    <cfRule type="duplicateValues" dxfId="0" priority="102"/>
  </conditionalFormatting>
  <conditionalFormatting sqref="H751:H755">
    <cfRule type="duplicateValues" dxfId="0" priority="101"/>
  </conditionalFormatting>
  <conditionalFormatting sqref="H763:H767">
    <cfRule type="duplicateValues" dxfId="0" priority="99"/>
  </conditionalFormatting>
  <conditionalFormatting sqref="H769:H773">
    <cfRule type="duplicateValues" dxfId="0" priority="98"/>
  </conditionalFormatting>
  <conditionalFormatting sqref="H775:H779">
    <cfRule type="duplicateValues" dxfId="0" priority="97"/>
  </conditionalFormatting>
  <conditionalFormatting sqref="H781:H785">
    <cfRule type="duplicateValues" dxfId="0" priority="96"/>
  </conditionalFormatting>
  <conditionalFormatting sqref="H787:H791">
    <cfRule type="duplicateValues" dxfId="0" priority="95"/>
  </conditionalFormatting>
  <conditionalFormatting sqref="H793:H799">
    <cfRule type="duplicateValues" dxfId="0" priority="94"/>
  </conditionalFormatting>
  <conditionalFormatting sqref="H801:H805">
    <cfRule type="duplicateValues" dxfId="0" priority="93"/>
  </conditionalFormatting>
  <conditionalFormatting sqref="H813:H817">
    <cfRule type="duplicateValues" dxfId="0" priority="91"/>
  </conditionalFormatting>
  <conditionalFormatting sqref="H819:H823">
    <cfRule type="duplicateValues" dxfId="0" priority="90"/>
  </conditionalFormatting>
  <conditionalFormatting sqref="H825:H829">
    <cfRule type="duplicateValues" dxfId="0" priority="89"/>
  </conditionalFormatting>
  <conditionalFormatting sqref="H831:H835">
    <cfRule type="duplicateValues" dxfId="0" priority="88"/>
  </conditionalFormatting>
  <conditionalFormatting sqref="H837:H841">
    <cfRule type="duplicateValues" dxfId="0" priority="87"/>
  </conditionalFormatting>
  <conditionalFormatting sqref="H843:H849">
    <cfRule type="duplicateValues" dxfId="0" priority="86"/>
  </conditionalFormatting>
  <conditionalFormatting sqref="H851:H855">
    <cfRule type="duplicateValues" dxfId="0" priority="85"/>
  </conditionalFormatting>
  <conditionalFormatting sqref="H863:H867">
    <cfRule type="duplicateValues" dxfId="0" priority="83"/>
  </conditionalFormatting>
  <conditionalFormatting sqref="H869:H873">
    <cfRule type="duplicateValues" dxfId="0" priority="82"/>
  </conditionalFormatting>
  <conditionalFormatting sqref="H875:H879">
    <cfRule type="duplicateValues" dxfId="0" priority="81"/>
  </conditionalFormatting>
  <conditionalFormatting sqref="H881:H885">
    <cfRule type="duplicateValues" dxfId="0" priority="80"/>
  </conditionalFormatting>
  <conditionalFormatting sqref="H887:H891">
    <cfRule type="duplicateValues" dxfId="0" priority="79"/>
  </conditionalFormatting>
  <conditionalFormatting sqref="H893:H899">
    <cfRule type="duplicateValues" dxfId="0" priority="78"/>
  </conditionalFormatting>
  <conditionalFormatting sqref="H901:H905">
    <cfRule type="duplicateValues" dxfId="0" priority="77"/>
  </conditionalFormatting>
  <conditionalFormatting sqref="H913:H917">
    <cfRule type="duplicateValues" dxfId="0" priority="75"/>
  </conditionalFormatting>
  <conditionalFormatting sqref="H919:H923">
    <cfRule type="duplicateValues" dxfId="0" priority="74"/>
  </conditionalFormatting>
  <conditionalFormatting sqref="H925:H929">
    <cfRule type="duplicateValues" dxfId="0" priority="73"/>
  </conditionalFormatting>
  <conditionalFormatting sqref="H931:H935">
    <cfRule type="duplicateValues" dxfId="0" priority="72"/>
  </conditionalFormatting>
  <conditionalFormatting sqref="H937:H941">
    <cfRule type="duplicateValues" dxfId="0" priority="71"/>
  </conditionalFormatting>
  <conditionalFormatting sqref="H943:H949">
    <cfRule type="duplicateValues" dxfId="0" priority="70"/>
  </conditionalFormatting>
  <conditionalFormatting sqref="H951:H955">
    <cfRule type="duplicateValues" dxfId="0" priority="69"/>
  </conditionalFormatting>
  <conditionalFormatting sqref="H963:H967">
    <cfRule type="duplicateValues" dxfId="0" priority="67"/>
  </conditionalFormatting>
  <conditionalFormatting sqref="H969:H973">
    <cfRule type="duplicateValues" dxfId="0" priority="66"/>
  </conditionalFormatting>
  <conditionalFormatting sqref="H975:H979">
    <cfRule type="duplicateValues" dxfId="0" priority="65"/>
  </conditionalFormatting>
  <conditionalFormatting sqref="H981:H985">
    <cfRule type="duplicateValues" dxfId="0" priority="64"/>
  </conditionalFormatting>
  <conditionalFormatting sqref="H987:H991">
    <cfRule type="duplicateValues" dxfId="0" priority="63"/>
  </conditionalFormatting>
  <conditionalFormatting sqref="H993:H999">
    <cfRule type="duplicateValues" dxfId="0" priority="62"/>
  </conditionalFormatting>
  <conditionalFormatting sqref="H1001:H1005">
    <cfRule type="duplicateValues" dxfId="0" priority="61"/>
  </conditionalFormatting>
  <conditionalFormatting sqref="H1013:H1017">
    <cfRule type="duplicateValues" dxfId="0" priority="59"/>
  </conditionalFormatting>
  <conditionalFormatting sqref="H1019:H1023">
    <cfRule type="duplicateValues" dxfId="0" priority="58"/>
  </conditionalFormatting>
  <conditionalFormatting sqref="H1025:H1029">
    <cfRule type="duplicateValues" dxfId="0" priority="57"/>
  </conditionalFormatting>
  <conditionalFormatting sqref="H1031:H1035">
    <cfRule type="duplicateValues" dxfId="0" priority="56"/>
  </conditionalFormatting>
  <conditionalFormatting sqref="H1037:H1041">
    <cfRule type="duplicateValues" dxfId="0" priority="55"/>
  </conditionalFormatting>
  <conditionalFormatting sqref="H1043:H1049">
    <cfRule type="duplicateValues" dxfId="0" priority="54"/>
  </conditionalFormatting>
  <conditionalFormatting sqref="H1051:H1055">
    <cfRule type="duplicateValues" dxfId="0" priority="53"/>
  </conditionalFormatting>
  <conditionalFormatting sqref="H1063:H1067">
    <cfRule type="duplicateValues" dxfId="0" priority="51"/>
  </conditionalFormatting>
  <conditionalFormatting sqref="H1069:H1073">
    <cfRule type="duplicateValues" dxfId="0" priority="50"/>
  </conditionalFormatting>
  <conditionalFormatting sqref="H1075:H1079">
    <cfRule type="duplicateValues" dxfId="0" priority="49"/>
  </conditionalFormatting>
  <conditionalFormatting sqref="H1081:H1085">
    <cfRule type="duplicateValues" dxfId="0" priority="48"/>
  </conditionalFormatting>
  <conditionalFormatting sqref="H1087:H1091">
    <cfRule type="duplicateValues" dxfId="0" priority="47"/>
  </conditionalFormatting>
  <conditionalFormatting sqref="H1093:H1099">
    <cfRule type="duplicateValues" dxfId="0" priority="46"/>
  </conditionalFormatting>
  <conditionalFormatting sqref="H1101:H1105">
    <cfRule type="duplicateValues" dxfId="0" priority="45"/>
  </conditionalFormatting>
  <conditionalFormatting sqref="H1113:H1117">
    <cfRule type="duplicateValues" dxfId="0" priority="43"/>
  </conditionalFormatting>
  <conditionalFormatting sqref="H1119:H1123">
    <cfRule type="duplicateValues" dxfId="0" priority="42"/>
  </conditionalFormatting>
  <conditionalFormatting sqref="H1125:H1129">
    <cfRule type="duplicateValues" dxfId="0" priority="41"/>
  </conditionalFormatting>
  <conditionalFormatting sqref="H1131:H1135">
    <cfRule type="duplicateValues" dxfId="0" priority="40"/>
  </conditionalFormatting>
  <conditionalFormatting sqref="H1137:H1141">
    <cfRule type="duplicateValues" dxfId="0" priority="39"/>
  </conditionalFormatting>
  <conditionalFormatting sqref="H1143:H1149">
    <cfRule type="duplicateValues" dxfId="0" priority="38"/>
  </conditionalFormatting>
  <conditionalFormatting sqref="H1151:H1155">
    <cfRule type="duplicateValues" dxfId="0" priority="37"/>
  </conditionalFormatting>
  <conditionalFormatting sqref="H1163:H1167">
    <cfRule type="duplicateValues" dxfId="0" priority="35"/>
  </conditionalFormatting>
  <conditionalFormatting sqref="H1169:H1173">
    <cfRule type="duplicateValues" dxfId="0" priority="34"/>
  </conditionalFormatting>
  <conditionalFormatting sqref="H1175:H1179">
    <cfRule type="duplicateValues" dxfId="0" priority="33"/>
  </conditionalFormatting>
  <conditionalFormatting sqref="H1181:H1185">
    <cfRule type="duplicateValues" dxfId="0" priority="32"/>
  </conditionalFormatting>
  <conditionalFormatting sqref="H1187:H1191">
    <cfRule type="duplicateValues" dxfId="0" priority="31"/>
  </conditionalFormatting>
  <conditionalFormatting sqref="H1193:H1199">
    <cfRule type="duplicateValues" dxfId="0" priority="30"/>
  </conditionalFormatting>
  <conditionalFormatting sqref="H1201:H1205">
    <cfRule type="duplicateValues" dxfId="0" priority="29"/>
  </conditionalFormatting>
  <conditionalFormatting sqref="H1213:H1217">
    <cfRule type="duplicateValues" dxfId="0" priority="27"/>
  </conditionalFormatting>
  <conditionalFormatting sqref="H1219:H1223">
    <cfRule type="duplicateValues" dxfId="0" priority="26"/>
  </conditionalFormatting>
  <conditionalFormatting sqref="H1225:H1229">
    <cfRule type="duplicateValues" dxfId="0" priority="25"/>
  </conditionalFormatting>
  <conditionalFormatting sqref="H1231:H1235">
    <cfRule type="duplicateValues" dxfId="0" priority="24"/>
  </conditionalFormatting>
  <conditionalFormatting sqref="H1237:H1241">
    <cfRule type="duplicateValues" dxfId="0" priority="23"/>
  </conditionalFormatting>
  <conditionalFormatting sqref="H1243:H1249">
    <cfRule type="duplicateValues" dxfId="0" priority="22"/>
  </conditionalFormatting>
  <conditionalFormatting sqref="H1251:H1255">
    <cfRule type="duplicateValues" dxfId="0" priority="21"/>
  </conditionalFormatting>
  <conditionalFormatting sqref="V630:V656">
    <cfRule type="duplicateValues" dxfId="0" priority="120"/>
  </conditionalFormatting>
  <conditionalFormatting sqref="V657:V662">
    <cfRule type="duplicateValues" dxfId="0" priority="17"/>
  </conditionalFormatting>
  <conditionalFormatting sqref="V707:V712">
    <cfRule type="duplicateValues" dxfId="0" priority="15"/>
  </conditionalFormatting>
  <conditionalFormatting sqref="V713:V756">
    <cfRule type="duplicateValues" dxfId="0" priority="16"/>
  </conditionalFormatting>
  <conditionalFormatting sqref="V857:V862">
    <cfRule type="duplicateValues" dxfId="0" priority="13"/>
  </conditionalFormatting>
  <conditionalFormatting sqref="V863:V906">
    <cfRule type="duplicateValues" dxfId="0" priority="14"/>
  </conditionalFormatting>
  <conditionalFormatting sqref="V907:V912">
    <cfRule type="duplicateValues" dxfId="0" priority="11"/>
  </conditionalFormatting>
  <conditionalFormatting sqref="V913:V956">
    <cfRule type="duplicateValues" dxfId="0" priority="12"/>
  </conditionalFormatting>
  <conditionalFormatting sqref="V957:V962">
    <cfRule type="duplicateValues" dxfId="0" priority="9"/>
  </conditionalFormatting>
  <conditionalFormatting sqref="V963:V1006">
    <cfRule type="duplicateValues" dxfId="0" priority="10"/>
  </conditionalFormatting>
  <conditionalFormatting sqref="V1007:V1012">
    <cfRule type="duplicateValues" dxfId="0" priority="7"/>
  </conditionalFormatting>
  <conditionalFormatting sqref="V1013:V1056">
    <cfRule type="duplicateValues" dxfId="0" priority="8"/>
  </conditionalFormatting>
  <conditionalFormatting sqref="V1057:V1062">
    <cfRule type="duplicateValues" dxfId="0" priority="5"/>
  </conditionalFormatting>
  <conditionalFormatting sqref="V1063:V1106">
    <cfRule type="duplicateValues" dxfId="0" priority="6"/>
  </conditionalFormatting>
  <conditionalFormatting sqref="V1157:V1162">
    <cfRule type="duplicateValues" dxfId="0" priority="3"/>
  </conditionalFormatting>
  <conditionalFormatting sqref="V1163:V1206">
    <cfRule type="duplicateValues" dxfId="0" priority="4"/>
  </conditionalFormatting>
  <conditionalFormatting sqref="V1207:V1212">
    <cfRule type="duplicateValues" dxfId="0" priority="1"/>
  </conditionalFormatting>
  <conditionalFormatting sqref="V1213:V1256">
    <cfRule type="duplicateValues" dxfId="0" priority="2"/>
  </conditionalFormatting>
  <conditionalFormatting sqref="A1:A446 A555:A706 A1257:A1048576">
    <cfRule type="duplicateValues" dxfId="0" priority="129"/>
  </conditionalFormatting>
  <conditionalFormatting sqref="V1 V2:W446 V555:W629 W657:W662 V663:W706 W707:W756 V757:W856 W857:W1106 V1107:W1156 W1157:W1256 V1257:W1048576">
    <cfRule type="duplicateValues" dxfId="0" priority="128"/>
  </conditionalFormatting>
  <conditionalFormatting sqref="V447:W506 V513:W554">
    <cfRule type="duplicateValues" dxfId="0" priority="123"/>
  </conditionalFormatting>
  <conditionalFormatting sqref="V507:W512">
    <cfRule type="duplicateValues" dxfId="0" priority="117"/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V129"/>
  <sheetViews>
    <sheetView zoomScale="85" zoomScaleNormal="85" topLeftCell="A99" workbookViewId="0">
      <selection activeCell="L55" sqref="L55:L129"/>
    </sheetView>
  </sheetViews>
  <sheetFormatPr defaultColWidth="9" defaultRowHeight="16.5"/>
  <cols>
    <col min="1" max="1" width="11.625" style="18" customWidth="1"/>
    <col min="2" max="2" width="8.875" style="18" customWidth="1"/>
    <col min="3" max="3" width="28.0333333333333" style="18" customWidth="1"/>
    <col min="4" max="4" width="14" style="18" customWidth="1"/>
    <col min="5" max="5" width="10.2916666666667" style="18" customWidth="1"/>
    <col min="6" max="6" width="8.125" style="18" customWidth="1"/>
    <col min="7" max="7" width="8.875" style="18" customWidth="1"/>
    <col min="8" max="8" width="15.875" style="18" customWidth="1"/>
    <col min="9" max="9" width="11.7583333333333" style="18" customWidth="1"/>
    <col min="10" max="10" width="7" style="18" customWidth="1"/>
    <col min="11" max="11" width="17.9333333333333" style="18" customWidth="1"/>
    <col min="12" max="12" width="11.6" style="18" customWidth="1"/>
    <col min="13" max="13" width="2.375" style="18" customWidth="1"/>
    <col min="14" max="17" width="9.10833333333333" style="18" customWidth="1"/>
    <col min="18" max="16384" width="9" style="18"/>
  </cols>
  <sheetData>
    <row r="5" spans="2:16">
      <c r="F5" s="18" t="s">
        <v>3030</v>
      </c>
      <c r="J5" s="19">
        <v>502</v>
      </c>
      <c r="K5" s="19" t="s">
        <v>3031</v>
      </c>
      <c r="N5" s="20" t="s">
        <v>3032</v>
      </c>
    </row>
    <row r="6" spans="2:16">
      <c r="B6" s="21" t="s">
        <v>1</v>
      </c>
      <c r="C6" s="21" t="s">
        <v>18</v>
      </c>
      <c r="D6" s="21" t="s">
        <v>3033</v>
      </c>
      <c r="F6" s="22" t="s">
        <v>3034</v>
      </c>
      <c r="G6" s="22"/>
      <c r="H6" s="22" t="s">
        <v>3035</v>
      </c>
      <c r="J6" s="23" t="s">
        <v>3036</v>
      </c>
      <c r="K6" s="23" t="s">
        <v>3037</v>
      </c>
      <c r="L6" s="23" t="s">
        <v>3033</v>
      </c>
      <c r="N6" s="24" t="s">
        <v>3038</v>
      </c>
      <c r="O6" s="24" t="s">
        <v>3039</v>
      </c>
      <c r="P6" s="24" t="s">
        <v>3033</v>
      </c>
    </row>
    <row r="7" spans="2:16">
      <c r="B7" s="18">
        <v>101</v>
      </c>
      <c r="C7" s="18" t="s">
        <v>3040</v>
      </c>
      <c r="D7" s="18" t="s">
        <v>3041</v>
      </c>
      <c r="F7" s="18">
        <v>100100</v>
      </c>
      <c r="G7" s="18" t="s">
        <v>3042</v>
      </c>
      <c r="H7" s="18" t="s">
        <v>3043</v>
      </c>
      <c r="J7" s="18">
        <v>2</v>
      </c>
      <c r="K7" s="18" t="s">
        <v>3044</v>
      </c>
      <c r="L7" s="18" t="s">
        <v>3045</v>
      </c>
      <c r="N7" s="18">
        <v>1022501</v>
      </c>
      <c r="O7" s="18" t="s">
        <v>3046</v>
      </c>
      <c r="P7" s="18" t="s">
        <v>3047</v>
      </c>
    </row>
    <row r="8" spans="2:16">
      <c r="B8" s="18">
        <v>102</v>
      </c>
      <c r="C8" s="18" t="s">
        <v>3048</v>
      </c>
      <c r="D8" s="18" t="s">
        <v>3041</v>
      </c>
      <c r="F8" s="18">
        <v>100300</v>
      </c>
      <c r="G8" s="18" t="s">
        <v>3042</v>
      </c>
      <c r="H8" s="18" t="s">
        <v>3049</v>
      </c>
      <c r="J8" s="18">
        <v>3</v>
      </c>
      <c r="K8" s="18" t="s">
        <v>3050</v>
      </c>
      <c r="L8" s="18" t="s">
        <v>3051</v>
      </c>
      <c r="N8" s="18">
        <v>1022502</v>
      </c>
      <c r="O8" s="18" t="s">
        <v>3052</v>
      </c>
      <c r="P8" s="18" t="s">
        <v>3047</v>
      </c>
    </row>
    <row r="9" spans="2:16">
      <c r="B9" s="18">
        <v>201</v>
      </c>
      <c r="C9" s="18" t="s">
        <v>3053</v>
      </c>
      <c r="D9" s="18" t="s">
        <v>3054</v>
      </c>
      <c r="F9" s="18">
        <v>100700</v>
      </c>
      <c r="G9" s="18" t="s">
        <v>3042</v>
      </c>
      <c r="H9" s="18" t="s">
        <v>3055</v>
      </c>
      <c r="J9" s="18">
        <v>4</v>
      </c>
      <c r="K9" s="18" t="s">
        <v>3056</v>
      </c>
      <c r="L9" s="18" t="s">
        <v>3057</v>
      </c>
      <c r="N9" s="18">
        <v>1010301</v>
      </c>
      <c r="O9" s="18" t="s">
        <v>3058</v>
      </c>
      <c r="P9" s="18" t="s">
        <v>3047</v>
      </c>
    </row>
    <row r="10" spans="2:16">
      <c r="B10" s="18">
        <v>202</v>
      </c>
      <c r="C10" s="18" t="s">
        <v>3059</v>
      </c>
      <c r="D10" s="18" t="s">
        <v>3060</v>
      </c>
      <c r="F10" s="18">
        <v>101200</v>
      </c>
      <c r="G10" s="18" t="s">
        <v>3042</v>
      </c>
      <c r="H10" s="18" t="s">
        <v>3061</v>
      </c>
      <c r="J10" s="18">
        <v>5</v>
      </c>
      <c r="K10" s="18" t="s">
        <v>3052</v>
      </c>
      <c r="L10" s="18" t="s">
        <v>3062</v>
      </c>
      <c r="N10" s="18">
        <v>1010302</v>
      </c>
      <c r="O10" s="18" t="s">
        <v>3063</v>
      </c>
      <c r="P10" s="18" t="s">
        <v>3047</v>
      </c>
    </row>
    <row r="11" spans="2:16">
      <c r="B11" s="18">
        <v>203</v>
      </c>
      <c r="C11" s="18" t="s">
        <v>3064</v>
      </c>
      <c r="D11" s="18" t="s">
        <v>3054</v>
      </c>
      <c r="F11" s="18">
        <v>101400</v>
      </c>
      <c r="G11" s="18" t="s">
        <v>3042</v>
      </c>
      <c r="H11" s="18" t="s">
        <v>3065</v>
      </c>
      <c r="J11" s="18">
        <v>6</v>
      </c>
      <c r="K11" s="18" t="s">
        <v>3066</v>
      </c>
      <c r="L11" s="18" t="s">
        <v>3067</v>
      </c>
      <c r="N11" s="18">
        <v>1010303</v>
      </c>
      <c r="O11" s="18" t="s">
        <v>3068</v>
      </c>
      <c r="P11" s="18" t="s">
        <v>3047</v>
      </c>
    </row>
    <row r="12" spans="2:16">
      <c r="B12" s="18">
        <v>204</v>
      </c>
      <c r="C12" s="18" t="s">
        <v>3069</v>
      </c>
      <c r="D12" s="18" t="s">
        <v>3060</v>
      </c>
      <c r="F12" s="18">
        <v>200100</v>
      </c>
      <c r="G12" s="18" t="s">
        <v>3042</v>
      </c>
      <c r="H12" s="18" t="s">
        <v>3070</v>
      </c>
      <c r="J12" s="25">
        <v>12</v>
      </c>
      <c r="K12" s="25" t="s">
        <v>3071</v>
      </c>
      <c r="L12" s="25" t="s">
        <v>3072</v>
      </c>
      <c r="N12" s="18">
        <v>1010311</v>
      </c>
      <c r="O12" s="18" t="s">
        <v>3073</v>
      </c>
      <c r="P12" s="18" t="s">
        <v>3047</v>
      </c>
    </row>
    <row r="13" spans="2:16">
      <c r="B13" s="18">
        <v>301</v>
      </c>
      <c r="C13" s="18" t="s">
        <v>3074</v>
      </c>
      <c r="D13" s="18" t="s">
        <v>3075</v>
      </c>
      <c r="F13" s="18">
        <v>200101</v>
      </c>
      <c r="G13" s="18" t="s">
        <v>3042</v>
      </c>
      <c r="H13" s="18" t="s">
        <v>3076</v>
      </c>
      <c r="J13" s="26"/>
      <c r="K13" s="26"/>
      <c r="L13" s="26"/>
      <c r="N13" s="18">
        <v>1010312</v>
      </c>
      <c r="O13" s="18" t="s">
        <v>3077</v>
      </c>
      <c r="P13" s="18" t="s">
        <v>3047</v>
      </c>
    </row>
    <row r="14" spans="2:16">
      <c r="B14" s="18">
        <v>302</v>
      </c>
      <c r="C14" s="18" t="s">
        <v>3078</v>
      </c>
      <c r="D14" s="18" t="s">
        <v>3079</v>
      </c>
      <c r="F14" s="18">
        <v>200300</v>
      </c>
      <c r="G14" s="18" t="s">
        <v>3042</v>
      </c>
      <c r="H14" s="18" t="s">
        <v>3080</v>
      </c>
      <c r="J14" s="26"/>
      <c r="K14" s="26"/>
      <c r="L14" s="26"/>
      <c r="N14" s="18">
        <v>1010313</v>
      </c>
      <c r="O14" s="18" t="s">
        <v>3081</v>
      </c>
      <c r="P14" s="18" t="s">
        <v>3047</v>
      </c>
    </row>
    <row r="15" spans="2:16">
      <c r="B15" s="18">
        <v>303</v>
      </c>
      <c r="C15" s="18" t="s">
        <v>3082</v>
      </c>
      <c r="D15" s="18" t="s">
        <v>3075</v>
      </c>
      <c r="F15" s="18">
        <v>200400</v>
      </c>
      <c r="G15" s="18" t="s">
        <v>3042</v>
      </c>
      <c r="H15" s="18" t="s">
        <v>3083</v>
      </c>
      <c r="N15" s="18">
        <v>1010314</v>
      </c>
      <c r="O15" s="18" t="s">
        <v>3084</v>
      </c>
      <c r="P15" s="18" t="s">
        <v>3047</v>
      </c>
    </row>
    <row r="16" spans="2:16">
      <c r="B16" s="18">
        <v>304</v>
      </c>
      <c r="C16" s="18" t="s">
        <v>3085</v>
      </c>
      <c r="D16" s="18" t="s">
        <v>3079</v>
      </c>
      <c r="F16" s="18">
        <v>200500</v>
      </c>
      <c r="G16" s="18" t="s">
        <v>3042</v>
      </c>
      <c r="H16" s="18" t="s">
        <v>3086</v>
      </c>
      <c r="N16" s="18">
        <v>1010315</v>
      </c>
      <c r="O16" s="18" t="s">
        <v>3087</v>
      </c>
      <c r="P16" s="18" t="s">
        <v>3047</v>
      </c>
    </row>
    <row r="17" spans="2:16">
      <c r="B17" s="20">
        <v>401</v>
      </c>
      <c r="C17" s="20" t="s">
        <v>3088</v>
      </c>
      <c r="D17" s="20" t="s">
        <v>3054</v>
      </c>
      <c r="F17" s="18">
        <v>200600</v>
      </c>
      <c r="G17" s="18" t="s">
        <v>3042</v>
      </c>
      <c r="H17" s="18" t="s">
        <v>3089</v>
      </c>
    </row>
    <row r="18" spans="2:16">
      <c r="B18" s="20">
        <v>402</v>
      </c>
      <c r="C18" s="20" t="s">
        <v>3090</v>
      </c>
      <c r="D18" s="20" t="s">
        <v>3060</v>
      </c>
      <c r="F18" s="18">
        <v>200700</v>
      </c>
      <c r="G18" s="18" t="s">
        <v>3042</v>
      </c>
      <c r="H18" s="18" t="s">
        <v>3091</v>
      </c>
    </row>
    <row r="19" spans="2:16">
      <c r="B19" s="27">
        <v>501</v>
      </c>
      <c r="C19" s="27" t="s">
        <v>3092</v>
      </c>
      <c r="D19" s="27" t="s">
        <v>3093</v>
      </c>
      <c r="F19" s="18">
        <v>200800</v>
      </c>
      <c r="G19" s="18" t="s">
        <v>3042</v>
      </c>
      <c r="H19" s="18" t="s">
        <v>3094</v>
      </c>
      <c r="N19" s="27" t="s">
        <v>3095</v>
      </c>
    </row>
    <row r="20" spans="2:16">
      <c r="B20" s="19">
        <v>502</v>
      </c>
      <c r="C20" s="19" t="s">
        <v>3096</v>
      </c>
      <c r="D20" s="19" t="s">
        <v>3097</v>
      </c>
      <c r="F20" s="18">
        <v>200900</v>
      </c>
      <c r="G20" s="18" t="s">
        <v>3042</v>
      </c>
      <c r="H20" s="18" t="s">
        <v>3098</v>
      </c>
      <c r="N20" s="24" t="s">
        <v>3038</v>
      </c>
      <c r="O20" s="24" t="s">
        <v>3039</v>
      </c>
      <c r="P20" s="24" t="s">
        <v>3033</v>
      </c>
    </row>
    <row r="21" spans="2:16">
      <c r="B21" s="18">
        <v>601</v>
      </c>
      <c r="C21" s="18" t="s">
        <v>3099</v>
      </c>
      <c r="D21" s="18" t="s">
        <v>3100</v>
      </c>
      <c r="F21" s="18">
        <v>201000</v>
      </c>
      <c r="G21" s="18" t="s">
        <v>3042</v>
      </c>
      <c r="H21" s="18" t="s">
        <v>3101</v>
      </c>
      <c r="N21" s="18">
        <v>1022501</v>
      </c>
      <c r="O21" s="18" t="s">
        <v>3046</v>
      </c>
      <c r="P21" s="18" t="s">
        <v>3102</v>
      </c>
    </row>
    <row r="22" spans="2:16">
      <c r="B22" s="18">
        <v>602</v>
      </c>
      <c r="C22" s="18" t="s">
        <v>3103</v>
      </c>
      <c r="D22" s="18" t="s">
        <v>3104</v>
      </c>
      <c r="F22" s="18">
        <v>300100</v>
      </c>
      <c r="G22" s="18" t="s">
        <v>3042</v>
      </c>
      <c r="H22" s="18" t="s">
        <v>3105</v>
      </c>
      <c r="N22" s="18">
        <v>1022502</v>
      </c>
      <c r="O22" s="18" t="s">
        <v>3052</v>
      </c>
      <c r="P22" s="18" t="s">
        <v>3106</v>
      </c>
    </row>
    <row r="23" spans="2:16">
      <c r="F23" s="18">
        <v>300200</v>
      </c>
      <c r="G23" s="18" t="s">
        <v>3042</v>
      </c>
      <c r="H23" s="18" t="s">
        <v>3107</v>
      </c>
      <c r="N23" s="18">
        <v>1980000</v>
      </c>
      <c r="O23" s="18" t="s">
        <v>3108</v>
      </c>
      <c r="P23" s="18" t="s">
        <v>3109</v>
      </c>
    </row>
    <row r="24" spans="2:16">
      <c r="F24" s="18">
        <v>200100</v>
      </c>
      <c r="G24" s="18" t="s">
        <v>3110</v>
      </c>
      <c r="H24" s="18" t="s">
        <v>3111</v>
      </c>
    </row>
    <row r="25" spans="2:16">
      <c r="F25" s="18">
        <v>200101</v>
      </c>
      <c r="G25" s="18" t="s">
        <v>3110</v>
      </c>
      <c r="H25" s="18" t="s">
        <v>3112</v>
      </c>
    </row>
    <row r="26" spans="2:16">
      <c r="F26" s="18">
        <v>200300</v>
      </c>
      <c r="G26" s="18" t="s">
        <v>3110</v>
      </c>
      <c r="H26" s="18" t="s">
        <v>3113</v>
      </c>
    </row>
    <row r="27" spans="2:16">
      <c r="F27" s="18">
        <v>200400</v>
      </c>
      <c r="G27" s="18" t="s">
        <v>3110</v>
      </c>
      <c r="H27" s="18" t="s">
        <v>3114</v>
      </c>
    </row>
    <row r="28" spans="2:16">
      <c r="F28" s="18">
        <v>200500</v>
      </c>
      <c r="G28" s="18" t="s">
        <v>3110</v>
      </c>
      <c r="H28" s="18" t="s">
        <v>3115</v>
      </c>
    </row>
    <row r="29" spans="2:16">
      <c r="F29" s="18">
        <v>200600</v>
      </c>
      <c r="G29" s="18" t="s">
        <v>3110</v>
      </c>
      <c r="H29" s="18" t="s">
        <v>3116</v>
      </c>
    </row>
    <row r="30" spans="2:16">
      <c r="F30" s="18">
        <v>200700</v>
      </c>
      <c r="G30" s="18" t="s">
        <v>3110</v>
      </c>
      <c r="H30" s="18" t="s">
        <v>3117</v>
      </c>
    </row>
    <row r="31" spans="2:16">
      <c r="F31" s="18">
        <v>200800</v>
      </c>
      <c r="G31" s="18" t="s">
        <v>3110</v>
      </c>
      <c r="H31" s="18" t="s">
        <v>3118</v>
      </c>
    </row>
    <row r="32" spans="2:16">
      <c r="F32" s="18">
        <v>200900</v>
      </c>
      <c r="G32" s="18" t="s">
        <v>3110</v>
      </c>
      <c r="H32" s="18" t="s">
        <v>3119</v>
      </c>
    </row>
    <row r="33" spans="1:22">
      <c r="F33" s="18">
        <v>300200</v>
      </c>
      <c r="G33" s="18" t="s">
        <v>3110</v>
      </c>
      <c r="H33" s="18" t="s">
        <v>3120</v>
      </c>
    </row>
    <row r="38" s="3" customFormat="1" spans="1:22">
      <c r="A38" s="28" t="s">
        <v>0</v>
      </c>
      <c r="B38" s="28" t="s">
        <v>1</v>
      </c>
      <c r="C38" s="28" t="s">
        <v>4</v>
      </c>
      <c r="D38" s="28"/>
      <c r="E38" s="28" t="s">
        <v>6</v>
      </c>
      <c r="F38" s="29" t="s">
        <v>8</v>
      </c>
      <c r="G38" s="29" t="s">
        <v>9</v>
      </c>
      <c r="H38" s="30" t="s">
        <v>10</v>
      </c>
      <c r="I38" s="7" t="s">
        <v>11</v>
      </c>
      <c r="J38" s="7" t="s">
        <v>12</v>
      </c>
      <c r="K38" s="31" t="s">
        <v>13</v>
      </c>
      <c r="L38" s="31" t="s">
        <v>18</v>
      </c>
      <c r="M38" s="3" t="s">
        <v>23</v>
      </c>
      <c r="R38" s="3" t="s">
        <v>3121</v>
      </c>
      <c r="S38" s="3" t="s">
        <v>3122</v>
      </c>
      <c r="T38" s="3" t="s">
        <v>3123</v>
      </c>
      <c r="U38" s="3" t="s">
        <v>3124</v>
      </c>
      <c r="V38" s="3" t="s">
        <v>3125</v>
      </c>
    </row>
    <row r="39" s="3" customFormat="1" spans="1:22">
      <c r="A39" s="28" t="s">
        <v>25</v>
      </c>
      <c r="B39" s="28" t="s">
        <v>25</v>
      </c>
      <c r="C39" s="28" t="s">
        <v>25</v>
      </c>
      <c r="D39" s="28"/>
      <c r="E39" s="28" t="s">
        <v>3126</v>
      </c>
      <c r="F39" s="32" t="s">
        <v>3126</v>
      </c>
      <c r="G39" s="32" t="s">
        <v>25</v>
      </c>
      <c r="H39" s="32" t="s">
        <v>28</v>
      </c>
      <c r="I39" s="9" t="s">
        <v>25</v>
      </c>
      <c r="J39" s="9" t="s">
        <v>28</v>
      </c>
      <c r="K39" s="33" t="s">
        <v>28</v>
      </c>
      <c r="L39" s="33" t="s">
        <v>25</v>
      </c>
    </row>
    <row r="40" s="3" customFormat="1" spans="1:22">
      <c r="A40" s="28" t="s">
        <v>31</v>
      </c>
      <c r="B40" s="28" t="s">
        <v>32</v>
      </c>
      <c r="C40" s="28" t="s">
        <v>34</v>
      </c>
      <c r="D40" s="28"/>
      <c r="E40" s="28" t="s">
        <v>35</v>
      </c>
      <c r="F40" s="32" t="s">
        <v>37</v>
      </c>
      <c r="G40" s="34" t="s">
        <v>38</v>
      </c>
      <c r="H40" s="34" t="s">
        <v>39</v>
      </c>
      <c r="I40" s="7" t="s">
        <v>40</v>
      </c>
      <c r="J40" s="7" t="s">
        <v>41</v>
      </c>
      <c r="K40" s="31" t="s">
        <v>42</v>
      </c>
      <c r="L40" s="31" t="s">
        <v>47</v>
      </c>
    </row>
    <row r="41" s="3" customFormat="1" spans="1:22">
      <c r="A41" s="28"/>
      <c r="B41" s="28"/>
      <c r="C41" s="28"/>
      <c r="D41" s="28"/>
      <c r="E41" s="28"/>
      <c r="F41" s="28"/>
      <c r="G41" s="28"/>
      <c r="H41" s="35"/>
      <c r="I41" s="7"/>
      <c r="J41" s="7"/>
      <c r="K41" s="31"/>
      <c r="L41" s="31"/>
    </row>
    <row r="42" s="4" customFormat="1" spans="1:22">
      <c r="A42" s="12">
        <v>10008</v>
      </c>
      <c r="B42" s="12">
        <v>1</v>
      </c>
      <c r="C42" s="12">
        <v>8</v>
      </c>
      <c r="D42" s="12">
        <f>COUNTIF($C$42:C42,C42)</f>
        <v>1</v>
      </c>
      <c r="E42" s="12" t="s">
        <v>3127</v>
      </c>
      <c r="F42" s="12"/>
      <c r="G42" s="13">
        <v>3</v>
      </c>
      <c r="H42" s="13" t="s">
        <v>55</v>
      </c>
      <c r="I42" s="10">
        <v>3002</v>
      </c>
      <c r="J42" s="10" t="s">
        <v>3128</v>
      </c>
      <c r="K42" s="8"/>
      <c r="L42" s="8">
        <v>70008</v>
      </c>
      <c r="M42" s="4" t="s">
        <v>3129</v>
      </c>
      <c r="N42" s="1" t="s">
        <v>3050</v>
      </c>
      <c r="O42" s="4">
        <v>10</v>
      </c>
      <c r="P42" t="s">
        <v>3046</v>
      </c>
      <c r="Q42">
        <v>0.25</v>
      </c>
      <c r="R42" s="4">
        <f t="shared" ref="R42:R48" si="0">Q42*O42</f>
        <v>2.5</v>
      </c>
      <c r="S42" s="14"/>
      <c r="T42" s="14">
        <f t="shared" ref="T42:T44" si="1">R42*100</f>
        <v>250</v>
      </c>
      <c r="U42" s="14"/>
      <c r="V42" s="4">
        <f t="shared" ref="V42:V48" si="2">ROUND(MAX(S42/100,T42/100,U42),0)</f>
        <v>3</v>
      </c>
    </row>
    <row r="43" s="4" customFormat="1" spans="1:22">
      <c r="A43" s="12">
        <f t="shared" ref="A43:A48" si="3">C43*100+D43</f>
        <v>121010101</v>
      </c>
      <c r="B43" s="12">
        <v>1</v>
      </c>
      <c r="C43" s="12">
        <v>1210101</v>
      </c>
      <c r="D43" s="12">
        <f>COUNTIF($C$42:C43,C43)</f>
        <v>1</v>
      </c>
      <c r="E43" s="12" t="s">
        <v>3130</v>
      </c>
      <c r="F43" s="12"/>
      <c r="G43" s="13">
        <v>8</v>
      </c>
      <c r="H43" s="13" t="s">
        <v>55</v>
      </c>
      <c r="I43" s="10">
        <v>3002</v>
      </c>
      <c r="J43" s="10" t="s">
        <v>3128</v>
      </c>
      <c r="K43" s="8"/>
      <c r="L43" s="8" t="s">
        <v>3131</v>
      </c>
      <c r="M43" s="4" t="s">
        <v>3132</v>
      </c>
      <c r="N43" s="1" t="s">
        <v>3050</v>
      </c>
      <c r="O43" s="4">
        <v>30</v>
      </c>
      <c r="P43" t="s">
        <v>3046</v>
      </c>
      <c r="Q43">
        <v>0.25</v>
      </c>
      <c r="R43" s="4">
        <f t="shared" si="0"/>
        <v>7.5</v>
      </c>
      <c r="S43" s="14"/>
      <c r="T43" s="14">
        <f t="shared" si="1"/>
        <v>750</v>
      </c>
      <c r="U43" s="14"/>
      <c r="V43" s="4">
        <f t="shared" si="2"/>
        <v>8</v>
      </c>
    </row>
    <row r="44" s="4" customFormat="1" spans="1:22">
      <c r="A44" s="12">
        <f t="shared" si="3"/>
        <v>121010102</v>
      </c>
      <c r="B44" s="12">
        <v>1</v>
      </c>
      <c r="C44" s="12">
        <v>1210101</v>
      </c>
      <c r="D44" s="12">
        <f>COUNTIF($C$42:C44,C44)</f>
        <v>2</v>
      </c>
      <c r="E44" s="12" t="s">
        <v>3133</v>
      </c>
      <c r="F44" s="12"/>
      <c r="G44" s="13">
        <v>25</v>
      </c>
      <c r="H44" s="13" t="s">
        <v>55</v>
      </c>
      <c r="I44" s="10">
        <v>3002</v>
      </c>
      <c r="J44" s="10" t="s">
        <v>3128</v>
      </c>
      <c r="K44" s="8"/>
      <c r="L44" s="8" t="s">
        <v>3134</v>
      </c>
      <c r="M44" s="4" t="s">
        <v>3135</v>
      </c>
      <c r="N44" s="1" t="s">
        <v>3050</v>
      </c>
      <c r="O44" s="4">
        <v>100</v>
      </c>
      <c r="P44" t="s">
        <v>3046</v>
      </c>
      <c r="Q44">
        <v>0.25</v>
      </c>
      <c r="R44" s="4">
        <f t="shared" si="0"/>
        <v>25</v>
      </c>
      <c r="S44" s="14"/>
      <c r="T44" s="14">
        <f t="shared" si="1"/>
        <v>2500</v>
      </c>
      <c r="U44" s="14"/>
      <c r="V44" s="4">
        <f t="shared" si="2"/>
        <v>25</v>
      </c>
    </row>
    <row r="45" s="4" customFormat="1" spans="1:22">
      <c r="A45" s="12">
        <v>10001</v>
      </c>
      <c r="B45" s="12">
        <v>1</v>
      </c>
      <c r="C45" s="12">
        <v>11001</v>
      </c>
      <c r="D45" s="12">
        <f>COUNTIF($C$45:C45,C45)</f>
        <v>1</v>
      </c>
      <c r="E45" s="12" t="s">
        <v>3136</v>
      </c>
      <c r="F45" s="12"/>
      <c r="G45" s="13">
        <v>20</v>
      </c>
      <c r="H45" s="13" t="s">
        <v>55</v>
      </c>
      <c r="I45" s="10">
        <v>2003</v>
      </c>
      <c r="J45" s="10" t="s">
        <v>3137</v>
      </c>
      <c r="K45" s="8"/>
      <c r="L45" s="8" t="s">
        <v>3138</v>
      </c>
      <c r="M45" s="4" t="s">
        <v>3139</v>
      </c>
      <c r="N45" s="4" t="s">
        <v>3140</v>
      </c>
      <c r="O45" s="4">
        <v>2</v>
      </c>
      <c r="Q45" s="4">
        <v>999</v>
      </c>
      <c r="R45" s="4">
        <f t="shared" si="0"/>
        <v>1998</v>
      </c>
      <c r="S45" s="14">
        <f t="shared" ref="S45:S48" si="4">R45</f>
        <v>1998</v>
      </c>
      <c r="T45" s="14"/>
      <c r="U45" s="14"/>
      <c r="V45" s="4">
        <f t="shared" si="2"/>
        <v>20</v>
      </c>
    </row>
    <row r="46" s="4" customFormat="1" spans="1:22">
      <c r="A46" s="12">
        <f t="shared" si="3"/>
        <v>110010101</v>
      </c>
      <c r="B46" s="12">
        <v>1</v>
      </c>
      <c r="C46" s="12">
        <v>1100101</v>
      </c>
      <c r="D46" s="12">
        <f>COUNTIF($C$45:C46,C46)</f>
        <v>1</v>
      </c>
      <c r="E46" s="12" t="s">
        <v>3141</v>
      </c>
      <c r="F46" s="12"/>
      <c r="G46" s="13">
        <v>1</v>
      </c>
      <c r="H46" s="13" t="s">
        <v>55</v>
      </c>
      <c r="I46" s="10">
        <v>2003</v>
      </c>
      <c r="J46" s="10" t="s">
        <v>3137</v>
      </c>
      <c r="K46" s="8"/>
      <c r="L46" s="8" t="s">
        <v>3142</v>
      </c>
      <c r="M46" s="4" t="s">
        <v>3143</v>
      </c>
      <c r="N46" s="4" t="s">
        <v>3140</v>
      </c>
      <c r="O46" s="4">
        <v>1</v>
      </c>
      <c r="Q46" s="4">
        <v>99</v>
      </c>
      <c r="R46" s="4">
        <f t="shared" si="0"/>
        <v>99</v>
      </c>
      <c r="S46" s="14">
        <f t="shared" si="4"/>
        <v>99</v>
      </c>
      <c r="T46" s="14"/>
      <c r="U46" s="14"/>
      <c r="V46" s="4">
        <f t="shared" si="2"/>
        <v>1</v>
      </c>
    </row>
    <row r="47" s="4" customFormat="1" spans="1:22">
      <c r="A47" s="12">
        <f t="shared" si="3"/>
        <v>110010102</v>
      </c>
      <c r="B47" s="12">
        <v>1</v>
      </c>
      <c r="C47" s="12">
        <v>1100101</v>
      </c>
      <c r="D47" s="12">
        <f>COUNTIF($C$45:C47,C47)</f>
        <v>2</v>
      </c>
      <c r="E47" s="12" t="s">
        <v>3144</v>
      </c>
      <c r="F47" s="12"/>
      <c r="G47" s="13">
        <v>5</v>
      </c>
      <c r="H47" s="13" t="s">
        <v>55</v>
      </c>
      <c r="I47" s="10">
        <v>2003</v>
      </c>
      <c r="J47" s="10" t="s">
        <v>3137</v>
      </c>
      <c r="K47" s="8"/>
      <c r="L47" s="8" t="s">
        <v>3145</v>
      </c>
      <c r="M47" s="4" t="s">
        <v>3146</v>
      </c>
      <c r="N47" s="4" t="s">
        <v>3140</v>
      </c>
      <c r="O47" s="4">
        <v>1</v>
      </c>
      <c r="Q47" s="4">
        <v>499</v>
      </c>
      <c r="R47" s="4">
        <f t="shared" si="0"/>
        <v>499</v>
      </c>
      <c r="S47" s="14">
        <f t="shared" si="4"/>
        <v>499</v>
      </c>
      <c r="T47" s="14"/>
      <c r="U47" s="14"/>
      <c r="V47" s="4">
        <f t="shared" si="2"/>
        <v>5</v>
      </c>
    </row>
    <row r="48" s="4" customFormat="1" spans="1:22">
      <c r="A48" s="12">
        <f t="shared" si="3"/>
        <v>110010103</v>
      </c>
      <c r="B48" s="12">
        <v>1</v>
      </c>
      <c r="C48" s="12">
        <v>1100101</v>
      </c>
      <c r="D48" s="12">
        <f>COUNTIF($C$45:C48,C48)</f>
        <v>3</v>
      </c>
      <c r="E48" s="12" t="s">
        <v>3147</v>
      </c>
      <c r="F48" s="12"/>
      <c r="G48" s="13">
        <v>10</v>
      </c>
      <c r="H48" s="13" t="s">
        <v>55</v>
      </c>
      <c r="I48" s="10">
        <v>2003</v>
      </c>
      <c r="J48" s="10" t="s">
        <v>3137</v>
      </c>
      <c r="K48" s="8"/>
      <c r="L48" s="8" t="s">
        <v>3148</v>
      </c>
      <c r="M48" s="4" t="s">
        <v>3149</v>
      </c>
      <c r="N48" s="4" t="s">
        <v>3140</v>
      </c>
      <c r="O48" s="4">
        <v>1</v>
      </c>
      <c r="Q48" s="4">
        <v>999</v>
      </c>
      <c r="R48" s="4">
        <f t="shared" si="0"/>
        <v>999</v>
      </c>
      <c r="S48" s="14">
        <f t="shared" si="4"/>
        <v>999</v>
      </c>
      <c r="T48" s="14"/>
      <c r="U48" s="14"/>
      <c r="V48" s="4">
        <f t="shared" si="2"/>
        <v>10</v>
      </c>
    </row>
    <row r="54" spans="4:14">
      <c r="D54" s="18" t="s">
        <v>3150</v>
      </c>
      <c r="E54" s="18" t="s">
        <v>3151</v>
      </c>
      <c r="G54" s="18" t="s">
        <v>3152</v>
      </c>
      <c r="H54" s="18" t="s">
        <v>3153</v>
      </c>
    </row>
    <row r="55" spans="4:14">
      <c r="D55">
        <v>1024012</v>
      </c>
      <c r="E55">
        <v>1024011</v>
      </c>
      <c r="F55"/>
      <c r="G55" s="36">
        <v>50</v>
      </c>
      <c r="H55">
        <f>G55</f>
        <v>50</v>
      </c>
      <c r="I55" t="str">
        <f>_xlfn.TEXTJOIN("_",TRUE,$E$55,G55)</f>
        <v>1024011_50</v>
      </c>
      <c r="J55" t="str">
        <f>_xlfn.TEXTJOIN("_",TRUE,$D$55,H55)</f>
        <v>1024012_50</v>
      </c>
      <c r="K55"/>
      <c r="L55" t="str">
        <f t="shared" ref="L55:L118" si="5">_xlfn.TEXTJOIN("|",TRUE,I55:J55)</f>
        <v>1024011_50|1024012_50</v>
      </c>
      <c r="M55"/>
      <c r="N55"/>
    </row>
    <row r="56" spans="4:14">
      <c r="D56"/>
      <c r="E56"/>
      <c r="F56"/>
      <c r="G56" s="36">
        <f>G55*3</f>
        <v>150</v>
      </c>
      <c r="H56">
        <f>H55*3</f>
        <v>150</v>
      </c>
      <c r="I56" t="str">
        <f t="shared" ref="I56:I87" si="6">_xlfn.TEXTJOIN("_",TRUE,$E$55,G56)</f>
        <v>1024011_150</v>
      </c>
      <c r="J56" t="str">
        <f t="shared" ref="J56:J87" si="7">_xlfn.TEXTJOIN("_",TRUE,$D$55,H56)</f>
        <v>1024012_150</v>
      </c>
      <c r="K56"/>
      <c r="L56" t="str">
        <f t="shared" si="5"/>
        <v>1024011_150|1024012_150</v>
      </c>
      <c r="M56"/>
      <c r="N56"/>
    </row>
    <row r="57" spans="4:14">
      <c r="D57"/>
      <c r="E57"/>
      <c r="F57"/>
      <c r="G57" s="36">
        <f>G55*5</f>
        <v>250</v>
      </c>
      <c r="H57">
        <f>H55*5</f>
        <v>250</v>
      </c>
      <c r="I57" t="str">
        <f t="shared" si="6"/>
        <v>1024011_250</v>
      </c>
      <c r="J57" t="str">
        <f t="shared" si="7"/>
        <v>1024012_250</v>
      </c>
      <c r="K57"/>
      <c r="L57" t="str">
        <f t="shared" si="5"/>
        <v>1024011_250|1024012_250</v>
      </c>
      <c r="M57"/>
      <c r="N57"/>
    </row>
    <row r="58" spans="4:14">
      <c r="D58"/>
      <c r="E58"/>
      <c r="F58"/>
      <c r="G58" s="36">
        <f>G55*10</f>
        <v>500</v>
      </c>
      <c r="H58">
        <f>H55*10</f>
        <v>500</v>
      </c>
      <c r="I58" t="str">
        <f t="shared" si="6"/>
        <v>1024011_500</v>
      </c>
      <c r="J58" t="str">
        <f t="shared" si="7"/>
        <v>1024012_500</v>
      </c>
      <c r="K58"/>
      <c r="L58" t="str">
        <f t="shared" si="5"/>
        <v>1024011_500|1024012_500</v>
      </c>
      <c r="M58"/>
      <c r="N58"/>
    </row>
    <row r="59" spans="4:14">
      <c r="D59"/>
      <c r="E59"/>
      <c r="F59"/>
      <c r="G59" s="36">
        <f>G55*20</f>
        <v>1000</v>
      </c>
      <c r="H59">
        <f>H55*20</f>
        <v>1000</v>
      </c>
      <c r="I59" t="str">
        <f t="shared" si="6"/>
        <v>1024011_1000</v>
      </c>
      <c r="J59" t="str">
        <f t="shared" si="7"/>
        <v>1024012_1000</v>
      </c>
      <c r="K59"/>
      <c r="L59" t="str">
        <f t="shared" si="5"/>
        <v>1024011_1000|1024012_1000</v>
      </c>
      <c r="M59"/>
      <c r="N59"/>
    </row>
    <row r="60" spans="4:14">
      <c r="D60"/>
      <c r="E60"/>
      <c r="F60"/>
      <c r="G60" s="36">
        <f>G55*30</f>
        <v>1500</v>
      </c>
      <c r="H60">
        <f>H55*30</f>
        <v>1500</v>
      </c>
      <c r="I60" t="str">
        <f t="shared" si="6"/>
        <v>1024011_1500</v>
      </c>
      <c r="J60" t="str">
        <f t="shared" si="7"/>
        <v>1024012_1500</v>
      </c>
      <c r="K60"/>
      <c r="L60" t="str">
        <f t="shared" si="5"/>
        <v>1024011_1500|1024012_1500</v>
      </c>
      <c r="M60"/>
      <c r="N60"/>
    </row>
    <row r="61" spans="4:14">
      <c r="D61"/>
      <c r="E61"/>
      <c r="F61"/>
      <c r="G61" s="36">
        <f>G55*50</f>
        <v>2500</v>
      </c>
      <c r="H61">
        <f>H55*50</f>
        <v>2500</v>
      </c>
      <c r="I61" t="str">
        <f t="shared" si="6"/>
        <v>1024011_2500</v>
      </c>
      <c r="J61" t="str">
        <f t="shared" si="7"/>
        <v>1024012_2500</v>
      </c>
      <c r="K61"/>
      <c r="L61" t="str">
        <f t="shared" si="5"/>
        <v>1024011_2500|1024012_2500</v>
      </c>
      <c r="M61"/>
      <c r="N61"/>
    </row>
    <row r="62" spans="4:14">
      <c r="D62"/>
      <c r="E62"/>
      <c r="F62"/>
      <c r="G62" s="36">
        <v>100</v>
      </c>
      <c r="H62">
        <f>G62</f>
        <v>100</v>
      </c>
      <c r="I62" t="str">
        <f t="shared" si="6"/>
        <v>1024011_100</v>
      </c>
      <c r="J62" t="str">
        <f t="shared" si="7"/>
        <v>1024012_100</v>
      </c>
      <c r="K62"/>
      <c r="L62" t="str">
        <f t="shared" si="5"/>
        <v>1024011_100|1024012_100</v>
      </c>
      <c r="M62"/>
      <c r="N62"/>
    </row>
    <row r="63" spans="4:14">
      <c r="D63"/>
      <c r="E63"/>
      <c r="F63"/>
      <c r="G63" s="36">
        <f>G62*3</f>
        <v>300</v>
      </c>
      <c r="H63">
        <f>H62*3</f>
        <v>300</v>
      </c>
      <c r="I63" t="str">
        <f t="shared" si="6"/>
        <v>1024011_300</v>
      </c>
      <c r="J63" t="str">
        <f t="shared" si="7"/>
        <v>1024012_300</v>
      </c>
      <c r="K63"/>
      <c r="L63" t="str">
        <f t="shared" si="5"/>
        <v>1024011_300|1024012_300</v>
      </c>
      <c r="M63"/>
      <c r="N63"/>
    </row>
    <row r="64" spans="4:14">
      <c r="D64"/>
      <c r="E64"/>
      <c r="F64"/>
      <c r="G64" s="36">
        <f>G62*5</f>
        <v>500</v>
      </c>
      <c r="H64">
        <f>H62*5</f>
        <v>500</v>
      </c>
      <c r="I64" t="str">
        <f t="shared" si="6"/>
        <v>1024011_500</v>
      </c>
      <c r="J64" t="str">
        <f t="shared" si="7"/>
        <v>1024012_500</v>
      </c>
      <c r="K64"/>
      <c r="L64" t="str">
        <f t="shared" si="5"/>
        <v>1024011_500|1024012_500</v>
      </c>
      <c r="M64"/>
      <c r="N64"/>
    </row>
    <row r="65" spans="4:14">
      <c r="D65"/>
      <c r="E65"/>
      <c r="F65"/>
      <c r="G65" s="36">
        <f>G62*10</f>
        <v>1000</v>
      </c>
      <c r="H65">
        <f>H62*10</f>
        <v>1000</v>
      </c>
      <c r="I65" t="str">
        <f t="shared" si="6"/>
        <v>1024011_1000</v>
      </c>
      <c r="J65" t="str">
        <f t="shared" si="7"/>
        <v>1024012_1000</v>
      </c>
      <c r="K65"/>
      <c r="L65" t="str">
        <f t="shared" si="5"/>
        <v>1024011_1000|1024012_1000</v>
      </c>
      <c r="M65"/>
      <c r="N65"/>
    </row>
    <row r="66" spans="4:14">
      <c r="D66"/>
      <c r="E66"/>
      <c r="F66"/>
      <c r="G66" s="36">
        <f>G62*20</f>
        <v>2000</v>
      </c>
      <c r="H66">
        <f>H62*20</f>
        <v>2000</v>
      </c>
      <c r="I66" t="str">
        <f t="shared" si="6"/>
        <v>1024011_2000</v>
      </c>
      <c r="J66" t="str">
        <f t="shared" si="7"/>
        <v>1024012_2000</v>
      </c>
      <c r="K66"/>
      <c r="L66" t="str">
        <f t="shared" si="5"/>
        <v>1024011_2000|1024012_2000</v>
      </c>
      <c r="M66"/>
      <c r="N66"/>
    </row>
    <row r="67" spans="4:14">
      <c r="D67"/>
      <c r="E67"/>
      <c r="F67"/>
      <c r="G67" s="36">
        <f>G62*30</f>
        <v>3000</v>
      </c>
      <c r="H67">
        <f>H62*30</f>
        <v>3000</v>
      </c>
      <c r="I67" t="str">
        <f t="shared" si="6"/>
        <v>1024011_3000</v>
      </c>
      <c r="J67" t="str">
        <f t="shared" si="7"/>
        <v>1024012_3000</v>
      </c>
      <c r="K67"/>
      <c r="L67" t="str">
        <f t="shared" si="5"/>
        <v>1024011_3000|1024012_3000</v>
      </c>
      <c r="M67"/>
      <c r="N67"/>
    </row>
    <row r="68" spans="4:14">
      <c r="D68"/>
      <c r="E68"/>
      <c r="F68"/>
      <c r="G68" s="36">
        <f>G62*50</f>
        <v>5000</v>
      </c>
      <c r="H68">
        <f>H62*50</f>
        <v>5000</v>
      </c>
      <c r="I68" t="str">
        <f t="shared" si="6"/>
        <v>1024011_5000</v>
      </c>
      <c r="J68" t="str">
        <f t="shared" si="7"/>
        <v>1024012_5000</v>
      </c>
      <c r="K68"/>
      <c r="L68" t="str">
        <f t="shared" si="5"/>
        <v>1024011_5000|1024012_5000</v>
      </c>
      <c r="M68"/>
      <c r="N68"/>
    </row>
    <row r="69" spans="4:14">
      <c r="D69"/>
      <c r="E69"/>
      <c r="F69"/>
      <c r="G69" s="36">
        <v>500</v>
      </c>
      <c r="H69">
        <v>100</v>
      </c>
      <c r="I69" t="str">
        <f t="shared" si="6"/>
        <v>1024011_500</v>
      </c>
      <c r="J69" t="str">
        <f t="shared" si="7"/>
        <v>1024012_100</v>
      </c>
      <c r="K69"/>
      <c r="L69" t="str">
        <f t="shared" si="5"/>
        <v>1024011_500|1024012_100</v>
      </c>
      <c r="M69"/>
      <c r="N69"/>
    </row>
    <row r="70" spans="4:14">
      <c r="D70"/>
      <c r="E70"/>
      <c r="F70"/>
      <c r="G70" s="36">
        <f>G69*3</f>
        <v>1500</v>
      </c>
      <c r="H70">
        <f>H69*3</f>
        <v>300</v>
      </c>
      <c r="I70" t="str">
        <f t="shared" si="6"/>
        <v>1024011_1500</v>
      </c>
      <c r="J70" t="str">
        <f t="shared" si="7"/>
        <v>1024012_300</v>
      </c>
      <c r="K70"/>
      <c r="L70" t="str">
        <f t="shared" si="5"/>
        <v>1024011_1500|1024012_300</v>
      </c>
      <c r="M70"/>
      <c r="N70"/>
    </row>
    <row r="71" spans="4:14">
      <c r="D71"/>
      <c r="E71"/>
      <c r="F71"/>
      <c r="G71" s="36">
        <f>G69*5</f>
        <v>2500</v>
      </c>
      <c r="H71">
        <f>H69*5</f>
        <v>500</v>
      </c>
      <c r="I71" t="str">
        <f t="shared" si="6"/>
        <v>1024011_2500</v>
      </c>
      <c r="J71" t="str">
        <f t="shared" si="7"/>
        <v>1024012_500</v>
      </c>
      <c r="K71"/>
      <c r="L71" t="str">
        <f t="shared" si="5"/>
        <v>1024011_2500|1024012_500</v>
      </c>
      <c r="M71"/>
      <c r="N71"/>
    </row>
    <row r="72" spans="4:14">
      <c r="D72"/>
      <c r="E72"/>
      <c r="F72"/>
      <c r="G72" s="36">
        <f>G69*10</f>
        <v>5000</v>
      </c>
      <c r="H72">
        <f>H69*10</f>
        <v>1000</v>
      </c>
      <c r="I72" t="str">
        <f t="shared" si="6"/>
        <v>1024011_5000</v>
      </c>
      <c r="J72" t="str">
        <f t="shared" si="7"/>
        <v>1024012_1000</v>
      </c>
      <c r="K72"/>
      <c r="L72" t="str">
        <f t="shared" si="5"/>
        <v>1024011_5000|1024012_1000</v>
      </c>
      <c r="M72"/>
      <c r="N72"/>
    </row>
    <row r="73" spans="4:14">
      <c r="D73"/>
      <c r="E73"/>
      <c r="F73"/>
      <c r="G73" s="36">
        <f>G69*20</f>
        <v>10000</v>
      </c>
      <c r="H73">
        <f>H69*20</f>
        <v>2000</v>
      </c>
      <c r="I73" t="str">
        <f t="shared" si="6"/>
        <v>1024011_10000</v>
      </c>
      <c r="J73" t="str">
        <f t="shared" si="7"/>
        <v>1024012_2000</v>
      </c>
      <c r="K73"/>
      <c r="L73" t="str">
        <f t="shared" si="5"/>
        <v>1024011_10000|1024012_2000</v>
      </c>
      <c r="M73"/>
      <c r="N73"/>
    </row>
    <row r="74" spans="4:14">
      <c r="D74"/>
      <c r="E74"/>
      <c r="F74"/>
      <c r="G74" s="36">
        <f>G69*30</f>
        <v>15000</v>
      </c>
      <c r="H74">
        <f>H69*30</f>
        <v>3000</v>
      </c>
      <c r="I74" t="str">
        <f t="shared" si="6"/>
        <v>1024011_15000</v>
      </c>
      <c r="J74" t="str">
        <f t="shared" si="7"/>
        <v>1024012_3000</v>
      </c>
      <c r="K74"/>
      <c r="L74" t="str">
        <f t="shared" si="5"/>
        <v>1024011_15000|1024012_3000</v>
      </c>
      <c r="M74"/>
      <c r="N74"/>
    </row>
    <row r="75" spans="4:14">
      <c r="D75"/>
      <c r="E75"/>
      <c r="F75"/>
      <c r="G75" s="36">
        <f>G69*50</f>
        <v>25000</v>
      </c>
      <c r="H75">
        <f>H69*50</f>
        <v>5000</v>
      </c>
      <c r="I75" t="str">
        <f t="shared" si="6"/>
        <v>1024011_25000</v>
      </c>
      <c r="J75" t="str">
        <f t="shared" si="7"/>
        <v>1024012_5000</v>
      </c>
      <c r="K75"/>
      <c r="L75" t="str">
        <f t="shared" si="5"/>
        <v>1024011_25000|1024012_5000</v>
      </c>
      <c r="M75"/>
      <c r="N75"/>
    </row>
    <row r="76" spans="4:14">
      <c r="D76"/>
      <c r="E76"/>
      <c r="F76"/>
      <c r="G76" s="36">
        <v>20</v>
      </c>
      <c r="H76">
        <f>G76</f>
        <v>20</v>
      </c>
      <c r="I76" t="str">
        <f t="shared" si="6"/>
        <v>1024011_20</v>
      </c>
      <c r="J76" t="str">
        <f t="shared" si="7"/>
        <v>1024012_20</v>
      </c>
      <c r="K76"/>
      <c r="L76" t="str">
        <f t="shared" si="5"/>
        <v>1024011_20|1024012_20</v>
      </c>
      <c r="M76"/>
      <c r="N76"/>
    </row>
    <row r="77" spans="4:14">
      <c r="D77"/>
      <c r="E77"/>
      <c r="F77"/>
      <c r="G77" s="36">
        <f>G76*2</f>
        <v>40</v>
      </c>
      <c r="H77">
        <f>H76*2</f>
        <v>40</v>
      </c>
      <c r="I77" t="str">
        <f t="shared" si="6"/>
        <v>1024011_40</v>
      </c>
      <c r="J77" t="str">
        <f t="shared" si="7"/>
        <v>1024012_40</v>
      </c>
      <c r="K77"/>
      <c r="L77" t="str">
        <f t="shared" si="5"/>
        <v>1024011_40|1024012_40</v>
      </c>
      <c r="M77"/>
      <c r="N77"/>
    </row>
    <row r="78" spans="4:14">
      <c r="D78"/>
      <c r="E78"/>
      <c r="F78"/>
      <c r="G78" s="36">
        <f>G76*5</f>
        <v>100</v>
      </c>
      <c r="H78">
        <f>H76*5</f>
        <v>100</v>
      </c>
      <c r="I78" t="str">
        <f t="shared" si="6"/>
        <v>1024011_100</v>
      </c>
      <c r="J78" t="str">
        <f t="shared" si="7"/>
        <v>1024012_100</v>
      </c>
      <c r="K78"/>
      <c r="L78" t="str">
        <f t="shared" si="5"/>
        <v>1024011_100|1024012_100</v>
      </c>
      <c r="M78"/>
      <c r="N78"/>
    </row>
    <row r="79" spans="4:14">
      <c r="D79"/>
      <c r="E79"/>
      <c r="F79"/>
      <c r="G79" s="36">
        <f>G76*8</f>
        <v>160</v>
      </c>
      <c r="H79">
        <f>H76*8</f>
        <v>160</v>
      </c>
      <c r="I79" t="str">
        <f t="shared" si="6"/>
        <v>1024011_160</v>
      </c>
      <c r="J79" t="str">
        <f t="shared" si="7"/>
        <v>1024012_160</v>
      </c>
      <c r="K79"/>
      <c r="L79" t="str">
        <f t="shared" si="5"/>
        <v>1024011_160|1024012_160</v>
      </c>
      <c r="M79"/>
      <c r="N79"/>
    </row>
    <row r="80" spans="4:14">
      <c r="D80"/>
      <c r="E80"/>
      <c r="F80"/>
      <c r="G80" s="36">
        <f>G76*10</f>
        <v>200</v>
      </c>
      <c r="H80">
        <f>H76*10</f>
        <v>200</v>
      </c>
      <c r="I80" t="str">
        <f t="shared" si="6"/>
        <v>1024011_200</v>
      </c>
      <c r="J80" t="str">
        <f t="shared" si="7"/>
        <v>1024012_200</v>
      </c>
      <c r="K80"/>
      <c r="L80" t="str">
        <f t="shared" si="5"/>
        <v>1024011_200|1024012_200</v>
      </c>
      <c r="M80"/>
      <c r="N80"/>
    </row>
    <row r="81" spans="4:14">
      <c r="D81"/>
      <c r="E81"/>
      <c r="F81"/>
      <c r="G81" s="36">
        <f>G76*20</f>
        <v>400</v>
      </c>
      <c r="H81">
        <f>H76*20</f>
        <v>400</v>
      </c>
      <c r="I81" t="str">
        <f t="shared" si="6"/>
        <v>1024011_400</v>
      </c>
      <c r="J81" t="str">
        <f t="shared" si="7"/>
        <v>1024012_400</v>
      </c>
      <c r="K81"/>
      <c r="L81" t="str">
        <f t="shared" si="5"/>
        <v>1024011_400|1024012_400</v>
      </c>
      <c r="M81"/>
      <c r="N81"/>
    </row>
    <row r="82" spans="4:14">
      <c r="D82"/>
      <c r="E82"/>
      <c r="F82"/>
      <c r="G82" s="36">
        <f>G76*30</f>
        <v>600</v>
      </c>
      <c r="H82">
        <f>H76*30</f>
        <v>600</v>
      </c>
      <c r="I82" t="str">
        <f t="shared" si="6"/>
        <v>1024011_600</v>
      </c>
      <c r="J82" t="str">
        <f t="shared" si="7"/>
        <v>1024012_600</v>
      </c>
      <c r="K82"/>
      <c r="L82" t="str">
        <f t="shared" si="5"/>
        <v>1024011_600|1024012_600</v>
      </c>
      <c r="M82"/>
      <c r="N82"/>
    </row>
    <row r="83" spans="4:14">
      <c r="D83"/>
      <c r="E83"/>
      <c r="F83"/>
      <c r="G83" s="36">
        <f>G76*50</f>
        <v>1000</v>
      </c>
      <c r="H83">
        <f>H76*50</f>
        <v>1000</v>
      </c>
      <c r="I83" t="str">
        <f t="shared" si="6"/>
        <v>1024011_1000</v>
      </c>
      <c r="J83" t="str">
        <f t="shared" si="7"/>
        <v>1024012_1000</v>
      </c>
      <c r="K83"/>
      <c r="L83" t="str">
        <f t="shared" si="5"/>
        <v>1024011_1000|1024012_1000</v>
      </c>
      <c r="M83"/>
      <c r="N83"/>
    </row>
    <row r="84" spans="4:14">
      <c r="D84"/>
      <c r="E84"/>
      <c r="F84"/>
      <c r="G84" s="36">
        <f>G76*80</f>
        <v>1600</v>
      </c>
      <c r="H84">
        <f>H76*80</f>
        <v>1600</v>
      </c>
      <c r="I84" t="str">
        <f t="shared" si="6"/>
        <v>1024011_1600</v>
      </c>
      <c r="J84" t="str">
        <f t="shared" si="7"/>
        <v>1024012_1600</v>
      </c>
      <c r="K84"/>
      <c r="L84" t="str">
        <f t="shared" si="5"/>
        <v>1024011_1600|1024012_1600</v>
      </c>
      <c r="M84"/>
      <c r="N84"/>
    </row>
    <row r="85" spans="4:14">
      <c r="D85"/>
      <c r="E85"/>
      <c r="F85"/>
      <c r="G85" s="36">
        <f>G76*100</f>
        <v>2000</v>
      </c>
      <c r="H85">
        <f>H76*100</f>
        <v>2000</v>
      </c>
      <c r="I85" t="str">
        <f t="shared" si="6"/>
        <v>1024011_2000</v>
      </c>
      <c r="J85" t="str">
        <f t="shared" si="7"/>
        <v>1024012_2000</v>
      </c>
      <c r="K85"/>
      <c r="L85" t="str">
        <f t="shared" si="5"/>
        <v>1024011_2000|1024012_2000</v>
      </c>
      <c r="M85"/>
      <c r="N85"/>
    </row>
    <row r="86" spans="4:14">
      <c r="D86"/>
      <c r="E86"/>
      <c r="F86"/>
      <c r="G86" s="36">
        <v>50</v>
      </c>
      <c r="H86">
        <f>G86</f>
        <v>50</v>
      </c>
      <c r="I86" t="str">
        <f t="shared" si="6"/>
        <v>1024011_50</v>
      </c>
      <c r="J86" t="str">
        <f t="shared" si="7"/>
        <v>1024012_50</v>
      </c>
      <c r="K86"/>
      <c r="L86" t="str">
        <f t="shared" si="5"/>
        <v>1024011_50|1024012_50</v>
      </c>
      <c r="M86"/>
      <c r="N86"/>
    </row>
    <row r="87" spans="4:14">
      <c r="D87"/>
      <c r="E87"/>
      <c r="F87"/>
      <c r="G87" s="36">
        <f>G86*2</f>
        <v>100</v>
      </c>
      <c r="H87">
        <f>H86*2</f>
        <v>100</v>
      </c>
      <c r="I87" t="str">
        <f t="shared" si="6"/>
        <v>1024011_100</v>
      </c>
      <c r="J87" t="str">
        <f t="shared" si="7"/>
        <v>1024012_100</v>
      </c>
      <c r="K87"/>
      <c r="L87" t="str">
        <f t="shared" si="5"/>
        <v>1024011_100|1024012_100</v>
      </c>
      <c r="M87"/>
      <c r="N87"/>
    </row>
    <row r="88" spans="4:14">
      <c r="D88"/>
      <c r="E88"/>
      <c r="F88"/>
      <c r="G88" s="36">
        <f>G86*4</f>
        <v>200</v>
      </c>
      <c r="H88">
        <f>H86*4</f>
        <v>200</v>
      </c>
      <c r="I88" t="str">
        <f t="shared" ref="I88:I129" si="8">_xlfn.TEXTJOIN("_",TRUE,$E$55,G88)</f>
        <v>1024011_200</v>
      </c>
      <c r="J88" t="str">
        <f t="shared" ref="J88:J129" si="9">_xlfn.TEXTJOIN("_",TRUE,$D$55,H88)</f>
        <v>1024012_200</v>
      </c>
      <c r="K88"/>
      <c r="L88" t="str">
        <f t="shared" si="5"/>
        <v>1024011_200|1024012_200</v>
      </c>
      <c r="M88"/>
      <c r="N88"/>
    </row>
    <row r="89" spans="4:14">
      <c r="D89"/>
      <c r="E89"/>
      <c r="F89"/>
      <c r="G89" s="36">
        <f>G86*6</f>
        <v>300</v>
      </c>
      <c r="H89">
        <f>H86*6</f>
        <v>300</v>
      </c>
      <c r="I89" t="str">
        <f t="shared" si="8"/>
        <v>1024011_300</v>
      </c>
      <c r="J89" t="str">
        <f t="shared" si="9"/>
        <v>1024012_300</v>
      </c>
      <c r="K89"/>
      <c r="L89" t="str">
        <f t="shared" si="5"/>
        <v>1024011_300|1024012_300</v>
      </c>
      <c r="M89"/>
      <c r="N89"/>
    </row>
    <row r="90" spans="4:14">
      <c r="D90"/>
      <c r="E90"/>
      <c r="F90"/>
      <c r="G90" s="36">
        <f>G86*10</f>
        <v>500</v>
      </c>
      <c r="H90">
        <f>H86*10</f>
        <v>500</v>
      </c>
      <c r="I90" t="str">
        <f t="shared" si="8"/>
        <v>1024011_500</v>
      </c>
      <c r="J90" t="str">
        <f t="shared" si="9"/>
        <v>1024012_500</v>
      </c>
      <c r="K90"/>
      <c r="L90" t="str">
        <f t="shared" si="5"/>
        <v>1024011_500|1024012_500</v>
      </c>
      <c r="M90"/>
      <c r="N90"/>
    </row>
    <row r="91" spans="4:14">
      <c r="D91"/>
      <c r="E91"/>
      <c r="F91"/>
      <c r="G91" s="36">
        <f>G86*20</f>
        <v>1000</v>
      </c>
      <c r="H91">
        <f>H86*20</f>
        <v>1000</v>
      </c>
      <c r="I91" t="str">
        <f t="shared" si="8"/>
        <v>1024011_1000</v>
      </c>
      <c r="J91" t="str">
        <f t="shared" si="9"/>
        <v>1024012_1000</v>
      </c>
      <c r="K91"/>
      <c r="L91" t="str">
        <f t="shared" si="5"/>
        <v>1024011_1000|1024012_1000</v>
      </c>
      <c r="M91"/>
      <c r="N91"/>
    </row>
    <row r="92" spans="4:14">
      <c r="D92"/>
      <c r="E92"/>
      <c r="F92"/>
      <c r="G92" s="36">
        <f>G86*30</f>
        <v>1500</v>
      </c>
      <c r="H92">
        <f>H86*30</f>
        <v>1500</v>
      </c>
      <c r="I92" t="str">
        <f t="shared" si="8"/>
        <v>1024011_1500</v>
      </c>
      <c r="J92" t="str">
        <f t="shared" si="9"/>
        <v>1024012_1500</v>
      </c>
      <c r="K92"/>
      <c r="L92" t="str">
        <f t="shared" si="5"/>
        <v>1024011_1500|1024012_1500</v>
      </c>
      <c r="M92"/>
      <c r="N92"/>
    </row>
    <row r="93" spans="4:14">
      <c r="D93"/>
      <c r="E93"/>
      <c r="F93"/>
      <c r="G93" s="36">
        <v>100</v>
      </c>
      <c r="H93">
        <f>G93</f>
        <v>100</v>
      </c>
      <c r="I93" t="str">
        <f t="shared" si="8"/>
        <v>1024011_100</v>
      </c>
      <c r="J93" t="str">
        <f t="shared" si="9"/>
        <v>1024012_100</v>
      </c>
      <c r="K93"/>
      <c r="L93" t="str">
        <f t="shared" si="5"/>
        <v>1024011_100|1024012_100</v>
      </c>
      <c r="M93"/>
      <c r="N93"/>
    </row>
    <row r="94" spans="4:14">
      <c r="D94"/>
      <c r="E94"/>
      <c r="F94"/>
      <c r="G94" s="36">
        <f>G93*2</f>
        <v>200</v>
      </c>
      <c r="H94">
        <f>H93*2</f>
        <v>200</v>
      </c>
      <c r="I94" t="str">
        <f t="shared" si="8"/>
        <v>1024011_200</v>
      </c>
      <c r="J94" t="str">
        <f t="shared" si="9"/>
        <v>1024012_200</v>
      </c>
      <c r="K94"/>
      <c r="L94" t="str">
        <f t="shared" si="5"/>
        <v>1024011_200|1024012_200</v>
      </c>
      <c r="M94"/>
      <c r="N94"/>
    </row>
    <row r="95" spans="4:14">
      <c r="D95"/>
      <c r="E95"/>
      <c r="F95"/>
      <c r="G95" s="36">
        <f>G93*3</f>
        <v>300</v>
      </c>
      <c r="H95">
        <f>H93*3</f>
        <v>300</v>
      </c>
      <c r="I95" t="str">
        <f t="shared" si="8"/>
        <v>1024011_300</v>
      </c>
      <c r="J95" t="str">
        <f t="shared" si="9"/>
        <v>1024012_300</v>
      </c>
      <c r="K95"/>
      <c r="L95" t="str">
        <f t="shared" si="5"/>
        <v>1024011_300|1024012_300</v>
      </c>
      <c r="M95"/>
      <c r="N95"/>
    </row>
    <row r="96" spans="4:14">
      <c r="D96"/>
      <c r="E96"/>
      <c r="F96"/>
      <c r="G96" s="36">
        <f>G93*4</f>
        <v>400</v>
      </c>
      <c r="H96">
        <f>H93*4</f>
        <v>400</v>
      </c>
      <c r="I96" t="str">
        <f t="shared" si="8"/>
        <v>1024011_400</v>
      </c>
      <c r="J96" t="str">
        <f t="shared" si="9"/>
        <v>1024012_400</v>
      </c>
      <c r="K96"/>
      <c r="L96" t="str">
        <f t="shared" si="5"/>
        <v>1024011_400|1024012_400</v>
      </c>
      <c r="M96"/>
      <c r="N96"/>
    </row>
    <row r="97" spans="4:14">
      <c r="D97"/>
      <c r="E97"/>
      <c r="F97"/>
      <c r="G97" s="36">
        <f>G93*5</f>
        <v>500</v>
      </c>
      <c r="H97">
        <f>H93*5</f>
        <v>500</v>
      </c>
      <c r="I97" t="str">
        <f t="shared" si="8"/>
        <v>1024011_500</v>
      </c>
      <c r="J97" t="str">
        <f t="shared" si="9"/>
        <v>1024012_500</v>
      </c>
      <c r="K97"/>
      <c r="L97" t="str">
        <f t="shared" si="5"/>
        <v>1024011_500|1024012_500</v>
      </c>
      <c r="M97"/>
      <c r="N97"/>
    </row>
    <row r="98" spans="4:14">
      <c r="D98"/>
      <c r="E98"/>
      <c r="F98"/>
      <c r="G98" s="36">
        <f>G93*6</f>
        <v>600</v>
      </c>
      <c r="H98">
        <f>H93*6</f>
        <v>600</v>
      </c>
      <c r="I98" t="str">
        <f t="shared" si="8"/>
        <v>1024011_600</v>
      </c>
      <c r="J98" t="str">
        <f t="shared" si="9"/>
        <v>1024012_600</v>
      </c>
      <c r="K98"/>
      <c r="L98" t="str">
        <f t="shared" si="5"/>
        <v>1024011_600|1024012_600</v>
      </c>
      <c r="M98"/>
      <c r="N98"/>
    </row>
    <row r="99" spans="4:14">
      <c r="D99"/>
      <c r="E99"/>
      <c r="F99"/>
      <c r="G99" s="36">
        <f>G93*7.5</f>
        <v>750</v>
      </c>
      <c r="H99">
        <f>H93*7.5</f>
        <v>750</v>
      </c>
      <c r="I99" t="str">
        <f t="shared" si="8"/>
        <v>1024011_750</v>
      </c>
      <c r="J99" t="str">
        <f t="shared" si="9"/>
        <v>1024012_750</v>
      </c>
      <c r="K99"/>
      <c r="L99" t="str">
        <f t="shared" si="5"/>
        <v>1024011_750|1024012_750</v>
      </c>
      <c r="M99"/>
      <c r="N99"/>
    </row>
    <row r="100" spans="4:14">
      <c r="D100"/>
      <c r="E100"/>
      <c r="F100"/>
      <c r="G100" s="36">
        <v>200</v>
      </c>
      <c r="H100">
        <f>G100</f>
        <v>200</v>
      </c>
      <c r="I100" t="str">
        <f t="shared" si="8"/>
        <v>1024011_200</v>
      </c>
      <c r="J100" t="str">
        <f t="shared" si="9"/>
        <v>1024012_200</v>
      </c>
      <c r="K100"/>
      <c r="L100" t="str">
        <f t="shared" si="5"/>
        <v>1024011_200|1024012_200</v>
      </c>
      <c r="M100"/>
      <c r="N100"/>
    </row>
    <row r="101" spans="4:14">
      <c r="D101"/>
      <c r="E101"/>
      <c r="F101"/>
      <c r="G101" s="36">
        <f>G100*2</f>
        <v>400</v>
      </c>
      <c r="H101">
        <f>H100*2</f>
        <v>400</v>
      </c>
      <c r="I101" t="str">
        <f t="shared" si="8"/>
        <v>1024011_400</v>
      </c>
      <c r="J101" t="str">
        <f t="shared" si="9"/>
        <v>1024012_400</v>
      </c>
      <c r="K101"/>
      <c r="L101" t="str">
        <f t="shared" si="5"/>
        <v>1024011_400|1024012_400</v>
      </c>
      <c r="M101"/>
      <c r="N101"/>
    </row>
    <row r="102" spans="4:14">
      <c r="D102"/>
      <c r="E102"/>
      <c r="F102"/>
      <c r="G102" s="36">
        <f>G100*3</f>
        <v>600</v>
      </c>
      <c r="H102">
        <f>H100*3</f>
        <v>600</v>
      </c>
      <c r="I102" t="str">
        <f t="shared" si="8"/>
        <v>1024011_600</v>
      </c>
      <c r="J102" t="str">
        <f t="shared" si="9"/>
        <v>1024012_600</v>
      </c>
      <c r="K102"/>
      <c r="L102" t="str">
        <f t="shared" si="5"/>
        <v>1024011_600|1024012_600</v>
      </c>
      <c r="M102"/>
      <c r="N102"/>
    </row>
    <row r="103" spans="4:14">
      <c r="D103"/>
      <c r="E103"/>
      <c r="F103"/>
      <c r="G103" s="36">
        <f>G100*4</f>
        <v>800</v>
      </c>
      <c r="H103">
        <f>H100*4</f>
        <v>800</v>
      </c>
      <c r="I103" t="str">
        <f t="shared" si="8"/>
        <v>1024011_800</v>
      </c>
      <c r="J103" t="str">
        <f t="shared" si="9"/>
        <v>1024012_800</v>
      </c>
      <c r="K103"/>
      <c r="L103" t="str">
        <f t="shared" si="5"/>
        <v>1024011_800|1024012_800</v>
      </c>
      <c r="M103"/>
      <c r="N103"/>
    </row>
    <row r="104" spans="4:14">
      <c r="D104"/>
      <c r="E104"/>
      <c r="F104"/>
      <c r="G104" s="36">
        <f>G100*5</f>
        <v>1000</v>
      </c>
      <c r="H104">
        <f>H100*5</f>
        <v>1000</v>
      </c>
      <c r="I104" t="str">
        <f t="shared" si="8"/>
        <v>1024011_1000</v>
      </c>
      <c r="J104" t="str">
        <f t="shared" si="9"/>
        <v>1024012_1000</v>
      </c>
      <c r="K104"/>
      <c r="L104" t="str">
        <f t="shared" si="5"/>
        <v>1024011_1000|1024012_1000</v>
      </c>
      <c r="M104"/>
      <c r="N104"/>
    </row>
    <row r="105" spans="4:14">
      <c r="D105"/>
      <c r="E105"/>
      <c r="F105"/>
      <c r="G105" s="36">
        <f>G100*6</f>
        <v>1200</v>
      </c>
      <c r="H105">
        <f>H100*6</f>
        <v>1200</v>
      </c>
      <c r="I105" t="str">
        <f t="shared" si="8"/>
        <v>1024011_1200</v>
      </c>
      <c r="J105" t="str">
        <f t="shared" si="9"/>
        <v>1024012_1200</v>
      </c>
      <c r="K105"/>
      <c r="L105" t="str">
        <f t="shared" si="5"/>
        <v>1024011_1200|1024012_1200</v>
      </c>
      <c r="M105"/>
      <c r="N105"/>
    </row>
    <row r="106" spans="4:14">
      <c r="D106"/>
      <c r="E106"/>
      <c r="F106"/>
      <c r="G106" s="36">
        <v>100</v>
      </c>
      <c r="H106">
        <f>G106</f>
        <v>100</v>
      </c>
      <c r="I106" t="str">
        <f t="shared" si="8"/>
        <v>1024011_100</v>
      </c>
      <c r="J106" t="str">
        <f t="shared" si="9"/>
        <v>1024012_100</v>
      </c>
      <c r="K106"/>
      <c r="L106" t="str">
        <f t="shared" si="5"/>
        <v>1024011_100|1024012_100</v>
      </c>
      <c r="M106"/>
      <c r="N106"/>
    </row>
    <row r="107" spans="4:14">
      <c r="D107"/>
      <c r="E107"/>
      <c r="F107"/>
      <c r="G107" s="36">
        <f>G106*2</f>
        <v>200</v>
      </c>
      <c r="H107">
        <f>H106*2</f>
        <v>200</v>
      </c>
      <c r="I107" t="str">
        <f t="shared" si="8"/>
        <v>1024011_200</v>
      </c>
      <c r="J107" t="str">
        <f t="shared" si="9"/>
        <v>1024012_200</v>
      </c>
      <c r="K107"/>
      <c r="L107" t="str">
        <f t="shared" si="5"/>
        <v>1024011_200|1024012_200</v>
      </c>
      <c r="M107"/>
      <c r="N107"/>
    </row>
    <row r="108" spans="4:14">
      <c r="D108"/>
      <c r="E108"/>
      <c r="F108"/>
      <c r="G108" s="36">
        <f>G106*3</f>
        <v>300</v>
      </c>
      <c r="H108">
        <f>H106*3</f>
        <v>300</v>
      </c>
      <c r="I108" t="str">
        <f t="shared" si="8"/>
        <v>1024011_300</v>
      </c>
      <c r="J108" t="str">
        <f t="shared" si="9"/>
        <v>1024012_300</v>
      </c>
      <c r="K108"/>
      <c r="L108" t="str">
        <f t="shared" si="5"/>
        <v>1024011_300|1024012_300</v>
      </c>
      <c r="M108"/>
      <c r="N108"/>
    </row>
    <row r="109" spans="4:14">
      <c r="D109"/>
      <c r="E109"/>
      <c r="F109"/>
      <c r="G109" s="36">
        <f>G106*4</f>
        <v>400</v>
      </c>
      <c r="H109">
        <f>H106*4</f>
        <v>400</v>
      </c>
      <c r="I109" t="str">
        <f t="shared" si="8"/>
        <v>1024011_400</v>
      </c>
      <c r="J109" t="str">
        <f t="shared" si="9"/>
        <v>1024012_400</v>
      </c>
      <c r="K109"/>
      <c r="L109" t="str">
        <f t="shared" si="5"/>
        <v>1024011_400|1024012_400</v>
      </c>
      <c r="M109"/>
      <c r="N109"/>
    </row>
    <row r="110" spans="4:14">
      <c r="D110"/>
      <c r="E110"/>
      <c r="F110"/>
      <c r="G110" s="36">
        <f>G106*5</f>
        <v>500</v>
      </c>
      <c r="H110">
        <f>H106*5</f>
        <v>500</v>
      </c>
      <c r="I110" t="str">
        <f t="shared" si="8"/>
        <v>1024011_500</v>
      </c>
      <c r="J110" t="str">
        <f t="shared" si="9"/>
        <v>1024012_500</v>
      </c>
      <c r="K110"/>
      <c r="L110" t="str">
        <f t="shared" si="5"/>
        <v>1024011_500|1024012_500</v>
      </c>
      <c r="M110"/>
      <c r="N110"/>
    </row>
    <row r="111" spans="4:14">
      <c r="D111"/>
      <c r="E111"/>
      <c r="F111"/>
      <c r="G111" s="36">
        <f>G106*6</f>
        <v>600</v>
      </c>
      <c r="H111">
        <f>H106*6</f>
        <v>600</v>
      </c>
      <c r="I111" t="str">
        <f t="shared" si="8"/>
        <v>1024011_600</v>
      </c>
      <c r="J111" t="str">
        <f t="shared" si="9"/>
        <v>1024012_600</v>
      </c>
      <c r="K111"/>
      <c r="L111" t="str">
        <f t="shared" si="5"/>
        <v>1024011_600|1024012_600</v>
      </c>
      <c r="M111"/>
      <c r="N111"/>
    </row>
    <row r="112" spans="4:14">
      <c r="D112"/>
      <c r="E112"/>
      <c r="F112"/>
      <c r="G112">
        <v>20</v>
      </c>
      <c r="H112">
        <f>G112</f>
        <v>20</v>
      </c>
      <c r="I112" t="str">
        <f t="shared" si="8"/>
        <v>1024011_20</v>
      </c>
      <c r="J112" t="str">
        <f t="shared" si="9"/>
        <v>1024012_20</v>
      </c>
      <c r="K112"/>
      <c r="L112" t="str">
        <f t="shared" si="5"/>
        <v>1024011_20|1024012_20</v>
      </c>
      <c r="M112"/>
      <c r="N112"/>
    </row>
    <row r="113" spans="4:14">
      <c r="D113"/>
      <c r="E113"/>
      <c r="F113"/>
      <c r="G113">
        <f>G112*2</f>
        <v>40</v>
      </c>
      <c r="H113">
        <f>H112*2</f>
        <v>40</v>
      </c>
      <c r="I113" t="str">
        <f t="shared" si="8"/>
        <v>1024011_40</v>
      </c>
      <c r="J113" t="str">
        <f t="shared" si="9"/>
        <v>1024012_40</v>
      </c>
      <c r="K113"/>
      <c r="L113" t="str">
        <f t="shared" si="5"/>
        <v>1024011_40|1024012_40</v>
      </c>
      <c r="M113"/>
      <c r="N113"/>
    </row>
    <row r="114" spans="4:14">
      <c r="D114"/>
      <c r="E114"/>
      <c r="F114"/>
      <c r="G114">
        <f>G112*3</f>
        <v>60</v>
      </c>
      <c r="H114">
        <f>H112*3</f>
        <v>60</v>
      </c>
      <c r="I114" t="str">
        <f t="shared" si="8"/>
        <v>1024011_60</v>
      </c>
      <c r="J114" t="str">
        <f t="shared" si="9"/>
        <v>1024012_60</v>
      </c>
      <c r="K114"/>
      <c r="L114" t="str">
        <f t="shared" si="5"/>
        <v>1024011_60|1024012_60</v>
      </c>
      <c r="M114"/>
      <c r="N114"/>
    </row>
    <row r="115" spans="4:14">
      <c r="D115"/>
      <c r="E115"/>
      <c r="F115"/>
      <c r="G115">
        <f>G112*5</f>
        <v>100</v>
      </c>
      <c r="H115">
        <f>H112*5</f>
        <v>100</v>
      </c>
      <c r="I115" t="str">
        <f t="shared" si="8"/>
        <v>1024011_100</v>
      </c>
      <c r="J115" t="str">
        <f t="shared" si="9"/>
        <v>1024012_100</v>
      </c>
      <c r="K115"/>
      <c r="L115" t="str">
        <f t="shared" si="5"/>
        <v>1024011_100|1024012_100</v>
      </c>
      <c r="M115"/>
      <c r="N115"/>
    </row>
    <row r="116" spans="4:14">
      <c r="D116"/>
      <c r="E116"/>
      <c r="F116"/>
      <c r="G116">
        <f>G112*8</f>
        <v>160</v>
      </c>
      <c r="H116">
        <f>H112*8</f>
        <v>160</v>
      </c>
      <c r="I116" t="str">
        <f t="shared" si="8"/>
        <v>1024011_160</v>
      </c>
      <c r="J116" t="str">
        <f t="shared" si="9"/>
        <v>1024012_160</v>
      </c>
      <c r="K116"/>
      <c r="L116" t="str">
        <f t="shared" si="5"/>
        <v>1024011_160|1024012_160</v>
      </c>
      <c r="M116"/>
      <c r="N116"/>
    </row>
    <row r="117" spans="4:14">
      <c r="D117"/>
      <c r="E117"/>
      <c r="F117"/>
      <c r="G117">
        <f>G112*10</f>
        <v>200</v>
      </c>
      <c r="H117">
        <f>H112*10</f>
        <v>200</v>
      </c>
      <c r="I117" t="str">
        <f t="shared" si="8"/>
        <v>1024011_200</v>
      </c>
      <c r="J117" t="str">
        <f t="shared" si="9"/>
        <v>1024012_200</v>
      </c>
      <c r="K117"/>
      <c r="L117" t="str">
        <f t="shared" si="5"/>
        <v>1024011_200|1024012_200</v>
      </c>
      <c r="M117"/>
      <c r="N117"/>
    </row>
    <row r="118" spans="4:14">
      <c r="D118"/>
      <c r="E118"/>
      <c r="F118"/>
      <c r="G118">
        <f>G112*15</f>
        <v>300</v>
      </c>
      <c r="H118">
        <f>H112*15</f>
        <v>300</v>
      </c>
      <c r="I118" t="str">
        <f t="shared" si="8"/>
        <v>1024011_300</v>
      </c>
      <c r="J118" t="str">
        <f t="shared" si="9"/>
        <v>1024012_300</v>
      </c>
      <c r="K118"/>
      <c r="L118" t="str">
        <f t="shared" si="5"/>
        <v>1024011_300|1024012_300</v>
      </c>
      <c r="M118"/>
      <c r="N118"/>
    </row>
    <row r="119" spans="4:14">
      <c r="D119"/>
      <c r="E119"/>
      <c r="F119"/>
      <c r="G119">
        <f>G112*20</f>
        <v>400</v>
      </c>
      <c r="H119">
        <f>H112*20</f>
        <v>400</v>
      </c>
      <c r="I119" t="str">
        <f t="shared" si="8"/>
        <v>1024011_400</v>
      </c>
      <c r="J119" t="str">
        <f t="shared" si="9"/>
        <v>1024012_400</v>
      </c>
      <c r="K119"/>
      <c r="L119" t="str">
        <f t="shared" ref="L119:L129" si="10">_xlfn.TEXTJOIN("|",TRUE,I119:J119)</f>
        <v>1024011_400|1024012_400</v>
      </c>
      <c r="M119"/>
      <c r="N119"/>
    </row>
    <row r="120" spans="4:14">
      <c r="D120"/>
      <c r="E120"/>
      <c r="F120"/>
      <c r="G120">
        <f>G112*25</f>
        <v>500</v>
      </c>
      <c r="H120">
        <f>H112*25</f>
        <v>500</v>
      </c>
      <c r="I120" t="str">
        <f t="shared" si="8"/>
        <v>1024011_500</v>
      </c>
      <c r="J120" t="str">
        <f t="shared" si="9"/>
        <v>1024012_500</v>
      </c>
      <c r="K120"/>
      <c r="L120" t="str">
        <f t="shared" si="10"/>
        <v>1024011_500|1024012_500</v>
      </c>
      <c r="M120"/>
      <c r="N120"/>
    </row>
    <row r="121" spans="4:14">
      <c r="D121"/>
      <c r="E121"/>
      <c r="F121"/>
      <c r="G121">
        <f>G112*30</f>
        <v>600</v>
      </c>
      <c r="H121">
        <f>H112*30</f>
        <v>600</v>
      </c>
      <c r="I121" t="str">
        <f t="shared" si="8"/>
        <v>1024011_600</v>
      </c>
      <c r="J121" t="str">
        <f t="shared" si="9"/>
        <v>1024012_600</v>
      </c>
      <c r="K121"/>
      <c r="L121" t="str">
        <f t="shared" si="10"/>
        <v>1024011_600|1024012_600</v>
      </c>
      <c r="M121"/>
      <c r="N121"/>
    </row>
    <row r="122" spans="4:14">
      <c r="D122"/>
      <c r="E122"/>
      <c r="F122"/>
      <c r="G122">
        <f>G112*40</f>
        <v>800</v>
      </c>
      <c r="H122">
        <f>H112*40</f>
        <v>800</v>
      </c>
      <c r="I122" t="str">
        <f t="shared" si="8"/>
        <v>1024011_800</v>
      </c>
      <c r="J122" t="str">
        <f t="shared" si="9"/>
        <v>1024012_800</v>
      </c>
      <c r="K122"/>
      <c r="L122" t="str">
        <f t="shared" si="10"/>
        <v>1024011_800|1024012_800</v>
      </c>
      <c r="M122"/>
      <c r="N122"/>
    </row>
    <row r="123" spans="4:14">
      <c r="D123"/>
      <c r="E123"/>
      <c r="F123"/>
      <c r="G123">
        <f>G112*50</f>
        <v>1000</v>
      </c>
      <c r="H123">
        <f>H112*50</f>
        <v>1000</v>
      </c>
      <c r="I123" t="str">
        <f t="shared" si="8"/>
        <v>1024011_1000</v>
      </c>
      <c r="J123" t="str">
        <f t="shared" si="9"/>
        <v>1024012_1000</v>
      </c>
      <c r="K123"/>
      <c r="L123" t="str">
        <f t="shared" si="10"/>
        <v>1024011_1000|1024012_1000</v>
      </c>
      <c r="M123"/>
      <c r="N123"/>
    </row>
    <row r="124" spans="4:14">
      <c r="D124"/>
      <c r="E124"/>
      <c r="F124"/>
      <c r="G124">
        <v>200</v>
      </c>
      <c r="H124">
        <f>G124</f>
        <v>200</v>
      </c>
      <c r="I124" t="str">
        <f t="shared" si="8"/>
        <v>1024011_200</v>
      </c>
      <c r="J124" t="str">
        <f t="shared" si="9"/>
        <v>1024012_200</v>
      </c>
      <c r="K124"/>
      <c r="L124" t="str">
        <f t="shared" si="10"/>
        <v>1024011_200|1024012_200</v>
      </c>
      <c r="M124"/>
      <c r="N124"/>
    </row>
    <row r="125" spans="4:14">
      <c r="D125"/>
      <c r="E125"/>
      <c r="F125"/>
      <c r="G125">
        <f>G124*2</f>
        <v>400</v>
      </c>
      <c r="H125">
        <f>H124*2</f>
        <v>400</v>
      </c>
      <c r="I125" t="str">
        <f t="shared" si="8"/>
        <v>1024011_400</v>
      </c>
      <c r="J125" t="str">
        <f t="shared" si="9"/>
        <v>1024012_400</v>
      </c>
      <c r="K125"/>
      <c r="L125" t="str">
        <f t="shared" si="10"/>
        <v>1024011_400|1024012_400</v>
      </c>
      <c r="M125"/>
      <c r="N125"/>
    </row>
    <row r="126" spans="4:14">
      <c r="D126"/>
      <c r="E126"/>
      <c r="F126"/>
      <c r="G126">
        <f>G124*4</f>
        <v>800</v>
      </c>
      <c r="H126">
        <f>H124*4</f>
        <v>800</v>
      </c>
      <c r="I126" t="str">
        <f t="shared" si="8"/>
        <v>1024011_800</v>
      </c>
      <c r="J126" t="str">
        <f t="shared" si="9"/>
        <v>1024012_800</v>
      </c>
      <c r="K126"/>
      <c r="L126" t="str">
        <f t="shared" si="10"/>
        <v>1024011_800|1024012_800</v>
      </c>
      <c r="M126"/>
      <c r="N126"/>
    </row>
    <row r="127" spans="4:14">
      <c r="D127"/>
      <c r="E127"/>
      <c r="F127"/>
      <c r="G127">
        <f>G124*6</f>
        <v>1200</v>
      </c>
      <c r="H127">
        <f>H124*6</f>
        <v>1200</v>
      </c>
      <c r="I127" t="str">
        <f t="shared" si="8"/>
        <v>1024011_1200</v>
      </c>
      <c r="J127" t="str">
        <f t="shared" si="9"/>
        <v>1024012_1200</v>
      </c>
      <c r="K127"/>
      <c r="L127" t="str">
        <f t="shared" si="10"/>
        <v>1024011_1200|1024012_1200</v>
      </c>
      <c r="M127"/>
      <c r="N127"/>
    </row>
    <row r="128" spans="4:14">
      <c r="D128"/>
      <c r="E128"/>
      <c r="F128"/>
      <c r="G128">
        <f>G124*10</f>
        <v>2000</v>
      </c>
      <c r="H128">
        <f>H124*10</f>
        <v>2000</v>
      </c>
      <c r="I128" t="str">
        <f t="shared" si="8"/>
        <v>1024011_2000</v>
      </c>
      <c r="J128" t="str">
        <f t="shared" si="9"/>
        <v>1024012_2000</v>
      </c>
      <c r="K128"/>
      <c r="L128" t="str">
        <f t="shared" si="10"/>
        <v>1024011_2000|1024012_2000</v>
      </c>
      <c r="M128"/>
      <c r="N128"/>
    </row>
    <row r="129" spans="4:14">
      <c r="D129"/>
      <c r="E129"/>
      <c r="F129"/>
      <c r="G129">
        <f>G124*20</f>
        <v>4000</v>
      </c>
      <c r="H129">
        <f>H124*20</f>
        <v>4000</v>
      </c>
      <c r="I129" t="str">
        <f t="shared" si="8"/>
        <v>1024011_4000</v>
      </c>
      <c r="J129" t="str">
        <f t="shared" si="9"/>
        <v>1024012_4000</v>
      </c>
      <c r="K129"/>
      <c r="L129" t="str">
        <f t="shared" si="10"/>
        <v>1024011_4000|1024012_4000</v>
      </c>
      <c r="M129"/>
      <c r="N129"/>
    </row>
  </sheetData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73"/>
  <sheetViews>
    <sheetView topLeftCell="A46" workbookViewId="0">
      <selection activeCell="E59" sqref="E59"/>
    </sheetView>
  </sheetViews>
  <sheetFormatPr defaultColWidth="9" defaultRowHeight="16.5"/>
  <cols>
    <col min="11" max="12" width="14.5" style="5" customWidth="1"/>
  </cols>
  <sheetData>
    <row r="1" spans="1:12">
      <c r="A1" s="6">
        <v>70001</v>
      </c>
      <c r="B1" s="4" t="s">
        <v>3139</v>
      </c>
      <c r="K1" s="7"/>
      <c r="L1" s="7"/>
    </row>
    <row r="2" spans="1:12">
      <c r="A2" s="8">
        <v>70002</v>
      </c>
      <c r="B2" s="4" t="s">
        <v>3154</v>
      </c>
      <c r="K2" s="9"/>
      <c r="L2" s="9"/>
    </row>
    <row r="3" spans="1:12">
      <c r="A3" s="8">
        <v>70003</v>
      </c>
      <c r="B3" s="4" t="s">
        <v>3155</v>
      </c>
      <c r="K3" s="7"/>
      <c r="L3" s="7"/>
    </row>
    <row r="4" spans="1:12">
      <c r="A4" s="8">
        <v>70004</v>
      </c>
      <c r="B4" s="4" t="s">
        <v>3156</v>
      </c>
      <c r="K4" s="7"/>
      <c r="L4" s="7"/>
    </row>
    <row r="5" spans="1:12">
      <c r="A5" s="8">
        <v>70005</v>
      </c>
      <c r="B5" s="4" t="s">
        <v>3157</v>
      </c>
      <c r="K5" s="10" t="s">
        <v>3158</v>
      </c>
      <c r="L5" s="10" t="e">
        <f>_xlfn.XLOOKUP(K5,[1]jumpData!$F:$F,[1]jumpData!$A:$A)</f>
        <v>#N/A</v>
      </c>
    </row>
    <row r="6" spans="1:12">
      <c r="A6" s="8">
        <v>70006</v>
      </c>
      <c r="B6" s="4" t="s">
        <v>3159</v>
      </c>
      <c r="K6" s="10" t="s">
        <v>3158</v>
      </c>
      <c r="L6" s="10" t="e">
        <f>_xlfn.XLOOKUP(K6,[1]jumpData!$F:$F,[1]jumpData!$A:$A)</f>
        <v>#N/A</v>
      </c>
    </row>
    <row r="7" spans="1:12">
      <c r="A7" s="8">
        <v>70007</v>
      </c>
      <c r="B7" s="4" t="s">
        <v>3160</v>
      </c>
      <c r="K7" s="10" t="s">
        <v>3158</v>
      </c>
      <c r="L7" s="10" t="e">
        <f>_xlfn.XLOOKUP(K7,[1]jumpData!$F:$F,[1]jumpData!$A:$A)</f>
        <v>#N/A</v>
      </c>
    </row>
    <row r="8" spans="1:12">
      <c r="A8" s="8">
        <v>70008</v>
      </c>
      <c r="B8" s="4" t="s">
        <v>3129</v>
      </c>
      <c r="K8" s="10" t="s">
        <v>3158</v>
      </c>
      <c r="L8" s="10" t="e">
        <f>_xlfn.XLOOKUP(K8,[1]jumpData!$F:$F,[1]jumpData!$A:$A)</f>
        <v>#N/A</v>
      </c>
    </row>
    <row r="9" spans="1:12">
      <c r="A9" s="6">
        <v>70009</v>
      </c>
      <c r="B9" s="4" t="s">
        <v>3161</v>
      </c>
      <c r="K9" s="10" t="s">
        <v>3158</v>
      </c>
      <c r="L9" s="10" t="e">
        <f>_xlfn.XLOOKUP(K9,[1]jumpData!$F:$F,[1]jumpData!$A:$A)</f>
        <v>#N/A</v>
      </c>
    </row>
    <row r="10" spans="1:12">
      <c r="A10" s="8">
        <v>70010</v>
      </c>
      <c r="B10" s="4" t="s">
        <v>3162</v>
      </c>
      <c r="K10" s="10" t="s">
        <v>3158</v>
      </c>
      <c r="L10" s="10" t="e">
        <f>_xlfn.XLOOKUP(K10,[1]jumpData!$F:$F,[1]jumpData!$A:$A)</f>
        <v>#N/A</v>
      </c>
    </row>
    <row r="11" spans="1:12">
      <c r="A11" s="6">
        <v>70101</v>
      </c>
      <c r="B11" s="4" t="s">
        <v>3163</v>
      </c>
      <c r="K11" s="10" t="s">
        <v>3158</v>
      </c>
      <c r="L11" s="10" t="e">
        <f>_xlfn.XLOOKUP(K11,[1]jumpData!$F:$F,[1]jumpData!$A:$A)</f>
        <v>#N/A</v>
      </c>
    </row>
    <row r="12" spans="1:12">
      <c r="A12" s="6">
        <v>70102</v>
      </c>
      <c r="B12" s="4" t="s">
        <v>3164</v>
      </c>
      <c r="K12" s="10" t="s">
        <v>3165</v>
      </c>
      <c r="L12" s="10" t="e">
        <f>_xlfn.XLOOKUP(K12,[1]jumpData!$F:$F,[1]jumpData!$A:$A)</f>
        <v>#N/A</v>
      </c>
    </row>
    <row r="13" spans="1:12">
      <c r="A13" s="6">
        <v>70103</v>
      </c>
      <c r="B13" s="4" t="s">
        <v>3166</v>
      </c>
      <c r="K13" s="10" t="s">
        <v>3165</v>
      </c>
      <c r="L13" s="10" t="e">
        <f>_xlfn.XLOOKUP(K13,[1]jumpData!$F:$F,[1]jumpData!$A:$A)</f>
        <v>#N/A</v>
      </c>
    </row>
    <row r="14" spans="1:12">
      <c r="A14" s="6">
        <v>70104</v>
      </c>
      <c r="B14" s="4" t="s">
        <v>3167</v>
      </c>
      <c r="K14" s="10" t="s">
        <v>97</v>
      </c>
      <c r="L14" s="10" t="e">
        <f>_xlfn.XLOOKUP(K14,[1]jumpData!$F:$F,[1]jumpData!$A:$A)</f>
        <v>#N/A</v>
      </c>
    </row>
    <row r="15" spans="1:12">
      <c r="A15" s="6">
        <v>70301</v>
      </c>
      <c r="B15" s="4" t="s">
        <v>3168</v>
      </c>
      <c r="K15" s="10" t="s">
        <v>108</v>
      </c>
      <c r="L15" s="10" t="e">
        <f>_xlfn.XLOOKUP(K15,[1]jumpData!$F:$F,[1]jumpData!$A:$A)</f>
        <v>#N/A</v>
      </c>
    </row>
    <row r="16" spans="1:12">
      <c r="A16" s="6">
        <v>70302</v>
      </c>
      <c r="B16" s="4" t="s">
        <v>3169</v>
      </c>
      <c r="K16" s="10" t="s">
        <v>3165</v>
      </c>
      <c r="L16" s="10" t="e">
        <f>_xlfn.XLOOKUP(K16,[1]jumpData!$F:$F,[1]jumpData!$A:$A)</f>
        <v>#N/A</v>
      </c>
    </row>
    <row r="17" spans="1:12">
      <c r="A17" s="6">
        <v>70303</v>
      </c>
      <c r="B17" s="4" t="s">
        <v>3170</v>
      </c>
      <c r="K17" s="10" t="s">
        <v>108</v>
      </c>
      <c r="L17" s="10" t="e">
        <f>_xlfn.XLOOKUP(K17,[1]jumpData!$F:$F,[1]jumpData!$A:$A)</f>
        <v>#N/A</v>
      </c>
    </row>
    <row r="18" spans="1:12">
      <c r="A18" s="6">
        <v>70304</v>
      </c>
      <c r="B18" s="4" t="s">
        <v>3171</v>
      </c>
      <c r="K18" s="10" t="s">
        <v>108</v>
      </c>
      <c r="L18" s="10" t="e">
        <f>_xlfn.XLOOKUP(K18,[1]jumpData!$F:$F,[1]jumpData!$A:$A)</f>
        <v>#N/A</v>
      </c>
    </row>
    <row r="19" spans="1:12">
      <c r="A19" s="6">
        <v>70305</v>
      </c>
      <c r="B19" s="4" t="s">
        <v>3172</v>
      </c>
      <c r="K19" s="10" t="s">
        <v>108</v>
      </c>
      <c r="L19" s="10" t="e">
        <f>_xlfn.XLOOKUP(K19,[1]jumpData!$F:$F,[1]jumpData!$A:$A)</f>
        <v>#N/A</v>
      </c>
    </row>
    <row r="20" spans="1:12">
      <c r="A20" s="6">
        <v>70306</v>
      </c>
      <c r="B20" s="4" t="s">
        <v>3173</v>
      </c>
      <c r="K20" s="10" t="s">
        <v>97</v>
      </c>
      <c r="L20" s="10" t="e">
        <f>_xlfn.XLOOKUP(K20,[1]jumpData!$F:$F,[1]jumpData!$A:$A)</f>
        <v>#N/A</v>
      </c>
    </row>
    <row r="21" spans="1:12">
      <c r="A21" s="6">
        <v>70307</v>
      </c>
      <c r="B21" s="4" t="s">
        <v>3174</v>
      </c>
      <c r="K21" s="10" t="s">
        <v>97</v>
      </c>
      <c r="L21" s="10" t="e">
        <f>_xlfn.XLOOKUP(K21,[1]jumpData!$F:$F,[1]jumpData!$A:$A)</f>
        <v>#N/A</v>
      </c>
    </row>
    <row r="22" spans="1:12">
      <c r="A22" s="6">
        <v>70308</v>
      </c>
      <c r="B22" s="4" t="s">
        <v>3175</v>
      </c>
      <c r="K22" s="10" t="s">
        <v>97</v>
      </c>
      <c r="L22" s="10" t="e">
        <f>_xlfn.XLOOKUP(K22,[1]jumpData!$F:$F,[1]jumpData!$A:$A)</f>
        <v>#N/A</v>
      </c>
    </row>
    <row r="23" spans="1:12">
      <c r="A23" s="6">
        <v>70309</v>
      </c>
      <c r="B23" s="4" t="s">
        <v>3176</v>
      </c>
      <c r="K23" s="10" t="s">
        <v>117</v>
      </c>
      <c r="L23" s="10" t="e">
        <f>_xlfn.XLOOKUP(K23,[1]jumpData!$F:$F,[1]jumpData!$A:$A)</f>
        <v>#N/A</v>
      </c>
    </row>
    <row r="24" spans="1:12">
      <c r="A24" s="6">
        <v>70310</v>
      </c>
      <c r="B24" s="4" t="s">
        <v>3177</v>
      </c>
      <c r="K24" s="10" t="s">
        <v>117</v>
      </c>
      <c r="L24" s="10" t="e">
        <f>_xlfn.XLOOKUP(K24,[1]jumpData!$F:$F,[1]jumpData!$A:$A)</f>
        <v>#N/A</v>
      </c>
    </row>
    <row r="25" spans="1:12">
      <c r="A25" s="6">
        <v>70311</v>
      </c>
      <c r="B25" s="4" t="s">
        <v>3178</v>
      </c>
      <c r="K25" s="10" t="s">
        <v>117</v>
      </c>
      <c r="L25" s="10" t="e">
        <f>_xlfn.XLOOKUP(K25,[1]jumpData!$F:$F,[1]jumpData!$A:$A)</f>
        <v>#N/A</v>
      </c>
    </row>
    <row r="26" spans="1:12">
      <c r="A26" s="6">
        <v>70312</v>
      </c>
      <c r="B26" s="4" t="s">
        <v>3179</v>
      </c>
      <c r="K26" s="10" t="s">
        <v>126</v>
      </c>
      <c r="L26" s="10" t="e">
        <f>_xlfn.XLOOKUP(K26,[1]jumpData!$F:$F,[1]jumpData!$A:$A)</f>
        <v>#N/A</v>
      </c>
    </row>
    <row r="27" spans="1:12">
      <c r="A27" s="6">
        <v>70381</v>
      </c>
      <c r="B27" s="4" t="s">
        <v>3180</v>
      </c>
      <c r="K27" s="10" t="s">
        <v>126</v>
      </c>
      <c r="L27" s="10" t="e">
        <f>_xlfn.XLOOKUP(K27,[1]jumpData!$F:$F,[1]jumpData!$A:$A)</f>
        <v>#N/A</v>
      </c>
    </row>
    <row r="28" spans="1:12">
      <c r="A28" s="6">
        <v>70382</v>
      </c>
      <c r="B28" s="4" t="s">
        <v>3181</v>
      </c>
      <c r="K28" s="10" t="s">
        <v>126</v>
      </c>
      <c r="L28" s="10" t="e">
        <f>_xlfn.XLOOKUP(K28,[1]jumpData!$F:$F,[1]jumpData!$A:$A)</f>
        <v>#N/A</v>
      </c>
    </row>
    <row r="29" spans="1:12">
      <c r="A29" s="6">
        <v>70383</v>
      </c>
      <c r="B29" s="4" t="s">
        <v>3182</v>
      </c>
      <c r="K29" s="10" t="s">
        <v>117</v>
      </c>
      <c r="L29" s="10" t="e">
        <f>_xlfn.XLOOKUP(K29,[1]jumpData!$F:$F,[1]jumpData!$A:$A)</f>
        <v>#N/A</v>
      </c>
    </row>
    <row r="30" spans="1:12">
      <c r="A30" s="6">
        <v>70391</v>
      </c>
      <c r="B30" s="4" t="s">
        <v>3183</v>
      </c>
      <c r="K30" s="10" t="s">
        <v>117</v>
      </c>
      <c r="L30" s="10" t="e">
        <f>_xlfn.XLOOKUP(K30,[1]jumpData!$F:$F,[1]jumpData!$A:$A)</f>
        <v>#N/A</v>
      </c>
    </row>
    <row r="31" spans="1:12">
      <c r="A31" s="6">
        <v>70392</v>
      </c>
      <c r="B31" s="4" t="s">
        <v>3184</v>
      </c>
      <c r="K31" s="10" t="s">
        <v>117</v>
      </c>
      <c r="L31" s="10" t="e">
        <f>_xlfn.XLOOKUP(K31,[1]jumpData!$F:$F,[1]jumpData!$A:$A)</f>
        <v>#N/A</v>
      </c>
    </row>
    <row r="32" spans="1:12">
      <c r="A32" s="6">
        <v>70393</v>
      </c>
      <c r="B32" s="4" t="s">
        <v>3185</v>
      </c>
      <c r="K32" s="10" t="s">
        <v>117</v>
      </c>
      <c r="L32" s="10" t="e">
        <f>_xlfn.XLOOKUP(K32,[1]jumpData!$F:$F,[1]jumpData!$A:$A)</f>
        <v>#N/A</v>
      </c>
    </row>
    <row r="33" spans="1:12">
      <c r="A33" s="6">
        <v>71101</v>
      </c>
      <c r="B33" s="4" t="s">
        <v>3143</v>
      </c>
      <c r="K33" s="10" t="s">
        <v>3186</v>
      </c>
      <c r="L33" s="10" t="e">
        <f>_xlfn.XLOOKUP(K33,[1]jumpData!$F:$F,[1]jumpData!$A:$A)</f>
        <v>#N/A</v>
      </c>
    </row>
    <row r="34" spans="1:12">
      <c r="A34" s="6">
        <v>71102</v>
      </c>
      <c r="B34" s="4" t="s">
        <v>3146</v>
      </c>
      <c r="K34" s="10" t="s">
        <v>3186</v>
      </c>
      <c r="L34" s="10" t="e">
        <f>_xlfn.XLOOKUP(K34,[1]jumpData!$F:$F,[1]jumpData!$A:$A)</f>
        <v>#N/A</v>
      </c>
    </row>
    <row r="35" spans="1:12">
      <c r="A35" s="6">
        <v>71103</v>
      </c>
      <c r="B35" s="4" t="s">
        <v>3149</v>
      </c>
      <c r="K35" s="10" t="s">
        <v>3186</v>
      </c>
      <c r="L35" s="10" t="e">
        <f>_xlfn.XLOOKUP(K35,[1]jumpData!$F:$F,[1]jumpData!$A:$A)</f>
        <v>#N/A</v>
      </c>
    </row>
    <row r="36" spans="1:12">
      <c r="A36" s="6">
        <v>71201</v>
      </c>
      <c r="B36" s="4" t="s">
        <v>3187</v>
      </c>
      <c r="K36" s="10" t="s">
        <v>3186</v>
      </c>
      <c r="L36" s="10" t="e">
        <f>_xlfn.XLOOKUP(K36,[1]jumpData!$F:$F,[1]jumpData!$A:$A)</f>
        <v>#N/A</v>
      </c>
    </row>
    <row r="37" spans="1:12">
      <c r="A37" s="6">
        <v>71202</v>
      </c>
      <c r="B37" s="4" t="s">
        <v>3188</v>
      </c>
      <c r="K37" s="10" t="s">
        <v>3050</v>
      </c>
      <c r="L37" s="10" t="e">
        <f>_xlfn.XLOOKUP(K37,[1]jumpData!$F:$F,[1]jumpData!$A:$A)</f>
        <v>#N/A</v>
      </c>
    </row>
    <row r="38" spans="1:12">
      <c r="A38" s="6">
        <v>72011</v>
      </c>
      <c r="B38" s="4" t="s">
        <v>3189</v>
      </c>
      <c r="K38" s="10" t="s">
        <v>3050</v>
      </c>
      <c r="L38" s="10" t="e">
        <f>_xlfn.XLOOKUP(K38,[1]jumpData!$F:$F,[1]jumpData!$A:$A)</f>
        <v>#N/A</v>
      </c>
    </row>
    <row r="39" spans="1:12">
      <c r="A39" s="6">
        <v>72012</v>
      </c>
      <c r="B39" s="4" t="s">
        <v>3190</v>
      </c>
      <c r="K39" s="10" t="s">
        <v>3050</v>
      </c>
      <c r="L39" s="10" t="e">
        <f>_xlfn.XLOOKUP(K39,[1]jumpData!$F:$F,[1]jumpData!$A:$A)</f>
        <v>#N/A</v>
      </c>
    </row>
    <row r="40" spans="1:12">
      <c r="A40" s="6">
        <v>72101</v>
      </c>
      <c r="B40" s="4" t="s">
        <v>3132</v>
      </c>
      <c r="K40" s="10" t="s">
        <v>3165</v>
      </c>
      <c r="L40" s="10" t="e">
        <f>_xlfn.XLOOKUP(K40,[1]jumpData!$F:$F,[1]jumpData!$A:$A)</f>
        <v>#N/A</v>
      </c>
    </row>
    <row r="41" spans="1:12">
      <c r="A41" s="6">
        <v>72102</v>
      </c>
      <c r="B41" s="4" t="s">
        <v>3135</v>
      </c>
      <c r="K41" s="10" t="s">
        <v>108</v>
      </c>
      <c r="L41" s="10" t="e">
        <f>_xlfn.XLOOKUP(K41,[1]jumpData!$F:$F,[1]jumpData!$A:$A)</f>
        <v>#N/A</v>
      </c>
    </row>
    <row r="42" spans="1:12">
      <c r="K42" s="10" t="s">
        <v>97</v>
      </c>
      <c r="L42" s="10" t="e">
        <f>_xlfn.XLOOKUP(K42,[1]jumpData!$F:$F,[1]jumpData!$A:$A)</f>
        <v>#N/A</v>
      </c>
    </row>
    <row r="43" spans="1:12">
      <c r="K43" s="10" t="s">
        <v>117</v>
      </c>
      <c r="L43" s="10" t="e">
        <f>_xlfn.XLOOKUP(K43,[1]jumpData!$F:$F,[1]jumpData!$A:$A)</f>
        <v>#N/A</v>
      </c>
    </row>
    <row r="44" spans="1:12">
      <c r="K44" s="10" t="s">
        <v>126</v>
      </c>
      <c r="L44" s="10" t="e">
        <f>_xlfn.XLOOKUP(K44,[1]jumpData!$F:$F,[1]jumpData!$A:$A)</f>
        <v>#N/A</v>
      </c>
    </row>
    <row r="45" spans="1:12">
      <c r="K45" s="10" t="s">
        <v>117</v>
      </c>
      <c r="L45" s="10" t="e">
        <f>_xlfn.XLOOKUP(K45,[1]jumpData!$F:$F,[1]jumpData!$A:$A)</f>
        <v>#N/A</v>
      </c>
    </row>
    <row r="46" spans="1:12">
      <c r="K46" s="11"/>
      <c r="L46" s="10">
        <f>_xlfn.XLOOKUP(K46,[1]jumpData!$F:$F,[1]jumpData!$A:$A)</f>
        <v>0</v>
      </c>
    </row>
    <row r="47" spans="1:12">
      <c r="K47" s="11"/>
      <c r="L47" s="10">
        <f>_xlfn.XLOOKUP(K47,[1]jumpData!$F:$F,[1]jumpData!$A:$A)</f>
        <v>0</v>
      </c>
    </row>
    <row r="48" spans="1:12">
      <c r="K48" s="11"/>
      <c r="L48" s="10">
        <f>_xlfn.XLOOKUP(K48,[1]jumpData!$F:$F,[1]jumpData!$A:$A)</f>
        <v>0</v>
      </c>
    </row>
    <row r="49" spans="1:22">
      <c r="K49" s="11"/>
      <c r="L49" s="10">
        <f>_xlfn.XLOOKUP(K49,[1]jumpData!$F:$F,[1]jumpData!$A:$A)</f>
        <v>0</v>
      </c>
    </row>
    <row r="50" spans="1:22">
      <c r="K50" s="11"/>
      <c r="L50" s="10">
        <f>_xlfn.XLOOKUP(K50,[1]jumpData!$F:$F,[1]jumpData!$A:$A)</f>
        <v>0</v>
      </c>
    </row>
    <row r="51" spans="1:22">
      <c r="K51" s="11"/>
      <c r="L51" s="10">
        <f>_xlfn.XLOOKUP(K51,[1]jumpData!$F:$F,[1]jumpData!$A:$A)</f>
        <v>0</v>
      </c>
    </row>
    <row r="52" spans="1:22">
      <c r="K52" s="11"/>
      <c r="L52" s="10">
        <f>_xlfn.XLOOKUP(K52,[1]jumpData!$F:$F,[1]jumpData!$A:$A)</f>
        <v>0</v>
      </c>
    </row>
    <row r="53" spans="1:22">
      <c r="K53" s="11"/>
      <c r="L53" s="10">
        <f>_xlfn.XLOOKUP(K53,[1]jumpData!$F:$F,[1]jumpData!$A:$A)</f>
        <v>0</v>
      </c>
    </row>
    <row r="54" spans="1:22">
      <c r="K54" s="11"/>
      <c r="L54" s="10">
        <f>_xlfn.XLOOKUP(K54,[1]jumpData!$F:$F,[1]jumpData!$A:$A)</f>
        <v>0</v>
      </c>
    </row>
    <row r="55" spans="1:22">
      <c r="K55" s="11"/>
      <c r="L55" s="10">
        <f>_xlfn.XLOOKUP(K55,[1]jumpData!$F:$F,[1]jumpData!$A:$A)</f>
        <v>0</v>
      </c>
    </row>
    <row r="59" s="3" customFormat="1" spans="1:22">
      <c r="A59" s="12">
        <v>10007</v>
      </c>
      <c r="B59" s="12">
        <v>1</v>
      </c>
      <c r="C59" s="12">
        <v>7</v>
      </c>
      <c r="D59" s="12">
        <f>COUNTIF($C$59:C59,C59)</f>
        <v>1</v>
      </c>
      <c r="E59" s="12" t="s">
        <v>3191</v>
      </c>
      <c r="F59" s="12"/>
      <c r="G59" s="13">
        <v>5</v>
      </c>
      <c r="H59" s="13" t="s">
        <v>55</v>
      </c>
      <c r="I59" s="10">
        <v>2001</v>
      </c>
      <c r="J59" s="10" t="s">
        <v>3192</v>
      </c>
      <c r="K59" s="8"/>
      <c r="L59" s="8">
        <v>70007</v>
      </c>
      <c r="M59" s="4" t="s">
        <v>3160</v>
      </c>
      <c r="N59" s="3" t="s">
        <v>3193</v>
      </c>
      <c r="O59" s="3">
        <v>1000</v>
      </c>
      <c r="R59" s="3">
        <f t="shared" ref="R59:R62" si="0">O59</f>
        <v>1000</v>
      </c>
      <c r="S59" s="14">
        <f t="shared" ref="S59:S62" si="1">O59/7</f>
        <v>142.857142857143</v>
      </c>
      <c r="T59" s="14"/>
      <c r="U59" s="14"/>
      <c r="V59" s="4">
        <f t="shared" ref="V59:V62" si="2">ROUND(MAX(S59/100,T59/100,U59),0)</f>
        <v>1</v>
      </c>
    </row>
    <row r="60" customFormat="1" spans="1:22">
      <c r="A60" s="12">
        <f t="shared" ref="A60:A62" si="3">C60*100+D60</f>
        <v>100038101</v>
      </c>
      <c r="B60" s="12">
        <v>1</v>
      </c>
      <c r="C60" s="12">
        <v>1000381</v>
      </c>
      <c r="D60" s="12">
        <f>COUNTIF($C$59:C60,C60)</f>
        <v>1</v>
      </c>
      <c r="E60" s="12" t="s">
        <v>3194</v>
      </c>
      <c r="F60" s="12"/>
      <c r="G60" s="13">
        <v>10</v>
      </c>
      <c r="H60" s="13" t="s">
        <v>55</v>
      </c>
      <c r="I60" s="10">
        <v>2001</v>
      </c>
      <c r="J60" s="10" t="s">
        <v>3192</v>
      </c>
      <c r="K60" s="8"/>
      <c r="L60" s="8" t="s">
        <v>3195</v>
      </c>
      <c r="M60" s="4" t="s">
        <v>3180</v>
      </c>
      <c r="N60" s="3" t="s">
        <v>3193</v>
      </c>
      <c r="O60" s="3">
        <v>7000</v>
      </c>
      <c r="P60" s="3"/>
      <c r="Q60" s="3"/>
      <c r="R60" s="3">
        <f t="shared" si="0"/>
        <v>7000</v>
      </c>
      <c r="S60" s="14">
        <f t="shared" si="1"/>
        <v>1000</v>
      </c>
      <c r="T60" s="14"/>
      <c r="U60" s="14"/>
      <c r="V60" s="4">
        <f t="shared" si="2"/>
        <v>10</v>
      </c>
    </row>
    <row r="61" customFormat="1" spans="1:22">
      <c r="A61" s="12">
        <f t="shared" si="3"/>
        <v>100038201</v>
      </c>
      <c r="B61" s="12">
        <v>1</v>
      </c>
      <c r="C61" s="12">
        <v>1000382</v>
      </c>
      <c r="D61" s="12">
        <f>COUNTIF($C$59:C61,C61)</f>
        <v>1</v>
      </c>
      <c r="E61" s="12" t="s">
        <v>3196</v>
      </c>
      <c r="F61" s="12"/>
      <c r="G61" s="13">
        <v>100</v>
      </c>
      <c r="H61" s="13" t="s">
        <v>55</v>
      </c>
      <c r="I61" s="10">
        <v>2001</v>
      </c>
      <c r="J61" s="10" t="s">
        <v>3192</v>
      </c>
      <c r="K61" s="8"/>
      <c r="L61" s="8" t="s">
        <v>3197</v>
      </c>
      <c r="M61" s="4" t="s">
        <v>3181</v>
      </c>
      <c r="N61" s="3" t="s">
        <v>3193</v>
      </c>
      <c r="O61" s="3">
        <v>70000</v>
      </c>
      <c r="P61" s="3"/>
      <c r="Q61" s="3"/>
      <c r="R61" s="3">
        <f t="shared" si="0"/>
        <v>70000</v>
      </c>
      <c r="S61" s="14">
        <f t="shared" si="1"/>
        <v>10000</v>
      </c>
      <c r="T61" s="14"/>
      <c r="U61" s="14"/>
      <c r="V61" s="4">
        <f t="shared" si="2"/>
        <v>100</v>
      </c>
    </row>
    <row r="62" customFormat="1" spans="1:22">
      <c r="A62" s="12">
        <f t="shared" si="3"/>
        <v>100038301</v>
      </c>
      <c r="B62" s="12">
        <v>1</v>
      </c>
      <c r="C62" s="12">
        <v>1000383</v>
      </c>
      <c r="D62" s="12">
        <f>COUNTIF($C$59:C62,C62)</f>
        <v>1</v>
      </c>
      <c r="E62" s="12" t="s">
        <v>3198</v>
      </c>
      <c r="F62" s="12"/>
      <c r="G62" s="13">
        <v>1000</v>
      </c>
      <c r="H62" s="13" t="s">
        <v>55</v>
      </c>
      <c r="I62" s="10">
        <v>2001</v>
      </c>
      <c r="J62" s="10" t="s">
        <v>3192</v>
      </c>
      <c r="K62" s="8"/>
      <c r="L62" s="8" t="s">
        <v>3199</v>
      </c>
      <c r="M62" s="4" t="s">
        <v>3182</v>
      </c>
      <c r="N62" s="3" t="s">
        <v>3193</v>
      </c>
      <c r="O62" s="3">
        <v>700000</v>
      </c>
      <c r="P62" s="3"/>
      <c r="Q62" s="3"/>
      <c r="R62" s="3">
        <f t="shared" si="0"/>
        <v>700000</v>
      </c>
      <c r="S62" s="14">
        <f t="shared" si="1"/>
        <v>100000</v>
      </c>
      <c r="T62" s="14"/>
      <c r="U62" s="14"/>
      <c r="V62" s="4">
        <f t="shared" si="2"/>
        <v>1000</v>
      </c>
    </row>
    <row r="63" s="3" customFormat="1" spans="1:22">
      <c r="A63" s="14">
        <v>10027</v>
      </c>
      <c r="B63" s="14">
        <v>1</v>
      </c>
      <c r="C63" s="14">
        <v>7</v>
      </c>
      <c r="D63" s="12">
        <f>COUNTIF($C$63:C63,C63)</f>
        <v>1</v>
      </c>
      <c r="E63" s="14" t="s">
        <v>3191</v>
      </c>
      <c r="F63" s="14"/>
      <c r="G63" s="15">
        <v>10</v>
      </c>
      <c r="H63" s="15" t="s">
        <v>55</v>
      </c>
      <c r="I63" s="11">
        <v>2002</v>
      </c>
      <c r="J63" s="11" t="s">
        <v>3192</v>
      </c>
      <c r="K63" s="16" t="s">
        <v>3200</v>
      </c>
      <c r="L63" s="16">
        <v>70007</v>
      </c>
      <c r="M63" s="4" t="s">
        <v>3160</v>
      </c>
      <c r="P63" s="4"/>
    </row>
    <row r="65" s="4" customFormat="1" spans="1:22">
      <c r="A65" s="14">
        <v>10021</v>
      </c>
      <c r="B65" s="14">
        <v>1</v>
      </c>
      <c r="C65" s="14">
        <v>1</v>
      </c>
      <c r="D65" s="12">
        <f>COUNTIF($C$65:C65,C65)</f>
        <v>1</v>
      </c>
      <c r="E65" s="14" t="s">
        <v>3201</v>
      </c>
      <c r="F65" s="14"/>
      <c r="G65" s="15">
        <v>20</v>
      </c>
      <c r="H65" s="15" t="s">
        <v>55</v>
      </c>
      <c r="I65" s="11">
        <v>1001</v>
      </c>
      <c r="J65" s="11" t="s">
        <v>3202</v>
      </c>
      <c r="K65" s="16" t="s">
        <v>3203</v>
      </c>
      <c r="L65" s="16">
        <v>70001</v>
      </c>
      <c r="M65" s="4" t="s">
        <v>3139</v>
      </c>
      <c r="V65" s="4">
        <f>ROUND(MAX(S65/100,T65/100,U65),0)</f>
        <v>0</v>
      </c>
    </row>
    <row r="66" s="4" customFormat="1" spans="1:22">
      <c r="A66" s="14">
        <v>10022</v>
      </c>
      <c r="B66" s="14">
        <v>1</v>
      </c>
      <c r="C66" s="14">
        <v>2</v>
      </c>
      <c r="D66" s="12">
        <f>COUNTIF($C$65:C66,C66)</f>
        <v>1</v>
      </c>
      <c r="E66" s="14" t="s">
        <v>3204</v>
      </c>
      <c r="F66" s="14"/>
      <c r="G66" s="15">
        <v>100</v>
      </c>
      <c r="H66" s="15" t="s">
        <v>55</v>
      </c>
      <c r="I66" s="11">
        <v>2001</v>
      </c>
      <c r="J66" s="11" t="s">
        <v>3202</v>
      </c>
      <c r="K66" s="16" t="s">
        <v>3200</v>
      </c>
      <c r="L66" s="16">
        <v>70002</v>
      </c>
      <c r="M66" s="4" t="s">
        <v>3205</v>
      </c>
    </row>
    <row r="67" s="4" customFormat="1" spans="1:22">
      <c r="A67" s="14">
        <v>10023</v>
      </c>
      <c r="B67" s="14">
        <v>1</v>
      </c>
      <c r="C67" s="14">
        <v>3</v>
      </c>
      <c r="D67" s="12">
        <f>COUNTIF($C$65:C67,C67)</f>
        <v>1</v>
      </c>
      <c r="E67" s="14" t="s">
        <v>3206</v>
      </c>
      <c r="F67" s="14"/>
      <c r="G67" s="15">
        <v>10</v>
      </c>
      <c r="H67" s="15" t="s">
        <v>55</v>
      </c>
      <c r="I67" s="11">
        <v>2002</v>
      </c>
      <c r="J67" s="11" t="s">
        <v>3207</v>
      </c>
      <c r="K67" s="16" t="s">
        <v>3200</v>
      </c>
      <c r="L67" s="16">
        <v>70003</v>
      </c>
      <c r="M67" s="4" t="s">
        <v>3155</v>
      </c>
    </row>
    <row r="68" s="4" customFormat="1" spans="1:22">
      <c r="A68" s="14">
        <v>10024</v>
      </c>
      <c r="B68" s="14">
        <v>1</v>
      </c>
      <c r="C68" s="14">
        <v>4</v>
      </c>
      <c r="D68" s="12">
        <f>COUNTIF($C$65:C68,C68)</f>
        <v>1</v>
      </c>
      <c r="E68" s="14" t="s">
        <v>3208</v>
      </c>
      <c r="F68" s="14"/>
      <c r="G68" s="15">
        <v>40</v>
      </c>
      <c r="H68" s="15" t="s">
        <v>55</v>
      </c>
      <c r="I68" s="11">
        <v>2003</v>
      </c>
      <c r="J68" s="11" t="s">
        <v>3209</v>
      </c>
      <c r="K68" s="16" t="s">
        <v>3200</v>
      </c>
      <c r="L68" s="16">
        <v>70004</v>
      </c>
      <c r="M68" s="4" t="s">
        <v>3156</v>
      </c>
    </row>
    <row r="69" s="4" customFormat="1" spans="1:22">
      <c r="A69" s="14">
        <v>10025</v>
      </c>
      <c r="B69" s="14">
        <v>1</v>
      </c>
      <c r="C69" s="14">
        <v>5</v>
      </c>
      <c r="D69" s="12">
        <f>COUNTIF($C$65:C69,C69)</f>
        <v>1</v>
      </c>
      <c r="E69" s="14" t="s">
        <v>3210</v>
      </c>
      <c r="F69" s="14"/>
      <c r="G69" s="15">
        <v>10</v>
      </c>
      <c r="H69" s="15" t="s">
        <v>55</v>
      </c>
      <c r="I69" s="11">
        <v>1001</v>
      </c>
      <c r="J69" s="11" t="s">
        <v>3207</v>
      </c>
      <c r="K69" s="16" t="s">
        <v>3200</v>
      </c>
      <c r="L69" s="16">
        <v>70005</v>
      </c>
      <c r="M69" s="4" t="s">
        <v>3157</v>
      </c>
      <c r="N69" s="17"/>
    </row>
    <row r="70" s="4" customFormat="1" spans="1:22">
      <c r="A70" s="14">
        <v>10026</v>
      </c>
      <c r="B70" s="14">
        <v>1</v>
      </c>
      <c r="C70" s="14">
        <v>6</v>
      </c>
      <c r="D70" s="12">
        <f>COUNTIF($C$65:C70,C70)</f>
        <v>1</v>
      </c>
      <c r="E70" s="14" t="s">
        <v>523</v>
      </c>
      <c r="F70" s="14"/>
      <c r="G70" s="15">
        <v>20</v>
      </c>
      <c r="H70" s="15" t="s">
        <v>55</v>
      </c>
      <c r="I70" s="11">
        <v>2001</v>
      </c>
      <c r="J70" s="11" t="s">
        <v>3209</v>
      </c>
      <c r="K70" s="16" t="s">
        <v>3200</v>
      </c>
      <c r="L70" s="16">
        <v>70006</v>
      </c>
      <c r="M70" s="4" t="s">
        <v>3211</v>
      </c>
      <c r="N70" s="17"/>
    </row>
    <row r="71" s="4" customFormat="1" spans="1:22">
      <c r="A71" s="14">
        <v>10028</v>
      </c>
      <c r="B71" s="14">
        <v>1</v>
      </c>
      <c r="C71" s="14">
        <v>8</v>
      </c>
      <c r="D71" s="12">
        <f>COUNTIF($C$65:C71,C71)</f>
        <v>1</v>
      </c>
      <c r="E71" s="14" t="s">
        <v>3127</v>
      </c>
      <c r="F71" s="14"/>
      <c r="G71" s="15">
        <v>5</v>
      </c>
      <c r="H71" s="15" t="s">
        <v>55</v>
      </c>
      <c r="I71" s="11">
        <v>2003</v>
      </c>
      <c r="J71" s="11" t="s">
        <v>3212</v>
      </c>
      <c r="K71" s="16" t="s">
        <v>3200</v>
      </c>
      <c r="L71" s="16">
        <v>70008</v>
      </c>
      <c r="M71" s="4" t="s">
        <v>3129</v>
      </c>
      <c r="N71" s="17"/>
    </row>
    <row r="72" s="4" customFormat="1" spans="1:22">
      <c r="A72" s="14">
        <v>10029</v>
      </c>
      <c r="B72" s="14">
        <v>1</v>
      </c>
      <c r="C72" s="14">
        <v>9</v>
      </c>
      <c r="D72" s="12">
        <f>COUNTIF($C$65:C72,C72)</f>
        <v>1</v>
      </c>
      <c r="E72" s="14" t="s">
        <v>3213</v>
      </c>
      <c r="F72" s="14"/>
      <c r="G72" s="15">
        <v>1</v>
      </c>
      <c r="H72" s="15" t="s">
        <v>55</v>
      </c>
      <c r="I72" s="11">
        <v>1001</v>
      </c>
      <c r="J72" s="11" t="s">
        <v>3214</v>
      </c>
      <c r="K72" s="16" t="s">
        <v>3200</v>
      </c>
      <c r="L72" s="16">
        <v>70009</v>
      </c>
      <c r="M72" s="4" t="s">
        <v>3161</v>
      </c>
      <c r="N72" s="17"/>
    </row>
    <row r="73" s="4" customFormat="1" spans="1:22">
      <c r="A73" s="14">
        <v>10030</v>
      </c>
      <c r="B73" s="14">
        <v>1</v>
      </c>
      <c r="C73" s="14">
        <v>10</v>
      </c>
      <c r="D73" s="12">
        <f>COUNTIF($C$65:C73,C73)</f>
        <v>1</v>
      </c>
      <c r="E73" s="14" t="s">
        <v>3215</v>
      </c>
      <c r="F73" s="14"/>
      <c r="G73" s="15">
        <v>5</v>
      </c>
      <c r="H73" s="15" t="s">
        <v>55</v>
      </c>
      <c r="I73" s="11">
        <v>2001</v>
      </c>
      <c r="J73" s="11" t="s">
        <v>3214</v>
      </c>
      <c r="K73" s="16" t="s">
        <v>3200</v>
      </c>
      <c r="L73" s="16">
        <v>70010</v>
      </c>
      <c r="M73" s="4" t="s">
        <v>3216</v>
      </c>
    </row>
  </sheetData>
  <sortState ref="A1:B41">
    <sortCondition ref="A1"/>
  </sortState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5"/>
  <sheetViews>
    <sheetView workbookViewId="0">
      <selection activeCell="D9" sqref="D9"/>
    </sheetView>
  </sheetViews>
  <sheetFormatPr defaultColWidth="9" defaultRowHeight="14.25" outlineLevelCol="2"/>
  <cols>
    <col min="1" max="2" width="9" style="1"/>
    <col min="3" max="3" width="25" style="1" customWidth="1"/>
  </cols>
  <sheetData>
    <row r="1" spans="1:3">
      <c r="A1" s="2" t="s">
        <v>12</v>
      </c>
      <c r="B1" s="2" t="s">
        <v>31</v>
      </c>
      <c r="C1" s="2" t="s">
        <v>3217</v>
      </c>
    </row>
    <row r="2" spans="1:3">
      <c r="A2" s="1" t="s">
        <v>3165</v>
      </c>
      <c r="B2" s="1">
        <v>100100</v>
      </c>
      <c r="C2" s="1" t="s">
        <v>3218</v>
      </c>
    </row>
    <row r="3" spans="1:3">
      <c r="A3" s="1" t="s">
        <v>108</v>
      </c>
      <c r="B3" s="1">
        <v>100300</v>
      </c>
      <c r="C3" s="1" t="s">
        <v>106</v>
      </c>
    </row>
    <row r="4" spans="1:3">
      <c r="A4" s="1" t="s">
        <v>97</v>
      </c>
      <c r="B4" s="1">
        <v>100700</v>
      </c>
      <c r="C4" s="1" t="s">
        <v>94</v>
      </c>
    </row>
    <row r="5" spans="1:3">
      <c r="A5" s="1" t="s">
        <v>117</v>
      </c>
      <c r="B5" s="1">
        <v>101200</v>
      </c>
      <c r="C5" s="1" t="s">
        <v>115</v>
      </c>
    </row>
    <row r="6" spans="1:3">
      <c r="A6" s="1" t="s">
        <v>126</v>
      </c>
      <c r="B6" s="1">
        <v>101400</v>
      </c>
      <c r="C6" s="1" t="s">
        <v>124</v>
      </c>
    </row>
    <row r="7" spans="1:3">
      <c r="A7" s="1" t="s">
        <v>147</v>
      </c>
      <c r="B7" s="1">
        <v>101700</v>
      </c>
      <c r="C7" s="1" t="s">
        <v>145</v>
      </c>
    </row>
    <row r="8" spans="1:3">
      <c r="A8" s="1" t="s">
        <v>157</v>
      </c>
      <c r="B8" s="1">
        <v>102100</v>
      </c>
      <c r="C8" s="1" t="s">
        <v>155</v>
      </c>
    </row>
    <row r="9" spans="1:3">
      <c r="A9" s="1" t="s">
        <v>167</v>
      </c>
      <c r="B9" s="1">
        <v>102200</v>
      </c>
      <c r="C9" s="1" t="s">
        <v>165</v>
      </c>
    </row>
    <row r="10" spans="1:3">
      <c r="A10" s="1" t="s">
        <v>176</v>
      </c>
      <c r="B10" s="1">
        <v>102300</v>
      </c>
      <c r="C10" s="1" t="s">
        <v>174</v>
      </c>
    </row>
    <row r="11" spans="1:3">
      <c r="A11" s="1" t="s">
        <v>186</v>
      </c>
      <c r="B11" s="1">
        <v>102400</v>
      </c>
      <c r="C11" s="1" t="s">
        <v>184</v>
      </c>
    </row>
    <row r="12" spans="1:3">
      <c r="A12" s="1" t="s">
        <v>2225</v>
      </c>
      <c r="B12" s="1">
        <v>102500</v>
      </c>
      <c r="C12" s="1" t="s">
        <v>3219</v>
      </c>
    </row>
    <row r="13" spans="1:3">
      <c r="A13" s="1" t="s">
        <v>3220</v>
      </c>
      <c r="B13" s="1">
        <v>200100</v>
      </c>
      <c r="C13" s="1" t="s">
        <v>3221</v>
      </c>
    </row>
    <row r="14" spans="1:3">
      <c r="A14" s="1" t="s">
        <v>3222</v>
      </c>
      <c r="B14" s="1">
        <v>200101</v>
      </c>
      <c r="C14" s="1" t="s">
        <v>3223</v>
      </c>
    </row>
    <row r="15" spans="1:3">
      <c r="A15" s="1" t="s">
        <v>3224</v>
      </c>
      <c r="B15" s="1">
        <v>200300</v>
      </c>
      <c r="C15" s="1" t="s">
        <v>3225</v>
      </c>
    </row>
    <row r="16" spans="1:3">
      <c r="A16" s="1" t="s">
        <v>3226</v>
      </c>
      <c r="B16" s="1">
        <v>200400</v>
      </c>
      <c r="C16" s="1" t="s">
        <v>3227</v>
      </c>
    </row>
    <row r="17" spans="1:3">
      <c r="A17" s="1" t="s">
        <v>3228</v>
      </c>
      <c r="B17" s="1">
        <v>200500</v>
      </c>
      <c r="C17" s="1" t="s">
        <v>3229</v>
      </c>
    </row>
    <row r="18" spans="1:3">
      <c r="A18" s="1" t="s">
        <v>3230</v>
      </c>
      <c r="B18" s="1">
        <v>200600</v>
      </c>
      <c r="C18" s="1" t="s">
        <v>3231</v>
      </c>
    </row>
    <row r="19" spans="1:3">
      <c r="A19" s="1" t="s">
        <v>3232</v>
      </c>
      <c r="B19" s="1">
        <v>200700</v>
      </c>
      <c r="C19" s="1" t="s">
        <v>3233</v>
      </c>
    </row>
    <row r="20" spans="1:3">
      <c r="A20" s="1" t="s">
        <v>3234</v>
      </c>
      <c r="B20" s="1">
        <v>200800</v>
      </c>
      <c r="C20" s="1" t="s">
        <v>3235</v>
      </c>
    </row>
    <row r="21" spans="1:3">
      <c r="A21" s="1" t="s">
        <v>3236</v>
      </c>
      <c r="B21" s="1">
        <v>200900</v>
      </c>
      <c r="C21" s="1" t="s">
        <v>3237</v>
      </c>
    </row>
    <row r="22" spans="1:3">
      <c r="A22" s="1" t="s">
        <v>3238</v>
      </c>
      <c r="B22" s="1">
        <v>300100</v>
      </c>
      <c r="C22" s="1" t="s">
        <v>3239</v>
      </c>
    </row>
    <row r="23" spans="1:3">
      <c r="A23" s="1" t="s">
        <v>3240</v>
      </c>
      <c r="B23" s="1">
        <v>300200</v>
      </c>
      <c r="C23" s="1" t="s">
        <v>3241</v>
      </c>
    </row>
    <row r="24" spans="1:3">
      <c r="A24" s="1" t="s">
        <v>3140</v>
      </c>
      <c r="B24" s="1">
        <v>500000</v>
      </c>
      <c r="C24" s="1" t="s">
        <v>3137</v>
      </c>
    </row>
    <row r="25" spans="1:3">
      <c r="A25" s="1" t="s">
        <v>58</v>
      </c>
      <c r="B25" s="1">
        <v>500001</v>
      </c>
      <c r="C25" s="1" t="s">
        <v>56</v>
      </c>
    </row>
    <row r="26" spans="1:3">
      <c r="A26" s="1" t="s">
        <v>3242</v>
      </c>
      <c r="B26" s="1">
        <v>500002</v>
      </c>
      <c r="C26" s="1" t="s">
        <v>3243</v>
      </c>
    </row>
    <row r="27" spans="1:3">
      <c r="A27" s="1" t="s">
        <v>3244</v>
      </c>
      <c r="B27" s="1">
        <v>500003</v>
      </c>
      <c r="C27" s="1" t="s">
        <v>3245</v>
      </c>
    </row>
    <row r="28" spans="1:3">
      <c r="A28" s="1" t="s">
        <v>3246</v>
      </c>
      <c r="B28" s="1">
        <v>500004</v>
      </c>
      <c r="C28" s="1" t="s">
        <v>627</v>
      </c>
    </row>
    <row r="29" spans="1:3">
      <c r="A29" s="1" t="s">
        <v>3247</v>
      </c>
      <c r="B29" s="1">
        <v>500005</v>
      </c>
      <c r="C29" s="1" t="s">
        <v>3248</v>
      </c>
    </row>
    <row r="30" spans="1:3">
      <c r="A30" s="1" t="s">
        <v>422</v>
      </c>
      <c r="B30" s="1">
        <v>500006</v>
      </c>
      <c r="C30" s="1" t="s">
        <v>420</v>
      </c>
    </row>
    <row r="31" spans="1:3">
      <c r="A31" s="1" t="s">
        <v>137</v>
      </c>
      <c r="B31" s="1">
        <v>500007</v>
      </c>
      <c r="C31" s="1" t="s">
        <v>134</v>
      </c>
    </row>
    <row r="32" spans="1:3">
      <c r="A32" s="1" t="s">
        <v>3050</v>
      </c>
      <c r="B32" s="1">
        <v>600000</v>
      </c>
      <c r="C32" s="1" t="s">
        <v>3128</v>
      </c>
    </row>
    <row r="33" spans="1:3">
      <c r="A33" s="1" t="s">
        <v>3056</v>
      </c>
      <c r="B33" s="1">
        <v>600001</v>
      </c>
      <c r="C33" s="1" t="s">
        <v>3249</v>
      </c>
    </row>
    <row r="34" spans="1:3">
      <c r="A34" s="1" t="s">
        <v>3250</v>
      </c>
      <c r="B34" s="1">
        <v>600002</v>
      </c>
      <c r="C34" s="1" t="s">
        <v>3251</v>
      </c>
    </row>
    <row r="35" spans="1:3">
      <c r="A35" s="1" t="s">
        <v>3052</v>
      </c>
      <c r="B35" s="1">
        <v>600003</v>
      </c>
      <c r="C35" s="1" t="s">
        <v>3252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task</vt:lpstr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2025-08-25T03:06:00Z</dcterms:created>
  <dcterms:modified xsi:type="dcterms:W3CDTF">2026-09-15T10:12:37Z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C2215AEB9DCC4EEF887A16E175603B04_12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0</vt:i4>
  </property>
</Properties>
</file>