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lliance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3-联盟任务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
充值类型的单位是分，比如要求充值9.99美元，需要填 999
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1-低品质
2-中品质
3-高品质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0或空值表示可以放弃
1表示不能放弃</t>
        </r>
      </text>
    </comment>
  </commentList>
</comments>
</file>

<file path=xl/sharedStrings.xml><?xml version="1.0" encoding="utf-8"?>
<sst xmlns="http://schemas.openxmlformats.org/spreadsheetml/2006/main" count="184" uniqueCount="175">
  <si>
    <t>任务ID</t>
  </si>
  <si>
    <t>序列</t>
  </si>
  <si>
    <t>任务类型</t>
  </si>
  <si>
    <t>任务条件</t>
  </si>
  <si>
    <t>任务品质</t>
  </si>
  <si>
    <t>贡献值奖励</t>
  </si>
  <si>
    <t>声誉值奖励</t>
  </si>
  <si>
    <t>持续时间（M)</t>
  </si>
  <si>
    <t>是否允许放弃</t>
  </si>
  <si>
    <t>放弃的冷却时间（秒）</t>
  </si>
  <si>
    <t>任务描述</t>
  </si>
  <si>
    <t>#备注</t>
  </si>
  <si>
    <t>int</t>
  </si>
  <si>
    <t>list&lt;long&gt;{_}</t>
  </si>
  <si>
    <t>id</t>
  </si>
  <si>
    <t>Sequence</t>
  </si>
  <si>
    <t>AllianceTasktype</t>
  </si>
  <si>
    <t>AllianceTaskConditionId</t>
  </si>
  <si>
    <t>Quality</t>
  </si>
  <si>
    <t>ContributionReward</t>
  </si>
  <si>
    <t>ReputationReward</t>
  </si>
  <si>
    <t>Duration</t>
  </si>
  <si>
    <t>AllowAbandon</t>
  </si>
  <si>
    <t>AbandonCooldown</t>
  </si>
  <si>
    <t>language</t>
  </si>
  <si>
    <t>12301_0_1_5_1</t>
  </si>
  <si>
    <t>中1次5倍奖励</t>
  </si>
  <si>
    <t>12301_0_1_5_3</t>
  </si>
  <si>
    <t>中3次5倍奖励</t>
  </si>
  <si>
    <t>12301_0_1_5_5</t>
  </si>
  <si>
    <t>中5次5倍奖励</t>
  </si>
  <si>
    <t>12301_0_1_5_10</t>
  </si>
  <si>
    <t>中10次5倍奖励</t>
  </si>
  <si>
    <t>12301_0_1_5_20</t>
  </si>
  <si>
    <t>中20次5倍奖励</t>
  </si>
  <si>
    <t>12301_0_1_5_30</t>
  </si>
  <si>
    <t>中30次5倍奖励</t>
  </si>
  <si>
    <t>12301_0_1_5_50</t>
  </si>
  <si>
    <t>中50次5倍奖励</t>
  </si>
  <si>
    <t>12301_0_1_10_1</t>
  </si>
  <si>
    <t>中1次10倍奖励</t>
  </si>
  <si>
    <t>12301_0_1_10_3</t>
  </si>
  <si>
    <t>中3次10倍奖励</t>
  </si>
  <si>
    <t>12301_0_1_10_5</t>
  </si>
  <si>
    <t>中5次10倍奖励</t>
  </si>
  <si>
    <t>12301_0_1_10_10</t>
  </si>
  <si>
    <t>中10次10倍奖励</t>
  </si>
  <si>
    <t>12301_0_1_10_20</t>
  </si>
  <si>
    <t>中20次10倍奖励</t>
  </si>
  <si>
    <t>12301_0_1_10_30</t>
  </si>
  <si>
    <t>中30次10倍奖励</t>
  </si>
  <si>
    <t>12301_0_1_10_50</t>
  </si>
  <si>
    <t>中50次10倍奖励</t>
  </si>
  <si>
    <t>12301_0_1_20_1</t>
  </si>
  <si>
    <t>中1次20倍奖励</t>
  </si>
  <si>
    <t>12301_0_1_20_3</t>
  </si>
  <si>
    <t>中3次20倍奖励</t>
  </si>
  <si>
    <t>12301_0_1_20_5</t>
  </si>
  <si>
    <t>中5次20倍奖励</t>
  </si>
  <si>
    <t>12301_0_1_20_10</t>
  </si>
  <si>
    <t>中10次20倍奖励</t>
  </si>
  <si>
    <t>12301_0_1_20_20</t>
  </si>
  <si>
    <t>中20次20倍奖励</t>
  </si>
  <si>
    <t>12301_0_1_20_30</t>
  </si>
  <si>
    <t>中30次20倍奖励</t>
  </si>
  <si>
    <t>12301_0_1_20_50</t>
  </si>
  <si>
    <t>中50次20倍奖励</t>
  </si>
  <si>
    <t>12305_0_1_10</t>
  </si>
  <si>
    <t>下注10次</t>
  </si>
  <si>
    <t>12305_0_1_20</t>
  </si>
  <si>
    <t>下注20次</t>
  </si>
  <si>
    <t>12305_0_1_50</t>
  </si>
  <si>
    <t>下注50次</t>
  </si>
  <si>
    <t>12305_0_1_80</t>
  </si>
  <si>
    <t>下注80次</t>
  </si>
  <si>
    <t>12305_0_1_100</t>
  </si>
  <si>
    <t>下注100次</t>
  </si>
  <si>
    <t>12305_0_1_200</t>
  </si>
  <si>
    <t>下注200次</t>
  </si>
  <si>
    <t>12305_0_1_300</t>
  </si>
  <si>
    <t>下注300次</t>
  </si>
  <si>
    <t>12305_0_1_500</t>
  </si>
  <si>
    <t>下注500次</t>
  </si>
  <si>
    <t>12305_0_1_800</t>
  </si>
  <si>
    <t>下注800次</t>
  </si>
  <si>
    <t>12305_0_1_1000</t>
  </si>
  <si>
    <t>下注1000次</t>
  </si>
  <si>
    <t>12302_0_5</t>
  </si>
  <si>
    <t>卡池抽奖5次</t>
  </si>
  <si>
    <t>12302_0_10</t>
  </si>
  <si>
    <t>卡池抽奖10次</t>
  </si>
  <si>
    <t>12302_0_20</t>
  </si>
  <si>
    <t>卡池抽奖20次</t>
  </si>
  <si>
    <t>12302_0_30</t>
  </si>
  <si>
    <t>卡池抽奖30次</t>
  </si>
  <si>
    <t>12302_0_50</t>
  </si>
  <si>
    <t>卡池抽奖50次</t>
  </si>
  <si>
    <t>12302_0_100</t>
  </si>
  <si>
    <t>卡池抽奖100次</t>
  </si>
  <si>
    <t>12302_0_150</t>
  </si>
  <si>
    <t>卡池抽奖150次</t>
  </si>
  <si>
    <t>12308_0_2</t>
  </si>
  <si>
    <t>联盟捐献2次</t>
  </si>
  <si>
    <t>12308_0_4</t>
  </si>
  <si>
    <t>联盟捐献4次</t>
  </si>
  <si>
    <t>12308_0_6</t>
  </si>
  <si>
    <t>联盟捐献6次</t>
  </si>
  <si>
    <t>12308_0_8</t>
  </si>
  <si>
    <t>联盟捐献8次</t>
  </si>
  <si>
    <t>12308_0_10</t>
  </si>
  <si>
    <t>联盟捐献10次</t>
  </si>
  <si>
    <t>12308_0_12</t>
  </si>
  <si>
    <t>联盟捐献12次</t>
  </si>
  <si>
    <t>12308_0_15</t>
  </si>
  <si>
    <t>联盟捐献15次</t>
  </si>
  <si>
    <t>12303_0_5</t>
  </si>
  <si>
    <t>技能研究5次</t>
  </si>
  <si>
    <t>12303_0_10</t>
  </si>
  <si>
    <t>技能研究10次</t>
  </si>
  <si>
    <t>12303_0_15</t>
  </si>
  <si>
    <t>技能研究15次</t>
  </si>
  <si>
    <t>12303_0_20</t>
  </si>
  <si>
    <t>技能研究20次</t>
  </si>
  <si>
    <t>12303_0_25</t>
  </si>
  <si>
    <t>技能研究25次</t>
  </si>
  <si>
    <t>12303_0_30</t>
  </si>
  <si>
    <t>技能研究30次</t>
  </si>
  <si>
    <t>12304_0_5</t>
  </si>
  <si>
    <t>建筑升级5次</t>
  </si>
  <si>
    <t>12304_0_10</t>
  </si>
  <si>
    <t>建筑升级10次</t>
  </si>
  <si>
    <t>12304_0_15</t>
  </si>
  <si>
    <t>建筑升级15次</t>
  </si>
  <si>
    <t>12304_0_20</t>
  </si>
  <si>
    <t>建筑升级20次</t>
  </si>
  <si>
    <t>12304_0_25</t>
  </si>
  <si>
    <t>建筑升级25次</t>
  </si>
  <si>
    <t>12304_0_30</t>
  </si>
  <si>
    <t>建筑升级30次</t>
  </si>
  <si>
    <t>12306_0_1_100000_1990000</t>
  </si>
  <si>
    <t>游戏中累计赢奖100000</t>
  </si>
  <si>
    <t>12306_0_1_200000_1990000</t>
  </si>
  <si>
    <t>游戏中累计赢奖200000</t>
  </si>
  <si>
    <t>12306_0_1_300000_1990000</t>
  </si>
  <si>
    <t>游戏中累计赢奖300000</t>
  </si>
  <si>
    <t>12306_0_1_500000_1990000</t>
  </si>
  <si>
    <t>游戏中累计赢奖500000</t>
  </si>
  <si>
    <t>12306_0_1_800000_1990000</t>
  </si>
  <si>
    <t>游戏中累计赢奖800000</t>
  </si>
  <si>
    <t>12306_0_1_1000000_1990000</t>
  </si>
  <si>
    <t>游戏中累计赢奖1000000</t>
  </si>
  <si>
    <t>12306_0_1_1500000_1990000</t>
  </si>
  <si>
    <t>游戏中累计赢奖1500000</t>
  </si>
  <si>
    <t>12306_0_1_2000000_1990000</t>
  </si>
  <si>
    <t>游戏中累计赢奖2000000</t>
  </si>
  <si>
    <t>12306_0_1_2500000_1990000</t>
  </si>
  <si>
    <t>游戏中累计赢奖2500000</t>
  </si>
  <si>
    <t>12306_0_1_3000000_1990000</t>
  </si>
  <si>
    <t>游戏中累计赢奖3000000</t>
  </si>
  <si>
    <t>12306_0_1_4000000_1990000</t>
  </si>
  <si>
    <t>游戏中累计赢奖4000000</t>
  </si>
  <si>
    <t>12306_0_1_5000000_1990000</t>
  </si>
  <si>
    <t>游戏中累计赢奖5000000</t>
  </si>
  <si>
    <t>12307_500_0</t>
  </si>
  <si>
    <t>累计充值金额5</t>
  </si>
  <si>
    <t>12307_1000_0</t>
  </si>
  <si>
    <t>累计充值金额10</t>
  </si>
  <si>
    <t>12307_2000_0</t>
  </si>
  <si>
    <t>累计充值金额20</t>
  </si>
  <si>
    <t>12307_3000_0</t>
  </si>
  <si>
    <t>累计充值金额30</t>
  </si>
  <si>
    <t>12307_5000_0</t>
  </si>
  <si>
    <t>累计充值金额50</t>
  </si>
  <si>
    <t>12307_10000_0</t>
  </si>
  <si>
    <t>累计充值金额100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</si>
</sst>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abSelected="1" workbookViewId="0">
      <selection activeCell="O22" sqref="O22"/>
    </sheetView>
  </sheetViews>
  <sheetFormatPr defaultColWidth="9" defaultRowHeight="13.5"/>
  <cols>
    <col min="3" max="3" width="14.125" customWidth="1"/>
    <col min="4" max="4" width="21.5" customWidth="1"/>
    <col min="5" max="5" width="13" customWidth="1"/>
    <col min="6" max="6" width="18.75" customWidth="1"/>
    <col min="7" max="8" width="13" customWidth="1"/>
    <col min="9" max="9" width="15.25" customWidth="1"/>
    <col min="10" max="10" width="19.875" customWidth="1"/>
    <col min="11" max="11" width="12.5" customWidth="1"/>
    <col min="12" max="12" width="19.125" customWidth="1"/>
  </cols>
  <sheetData>
    <row r="1" ht="20" customHeight="1" spans="1:1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>
      <c r="A2" s="1" t="s">
        <v>12</v>
      </c>
      <c r="B2" s="1" t="s">
        <v>12</v>
      </c>
      <c r="C2" s="1" t="s">
        <v>12</v>
      </c>
      <c r="D2" s="1" t="s">
        <v>13</v>
      </c>
      <c r="E2" s="2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/>
    </row>
    <row r="3" ht="20" customHeight="1" spans="1:12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/>
    </row>
    <row r="4" ht="20" customHeight="1" spans="1:12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</row>
    <row r="5" ht="20" customHeight="1" spans="1:12">
      <c r="A5" s="2">
        <f t="shared" ref="A5:A25" si="0">12301*100+B5</f>
        <v>1230101</v>
      </c>
      <c r="B5" s="2">
        <v>1</v>
      </c>
      <c r="C5" s="2">
        <v>3</v>
      </c>
      <c r="D5" s="1" t="s">
        <v>25</v>
      </c>
      <c r="E5" s="2">
        <v>1</v>
      </c>
      <c r="F5" s="2">
        <v>10</v>
      </c>
      <c r="G5" s="2">
        <f t="shared" ref="G5:G68" si="1">F5</f>
        <v>10</v>
      </c>
      <c r="H5" s="2">
        <v>120</v>
      </c>
      <c r="I5" s="2"/>
      <c r="J5" s="2">
        <v>300</v>
      </c>
      <c r="K5" s="2"/>
      <c r="L5" s="3" t="s">
        <v>26</v>
      </c>
    </row>
    <row r="6" ht="20" customHeight="1" spans="1:12">
      <c r="A6" s="2">
        <f t="shared" si="0"/>
        <v>1230102</v>
      </c>
      <c r="B6" s="2">
        <v>2</v>
      </c>
      <c r="C6" s="2">
        <v>3</v>
      </c>
      <c r="D6" s="1" t="s">
        <v>27</v>
      </c>
      <c r="E6" s="2">
        <v>1</v>
      </c>
      <c r="F6" s="2">
        <f>F5*3</f>
        <v>30</v>
      </c>
      <c r="G6" s="2">
        <f t="shared" si="1"/>
        <v>30</v>
      </c>
      <c r="H6" s="2">
        <v>120</v>
      </c>
      <c r="I6" s="2"/>
      <c r="J6" s="2">
        <v>300</v>
      </c>
      <c r="K6" s="2"/>
      <c r="L6" s="3" t="s">
        <v>28</v>
      </c>
    </row>
    <row r="7" ht="20" customHeight="1" spans="1:12">
      <c r="A7" s="2">
        <f t="shared" si="0"/>
        <v>1230103</v>
      </c>
      <c r="B7" s="2">
        <v>3</v>
      </c>
      <c r="C7" s="2">
        <v>3</v>
      </c>
      <c r="D7" s="1" t="s">
        <v>29</v>
      </c>
      <c r="E7" s="2">
        <v>1</v>
      </c>
      <c r="F7" s="2">
        <f>F5*5</f>
        <v>50</v>
      </c>
      <c r="G7" s="2">
        <f t="shared" si="1"/>
        <v>50</v>
      </c>
      <c r="H7" s="2">
        <v>120</v>
      </c>
      <c r="I7" s="2"/>
      <c r="J7" s="2">
        <v>300</v>
      </c>
      <c r="K7" s="2"/>
      <c r="L7" s="3" t="s">
        <v>30</v>
      </c>
    </row>
    <row r="8" ht="20" customHeight="1" spans="1:12">
      <c r="A8" s="2">
        <f t="shared" si="0"/>
        <v>1230104</v>
      </c>
      <c r="B8" s="2">
        <v>4</v>
      </c>
      <c r="C8" s="2">
        <v>3</v>
      </c>
      <c r="D8" s="1" t="s">
        <v>31</v>
      </c>
      <c r="E8" s="2">
        <v>2</v>
      </c>
      <c r="F8" s="2">
        <f>F5*10</f>
        <v>100</v>
      </c>
      <c r="G8" s="2">
        <f t="shared" si="1"/>
        <v>100</v>
      </c>
      <c r="H8" s="2">
        <v>1440</v>
      </c>
      <c r="I8" s="2"/>
      <c r="J8" s="2">
        <v>300</v>
      </c>
      <c r="K8" s="2"/>
      <c r="L8" s="3" t="s">
        <v>32</v>
      </c>
    </row>
    <row r="9" ht="20" customHeight="1" spans="1:12">
      <c r="A9" s="2">
        <f t="shared" si="0"/>
        <v>1230105</v>
      </c>
      <c r="B9" s="2">
        <v>5</v>
      </c>
      <c r="C9" s="2">
        <v>3</v>
      </c>
      <c r="D9" s="1" t="s">
        <v>33</v>
      </c>
      <c r="E9" s="2">
        <v>2</v>
      </c>
      <c r="F9" s="2">
        <f>F5*20</f>
        <v>200</v>
      </c>
      <c r="G9" s="2">
        <f t="shared" si="1"/>
        <v>200</v>
      </c>
      <c r="H9" s="2">
        <v>1440</v>
      </c>
      <c r="I9" s="2"/>
      <c r="J9" s="2">
        <v>300</v>
      </c>
      <c r="K9" s="2"/>
      <c r="L9" s="3" t="s">
        <v>34</v>
      </c>
    </row>
    <row r="10" ht="20" customHeight="1" spans="1:12">
      <c r="A10" s="2">
        <f t="shared" si="0"/>
        <v>1230106</v>
      </c>
      <c r="B10" s="2">
        <v>6</v>
      </c>
      <c r="C10" s="2">
        <v>3</v>
      </c>
      <c r="D10" s="1" t="s">
        <v>35</v>
      </c>
      <c r="E10" s="2">
        <v>3</v>
      </c>
      <c r="F10" s="2">
        <f>F5*30</f>
        <v>300</v>
      </c>
      <c r="G10" s="2">
        <f t="shared" si="1"/>
        <v>300</v>
      </c>
      <c r="H10" s="2">
        <v>2880</v>
      </c>
      <c r="I10" s="2"/>
      <c r="J10" s="2">
        <v>300</v>
      </c>
      <c r="K10" s="2"/>
      <c r="L10" s="3" t="s">
        <v>36</v>
      </c>
    </row>
    <row r="11" ht="20" customHeight="1" spans="1:12">
      <c r="A11" s="2">
        <f t="shared" si="0"/>
        <v>1230107</v>
      </c>
      <c r="B11" s="2">
        <v>7</v>
      </c>
      <c r="C11" s="2">
        <v>3</v>
      </c>
      <c r="D11" s="1" t="s">
        <v>37</v>
      </c>
      <c r="E11" s="2">
        <v>3</v>
      </c>
      <c r="F11" s="2">
        <f>F5*50</f>
        <v>500</v>
      </c>
      <c r="G11" s="2">
        <f t="shared" si="1"/>
        <v>500</v>
      </c>
      <c r="H11" s="2">
        <v>2880</v>
      </c>
      <c r="I11" s="2"/>
      <c r="J11" s="2">
        <v>300</v>
      </c>
      <c r="K11" s="2"/>
      <c r="L11" s="3" t="s">
        <v>38</v>
      </c>
    </row>
    <row r="12" ht="20" customHeight="1" spans="1:12">
      <c r="A12" s="2">
        <f t="shared" si="0"/>
        <v>1230108</v>
      </c>
      <c r="B12" s="2">
        <v>8</v>
      </c>
      <c r="C12" s="2">
        <v>3</v>
      </c>
      <c r="D12" s="1" t="s">
        <v>39</v>
      </c>
      <c r="E12" s="2">
        <v>1</v>
      </c>
      <c r="F12" s="2">
        <v>20</v>
      </c>
      <c r="G12" s="2">
        <f t="shared" si="1"/>
        <v>20</v>
      </c>
      <c r="H12" s="2">
        <v>120</v>
      </c>
      <c r="I12" s="2"/>
      <c r="J12" s="2">
        <v>300</v>
      </c>
      <c r="K12" s="2"/>
      <c r="L12" s="2" t="s">
        <v>40</v>
      </c>
    </row>
    <row r="13" ht="20" customHeight="1" spans="1:12">
      <c r="A13" s="2">
        <f t="shared" si="0"/>
        <v>1230109</v>
      </c>
      <c r="B13" s="2">
        <v>9</v>
      </c>
      <c r="C13" s="2">
        <v>3</v>
      </c>
      <c r="D13" s="1" t="s">
        <v>41</v>
      </c>
      <c r="E13" s="2">
        <v>1</v>
      </c>
      <c r="F13" s="2">
        <f>F12*3</f>
        <v>60</v>
      </c>
      <c r="G13" s="2">
        <f t="shared" si="1"/>
        <v>60</v>
      </c>
      <c r="H13" s="2">
        <v>120</v>
      </c>
      <c r="I13" s="2"/>
      <c r="J13" s="2">
        <v>300</v>
      </c>
      <c r="K13" s="2"/>
      <c r="L13" s="2" t="s">
        <v>42</v>
      </c>
    </row>
    <row r="14" ht="20" customHeight="1" spans="1:12">
      <c r="A14" s="2">
        <f t="shared" si="0"/>
        <v>1230110</v>
      </c>
      <c r="B14" s="2">
        <v>10</v>
      </c>
      <c r="C14" s="2">
        <v>3</v>
      </c>
      <c r="D14" s="1" t="s">
        <v>43</v>
      </c>
      <c r="E14" s="2">
        <v>1</v>
      </c>
      <c r="F14" s="2">
        <f>F12*5</f>
        <v>100</v>
      </c>
      <c r="G14" s="2">
        <f t="shared" si="1"/>
        <v>100</v>
      </c>
      <c r="H14" s="2">
        <v>120</v>
      </c>
      <c r="I14" s="2"/>
      <c r="J14" s="2">
        <v>300</v>
      </c>
      <c r="K14" s="2"/>
      <c r="L14" s="2" t="s">
        <v>44</v>
      </c>
    </row>
    <row r="15" ht="20" customHeight="1" spans="1:12">
      <c r="A15" s="2">
        <f t="shared" si="0"/>
        <v>1230111</v>
      </c>
      <c r="B15" s="2">
        <v>11</v>
      </c>
      <c r="C15" s="2">
        <v>3</v>
      </c>
      <c r="D15" s="1" t="s">
        <v>45</v>
      </c>
      <c r="E15" s="2">
        <v>2</v>
      </c>
      <c r="F15" s="2">
        <f>F12*10</f>
        <v>200</v>
      </c>
      <c r="G15" s="2">
        <f t="shared" si="1"/>
        <v>200</v>
      </c>
      <c r="H15" s="2">
        <v>1440</v>
      </c>
      <c r="I15" s="2"/>
      <c r="J15" s="2">
        <v>300</v>
      </c>
      <c r="K15" s="2"/>
      <c r="L15" s="2" t="s">
        <v>46</v>
      </c>
    </row>
    <row r="16" ht="20" customHeight="1" spans="1:12">
      <c r="A16" s="2">
        <f t="shared" si="0"/>
        <v>1230112</v>
      </c>
      <c r="B16" s="2">
        <v>12</v>
      </c>
      <c r="C16" s="2">
        <v>3</v>
      </c>
      <c r="D16" s="1" t="s">
        <v>47</v>
      </c>
      <c r="E16" s="2">
        <v>2</v>
      </c>
      <c r="F16" s="2">
        <f>F12*20</f>
        <v>400</v>
      </c>
      <c r="G16" s="2">
        <f t="shared" si="1"/>
        <v>400</v>
      </c>
      <c r="H16" s="2">
        <v>1440</v>
      </c>
      <c r="I16" s="2"/>
      <c r="J16" s="2">
        <v>300</v>
      </c>
      <c r="K16" s="2"/>
      <c r="L16" s="2" t="s">
        <v>48</v>
      </c>
    </row>
    <row r="17" ht="20" customHeight="1" spans="1:12">
      <c r="A17" s="2">
        <f t="shared" si="0"/>
        <v>1230113</v>
      </c>
      <c r="B17" s="2">
        <v>13</v>
      </c>
      <c r="C17" s="2">
        <v>3</v>
      </c>
      <c r="D17" s="1" t="s">
        <v>49</v>
      </c>
      <c r="E17" s="2">
        <v>3</v>
      </c>
      <c r="F17" s="2">
        <f>F12*30</f>
        <v>600</v>
      </c>
      <c r="G17" s="2">
        <f t="shared" si="1"/>
        <v>600</v>
      </c>
      <c r="H17" s="2">
        <v>2880</v>
      </c>
      <c r="I17" s="2"/>
      <c r="J17" s="2">
        <v>300</v>
      </c>
      <c r="K17" s="2"/>
      <c r="L17" s="2" t="s">
        <v>50</v>
      </c>
    </row>
    <row r="18" ht="20" customHeight="1" spans="1:12">
      <c r="A18" s="2">
        <f t="shared" si="0"/>
        <v>1230114</v>
      </c>
      <c r="B18" s="2">
        <v>14</v>
      </c>
      <c r="C18" s="2">
        <v>3</v>
      </c>
      <c r="D18" s="1" t="s">
        <v>51</v>
      </c>
      <c r="E18" s="2">
        <v>3</v>
      </c>
      <c r="F18" s="2">
        <f>F12*50</f>
        <v>1000</v>
      </c>
      <c r="G18" s="2">
        <f t="shared" si="1"/>
        <v>1000</v>
      </c>
      <c r="H18" s="2">
        <v>2880</v>
      </c>
      <c r="I18" s="2"/>
      <c r="J18" s="2">
        <v>300</v>
      </c>
      <c r="K18" s="2"/>
      <c r="L18" s="2" t="s">
        <v>52</v>
      </c>
    </row>
    <row r="19" ht="20" customHeight="1" spans="1:12">
      <c r="A19" s="2">
        <f t="shared" si="0"/>
        <v>1230115</v>
      </c>
      <c r="B19" s="2">
        <v>15</v>
      </c>
      <c r="C19" s="2">
        <v>3</v>
      </c>
      <c r="D19" s="1" t="s">
        <v>53</v>
      </c>
      <c r="E19" s="2">
        <v>1</v>
      </c>
      <c r="F19" s="2">
        <v>100</v>
      </c>
      <c r="G19" s="2">
        <f t="shared" si="1"/>
        <v>100</v>
      </c>
      <c r="H19" s="2">
        <v>120</v>
      </c>
      <c r="I19" s="2"/>
      <c r="J19" s="2">
        <v>300</v>
      </c>
      <c r="K19" s="2"/>
      <c r="L19" s="3" t="s">
        <v>54</v>
      </c>
    </row>
    <row r="20" ht="20" customHeight="1" spans="1:12">
      <c r="A20" s="2">
        <f t="shared" si="0"/>
        <v>1230116</v>
      </c>
      <c r="B20" s="2">
        <v>16</v>
      </c>
      <c r="C20" s="2">
        <v>3</v>
      </c>
      <c r="D20" s="1" t="s">
        <v>55</v>
      </c>
      <c r="E20" s="2">
        <v>1</v>
      </c>
      <c r="F20" s="2">
        <f>F19*3</f>
        <v>300</v>
      </c>
      <c r="G20" s="2">
        <f t="shared" si="1"/>
        <v>300</v>
      </c>
      <c r="H20" s="2">
        <v>120</v>
      </c>
      <c r="I20" s="2"/>
      <c r="J20" s="2">
        <v>300</v>
      </c>
      <c r="K20" s="2"/>
      <c r="L20" s="3" t="s">
        <v>56</v>
      </c>
    </row>
    <row r="21" ht="20" customHeight="1" spans="1:12">
      <c r="A21" s="2">
        <f t="shared" si="0"/>
        <v>1230117</v>
      </c>
      <c r="B21" s="2">
        <v>17</v>
      </c>
      <c r="C21" s="2">
        <v>3</v>
      </c>
      <c r="D21" s="1" t="s">
        <v>57</v>
      </c>
      <c r="E21" s="2">
        <v>2</v>
      </c>
      <c r="F21" s="2">
        <f>F19*5</f>
        <v>500</v>
      </c>
      <c r="G21" s="2">
        <f t="shared" si="1"/>
        <v>500</v>
      </c>
      <c r="H21" s="2">
        <v>120</v>
      </c>
      <c r="I21" s="2"/>
      <c r="J21" s="2">
        <v>300</v>
      </c>
      <c r="K21" s="2"/>
      <c r="L21" s="3" t="s">
        <v>58</v>
      </c>
    </row>
    <row r="22" ht="20" customHeight="1" spans="1:12">
      <c r="A22" s="2">
        <f t="shared" si="0"/>
        <v>1230118</v>
      </c>
      <c r="B22" s="2">
        <v>18</v>
      </c>
      <c r="C22" s="2">
        <v>3</v>
      </c>
      <c r="D22" s="1" t="s">
        <v>59</v>
      </c>
      <c r="E22" s="2">
        <v>2</v>
      </c>
      <c r="F22" s="2">
        <f>F19*10</f>
        <v>1000</v>
      </c>
      <c r="G22" s="2">
        <f t="shared" si="1"/>
        <v>1000</v>
      </c>
      <c r="H22" s="2">
        <v>1440</v>
      </c>
      <c r="I22" s="2"/>
      <c r="J22" s="2">
        <v>300</v>
      </c>
      <c r="K22" s="2"/>
      <c r="L22" s="3" t="s">
        <v>60</v>
      </c>
    </row>
    <row r="23" ht="20" customHeight="1" spans="1:12">
      <c r="A23" s="2">
        <f t="shared" si="0"/>
        <v>1230119</v>
      </c>
      <c r="B23" s="2">
        <v>19</v>
      </c>
      <c r="C23" s="2">
        <v>3</v>
      </c>
      <c r="D23" s="1" t="s">
        <v>61</v>
      </c>
      <c r="E23" s="2">
        <v>3</v>
      </c>
      <c r="F23" s="2">
        <f>F19*20</f>
        <v>2000</v>
      </c>
      <c r="G23" s="2">
        <f t="shared" si="1"/>
        <v>2000</v>
      </c>
      <c r="H23" s="2">
        <v>1440</v>
      </c>
      <c r="I23" s="2"/>
      <c r="J23" s="2">
        <v>300</v>
      </c>
      <c r="K23" s="2"/>
      <c r="L23" s="3" t="s">
        <v>62</v>
      </c>
    </row>
    <row r="24" ht="20" customHeight="1" spans="1:12">
      <c r="A24" s="2">
        <f t="shared" si="0"/>
        <v>1230120</v>
      </c>
      <c r="B24" s="2">
        <v>20</v>
      </c>
      <c r="C24" s="2">
        <v>3</v>
      </c>
      <c r="D24" s="1" t="s">
        <v>63</v>
      </c>
      <c r="E24" s="2">
        <v>3</v>
      </c>
      <c r="F24" s="2">
        <f>F19*30</f>
        <v>3000</v>
      </c>
      <c r="G24" s="2">
        <f t="shared" si="1"/>
        <v>3000</v>
      </c>
      <c r="H24" s="2">
        <v>2880</v>
      </c>
      <c r="I24" s="2"/>
      <c r="J24" s="2">
        <v>300</v>
      </c>
      <c r="K24" s="2"/>
      <c r="L24" s="3" t="s">
        <v>64</v>
      </c>
    </row>
    <row r="25" ht="20" customHeight="1" spans="1:12">
      <c r="A25" s="2">
        <f t="shared" si="0"/>
        <v>1230121</v>
      </c>
      <c r="B25" s="2">
        <v>21</v>
      </c>
      <c r="C25" s="2">
        <v>3</v>
      </c>
      <c r="D25" s="1" t="s">
        <v>65</v>
      </c>
      <c r="E25" s="2">
        <v>3</v>
      </c>
      <c r="F25" s="2">
        <f>F19*50</f>
        <v>5000</v>
      </c>
      <c r="G25" s="2">
        <f t="shared" si="1"/>
        <v>5000</v>
      </c>
      <c r="H25" s="2">
        <v>2880</v>
      </c>
      <c r="I25" s="2"/>
      <c r="J25" s="2">
        <v>300</v>
      </c>
      <c r="K25" s="2"/>
      <c r="L25" s="3" t="s">
        <v>66</v>
      </c>
    </row>
    <row r="26" ht="20" customHeight="1" spans="1:12">
      <c r="A26" s="2">
        <f t="shared" ref="A26:A35" si="2">12305*100+B26</f>
        <v>1230501</v>
      </c>
      <c r="B26" s="2">
        <v>1</v>
      </c>
      <c r="C26" s="2">
        <v>3</v>
      </c>
      <c r="D26" s="1" t="s">
        <v>67</v>
      </c>
      <c r="E26" s="2">
        <v>1</v>
      </c>
      <c r="F26" s="2">
        <v>5</v>
      </c>
      <c r="G26" s="2">
        <f t="shared" si="1"/>
        <v>5</v>
      </c>
      <c r="H26" s="2">
        <v>120</v>
      </c>
      <c r="I26" s="2"/>
      <c r="J26" s="2">
        <v>300</v>
      </c>
      <c r="K26" s="2"/>
      <c r="L26" s="4" t="s">
        <v>68</v>
      </c>
    </row>
    <row r="27" ht="20" customHeight="1" spans="1:12">
      <c r="A27" s="2">
        <f t="shared" si="2"/>
        <v>1230502</v>
      </c>
      <c r="B27" s="2">
        <v>2</v>
      </c>
      <c r="C27" s="2">
        <v>3</v>
      </c>
      <c r="D27" s="1" t="s">
        <v>69</v>
      </c>
      <c r="E27" s="2">
        <v>1</v>
      </c>
      <c r="F27" s="2">
        <f>F26*2</f>
        <v>10</v>
      </c>
      <c r="G27" s="2">
        <f t="shared" si="1"/>
        <v>10</v>
      </c>
      <c r="H27" s="2">
        <v>120</v>
      </c>
      <c r="I27" s="2"/>
      <c r="J27" s="2">
        <v>300</v>
      </c>
      <c r="K27" s="2"/>
      <c r="L27" s="4" t="s">
        <v>70</v>
      </c>
    </row>
    <row r="28" ht="20" customHeight="1" spans="1:12">
      <c r="A28" s="2">
        <f t="shared" si="2"/>
        <v>1230503</v>
      </c>
      <c r="B28" s="2">
        <v>3</v>
      </c>
      <c r="C28" s="2">
        <v>3</v>
      </c>
      <c r="D28" s="1" t="s">
        <v>71</v>
      </c>
      <c r="E28" s="2">
        <v>1</v>
      </c>
      <c r="F28" s="2">
        <f>F26*5</f>
        <v>25</v>
      </c>
      <c r="G28" s="2">
        <f t="shared" si="1"/>
        <v>25</v>
      </c>
      <c r="H28" s="2">
        <v>120</v>
      </c>
      <c r="I28" s="2"/>
      <c r="J28" s="2">
        <v>300</v>
      </c>
      <c r="K28" s="2"/>
      <c r="L28" s="4" t="s">
        <v>72</v>
      </c>
    </row>
    <row r="29" ht="20" customHeight="1" spans="1:12">
      <c r="A29" s="2">
        <f t="shared" si="2"/>
        <v>1230504</v>
      </c>
      <c r="B29" s="2">
        <v>4</v>
      </c>
      <c r="C29" s="2">
        <v>3</v>
      </c>
      <c r="D29" s="1" t="s">
        <v>73</v>
      </c>
      <c r="E29" s="2">
        <v>1</v>
      </c>
      <c r="F29" s="2">
        <f>F26*8</f>
        <v>40</v>
      </c>
      <c r="G29" s="2">
        <f t="shared" si="1"/>
        <v>40</v>
      </c>
      <c r="H29" s="2">
        <v>120</v>
      </c>
      <c r="I29" s="2"/>
      <c r="J29" s="2">
        <v>300</v>
      </c>
      <c r="K29" s="2"/>
      <c r="L29" s="4" t="s">
        <v>74</v>
      </c>
    </row>
    <row r="30" ht="20" customHeight="1" spans="1:12">
      <c r="A30" s="2">
        <f t="shared" si="2"/>
        <v>1230505</v>
      </c>
      <c r="B30" s="2">
        <v>5</v>
      </c>
      <c r="C30" s="2">
        <v>3</v>
      </c>
      <c r="D30" s="1" t="s">
        <v>75</v>
      </c>
      <c r="E30" s="2">
        <v>2</v>
      </c>
      <c r="F30" s="2">
        <f>F26*10</f>
        <v>50</v>
      </c>
      <c r="G30" s="2">
        <f t="shared" si="1"/>
        <v>50</v>
      </c>
      <c r="H30" s="2">
        <v>1440</v>
      </c>
      <c r="I30" s="2"/>
      <c r="J30" s="2">
        <v>300</v>
      </c>
      <c r="K30" s="2"/>
      <c r="L30" s="4" t="s">
        <v>76</v>
      </c>
    </row>
    <row r="31" ht="20" customHeight="1" spans="1:12">
      <c r="A31" s="2">
        <f t="shared" si="2"/>
        <v>1230506</v>
      </c>
      <c r="B31" s="2">
        <v>6</v>
      </c>
      <c r="C31" s="2">
        <v>3</v>
      </c>
      <c r="D31" s="1" t="s">
        <v>77</v>
      </c>
      <c r="E31" s="2">
        <v>2</v>
      </c>
      <c r="F31" s="2">
        <f>F26*20</f>
        <v>100</v>
      </c>
      <c r="G31" s="2">
        <f t="shared" si="1"/>
        <v>100</v>
      </c>
      <c r="H31" s="2">
        <v>1440</v>
      </c>
      <c r="I31" s="2"/>
      <c r="J31" s="2">
        <v>300</v>
      </c>
      <c r="K31" s="2"/>
      <c r="L31" s="4" t="s">
        <v>78</v>
      </c>
    </row>
    <row r="32" ht="20" customHeight="1" spans="1:12">
      <c r="A32" s="2">
        <f t="shared" si="2"/>
        <v>1230507</v>
      </c>
      <c r="B32" s="2">
        <v>7</v>
      </c>
      <c r="C32" s="2">
        <v>3</v>
      </c>
      <c r="D32" s="1" t="s">
        <v>79</v>
      </c>
      <c r="E32" s="2">
        <v>2</v>
      </c>
      <c r="F32" s="2">
        <f>F26*30</f>
        <v>150</v>
      </c>
      <c r="G32" s="2">
        <f t="shared" si="1"/>
        <v>150</v>
      </c>
      <c r="H32" s="2">
        <v>1440</v>
      </c>
      <c r="I32" s="2"/>
      <c r="J32" s="2">
        <v>300</v>
      </c>
      <c r="K32" s="2"/>
      <c r="L32" s="4" t="s">
        <v>80</v>
      </c>
    </row>
    <row r="33" ht="20" customHeight="1" spans="1:12">
      <c r="A33" s="2">
        <f t="shared" si="2"/>
        <v>1230508</v>
      </c>
      <c r="B33" s="2">
        <v>8</v>
      </c>
      <c r="C33" s="2">
        <v>3</v>
      </c>
      <c r="D33" s="1" t="s">
        <v>81</v>
      </c>
      <c r="E33" s="2">
        <v>3</v>
      </c>
      <c r="F33" s="2">
        <f>F26*50</f>
        <v>250</v>
      </c>
      <c r="G33" s="2">
        <f t="shared" si="1"/>
        <v>250</v>
      </c>
      <c r="H33" s="2">
        <v>2880</v>
      </c>
      <c r="I33" s="2"/>
      <c r="J33" s="2">
        <v>300</v>
      </c>
      <c r="K33" s="2"/>
      <c r="L33" s="4" t="s">
        <v>82</v>
      </c>
    </row>
    <row r="34" ht="20" customHeight="1" spans="1:12">
      <c r="A34" s="2">
        <f t="shared" si="2"/>
        <v>1230509</v>
      </c>
      <c r="B34" s="2">
        <v>9</v>
      </c>
      <c r="C34" s="2">
        <v>3</v>
      </c>
      <c r="D34" s="1" t="s">
        <v>83</v>
      </c>
      <c r="E34" s="2">
        <v>3</v>
      </c>
      <c r="F34" s="2">
        <f>F26*80</f>
        <v>400</v>
      </c>
      <c r="G34" s="2">
        <f t="shared" si="1"/>
        <v>400</v>
      </c>
      <c r="H34" s="2">
        <v>2880</v>
      </c>
      <c r="I34" s="2"/>
      <c r="J34" s="2">
        <v>300</v>
      </c>
      <c r="K34" s="2"/>
      <c r="L34" s="4" t="s">
        <v>84</v>
      </c>
    </row>
    <row r="35" ht="20" customHeight="1" spans="1:12">
      <c r="A35" s="2">
        <f t="shared" si="2"/>
        <v>1230510</v>
      </c>
      <c r="B35" s="2">
        <v>10</v>
      </c>
      <c r="C35" s="2">
        <v>3</v>
      </c>
      <c r="D35" s="1" t="s">
        <v>85</v>
      </c>
      <c r="E35" s="2">
        <v>3</v>
      </c>
      <c r="F35" s="2">
        <f>F26*100</f>
        <v>500</v>
      </c>
      <c r="G35" s="2">
        <f t="shared" si="1"/>
        <v>500</v>
      </c>
      <c r="H35" s="2">
        <v>2880</v>
      </c>
      <c r="I35" s="2"/>
      <c r="J35" s="2">
        <v>300</v>
      </c>
      <c r="K35" s="2"/>
      <c r="L35" s="4" t="s">
        <v>86</v>
      </c>
    </row>
    <row r="36" ht="20" customHeight="1" spans="1:12">
      <c r="A36" s="2">
        <f t="shared" ref="A36:A42" si="3">12302*100+B36</f>
        <v>1230201</v>
      </c>
      <c r="B36" s="2">
        <v>1</v>
      </c>
      <c r="C36" s="2">
        <v>3</v>
      </c>
      <c r="D36" s="1" t="s">
        <v>87</v>
      </c>
      <c r="E36" s="2">
        <v>1</v>
      </c>
      <c r="F36" s="2">
        <v>10</v>
      </c>
      <c r="G36" s="2">
        <f t="shared" si="1"/>
        <v>10</v>
      </c>
      <c r="H36" s="2">
        <v>120</v>
      </c>
      <c r="I36" s="2"/>
      <c r="J36" s="2">
        <v>300</v>
      </c>
      <c r="K36" s="1"/>
      <c r="L36" s="1" t="s">
        <v>88</v>
      </c>
    </row>
    <row r="37" ht="20" customHeight="1" spans="1:12">
      <c r="A37" s="2">
        <f t="shared" si="3"/>
        <v>1230202</v>
      </c>
      <c r="B37" s="2">
        <v>2</v>
      </c>
      <c r="C37" s="2">
        <v>3</v>
      </c>
      <c r="D37" s="1" t="s">
        <v>89</v>
      </c>
      <c r="E37" s="2">
        <v>1</v>
      </c>
      <c r="F37" s="2">
        <f>F36*2</f>
        <v>20</v>
      </c>
      <c r="G37" s="2">
        <f t="shared" si="1"/>
        <v>20</v>
      </c>
      <c r="H37" s="2">
        <v>120</v>
      </c>
      <c r="I37" s="2"/>
      <c r="J37" s="2">
        <v>300</v>
      </c>
      <c r="K37" s="1"/>
      <c r="L37" s="1" t="s">
        <v>90</v>
      </c>
    </row>
    <row r="38" ht="20" customHeight="1" spans="1:12">
      <c r="A38" s="2">
        <f t="shared" si="3"/>
        <v>1230203</v>
      </c>
      <c r="B38" s="2">
        <v>3</v>
      </c>
      <c r="C38" s="2">
        <v>3</v>
      </c>
      <c r="D38" s="1" t="s">
        <v>91</v>
      </c>
      <c r="E38" s="2">
        <v>1</v>
      </c>
      <c r="F38" s="2">
        <f>F36*4</f>
        <v>40</v>
      </c>
      <c r="G38" s="2">
        <f t="shared" si="1"/>
        <v>40</v>
      </c>
      <c r="H38" s="2">
        <v>120</v>
      </c>
      <c r="I38" s="2"/>
      <c r="J38" s="2">
        <v>300</v>
      </c>
      <c r="K38" s="1"/>
      <c r="L38" s="1" t="s">
        <v>92</v>
      </c>
    </row>
    <row r="39" ht="20" customHeight="1" spans="1:12">
      <c r="A39" s="2">
        <f t="shared" si="3"/>
        <v>1230204</v>
      </c>
      <c r="B39" s="2">
        <v>4</v>
      </c>
      <c r="C39" s="2">
        <v>3</v>
      </c>
      <c r="D39" s="1" t="s">
        <v>93</v>
      </c>
      <c r="E39" s="2">
        <v>2</v>
      </c>
      <c r="F39" s="2">
        <f>F36*6</f>
        <v>60</v>
      </c>
      <c r="G39" s="2">
        <f t="shared" si="1"/>
        <v>60</v>
      </c>
      <c r="H39" s="2">
        <v>1440</v>
      </c>
      <c r="I39" s="2"/>
      <c r="J39" s="2">
        <v>300</v>
      </c>
      <c r="K39" s="1"/>
      <c r="L39" s="1" t="s">
        <v>94</v>
      </c>
    </row>
    <row r="40" ht="20" customHeight="1" spans="1:12">
      <c r="A40" s="2">
        <f t="shared" si="3"/>
        <v>1230205</v>
      </c>
      <c r="B40" s="2">
        <v>5</v>
      </c>
      <c r="C40" s="2">
        <v>3</v>
      </c>
      <c r="D40" s="1" t="s">
        <v>95</v>
      </c>
      <c r="E40" s="2">
        <v>2</v>
      </c>
      <c r="F40" s="2">
        <f>F36*10</f>
        <v>100</v>
      </c>
      <c r="G40" s="2">
        <f t="shared" si="1"/>
        <v>100</v>
      </c>
      <c r="H40" s="2">
        <v>1440</v>
      </c>
      <c r="I40" s="2"/>
      <c r="J40" s="2">
        <v>300</v>
      </c>
      <c r="K40" s="1"/>
      <c r="L40" s="1" t="s">
        <v>96</v>
      </c>
    </row>
    <row r="41" ht="20" customHeight="1" spans="1:12">
      <c r="A41" s="2">
        <f t="shared" si="3"/>
        <v>1230206</v>
      </c>
      <c r="B41" s="2">
        <v>6</v>
      </c>
      <c r="C41" s="2">
        <v>3</v>
      </c>
      <c r="D41" s="1" t="s">
        <v>97</v>
      </c>
      <c r="E41" s="2">
        <v>3</v>
      </c>
      <c r="F41" s="2">
        <f>F36*20</f>
        <v>200</v>
      </c>
      <c r="G41" s="2">
        <f t="shared" si="1"/>
        <v>200</v>
      </c>
      <c r="H41" s="2">
        <v>2880</v>
      </c>
      <c r="I41" s="2"/>
      <c r="J41" s="2">
        <v>300</v>
      </c>
      <c r="K41" s="1"/>
      <c r="L41" s="1" t="s">
        <v>98</v>
      </c>
    </row>
    <row r="42" ht="20" customHeight="1" spans="1:12">
      <c r="A42" s="2">
        <f t="shared" si="3"/>
        <v>1230207</v>
      </c>
      <c r="B42" s="2">
        <v>7</v>
      </c>
      <c r="C42" s="2">
        <v>3</v>
      </c>
      <c r="D42" s="1" t="s">
        <v>99</v>
      </c>
      <c r="E42" s="2">
        <v>3</v>
      </c>
      <c r="F42" s="2">
        <f>F36*30</f>
        <v>300</v>
      </c>
      <c r="G42" s="2">
        <f t="shared" si="1"/>
        <v>300</v>
      </c>
      <c r="H42" s="2">
        <v>2880</v>
      </c>
      <c r="I42" s="2"/>
      <c r="J42" s="2">
        <v>300</v>
      </c>
      <c r="K42" s="1"/>
      <c r="L42" s="1" t="s">
        <v>100</v>
      </c>
    </row>
    <row r="43" ht="20" customHeight="1" spans="1:12">
      <c r="A43" s="2">
        <f t="shared" ref="A43:A49" si="4">12308*100+B43</f>
        <v>1230801</v>
      </c>
      <c r="B43" s="2">
        <v>1</v>
      </c>
      <c r="C43" s="2">
        <v>3</v>
      </c>
      <c r="D43" s="1" t="s">
        <v>101</v>
      </c>
      <c r="E43" s="2">
        <v>1</v>
      </c>
      <c r="F43" s="2">
        <v>20</v>
      </c>
      <c r="G43" s="2">
        <f t="shared" si="1"/>
        <v>20</v>
      </c>
      <c r="H43" s="2">
        <v>120</v>
      </c>
      <c r="I43" s="2"/>
      <c r="J43" s="2">
        <v>300</v>
      </c>
      <c r="K43" s="1"/>
      <c r="L43" s="5" t="s">
        <v>102</v>
      </c>
    </row>
    <row r="44" ht="20" customHeight="1" spans="1:12">
      <c r="A44" s="2">
        <f t="shared" si="4"/>
        <v>1230802</v>
      </c>
      <c r="B44" s="2">
        <v>2</v>
      </c>
      <c r="C44" s="2">
        <v>3</v>
      </c>
      <c r="D44" s="1" t="s">
        <v>103</v>
      </c>
      <c r="E44" s="2">
        <v>1</v>
      </c>
      <c r="F44" s="2">
        <f>F43*2</f>
        <v>40</v>
      </c>
      <c r="G44" s="2">
        <f t="shared" si="1"/>
        <v>40</v>
      </c>
      <c r="H44" s="2">
        <v>120</v>
      </c>
      <c r="I44" s="2"/>
      <c r="J44" s="2">
        <v>300</v>
      </c>
      <c r="K44" s="1"/>
      <c r="L44" s="5" t="s">
        <v>104</v>
      </c>
    </row>
    <row r="45" ht="20" customHeight="1" spans="1:12">
      <c r="A45" s="2">
        <f t="shared" si="4"/>
        <v>1230803</v>
      </c>
      <c r="B45" s="2">
        <v>3</v>
      </c>
      <c r="C45" s="2">
        <v>3</v>
      </c>
      <c r="D45" s="1" t="s">
        <v>105</v>
      </c>
      <c r="E45" s="2">
        <v>2</v>
      </c>
      <c r="F45" s="2">
        <f>F43*3</f>
        <v>60</v>
      </c>
      <c r="G45" s="2">
        <f t="shared" si="1"/>
        <v>60</v>
      </c>
      <c r="H45" s="2">
        <v>2880</v>
      </c>
      <c r="I45" s="2"/>
      <c r="J45" s="2">
        <v>300</v>
      </c>
      <c r="K45" s="1"/>
      <c r="L45" s="5" t="s">
        <v>106</v>
      </c>
    </row>
    <row r="46" ht="20" customHeight="1" spans="1:12">
      <c r="A46" s="2">
        <f t="shared" si="4"/>
        <v>1230804</v>
      </c>
      <c r="B46" s="2">
        <v>4</v>
      </c>
      <c r="C46" s="2">
        <v>3</v>
      </c>
      <c r="D46" s="1" t="s">
        <v>107</v>
      </c>
      <c r="E46" s="2">
        <v>2</v>
      </c>
      <c r="F46" s="2">
        <f>F43*4</f>
        <v>80</v>
      </c>
      <c r="G46" s="2">
        <f t="shared" si="1"/>
        <v>80</v>
      </c>
      <c r="H46" s="2">
        <v>2880</v>
      </c>
      <c r="I46" s="2"/>
      <c r="J46" s="2">
        <v>300</v>
      </c>
      <c r="K46" s="1"/>
      <c r="L46" s="5" t="s">
        <v>108</v>
      </c>
    </row>
    <row r="47" ht="20" customHeight="1" spans="1:12">
      <c r="A47" s="2">
        <f t="shared" si="4"/>
        <v>1230805</v>
      </c>
      <c r="B47" s="2">
        <v>5</v>
      </c>
      <c r="C47" s="2">
        <v>3</v>
      </c>
      <c r="D47" s="1" t="s">
        <v>109</v>
      </c>
      <c r="E47" s="2">
        <v>2</v>
      </c>
      <c r="F47" s="2">
        <f>F43*5</f>
        <v>100</v>
      </c>
      <c r="G47" s="2">
        <f t="shared" si="1"/>
        <v>100</v>
      </c>
      <c r="H47" s="2">
        <v>2880</v>
      </c>
      <c r="I47" s="2"/>
      <c r="J47" s="2">
        <v>300</v>
      </c>
      <c r="K47" s="1"/>
      <c r="L47" s="5" t="s">
        <v>110</v>
      </c>
    </row>
    <row r="48" ht="20" customHeight="1" spans="1:12">
      <c r="A48" s="2">
        <f t="shared" si="4"/>
        <v>1230806</v>
      </c>
      <c r="B48" s="2">
        <v>6</v>
      </c>
      <c r="C48" s="2">
        <v>3</v>
      </c>
      <c r="D48" s="1" t="s">
        <v>111</v>
      </c>
      <c r="E48" s="2">
        <v>3</v>
      </c>
      <c r="F48" s="2">
        <f>F43*6</f>
        <v>120</v>
      </c>
      <c r="G48" s="2">
        <f t="shared" si="1"/>
        <v>120</v>
      </c>
      <c r="H48" s="2">
        <f>H39*3</f>
        <v>4320</v>
      </c>
      <c r="I48" s="2"/>
      <c r="J48" s="2">
        <v>300</v>
      </c>
      <c r="K48" s="1"/>
      <c r="L48" s="5" t="s">
        <v>112</v>
      </c>
    </row>
    <row r="49" ht="20" customHeight="1" spans="1:12">
      <c r="A49" s="2">
        <f t="shared" si="4"/>
        <v>1230807</v>
      </c>
      <c r="B49" s="2">
        <v>7</v>
      </c>
      <c r="C49" s="2">
        <v>3</v>
      </c>
      <c r="D49" s="1" t="s">
        <v>113</v>
      </c>
      <c r="E49" s="2">
        <v>3</v>
      </c>
      <c r="F49" s="2">
        <f>F43*7.5</f>
        <v>150</v>
      </c>
      <c r="G49" s="2">
        <f t="shared" si="1"/>
        <v>150</v>
      </c>
      <c r="H49" s="2">
        <f>H40*3</f>
        <v>4320</v>
      </c>
      <c r="I49" s="2"/>
      <c r="J49" s="2">
        <v>300</v>
      </c>
      <c r="K49" s="1"/>
      <c r="L49" s="5" t="s">
        <v>114</v>
      </c>
    </row>
    <row r="50" ht="20" customHeight="1" spans="1:12">
      <c r="A50" s="2">
        <f t="shared" ref="A50:A55" si="5">12303*100+B50</f>
        <v>1230301</v>
      </c>
      <c r="B50" s="2">
        <v>1</v>
      </c>
      <c r="C50" s="2">
        <v>3</v>
      </c>
      <c r="D50" s="1" t="s">
        <v>115</v>
      </c>
      <c r="E50" s="2">
        <v>1</v>
      </c>
      <c r="F50" s="2">
        <v>50</v>
      </c>
      <c r="G50" s="2">
        <f t="shared" si="1"/>
        <v>50</v>
      </c>
      <c r="H50" s="2">
        <v>120</v>
      </c>
      <c r="I50" s="2"/>
      <c r="J50" s="2">
        <v>300</v>
      </c>
      <c r="K50" s="1"/>
      <c r="L50" s="1" t="s">
        <v>116</v>
      </c>
    </row>
    <row r="51" ht="20" customHeight="1" spans="1:12">
      <c r="A51" s="2">
        <f t="shared" si="5"/>
        <v>1230302</v>
      </c>
      <c r="B51" s="2">
        <v>2</v>
      </c>
      <c r="C51" s="2">
        <v>3</v>
      </c>
      <c r="D51" s="1" t="s">
        <v>117</v>
      </c>
      <c r="E51" s="2">
        <v>1</v>
      </c>
      <c r="F51" s="2">
        <f>F50*2</f>
        <v>100</v>
      </c>
      <c r="G51" s="2">
        <f t="shared" si="1"/>
        <v>100</v>
      </c>
      <c r="H51" s="2">
        <v>120</v>
      </c>
      <c r="I51" s="2"/>
      <c r="J51" s="2">
        <v>300</v>
      </c>
      <c r="K51" s="1"/>
      <c r="L51" s="1" t="s">
        <v>118</v>
      </c>
    </row>
    <row r="52" ht="20" customHeight="1" spans="1:12">
      <c r="A52" s="2">
        <f t="shared" si="5"/>
        <v>1230303</v>
      </c>
      <c r="B52" s="2">
        <v>3</v>
      </c>
      <c r="C52" s="2">
        <v>3</v>
      </c>
      <c r="D52" s="1" t="s">
        <v>119</v>
      </c>
      <c r="E52" s="2">
        <v>2</v>
      </c>
      <c r="F52" s="2">
        <f>F50*3</f>
        <v>150</v>
      </c>
      <c r="G52" s="2">
        <f t="shared" si="1"/>
        <v>150</v>
      </c>
      <c r="H52" s="2">
        <v>1440</v>
      </c>
      <c r="I52" s="2"/>
      <c r="J52" s="2">
        <v>300</v>
      </c>
      <c r="K52" s="1"/>
      <c r="L52" s="1" t="s">
        <v>120</v>
      </c>
    </row>
    <row r="53" ht="20" customHeight="1" spans="1:12">
      <c r="A53" s="2">
        <f t="shared" si="5"/>
        <v>1230304</v>
      </c>
      <c r="B53" s="2">
        <v>4</v>
      </c>
      <c r="C53" s="2">
        <v>3</v>
      </c>
      <c r="D53" s="1" t="s">
        <v>121</v>
      </c>
      <c r="E53" s="2">
        <v>2</v>
      </c>
      <c r="F53" s="2">
        <f>F50*4</f>
        <v>200</v>
      </c>
      <c r="G53" s="2">
        <f t="shared" si="1"/>
        <v>200</v>
      </c>
      <c r="H53" s="2">
        <v>1440</v>
      </c>
      <c r="I53" s="2"/>
      <c r="J53" s="2">
        <v>300</v>
      </c>
      <c r="K53" s="1"/>
      <c r="L53" s="1" t="s">
        <v>122</v>
      </c>
    </row>
    <row r="54" ht="20" customHeight="1" spans="1:12">
      <c r="A54" s="2">
        <f t="shared" si="5"/>
        <v>1230305</v>
      </c>
      <c r="B54" s="2">
        <v>5</v>
      </c>
      <c r="C54" s="2">
        <v>3</v>
      </c>
      <c r="D54" s="1" t="s">
        <v>123</v>
      </c>
      <c r="E54" s="2">
        <v>3</v>
      </c>
      <c r="F54" s="2">
        <f>F50*5</f>
        <v>250</v>
      </c>
      <c r="G54" s="2">
        <f t="shared" si="1"/>
        <v>250</v>
      </c>
      <c r="H54" s="2">
        <v>2880</v>
      </c>
      <c r="I54" s="2"/>
      <c r="J54" s="2">
        <v>300</v>
      </c>
      <c r="K54" s="1"/>
      <c r="L54" s="1" t="s">
        <v>124</v>
      </c>
    </row>
    <row r="55" ht="20" customHeight="1" spans="1:12">
      <c r="A55" s="2">
        <f t="shared" si="5"/>
        <v>1230306</v>
      </c>
      <c r="B55" s="2">
        <v>6</v>
      </c>
      <c r="C55" s="2">
        <v>3</v>
      </c>
      <c r="D55" s="1" t="s">
        <v>125</v>
      </c>
      <c r="E55" s="2">
        <v>3</v>
      </c>
      <c r="F55" s="2">
        <f>F50*6</f>
        <v>300</v>
      </c>
      <c r="G55" s="2">
        <f t="shared" si="1"/>
        <v>300</v>
      </c>
      <c r="H55" s="2">
        <v>2880</v>
      </c>
      <c r="I55" s="2"/>
      <c r="J55" s="2">
        <v>300</v>
      </c>
      <c r="K55" s="1"/>
      <c r="L55" s="1" t="s">
        <v>126</v>
      </c>
    </row>
    <row r="56" ht="20" customHeight="1" spans="1:12">
      <c r="A56" s="2">
        <f t="shared" ref="A56:A61" si="6">12304*100+B56</f>
        <v>1230401</v>
      </c>
      <c r="B56" s="2">
        <v>1</v>
      </c>
      <c r="C56" s="2">
        <v>3</v>
      </c>
      <c r="D56" s="1" t="s">
        <v>127</v>
      </c>
      <c r="E56" s="2">
        <v>1</v>
      </c>
      <c r="F56" s="2">
        <v>50</v>
      </c>
      <c r="G56" s="2">
        <f t="shared" si="1"/>
        <v>50</v>
      </c>
      <c r="H56" s="2">
        <v>120</v>
      </c>
      <c r="I56" s="2"/>
      <c r="J56" s="2">
        <v>300</v>
      </c>
      <c r="K56" s="1"/>
      <c r="L56" s="5" t="s">
        <v>128</v>
      </c>
    </row>
    <row r="57" ht="20" customHeight="1" spans="1:12">
      <c r="A57" s="2">
        <f t="shared" si="6"/>
        <v>1230402</v>
      </c>
      <c r="B57" s="2">
        <v>2</v>
      </c>
      <c r="C57" s="2">
        <v>3</v>
      </c>
      <c r="D57" s="1" t="s">
        <v>129</v>
      </c>
      <c r="E57" s="2">
        <v>1</v>
      </c>
      <c r="F57" s="2">
        <f>F56*2</f>
        <v>100</v>
      </c>
      <c r="G57" s="2">
        <f t="shared" si="1"/>
        <v>100</v>
      </c>
      <c r="H57" s="2">
        <v>120</v>
      </c>
      <c r="I57" s="2"/>
      <c r="J57" s="2">
        <v>300</v>
      </c>
      <c r="K57" s="1"/>
      <c r="L57" s="5" t="s">
        <v>130</v>
      </c>
    </row>
    <row r="58" ht="20" customHeight="1" spans="1:12">
      <c r="A58" s="2">
        <f t="shared" si="6"/>
        <v>1230403</v>
      </c>
      <c r="B58" s="2">
        <v>3</v>
      </c>
      <c r="C58" s="2">
        <v>3</v>
      </c>
      <c r="D58" s="1" t="s">
        <v>131</v>
      </c>
      <c r="E58" s="2">
        <v>2</v>
      </c>
      <c r="F58" s="2">
        <f>F56*3</f>
        <v>150</v>
      </c>
      <c r="G58" s="2">
        <f t="shared" si="1"/>
        <v>150</v>
      </c>
      <c r="H58" s="2">
        <v>1440</v>
      </c>
      <c r="I58" s="2"/>
      <c r="J58" s="2">
        <v>300</v>
      </c>
      <c r="K58" s="1"/>
      <c r="L58" s="5" t="s">
        <v>132</v>
      </c>
    </row>
    <row r="59" ht="20" customHeight="1" spans="1:12">
      <c r="A59" s="2">
        <f t="shared" si="6"/>
        <v>1230404</v>
      </c>
      <c r="B59" s="2">
        <v>4</v>
      </c>
      <c r="C59" s="2">
        <v>3</v>
      </c>
      <c r="D59" s="1" t="s">
        <v>133</v>
      </c>
      <c r="E59" s="2">
        <v>2</v>
      </c>
      <c r="F59" s="2">
        <f>F56*4</f>
        <v>200</v>
      </c>
      <c r="G59" s="2">
        <f t="shared" si="1"/>
        <v>200</v>
      </c>
      <c r="H59" s="2">
        <v>1440</v>
      </c>
      <c r="I59" s="2"/>
      <c r="J59" s="2">
        <v>300</v>
      </c>
      <c r="K59" s="1"/>
      <c r="L59" s="5" t="s">
        <v>134</v>
      </c>
    </row>
    <row r="60" ht="20" customHeight="1" spans="1:12">
      <c r="A60" s="2">
        <f t="shared" si="6"/>
        <v>1230405</v>
      </c>
      <c r="B60" s="2">
        <v>5</v>
      </c>
      <c r="C60" s="2">
        <v>3</v>
      </c>
      <c r="D60" s="1" t="s">
        <v>135</v>
      </c>
      <c r="E60" s="2">
        <v>3</v>
      </c>
      <c r="F60" s="2">
        <f>F56*5</f>
        <v>250</v>
      </c>
      <c r="G60" s="2">
        <f t="shared" si="1"/>
        <v>250</v>
      </c>
      <c r="H60" s="2">
        <v>2880</v>
      </c>
      <c r="I60" s="2"/>
      <c r="J60" s="2">
        <v>300</v>
      </c>
      <c r="K60" s="1"/>
      <c r="L60" s="5" t="s">
        <v>136</v>
      </c>
    </row>
    <row r="61" ht="20" customHeight="1" spans="1:12">
      <c r="A61" s="2">
        <f t="shared" si="6"/>
        <v>1230406</v>
      </c>
      <c r="B61" s="2">
        <v>6</v>
      </c>
      <c r="C61" s="2">
        <v>3</v>
      </c>
      <c r="D61" s="1" t="s">
        <v>137</v>
      </c>
      <c r="E61" s="2">
        <v>3</v>
      </c>
      <c r="F61" s="2">
        <f>F56*6</f>
        <v>300</v>
      </c>
      <c r="G61" s="2">
        <f t="shared" si="1"/>
        <v>300</v>
      </c>
      <c r="H61" s="2">
        <v>2880</v>
      </c>
      <c r="I61" s="2"/>
      <c r="J61" s="2">
        <v>300</v>
      </c>
      <c r="K61" s="1"/>
      <c r="L61" s="5" t="s">
        <v>138</v>
      </c>
    </row>
    <row r="62" ht="20" customHeight="1" spans="1:12">
      <c r="A62" s="2">
        <f t="shared" ref="A62:A73" si="7">12306*100+B62</f>
        <v>1230601</v>
      </c>
      <c r="B62" s="2">
        <v>1</v>
      </c>
      <c r="C62" s="2">
        <v>3</v>
      </c>
      <c r="D62" s="1" t="s">
        <v>139</v>
      </c>
      <c r="E62" s="2">
        <v>1</v>
      </c>
      <c r="F62" s="2">
        <v>10</v>
      </c>
      <c r="G62" s="2">
        <f t="shared" si="1"/>
        <v>10</v>
      </c>
      <c r="H62" s="2">
        <v>120</v>
      </c>
      <c r="I62" s="2"/>
      <c r="J62" s="2">
        <v>300</v>
      </c>
      <c r="K62" s="1"/>
      <c r="L62" s="1" t="s">
        <v>140</v>
      </c>
    </row>
    <row r="63" ht="20" customHeight="1" spans="1:12">
      <c r="A63" s="2">
        <f t="shared" si="7"/>
        <v>1230602</v>
      </c>
      <c r="B63" s="2">
        <v>2</v>
      </c>
      <c r="C63" s="2">
        <v>3</v>
      </c>
      <c r="D63" s="1" t="s">
        <v>141</v>
      </c>
      <c r="E63" s="2">
        <v>1</v>
      </c>
      <c r="F63" s="2">
        <f>F62*2</f>
        <v>20</v>
      </c>
      <c r="G63" s="2">
        <f t="shared" si="1"/>
        <v>20</v>
      </c>
      <c r="H63" s="2">
        <v>120</v>
      </c>
      <c r="I63" s="2"/>
      <c r="J63" s="2">
        <v>300</v>
      </c>
      <c r="K63" s="1"/>
      <c r="L63" s="1" t="s">
        <v>142</v>
      </c>
    </row>
    <row r="64" ht="20" customHeight="1" spans="1:12">
      <c r="A64" s="2">
        <f t="shared" si="7"/>
        <v>1230603</v>
      </c>
      <c r="B64" s="2">
        <v>3</v>
      </c>
      <c r="C64" s="2">
        <v>3</v>
      </c>
      <c r="D64" s="1" t="s">
        <v>143</v>
      </c>
      <c r="E64" s="2">
        <v>1</v>
      </c>
      <c r="F64" s="2">
        <f>F62*3</f>
        <v>30</v>
      </c>
      <c r="G64" s="2">
        <f t="shared" si="1"/>
        <v>30</v>
      </c>
      <c r="H64" s="2">
        <v>120</v>
      </c>
      <c r="I64" s="2"/>
      <c r="J64" s="2">
        <v>300</v>
      </c>
      <c r="K64" s="1"/>
      <c r="L64" s="1" t="s">
        <v>144</v>
      </c>
    </row>
    <row r="65" ht="20" customHeight="1" spans="1:12">
      <c r="A65" s="2">
        <f t="shared" si="7"/>
        <v>1230604</v>
      </c>
      <c r="B65" s="2">
        <v>4</v>
      </c>
      <c r="C65" s="2">
        <v>3</v>
      </c>
      <c r="D65" s="1" t="s">
        <v>145</v>
      </c>
      <c r="E65" s="2">
        <v>1</v>
      </c>
      <c r="F65" s="2">
        <f>F62*5</f>
        <v>50</v>
      </c>
      <c r="G65" s="2">
        <f t="shared" si="1"/>
        <v>50</v>
      </c>
      <c r="H65" s="2">
        <v>120</v>
      </c>
      <c r="I65" s="2"/>
      <c r="J65" s="2">
        <v>300</v>
      </c>
      <c r="K65" s="1"/>
      <c r="L65" s="1" t="s">
        <v>146</v>
      </c>
    </row>
    <row r="66" ht="20" customHeight="1" spans="1:12">
      <c r="A66" s="2">
        <f t="shared" si="7"/>
        <v>1230605</v>
      </c>
      <c r="B66" s="2">
        <v>5</v>
      </c>
      <c r="C66" s="2">
        <v>3</v>
      </c>
      <c r="D66" s="1" t="s">
        <v>147</v>
      </c>
      <c r="E66" s="2">
        <v>2</v>
      </c>
      <c r="F66" s="2">
        <f>F62*8</f>
        <v>80</v>
      </c>
      <c r="G66" s="2">
        <f t="shared" si="1"/>
        <v>80</v>
      </c>
      <c r="H66" s="2">
        <v>1440</v>
      </c>
      <c r="I66" s="2"/>
      <c r="J66" s="2">
        <v>300</v>
      </c>
      <c r="K66" s="1"/>
      <c r="L66" s="1" t="s">
        <v>148</v>
      </c>
    </row>
    <row r="67" ht="20" customHeight="1" spans="1:12">
      <c r="A67" s="2">
        <f t="shared" si="7"/>
        <v>1230606</v>
      </c>
      <c r="B67" s="2">
        <v>6</v>
      </c>
      <c r="C67" s="2">
        <v>3</v>
      </c>
      <c r="D67" s="1" t="s">
        <v>149</v>
      </c>
      <c r="E67" s="2">
        <v>2</v>
      </c>
      <c r="F67" s="2">
        <f>F62*10</f>
        <v>100</v>
      </c>
      <c r="G67" s="2">
        <f t="shared" si="1"/>
        <v>100</v>
      </c>
      <c r="H67" s="2">
        <v>1440</v>
      </c>
      <c r="I67" s="2"/>
      <c r="J67" s="2">
        <v>300</v>
      </c>
      <c r="K67" s="1"/>
      <c r="L67" s="1" t="s">
        <v>150</v>
      </c>
    </row>
    <row r="68" ht="20" customHeight="1" spans="1:12">
      <c r="A68" s="2">
        <f t="shared" si="7"/>
        <v>1230607</v>
      </c>
      <c r="B68" s="2">
        <v>7</v>
      </c>
      <c r="C68" s="2">
        <v>3</v>
      </c>
      <c r="D68" s="1" t="s">
        <v>151</v>
      </c>
      <c r="E68" s="2">
        <v>2</v>
      </c>
      <c r="F68" s="2">
        <f>F62*15</f>
        <v>150</v>
      </c>
      <c r="G68" s="2">
        <f t="shared" si="1"/>
        <v>150</v>
      </c>
      <c r="H68" s="2">
        <v>1440</v>
      </c>
      <c r="I68" s="2"/>
      <c r="J68" s="2">
        <v>300</v>
      </c>
      <c r="K68" s="1"/>
      <c r="L68" s="1" t="s">
        <v>152</v>
      </c>
    </row>
    <row r="69" ht="20" customHeight="1" spans="1:12">
      <c r="A69" s="2">
        <f t="shared" si="7"/>
        <v>1230608</v>
      </c>
      <c r="B69" s="2">
        <v>8</v>
      </c>
      <c r="C69" s="2">
        <v>3</v>
      </c>
      <c r="D69" s="1" t="s">
        <v>153</v>
      </c>
      <c r="E69" s="2">
        <v>2</v>
      </c>
      <c r="F69" s="2">
        <f>F62*20</f>
        <v>200</v>
      </c>
      <c r="G69" s="2">
        <f t="shared" ref="G69:G79" si="8">F69</f>
        <v>200</v>
      </c>
      <c r="H69" s="2">
        <v>1440</v>
      </c>
      <c r="I69" s="2"/>
      <c r="J69" s="2">
        <v>300</v>
      </c>
      <c r="K69" s="1"/>
      <c r="L69" s="1" t="s">
        <v>154</v>
      </c>
    </row>
    <row r="70" ht="20" customHeight="1" spans="1:12">
      <c r="A70" s="2">
        <f t="shared" si="7"/>
        <v>1230609</v>
      </c>
      <c r="B70" s="2">
        <v>9</v>
      </c>
      <c r="C70" s="2">
        <v>3</v>
      </c>
      <c r="D70" s="1" t="s">
        <v>155</v>
      </c>
      <c r="E70" s="2">
        <v>3</v>
      </c>
      <c r="F70" s="2">
        <f>F62*25</f>
        <v>250</v>
      </c>
      <c r="G70" s="2">
        <f t="shared" si="8"/>
        <v>250</v>
      </c>
      <c r="H70" s="2">
        <v>2880</v>
      </c>
      <c r="I70" s="2"/>
      <c r="J70" s="2">
        <v>300</v>
      </c>
      <c r="K70" s="1"/>
      <c r="L70" s="1" t="s">
        <v>156</v>
      </c>
    </row>
    <row r="71" ht="20" customHeight="1" spans="1:12">
      <c r="A71" s="2">
        <f t="shared" si="7"/>
        <v>1230610</v>
      </c>
      <c r="B71" s="2">
        <v>10</v>
      </c>
      <c r="C71" s="2">
        <v>3</v>
      </c>
      <c r="D71" s="1" t="s">
        <v>157</v>
      </c>
      <c r="E71" s="2">
        <v>3</v>
      </c>
      <c r="F71" s="2">
        <f>F62*30</f>
        <v>300</v>
      </c>
      <c r="G71" s="2">
        <f t="shared" si="8"/>
        <v>300</v>
      </c>
      <c r="H71" s="2">
        <v>2880</v>
      </c>
      <c r="I71" s="2"/>
      <c r="J71" s="2">
        <v>300</v>
      </c>
      <c r="K71" s="1"/>
      <c r="L71" s="1" t="s">
        <v>158</v>
      </c>
    </row>
    <row r="72" ht="20" customHeight="1" spans="1:12">
      <c r="A72" s="2">
        <f t="shared" si="7"/>
        <v>1230611</v>
      </c>
      <c r="B72" s="2">
        <v>11</v>
      </c>
      <c r="C72" s="2">
        <v>3</v>
      </c>
      <c r="D72" s="1" t="s">
        <v>159</v>
      </c>
      <c r="E72" s="2">
        <v>3</v>
      </c>
      <c r="F72" s="2">
        <f>F62*40</f>
        <v>400</v>
      </c>
      <c r="G72" s="2">
        <f t="shared" si="8"/>
        <v>400</v>
      </c>
      <c r="H72" s="2">
        <v>2880</v>
      </c>
      <c r="I72" s="2"/>
      <c r="J72" s="2">
        <v>300</v>
      </c>
      <c r="K72" s="1"/>
      <c r="L72" s="1" t="s">
        <v>160</v>
      </c>
    </row>
    <row r="73" ht="20" customHeight="1" spans="1:12">
      <c r="A73" s="2">
        <f t="shared" si="7"/>
        <v>1230612</v>
      </c>
      <c r="B73" s="2">
        <v>12</v>
      </c>
      <c r="C73" s="2">
        <v>3</v>
      </c>
      <c r="D73" s="1" t="s">
        <v>161</v>
      </c>
      <c r="E73" s="2">
        <v>3</v>
      </c>
      <c r="F73" s="2">
        <f>F62*50</f>
        <v>500</v>
      </c>
      <c r="G73" s="2">
        <f t="shared" si="8"/>
        <v>500</v>
      </c>
      <c r="H73" s="2">
        <v>2880</v>
      </c>
      <c r="I73" s="2"/>
      <c r="J73" s="2">
        <v>300</v>
      </c>
      <c r="K73" s="1"/>
      <c r="L73" s="1" t="s">
        <v>162</v>
      </c>
    </row>
    <row r="74" ht="20" customHeight="1" spans="1:12">
      <c r="A74" s="2">
        <f t="shared" ref="A74:A79" si="9">12307*100+B74</f>
        <v>1230701</v>
      </c>
      <c r="B74" s="2">
        <v>1</v>
      </c>
      <c r="C74" s="2">
        <v>3</v>
      </c>
      <c r="D74" s="1" t="s">
        <v>163</v>
      </c>
      <c r="E74" s="2">
        <v>1</v>
      </c>
      <c r="F74" s="2">
        <v>50</v>
      </c>
      <c r="G74" s="2">
        <f t="shared" si="8"/>
        <v>50</v>
      </c>
      <c r="H74" s="2">
        <v>120</v>
      </c>
      <c r="I74" s="2"/>
      <c r="J74" s="2">
        <v>300</v>
      </c>
      <c r="K74" s="1"/>
      <c r="L74" s="5" t="s">
        <v>164</v>
      </c>
    </row>
    <row r="75" ht="20" customHeight="1" spans="1:12">
      <c r="A75" s="2">
        <f t="shared" si="9"/>
        <v>1230702</v>
      </c>
      <c r="B75" s="2">
        <v>2</v>
      </c>
      <c r="C75" s="2">
        <v>3</v>
      </c>
      <c r="D75" s="1" t="s">
        <v>165</v>
      </c>
      <c r="E75" s="2">
        <v>1</v>
      </c>
      <c r="F75" s="2">
        <f>F74*2</f>
        <v>100</v>
      </c>
      <c r="G75" s="2">
        <f t="shared" si="8"/>
        <v>100</v>
      </c>
      <c r="H75" s="2">
        <v>120</v>
      </c>
      <c r="I75" s="2"/>
      <c r="J75" s="2">
        <v>300</v>
      </c>
      <c r="K75" s="1"/>
      <c r="L75" s="5" t="s">
        <v>166</v>
      </c>
    </row>
    <row r="76" ht="20" customHeight="1" spans="1:12">
      <c r="A76" s="2">
        <f t="shared" si="9"/>
        <v>1230703</v>
      </c>
      <c r="B76" s="2">
        <v>3</v>
      </c>
      <c r="C76" s="2">
        <v>3</v>
      </c>
      <c r="D76" s="1" t="s">
        <v>167</v>
      </c>
      <c r="E76" s="2">
        <v>2</v>
      </c>
      <c r="F76" s="2">
        <f>F74*4</f>
        <v>200</v>
      </c>
      <c r="G76" s="2">
        <f t="shared" si="8"/>
        <v>200</v>
      </c>
      <c r="H76" s="2">
        <v>1440</v>
      </c>
      <c r="I76" s="2"/>
      <c r="J76" s="2">
        <v>300</v>
      </c>
      <c r="K76" s="1"/>
      <c r="L76" s="5" t="s">
        <v>168</v>
      </c>
    </row>
    <row r="77" ht="20" customHeight="1" spans="1:12">
      <c r="A77" s="2">
        <f t="shared" si="9"/>
        <v>1230704</v>
      </c>
      <c r="B77" s="2">
        <v>4</v>
      </c>
      <c r="C77" s="2">
        <v>3</v>
      </c>
      <c r="D77" s="1" t="s">
        <v>169</v>
      </c>
      <c r="E77" s="2">
        <v>2</v>
      </c>
      <c r="F77" s="2">
        <f>F74*6</f>
        <v>300</v>
      </c>
      <c r="G77" s="2">
        <f t="shared" si="8"/>
        <v>300</v>
      </c>
      <c r="H77" s="2">
        <v>1440</v>
      </c>
      <c r="I77" s="2"/>
      <c r="J77" s="2">
        <v>300</v>
      </c>
      <c r="K77" s="1"/>
      <c r="L77" s="5" t="s">
        <v>170</v>
      </c>
    </row>
    <row r="78" ht="20" customHeight="1" spans="1:12">
      <c r="A78" s="2">
        <f t="shared" si="9"/>
        <v>1230705</v>
      </c>
      <c r="B78" s="2">
        <v>5</v>
      </c>
      <c r="C78" s="2">
        <v>3</v>
      </c>
      <c r="D78" s="1" t="s">
        <v>171</v>
      </c>
      <c r="E78" s="2">
        <v>3</v>
      </c>
      <c r="F78" s="2">
        <f>F74*10</f>
        <v>500</v>
      </c>
      <c r="G78" s="2">
        <f t="shared" si="8"/>
        <v>500</v>
      </c>
      <c r="H78" s="2">
        <v>2880</v>
      </c>
      <c r="I78" s="2"/>
      <c r="J78" s="2">
        <v>300</v>
      </c>
      <c r="K78" s="1"/>
      <c r="L78" s="5" t="s">
        <v>172</v>
      </c>
    </row>
    <row r="79" ht="20" customHeight="1" spans="1:12">
      <c r="A79" s="2">
        <f t="shared" si="9"/>
        <v>1230706</v>
      </c>
      <c r="B79" s="2">
        <v>6</v>
      </c>
      <c r="C79" s="2">
        <v>3</v>
      </c>
      <c r="D79" s="1" t="s">
        <v>173</v>
      </c>
      <c r="E79" s="2">
        <v>3</v>
      </c>
      <c r="F79" s="2">
        <f>F74*20</f>
        <v>1000</v>
      </c>
      <c r="G79" s="2">
        <f t="shared" si="8"/>
        <v>1000</v>
      </c>
      <c r="H79" s="2">
        <v>2880</v>
      </c>
      <c r="I79" s="2"/>
      <c r="J79" s="2">
        <v>300</v>
      </c>
      <c r="K79" s="1"/>
      <c r="L79" s="5" t="s">
        <v>174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AllianceTask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2026-06-25T02:09:59Z</dcterms:created>
  <dcterms:modified xsi:type="dcterms:W3CDTF">2026-06-25T02:23:10Z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C77BAC466CDC4CE49E98F5CDEB4DEF5D_11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