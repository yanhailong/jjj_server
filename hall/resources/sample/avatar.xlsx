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0：头像
1：头像边框
2：国旗
3：头衔/称号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</commentList>
</comments>
</file>

<file path=xl/sharedStrings.xml><?xml version="1.0" encoding="utf-8"?>
<sst xmlns="http://schemas.openxmlformats.org/spreadsheetml/2006/main" count="172" uniqueCount="169">
  <si>
    <t>id</t>
  </si>
  <si>
    <t>类型</t>
  </si>
  <si>
    <t>资源名称</t>
  </si>
  <si>
    <t>美术资源名称与路径</t>
  </si>
  <si>
    <t>int</t>
  </si>
  <si>
    <t>string</t>
  </si>
  <si>
    <t>resourceType</t>
  </si>
  <si>
    <t>name</t>
  </si>
  <si>
    <t>resourcePath</t>
  </si>
  <si>
    <t>头像1</t>
  </si>
  <si>
    <t>picture_001.png</t>
  </si>
  <si>
    <t>头像2</t>
  </si>
  <si>
    <t>picture_002.png</t>
  </si>
  <si>
    <t>头像3</t>
  </si>
  <si>
    <t>picture_003.png</t>
  </si>
  <si>
    <t>头像4</t>
  </si>
  <si>
    <t>picture_004.png</t>
  </si>
  <si>
    <t>头像5</t>
  </si>
  <si>
    <t>picture_005.png</t>
  </si>
  <si>
    <t>头像6</t>
  </si>
  <si>
    <t>picture_006.png</t>
  </si>
  <si>
    <t>头像7</t>
  </si>
  <si>
    <t>picture_007.png</t>
  </si>
  <si>
    <t>头像8</t>
  </si>
  <si>
    <t>picture_008.png</t>
  </si>
  <si>
    <t>头像9</t>
  </si>
  <si>
    <t>picture_009.png</t>
  </si>
  <si>
    <t>头像10</t>
  </si>
  <si>
    <t>picture_010.png</t>
  </si>
  <si>
    <t>头像11</t>
  </si>
  <si>
    <t>picture_011.png</t>
  </si>
  <si>
    <t>头像12</t>
  </si>
  <si>
    <t>picture_012.png</t>
  </si>
  <si>
    <t>头像13</t>
  </si>
  <si>
    <t>picture_013.png</t>
  </si>
  <si>
    <t>头像14</t>
  </si>
  <si>
    <t>picture_014.png</t>
  </si>
  <si>
    <t>头像15</t>
  </si>
  <si>
    <t>picture_015.png</t>
  </si>
  <si>
    <t>头像16</t>
  </si>
  <si>
    <t>picture_016.png</t>
  </si>
  <si>
    <t>头像17</t>
  </si>
  <si>
    <t>picture_017.png</t>
  </si>
  <si>
    <t>头像18</t>
  </si>
  <si>
    <t>picture_018.png</t>
  </si>
  <si>
    <t>头像19</t>
  </si>
  <si>
    <t>picture_019.png</t>
  </si>
  <si>
    <t>头像20</t>
  </si>
  <si>
    <t>picture_020.png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</si>
  <si>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</si>
  <si>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</si>
  <si>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</si>
  <si>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</si>
  <si>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</si>
  <si>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</si>
  <si>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</si>
  <si>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</si>
  <si>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头像框5</t>
  </si>
  <si>
    <t>frame_005.png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</si>
  <si>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</si>
  <si>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</si>
  <si>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</si>
  <si>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</si>
  <si>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</si>
  <si>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</si>
  <si>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</si>
  <si>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</si>
  <si>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</si>
  <si>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</si>
  <si>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</si>
  <si>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</si>
  <si>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</si>
  <si>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</si>
  <si>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</si>
  <si>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</si>
  <si>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</si>
  <si>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</si>
  <si>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</si>
  <si>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</si>
  <si>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</si>
  <si>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</si>
  <si>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</si>
  <si>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</si>
  <si>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头像框18</t>
  </si>
  <si>
    <t>frame_018.png</t>
  </si>
  <si>
    <t>头像框19</t>
  </si>
  <si>
    <t>frame_019.png</t>
  </si>
  <si>
    <t>头像框20</t>
  </si>
  <si>
    <t>frame_020.png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</si>
  <si>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</si>
  <si>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</si>
  <si>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</si>
  <si>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</si>
  <si>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</si>
  <si>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</si>
  <si>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</si>
  <si>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</si>
  <si>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</si>
  <si>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</si>
  <si>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</si>
  <si>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</si>
  <si>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</si>
  <si>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</si>
  <si>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</si>
  <si>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</si>
  <si>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</si>
  <si>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</si>
  <si>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</si>
  <si>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</si>
  <si>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</si>
  <si>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</si>
  <si>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</si>
  <si>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</si>
  <si>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</si>
  <si>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</si>
  <si>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</si>
  <si>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</si>
  <si>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</si>
  <si>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</si>
  <si>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</si>
  <si>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</si>
  <si>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</si>
  <si>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</si>
  <si>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</si>
  <si>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</si>
  <si>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</si>
  <si>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</si>
  <si>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</si>
  <si>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</si>
  <si>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头衔1</t>
  </si>
  <si>
    <t>Title_001.png</t>
  </si>
  <si>
    <t>头衔2</t>
  </si>
  <si>
    <t>Title_002.png</t>
  </si>
  <si>
    <t>头衔3</t>
  </si>
  <si>
    <t>Title_003.png</t>
  </si>
  <si>
    <t>头衔4</t>
  </si>
  <si>
    <t>Title_004.png</t>
  </si>
  <si>
    <t>头衔5</t>
  </si>
  <si>
    <t>Title_005.png</t>
  </si>
  <si>
    <t>头衔6</t>
  </si>
  <si>
    <t>Title_006.png</t>
  </si>
  <si>
    <t>头衔7</t>
  </si>
  <si>
    <t>Title_007.png</t>
  </si>
  <si>
    <t>头衔8</t>
  </si>
  <si>
    <t>Title_008.png</t>
  </si>
  <si>
    <t>头衔9</t>
  </si>
  <si>
    <t>Title_009.png</t>
  </si>
  <si>
    <t>头衔10</t>
  </si>
  <si>
    <t>Title_010.png</t>
  </si>
  <si>
    <t>头衔11</t>
  </si>
  <si>
    <t>Title_011.png</t>
  </si>
  <si>
    <t>头衔12</t>
  </si>
  <si>
    <t>Title_012.png</t>
  </si>
  <si>
    <t>头衔13</t>
  </si>
  <si>
    <t>Title_013.png</t>
  </si>
  <si>
    <t>头衔14</t>
  </si>
  <si>
    <t>Title_014.png</t>
  </si>
  <si>
    <t>头衔15</t>
  </si>
  <si>
    <t>Title_015.png</t>
  </si>
  <si>
    <t>头衔16</t>
  </si>
  <si>
    <t>Title_016.png</t>
  </si>
  <si>
    <t>头衔17</t>
  </si>
  <si>
    <t>Title_017.png</t>
  </si>
  <si>
    <t>头衔18</t>
  </si>
  <si>
    <t>Title_018.png</t>
  </si>
  <si>
    <t>头衔19</t>
  </si>
  <si>
    <t>Title_019.png</t>
  </si>
  <si>
    <t>头衔20</t>
  </si>
  <si>
    <t>Title_020.png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</si>
</sst>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6" borderId="4" applyNumberFormat="0" applyAlignment="0" applyProtection="0">
      <alignment vertical="center"/>
    </xf>
    <xf numFmtId="0" fontId="10" fillId="7" borderId="5" applyNumberFormat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4"/>
  <sheetViews>
    <sheetView tabSelected="1" workbookViewId="0">
      <selection activeCell="F8" sqref="F8"/>
    </sheetView>
  </sheetViews>
  <sheetFormatPr defaultColWidth="9" defaultRowHeight="13.5" outlineLevelCol="5"/>
  <cols>
    <col min="3" max="3" width="12.25" customWidth="1"/>
    <col min="5" max="5" width="9" customWidth="1"/>
    <col min="6" max="6" width="19.125" customWidth="1"/>
    <col min="7" max="7" width="12.5" customWidth="1"/>
  </cols>
  <sheetData>
    <row r="1" customFormat="1" spans="1:6">
      <c r="A1" t="s">
        <v>0</v>
      </c>
      <c r="B1"/>
      <c r="C1" t="s">
        <v>1</v>
      </c>
      <c r="D1" t="s">
        <v>2</v>
      </c>
      <c r="F1" t="s">
        <v>3</v>
      </c>
    </row>
    <row r="2" customFormat="1" spans="1:6">
      <c r="A2" t="s">
        <v>4</v>
      </c>
      <c r="B2"/>
      <c r="C2" t="s">
        <v>4</v>
      </c>
      <c r="D2" t="s">
        <v>4</v>
      </c>
      <c r="F2" t="s">
        <v>5</v>
      </c>
    </row>
    <row r="3" customFormat="1" spans="1:6">
      <c r="A3" t="s">
        <v>0</v>
      </c>
      <c r="B3"/>
      <c r="C3" t="s">
        <v>6</v>
      </c>
      <c r="D3" t="s">
        <v>7</v>
      </c>
      <c r="F3" t="s">
        <v>8</v>
      </c>
    </row>
    <row r="5" s="1" customFormat="1" spans="1:6">
      <c r="A5" s="1">
        <f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9</v>
      </c>
      <c r="F5" s="1" t="s">
        <v>10</v>
      </c>
    </row>
    <row r="6" s="1" customFormat="1" spans="1:6">
      <c r="A6" s="1">
        <f t="shared" ref="A6:A46" si="0">C6*1000+B6</f>
        <v>2</v>
      </c>
      <c r="B6" s="1">
        <f>COUNTIF($C$1:C6,C6)</f>
        <v>2</v>
      </c>
      <c r="C6" s="1">
        <v>0</v>
      </c>
      <c r="D6" s="1">
        <f t="shared" ref="D6:D37" si="1">100000+C6*1000+B6</f>
        <v>100002</v>
      </c>
      <c r="E6" s="1" t="s">
        <v>11</v>
      </c>
      <c r="F6" s="1" t="s">
        <v>12</v>
      </c>
    </row>
    <row r="7" s="1" customFormat="1" spans="1:6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13</v>
      </c>
      <c r="F7" s="1" t="s">
        <v>14</v>
      </c>
    </row>
    <row r="8" s="1" customFormat="1" spans="1:6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15</v>
      </c>
      <c r="F8" s="1" t="s">
        <v>16</v>
      </c>
    </row>
    <row r="9" s="1" customFormat="1" spans="1:6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17</v>
      </c>
      <c r="F9" s="1" t="s">
        <v>18</v>
      </c>
    </row>
    <row r="10" s="1" customFormat="1" spans="1:6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19</v>
      </c>
      <c r="F10" s="1" t="s">
        <v>20</v>
      </c>
    </row>
    <row r="11" s="1" customFormat="1" spans="1:6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21</v>
      </c>
      <c r="F11" s="1" t="s">
        <v>22</v>
      </c>
    </row>
    <row r="12" s="1" customFormat="1" spans="1:6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23</v>
      </c>
      <c r="F12" s="1" t="s">
        <v>24</v>
      </c>
    </row>
    <row r="13" s="1" customFormat="1" spans="1:6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25</v>
      </c>
      <c r="F13" s="1" t="s">
        <v>26</v>
      </c>
    </row>
    <row r="14" s="1" customFormat="1" spans="1:6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27</v>
      </c>
      <c r="F14" s="1" t="s">
        <v>28</v>
      </c>
    </row>
    <row r="15" s="1" customFormat="1" spans="1:6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29</v>
      </c>
      <c r="F15" s="1" t="s">
        <v>30</v>
      </c>
    </row>
    <row r="16" s="1" customFormat="1" spans="1:6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31</v>
      </c>
      <c r="F16" s="1" t="s">
        <v>32</v>
      </c>
    </row>
    <row r="17" s="1" customFormat="1" spans="1:6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33</v>
      </c>
      <c r="F17" s="1" t="s">
        <v>34</v>
      </c>
    </row>
    <row r="18" s="1" customFormat="1" spans="1:6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35</v>
      </c>
      <c r="F18" s="1" t="s">
        <v>36</v>
      </c>
    </row>
    <row r="19" s="1" customFormat="1" spans="1:6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37</v>
      </c>
      <c r="F19" s="1" t="s">
        <v>38</v>
      </c>
    </row>
    <row r="20" s="1" customFormat="1" spans="1:6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39</v>
      </c>
      <c r="F20" s="1" t="s">
        <v>40</v>
      </c>
    </row>
    <row r="21" s="1" customFormat="1" spans="1:6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41</v>
      </c>
      <c r="F21" s="1" t="s">
        <v>42</v>
      </c>
    </row>
    <row r="22" s="1" customFormat="1" spans="1:6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43</v>
      </c>
      <c r="F22" s="1" t="s">
        <v>44</v>
      </c>
    </row>
    <row r="23" s="1" customFormat="1" spans="1:6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45</v>
      </c>
      <c r="F23" s="1" t="s">
        <v>46</v>
      </c>
    </row>
    <row r="24" s="1" customFormat="1" spans="1:6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47</v>
      </c>
      <c r="F24" s="1" t="s">
        <v>48</v>
      </c>
    </row>
    <row r="25" spans="1:6">
      <c r="A25">
        <f t="shared" si="0"/>
        <v>1001</v>
      </c>
      <c r="B25">
        <f>COUNTIF($C$1:C25,C25)</f>
        <v>1</v>
      </c>
      <c r="C25">
        <v>1</v>
      </c>
      <c r="D25" s="1">
        <f t="shared" si="1"/>
        <v>101001</v>
      </c>
      <c r="E25" t="s">
        <v>49</v>
      </c>
      <c r="F25" t="s">
        <v>50</v>
      </c>
    </row>
    <row r="26" spans="1:6">
      <c r="A26">
        <f t="shared" si="0"/>
        <v>1002</v>
      </c>
      <c r="B26">
        <f>COUNTIF($C$1:C26,C26)</f>
        <v>2</v>
      </c>
      <c r="C26">
        <v>1</v>
      </c>
      <c r="D26" s="1">
        <f t="shared" si="1"/>
        <v>101002</v>
      </c>
      <c r="E26" t="s">
        <v>51</v>
      </c>
      <c r="F26" t="s">
        <v>52</v>
      </c>
    </row>
    <row r="27" spans="1:6">
      <c r="A27">
        <f t="shared" si="0"/>
        <v>1003</v>
      </c>
      <c r="B27">
        <f>COUNTIF($C$1:C27,C27)</f>
        <v>3</v>
      </c>
      <c r="C27">
        <v>1</v>
      </c>
      <c r="D27" s="1">
        <f t="shared" si="1"/>
        <v>101003</v>
      </c>
      <c r="E27" t="s">
        <v>53</v>
      </c>
      <c r="F27" t="s">
        <v>54</v>
      </c>
    </row>
    <row r="28" spans="1:6">
      <c r="A28">
        <f t="shared" si="0"/>
        <v>1004</v>
      </c>
      <c r="B28">
        <f>COUNTIF($C$1:C28,C28)</f>
        <v>4</v>
      </c>
      <c r="C28">
        <v>1</v>
      </c>
      <c r="D28" s="1">
        <f t="shared" si="1"/>
        <v>101004</v>
      </c>
      <c r="E28" t="s">
        <v>55</v>
      </c>
      <c r="F28" t="s">
        <v>56</v>
      </c>
    </row>
    <row r="29" spans="1:6">
      <c r="A29">
        <f t="shared" si="0"/>
        <v>1005</v>
      </c>
      <c r="B29">
        <f>COUNTIF($C$1:C29,C29)</f>
        <v>5</v>
      </c>
      <c r="C29">
        <v>1</v>
      </c>
      <c r="D29" s="1">
        <f t="shared" si="1"/>
        <v>101005</v>
      </c>
      <c r="E29" t="s">
        <v>57</v>
      </c>
      <c r="F29" t="s">
        <v>58</v>
      </c>
    </row>
    <row r="30" spans="1:6">
      <c r="A30">
        <f t="shared" si="0"/>
        <v>1006</v>
      </c>
      <c r="B30">
        <f>COUNTIF($C$1:C30,C30)</f>
        <v>6</v>
      </c>
      <c r="C30">
        <v>1</v>
      </c>
      <c r="D30" s="1">
        <f t="shared" si="1"/>
        <v>101006</v>
      </c>
      <c r="E30" t="s">
        <v>59</v>
      </c>
      <c r="F30" t="s">
        <v>60</v>
      </c>
    </row>
    <row r="31" spans="1:6">
      <c r="A31">
        <f t="shared" si="0"/>
        <v>1007</v>
      </c>
      <c r="B31">
        <f>COUNTIF($C$1:C31,C31)</f>
        <v>7</v>
      </c>
      <c r="C31">
        <v>1</v>
      </c>
      <c r="D31" s="1">
        <f t="shared" si="1"/>
        <v>101007</v>
      </c>
      <c r="E31" t="s">
        <v>61</v>
      </c>
      <c r="F31" t="s">
        <v>62</v>
      </c>
    </row>
    <row r="32" spans="1:6">
      <c r="A32">
        <f t="shared" si="0"/>
        <v>1008</v>
      </c>
      <c r="B32">
        <f>COUNTIF($C$1:C32,C32)</f>
        <v>8</v>
      </c>
      <c r="C32">
        <v>1</v>
      </c>
      <c r="D32" s="1">
        <f t="shared" si="1"/>
        <v>101008</v>
      </c>
      <c r="E32" t="s">
        <v>63</v>
      </c>
      <c r="F32" t="s">
        <v>64</v>
      </c>
    </row>
    <row r="33" spans="1:6">
      <c r="A33">
        <f t="shared" si="0"/>
        <v>1009</v>
      </c>
      <c r="B33">
        <f>COUNTIF($C$1:C33,C33)</f>
        <v>9</v>
      </c>
      <c r="C33">
        <v>1</v>
      </c>
      <c r="D33" s="1">
        <f t="shared" si="1"/>
        <v>101009</v>
      </c>
      <c r="E33" t="s">
        <v>65</v>
      </c>
      <c r="F33" t="s">
        <v>66</v>
      </c>
    </row>
    <row r="34" spans="1:6">
      <c r="A34">
        <f t="shared" si="0"/>
        <v>1010</v>
      </c>
      <c r="B34">
        <f>COUNTIF($C$1:C34,C34)</f>
        <v>10</v>
      </c>
      <c r="C34">
        <v>1</v>
      </c>
      <c r="D34" s="1">
        <f t="shared" si="1"/>
        <v>101010</v>
      </c>
      <c r="E34" t="s">
        <v>67</v>
      </c>
      <c r="F34" t="s">
        <v>68</v>
      </c>
    </row>
    <row r="35" spans="1:6">
      <c r="A35">
        <f t="shared" si="0"/>
        <v>1011</v>
      </c>
      <c r="B35">
        <f>COUNTIF($C$1:C35,C35)</f>
        <v>11</v>
      </c>
      <c r="C35">
        <v>1</v>
      </c>
      <c r="D35" s="1">
        <f t="shared" si="1"/>
        <v>101011</v>
      </c>
      <c r="E35" t="s">
        <v>69</v>
      </c>
      <c r="F35" t="s">
        <v>70</v>
      </c>
    </row>
    <row r="36" spans="1:6">
      <c r="A36">
        <f t="shared" si="0"/>
        <v>1012</v>
      </c>
      <c r="B36">
        <f>COUNTIF($C$1:C36,C36)</f>
        <v>12</v>
      </c>
      <c r="C36">
        <v>1</v>
      </c>
      <c r="D36" s="1">
        <f t="shared" si="1"/>
        <v>101012</v>
      </c>
      <c r="E36" t="s">
        <v>71</v>
      </c>
      <c r="F36" t="s">
        <v>72</v>
      </c>
    </row>
    <row r="37" spans="1:6">
      <c r="A37">
        <f t="shared" si="0"/>
        <v>1013</v>
      </c>
      <c r="B37">
        <f>COUNTIF($C$1:C37,C37)</f>
        <v>13</v>
      </c>
      <c r="C37">
        <v>1</v>
      </c>
      <c r="D37" s="1">
        <f t="shared" si="1"/>
        <v>101013</v>
      </c>
      <c r="E37" t="s">
        <v>73</v>
      </c>
      <c r="F37" t="s">
        <v>74</v>
      </c>
    </row>
    <row r="38" spans="1:6">
      <c r="A38">
        <f t="shared" si="0"/>
        <v>1014</v>
      </c>
      <c r="B38">
        <f>COUNTIF($C$1:C38,C38)</f>
        <v>14</v>
      </c>
      <c r="C38">
        <v>1</v>
      </c>
      <c r="D38" s="1">
        <f t="shared" ref="D38:D84" si="2">100000+C38*1000+B38</f>
        <v>101014</v>
      </c>
      <c r="E38" t="s">
        <v>75</v>
      </c>
      <c r="F38" t="s">
        <v>76</v>
      </c>
    </row>
    <row r="39" spans="1:6">
      <c r="A39">
        <f t="shared" si="0"/>
        <v>1015</v>
      </c>
      <c r="B39">
        <f>COUNTIF($C$1:C39,C39)</f>
        <v>15</v>
      </c>
      <c r="C39">
        <v>1</v>
      </c>
      <c r="D39" s="1">
        <f t="shared" si="2"/>
        <v>101015</v>
      </c>
      <c r="E39" t="s">
        <v>77</v>
      </c>
      <c r="F39" t="s">
        <v>78</v>
      </c>
    </row>
    <row r="40" spans="1:6">
      <c r="A40">
        <f t="shared" si="0"/>
        <v>1016</v>
      </c>
      <c r="B40">
        <f>COUNTIF($C$1:C40,C40)</f>
        <v>16</v>
      </c>
      <c r="C40">
        <v>1</v>
      </c>
      <c r="D40" s="1">
        <f t="shared" si="2"/>
        <v>101016</v>
      </c>
      <c r="E40" t="s">
        <v>79</v>
      </c>
      <c r="F40" t="s">
        <v>80</v>
      </c>
    </row>
    <row r="41" spans="1:6">
      <c r="A41">
        <f t="shared" si="0"/>
        <v>1017</v>
      </c>
      <c r="B41">
        <f>COUNTIF($C$1:C41,C41)</f>
        <v>17</v>
      </c>
      <c r="C41">
        <v>1</v>
      </c>
      <c r="D41" s="1">
        <f t="shared" si="2"/>
        <v>101017</v>
      </c>
      <c r="E41" t="s">
        <v>81</v>
      </c>
      <c r="F41" t="s">
        <v>82</v>
      </c>
    </row>
    <row r="42" spans="1:6">
      <c r="A42">
        <f t="shared" si="0"/>
        <v>1018</v>
      </c>
      <c r="B42">
        <f>COUNTIF($C$1:C42,C42)</f>
        <v>18</v>
      </c>
      <c r="C42">
        <v>1</v>
      </c>
      <c r="D42" s="1">
        <f t="shared" si="2"/>
        <v>101018</v>
      </c>
      <c r="E42" t="s">
        <v>83</v>
      </c>
      <c r="F42" t="s">
        <v>84</v>
      </c>
    </row>
    <row r="43" spans="1:6">
      <c r="A43">
        <f t="shared" si="0"/>
        <v>1019</v>
      </c>
      <c r="B43">
        <f>COUNTIF($C$1:C43,C43)</f>
        <v>19</v>
      </c>
      <c r="C43">
        <v>1</v>
      </c>
      <c r="D43" s="1">
        <f t="shared" si="2"/>
        <v>101019</v>
      </c>
      <c r="E43" t="s">
        <v>85</v>
      </c>
      <c r="F43" t="s">
        <v>86</v>
      </c>
    </row>
    <row r="44" spans="1:6">
      <c r="A44">
        <f t="shared" si="0"/>
        <v>1020</v>
      </c>
      <c r="B44">
        <f>COUNTIF($C$1:C44,C44)</f>
        <v>20</v>
      </c>
      <c r="C44">
        <v>1</v>
      </c>
      <c r="D44" s="1">
        <f t="shared" si="2"/>
        <v>101020</v>
      </c>
      <c r="E44" t="s">
        <v>87</v>
      </c>
      <c r="F44" t="s">
        <v>88</v>
      </c>
    </row>
    <row r="45" s="2" customFormat="1" spans="1:6">
      <c r="A45" s="2">
        <f t="shared" si="0"/>
        <v>2001</v>
      </c>
      <c r="B45" s="2">
        <f>COUNTIF($C$1:C45,C45)</f>
        <v>1</v>
      </c>
      <c r="C45" s="2">
        <v>2</v>
      </c>
      <c r="D45" s="1">
        <f t="shared" si="2"/>
        <v>102001</v>
      </c>
      <c r="E45" s="2" t="s">
        <v>89</v>
      </c>
      <c r="F45" s="2" t="s">
        <v>90</v>
      </c>
    </row>
    <row r="46" s="2" customFormat="1" spans="1:6">
      <c r="A46" s="2">
        <f t="shared" si="0"/>
        <v>2002</v>
      </c>
      <c r="B46" s="2">
        <f>COUNTIF($C$1:C46,C46)</f>
        <v>2</v>
      </c>
      <c r="C46" s="2">
        <v>2</v>
      </c>
      <c r="D46" s="1">
        <f t="shared" si="2"/>
        <v>102002</v>
      </c>
      <c r="E46" s="2" t="s">
        <v>91</v>
      </c>
      <c r="F46" s="2" t="s">
        <v>92</v>
      </c>
    </row>
    <row r="47" s="2" customFormat="1" spans="1:6">
      <c r="A47" s="2">
        <f t="shared" ref="A47:A66" si="3">C47*1000+B47</f>
        <v>2003</v>
      </c>
      <c r="B47" s="2">
        <f>COUNTIF($C$1:C47,C47)</f>
        <v>3</v>
      </c>
      <c r="C47" s="2">
        <v>2</v>
      </c>
      <c r="D47" s="1">
        <f t="shared" si="2"/>
        <v>102003</v>
      </c>
      <c r="E47" s="2" t="s">
        <v>93</v>
      </c>
      <c r="F47" s="2" t="s">
        <v>94</v>
      </c>
    </row>
    <row r="48" s="2" customFormat="1" spans="1:6">
      <c r="A48" s="2">
        <f t="shared" si="3"/>
        <v>2004</v>
      </c>
      <c r="B48" s="2">
        <f>COUNTIF($C$1:C48,C48)</f>
        <v>4</v>
      </c>
      <c r="C48" s="2">
        <v>2</v>
      </c>
      <c r="D48" s="1">
        <f t="shared" si="2"/>
        <v>102004</v>
      </c>
      <c r="E48" s="2" t="s">
        <v>95</v>
      </c>
      <c r="F48" s="2" t="s">
        <v>96</v>
      </c>
    </row>
    <row r="49" s="2" customFormat="1" spans="1:6">
      <c r="A49" s="2">
        <f t="shared" si="3"/>
        <v>2005</v>
      </c>
      <c r="B49" s="2">
        <f>COUNTIF($C$1:C49,C49)</f>
        <v>5</v>
      </c>
      <c r="C49" s="2">
        <v>2</v>
      </c>
      <c r="D49" s="1">
        <f t="shared" si="2"/>
        <v>102005</v>
      </c>
      <c r="E49" s="2" t="s">
        <v>97</v>
      </c>
      <c r="F49" s="2" t="s">
        <v>98</v>
      </c>
    </row>
    <row r="50" s="2" customFormat="1" spans="1:6">
      <c r="A50" s="2">
        <f t="shared" si="3"/>
        <v>2006</v>
      </c>
      <c r="B50" s="2">
        <f>COUNTIF($C$1:C50,C50)</f>
        <v>6</v>
      </c>
      <c r="C50" s="2">
        <v>2</v>
      </c>
      <c r="D50" s="1">
        <f t="shared" si="2"/>
        <v>102006</v>
      </c>
      <c r="E50" s="2" t="s">
        <v>99</v>
      </c>
      <c r="F50" s="2" t="s">
        <v>100</v>
      </c>
    </row>
    <row r="51" s="2" customFormat="1" spans="1:6">
      <c r="A51" s="2">
        <f t="shared" si="3"/>
        <v>2007</v>
      </c>
      <c r="B51" s="2">
        <f>COUNTIF($C$1:C51,C51)</f>
        <v>7</v>
      </c>
      <c r="C51" s="2">
        <v>2</v>
      </c>
      <c r="D51" s="1">
        <f t="shared" si="2"/>
        <v>102007</v>
      </c>
      <c r="E51" s="2" t="s">
        <v>101</v>
      </c>
      <c r="F51" s="2" t="s">
        <v>102</v>
      </c>
    </row>
    <row r="52" s="2" customFormat="1" spans="1:6">
      <c r="A52" s="2">
        <f t="shared" si="3"/>
        <v>2008</v>
      </c>
      <c r="B52" s="2">
        <f>COUNTIF($C$1:C52,C52)</f>
        <v>8</v>
      </c>
      <c r="C52" s="2">
        <v>2</v>
      </c>
      <c r="D52" s="1">
        <f t="shared" si="2"/>
        <v>102008</v>
      </c>
      <c r="E52" s="2" t="s">
        <v>103</v>
      </c>
      <c r="F52" s="2" t="s">
        <v>104</v>
      </c>
    </row>
    <row r="53" s="2" customFormat="1" spans="1:6">
      <c r="A53" s="2">
        <f t="shared" si="3"/>
        <v>2009</v>
      </c>
      <c r="B53" s="2">
        <f>COUNTIF($C$1:C53,C53)</f>
        <v>9</v>
      </c>
      <c r="C53" s="2">
        <v>2</v>
      </c>
      <c r="D53" s="1">
        <f t="shared" si="2"/>
        <v>102009</v>
      </c>
      <c r="E53" s="2" t="s">
        <v>105</v>
      </c>
      <c r="F53" s="2" t="s">
        <v>106</v>
      </c>
    </row>
    <row r="54" s="2" customFormat="1" spans="1:6">
      <c r="A54" s="2">
        <f t="shared" si="3"/>
        <v>2010</v>
      </c>
      <c r="B54" s="2">
        <f>COUNTIF($C$1:C54,C54)</f>
        <v>10</v>
      </c>
      <c r="C54" s="2">
        <v>2</v>
      </c>
      <c r="D54" s="1">
        <f t="shared" si="2"/>
        <v>102010</v>
      </c>
      <c r="E54" s="2" t="s">
        <v>107</v>
      </c>
      <c r="F54" s="2" t="s">
        <v>108</v>
      </c>
    </row>
    <row r="55" s="2" customFormat="1" spans="1:6">
      <c r="A55" s="2">
        <f t="shared" si="3"/>
        <v>2011</v>
      </c>
      <c r="B55" s="2">
        <f>COUNTIF($C$1:C55,C55)</f>
        <v>11</v>
      </c>
      <c r="C55" s="2">
        <v>2</v>
      </c>
      <c r="D55" s="1">
        <f t="shared" si="2"/>
        <v>102011</v>
      </c>
      <c r="E55" s="2" t="s">
        <v>109</v>
      </c>
      <c r="F55" s="2" t="s">
        <v>110</v>
      </c>
    </row>
    <row r="56" s="2" customFormat="1" spans="1:6">
      <c r="A56" s="2">
        <f t="shared" si="3"/>
        <v>2012</v>
      </c>
      <c r="B56" s="2">
        <f>COUNTIF($C$1:C56,C56)</f>
        <v>12</v>
      </c>
      <c r="C56" s="2">
        <v>2</v>
      </c>
      <c r="D56" s="1">
        <f t="shared" si="2"/>
        <v>102012</v>
      </c>
      <c r="E56" s="2" t="s">
        <v>111</v>
      </c>
      <c r="F56" s="2" t="s">
        <v>112</v>
      </c>
    </row>
    <row r="57" s="2" customFormat="1" spans="1:6">
      <c r="A57" s="2">
        <f t="shared" si="3"/>
        <v>2013</v>
      </c>
      <c r="B57" s="2">
        <f>COUNTIF($C$1:C57,C57)</f>
        <v>13</v>
      </c>
      <c r="C57" s="2">
        <v>2</v>
      </c>
      <c r="D57" s="1">
        <f t="shared" si="2"/>
        <v>102013</v>
      </c>
      <c r="E57" s="2" t="s">
        <v>113</v>
      </c>
      <c r="F57" s="2" t="s">
        <v>114</v>
      </c>
    </row>
    <row r="58" s="2" customFormat="1" spans="1:6">
      <c r="A58" s="2">
        <f t="shared" si="3"/>
        <v>2014</v>
      </c>
      <c r="B58" s="2">
        <f>COUNTIF($C$1:C58,C58)</f>
        <v>14</v>
      </c>
      <c r="C58" s="2">
        <v>2</v>
      </c>
      <c r="D58" s="1">
        <f t="shared" si="2"/>
        <v>102014</v>
      </c>
      <c r="E58" s="2" t="s">
        <v>115</v>
      </c>
      <c r="F58" s="2" t="s">
        <v>116</v>
      </c>
    </row>
    <row r="59" s="2" customFormat="1" spans="1:6">
      <c r="A59" s="2">
        <f t="shared" si="3"/>
        <v>2015</v>
      </c>
      <c r="B59" s="2">
        <f>COUNTIF($C$1:C59,C59)</f>
        <v>15</v>
      </c>
      <c r="C59" s="2">
        <v>2</v>
      </c>
      <c r="D59" s="1">
        <f t="shared" si="2"/>
        <v>102015</v>
      </c>
      <c r="E59" s="2" t="s">
        <v>117</v>
      </c>
      <c r="F59" s="2" t="s">
        <v>118</v>
      </c>
    </row>
    <row r="60" s="2" customFormat="1" spans="1:6">
      <c r="A60" s="2">
        <f t="shared" si="3"/>
        <v>2016</v>
      </c>
      <c r="B60" s="2">
        <f>COUNTIF($C$1:C60,C60)</f>
        <v>16</v>
      </c>
      <c r="C60" s="2">
        <v>2</v>
      </c>
      <c r="D60" s="1">
        <f t="shared" si="2"/>
        <v>102016</v>
      </c>
      <c r="E60" s="2" t="s">
        <v>119</v>
      </c>
      <c r="F60" s="2" t="s">
        <v>120</v>
      </c>
    </row>
    <row r="61" s="2" customFormat="1" spans="1:6">
      <c r="A61" s="2">
        <f t="shared" si="3"/>
        <v>2017</v>
      </c>
      <c r="B61" s="2">
        <f>COUNTIF($C$1:C61,C61)</f>
        <v>17</v>
      </c>
      <c r="C61" s="2">
        <v>2</v>
      </c>
      <c r="D61" s="1">
        <f t="shared" si="2"/>
        <v>102017</v>
      </c>
      <c r="E61" s="2" t="s">
        <v>121</v>
      </c>
      <c r="F61" s="2" t="s">
        <v>122</v>
      </c>
    </row>
    <row r="62" s="2" customFormat="1" spans="1:6">
      <c r="A62" s="2">
        <f t="shared" si="3"/>
        <v>2018</v>
      </c>
      <c r="B62" s="2">
        <f>COUNTIF($C$1:C62,C62)</f>
        <v>18</v>
      </c>
      <c r="C62" s="2">
        <v>2</v>
      </c>
      <c r="D62" s="1">
        <f t="shared" si="2"/>
        <v>102018</v>
      </c>
      <c r="E62" s="2" t="s">
        <v>123</v>
      </c>
      <c r="F62" s="2" t="s">
        <v>124</v>
      </c>
    </row>
    <row r="63" s="2" customFormat="1" spans="1:6">
      <c r="A63" s="2">
        <f t="shared" si="3"/>
        <v>2019</v>
      </c>
      <c r="B63" s="2">
        <f>COUNTIF($C$1:C63,C63)</f>
        <v>19</v>
      </c>
      <c r="C63" s="2">
        <v>2</v>
      </c>
      <c r="D63" s="1">
        <f t="shared" si="2"/>
        <v>102019</v>
      </c>
      <c r="E63" s="2" t="s">
        <v>125</v>
      </c>
      <c r="F63" s="2" t="s">
        <v>126</v>
      </c>
    </row>
    <row r="64" s="2" customFormat="1" spans="1:6">
      <c r="A64" s="2">
        <f t="shared" si="3"/>
        <v>2020</v>
      </c>
      <c r="B64" s="2">
        <f>COUNTIF($C$1:C64,C64)</f>
        <v>20</v>
      </c>
      <c r="C64" s="2">
        <v>2</v>
      </c>
      <c r="D64" s="1">
        <f t="shared" si="2"/>
        <v>102020</v>
      </c>
      <c r="E64" s="2" t="s">
        <v>127</v>
      </c>
      <c r="F64" s="2" t="s">
        <v>128</v>
      </c>
    </row>
    <row r="65" s="3" customFormat="1" spans="1:6">
      <c r="A65" s="3">
        <f t="shared" si="3"/>
        <v>3001</v>
      </c>
      <c r="B65" s="3">
        <f>COUNTIF($C$1:C65,C65)</f>
        <v>1</v>
      </c>
      <c r="C65" s="3">
        <v>3</v>
      </c>
      <c r="D65" s="1">
        <f t="shared" si="2"/>
        <v>103001</v>
      </c>
      <c r="E65" s="3" t="s">
        <v>129</v>
      </c>
      <c r="F65" s="3" t="s">
        <v>130</v>
      </c>
    </row>
    <row r="66" s="3" customFormat="1" spans="1:6">
      <c r="A66" s="3">
        <f t="shared" si="3"/>
        <v>3002</v>
      </c>
      <c r="B66" s="3">
        <f>COUNTIF($C$1:C66,C66)</f>
        <v>2</v>
      </c>
      <c r="C66" s="3">
        <v>3</v>
      </c>
      <c r="D66" s="1">
        <f t="shared" si="2"/>
        <v>103002</v>
      </c>
      <c r="E66" s="3" t="s">
        <v>131</v>
      </c>
      <c r="F66" s="3" t="s">
        <v>132</v>
      </c>
    </row>
    <row r="67" s="3" customFormat="1" spans="1:6">
      <c r="A67" s="3">
        <f t="shared" ref="A67:A84" si="4">C67*1000+B67</f>
        <v>3003</v>
      </c>
      <c r="B67" s="3">
        <f>COUNTIF($C$1:C67,C67)</f>
        <v>3</v>
      </c>
      <c r="C67" s="3">
        <v>3</v>
      </c>
      <c r="D67" s="1">
        <f t="shared" si="2"/>
        <v>103003</v>
      </c>
      <c r="E67" s="3" t="s">
        <v>133</v>
      </c>
      <c r="F67" s="3" t="s">
        <v>134</v>
      </c>
    </row>
    <row r="68" s="3" customFormat="1" spans="1:6">
      <c r="A68" s="3">
        <f t="shared" si="4"/>
        <v>3004</v>
      </c>
      <c r="B68" s="3">
        <f>COUNTIF($C$1:C68,C68)</f>
        <v>4</v>
      </c>
      <c r="C68" s="3">
        <v>3</v>
      </c>
      <c r="D68" s="1">
        <f t="shared" si="2"/>
        <v>103004</v>
      </c>
      <c r="E68" s="3" t="s">
        <v>135</v>
      </c>
      <c r="F68" s="3" t="s">
        <v>136</v>
      </c>
    </row>
    <row r="69" s="3" customFormat="1" spans="1:6">
      <c r="A69" s="3">
        <f t="shared" si="4"/>
        <v>3005</v>
      </c>
      <c r="B69" s="3">
        <f>COUNTIF($C$1:C69,C69)</f>
        <v>5</v>
      </c>
      <c r="C69" s="3">
        <v>3</v>
      </c>
      <c r="D69" s="1">
        <f t="shared" si="2"/>
        <v>103005</v>
      </c>
      <c r="E69" s="3" t="s">
        <v>137</v>
      </c>
      <c r="F69" s="3" t="s">
        <v>138</v>
      </c>
    </row>
    <row r="70" s="3" customFormat="1" spans="1:6">
      <c r="A70" s="3">
        <f t="shared" si="4"/>
        <v>3006</v>
      </c>
      <c r="B70" s="3">
        <f>COUNTIF($C$1:C70,C70)</f>
        <v>6</v>
      </c>
      <c r="C70" s="3">
        <v>3</v>
      </c>
      <c r="D70" s="1">
        <f t="shared" si="2"/>
        <v>103006</v>
      </c>
      <c r="E70" s="3" t="s">
        <v>139</v>
      </c>
      <c r="F70" s="3" t="s">
        <v>140</v>
      </c>
    </row>
    <row r="71" s="3" customFormat="1" spans="1:6">
      <c r="A71" s="3">
        <f t="shared" si="4"/>
        <v>3007</v>
      </c>
      <c r="B71" s="3">
        <f>COUNTIF($C$1:C71,C71)</f>
        <v>7</v>
      </c>
      <c r="C71" s="3">
        <v>3</v>
      </c>
      <c r="D71" s="1">
        <f t="shared" si="2"/>
        <v>103007</v>
      </c>
      <c r="E71" s="3" t="s">
        <v>141</v>
      </c>
      <c r="F71" s="3" t="s">
        <v>142</v>
      </c>
    </row>
    <row r="72" s="3" customFormat="1" spans="1:6">
      <c r="A72" s="3">
        <f t="shared" si="4"/>
        <v>3008</v>
      </c>
      <c r="B72" s="3">
        <f>COUNTIF($C$1:C72,C72)</f>
        <v>8</v>
      </c>
      <c r="C72" s="3">
        <v>3</v>
      </c>
      <c r="D72" s="1">
        <f t="shared" si="2"/>
        <v>103008</v>
      </c>
      <c r="E72" s="3" t="s">
        <v>143</v>
      </c>
      <c r="F72" s="3" t="s">
        <v>144</v>
      </c>
    </row>
    <row r="73" s="3" customFormat="1" spans="1:6">
      <c r="A73" s="3">
        <f t="shared" si="4"/>
        <v>3009</v>
      </c>
      <c r="B73" s="3">
        <f>COUNTIF($C$1:C73,C73)</f>
        <v>9</v>
      </c>
      <c r="C73" s="3">
        <v>3</v>
      </c>
      <c r="D73" s="1">
        <f t="shared" si="2"/>
        <v>103009</v>
      </c>
      <c r="E73" s="3" t="s">
        <v>145</v>
      </c>
      <c r="F73" s="3" t="s">
        <v>146</v>
      </c>
    </row>
    <row r="74" s="3" customFormat="1" spans="1:6">
      <c r="A74" s="3">
        <f t="shared" si="4"/>
        <v>3010</v>
      </c>
      <c r="B74" s="3">
        <f>COUNTIF($C$1:C74,C74)</f>
        <v>10</v>
      </c>
      <c r="C74" s="3">
        <v>3</v>
      </c>
      <c r="D74" s="1">
        <f t="shared" si="2"/>
        <v>103010</v>
      </c>
      <c r="E74" s="3" t="s">
        <v>147</v>
      </c>
      <c r="F74" s="3" t="s">
        <v>148</v>
      </c>
    </row>
    <row r="75" s="3" customFormat="1" spans="1:6">
      <c r="A75" s="3">
        <f t="shared" si="4"/>
        <v>3011</v>
      </c>
      <c r="B75" s="3">
        <f>COUNTIF($C$1:C75,C75)</f>
        <v>11</v>
      </c>
      <c r="C75" s="3">
        <v>3</v>
      </c>
      <c r="D75" s="1">
        <f t="shared" si="2"/>
        <v>103011</v>
      </c>
      <c r="E75" s="3" t="s">
        <v>149</v>
      </c>
      <c r="F75" s="3" t="s">
        <v>150</v>
      </c>
    </row>
    <row r="76" s="3" customFormat="1" spans="1:6">
      <c r="A76" s="3">
        <f t="shared" si="4"/>
        <v>3012</v>
      </c>
      <c r="B76" s="3">
        <f>COUNTIF($C$1:C76,C76)</f>
        <v>12</v>
      </c>
      <c r="C76" s="3">
        <v>3</v>
      </c>
      <c r="D76" s="1">
        <f t="shared" si="2"/>
        <v>103012</v>
      </c>
      <c r="E76" s="3" t="s">
        <v>151</v>
      </c>
      <c r="F76" s="3" t="s">
        <v>152</v>
      </c>
    </row>
    <row r="77" s="3" customFormat="1" spans="1:6">
      <c r="A77" s="3">
        <f t="shared" si="4"/>
        <v>3013</v>
      </c>
      <c r="B77" s="3">
        <f>COUNTIF($C$1:C77,C77)</f>
        <v>13</v>
      </c>
      <c r="C77" s="3">
        <v>3</v>
      </c>
      <c r="D77" s="1">
        <f t="shared" si="2"/>
        <v>103013</v>
      </c>
      <c r="E77" s="3" t="s">
        <v>153</v>
      </c>
      <c r="F77" s="3" t="s">
        <v>154</v>
      </c>
    </row>
    <row r="78" s="3" customFormat="1" spans="1:6">
      <c r="A78" s="3">
        <f t="shared" si="4"/>
        <v>3014</v>
      </c>
      <c r="B78" s="3">
        <f>COUNTIF($C$1:C78,C78)</f>
        <v>14</v>
      </c>
      <c r="C78" s="3">
        <v>3</v>
      </c>
      <c r="D78" s="1">
        <f t="shared" si="2"/>
        <v>103014</v>
      </c>
      <c r="E78" s="3" t="s">
        <v>155</v>
      </c>
      <c r="F78" s="3" t="s">
        <v>156</v>
      </c>
    </row>
    <row r="79" s="3" customFormat="1" spans="1:6">
      <c r="A79" s="3">
        <f t="shared" si="4"/>
        <v>3015</v>
      </c>
      <c r="B79" s="3">
        <f>COUNTIF($C$1:C79,C79)</f>
        <v>15</v>
      </c>
      <c r="C79" s="3">
        <v>3</v>
      </c>
      <c r="D79" s="1">
        <f t="shared" si="2"/>
        <v>103015</v>
      </c>
      <c r="E79" s="3" t="s">
        <v>157</v>
      </c>
      <c r="F79" s="3" t="s">
        <v>158</v>
      </c>
    </row>
    <row r="80" s="3" customFormat="1" spans="1:6">
      <c r="A80" s="3">
        <f t="shared" si="4"/>
        <v>3016</v>
      </c>
      <c r="B80" s="3">
        <f>COUNTIF($C$1:C80,C80)</f>
        <v>16</v>
      </c>
      <c r="C80" s="3">
        <v>3</v>
      </c>
      <c r="D80" s="1">
        <f t="shared" si="2"/>
        <v>103016</v>
      </c>
      <c r="E80" s="3" t="s">
        <v>159</v>
      </c>
      <c r="F80" s="3" t="s">
        <v>160</v>
      </c>
    </row>
    <row r="81" s="3" customFormat="1" spans="1:6">
      <c r="A81" s="3">
        <f t="shared" si="4"/>
        <v>3017</v>
      </c>
      <c r="B81" s="3">
        <f>COUNTIF($C$1:C81,C81)</f>
        <v>17</v>
      </c>
      <c r="C81" s="3">
        <v>3</v>
      </c>
      <c r="D81" s="1">
        <f t="shared" si="2"/>
        <v>103017</v>
      </c>
      <c r="E81" s="3" t="s">
        <v>161</v>
      </c>
      <c r="F81" s="3" t="s">
        <v>162</v>
      </c>
    </row>
    <row r="82" s="3" customFormat="1" spans="1:6">
      <c r="A82" s="3">
        <f t="shared" si="4"/>
        <v>3018</v>
      </c>
      <c r="B82" s="3">
        <f>COUNTIF($C$1:C82,C82)</f>
        <v>18</v>
      </c>
      <c r="C82" s="3">
        <v>3</v>
      </c>
      <c r="D82" s="1">
        <f t="shared" si="2"/>
        <v>103018</v>
      </c>
      <c r="E82" s="3" t="s">
        <v>163</v>
      </c>
      <c r="F82" s="3" t="s">
        <v>164</v>
      </c>
    </row>
    <row r="83" s="3" customFormat="1" spans="1:6">
      <c r="A83" s="3">
        <f t="shared" si="4"/>
        <v>3019</v>
      </c>
      <c r="B83" s="3">
        <f>COUNTIF($C$1:C83,C83)</f>
        <v>19</v>
      </c>
      <c r="C83" s="3">
        <v>3</v>
      </c>
      <c r="D83" s="1">
        <f t="shared" si="2"/>
        <v>103019</v>
      </c>
      <c r="E83" s="3" t="s">
        <v>165</v>
      </c>
      <c r="F83" s="3" t="s">
        <v>166</v>
      </c>
    </row>
    <row r="84" s="3" customFormat="1" spans="1:6">
      <c r="A84" s="3">
        <f t="shared" si="4"/>
        <v>3020</v>
      </c>
      <c r="B84" s="3">
        <f>COUNTIF($C$1:C84,C84)</f>
        <v>20</v>
      </c>
      <c r="C84" s="3">
        <v>3</v>
      </c>
      <c r="D84" s="1">
        <f t="shared" si="2"/>
        <v>103020</v>
      </c>
      <c r="E84" s="3" t="s">
        <v>167</v>
      </c>
      <c r="F84" s="3" t="s">
        <v>168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2025-08-07T09:16:12Z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D6EDF24BFB604A76A66EBAFB2E38E833_12</vt:lpwstr>
  </property>
</Properties>
</file>