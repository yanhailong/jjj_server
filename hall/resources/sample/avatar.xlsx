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A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</t>
        </r>
      </text>
    </comment>
    <comment ref="K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A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
</t>
        </r>
      </text>
    </comment>
    <comment ref="K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<sst xmlns="http://schemas.openxmlformats.org/spreadsheetml/2006/main" count="262" uniqueCount="226">
  <si>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</si>
  <si>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</si>
  <si>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</si>
  <si>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</si>
  <si>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</si>
  <si>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</si>
  <si>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</si>
  <si>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</si>
  <si>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</si>
  <si>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</si>
  <si>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</si>
  <si>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</si>
  <si>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</si>
  <si>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</si>
  <si>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</si>
  <si>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</si>
  <si>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</si>
  <si>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</si>
  <si>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</si>
  <si>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</si>
  <si>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</si>
  <si>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</si>
  <si>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</si>
  <si>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</si>
  <si>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</si>
  <si>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</si>
  <si>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</si>
  <si>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</si>
  <si>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</si>
  <si>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</si>
  <si>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</si>
  <si>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</si>
  <si>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</si>
  <si>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</si>
  <si>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</si>
  <si>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</si>
  <si>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</si>
  <si>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</si>
  <si>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</si>
  <si>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</si>
  <si>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</si>
  <si>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</si>
  <si>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</si>
  <si>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</si>
  <si>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</si>
  <si>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</si>
  <si>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</si>
  <si>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</si>
  <si>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</si>
  <si>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</si>
  <si>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</si>
  <si>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</si>
  <si>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</si>
  <si>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</si>
  <si>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</si>
  <si>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</si>
  <si>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</si>
  <si>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</si>
  <si>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</si>
  <si>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</si>
  <si>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</si>
  <si>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</si>
  <si>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</si>
  <si>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</si>
  <si>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</si>
  <si>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</si>
  <si>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</si>
  <si>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</si>
  <si>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</si>
  <si>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</si>
  <si>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</si>
  <si>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</si>
  <si>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</si>
  <si>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</si>
  <si>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</si>
  <si>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</si>
  <si>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</si>
  <si>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</si>
  <si>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</si>
  <si>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</si>
  <si>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</si>
  <si>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</si>
  <si>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</si>
  <si>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</si>
  <si>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</si>
  <si>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</si>
  <si>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</si>
  <si>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</si>
  <si>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</si>
  <si>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</si>
  <si>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</si>
  <si>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</si>
  <si>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</si>
  <si>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</si>
  <si>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</si>
  <si>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</si>
  <si>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</si>
  <si>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</si>
  <si>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</si>
  <si>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</si>
  <si>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</si>
  <si>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1980000_1800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</si>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</sst>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7"/>
  <sheetViews>
    <sheetView tabSelected="1" zoomScale="85" zoomScaleNormal="85" workbookViewId="0">
      <pane ySplit="4" topLeftCell="A38" activePane="bottomLeft" state="frozen"/>
      <selection/>
      <selection pane="bottomLeft" activeCell="M58" sqref="M58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200017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200002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200018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200003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200019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200004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200020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200005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200021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200006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200022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200007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200023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200008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200024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200009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200025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200010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200026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200011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200027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200012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200028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200013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200029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200014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200030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200015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200031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200016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200014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200030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200015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200031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200016</v>
      </c>
      <c r="H48" s="2"/>
      <c r="I48" s="2" t="s">
        <v>101</v>
      </c>
      <c r="J48" s="2"/>
    </row>
    <row r="49" s="1" customFormat="1" spans="1:11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200032</v>
      </c>
      <c r="H49" s="2"/>
      <c r="I49" s="2" t="s">
        <v>101</v>
      </c>
      <c r="J49" s="2"/>
    </row>
    <row r="50" s="1" customFormat="1" spans="1:11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200033</v>
      </c>
      <c r="H50" s="2"/>
      <c r="I50" s="2" t="s">
        <v>101</v>
      </c>
      <c r="J50" s="2"/>
    </row>
    <row r="51" s="1" customFormat="1" spans="1:11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200034</v>
      </c>
      <c r="H51" s="2"/>
      <c r="I51" s="2" t="s">
        <v>101</v>
      </c>
      <c r="J51" s="2"/>
    </row>
    <row r="52" s="1" customFormat="1" spans="1:11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200035</v>
      </c>
      <c r="H52" s="2"/>
      <c r="I52" s="2" t="s">
        <v>101</v>
      </c>
      <c r="J52" s="2"/>
    </row>
    <row r="53" s="1" customFormat="1" spans="1:11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200036</v>
      </c>
      <c r="H53" s="2"/>
      <c r="I53" s="2" t="s">
        <v>101</v>
      </c>
      <c r="J53" s="2"/>
    </row>
    <row r="54" s="1" customFormat="1" spans="1:11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200037</v>
      </c>
      <c r="H54" s="2"/>
      <c r="I54" s="2" t="s">
        <v>101</v>
      </c>
      <c r="J54" s="2"/>
    </row>
    <row r="55" s="1" customFormat="1" spans="1:11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200038</v>
      </c>
      <c r="H55" s="2"/>
      <c r="I55" s="2" t="s">
        <v>101</v>
      </c>
      <c r="J55" s="2"/>
    </row>
    <row r="56" s="1" customFormat="1" spans="1:11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200039</v>
      </c>
      <c r="H56" s="2"/>
      <c r="I56" s="2" t="s">
        <v>101</v>
      </c>
      <c r="J56" s="2"/>
    </row>
    <row r="57" spans="1:11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1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50</v>
      </c>
    </row>
    <row r="59" spans="1:11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100</v>
      </c>
    </row>
    <row r="60" spans="1:11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200</v>
      </c>
    </row>
    <row r="61" s="1" customFormat="1" spans="1:11">
      <c r="A61" s="3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K61" s="1" t="s">
        <v>135</v>
      </c>
    </row>
    <row r="62" s="1" customFormat="1" spans="1:11">
      <c r="A62" s="3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K62" s="1" t="s">
        <v>138</v>
      </c>
    </row>
    <row r="63" spans="1:11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1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9">
      <c r="A76" s="1">
        <f t="shared" si="5"/>
        <v>2001</v>
      </c>
      <c r="B76" s="1">
        <f>COUNTIF($C$1:C76,C76)</f>
        <v>1</v>
      </c>
      <c r="C76" s="1">
        <v>2</v>
      </c>
      <c r="D76" s="1">
        <f t="shared" ref="D76:D107" si="6">100000+C76*1000+B76</f>
        <v>102001</v>
      </c>
      <c r="E76" s="1" t="s">
        <v>165</v>
      </c>
      <c r="F76" s="1" t="s">
        <v>166</v>
      </c>
      <c r="G76" s="1">
        <v>202001</v>
      </c>
    </row>
    <row r="77" s="1" customFormat="1" spans="1:9">
      <c r="A77" s="1">
        <f t="shared" si="5"/>
        <v>2002</v>
      </c>
      <c r="B77" s="1">
        <f>COUNTIF($C$1:C77,C77)</f>
        <v>2</v>
      </c>
      <c r="C77" s="1">
        <v>2</v>
      </c>
      <c r="D77" s="1">
        <f t="shared" si="6"/>
        <v>102002</v>
      </c>
      <c r="E77" s="1" t="s">
        <v>167</v>
      </c>
      <c r="F77" s="1" t="s">
        <v>168</v>
      </c>
      <c r="G77" s="1">
        <v>202002</v>
      </c>
    </row>
    <row r="78" s="1" customFormat="1" spans="1:9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</row>
    <row r="79" s="1" customFormat="1" spans="1:9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</row>
    <row r="80" s="1" customFormat="1" spans="1:9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</row>
    <row r="81" s="1" customFormat="1" spans="1:10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</row>
    <row r="82" s="1" customFormat="1" spans="1:10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</row>
    <row r="83" s="1" customFormat="1" spans="1:10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10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10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10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10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10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10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10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10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10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10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10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10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10">
      <c r="A96" s="1">
        <f t="shared" si="7"/>
        <v>3001</v>
      </c>
      <c r="B96" s="1">
        <f>COUNTIF($C$1:C96,C96)</f>
        <v>1</v>
      </c>
      <c r="C96" s="1">
        <v>3</v>
      </c>
      <c r="D96" s="1">
        <f t="shared" si="6"/>
        <v>103001</v>
      </c>
      <c r="E96" s="1" t="s">
        <v>205</v>
      </c>
      <c r="F96" s="1" t="s">
        <v>206</v>
      </c>
      <c r="G96" s="1">
        <v>203001</v>
      </c>
      <c r="H96" s="1"/>
      <c r="I96" s="1"/>
      <c r="J96" s="1">
        <v>3</v>
      </c>
    </row>
    <row r="97" s="1" customFormat="1" spans="1:10">
      <c r="A97" s="1">
        <f t="shared" si="7"/>
        <v>3002</v>
      </c>
      <c r="B97" s="1">
        <f>COUNTIF($C$1:C97,C97)</f>
        <v>2</v>
      </c>
      <c r="C97" s="1">
        <v>3</v>
      </c>
      <c r="D97" s="1">
        <f t="shared" si="6"/>
        <v>103002</v>
      </c>
      <c r="E97" s="1" t="s">
        <v>207</v>
      </c>
      <c r="F97" s="1" t="s">
        <v>208</v>
      </c>
      <c r="G97" s="1">
        <v>203002</v>
      </c>
      <c r="J97" s="1">
        <v>6</v>
      </c>
    </row>
    <row r="98" s="1" customFormat="1" spans="1:10">
      <c r="A98" s="1">
        <f t="shared" si="7"/>
        <v>3003</v>
      </c>
      <c r="B98" s="1">
        <f>COUNTIF($C$1:C98,C98)</f>
        <v>3</v>
      </c>
      <c r="C98" s="1">
        <v>3</v>
      </c>
      <c r="D98" s="1">
        <f t="shared" si="6"/>
        <v>103003</v>
      </c>
      <c r="E98" s="1" t="s">
        <v>209</v>
      </c>
      <c r="F98" s="1" t="s">
        <v>210</v>
      </c>
      <c r="G98" s="1">
        <v>203003</v>
      </c>
      <c r="J98" s="1">
        <v>9</v>
      </c>
    </row>
    <row r="99" s="1" customFormat="1" spans="1:10">
      <c r="A99" s="1">
        <f t="shared" si="7"/>
        <v>4001</v>
      </c>
      <c r="B99" s="1">
        <f>COUNTIF($C$1:C99,C99)</f>
        <v>1</v>
      </c>
      <c r="C99" s="1">
        <v>4</v>
      </c>
      <c r="D99" s="1">
        <f t="shared" si="6"/>
        <v>104001</v>
      </c>
      <c r="E99" s="1" t="s">
        <v>211</v>
      </c>
      <c r="F99" s="1" t="s">
        <v>212</v>
      </c>
      <c r="G99" s="1">
        <f t="shared" ref="G99:G108" si="8">200000+A99</f>
        <v>204001</v>
      </c>
    </row>
    <row r="100" s="1" customFormat="1" spans="1:10">
      <c r="A100" s="1">
        <f t="shared" si="7"/>
        <v>4002</v>
      </c>
      <c r="B100" s="1">
        <f>COUNTIF($C$1:C100,C100)</f>
        <v>2</v>
      </c>
      <c r="C100" s="1">
        <v>4</v>
      </c>
      <c r="D100" s="1">
        <f t="shared" si="6"/>
        <v>104002</v>
      </c>
      <c r="E100" s="1" t="s">
        <v>211</v>
      </c>
      <c r="F100" s="1" t="s">
        <v>213</v>
      </c>
      <c r="G100" s="1">
        <f t="shared" si="8"/>
        <v>204002</v>
      </c>
      <c r="J100" s="1">
        <v>6</v>
      </c>
    </row>
    <row r="101" s="1" customFormat="1" spans="1:10">
      <c r="A101" s="1">
        <f t="shared" si="7"/>
        <v>4003</v>
      </c>
      <c r="B101" s="1">
        <f>COUNTIF($C$1:C101,C101)</f>
        <v>3</v>
      </c>
      <c r="C101" s="1">
        <v>4</v>
      </c>
      <c r="D101" s="1">
        <f t="shared" si="6"/>
        <v>104003</v>
      </c>
      <c r="E101" s="1" t="s">
        <v>214</v>
      </c>
      <c r="F101" s="1" t="s">
        <v>215</v>
      </c>
      <c r="G101" s="1">
        <f t="shared" si="8"/>
        <v>204003</v>
      </c>
      <c r="J101" s="1">
        <v>9</v>
      </c>
    </row>
    <row r="102" s="1" customFormat="1" spans="1:10">
      <c r="A102" s="1">
        <f t="shared" ref="A102:A109" si="9">C102*1000+B102</f>
        <v>5001</v>
      </c>
      <c r="B102" s="1">
        <f>COUNTIF($C$1:C102,C102)</f>
        <v>1</v>
      </c>
      <c r="C102" s="1">
        <v>5</v>
      </c>
      <c r="D102" s="1">
        <f t="shared" ref="D102:D109" si="10">100000+C102*1000+B102</f>
        <v>105001</v>
      </c>
      <c r="E102" s="1" t="s">
        <v>216</v>
      </c>
      <c r="F102" s="1" t="s">
        <v>217</v>
      </c>
      <c r="G102" s="1">
        <f t="shared" si="8"/>
        <v>205001</v>
      </c>
    </row>
    <row r="103" s="1" customFormat="1" spans="1:10">
      <c r="A103" s="1">
        <f t="shared" si="9"/>
        <v>5002</v>
      </c>
      <c r="B103" s="1">
        <f>COUNTIF($C$1:C103,C103)</f>
        <v>2</v>
      </c>
      <c r="C103" s="1">
        <v>5</v>
      </c>
      <c r="D103" s="1">
        <f t="shared" si="10"/>
        <v>105002</v>
      </c>
      <c r="E103" s="1" t="s">
        <v>216</v>
      </c>
      <c r="F103" s="1" t="s">
        <v>218</v>
      </c>
      <c r="G103" s="1">
        <f t="shared" si="8"/>
        <v>205002</v>
      </c>
      <c r="J103" s="1">
        <v>6</v>
      </c>
    </row>
    <row r="104" s="1" customFormat="1" spans="1:10">
      <c r="A104" s="1">
        <f t="shared" si="9"/>
        <v>5003</v>
      </c>
      <c r="B104" s="1">
        <f>COUNTIF($C$1:C104,C104)</f>
        <v>3</v>
      </c>
      <c r="C104" s="1">
        <v>5</v>
      </c>
      <c r="D104" s="1">
        <f t="shared" si="10"/>
        <v>105003</v>
      </c>
      <c r="E104" s="1" t="s">
        <v>219</v>
      </c>
      <c r="F104" s="1" t="s">
        <v>220</v>
      </c>
      <c r="G104" s="1">
        <f t="shared" si="8"/>
        <v>205003</v>
      </c>
      <c r="J104" s="1">
        <v>9</v>
      </c>
    </row>
    <row r="105" s="1" customFormat="1" spans="1:10">
      <c r="A105" s="1">
        <f t="shared" si="9"/>
        <v>6001</v>
      </c>
      <c r="B105" s="1">
        <f>COUNTIF($C$1:C105,C105)</f>
        <v>1</v>
      </c>
      <c r="C105" s="1">
        <v>6</v>
      </c>
      <c r="D105" s="1">
        <f t="shared" si="10"/>
        <v>106001</v>
      </c>
      <c r="E105" s="1" t="s">
        <v>221</v>
      </c>
      <c r="F105" s="1" t="s">
        <v>222</v>
      </c>
      <c r="G105" s="1">
        <f t="shared" si="8"/>
        <v>206001</v>
      </c>
    </row>
    <row r="106" s="1" customFormat="1" spans="1:10">
      <c r="A106" s="1">
        <f t="shared" si="9"/>
        <v>6002</v>
      </c>
      <c r="B106" s="1">
        <f>COUNTIF($C$1:C106,C106)</f>
        <v>2</v>
      </c>
      <c r="C106" s="1">
        <v>6</v>
      </c>
      <c r="D106" s="1">
        <f t="shared" si="10"/>
        <v>106002</v>
      </c>
      <c r="E106" s="1" t="s">
        <v>221</v>
      </c>
      <c r="F106" s="1" t="s">
        <v>223</v>
      </c>
      <c r="G106" s="1">
        <f t="shared" si="8"/>
        <v>206002</v>
      </c>
      <c r="J106" s="1">
        <v>6</v>
      </c>
    </row>
    <row r="107" s="1" customFormat="1" spans="1:10">
      <c r="A107" s="1">
        <f t="shared" si="9"/>
        <v>6003</v>
      </c>
      <c r="B107" s="1">
        <f>COUNTIF($C$1:C107,C107)</f>
        <v>3</v>
      </c>
      <c r="C107" s="1">
        <v>6</v>
      </c>
      <c r="D107" s="1">
        <f t="shared" si="10"/>
        <v>106003</v>
      </c>
      <c r="E107" s="1" t="s">
        <v>224</v>
      </c>
      <c r="F107" s="1" t="s">
        <v>225</v>
      </c>
      <c r="G107" s="1">
        <f t="shared" si="8"/>
        <v>206003</v>
      </c>
      <c r="J107" s="1">
        <v>9</v>
      </c>
    </row>
  </sheetData>
  <conditionalFormatting sqref="F53">
    <cfRule type="duplicateValues" dxfId="0" priority="1"/>
  </conditionalFormatting>
  <conditionalFormatting sqref="F1:F52 F54:F1048576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2025-11-11T10:34:36Z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