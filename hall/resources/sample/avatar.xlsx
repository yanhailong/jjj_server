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<sst xmlns="http://schemas.openxmlformats.org/spreadsheetml/2006/main" count="268" uniqueCount="232">
  <si>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</si>
  <si>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</si>
  <si>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</si>
  <si>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</si>
  <si>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</si>
  <si>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</si>
  <si>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</si>
  <si>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</si>
  <si>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</si>
  <si>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</si>
  <si>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</si>
  <si>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</si>
  <si>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</si>
  <si>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</si>
  <si>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</si>
  <si>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</si>
  <si>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</si>
  <si>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</si>
  <si>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</si>
  <si>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</si>
  <si>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</si>
  <si>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</si>
  <si>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</si>
  <si>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</si>
  <si>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</si>
  <si>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</si>
  <si>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</si>
  <si>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</si>
  <si>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</si>
  <si>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</si>
  <si>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</si>
  <si>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</si>
  <si>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</si>
  <si>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</si>
  <si>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</si>
  <si>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</si>
  <si>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</si>
  <si>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</si>
  <si>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</si>
  <si>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</si>
  <si>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</si>
  <si>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</si>
  <si>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</si>
  <si>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</si>
  <si>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</si>
  <si>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</si>
  <si>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</si>
  <si>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</si>
  <si>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</si>
  <si>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</si>
  <si>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</si>
  <si>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</si>
  <si>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</si>
  <si>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</si>
  <si>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</si>
  <si>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</si>
  <si>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</si>
  <si>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</si>
  <si>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</si>
  <si>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</si>
  <si>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</si>
  <si>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</si>
  <si>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</si>
  <si>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</si>
  <si>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</si>
  <si>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</si>
  <si>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</si>
  <si>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</si>
  <si>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</si>
  <si>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</si>
  <si>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</si>
  <si>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</si>
  <si>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</si>
  <si>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</si>
  <si>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</si>
  <si>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</si>
  <si>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</si>
  <si>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</si>
  <si>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</si>
  <si>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</si>
  <si>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</si>
  <si>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</si>
  <si>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</si>
  <si>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</si>
  <si>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</si>
  <si>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</si>
  <si>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</si>
  <si>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</si>
  <si>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</si>
  <si>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</si>
  <si>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</si>
  <si>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</si>
  <si>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</si>
  <si>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</si>
  <si>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</si>
  <si>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</si>
  <si>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</si>
  <si>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</si>
  <si>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</si>
  <si>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</si>
  <si>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</si>
  <si>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</si>
  <si>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</si>
  <si>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</si>
  <si>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</si>
  <si>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</si>
  <si>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</si>
  <si>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</si>
  <si>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</si>
  <si>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</si>
  <si>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</si>
  <si>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</si>
  <si>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</si>
  <si>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</si>
  <si>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</si>
  <si>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</si>
  <si>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</si>
  <si>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</si>
  <si>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</si>
  <si>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</si>
  <si>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</si>
  <si>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</si>
  <si>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</si>
  <si>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</si>
  <si>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</si>
  <si>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</si>
  <si>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</si>
  <si>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</si>
  <si>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</si>
  <si>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</si>
  <si>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</si>
  <si>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</si>
  <si>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</si>
  <si>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</si>
  <si>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</si>
  <si>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</si>
  <si>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</si>
  <si>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</si>
  <si>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</si>
  <si>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</si>
  <si>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</si>
  <si>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</si>
  <si>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</si>
  <si>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</si>
  <si>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</si>
  <si>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</si>
  <si>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</si>
  <si>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</si>
  <si>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</si>
  <si>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</si>
  <si>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</si>
  <si>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</si>
  <si>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</si>
  <si>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</si>
  <si>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</si>
  <si>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</si>
  <si>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</si>
  <si>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</si>
  <si>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</si>
  <si>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</si>
  <si>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</si>
  <si>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</si>
  <si>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</si>
  <si>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</si>
  <si>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</si>
  <si>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国旗23</t>
  </si>
  <si>
    <t>Flag_023.png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</si>
  <si>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</si>
  <si>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</si>
  <si>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</si>
  <si>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</si>
  <si>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</si>
  <si>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</si>
  <si>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</si>
  <si>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</si>
  <si>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</si>
  <si>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</si>
  <si>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</si>
  <si>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</si>
  <si>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</si>
  <si>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</si>
  <si>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</si>
  <si>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</si>
  <si>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</si>
  <si>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</si>
  <si>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</si>
  <si>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</si>
  <si>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</si>
  <si>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</si>
  <si>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</si>
  <si>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</si>
  <si>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</si>
  <si>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</si>
  <si>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</si>
  <si>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</si>
  <si>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</si>
  <si>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</si>
  <si>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</si>
  <si>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</si>
  <si>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</si>
  <si>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</si>
  <si>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</si>
  <si>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</si>
  <si>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</si>
  <si>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</si>
  <si>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国旗21</t>
  </si>
  <si>
    <t>Flag_021.png</t>
  </si>
  <si>
    <t>国旗22</t>
  </si>
  <si>
    <t>Flag_022.png</t>
  </si>
  <si>
    <t>国旗1</t>
  </si>
  <si>
    <t>Flag_001.png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</si>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</sst>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sz val="11"/>
      <color rgb="FF00B0F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  <xf numFmtId="0" fontId="3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0"/>
  <sheetViews>
    <sheetView tabSelected="1" zoomScale="85" zoomScaleNormal="85" workbookViewId="0">
      <pane ySplit="4" topLeftCell="A68" activePane="bottomLeft" state="frozen"/>
      <selection/>
      <selection pane="bottomLeft" activeCell="J92" sqref="J92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200002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200003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200004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200005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200006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200007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200008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200009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200010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200011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200012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200013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200014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200015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200016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200017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200018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200019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200020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200021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200022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200023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200024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200025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200026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200027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200028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200029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200030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200031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200040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200041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200042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200043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200044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200045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200046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200047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200048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200049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200050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200051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200052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4">
        <v>102023</v>
      </c>
      <c r="E76" s="4" t="s">
        <v>165</v>
      </c>
      <c r="F76" s="4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ref="D76:D107" si="6">100000+C77*1000+B77</f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7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7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7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7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7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7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7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7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7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7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7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7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7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7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7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7">
      <c r="A96" s="1">
        <v>2021</v>
      </c>
      <c r="B96" s="1">
        <v>21</v>
      </c>
      <c r="C96" s="1">
        <v>2</v>
      </c>
      <c r="D96" s="1">
        <f t="shared" si="6"/>
        <v>102021</v>
      </c>
      <c r="E96" s="1" t="s">
        <v>205</v>
      </c>
      <c r="F96" s="1" t="s">
        <v>206</v>
      </c>
      <c r="G96" s="1">
        <v>202021</v>
      </c>
    </row>
    <row r="97" s="1" customFormat="1" spans="1:10">
      <c r="A97" s="1">
        <v>2022</v>
      </c>
      <c r="B97" s="1">
        <v>22</v>
      </c>
      <c r="C97" s="1">
        <v>2</v>
      </c>
      <c r="D97" s="1">
        <f t="shared" si="6"/>
        <v>102022</v>
      </c>
      <c r="E97" s="1" t="s">
        <v>207</v>
      </c>
      <c r="F97" s="1" t="s">
        <v>208</v>
      </c>
      <c r="G97" s="1">
        <v>202022</v>
      </c>
    </row>
    <row r="98" s="1" customFormat="1" spans="1:10">
      <c r="A98" s="1">
        <v>2023</v>
      </c>
      <c r="B98" s="1">
        <v>23</v>
      </c>
      <c r="C98" s="1">
        <v>2</v>
      </c>
      <c r="D98" s="4">
        <v>102001</v>
      </c>
      <c r="E98" s="4" t="s">
        <v>209</v>
      </c>
      <c r="F98" s="4" t="s">
        <v>210</v>
      </c>
      <c r="G98" s="1">
        <v>202023</v>
      </c>
    </row>
    <row r="99" s="1" customFormat="1" spans="1:10">
      <c r="A99" s="1">
        <f t="shared" ref="A99:A104" si="8">C99*1000+B99</f>
        <v>3001</v>
      </c>
      <c r="B99" s="1">
        <f>COUNTIF($C$1:C99,C99)</f>
        <v>1</v>
      </c>
      <c r="C99" s="1">
        <v>3</v>
      </c>
      <c r="D99" s="1">
        <f t="shared" si="6"/>
        <v>103001</v>
      </c>
      <c r="E99" s="1" t="s">
        <v>211</v>
      </c>
      <c r="F99" s="1" t="s">
        <v>212</v>
      </c>
      <c r="G99" s="1">
        <v>2031600</v>
      </c>
      <c r="H99" s="1"/>
      <c r="I99" s="1"/>
      <c r="J99" s="1">
        <v>3</v>
      </c>
    </row>
    <row r="100" s="1" customFormat="1" spans="1:10">
      <c r="A100" s="1">
        <f t="shared" si="8"/>
        <v>3002</v>
      </c>
      <c r="B100" s="1">
        <f>COUNTIF($C$1:C100,C100)</f>
        <v>2</v>
      </c>
      <c r="C100" s="1">
        <v>3</v>
      </c>
      <c r="D100" s="1">
        <f t="shared" si="6"/>
        <v>103002</v>
      </c>
      <c r="E100" s="1" t="s">
        <v>213</v>
      </c>
      <c r="F100" s="1" t="s">
        <v>214</v>
      </c>
      <c r="G100" s="1">
        <v>2031601</v>
      </c>
      <c r="J100" s="1">
        <v>6</v>
      </c>
    </row>
    <row r="101" s="1" customFormat="1" spans="1:10">
      <c r="A101" s="1">
        <f t="shared" si="8"/>
        <v>3003</v>
      </c>
      <c r="B101" s="1">
        <f>COUNTIF($C$1:C101,C101)</f>
        <v>3</v>
      </c>
      <c r="C101" s="1">
        <v>3</v>
      </c>
      <c r="D101" s="1">
        <f t="shared" si="6"/>
        <v>103003</v>
      </c>
      <c r="E101" s="1" t="s">
        <v>215</v>
      </c>
      <c r="F101" s="1" t="s">
        <v>216</v>
      </c>
      <c r="G101" s="1">
        <v>2031602</v>
      </c>
      <c r="J101" s="1">
        <v>9</v>
      </c>
    </row>
    <row r="102" s="1" customFormat="1" spans="1:10">
      <c r="A102" s="1">
        <f t="shared" si="8"/>
        <v>4001</v>
      </c>
      <c r="B102" s="1">
        <f>COUNTIF($C$1:C102,C102)</f>
        <v>1</v>
      </c>
      <c r="C102" s="1">
        <v>4</v>
      </c>
      <c r="D102" s="1">
        <f t="shared" si="6"/>
        <v>104001</v>
      </c>
      <c r="E102" s="1" t="s">
        <v>217</v>
      </c>
      <c r="F102" s="1" t="s">
        <v>218</v>
      </c>
      <c r="G102" s="1">
        <f>200000+A102</f>
        <v>204001</v>
      </c>
    </row>
    <row r="103" s="1" customFormat="1" spans="1:10">
      <c r="A103" s="1">
        <f t="shared" si="8"/>
        <v>4002</v>
      </c>
      <c r="B103" s="1">
        <f>COUNTIF($C$1:C103,C103)</f>
        <v>2</v>
      </c>
      <c r="C103" s="1">
        <v>4</v>
      </c>
      <c r="D103" s="1">
        <f t="shared" si="6"/>
        <v>104002</v>
      </c>
      <c r="E103" s="1" t="s">
        <v>217</v>
      </c>
      <c r="F103" s="1" t="s">
        <v>219</v>
      </c>
      <c r="G103" s="1">
        <v>2031801</v>
      </c>
      <c r="J103" s="1">
        <v>4</v>
      </c>
    </row>
    <row r="104" s="1" customFormat="1" spans="1:10">
      <c r="A104" s="1">
        <f t="shared" si="8"/>
        <v>4003</v>
      </c>
      <c r="B104" s="1">
        <f>COUNTIF($C$1:C104,C104)</f>
        <v>3</v>
      </c>
      <c r="C104" s="1">
        <v>4</v>
      </c>
      <c r="D104" s="1">
        <f t="shared" si="6"/>
        <v>104003</v>
      </c>
      <c r="E104" s="1" t="s">
        <v>220</v>
      </c>
      <c r="F104" s="1" t="s">
        <v>221</v>
      </c>
      <c r="G104" s="1">
        <v>2031802</v>
      </c>
      <c r="J104" s="1">
        <v>7</v>
      </c>
    </row>
    <row r="105" s="1" customFormat="1" spans="1:10">
      <c r="A105" s="1">
        <f t="shared" ref="A105:A112" si="9">C105*1000+B105</f>
        <v>5001</v>
      </c>
      <c r="B105" s="1">
        <f>COUNTIF($C$1:C105,C105)</f>
        <v>1</v>
      </c>
      <c r="C105" s="1">
        <v>5</v>
      </c>
      <c r="D105" s="1">
        <f t="shared" ref="D105:D112" si="10">100000+C105*1000+B105</f>
        <v>105001</v>
      </c>
      <c r="E105" s="1" t="s">
        <v>222</v>
      </c>
      <c r="F105" s="1" t="s">
        <v>223</v>
      </c>
      <c r="G105" s="1">
        <f>200000+A105</f>
        <v>205001</v>
      </c>
    </row>
    <row r="106" s="1" customFormat="1" spans="1:10">
      <c r="A106" s="1">
        <f t="shared" si="9"/>
        <v>5002</v>
      </c>
      <c r="B106" s="1">
        <f>COUNTIF($C$1:C106,C106)</f>
        <v>2</v>
      </c>
      <c r="C106" s="1">
        <v>5</v>
      </c>
      <c r="D106" s="1">
        <f t="shared" si="10"/>
        <v>105002</v>
      </c>
      <c r="E106" s="1" t="s">
        <v>222</v>
      </c>
      <c r="F106" s="1" t="s">
        <v>224</v>
      </c>
      <c r="G106" s="1">
        <v>2032001</v>
      </c>
      <c r="J106" s="1">
        <v>5</v>
      </c>
    </row>
    <row r="107" s="1" customFormat="1" spans="1:10">
      <c r="A107" s="1">
        <f t="shared" si="9"/>
        <v>5003</v>
      </c>
      <c r="B107" s="1">
        <f>COUNTIF($C$1:C107,C107)</f>
        <v>3</v>
      </c>
      <c r="C107" s="1">
        <v>5</v>
      </c>
      <c r="D107" s="1">
        <f t="shared" si="10"/>
        <v>105003</v>
      </c>
      <c r="E107" s="1" t="s">
        <v>225</v>
      </c>
      <c r="F107" s="1" t="s">
        <v>226</v>
      </c>
      <c r="G107" s="1">
        <v>2032002</v>
      </c>
      <c r="J107" s="1">
        <v>8</v>
      </c>
    </row>
    <row r="108" s="1" customFormat="1" spans="1:10">
      <c r="A108" s="1">
        <f t="shared" si="9"/>
        <v>6001</v>
      </c>
      <c r="B108" s="1">
        <f>COUNTIF($C$1:C108,C108)</f>
        <v>1</v>
      </c>
      <c r="C108" s="1">
        <v>6</v>
      </c>
      <c r="D108" s="1">
        <f t="shared" si="10"/>
        <v>106001</v>
      </c>
      <c r="E108" s="1" t="s">
        <v>227</v>
      </c>
      <c r="F108" s="1" t="s">
        <v>228</v>
      </c>
      <c r="G108" s="1">
        <f>200000+A108</f>
        <v>206001</v>
      </c>
    </row>
    <row r="109" s="1" customFormat="1" spans="1:10">
      <c r="A109" s="1">
        <f t="shared" si="9"/>
        <v>6002</v>
      </c>
      <c r="B109" s="1">
        <f>COUNTIF($C$1:C109,C109)</f>
        <v>2</v>
      </c>
      <c r="C109" s="1">
        <v>6</v>
      </c>
      <c r="D109" s="1">
        <f t="shared" si="10"/>
        <v>106002</v>
      </c>
      <c r="E109" s="1" t="s">
        <v>227</v>
      </c>
      <c r="F109" s="1" t="s">
        <v>229</v>
      </c>
      <c r="G109" s="1">
        <v>2032201</v>
      </c>
      <c r="J109" s="1">
        <v>6</v>
      </c>
    </row>
    <row r="110" s="1" customFormat="1" spans="1:10">
      <c r="A110" s="1">
        <f t="shared" si="9"/>
        <v>6003</v>
      </c>
      <c r="B110" s="1">
        <f>COUNTIF($C$1:C110,C110)</f>
        <v>3</v>
      </c>
      <c r="C110" s="1">
        <v>6</v>
      </c>
      <c r="D110" s="1">
        <f t="shared" si="10"/>
        <v>106003</v>
      </c>
      <c r="E110" s="1" t="s">
        <v>230</v>
      </c>
      <c r="F110" s="1" t="s">
        <v>231</v>
      </c>
      <c r="G110" s="1">
        <v>2032202</v>
      </c>
      <c r="J110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2025-12-26T10:35:55Z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D6EDF24BFB604A76A66EBAFB2E38E833_12</vt:lpwstr>
  </property>
  <property fmtid="{D5CDD505-2E9C-101B-9397-08002B2CF9AE}" pid="4" name="CalculationRule">
    <vt:i4>0</vt:i4>
  </property>
</Properties>
</file>