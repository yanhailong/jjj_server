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K6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<sst xmlns="http://schemas.openxmlformats.org/spreadsheetml/2006/main" count="265" uniqueCount="229">
  <si>
    <t>id</t>
  </si>
  <si>
    <t>类型</t>
  </si>
  <si>
    <t>资源名称</t>
  </si>
  <si>
    <t>美术资源名称与路径</t>
  </si>
  <si>
    <t>资源描述</t>
  </si>
  <si>
    <t>等级</t>
  </si>
  <si>
    <t>货币购买</t>
  </si>
  <si>
    <t>VIP条件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</si>
  <si>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</si>
  <si>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</si>
  <si>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</si>
  <si>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</si>
  <si>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</si>
  <si>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</si>
  <si>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</si>
  <si>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</si>
  <si>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</si>
  <si>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</si>
  <si>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</si>
  <si>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</si>
  <si>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</si>
  <si>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</si>
  <si>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</si>
  <si>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</si>
  <si>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</si>
  <si>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</si>
  <si>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</si>
  <si>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</si>
  <si>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</si>
  <si>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</si>
  <si>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</si>
  <si>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</si>
  <si>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</si>
  <si>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</si>
  <si>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</si>
  <si>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</si>
  <si>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</si>
  <si>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</si>
  <si>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</si>
  <si>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</si>
  <si>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</si>
  <si>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</si>
  <si>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</si>
  <si>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</si>
  <si>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</si>
  <si>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</si>
  <si>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</si>
  <si>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</si>
  <si>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</si>
  <si>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</si>
  <si>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</si>
  <si>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</si>
  <si>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</si>
  <si>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</si>
  <si>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</si>
  <si>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</si>
  <si>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</si>
  <si>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</si>
  <si>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</si>
  <si>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</si>
  <si>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</si>
  <si>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</si>
  <si>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</si>
  <si>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</si>
  <si>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</si>
  <si>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</si>
  <si>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</si>
  <si>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</si>
  <si>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</si>
  <si>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</si>
  <si>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</si>
  <si>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</si>
  <si>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</si>
  <si>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</si>
  <si>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</si>
  <si>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</si>
  <si>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</si>
  <si>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</si>
  <si>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</si>
  <si>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</si>
  <si>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</si>
  <si>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</si>
  <si>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</si>
  <si>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</si>
  <si>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</si>
  <si>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</si>
  <si>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</si>
  <si>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</si>
  <si>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</si>
  <si>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</si>
  <si>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</si>
  <si>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</si>
  <si>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</si>
  <si>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</si>
  <si>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</si>
  <si>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</si>
  <si>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</si>
  <si>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</si>
  <si>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</si>
  <si>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</si>
  <si>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</si>
  <si>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1980000_1500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</si>
  <si>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</si>
  <si>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</si>
  <si>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</si>
  <si>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</si>
  <si>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</si>
  <si>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</si>
  <si>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</si>
  <si>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</si>
  <si>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</si>
  <si>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</si>
  <si>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</si>
  <si>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</si>
  <si>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</si>
  <si>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</si>
  <si>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</si>
  <si>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</si>
  <si>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头像49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</si>
  <si>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</si>
  <si>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</si>
  <si>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</si>
  <si>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</si>
  <si>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</si>
  <si>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</si>
  <si>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</si>
  <si>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</si>
  <si>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</si>
  <si>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</si>
  <si>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</si>
  <si>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</si>
  <si>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</si>
  <si>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</si>
  <si>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</si>
  <si>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</si>
  <si>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</si>
  <si>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头像框-每日奖金</t>
  </si>
  <si>
    <t>frame_801.png</t>
  </si>
  <si>
    <t>1_3_UIDailyBonus</t>
  </si>
  <si>
    <t>头像框-首充专属</t>
  </si>
  <si>
    <t>frame_018.png</t>
  </si>
  <si>
    <t>2_101_UIDailyBonus</t>
  </si>
  <si>
    <t>首充界面是什么？？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</si>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</sst>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8"/>
  <sheetViews>
    <sheetView tabSelected="1" zoomScale="85" zoomScaleNormal="85" workbookViewId="0">
      <pane ySplit="4" topLeftCell="A47" activePane="bottomLeft" state="frozen"/>
      <selection/>
      <selection pane="bottomLeft" activeCell="L71" sqref="L71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8.875" style="1" customWidth="1"/>
    <col min="11" max="11" width="18.225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38" si="1">100000+C6*1000+B6</f>
        <v>100002</v>
      </c>
      <c r="E6" s="1" t="s">
        <v>23</v>
      </c>
      <c r="F6" s="1" t="s">
        <v>24</v>
      </c>
      <c r="G6" s="1">
        <v>200017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200002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200018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200003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200019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200004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200020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200005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200021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200006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200022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200007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200023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200008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200024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200009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200025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200010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200026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200011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200027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200012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200028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200013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200029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200014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200030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200015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200031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200016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1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ref="D39:D76" si="3">100000+C39*1000+B39</f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3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3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3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3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3"/>
        <v>100040</v>
      </c>
      <c r="E44" s="2" t="s">
        <v>99</v>
      </c>
      <c r="F44" s="2" t="s">
        <v>100</v>
      </c>
      <c r="G44" s="2">
        <v>200014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3"/>
        <v>100041</v>
      </c>
      <c r="E45" s="2" t="s">
        <v>102</v>
      </c>
      <c r="F45" s="2" t="s">
        <v>103</v>
      </c>
      <c r="G45" s="2">
        <v>200030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3"/>
        <v>100042</v>
      </c>
      <c r="E46" s="2" t="s">
        <v>104</v>
      </c>
      <c r="F46" s="2" t="s">
        <v>105</v>
      </c>
      <c r="G46" s="2">
        <v>200015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3"/>
        <v>100043</v>
      </c>
      <c r="E47" s="2" t="s">
        <v>106</v>
      </c>
      <c r="F47" s="2" t="s">
        <v>107</v>
      </c>
      <c r="G47" s="2">
        <v>200031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si="3"/>
        <v>100044</v>
      </c>
      <c r="E48" s="2" t="s">
        <v>108</v>
      </c>
      <c r="F48" s="2" t="s">
        <v>109</v>
      </c>
      <c r="G48" s="2">
        <v>200016</v>
      </c>
      <c r="H48" s="2"/>
      <c r="I48" s="2" t="s">
        <v>101</v>
      </c>
      <c r="J48" s="2"/>
    </row>
    <row r="49" s="1" customFormat="1" spans="1:12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200032</v>
      </c>
      <c r="H49" s="2"/>
      <c r="I49" s="2" t="s">
        <v>101</v>
      </c>
      <c r="J49" s="2"/>
    </row>
    <row r="50" s="1" customFormat="1" spans="1:12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200033</v>
      </c>
      <c r="H50" s="2"/>
      <c r="I50" s="2" t="s">
        <v>101</v>
      </c>
      <c r="J50" s="2"/>
    </row>
    <row r="51" s="1" customFormat="1" spans="1:12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200034</v>
      </c>
      <c r="H51" s="2"/>
      <c r="I51" s="2" t="s">
        <v>101</v>
      </c>
      <c r="J51" s="2"/>
    </row>
    <row r="52" s="1" customFormat="1" spans="1:12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200035</v>
      </c>
      <c r="H52" s="2"/>
      <c r="I52" s="2" t="s">
        <v>101</v>
      </c>
      <c r="J52" s="2"/>
    </row>
    <row r="53" s="1" customFormat="1" spans="1:12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118</v>
      </c>
      <c r="F53" s="2" t="s">
        <v>119</v>
      </c>
      <c r="G53" s="2">
        <v>200036</v>
      </c>
      <c r="H53" s="2"/>
      <c r="I53" s="2" t="s">
        <v>101</v>
      </c>
      <c r="J53" s="2"/>
    </row>
    <row r="54" s="1" customFormat="1" spans="1:12">
      <c r="A54" s="2">
        <f t="shared" si="2"/>
        <v>50</v>
      </c>
      <c r="B54" s="2">
        <f>COUNTIF($C$1:C54,C54)</f>
        <v>50</v>
      </c>
      <c r="C54" s="2">
        <v>0</v>
      </c>
      <c r="D54" s="2">
        <f t="shared" si="3"/>
        <v>100050</v>
      </c>
      <c r="E54" s="2" t="s">
        <v>120</v>
      </c>
      <c r="F54" s="2" t="s">
        <v>121</v>
      </c>
      <c r="G54" s="2">
        <v>200037</v>
      </c>
      <c r="H54" s="2"/>
      <c r="I54" s="2" t="s">
        <v>101</v>
      </c>
      <c r="J54" s="2"/>
    </row>
    <row r="55" s="1" customFormat="1" spans="1:12">
      <c r="A55" s="2">
        <f t="shared" si="2"/>
        <v>51</v>
      </c>
      <c r="B55" s="2">
        <f>COUNTIF($C$1:C55,C55)</f>
        <v>51</v>
      </c>
      <c r="C55" s="2">
        <v>0</v>
      </c>
      <c r="D55" s="2">
        <f t="shared" si="3"/>
        <v>100051</v>
      </c>
      <c r="E55" s="2" t="s">
        <v>122</v>
      </c>
      <c r="F55" s="2" t="s">
        <v>123</v>
      </c>
      <c r="G55" s="2">
        <v>200038</v>
      </c>
      <c r="H55" s="2"/>
      <c r="I55" s="2" t="s">
        <v>101</v>
      </c>
      <c r="J55" s="2"/>
    </row>
    <row r="56" s="1" customFormat="1" spans="1:12">
      <c r="A56" s="2">
        <f t="shared" si="2"/>
        <v>52</v>
      </c>
      <c r="B56" s="2">
        <f>COUNTIF($C$1:C56,C56)</f>
        <v>52</v>
      </c>
      <c r="C56" s="2">
        <v>0</v>
      </c>
      <c r="D56" s="2">
        <f t="shared" si="3"/>
        <v>100052</v>
      </c>
      <c r="E56" s="2" t="s">
        <v>124</v>
      </c>
      <c r="F56" s="2" t="s">
        <v>125</v>
      </c>
      <c r="G56" s="2">
        <v>200039</v>
      </c>
      <c r="H56" s="2"/>
      <c r="I56" s="2" t="s">
        <v>101</v>
      </c>
      <c r="J56" s="2"/>
    </row>
    <row r="57" spans="1:12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3"/>
        <v>101001</v>
      </c>
      <c r="E57" s="1" t="s">
        <v>126</v>
      </c>
      <c r="F57" s="1" t="s">
        <v>127</v>
      </c>
      <c r="G57" s="1">
        <v>201001</v>
      </c>
    </row>
    <row r="58" spans="1:12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3"/>
        <v>101002</v>
      </c>
      <c r="E58" s="1" t="s">
        <v>128</v>
      </c>
      <c r="F58" s="1" t="s">
        <v>129</v>
      </c>
      <c r="G58" s="1">
        <v>201002</v>
      </c>
      <c r="H58" s="1">
        <v>50</v>
      </c>
    </row>
    <row r="59" spans="1:12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3"/>
        <v>101003</v>
      </c>
      <c r="E59" s="1" t="s">
        <v>130</v>
      </c>
      <c r="F59" s="1" t="s">
        <v>131</v>
      </c>
      <c r="G59" s="1">
        <v>201003</v>
      </c>
      <c r="J59" s="1">
        <v>4</v>
      </c>
    </row>
    <row r="60" spans="1:12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3"/>
        <v>101004</v>
      </c>
      <c r="E60" s="1" t="s">
        <v>132</v>
      </c>
      <c r="F60" s="1" t="s">
        <v>133</v>
      </c>
      <c r="G60" s="1">
        <v>201004</v>
      </c>
      <c r="J60" s="1">
        <v>6</v>
      </c>
    </row>
    <row r="61" spans="1:12">
      <c r="A61" s="1">
        <f t="shared" ref="A61:A63" si="4">C61*1000+B61</f>
        <v>1005</v>
      </c>
      <c r="B61" s="1">
        <f>COUNTIF($C$1:C61,C61)</f>
        <v>5</v>
      </c>
      <c r="C61" s="1">
        <v>1</v>
      </c>
      <c r="D61" s="1">
        <f t="shared" si="3"/>
        <v>101005</v>
      </c>
      <c r="E61" s="1" t="s">
        <v>134</v>
      </c>
      <c r="F61" s="1" t="s">
        <v>135</v>
      </c>
      <c r="G61" s="1">
        <v>201005</v>
      </c>
      <c r="J61" s="1">
        <v>8</v>
      </c>
    </row>
    <row r="62" s="1" customFormat="1" spans="1:12">
      <c r="A62" s="1">
        <f t="shared" si="4"/>
        <v>1006</v>
      </c>
      <c r="B62" s="1">
        <f>COUNTIF($C$1:C62,C62)</f>
        <v>6</v>
      </c>
      <c r="C62" s="1">
        <v>1</v>
      </c>
      <c r="D62" s="1">
        <f t="shared" si="3"/>
        <v>101006</v>
      </c>
      <c r="E62" s="1" t="s">
        <v>136</v>
      </c>
      <c r="F62" s="1" t="s">
        <v>137</v>
      </c>
      <c r="G62" s="1">
        <v>201801</v>
      </c>
      <c r="K62" s="1" t="s">
        <v>138</v>
      </c>
    </row>
    <row r="63" s="1" customFormat="1" spans="1:12">
      <c r="A63" s="1">
        <f t="shared" si="4"/>
        <v>1007</v>
      </c>
      <c r="B63" s="1">
        <f>COUNTIF($C$1:C63,C63)</f>
        <v>7</v>
      </c>
      <c r="C63" s="1">
        <v>1</v>
      </c>
      <c r="D63" s="1">
        <f t="shared" si="3"/>
        <v>101007</v>
      </c>
      <c r="E63" s="1" t="s">
        <v>139</v>
      </c>
      <c r="F63" s="1" t="s">
        <v>140</v>
      </c>
      <c r="G63" s="1">
        <v>201802</v>
      </c>
      <c r="K63" s="1" t="s">
        <v>141</v>
      </c>
      <c r="L63" s="1" t="s">
        <v>142</v>
      </c>
    </row>
    <row r="64" s="2" customFormat="1" spans="1:12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3"/>
        <v>101008</v>
      </c>
      <c r="E64" s="2" t="s">
        <v>143</v>
      </c>
      <c r="F64" s="2" t="s">
        <v>144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3"/>
        <v>101009</v>
      </c>
      <c r="E65" s="2" t="s">
        <v>145</v>
      </c>
      <c r="F65" s="2" t="s">
        <v>146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3"/>
        <v>101010</v>
      </c>
      <c r="E66" s="2" t="s">
        <v>147</v>
      </c>
      <c r="F66" s="2" t="s">
        <v>148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3"/>
        <v>101011</v>
      </c>
      <c r="E67" s="2" t="s">
        <v>149</v>
      </c>
      <c r="F67" s="2" t="s">
        <v>150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3"/>
        <v>101012</v>
      </c>
      <c r="E68" s="2" t="s">
        <v>151</v>
      </c>
      <c r="F68" s="2" t="s">
        <v>152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3"/>
        <v>101013</v>
      </c>
      <c r="E69" s="2" t="s">
        <v>153</v>
      </c>
      <c r="F69" s="2" t="s">
        <v>154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3"/>
        <v>101014</v>
      </c>
      <c r="E70" s="2" t="s">
        <v>155</v>
      </c>
      <c r="F70" s="2" t="s">
        <v>156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3"/>
        <v>101015</v>
      </c>
      <c r="E71" s="2" t="s">
        <v>157</v>
      </c>
      <c r="F71" s="2" t="s">
        <v>158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3"/>
        <v>101016</v>
      </c>
      <c r="E72" s="2" t="s">
        <v>159</v>
      </c>
      <c r="F72" s="2" t="s">
        <v>160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3"/>
        <v>101017</v>
      </c>
      <c r="E73" s="2" t="s">
        <v>161</v>
      </c>
      <c r="F73" s="2" t="s">
        <v>162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3"/>
        <v>101018</v>
      </c>
      <c r="E74" s="2" t="s">
        <v>163</v>
      </c>
      <c r="F74" s="2" t="s">
        <v>164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3"/>
        <v>101019</v>
      </c>
      <c r="E75" s="2" t="s">
        <v>165</v>
      </c>
      <c r="F75" s="2" t="s">
        <v>166</v>
      </c>
      <c r="G75" s="2">
        <v>201017</v>
      </c>
      <c r="H75" s="2"/>
      <c r="I75" s="2" t="s">
        <v>101</v>
      </c>
    </row>
    <row r="76" s="2" customFormat="1" spans="1:9">
      <c r="A76" s="2">
        <f t="shared" si="5"/>
        <v>1020</v>
      </c>
      <c r="B76" s="2">
        <f>COUNTIF($C$1:C76,C76)</f>
        <v>20</v>
      </c>
      <c r="C76" s="2">
        <v>1</v>
      </c>
      <c r="D76" s="2">
        <f t="shared" si="3"/>
        <v>101020</v>
      </c>
      <c r="E76" s="2" t="s">
        <v>167</v>
      </c>
      <c r="F76" s="2" t="s">
        <v>140</v>
      </c>
      <c r="G76" s="2">
        <v>201018</v>
      </c>
      <c r="H76" s="2"/>
      <c r="I76" s="2" t="s">
        <v>101</v>
      </c>
    </row>
    <row r="77" s="1" customFormat="1" spans="1:9">
      <c r="A77" s="1">
        <f t="shared" si="5"/>
        <v>2001</v>
      </c>
      <c r="B77" s="1">
        <f>COUNTIF($C$1:C77,C77)</f>
        <v>1</v>
      </c>
      <c r="C77" s="1">
        <v>2</v>
      </c>
      <c r="D77" s="1">
        <f t="shared" ref="D77:D108" si="6">100000+C77*1000+B77</f>
        <v>102001</v>
      </c>
      <c r="E77" s="1" t="s">
        <v>168</v>
      </c>
      <c r="F77" s="1" t="s">
        <v>169</v>
      </c>
      <c r="G77" s="1">
        <v>202001</v>
      </c>
    </row>
    <row r="78" s="1" customFormat="1" spans="1:9">
      <c r="A78" s="1">
        <f t="shared" si="5"/>
        <v>2002</v>
      </c>
      <c r="B78" s="1">
        <f>COUNTIF($C$1:C78,C78)</f>
        <v>2</v>
      </c>
      <c r="C78" s="1">
        <v>2</v>
      </c>
      <c r="D78" s="1">
        <f t="shared" si="6"/>
        <v>102002</v>
      </c>
      <c r="E78" s="1" t="s">
        <v>170</v>
      </c>
      <c r="F78" s="1" t="s">
        <v>171</v>
      </c>
      <c r="G78" s="1">
        <v>202002</v>
      </c>
    </row>
    <row r="79" s="1" customFormat="1" spans="1:9">
      <c r="A79" s="1">
        <f t="shared" ref="A79:A108" si="7">C79*1000+B79</f>
        <v>2003</v>
      </c>
      <c r="B79" s="1">
        <f>COUNTIF($C$1:C79,C79)</f>
        <v>3</v>
      </c>
      <c r="C79" s="1">
        <v>2</v>
      </c>
      <c r="D79" s="1">
        <f t="shared" si="6"/>
        <v>102003</v>
      </c>
      <c r="E79" s="1" t="s">
        <v>172</v>
      </c>
      <c r="F79" s="1" t="s">
        <v>173</v>
      </c>
      <c r="G79" s="1">
        <v>202003</v>
      </c>
    </row>
    <row r="80" s="1" customFormat="1" spans="1:9">
      <c r="A80" s="1">
        <f t="shared" si="7"/>
        <v>2004</v>
      </c>
      <c r="B80" s="1">
        <f>COUNTIF($C$1:C80,C80)</f>
        <v>4</v>
      </c>
      <c r="C80" s="1">
        <v>2</v>
      </c>
      <c r="D80" s="1">
        <f t="shared" si="6"/>
        <v>102004</v>
      </c>
      <c r="E80" s="1" t="s">
        <v>174</v>
      </c>
      <c r="F80" s="1" t="s">
        <v>175</v>
      </c>
      <c r="G80" s="1">
        <v>202004</v>
      </c>
    </row>
    <row r="81" s="1" customFormat="1" spans="1:7">
      <c r="A81" s="1">
        <f t="shared" si="7"/>
        <v>2005</v>
      </c>
      <c r="B81" s="1">
        <f>COUNTIF($C$1:C81,C81)</f>
        <v>5</v>
      </c>
      <c r="C81" s="1">
        <v>2</v>
      </c>
      <c r="D81" s="1">
        <f t="shared" si="6"/>
        <v>102005</v>
      </c>
      <c r="E81" s="1" t="s">
        <v>176</v>
      </c>
      <c r="F81" s="1" t="s">
        <v>177</v>
      </c>
      <c r="G81" s="1">
        <v>202005</v>
      </c>
    </row>
    <row r="82" s="1" customFormat="1" spans="1:7">
      <c r="A82" s="1">
        <f t="shared" si="7"/>
        <v>2006</v>
      </c>
      <c r="B82" s="1">
        <f>COUNTIF($C$1:C82,C82)</f>
        <v>6</v>
      </c>
      <c r="C82" s="1">
        <v>2</v>
      </c>
      <c r="D82" s="1">
        <f t="shared" si="6"/>
        <v>102006</v>
      </c>
      <c r="E82" s="1" t="s">
        <v>178</v>
      </c>
      <c r="F82" s="1" t="s">
        <v>179</v>
      </c>
      <c r="G82" s="1">
        <v>202006</v>
      </c>
    </row>
    <row r="83" s="1" customFormat="1" spans="1:7">
      <c r="A83" s="1">
        <f t="shared" si="7"/>
        <v>2007</v>
      </c>
      <c r="B83" s="1">
        <f>COUNTIF($C$1:C83,C83)</f>
        <v>7</v>
      </c>
      <c r="C83" s="1">
        <v>2</v>
      </c>
      <c r="D83" s="1">
        <f t="shared" si="6"/>
        <v>102007</v>
      </c>
      <c r="E83" s="1" t="s">
        <v>180</v>
      </c>
      <c r="F83" s="1" t="s">
        <v>181</v>
      </c>
      <c r="G83" s="1">
        <v>202007</v>
      </c>
    </row>
    <row r="84" s="1" customFormat="1" spans="1:7">
      <c r="A84" s="1">
        <f t="shared" si="7"/>
        <v>2008</v>
      </c>
      <c r="B84" s="1">
        <f>COUNTIF($C$1:C84,C84)</f>
        <v>8</v>
      </c>
      <c r="C84" s="1">
        <v>2</v>
      </c>
      <c r="D84" s="1">
        <f t="shared" si="6"/>
        <v>102008</v>
      </c>
      <c r="E84" s="1" t="s">
        <v>182</v>
      </c>
      <c r="F84" s="1" t="s">
        <v>183</v>
      </c>
      <c r="G84" s="1">
        <v>202008</v>
      </c>
    </row>
    <row r="85" s="1" customFormat="1" spans="1:7">
      <c r="A85" s="1">
        <f t="shared" si="7"/>
        <v>2009</v>
      </c>
      <c r="B85" s="1">
        <f>COUNTIF($C$1:C85,C85)</f>
        <v>9</v>
      </c>
      <c r="C85" s="1">
        <v>2</v>
      </c>
      <c r="D85" s="1">
        <f t="shared" si="6"/>
        <v>102009</v>
      </c>
      <c r="E85" s="1" t="s">
        <v>184</v>
      </c>
      <c r="F85" s="1" t="s">
        <v>185</v>
      </c>
      <c r="G85" s="1">
        <v>202009</v>
      </c>
    </row>
    <row r="86" s="1" customFormat="1" spans="1:7">
      <c r="A86" s="1">
        <f t="shared" si="7"/>
        <v>2010</v>
      </c>
      <c r="B86" s="1">
        <f>COUNTIF($C$1:C86,C86)</f>
        <v>10</v>
      </c>
      <c r="C86" s="1">
        <v>2</v>
      </c>
      <c r="D86" s="1">
        <f t="shared" si="6"/>
        <v>102010</v>
      </c>
      <c r="E86" s="1" t="s">
        <v>186</v>
      </c>
      <c r="F86" s="1" t="s">
        <v>187</v>
      </c>
      <c r="G86" s="1">
        <v>202010</v>
      </c>
    </row>
    <row r="87" s="1" customFormat="1" spans="1:7">
      <c r="A87" s="1">
        <f t="shared" si="7"/>
        <v>2011</v>
      </c>
      <c r="B87" s="1">
        <f>COUNTIF($C$1:C87,C87)</f>
        <v>11</v>
      </c>
      <c r="C87" s="1">
        <v>2</v>
      </c>
      <c r="D87" s="1">
        <f t="shared" si="6"/>
        <v>102011</v>
      </c>
      <c r="E87" s="1" t="s">
        <v>188</v>
      </c>
      <c r="F87" s="1" t="s">
        <v>189</v>
      </c>
      <c r="G87" s="1">
        <v>202011</v>
      </c>
    </row>
    <row r="88" s="1" customFormat="1" spans="1:7">
      <c r="A88" s="1">
        <f t="shared" si="7"/>
        <v>2012</v>
      </c>
      <c r="B88" s="1">
        <f>COUNTIF($C$1:C88,C88)</f>
        <v>12</v>
      </c>
      <c r="C88" s="1">
        <v>2</v>
      </c>
      <c r="D88" s="1">
        <f t="shared" si="6"/>
        <v>102012</v>
      </c>
      <c r="E88" s="1" t="s">
        <v>190</v>
      </c>
      <c r="F88" s="1" t="s">
        <v>191</v>
      </c>
      <c r="G88" s="1">
        <v>202012</v>
      </c>
    </row>
    <row r="89" s="1" customFormat="1" spans="1:7">
      <c r="A89" s="1">
        <f t="shared" si="7"/>
        <v>2013</v>
      </c>
      <c r="B89" s="1">
        <f>COUNTIF($C$1:C89,C89)</f>
        <v>13</v>
      </c>
      <c r="C89" s="1">
        <v>2</v>
      </c>
      <c r="D89" s="1">
        <f t="shared" si="6"/>
        <v>102013</v>
      </c>
      <c r="E89" s="1" t="s">
        <v>192</v>
      </c>
      <c r="F89" s="1" t="s">
        <v>193</v>
      </c>
      <c r="G89" s="1">
        <v>202013</v>
      </c>
    </row>
    <row r="90" s="1" customFormat="1" spans="1:7">
      <c r="A90" s="1">
        <f t="shared" si="7"/>
        <v>2014</v>
      </c>
      <c r="B90" s="1">
        <f>COUNTIF($C$1:C90,C90)</f>
        <v>14</v>
      </c>
      <c r="C90" s="1">
        <v>2</v>
      </c>
      <c r="D90" s="1">
        <f t="shared" si="6"/>
        <v>102014</v>
      </c>
      <c r="E90" s="1" t="s">
        <v>194</v>
      </c>
      <c r="F90" s="1" t="s">
        <v>195</v>
      </c>
      <c r="G90" s="1">
        <v>202014</v>
      </c>
    </row>
    <row r="91" s="1" customFormat="1" spans="1:7">
      <c r="A91" s="1">
        <f t="shared" si="7"/>
        <v>2015</v>
      </c>
      <c r="B91" s="1">
        <f>COUNTIF($C$1:C91,C91)</f>
        <v>15</v>
      </c>
      <c r="C91" s="1">
        <v>2</v>
      </c>
      <c r="D91" s="1">
        <f t="shared" si="6"/>
        <v>102015</v>
      </c>
      <c r="E91" s="1" t="s">
        <v>196</v>
      </c>
      <c r="F91" s="1" t="s">
        <v>197</v>
      </c>
      <c r="G91" s="1">
        <v>202015</v>
      </c>
    </row>
    <row r="92" s="1" customFormat="1" spans="1:7">
      <c r="A92" s="1">
        <f t="shared" si="7"/>
        <v>2016</v>
      </c>
      <c r="B92" s="1">
        <f>COUNTIF($C$1:C92,C92)</f>
        <v>16</v>
      </c>
      <c r="C92" s="1">
        <v>2</v>
      </c>
      <c r="D92" s="1">
        <f t="shared" si="6"/>
        <v>102016</v>
      </c>
      <c r="E92" s="1" t="s">
        <v>198</v>
      </c>
      <c r="F92" s="1" t="s">
        <v>199</v>
      </c>
      <c r="G92" s="1">
        <v>202016</v>
      </c>
    </row>
    <row r="93" s="1" customFormat="1" spans="1:7">
      <c r="A93" s="1">
        <f t="shared" si="7"/>
        <v>2017</v>
      </c>
      <c r="B93" s="1">
        <f>COUNTIF($C$1:C93,C93)</f>
        <v>17</v>
      </c>
      <c r="C93" s="1">
        <v>2</v>
      </c>
      <c r="D93" s="1">
        <f t="shared" si="6"/>
        <v>102017</v>
      </c>
      <c r="E93" s="1" t="s">
        <v>200</v>
      </c>
      <c r="F93" s="1" t="s">
        <v>201</v>
      </c>
      <c r="G93" s="1">
        <v>202017</v>
      </c>
    </row>
    <row r="94" s="1" customFormat="1" spans="1:7">
      <c r="A94" s="1">
        <f t="shared" si="7"/>
        <v>2018</v>
      </c>
      <c r="B94" s="1">
        <f>COUNTIF($C$1:C94,C94)</f>
        <v>18</v>
      </c>
      <c r="C94" s="1">
        <v>2</v>
      </c>
      <c r="D94" s="1">
        <f t="shared" si="6"/>
        <v>102018</v>
      </c>
      <c r="E94" s="1" t="s">
        <v>202</v>
      </c>
      <c r="F94" s="1" t="s">
        <v>203</v>
      </c>
      <c r="G94" s="1">
        <v>202018</v>
      </c>
    </row>
    <row r="95" s="1" customFormat="1" spans="1:7">
      <c r="A95" s="1">
        <f t="shared" si="7"/>
        <v>2019</v>
      </c>
      <c r="B95" s="1">
        <f>COUNTIF($C$1:C95,C95)</f>
        <v>19</v>
      </c>
      <c r="C95" s="1">
        <v>2</v>
      </c>
      <c r="D95" s="1">
        <f t="shared" si="6"/>
        <v>102019</v>
      </c>
      <c r="E95" s="1" t="s">
        <v>204</v>
      </c>
      <c r="F95" s="1" t="s">
        <v>205</v>
      </c>
      <c r="G95" s="1">
        <v>202019</v>
      </c>
    </row>
    <row r="96" s="1" customFormat="1" spans="1:7">
      <c r="A96" s="1">
        <f t="shared" si="7"/>
        <v>2020</v>
      </c>
      <c r="B96" s="1">
        <f>COUNTIF($C$1:C96,C96)</f>
        <v>20</v>
      </c>
      <c r="C96" s="1">
        <v>2</v>
      </c>
      <c r="D96" s="1">
        <f t="shared" si="6"/>
        <v>102020</v>
      </c>
      <c r="E96" s="1" t="s">
        <v>206</v>
      </c>
      <c r="F96" s="1" t="s">
        <v>207</v>
      </c>
      <c r="G96" s="1">
        <v>202020</v>
      </c>
    </row>
    <row r="97" s="1" customFormat="1" spans="1:10">
      <c r="A97" s="1">
        <f t="shared" si="7"/>
        <v>3001</v>
      </c>
      <c r="B97" s="1">
        <f>COUNTIF($C$1:C97,C97)</f>
        <v>1</v>
      </c>
      <c r="C97" s="1">
        <v>3</v>
      </c>
      <c r="D97" s="1">
        <f t="shared" si="6"/>
        <v>103001</v>
      </c>
      <c r="E97" s="1" t="s">
        <v>208</v>
      </c>
      <c r="F97" s="1" t="s">
        <v>209</v>
      </c>
      <c r="G97" s="1">
        <v>203001</v>
      </c>
      <c r="H97" s="1"/>
      <c r="I97" s="1"/>
      <c r="J97" s="1">
        <v>3</v>
      </c>
    </row>
    <row r="98" s="1" customFormat="1" spans="1:10">
      <c r="A98" s="1">
        <f t="shared" si="7"/>
        <v>3002</v>
      </c>
      <c r="B98" s="1">
        <f>COUNTIF($C$1:C98,C98)</f>
        <v>2</v>
      </c>
      <c r="C98" s="1">
        <v>3</v>
      </c>
      <c r="D98" s="1">
        <f t="shared" si="6"/>
        <v>103002</v>
      </c>
      <c r="E98" s="1" t="s">
        <v>210</v>
      </c>
      <c r="F98" s="1" t="s">
        <v>211</v>
      </c>
      <c r="G98" s="1">
        <v>203002</v>
      </c>
      <c r="J98" s="1">
        <v>6</v>
      </c>
    </row>
    <row r="99" s="1" customFormat="1" spans="1:10">
      <c r="A99" s="1">
        <f t="shared" si="7"/>
        <v>3003</v>
      </c>
      <c r="B99" s="1">
        <f>COUNTIF($C$1:C99,C99)</f>
        <v>3</v>
      </c>
      <c r="C99" s="1">
        <v>3</v>
      </c>
      <c r="D99" s="1">
        <f t="shared" si="6"/>
        <v>103003</v>
      </c>
      <c r="E99" s="1" t="s">
        <v>212</v>
      </c>
      <c r="F99" s="1" t="s">
        <v>213</v>
      </c>
      <c r="G99" s="1">
        <v>203003</v>
      </c>
      <c r="J99" s="1">
        <v>9</v>
      </c>
    </row>
    <row r="100" s="1" customFormat="1" spans="1:10">
      <c r="A100" s="1">
        <f t="shared" si="7"/>
        <v>4001</v>
      </c>
      <c r="B100" s="1">
        <f>COUNTIF($C$1:C100,C100)</f>
        <v>1</v>
      </c>
      <c r="C100" s="1">
        <v>4</v>
      </c>
      <c r="D100" s="1">
        <f t="shared" si="6"/>
        <v>104001</v>
      </c>
      <c r="E100" s="1" t="s">
        <v>214</v>
      </c>
      <c r="F100" s="1" t="s">
        <v>215</v>
      </c>
      <c r="G100" s="1">
        <f t="shared" ref="G100:G109" si="8">200000+A100</f>
        <v>204001</v>
      </c>
    </row>
    <row r="101" s="1" customFormat="1" spans="1:10">
      <c r="A101" s="1">
        <f t="shared" si="7"/>
        <v>4002</v>
      </c>
      <c r="B101" s="1">
        <f>COUNTIF($C$1:C101,C101)</f>
        <v>2</v>
      </c>
      <c r="C101" s="1">
        <v>4</v>
      </c>
      <c r="D101" s="1">
        <f t="shared" si="6"/>
        <v>104002</v>
      </c>
      <c r="E101" s="1" t="s">
        <v>214</v>
      </c>
      <c r="F101" s="1" t="s">
        <v>216</v>
      </c>
      <c r="G101" s="1">
        <f t="shared" si="8"/>
        <v>204002</v>
      </c>
      <c r="J101" s="1">
        <v>6</v>
      </c>
    </row>
    <row r="102" s="1" customFormat="1" spans="1:10">
      <c r="A102" s="1">
        <f t="shared" si="7"/>
        <v>4003</v>
      </c>
      <c r="B102" s="1">
        <f>COUNTIF($C$1:C102,C102)</f>
        <v>3</v>
      </c>
      <c r="C102" s="1">
        <v>4</v>
      </c>
      <c r="D102" s="1">
        <f t="shared" si="6"/>
        <v>104003</v>
      </c>
      <c r="E102" s="1" t="s">
        <v>217</v>
      </c>
      <c r="F102" s="1" t="s">
        <v>218</v>
      </c>
      <c r="G102" s="1">
        <f t="shared" si="8"/>
        <v>204003</v>
      </c>
      <c r="J102" s="1">
        <v>9</v>
      </c>
    </row>
    <row r="103" s="1" customFormat="1" spans="1:10">
      <c r="A103" s="1">
        <f t="shared" ref="A103:A110" si="9">C103*1000+B103</f>
        <v>5001</v>
      </c>
      <c r="B103" s="1">
        <f>COUNTIF($C$1:C103,C103)</f>
        <v>1</v>
      </c>
      <c r="C103" s="1">
        <v>5</v>
      </c>
      <c r="D103" s="1">
        <f t="shared" ref="D103:D110" si="10">100000+C103*1000+B103</f>
        <v>105001</v>
      </c>
      <c r="E103" s="1" t="s">
        <v>219</v>
      </c>
      <c r="F103" s="1" t="s">
        <v>220</v>
      </c>
      <c r="G103" s="1">
        <f t="shared" si="8"/>
        <v>205001</v>
      </c>
    </row>
    <row r="104" s="1" customFormat="1" spans="1:10">
      <c r="A104" s="1">
        <f t="shared" si="9"/>
        <v>5002</v>
      </c>
      <c r="B104" s="1">
        <f>COUNTIF($C$1:C104,C104)</f>
        <v>2</v>
      </c>
      <c r="C104" s="1">
        <v>5</v>
      </c>
      <c r="D104" s="1">
        <f t="shared" si="10"/>
        <v>105002</v>
      </c>
      <c r="E104" s="1" t="s">
        <v>219</v>
      </c>
      <c r="F104" s="1" t="s">
        <v>221</v>
      </c>
      <c r="G104" s="1">
        <f t="shared" si="8"/>
        <v>205002</v>
      </c>
      <c r="J104" s="1">
        <v>6</v>
      </c>
    </row>
    <row r="105" s="1" customFormat="1" spans="1:10">
      <c r="A105" s="1">
        <f t="shared" si="9"/>
        <v>5003</v>
      </c>
      <c r="B105" s="1">
        <f>COUNTIF($C$1:C105,C105)</f>
        <v>3</v>
      </c>
      <c r="C105" s="1">
        <v>5</v>
      </c>
      <c r="D105" s="1">
        <f t="shared" si="10"/>
        <v>105003</v>
      </c>
      <c r="E105" s="1" t="s">
        <v>222</v>
      </c>
      <c r="F105" s="1" t="s">
        <v>223</v>
      </c>
      <c r="G105" s="1">
        <f t="shared" si="8"/>
        <v>205003</v>
      </c>
      <c r="J105" s="1">
        <v>9</v>
      </c>
    </row>
    <row r="106" s="1" customFormat="1" spans="1:10">
      <c r="A106" s="1">
        <f t="shared" si="9"/>
        <v>6001</v>
      </c>
      <c r="B106" s="1">
        <f>COUNTIF($C$1:C106,C106)</f>
        <v>1</v>
      </c>
      <c r="C106" s="1">
        <v>6</v>
      </c>
      <c r="D106" s="1">
        <f t="shared" si="10"/>
        <v>106001</v>
      </c>
      <c r="E106" s="1" t="s">
        <v>224</v>
      </c>
      <c r="F106" s="1" t="s">
        <v>225</v>
      </c>
      <c r="G106" s="1">
        <f t="shared" si="8"/>
        <v>206001</v>
      </c>
    </row>
    <row r="107" s="1" customFormat="1" spans="1:10">
      <c r="A107" s="1">
        <f t="shared" si="9"/>
        <v>6002</v>
      </c>
      <c r="B107" s="1">
        <f>COUNTIF($C$1:C107,C107)</f>
        <v>2</v>
      </c>
      <c r="C107" s="1">
        <v>6</v>
      </c>
      <c r="D107" s="1">
        <f t="shared" si="10"/>
        <v>106002</v>
      </c>
      <c r="E107" s="1" t="s">
        <v>224</v>
      </c>
      <c r="F107" s="1" t="s">
        <v>226</v>
      </c>
      <c r="G107" s="1">
        <f t="shared" si="8"/>
        <v>206002</v>
      </c>
      <c r="J107" s="1">
        <v>6</v>
      </c>
    </row>
    <row r="108" s="1" customFormat="1" spans="1:10">
      <c r="A108" s="1">
        <f t="shared" si="9"/>
        <v>6003</v>
      </c>
      <c r="B108" s="1">
        <f>COUNTIF($C$1:C108,C108)</f>
        <v>3</v>
      </c>
      <c r="C108" s="1">
        <v>6</v>
      </c>
      <c r="D108" s="1">
        <f t="shared" si="10"/>
        <v>106003</v>
      </c>
      <c r="E108" s="1" t="s">
        <v>227</v>
      </c>
      <c r="F108" s="1" t="s">
        <v>228</v>
      </c>
      <c r="G108" s="1">
        <f t="shared" si="8"/>
        <v>206003</v>
      </c>
      <c r="J108" s="1">
        <v>9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2025-11-06T02:29:39Z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