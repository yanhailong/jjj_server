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</commentList>
</comments>
</file>

<file path=xl/sharedStrings.xml><?xml version="1.0" encoding="utf-8"?>
<sst xmlns="http://schemas.openxmlformats.org/spreadsheetml/2006/main" count="200" uniqueCount="191">
  <si>
    <t>id</t>
  </si>
  <si>
    <t>类型</t>
  </si>
  <si>
    <t>资源名称</t>
  </si>
  <si>
    <t>美术资源名称与路径</t>
  </si>
  <si>
    <t>资源描述</t>
  </si>
  <si>
    <t>客户端展示获得VIP条件</t>
  </si>
  <si>
    <t>int</t>
  </si>
  <si>
    <t>string</t>
  </si>
  <si>
    <t>resourceType</t>
  </si>
  <si>
    <t>name</t>
  </si>
  <si>
    <t>resourcePath</t>
  </si>
  <si>
    <t>Dec</t>
  </si>
  <si>
    <t>VIPLevel</t>
  </si>
  <si>
    <t>头像1</t>
  </si>
  <si>
    <t>picture_001.png</t>
  </si>
  <si>
    <t>头像2</t>
  </si>
  <si>
    <t>picture_002.png</t>
  </si>
  <si>
    <t>头像3</t>
  </si>
  <si>
    <t>picture_003.png</t>
  </si>
  <si>
    <t>头像4</t>
  </si>
  <si>
    <t>picture_004.png</t>
  </si>
  <si>
    <t>头像5</t>
  </si>
  <si>
    <t>picture_005.png</t>
  </si>
  <si>
    <t>头像6</t>
  </si>
  <si>
    <t>picture_006.png</t>
  </si>
  <si>
    <t>头像7</t>
  </si>
  <si>
    <t>picture_007.png</t>
  </si>
  <si>
    <t>头像8</t>
  </si>
  <si>
    <t>picture_008.png</t>
  </si>
  <si>
    <t>头像9</t>
  </si>
  <si>
    <t>picture_009.png</t>
  </si>
  <si>
    <t>头像10</t>
  </si>
  <si>
    <t>picture_010.png</t>
  </si>
  <si>
    <t>头像11</t>
  </si>
  <si>
    <t>picture_011.png</t>
  </si>
  <si>
    <t>头像12</t>
  </si>
  <si>
    <t>picture_012.png</t>
  </si>
  <si>
    <t>头像13</t>
  </si>
  <si>
    <t>picture_013.png</t>
  </si>
  <si>
    <t>头像14</t>
  </si>
  <si>
    <t>picture_014.png</t>
  </si>
  <si>
    <t>头像15</t>
  </si>
  <si>
    <t>picture_015.png</t>
  </si>
  <si>
    <t>头像16</t>
  </si>
  <si>
    <t>picture_016.png</t>
  </si>
  <si>
    <t>头像17</t>
  </si>
  <si>
    <t>picture_017.png</t>
  </si>
  <si>
    <t>头像18</t>
  </si>
  <si>
    <t>picture_018.png</t>
  </si>
  <si>
    <t>头像19</t>
  </si>
  <si>
    <t>picture_019.png</t>
  </si>
  <si>
    <t>头像20</t>
  </si>
  <si>
    <t>picture_020.png</t>
  </si>
  <si>
    <t>头像21</t>
  </si>
  <si>
    <t>picture_021.png</t>
  </si>
  <si>
    <t>头像22</t>
  </si>
  <si>
    <t>picture_022.png</t>
  </si>
  <si>
    <t>头像23</t>
  </si>
  <si>
    <t>picture_023.png</t>
  </si>
  <si>
    <t>头像24</t>
  </si>
  <si>
    <t>picture_024.png</t>
  </si>
  <si>
    <t>头像25</t>
  </si>
  <si>
    <t>picture_025.png</t>
  </si>
  <si>
    <t>头像26</t>
  </si>
  <si>
    <t>picture_026.png</t>
  </si>
  <si>
    <t>头像27</t>
  </si>
  <si>
    <t>picture_027.png</t>
  </si>
  <si>
    <t>头像28</t>
  </si>
  <si>
    <t>picture_028.png</t>
  </si>
  <si>
    <t>头像29</t>
  </si>
  <si>
    <t>picture_029.png</t>
  </si>
  <si>
    <t>头像30</t>
  </si>
  <si>
    <t>picture_030.png</t>
  </si>
  <si>
    <t>头像31</t>
  </si>
  <si>
    <t>picture_031.png</t>
  </si>
  <si>
    <t>头像32</t>
  </si>
  <si>
    <t>picture_032.png</t>
  </si>
  <si>
    <t>头像33</t>
  </si>
  <si>
    <t>picture_033.png</t>
  </si>
  <si>
    <t>头像34</t>
  </si>
  <si>
    <t>picture_034.png</t>
  </si>
  <si>
    <t>头像35</t>
  </si>
  <si>
    <t>picture_035.png</t>
  </si>
  <si>
    <t>头像36</t>
  </si>
  <si>
    <t>picture_036.png</t>
  </si>
  <si>
    <t>头像37</t>
  </si>
  <si>
    <t>picture_037.png</t>
  </si>
  <si>
    <t>头像38</t>
  </si>
  <si>
    <t>picture_038.png</t>
  </si>
  <si>
    <t>头像39</t>
  </si>
  <si>
    <t>picture_039.png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</si>
  <si>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</si>
  <si>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</si>
  <si>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</si>
  <si>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</si>
  <si>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</si>
  <si>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</si>
  <si>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</si>
  <si>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</si>
  <si>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</si>
  <si>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</si>
  <si>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</si>
  <si>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</si>
  <si>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</si>
  <si>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</si>
  <si>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</si>
  <si>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</si>
  <si>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</si>
  <si>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</si>
  <si>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</si>
  <si>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</si>
  <si>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</si>
  <si>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</si>
  <si>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</si>
  <si>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</si>
  <si>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</si>
  <si>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</si>
  <si>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</si>
  <si>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</si>
  <si>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</si>
  <si>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</si>
  <si>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</si>
  <si>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</si>
  <si>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</si>
  <si>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</si>
  <si>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头像框18</t>
  </si>
  <si>
    <t>frame_018.png</t>
  </si>
  <si>
    <t>头像框-特权卡专属</t>
  </si>
  <si>
    <t>frame_801.png</t>
  </si>
  <si>
    <t>头像框-首充专属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</si>
  <si>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</si>
  <si>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</si>
  <si>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</si>
  <si>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</si>
  <si>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</si>
  <si>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</si>
  <si>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</si>
  <si>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</si>
  <si>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</si>
  <si>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</si>
  <si>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</si>
  <si>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</si>
  <si>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</si>
  <si>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</si>
  <si>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</si>
  <si>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</si>
  <si>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</si>
  <si>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</si>
  <si>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</si>
  <si>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</si>
  <si>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</si>
  <si>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</si>
  <si>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</si>
  <si>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</si>
  <si>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</si>
  <si>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</si>
  <si>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</si>
  <si>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</si>
  <si>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</si>
  <si>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</si>
  <si>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</si>
  <si>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</si>
  <si>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</si>
  <si>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</si>
  <si>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</si>
  <si>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</si>
  <si>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</si>
  <si>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</si>
  <si>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</si>
  <si>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</si>
  <si>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</si>
  <si>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</si>
  <si>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</si>
  <si>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</si>
  <si>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</si>
  <si>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</si>
  <si>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筹码1</t>
  </si>
  <si>
    <t>VIP_pf_cm1.png</t>
  </si>
  <si>
    <t>VIP_pf_cm2.png</t>
  </si>
  <si>
    <t>筹码2</t>
  </si>
  <si>
    <t>VIP_pf_cm3.png</t>
  </si>
  <si>
    <t>牌背1</t>
  </si>
  <si>
    <t>VIP_pf_pai1.png</t>
  </si>
  <si>
    <t>VIP_pf_pai2.png</t>
  </si>
  <si>
    <t>牌背2</t>
  </si>
  <si>
    <t>VIP_pf_pai3.png</t>
  </si>
  <si>
    <t>大厅背景1</t>
  </si>
  <si>
    <t>VIP_pf_bj0.png</t>
  </si>
  <si>
    <t>VIP_pf_bj1.png</t>
  </si>
  <si>
    <t>大厅背景2</t>
  </si>
  <si>
    <t>VIP_pf_bj2.png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</si>
</sst>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2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4" applyNumberFormat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0" borderId="0" xfId="0" applyFill="1">
      <alignment vertical="center"/>
    </xf>
    <xf numFmtId="0" fontId="0" fillId="3" borderId="0" xfId="0" applyNumberFormat="1" applyFill="1">
      <alignment vertical="center"/>
    </xf>
    <xf numFmtId="0" fontId="0" fillId="4" borderId="0" xfId="0" applyNumberForma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95"/>
  <sheetViews>
    <sheetView tabSelected="1" zoomScale="85" zoomScaleNormal="85" workbookViewId="0">
      <pane ySplit="3" topLeftCell="A36" activePane="bottomLeft" state="frozen"/>
      <selection/>
      <selection pane="bottomLeft" activeCell="N71" sqref="N71"/>
    </sheetView>
  </sheetViews>
  <sheetFormatPr defaultColWidth="9" defaultRowHeight="13.5"/>
  <cols>
    <col min="3" max="3" width="12.25" customWidth="1"/>
    <col min="5" max="5" width="18.25" customWidth="1"/>
    <col min="6" max="6" width="19.125" customWidth="1"/>
    <col min="7" max="7" width="12.5" customWidth="1"/>
    <col min="8" max="9" width="12.125" customWidth="1"/>
    <col min="14" max="15" width="12.625"/>
    <col min="18" max="18" width="14.375" customWidth="1"/>
  </cols>
  <sheetData>
    <row r="1" customFormat="1" spans="1:8">
      <c r="A1" t="s">
        <v>0</v>
      </c>
      <c r="B1"/>
      <c r="C1" t="s">
        <v>1</v>
      </c>
      <c r="D1" t="s">
        <v>2</v>
      </c>
      <c r="F1" t="s">
        <v>3</v>
      </c>
      <c r="G1" t="s">
        <v>4</v>
      </c>
      <c r="H1" t="s">
        <v>5</v>
      </c>
    </row>
    <row r="2" customFormat="1" spans="1:8">
      <c r="A2" t="s">
        <v>6</v>
      </c>
      <c r="B2"/>
      <c r="C2" t="s">
        <v>6</v>
      </c>
      <c r="D2" t="s">
        <v>6</v>
      </c>
      <c r="F2" t="s">
        <v>7</v>
      </c>
      <c r="G2" t="s">
        <v>6</v>
      </c>
      <c r="H2" t="s">
        <v>6</v>
      </c>
    </row>
    <row r="3" customFormat="1" spans="1:8">
      <c r="A3" t="s">
        <v>0</v>
      </c>
      <c r="B3"/>
      <c r="C3" t="s">
        <v>8</v>
      </c>
      <c r="D3" t="s">
        <v>9</v>
      </c>
      <c r="F3" t="s">
        <v>10</v>
      </c>
      <c r="G3" t="s">
        <v>11</v>
      </c>
      <c r="H3" t="s">
        <v>12</v>
      </c>
    </row>
    <row r="5" s="1" customFormat="1" spans="1:15">
      <c r="A5" s="1">
        <f t="shared" ref="A5:A24" si="0"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13</v>
      </c>
      <c r="F5" s="1" t="s">
        <v>14</v>
      </c>
      <c r="G5" s="1">
        <v>200001</v>
      </c>
      <c r="M5"/>
      <c r="N5"/>
      <c r="O5"/>
    </row>
    <row r="6" s="1" customFormat="1" spans="1:15">
      <c r="A6" s="1">
        <f t="shared" si="0"/>
        <v>2</v>
      </c>
      <c r="B6" s="1">
        <f>COUNTIF($C$1:C6,C6)</f>
        <v>2</v>
      </c>
      <c r="C6" s="1">
        <v>0</v>
      </c>
      <c r="D6" s="1">
        <f t="shared" ref="D6:D37" si="1">100000+C6*1000+B6</f>
        <v>100002</v>
      </c>
      <c r="E6" s="1" t="s">
        <v>15</v>
      </c>
      <c r="F6" s="1" t="s">
        <v>16</v>
      </c>
      <c r="G6" s="1">
        <v>200002</v>
      </c>
      <c r="M6"/>
      <c r="N6"/>
      <c r="O6"/>
    </row>
    <row r="7" s="1" customFormat="1" spans="1:15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17</v>
      </c>
      <c r="F7" s="1" t="s">
        <v>18</v>
      </c>
      <c r="G7" s="1">
        <v>200003</v>
      </c>
      <c r="M7"/>
      <c r="N7"/>
      <c r="O7"/>
    </row>
    <row r="8" s="1" customFormat="1" spans="1:15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19</v>
      </c>
      <c r="F8" s="1" t="s">
        <v>20</v>
      </c>
      <c r="G8" s="1">
        <v>200004</v>
      </c>
      <c r="M8"/>
      <c r="N8"/>
      <c r="O8"/>
    </row>
    <row r="9" s="1" customFormat="1" spans="1:15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21</v>
      </c>
      <c r="F9" s="1" t="s">
        <v>22</v>
      </c>
      <c r="G9" s="1">
        <v>200005</v>
      </c>
      <c r="M9"/>
      <c r="N9"/>
      <c r="O9"/>
    </row>
    <row r="10" s="1" customFormat="1" spans="1:15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23</v>
      </c>
      <c r="F10" s="1" t="s">
        <v>24</v>
      </c>
      <c r="G10" s="1">
        <v>200006</v>
      </c>
      <c r="M10"/>
      <c r="N10"/>
      <c r="O10"/>
    </row>
    <row r="11" s="1" customFormat="1" spans="1:15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25</v>
      </c>
      <c r="F11" s="1" t="s">
        <v>26</v>
      </c>
      <c r="G11" s="1">
        <v>200007</v>
      </c>
      <c r="M11"/>
      <c r="N11"/>
      <c r="O11"/>
    </row>
    <row r="12" s="1" customFormat="1" spans="1:15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27</v>
      </c>
      <c r="F12" s="1" t="s">
        <v>28</v>
      </c>
      <c r="G12" s="1">
        <v>200008</v>
      </c>
      <c r="M12"/>
      <c r="N12"/>
      <c r="O12"/>
    </row>
    <row r="13" s="1" customFormat="1" spans="1:15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29</v>
      </c>
      <c r="F13" s="1" t="s">
        <v>30</v>
      </c>
      <c r="G13" s="1">
        <v>200009</v>
      </c>
      <c r="M13"/>
      <c r="N13"/>
      <c r="O13"/>
    </row>
    <row r="14" s="1" customFormat="1" spans="1:15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31</v>
      </c>
      <c r="F14" s="1" t="s">
        <v>32</v>
      </c>
      <c r="G14" s="1">
        <v>200010</v>
      </c>
      <c r="M14"/>
      <c r="N14"/>
      <c r="O14"/>
    </row>
    <row r="15" s="1" customFormat="1" spans="1:15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33</v>
      </c>
      <c r="F15" s="1" t="s">
        <v>34</v>
      </c>
      <c r="G15" s="1">
        <v>200011</v>
      </c>
      <c r="M15"/>
      <c r="N15"/>
      <c r="O15"/>
    </row>
    <row r="16" s="1" customFormat="1" spans="1:15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35</v>
      </c>
      <c r="F16" s="1" t="s">
        <v>36</v>
      </c>
      <c r="G16" s="1">
        <v>200012</v>
      </c>
      <c r="M16"/>
      <c r="N16"/>
      <c r="O16"/>
    </row>
    <row r="17" s="1" customFormat="1" spans="1:15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37</v>
      </c>
      <c r="F17" s="1" t="s">
        <v>38</v>
      </c>
      <c r="G17" s="1">
        <v>200013</v>
      </c>
      <c r="M17"/>
      <c r="N17"/>
      <c r="O17"/>
    </row>
    <row r="18" s="1" customFormat="1" spans="1:15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39</v>
      </c>
      <c r="F18" s="1" t="s">
        <v>40</v>
      </c>
      <c r="G18" s="1">
        <v>200014</v>
      </c>
      <c r="M18"/>
      <c r="N18"/>
      <c r="O18"/>
    </row>
    <row r="19" s="1" customFormat="1" spans="1:15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41</v>
      </c>
      <c r="F19" s="1" t="s">
        <v>42</v>
      </c>
      <c r="G19" s="1">
        <v>200015</v>
      </c>
      <c r="M19"/>
      <c r="N19"/>
      <c r="O19"/>
    </row>
    <row r="20" s="1" customFormat="1" spans="1:15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43</v>
      </c>
      <c r="F20" s="1" t="s">
        <v>44</v>
      </c>
      <c r="G20" s="1">
        <v>200016</v>
      </c>
      <c r="M20"/>
      <c r="N20"/>
      <c r="O20"/>
    </row>
    <row r="21" s="1" customFormat="1" spans="1:15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45</v>
      </c>
      <c r="F21" s="1" t="s">
        <v>46</v>
      </c>
      <c r="G21" s="1">
        <v>200017</v>
      </c>
      <c r="M21"/>
      <c r="N21"/>
      <c r="O21"/>
    </row>
    <row r="22" s="1" customFormat="1" spans="1:15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47</v>
      </c>
      <c r="F22" s="1" t="s">
        <v>48</v>
      </c>
      <c r="G22" s="1">
        <v>200018</v>
      </c>
      <c r="M22"/>
      <c r="N22"/>
      <c r="O22"/>
    </row>
    <row r="23" s="1" customFormat="1" spans="1:15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49</v>
      </c>
      <c r="F23" s="1" t="s">
        <v>50</v>
      </c>
      <c r="G23" s="1">
        <v>200019</v>
      </c>
      <c r="M23"/>
      <c r="N23"/>
      <c r="O23"/>
    </row>
    <row r="24" s="1" customFormat="1" spans="1:15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51</v>
      </c>
      <c r="F24" s="1" t="s">
        <v>52</v>
      </c>
      <c r="G24" s="1">
        <v>200020</v>
      </c>
      <c r="M24"/>
      <c r="N24"/>
      <c r="O24"/>
    </row>
    <row r="25" s="1" customFormat="1" spans="1:15">
      <c r="A25" s="1">
        <f t="shared" ref="A25:A43" si="2">C25*1000+B25</f>
        <v>21</v>
      </c>
      <c r="B25" s="1">
        <f>COUNTIF($C$1:C25,C25)</f>
        <v>21</v>
      </c>
      <c r="C25" s="1">
        <v>0</v>
      </c>
      <c r="D25" s="1">
        <f t="shared" ref="D25:D88" si="3">100000+C25*1000+B25</f>
        <v>100021</v>
      </c>
      <c r="E25" s="1" t="s">
        <v>53</v>
      </c>
      <c r="F25" s="1" t="s">
        <v>54</v>
      </c>
      <c r="G25" s="1">
        <v>200021</v>
      </c>
      <c r="M25"/>
      <c r="N25"/>
      <c r="O25"/>
    </row>
    <row r="26" s="1" customFormat="1" spans="1:15">
      <c r="A26" s="1">
        <f t="shared" si="2"/>
        <v>22</v>
      </c>
      <c r="B26" s="1">
        <f>COUNTIF($C$1:C26,C26)</f>
        <v>22</v>
      </c>
      <c r="C26" s="1">
        <v>0</v>
      </c>
      <c r="D26" s="1">
        <f t="shared" si="3"/>
        <v>100022</v>
      </c>
      <c r="E26" s="1" t="s">
        <v>55</v>
      </c>
      <c r="F26" s="1" t="s">
        <v>56</v>
      </c>
      <c r="G26" s="1">
        <v>200022</v>
      </c>
      <c r="M26"/>
      <c r="N26"/>
      <c r="O26"/>
    </row>
    <row r="27" s="1" customFormat="1" spans="1:15">
      <c r="A27" s="1">
        <f t="shared" si="2"/>
        <v>23</v>
      </c>
      <c r="B27" s="1">
        <f>COUNTIF($C$1:C27,C27)</f>
        <v>23</v>
      </c>
      <c r="C27" s="1">
        <v>0</v>
      </c>
      <c r="D27" s="1">
        <f t="shared" si="3"/>
        <v>100023</v>
      </c>
      <c r="E27" s="1" t="s">
        <v>57</v>
      </c>
      <c r="F27" s="1" t="s">
        <v>58</v>
      </c>
      <c r="G27" s="1">
        <v>200023</v>
      </c>
      <c r="M27"/>
      <c r="N27"/>
      <c r="O27"/>
    </row>
    <row r="28" s="1" customFormat="1" spans="1:15">
      <c r="A28" s="1">
        <f t="shared" si="2"/>
        <v>24</v>
      </c>
      <c r="B28" s="1">
        <f>COUNTIF($C$1:C28,C28)</f>
        <v>24</v>
      </c>
      <c r="C28" s="1">
        <v>0</v>
      </c>
      <c r="D28" s="1">
        <f t="shared" si="3"/>
        <v>100024</v>
      </c>
      <c r="E28" s="1" t="s">
        <v>59</v>
      </c>
      <c r="F28" s="1" t="s">
        <v>60</v>
      </c>
      <c r="G28" s="1">
        <v>200024</v>
      </c>
      <c r="M28"/>
      <c r="N28"/>
      <c r="O28"/>
    </row>
    <row r="29" s="1" customFormat="1" spans="1:15">
      <c r="A29" s="1">
        <f t="shared" si="2"/>
        <v>25</v>
      </c>
      <c r="B29" s="1">
        <f>COUNTIF($C$1:C29,C29)</f>
        <v>25</v>
      </c>
      <c r="C29" s="1">
        <v>0</v>
      </c>
      <c r="D29" s="1">
        <f t="shared" si="3"/>
        <v>100025</v>
      </c>
      <c r="E29" s="1" t="s">
        <v>61</v>
      </c>
      <c r="F29" s="1" t="s">
        <v>62</v>
      </c>
      <c r="G29" s="1">
        <v>200025</v>
      </c>
      <c r="M29"/>
      <c r="N29"/>
      <c r="O29"/>
    </row>
    <row r="30" s="1" customFormat="1" spans="1:15">
      <c r="A30" s="1">
        <f t="shared" si="2"/>
        <v>26</v>
      </c>
      <c r="B30" s="1">
        <f>COUNTIF($C$1:C30,C30)</f>
        <v>26</v>
      </c>
      <c r="C30" s="1">
        <v>0</v>
      </c>
      <c r="D30" s="1">
        <f t="shared" si="3"/>
        <v>100026</v>
      </c>
      <c r="E30" s="1" t="s">
        <v>63</v>
      </c>
      <c r="F30" s="1" t="s">
        <v>64</v>
      </c>
      <c r="G30" s="1">
        <v>200026</v>
      </c>
      <c r="M30"/>
      <c r="N30"/>
      <c r="O30"/>
    </row>
    <row r="31" s="1" customFormat="1" spans="1:15">
      <c r="A31" s="1">
        <f t="shared" si="2"/>
        <v>27</v>
      </c>
      <c r="B31" s="1">
        <f>COUNTIF($C$1:C31,C31)</f>
        <v>27</v>
      </c>
      <c r="C31" s="1">
        <v>0</v>
      </c>
      <c r="D31" s="1">
        <f t="shared" si="3"/>
        <v>100027</v>
      </c>
      <c r="E31" s="1" t="s">
        <v>65</v>
      </c>
      <c r="F31" s="1" t="s">
        <v>66</v>
      </c>
      <c r="G31" s="1">
        <v>200027</v>
      </c>
      <c r="M31"/>
      <c r="N31"/>
      <c r="O31"/>
    </row>
    <row r="32" s="1" customFormat="1" spans="1:15">
      <c r="A32" s="1">
        <f t="shared" si="2"/>
        <v>28</v>
      </c>
      <c r="B32" s="1">
        <f>COUNTIF($C$1:C32,C32)</f>
        <v>28</v>
      </c>
      <c r="C32" s="1">
        <v>0</v>
      </c>
      <c r="D32" s="1">
        <f t="shared" si="3"/>
        <v>100028</v>
      </c>
      <c r="E32" s="1" t="s">
        <v>67</v>
      </c>
      <c r="F32" s="1" t="s">
        <v>68</v>
      </c>
      <c r="G32" s="1">
        <v>200028</v>
      </c>
      <c r="M32"/>
      <c r="N32"/>
      <c r="O32"/>
    </row>
    <row r="33" s="1" customFormat="1" spans="1:15">
      <c r="A33" s="1">
        <f t="shared" si="2"/>
        <v>29</v>
      </c>
      <c r="B33" s="1">
        <f>COUNTIF($C$1:C33,C33)</f>
        <v>29</v>
      </c>
      <c r="C33" s="1">
        <v>0</v>
      </c>
      <c r="D33" s="1">
        <f t="shared" si="3"/>
        <v>100029</v>
      </c>
      <c r="E33" s="1" t="s">
        <v>69</v>
      </c>
      <c r="F33" s="1" t="s">
        <v>70</v>
      </c>
      <c r="G33" s="1">
        <v>200029</v>
      </c>
      <c r="M33"/>
      <c r="N33"/>
      <c r="O33"/>
    </row>
    <row r="34" s="1" customFormat="1" spans="1:15">
      <c r="A34" s="1">
        <f t="shared" si="2"/>
        <v>30</v>
      </c>
      <c r="B34" s="1">
        <f>COUNTIF($C$1:C34,C34)</f>
        <v>30</v>
      </c>
      <c r="C34" s="1">
        <v>0</v>
      </c>
      <c r="D34" s="1">
        <f t="shared" si="3"/>
        <v>100030</v>
      </c>
      <c r="E34" s="1" t="s">
        <v>71</v>
      </c>
      <c r="F34" s="1" t="s">
        <v>72</v>
      </c>
      <c r="G34" s="1">
        <v>200030</v>
      </c>
      <c r="M34"/>
      <c r="N34"/>
      <c r="O34"/>
    </row>
    <row r="35" s="1" customFormat="1" spans="1:15">
      <c r="A35" s="1">
        <f t="shared" si="2"/>
        <v>31</v>
      </c>
      <c r="B35" s="1">
        <f>COUNTIF($C$1:C35,C35)</f>
        <v>31</v>
      </c>
      <c r="C35" s="1">
        <v>0</v>
      </c>
      <c r="D35" s="1">
        <f t="shared" si="3"/>
        <v>100031</v>
      </c>
      <c r="E35" s="1" t="s">
        <v>73</v>
      </c>
      <c r="F35" s="1" t="s">
        <v>74</v>
      </c>
      <c r="G35" s="1">
        <v>200031</v>
      </c>
      <c r="M35"/>
      <c r="N35"/>
      <c r="O35"/>
    </row>
    <row r="36" s="1" customFormat="1" spans="1:15">
      <c r="A36" s="1">
        <f t="shared" si="2"/>
        <v>32</v>
      </c>
      <c r="B36" s="1">
        <f>COUNTIF($C$1:C36,C36)</f>
        <v>32</v>
      </c>
      <c r="C36" s="1">
        <v>0</v>
      </c>
      <c r="D36" s="1">
        <f t="shared" si="3"/>
        <v>100032</v>
      </c>
      <c r="E36" s="1" t="s">
        <v>75</v>
      </c>
      <c r="F36" s="1" t="s">
        <v>76</v>
      </c>
      <c r="G36" s="1">
        <v>200032</v>
      </c>
      <c r="M36"/>
      <c r="N36"/>
      <c r="O36"/>
    </row>
    <row r="37" s="1" customFormat="1" spans="1:15">
      <c r="A37" s="1">
        <f t="shared" si="2"/>
        <v>33</v>
      </c>
      <c r="B37" s="1">
        <f>COUNTIF($C$1:C37,C37)</f>
        <v>33</v>
      </c>
      <c r="C37" s="1">
        <v>0</v>
      </c>
      <c r="D37" s="1">
        <f t="shared" si="3"/>
        <v>100033</v>
      </c>
      <c r="E37" s="1" t="s">
        <v>77</v>
      </c>
      <c r="F37" s="1" t="s">
        <v>78</v>
      </c>
      <c r="G37" s="1">
        <v>200033</v>
      </c>
      <c r="M37"/>
      <c r="N37"/>
      <c r="O37"/>
    </row>
    <row r="38" s="1" customFormat="1" spans="1:15">
      <c r="A38" s="1">
        <f t="shared" si="2"/>
        <v>34</v>
      </c>
      <c r="B38" s="1">
        <f>COUNTIF($C$1:C38,C38)</f>
        <v>34</v>
      </c>
      <c r="C38" s="1">
        <v>0</v>
      </c>
      <c r="D38" s="1">
        <f t="shared" si="3"/>
        <v>100034</v>
      </c>
      <c r="E38" s="1" t="s">
        <v>79</v>
      </c>
      <c r="F38" s="1" t="s">
        <v>80</v>
      </c>
      <c r="G38" s="1">
        <v>200034</v>
      </c>
      <c r="M38"/>
      <c r="N38"/>
      <c r="O38"/>
    </row>
    <row r="39" s="1" customFormat="1" spans="1:15">
      <c r="A39" s="1">
        <f t="shared" si="2"/>
        <v>35</v>
      </c>
      <c r="B39" s="1">
        <f>COUNTIF($C$1:C39,C39)</f>
        <v>35</v>
      </c>
      <c r="C39" s="1">
        <v>0</v>
      </c>
      <c r="D39" s="1">
        <f t="shared" si="3"/>
        <v>100035</v>
      </c>
      <c r="E39" s="1" t="s">
        <v>81</v>
      </c>
      <c r="F39" s="1" t="s">
        <v>82</v>
      </c>
      <c r="G39" s="1">
        <v>200035</v>
      </c>
      <c r="M39"/>
      <c r="N39"/>
      <c r="O39"/>
    </row>
    <row r="40" s="1" customFormat="1" spans="1:15">
      <c r="A40" s="1">
        <f t="shared" si="2"/>
        <v>36</v>
      </c>
      <c r="B40" s="1">
        <f>COUNTIF($C$1:C40,C40)</f>
        <v>36</v>
      </c>
      <c r="C40" s="1">
        <v>0</v>
      </c>
      <c r="D40" s="1">
        <f t="shared" si="3"/>
        <v>100036</v>
      </c>
      <c r="E40" s="1" t="s">
        <v>83</v>
      </c>
      <c r="F40" s="1" t="s">
        <v>84</v>
      </c>
      <c r="G40" s="1">
        <v>200036</v>
      </c>
      <c r="M40"/>
      <c r="N40"/>
      <c r="O40"/>
    </row>
    <row r="41" s="1" customFormat="1" spans="1:15">
      <c r="A41" s="1">
        <f t="shared" si="2"/>
        <v>37</v>
      </c>
      <c r="B41" s="1">
        <f>COUNTIF($C$1:C41,C41)</f>
        <v>37</v>
      </c>
      <c r="C41" s="1">
        <v>0</v>
      </c>
      <c r="D41" s="1">
        <f t="shared" si="3"/>
        <v>100037</v>
      </c>
      <c r="E41" s="1" t="s">
        <v>85</v>
      </c>
      <c r="F41" s="1" t="s">
        <v>86</v>
      </c>
      <c r="G41" s="1">
        <v>200037</v>
      </c>
      <c r="M41"/>
      <c r="N41"/>
      <c r="O41"/>
    </row>
    <row r="42" s="1" customFormat="1" spans="1:15">
      <c r="A42" s="1">
        <f t="shared" si="2"/>
        <v>38</v>
      </c>
      <c r="B42" s="1">
        <f>COUNTIF($C$1:C42,C42)</f>
        <v>38</v>
      </c>
      <c r="C42" s="1">
        <v>0</v>
      </c>
      <c r="D42" s="1">
        <f t="shared" si="3"/>
        <v>100038</v>
      </c>
      <c r="E42" s="1" t="s">
        <v>87</v>
      </c>
      <c r="F42" s="1" t="s">
        <v>88</v>
      </c>
      <c r="G42" s="1">
        <v>200038</v>
      </c>
      <c r="M42"/>
      <c r="N42"/>
      <c r="O42"/>
    </row>
    <row r="43" s="1" customFormat="1" spans="1:15">
      <c r="A43" s="1">
        <f t="shared" si="2"/>
        <v>39</v>
      </c>
      <c r="B43" s="1">
        <f>COUNTIF($C$1:C43,C43)</f>
        <v>39</v>
      </c>
      <c r="C43" s="1">
        <v>0</v>
      </c>
      <c r="D43" s="1">
        <f t="shared" si="3"/>
        <v>100039</v>
      </c>
      <c r="E43" s="1" t="s">
        <v>89</v>
      </c>
      <c r="F43" s="1" t="s">
        <v>90</v>
      </c>
      <c r="G43" s="1">
        <v>200039</v>
      </c>
      <c r="M43"/>
      <c r="N43"/>
      <c r="O43"/>
    </row>
    <row r="44" spans="1:7">
      <c r="A44">
        <f t="shared" ref="A44:A65" si="4">C44*1000+B44</f>
        <v>1001</v>
      </c>
      <c r="B44">
        <f>COUNTIF($C$1:C44,C44)</f>
        <v>1</v>
      </c>
      <c r="C44">
        <v>1</v>
      </c>
      <c r="D44" s="1">
        <f t="shared" si="3"/>
        <v>101001</v>
      </c>
      <c r="E44" t="s">
        <v>91</v>
      </c>
      <c r="F44" t="s">
        <v>92</v>
      </c>
      <c r="G44">
        <v>201001</v>
      </c>
    </row>
    <row r="45" spans="1:7">
      <c r="A45">
        <f t="shared" si="4"/>
        <v>1002</v>
      </c>
      <c r="B45">
        <f>COUNTIF($C$1:C45,C45)</f>
        <v>2</v>
      </c>
      <c r="C45">
        <v>1</v>
      </c>
      <c r="D45" s="1">
        <f t="shared" si="3"/>
        <v>101002</v>
      </c>
      <c r="E45" t="s">
        <v>93</v>
      </c>
      <c r="F45" t="s">
        <v>94</v>
      </c>
      <c r="G45">
        <v>201002</v>
      </c>
    </row>
    <row r="46" spans="1:7">
      <c r="A46">
        <f t="shared" si="4"/>
        <v>1003</v>
      </c>
      <c r="B46">
        <f>COUNTIF($C$1:C46,C46)</f>
        <v>3</v>
      </c>
      <c r="C46">
        <v>1</v>
      </c>
      <c r="D46" s="1">
        <f t="shared" si="3"/>
        <v>101003</v>
      </c>
      <c r="E46" t="s">
        <v>95</v>
      </c>
      <c r="F46" t="s">
        <v>96</v>
      </c>
      <c r="G46">
        <v>201003</v>
      </c>
    </row>
    <row r="47" spans="1:7">
      <c r="A47">
        <f t="shared" si="4"/>
        <v>1004</v>
      </c>
      <c r="B47">
        <f>COUNTIF($C$1:C47,C47)</f>
        <v>4</v>
      </c>
      <c r="C47">
        <v>1</v>
      </c>
      <c r="D47" s="1">
        <f t="shared" si="3"/>
        <v>101004</v>
      </c>
      <c r="E47" t="s">
        <v>97</v>
      </c>
      <c r="F47" t="s">
        <v>98</v>
      </c>
      <c r="G47">
        <v>201004</v>
      </c>
    </row>
    <row r="48" spans="1:7">
      <c r="A48">
        <f t="shared" si="4"/>
        <v>1005</v>
      </c>
      <c r="B48">
        <f>COUNTIF($C$1:C48,C48)</f>
        <v>5</v>
      </c>
      <c r="C48">
        <v>1</v>
      </c>
      <c r="D48" s="1">
        <f t="shared" si="3"/>
        <v>101005</v>
      </c>
      <c r="E48" t="s">
        <v>99</v>
      </c>
      <c r="F48" t="s">
        <v>100</v>
      </c>
      <c r="G48">
        <v>201005</v>
      </c>
    </row>
    <row r="49" spans="1:7">
      <c r="A49">
        <f t="shared" si="4"/>
        <v>1006</v>
      </c>
      <c r="B49">
        <f>COUNTIF($C$1:C49,C49)</f>
        <v>6</v>
      </c>
      <c r="C49">
        <v>1</v>
      </c>
      <c r="D49" s="1">
        <f t="shared" si="3"/>
        <v>101006</v>
      </c>
      <c r="E49" t="s">
        <v>101</v>
      </c>
      <c r="F49" t="s">
        <v>102</v>
      </c>
      <c r="G49">
        <v>201006</v>
      </c>
    </row>
    <row r="50" spans="1:7">
      <c r="A50">
        <f t="shared" si="4"/>
        <v>1007</v>
      </c>
      <c r="B50">
        <f>COUNTIF($C$1:C50,C50)</f>
        <v>7</v>
      </c>
      <c r="C50">
        <v>1</v>
      </c>
      <c r="D50" s="1">
        <f t="shared" si="3"/>
        <v>101007</v>
      </c>
      <c r="E50" t="s">
        <v>103</v>
      </c>
      <c r="F50" t="s">
        <v>104</v>
      </c>
      <c r="G50">
        <v>201007</v>
      </c>
    </row>
    <row r="51" spans="1:19">
      <c r="A51">
        <f t="shared" si="4"/>
        <v>1008</v>
      </c>
      <c r="B51">
        <f>COUNTIF($C$1:C51,C51)</f>
        <v>8</v>
      </c>
      <c r="C51">
        <v>1</v>
      </c>
      <c r="D51" s="1">
        <f t="shared" si="3"/>
        <v>101008</v>
      </c>
      <c r="E51" t="s">
        <v>105</v>
      </c>
      <c r="F51" t="s">
        <v>106</v>
      </c>
      <c r="G51">
        <v>201008</v>
      </c>
      <c r="S51" s="1"/>
    </row>
    <row r="52" spans="1:19">
      <c r="A52">
        <f t="shared" si="4"/>
        <v>1009</v>
      </c>
      <c r="B52">
        <f>COUNTIF($C$1:C52,C52)</f>
        <v>9</v>
      </c>
      <c r="C52">
        <v>1</v>
      </c>
      <c r="D52" s="1">
        <f t="shared" si="3"/>
        <v>101009</v>
      </c>
      <c r="E52" t="s">
        <v>107</v>
      </c>
      <c r="F52" t="s">
        <v>108</v>
      </c>
      <c r="G52">
        <v>201009</v>
      </c>
      <c r="S52" s="1"/>
    </row>
    <row r="53" spans="1:19">
      <c r="A53">
        <f t="shared" si="4"/>
        <v>1010</v>
      </c>
      <c r="B53">
        <f>COUNTIF($C$1:C53,C53)</f>
        <v>10</v>
      </c>
      <c r="C53">
        <v>1</v>
      </c>
      <c r="D53" s="1">
        <f t="shared" si="3"/>
        <v>101010</v>
      </c>
      <c r="E53" t="s">
        <v>109</v>
      </c>
      <c r="F53" t="s">
        <v>110</v>
      </c>
      <c r="G53">
        <v>201010</v>
      </c>
      <c r="H53" s="7"/>
      <c r="I53" s="7"/>
      <c r="K53" s="1"/>
      <c r="S53" s="1"/>
    </row>
    <row r="54" spans="1:19">
      <c r="A54">
        <f t="shared" si="4"/>
        <v>1011</v>
      </c>
      <c r="B54">
        <f>COUNTIF($C$1:C54,C54)</f>
        <v>11</v>
      </c>
      <c r="C54">
        <v>1</v>
      </c>
      <c r="D54" s="1">
        <f t="shared" si="3"/>
        <v>101011</v>
      </c>
      <c r="E54" t="s">
        <v>111</v>
      </c>
      <c r="F54" t="s">
        <v>112</v>
      </c>
      <c r="G54">
        <v>201011</v>
      </c>
      <c r="H54" s="7"/>
      <c r="I54" s="7"/>
      <c r="K54" s="1"/>
      <c r="S54" s="1"/>
    </row>
    <row r="55" spans="1:19">
      <c r="A55">
        <f t="shared" si="4"/>
        <v>1012</v>
      </c>
      <c r="B55">
        <f>COUNTIF($C$1:C55,C55)</f>
        <v>12</v>
      </c>
      <c r="C55">
        <v>1</v>
      </c>
      <c r="D55" s="1">
        <f t="shared" si="3"/>
        <v>101012</v>
      </c>
      <c r="E55" t="s">
        <v>113</v>
      </c>
      <c r="F55" t="s">
        <v>114</v>
      </c>
      <c r="G55">
        <v>201012</v>
      </c>
      <c r="H55" s="7"/>
      <c r="I55" s="7"/>
      <c r="K55" s="1"/>
      <c r="S55" s="1"/>
    </row>
    <row r="56" spans="1:19">
      <c r="A56">
        <f t="shared" si="4"/>
        <v>1013</v>
      </c>
      <c r="B56">
        <f>COUNTIF($C$1:C56,C56)</f>
        <v>13</v>
      </c>
      <c r="C56">
        <v>1</v>
      </c>
      <c r="D56" s="1">
        <f t="shared" si="3"/>
        <v>101013</v>
      </c>
      <c r="E56" t="s">
        <v>115</v>
      </c>
      <c r="F56" t="s">
        <v>116</v>
      </c>
      <c r="G56">
        <v>201013</v>
      </c>
      <c r="H56" s="7"/>
      <c r="I56" s="7"/>
      <c r="K56" s="1"/>
      <c r="S56" s="1"/>
    </row>
    <row r="57" spans="1:19">
      <c r="A57">
        <f t="shared" si="4"/>
        <v>1014</v>
      </c>
      <c r="B57">
        <f>COUNTIF($C$1:C57,C57)</f>
        <v>14</v>
      </c>
      <c r="C57">
        <v>1</v>
      </c>
      <c r="D57" s="1">
        <f t="shared" si="3"/>
        <v>101014</v>
      </c>
      <c r="E57" t="s">
        <v>117</v>
      </c>
      <c r="F57" t="s">
        <v>118</v>
      </c>
      <c r="G57">
        <v>201014</v>
      </c>
      <c r="H57" s="7"/>
      <c r="I57" s="7"/>
      <c r="K57" s="1"/>
      <c r="S57" s="1"/>
    </row>
    <row r="58" spans="1:19">
      <c r="A58">
        <f t="shared" si="4"/>
        <v>1015</v>
      </c>
      <c r="B58">
        <f>COUNTIF($C$1:C58,C58)</f>
        <v>15</v>
      </c>
      <c r="C58">
        <v>1</v>
      </c>
      <c r="D58" s="1">
        <f t="shared" si="3"/>
        <v>101015</v>
      </c>
      <c r="E58" t="s">
        <v>119</v>
      </c>
      <c r="F58" t="s">
        <v>120</v>
      </c>
      <c r="G58">
        <v>201015</v>
      </c>
      <c r="H58" s="7"/>
      <c r="I58" s="7"/>
      <c r="K58" s="1"/>
      <c r="S58" s="1"/>
    </row>
    <row r="59" spans="1:19">
      <c r="A59">
        <f t="shared" si="4"/>
        <v>1016</v>
      </c>
      <c r="B59">
        <f>COUNTIF($C$1:C59,C59)</f>
        <v>16</v>
      </c>
      <c r="C59">
        <v>1</v>
      </c>
      <c r="D59" s="1">
        <f t="shared" si="3"/>
        <v>101016</v>
      </c>
      <c r="E59" t="s">
        <v>121</v>
      </c>
      <c r="F59" t="s">
        <v>122</v>
      </c>
      <c r="G59">
        <v>201016</v>
      </c>
      <c r="H59" s="7"/>
      <c r="I59" s="7"/>
      <c r="K59" s="1"/>
      <c r="S59" s="1"/>
    </row>
    <row r="60" spans="1:19">
      <c r="A60">
        <f t="shared" si="4"/>
        <v>1017</v>
      </c>
      <c r="B60">
        <f>COUNTIF($C$1:C60,C60)</f>
        <v>17</v>
      </c>
      <c r="C60">
        <v>1</v>
      </c>
      <c r="D60" s="1">
        <f t="shared" si="3"/>
        <v>101017</v>
      </c>
      <c r="E60" t="s">
        <v>123</v>
      </c>
      <c r="F60" t="s">
        <v>124</v>
      </c>
      <c r="G60">
        <v>201017</v>
      </c>
      <c r="H60" s="7"/>
      <c r="I60" s="7"/>
      <c r="K60" s="1"/>
      <c r="S60" s="1"/>
    </row>
    <row r="61" spans="1:19">
      <c r="A61">
        <f t="shared" si="4"/>
        <v>1018</v>
      </c>
      <c r="B61">
        <f>COUNTIF($C$1:C61,C61)</f>
        <v>18</v>
      </c>
      <c r="C61">
        <v>1</v>
      </c>
      <c r="D61" s="1">
        <f t="shared" si="3"/>
        <v>101018</v>
      </c>
      <c r="E61" t="s">
        <v>125</v>
      </c>
      <c r="F61" t="s">
        <v>126</v>
      </c>
      <c r="G61">
        <v>201018</v>
      </c>
      <c r="H61" s="7"/>
      <c r="I61" s="7"/>
      <c r="K61" s="1"/>
      <c r="S61" s="1"/>
    </row>
    <row r="62" customFormat="1" spans="1:19">
      <c r="A62">
        <f>C62*1000+B62</f>
        <v>1801</v>
      </c>
      <c r="B62">
        <v>801</v>
      </c>
      <c r="C62">
        <v>1</v>
      </c>
      <c r="D62" s="1">
        <f>100000+C62*1000+B62</f>
        <v>101801</v>
      </c>
      <c r="E62" t="s">
        <v>127</v>
      </c>
      <c r="F62" t="s">
        <v>128</v>
      </c>
      <c r="G62">
        <v>201801</v>
      </c>
      <c r="H62" s="7"/>
      <c r="I62" s="7"/>
      <c r="K62" s="1"/>
      <c r="S62" s="1"/>
    </row>
    <row r="63" customFormat="1" spans="1:19">
      <c r="A63">
        <f>C63*1000+B63</f>
        <v>1802</v>
      </c>
      <c r="B63">
        <v>802</v>
      </c>
      <c r="C63">
        <v>1</v>
      </c>
      <c r="D63" s="1">
        <f>100000+C63*1000+B63</f>
        <v>101802</v>
      </c>
      <c r="E63" t="s">
        <v>129</v>
      </c>
      <c r="F63" t="s">
        <v>126</v>
      </c>
      <c r="G63">
        <v>201802</v>
      </c>
      <c r="H63" s="7"/>
      <c r="I63" s="7"/>
      <c r="K63" s="1"/>
      <c r="S63" s="1"/>
    </row>
    <row r="64" s="2" customFormat="1" spans="1:19">
      <c r="A64" s="2">
        <f>C64*1000+B64</f>
        <v>2001</v>
      </c>
      <c r="B64" s="2">
        <f>COUNTIF($C$1:C64,C64)</f>
        <v>1</v>
      </c>
      <c r="C64" s="2">
        <v>2</v>
      </c>
      <c r="D64" s="1">
        <f t="shared" ref="D64:D95" si="5">100000+C64*1000+B64</f>
        <v>102001</v>
      </c>
      <c r="E64" s="2" t="s">
        <v>130</v>
      </c>
      <c r="F64" s="2" t="s">
        <v>131</v>
      </c>
      <c r="G64" s="2">
        <v>202001</v>
      </c>
      <c r="H64" s="2"/>
      <c r="K64" s="8"/>
      <c r="M64"/>
      <c r="N64"/>
      <c r="O64"/>
      <c r="S64" s="1"/>
    </row>
    <row r="65" s="2" customFormat="1" spans="1:19">
      <c r="A65" s="2">
        <f>C65*1000+B65</f>
        <v>2002</v>
      </c>
      <c r="B65" s="2">
        <f>COUNTIF($C$1:C65,C65)</f>
        <v>2</v>
      </c>
      <c r="C65" s="2">
        <v>2</v>
      </c>
      <c r="D65" s="1">
        <f t="shared" si="5"/>
        <v>102002</v>
      </c>
      <c r="E65" s="2" t="s">
        <v>132</v>
      </c>
      <c r="F65" s="2" t="s">
        <v>133</v>
      </c>
      <c r="G65" s="2">
        <v>202002</v>
      </c>
      <c r="H65" s="2"/>
      <c r="K65" s="8"/>
      <c r="M65"/>
      <c r="N65"/>
      <c r="O65"/>
      <c r="S65" s="1"/>
    </row>
    <row r="66" s="2" customFormat="1" spans="1:19">
      <c r="A66" s="2">
        <f t="shared" ref="A66:A95" si="6">C66*1000+B66</f>
        <v>2003</v>
      </c>
      <c r="B66" s="2">
        <f>COUNTIF($C$1:C66,C66)</f>
        <v>3</v>
      </c>
      <c r="C66" s="2">
        <v>2</v>
      </c>
      <c r="D66" s="1">
        <f t="shared" si="5"/>
        <v>102003</v>
      </c>
      <c r="E66" s="2" t="s">
        <v>134</v>
      </c>
      <c r="F66" s="2" t="s">
        <v>135</v>
      </c>
      <c r="G66" s="2">
        <v>202003</v>
      </c>
      <c r="H66" s="2"/>
      <c r="K66" s="8"/>
      <c r="M66"/>
      <c r="N66"/>
      <c r="O66"/>
      <c r="S66" s="1"/>
    </row>
    <row r="67" s="2" customFormat="1" spans="1:19">
      <c r="A67" s="2">
        <f t="shared" si="6"/>
        <v>2004</v>
      </c>
      <c r="B67" s="2">
        <f>COUNTIF($C$1:C67,C67)</f>
        <v>4</v>
      </c>
      <c r="C67" s="2">
        <v>2</v>
      </c>
      <c r="D67" s="1">
        <f t="shared" si="5"/>
        <v>102004</v>
      </c>
      <c r="E67" s="2" t="s">
        <v>136</v>
      </c>
      <c r="F67" s="2" t="s">
        <v>137</v>
      </c>
      <c r="G67" s="2">
        <v>202004</v>
      </c>
      <c r="H67" s="2"/>
      <c r="K67" s="8"/>
      <c r="M67"/>
      <c r="N67"/>
      <c r="O67"/>
      <c r="S67" s="1"/>
    </row>
    <row r="68" s="2" customFormat="1" spans="1:19">
      <c r="A68" s="2">
        <f t="shared" si="6"/>
        <v>2005</v>
      </c>
      <c r="B68" s="2">
        <f>COUNTIF($C$1:C68,C68)</f>
        <v>5</v>
      </c>
      <c r="C68" s="2">
        <v>2</v>
      </c>
      <c r="D68" s="1">
        <f t="shared" si="5"/>
        <v>102005</v>
      </c>
      <c r="E68" s="2" t="s">
        <v>138</v>
      </c>
      <c r="F68" s="2" t="s">
        <v>139</v>
      </c>
      <c r="G68" s="2">
        <v>202005</v>
      </c>
      <c r="H68" s="2"/>
      <c r="K68" s="8"/>
      <c r="M68"/>
      <c r="N68"/>
      <c r="O68"/>
      <c r="S68" s="1"/>
    </row>
    <row r="69" s="2" customFormat="1" spans="1:19">
      <c r="A69" s="2">
        <f t="shared" si="6"/>
        <v>2006</v>
      </c>
      <c r="B69" s="2">
        <f>COUNTIF($C$1:C69,C69)</f>
        <v>6</v>
      </c>
      <c r="C69" s="2">
        <v>2</v>
      </c>
      <c r="D69" s="1">
        <f t="shared" si="5"/>
        <v>102006</v>
      </c>
      <c r="E69" s="2" t="s">
        <v>140</v>
      </c>
      <c r="F69" s="2" t="s">
        <v>141</v>
      </c>
      <c r="G69" s="2">
        <v>202006</v>
      </c>
      <c r="H69" s="2"/>
      <c r="K69" s="8"/>
      <c r="M69"/>
      <c r="N69"/>
      <c r="O69"/>
      <c r="S69" s="1"/>
    </row>
    <row r="70" s="2" customFormat="1" spans="1:19">
      <c r="A70" s="2">
        <f t="shared" si="6"/>
        <v>2007</v>
      </c>
      <c r="B70" s="2">
        <f>COUNTIF($C$1:C70,C70)</f>
        <v>7</v>
      </c>
      <c r="C70" s="2">
        <v>2</v>
      </c>
      <c r="D70" s="1">
        <f t="shared" si="5"/>
        <v>102007</v>
      </c>
      <c r="E70" s="2" t="s">
        <v>142</v>
      </c>
      <c r="F70" s="2" t="s">
        <v>143</v>
      </c>
      <c r="G70" s="2">
        <v>202007</v>
      </c>
      <c r="H70" s="2"/>
      <c r="K70" s="8"/>
      <c r="M70"/>
      <c r="N70"/>
      <c r="O70"/>
      <c r="S70" s="1"/>
    </row>
    <row r="71" s="2" customFormat="1" spans="1:19">
      <c r="A71" s="2">
        <f t="shared" si="6"/>
        <v>2008</v>
      </c>
      <c r="B71" s="2">
        <f>COUNTIF($C$1:C71,C71)</f>
        <v>8</v>
      </c>
      <c r="C71" s="2">
        <v>2</v>
      </c>
      <c r="D71" s="1">
        <f t="shared" si="5"/>
        <v>102008</v>
      </c>
      <c r="E71" s="2" t="s">
        <v>144</v>
      </c>
      <c r="F71" s="2" t="s">
        <v>145</v>
      </c>
      <c r="G71" s="2">
        <v>202008</v>
      </c>
      <c r="H71" s="2"/>
      <c r="K71" s="8"/>
      <c r="M71"/>
      <c r="N71"/>
      <c r="O71"/>
      <c r="S71" s="1"/>
    </row>
    <row r="72" s="2" customFormat="1" spans="1:19">
      <c r="A72" s="2">
        <f t="shared" si="6"/>
        <v>2009</v>
      </c>
      <c r="B72" s="2">
        <f>COUNTIF($C$1:C72,C72)</f>
        <v>9</v>
      </c>
      <c r="C72" s="2">
        <v>2</v>
      </c>
      <c r="D72" s="1">
        <f t="shared" si="5"/>
        <v>102009</v>
      </c>
      <c r="E72" s="2" t="s">
        <v>146</v>
      </c>
      <c r="F72" s="2" t="s">
        <v>147</v>
      </c>
      <c r="G72" s="2">
        <v>202009</v>
      </c>
      <c r="H72" s="2"/>
      <c r="K72" s="8"/>
      <c r="M72"/>
      <c r="N72"/>
      <c r="O72"/>
      <c r="S72" s="1"/>
    </row>
    <row r="73" s="2" customFormat="1" spans="1:19">
      <c r="A73" s="2">
        <f t="shared" si="6"/>
        <v>2010</v>
      </c>
      <c r="B73" s="2">
        <f>COUNTIF($C$1:C73,C73)</f>
        <v>10</v>
      </c>
      <c r="C73" s="2">
        <v>2</v>
      </c>
      <c r="D73" s="1">
        <f t="shared" si="5"/>
        <v>102010</v>
      </c>
      <c r="E73" s="2" t="s">
        <v>148</v>
      </c>
      <c r="F73" s="2" t="s">
        <v>149</v>
      </c>
      <c r="G73" s="2">
        <v>202010</v>
      </c>
      <c r="H73" s="2"/>
      <c r="K73" s="8"/>
      <c r="M73"/>
      <c r="N73"/>
      <c r="O73"/>
      <c r="S73" s="1"/>
    </row>
    <row r="74" s="2" customFormat="1" spans="1:19">
      <c r="A74" s="2">
        <f t="shared" si="6"/>
        <v>2011</v>
      </c>
      <c r="B74" s="2">
        <f>COUNTIF($C$1:C74,C74)</f>
        <v>11</v>
      </c>
      <c r="C74" s="2">
        <v>2</v>
      </c>
      <c r="D74" s="1">
        <f t="shared" si="5"/>
        <v>102011</v>
      </c>
      <c r="E74" s="2" t="s">
        <v>150</v>
      </c>
      <c r="F74" s="2" t="s">
        <v>151</v>
      </c>
      <c r="G74" s="2">
        <v>202011</v>
      </c>
      <c r="H74" s="2"/>
      <c r="K74" s="8"/>
      <c r="M74"/>
      <c r="N74"/>
      <c r="O74"/>
      <c r="S74" s="1"/>
    </row>
    <row r="75" s="2" customFormat="1" spans="1:19">
      <c r="A75" s="2">
        <f t="shared" si="6"/>
        <v>2012</v>
      </c>
      <c r="B75" s="2">
        <f>COUNTIF($C$1:C75,C75)</f>
        <v>12</v>
      </c>
      <c r="C75" s="2">
        <v>2</v>
      </c>
      <c r="D75" s="1">
        <f t="shared" si="5"/>
        <v>102012</v>
      </c>
      <c r="E75" s="2" t="s">
        <v>152</v>
      </c>
      <c r="F75" s="2" t="s">
        <v>153</v>
      </c>
      <c r="G75" s="2">
        <v>202012</v>
      </c>
      <c r="H75" s="2"/>
      <c r="K75" s="8"/>
      <c r="M75"/>
      <c r="N75"/>
      <c r="O75"/>
      <c r="S75" s="1"/>
    </row>
    <row r="76" s="2" customFormat="1" spans="1:19">
      <c r="A76" s="2">
        <f t="shared" si="6"/>
        <v>2013</v>
      </c>
      <c r="B76" s="2">
        <f>COUNTIF($C$1:C76,C76)</f>
        <v>13</v>
      </c>
      <c r="C76" s="2">
        <v>2</v>
      </c>
      <c r="D76" s="1">
        <f t="shared" si="5"/>
        <v>102013</v>
      </c>
      <c r="E76" s="2" t="s">
        <v>154</v>
      </c>
      <c r="F76" s="2" t="s">
        <v>155</v>
      </c>
      <c r="G76" s="2">
        <v>202013</v>
      </c>
      <c r="H76" s="2"/>
      <c r="K76" s="8"/>
      <c r="M76"/>
      <c r="N76"/>
      <c r="O76"/>
      <c r="S76" s="1"/>
    </row>
    <row r="77" s="2" customFormat="1" spans="1:19">
      <c r="A77" s="2">
        <f t="shared" si="6"/>
        <v>2014</v>
      </c>
      <c r="B77" s="2">
        <f>COUNTIF($C$1:C77,C77)</f>
        <v>14</v>
      </c>
      <c r="C77" s="2">
        <v>2</v>
      </c>
      <c r="D77" s="1">
        <f t="shared" si="5"/>
        <v>102014</v>
      </c>
      <c r="E77" s="2" t="s">
        <v>156</v>
      </c>
      <c r="F77" s="2" t="s">
        <v>157</v>
      </c>
      <c r="G77" s="2">
        <v>202014</v>
      </c>
      <c r="H77" s="2"/>
      <c r="K77" s="8"/>
      <c r="M77"/>
      <c r="N77"/>
      <c r="O77"/>
      <c r="S77" s="1"/>
    </row>
    <row r="78" s="2" customFormat="1" spans="1:19">
      <c r="A78" s="2">
        <f t="shared" si="6"/>
        <v>2015</v>
      </c>
      <c r="B78" s="2">
        <f>COUNTIF($C$1:C78,C78)</f>
        <v>15</v>
      </c>
      <c r="C78" s="2">
        <v>2</v>
      </c>
      <c r="D78" s="1">
        <f t="shared" si="5"/>
        <v>102015</v>
      </c>
      <c r="E78" s="2" t="s">
        <v>158</v>
      </c>
      <c r="F78" s="2" t="s">
        <v>159</v>
      </c>
      <c r="G78" s="2">
        <v>202015</v>
      </c>
      <c r="H78" s="2"/>
      <c r="K78" s="8"/>
      <c r="M78"/>
      <c r="N78"/>
      <c r="O78"/>
      <c r="S78" s="1"/>
    </row>
    <row r="79" s="2" customFormat="1" spans="1:19">
      <c r="A79" s="2">
        <f t="shared" si="6"/>
        <v>2016</v>
      </c>
      <c r="B79" s="2">
        <f>COUNTIF($C$1:C79,C79)</f>
        <v>16</v>
      </c>
      <c r="C79" s="2">
        <v>2</v>
      </c>
      <c r="D79" s="1">
        <f t="shared" si="5"/>
        <v>102016</v>
      </c>
      <c r="E79" s="2" t="s">
        <v>160</v>
      </c>
      <c r="F79" s="2" t="s">
        <v>161</v>
      </c>
      <c r="G79" s="2">
        <v>202016</v>
      </c>
      <c r="H79" s="2"/>
      <c r="K79" s="8"/>
      <c r="M79"/>
      <c r="N79"/>
      <c r="O79"/>
      <c r="S79" s="1"/>
    </row>
    <row r="80" s="2" customFormat="1" spans="1:19">
      <c r="A80" s="2">
        <f t="shared" si="6"/>
        <v>2017</v>
      </c>
      <c r="B80" s="2">
        <f>COUNTIF($C$1:C80,C80)</f>
        <v>17</v>
      </c>
      <c r="C80" s="2">
        <v>2</v>
      </c>
      <c r="D80" s="1">
        <f t="shared" si="5"/>
        <v>102017</v>
      </c>
      <c r="E80" s="2" t="s">
        <v>162</v>
      </c>
      <c r="F80" s="2" t="s">
        <v>163</v>
      </c>
      <c r="G80" s="2">
        <v>202017</v>
      </c>
      <c r="H80" s="2"/>
      <c r="K80" s="8"/>
      <c r="M80"/>
      <c r="N80"/>
      <c r="O80"/>
      <c r="S80" s="1"/>
    </row>
    <row r="81" s="2" customFormat="1" spans="1:19">
      <c r="A81" s="2">
        <f t="shared" si="6"/>
        <v>2018</v>
      </c>
      <c r="B81" s="2">
        <f>COUNTIF($C$1:C81,C81)</f>
        <v>18</v>
      </c>
      <c r="C81" s="2">
        <v>2</v>
      </c>
      <c r="D81" s="1">
        <f t="shared" si="5"/>
        <v>102018</v>
      </c>
      <c r="E81" s="2" t="s">
        <v>164</v>
      </c>
      <c r="F81" s="2" t="s">
        <v>165</v>
      </c>
      <c r="G81" s="2">
        <v>202018</v>
      </c>
      <c r="H81" s="2"/>
      <c r="K81" s="8"/>
      <c r="M81"/>
      <c r="N81"/>
      <c r="O81"/>
      <c r="S81" s="1"/>
    </row>
    <row r="82" s="2" customFormat="1" spans="1:19">
      <c r="A82" s="2">
        <f t="shared" si="6"/>
        <v>2019</v>
      </c>
      <c r="B82" s="2">
        <f>COUNTIF($C$1:C82,C82)</f>
        <v>19</v>
      </c>
      <c r="C82" s="2">
        <v>2</v>
      </c>
      <c r="D82" s="1">
        <f t="shared" si="5"/>
        <v>102019</v>
      </c>
      <c r="E82" s="2" t="s">
        <v>166</v>
      </c>
      <c r="F82" s="2" t="s">
        <v>167</v>
      </c>
      <c r="G82" s="2">
        <v>202019</v>
      </c>
      <c r="H82" s="2"/>
      <c r="K82" s="8"/>
      <c r="M82"/>
      <c r="N82"/>
      <c r="O82"/>
      <c r="S82" s="1"/>
    </row>
    <row r="83" s="2" customFormat="1" spans="1:19">
      <c r="A83" s="2">
        <f t="shared" si="6"/>
        <v>2020</v>
      </c>
      <c r="B83" s="2">
        <f>COUNTIF($C$1:C83,C83)</f>
        <v>20</v>
      </c>
      <c r="C83" s="2">
        <v>2</v>
      </c>
      <c r="D83" s="1">
        <f t="shared" si="5"/>
        <v>102020</v>
      </c>
      <c r="E83" s="2" t="s">
        <v>168</v>
      </c>
      <c r="F83" s="2" t="s">
        <v>169</v>
      </c>
      <c r="G83" s="2">
        <v>202020</v>
      </c>
      <c r="H83" s="2"/>
      <c r="K83" s="8"/>
      <c r="M83"/>
      <c r="N83"/>
      <c r="O83"/>
      <c r="S83" s="1"/>
    </row>
    <row r="84" s="3" customFormat="1" spans="1:11">
      <c r="A84" s="3">
        <f t="shared" si="6"/>
        <v>3001</v>
      </c>
      <c r="B84" s="3">
        <f>COUNTIF($C$1:C84,C84)</f>
        <v>1</v>
      </c>
      <c r="C84" s="3">
        <v>3</v>
      </c>
      <c r="D84" s="1">
        <f t="shared" si="5"/>
        <v>103001</v>
      </c>
      <c r="E84" s="3" t="s">
        <v>170</v>
      </c>
      <c r="F84" s="3" t="s">
        <v>171</v>
      </c>
      <c r="G84" s="3">
        <v>203001</v>
      </c>
      <c r="H84" s="3">
        <v>3</v>
      </c>
      <c r="K84" s="1"/>
    </row>
    <row r="85" s="3" customFormat="1" spans="1:11">
      <c r="A85" s="3">
        <f t="shared" si="6"/>
        <v>3002</v>
      </c>
      <c r="B85" s="3">
        <f>COUNTIF($C$1:C85,C85)</f>
        <v>2</v>
      </c>
      <c r="C85" s="3">
        <v>3</v>
      </c>
      <c r="D85" s="1">
        <f t="shared" si="5"/>
        <v>103002</v>
      </c>
      <c r="E85" s="3" t="s">
        <v>172</v>
      </c>
      <c r="F85" s="3" t="s">
        <v>173</v>
      </c>
      <c r="G85" s="3">
        <v>203002</v>
      </c>
      <c r="H85" s="3">
        <v>6</v>
      </c>
      <c r="K85" s="1"/>
    </row>
    <row r="86" s="3" customFormat="1" spans="1:11">
      <c r="A86" s="3">
        <f t="shared" si="6"/>
        <v>3003</v>
      </c>
      <c r="B86" s="3">
        <f>COUNTIF($C$1:C86,C86)</f>
        <v>3</v>
      </c>
      <c r="C86" s="3">
        <v>3</v>
      </c>
      <c r="D86" s="1">
        <f t="shared" si="5"/>
        <v>103003</v>
      </c>
      <c r="E86" s="3" t="s">
        <v>174</v>
      </c>
      <c r="F86" s="3" t="s">
        <v>175</v>
      </c>
      <c r="G86" s="3">
        <v>203003</v>
      </c>
      <c r="H86" s="3">
        <v>9</v>
      </c>
      <c r="K86" s="1"/>
    </row>
    <row r="87" s="4" customFormat="1" spans="1:11">
      <c r="A87" s="4">
        <f t="shared" si="6"/>
        <v>4001</v>
      </c>
      <c r="B87" s="4">
        <f>COUNTIF($C$1:C87,C87)</f>
        <v>1</v>
      </c>
      <c r="C87" s="4">
        <v>4</v>
      </c>
      <c r="D87" s="4">
        <f t="shared" si="5"/>
        <v>104001</v>
      </c>
      <c r="E87" s="4" t="s">
        <v>176</v>
      </c>
      <c r="F87" s="4" t="s">
        <v>177</v>
      </c>
      <c r="G87" s="4">
        <f t="shared" ref="G87:G96" si="7">200000+A87</f>
        <v>204001</v>
      </c>
      <c r="H87" s="3"/>
      <c r="I87" s="3"/>
      <c r="J87" s="3"/>
      <c r="K87" s="9"/>
    </row>
    <row r="88" s="4" customFormat="1" spans="1:11">
      <c r="A88" s="4">
        <f t="shared" si="6"/>
        <v>4002</v>
      </c>
      <c r="B88" s="4">
        <f>COUNTIF($C$1:C88,C88)</f>
        <v>2</v>
      </c>
      <c r="C88" s="4">
        <v>4</v>
      </c>
      <c r="D88" s="4">
        <f t="shared" si="5"/>
        <v>104002</v>
      </c>
      <c r="E88" s="4" t="s">
        <v>176</v>
      </c>
      <c r="F88" s="4" t="s">
        <v>178</v>
      </c>
      <c r="G88" s="4">
        <f t="shared" si="7"/>
        <v>204002</v>
      </c>
      <c r="H88" s="3">
        <v>3</v>
      </c>
      <c r="I88" s="3"/>
      <c r="J88" s="3"/>
      <c r="K88" s="9"/>
    </row>
    <row r="89" s="4" customFormat="1" spans="1:11">
      <c r="A89" s="4">
        <f t="shared" si="6"/>
        <v>4003</v>
      </c>
      <c r="B89" s="4">
        <f>COUNTIF($C$1:C89,C89)</f>
        <v>3</v>
      </c>
      <c r="C89" s="4">
        <v>4</v>
      </c>
      <c r="D89" s="4">
        <f t="shared" si="5"/>
        <v>104003</v>
      </c>
      <c r="E89" s="4" t="s">
        <v>179</v>
      </c>
      <c r="F89" s="4" t="s">
        <v>180</v>
      </c>
      <c r="G89" s="4">
        <f t="shared" si="7"/>
        <v>204003</v>
      </c>
      <c r="H89" s="3">
        <v>6</v>
      </c>
      <c r="I89" s="3"/>
      <c r="J89" s="3"/>
      <c r="K89" s="9"/>
    </row>
    <row r="90" s="5" customFormat="1" spans="1:11">
      <c r="A90" s="5">
        <f t="shared" ref="A90:A97" si="8">C90*1000+B90</f>
        <v>5001</v>
      </c>
      <c r="B90" s="5">
        <f>COUNTIF($C$1:C90,C90)</f>
        <v>1</v>
      </c>
      <c r="C90" s="5">
        <v>5</v>
      </c>
      <c r="D90" s="5">
        <f t="shared" ref="D90:D97" si="9">100000+C90*1000+B90</f>
        <v>105001</v>
      </c>
      <c r="E90" s="5" t="s">
        <v>181</v>
      </c>
      <c r="F90" s="5" t="s">
        <v>182</v>
      </c>
      <c r="G90" s="5">
        <f t="shared" si="7"/>
        <v>205001</v>
      </c>
      <c r="H90" s="3"/>
      <c r="I90" s="3"/>
      <c r="J90" s="3"/>
      <c r="K90" s="9"/>
    </row>
    <row r="91" s="5" customFormat="1" spans="1:11">
      <c r="A91" s="5">
        <f t="shared" si="8"/>
        <v>5002</v>
      </c>
      <c r="B91" s="5">
        <f>COUNTIF($C$1:C91,C91)</f>
        <v>2</v>
      </c>
      <c r="C91" s="5">
        <v>5</v>
      </c>
      <c r="D91" s="5">
        <f t="shared" si="9"/>
        <v>105002</v>
      </c>
      <c r="E91" s="5" t="s">
        <v>181</v>
      </c>
      <c r="F91" s="5" t="s">
        <v>183</v>
      </c>
      <c r="G91" s="5">
        <f t="shared" si="7"/>
        <v>205002</v>
      </c>
      <c r="H91" s="3">
        <v>3</v>
      </c>
      <c r="I91" s="3"/>
      <c r="J91" s="3"/>
      <c r="K91" s="9"/>
    </row>
    <row r="92" s="5" customFormat="1" spans="1:11">
      <c r="A92" s="5">
        <f t="shared" si="8"/>
        <v>5003</v>
      </c>
      <c r="B92" s="5">
        <f>COUNTIF($C$1:C92,C92)</f>
        <v>3</v>
      </c>
      <c r="C92" s="5">
        <v>5</v>
      </c>
      <c r="D92" s="5">
        <f t="shared" si="9"/>
        <v>105003</v>
      </c>
      <c r="E92" s="5" t="s">
        <v>184</v>
      </c>
      <c r="F92" s="5" t="s">
        <v>185</v>
      </c>
      <c r="G92" s="5">
        <f t="shared" si="7"/>
        <v>205003</v>
      </c>
      <c r="H92" s="3">
        <v>6</v>
      </c>
      <c r="I92" s="3"/>
      <c r="J92" s="3"/>
      <c r="K92" s="9"/>
    </row>
    <row r="93" s="6" customFormat="1" spans="1:11">
      <c r="A93" s="6">
        <f t="shared" si="8"/>
        <v>6001</v>
      </c>
      <c r="B93" s="6">
        <f>COUNTIF($C$1:C93,C93)</f>
        <v>1</v>
      </c>
      <c r="C93" s="6">
        <v>6</v>
      </c>
      <c r="D93" s="6">
        <f t="shared" si="9"/>
        <v>106001</v>
      </c>
      <c r="E93" s="6" t="s">
        <v>186</v>
      </c>
      <c r="F93" s="6" t="s">
        <v>187</v>
      </c>
      <c r="G93" s="6">
        <f t="shared" si="7"/>
        <v>206001</v>
      </c>
      <c r="H93" s="3"/>
      <c r="I93" s="3"/>
      <c r="J93" s="3"/>
      <c r="K93" s="9"/>
    </row>
    <row r="94" s="6" customFormat="1" spans="1:11">
      <c r="A94" s="6">
        <f t="shared" si="8"/>
        <v>6002</v>
      </c>
      <c r="B94" s="6">
        <f>COUNTIF($C$1:C94,C94)</f>
        <v>2</v>
      </c>
      <c r="C94" s="6">
        <v>6</v>
      </c>
      <c r="D94" s="6">
        <f t="shared" si="9"/>
        <v>106002</v>
      </c>
      <c r="E94" s="6" t="s">
        <v>186</v>
      </c>
      <c r="F94" s="6" t="s">
        <v>188</v>
      </c>
      <c r="G94" s="6">
        <f t="shared" si="7"/>
        <v>206002</v>
      </c>
      <c r="H94" s="3">
        <v>3</v>
      </c>
      <c r="I94" s="3"/>
      <c r="J94" s="3"/>
      <c r="K94" s="9"/>
    </row>
    <row r="95" s="6" customFormat="1" spans="1:11">
      <c r="A95" s="6">
        <f t="shared" si="8"/>
        <v>6003</v>
      </c>
      <c r="B95" s="6">
        <f>COUNTIF($C$1:C95,C95)</f>
        <v>3</v>
      </c>
      <c r="C95" s="6">
        <v>6</v>
      </c>
      <c r="D95" s="6">
        <f t="shared" si="9"/>
        <v>106003</v>
      </c>
      <c r="E95" s="6" t="s">
        <v>189</v>
      </c>
      <c r="F95" s="6" t="s">
        <v>190</v>
      </c>
      <c r="G95" s="6">
        <f t="shared" si="7"/>
        <v>206003</v>
      </c>
      <c r="H95" s="3">
        <v>6</v>
      </c>
      <c r="I95" s="3"/>
      <c r="J95" s="3"/>
      <c r="K95" s="9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2025-09-10T03:09:24Z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D6EDF24BFB604A76A66EBAFB2E38E833_12</vt:lpwstr>
  </property>
</Properties>
</file>