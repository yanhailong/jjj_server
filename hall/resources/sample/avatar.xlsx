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avat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12"/>
            <rFont val="宋体"/>
            <charset val="134"/>
          </rPr>
          <t>0：头像
1：头像边框
2：国旗
3：头衔/称号
4：筹码
5：牌背
6：大厅背景</t>
        </r>
        <r>
          <rPr>
            <sz val="9"/>
            <rFont val="宋体"/>
            <charset val="134"/>
          </rPr>
          <t xml:space="preserve">	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多语言ID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参数：货币ID_货币数量_赠送头像或头像框的ID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当前道具获取途径是“前往获取”时，点击按钮跳到配置中的UI界面</t>
        </r>
      </text>
    </comment>
    <comment ref="A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这个ID不能动，道具表中有使用</t>
        </r>
      </text>
    </comment>
    <comment ref="L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参数1-》类型：1 表示活动(ActivityConfig.xlsx)、2表示功能(GameFunction.xlsx)
参数2-》类型1 读取 type字段；2类型读取 id 字段 
参数3-》跳转对象名称，客户端功能界面名称</t>
        </r>
      </text>
    </comment>
    <comment ref="A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这个ID不能动，道具表中有使用
</t>
        </r>
      </text>
    </comment>
    <comment ref="L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参数1-》类型：1 表示活动(ActivityConfig.xlsx)、2表示功能(GameFunction.xlsx)
参数2-》类型1 读取 type字段；2类型读取 id 字段 
参数3-》跳转对象名称，客户端功能界面名称
</t>
        </r>
      </text>
    </comment>
  </commentList>
</comments>
</file>

<file path=xl/sharedStrings.xml><?xml version="1.0" encoding="utf-8"?>
<sst xmlns="http://schemas.openxmlformats.org/spreadsheetml/2006/main" count="270" uniqueCount="232">
  <si>
    <t>id</t>
  </si>
  <si>
    <t>类型</t>
  </si>
  <si>
    <t>资源名称</t>
  </si>
  <si>
    <t>美术资源名称与路径</t>
  </si>
  <si>
    <t>资源描述</t>
  </si>
  <si>
    <t>角色等级</t>
  </si>
  <si>
    <t>货币购买</t>
  </si>
  <si>
    <t>VIP条件(仅显示用)</t>
  </si>
  <si>
    <t>跳转路径</t>
  </si>
  <si>
    <t>#备注</t>
  </si>
  <si>
    <t>int</t>
  </si>
  <si>
    <t>string</t>
  </si>
  <si>
    <t>list&lt;int&gt;{_}</t>
  </si>
  <si>
    <t>resourceType</t>
  </si>
  <si>
    <t>name</t>
  </si>
  <si>
    <t>resourcePath</t>
  </si>
  <si>
    <t>Dec</t>
  </si>
  <si>
    <t>playerLv</t>
  </si>
  <si>
    <t>buyItem</t>
  </si>
  <si>
    <t>vipLevel</t>
  </si>
  <si>
    <t>jump</t>
  </si>
  <si>
    <t>头像1</t>
  </si>
  <si>
    <t>picture_001.png</t>
  </si>
  <si>
    <t>头像2</t>
  </si>
  <si>
    <t>picture_017.png</t>
  </si>
  <si>
    <t>头像3</t>
  </si>
  <si>
    <t>picture_002.png</t>
  </si>
  <si>
    <t>头像4</t>
  </si>
  <si>
    <t>picture_018.png</t>
  </si>
  <si>
    <t>头像5</t>
  </si>
  <si>
    <t>picture_003.png</t>
  </si>
  <si>
    <t>头像6</t>
  </si>
  <si>
    <t>picture_019.png</t>
  </si>
  <si>
    <t>头像7</t>
  </si>
  <si>
    <t>picture_004.png</t>
  </si>
  <si>
    <t>头像8</t>
  </si>
  <si>
    <t>picture_020.png</t>
  </si>
  <si>
    <t>头像9</t>
  </si>
  <si>
    <t>picture_005.png</t>
  </si>
  <si>
    <t>头像10</t>
  </si>
  <si>
    <t>picture_021.png</t>
  </si>
  <si>
    <t>头像11</t>
  </si>
  <si>
    <t>picture_006.png</t>
  </si>
  <si>
    <t>头像12</t>
  </si>
  <si>
    <t>picture_022.png</t>
  </si>
  <si>
    <t>头像13</t>
  </si>
  <si>
    <t>picture_007.png</t>
  </si>
  <si>
    <t>头像14</t>
  </si>
  <si>
    <t>picture_023.png</t>
  </si>
  <si>
    <t>头像15</t>
  </si>
  <si>
    <t>picture_008.png</t>
  </si>
  <si>
    <t>头像16</t>
  </si>
  <si>
    <t>picture_024.png</t>
  </si>
  <si>
    <t>头像17</t>
  </si>
  <si>
    <t>picture_009.png</t>
  </si>
  <si>
    <t>头像18</t>
  </si>
  <si>
    <t>picture_025.png</t>
  </si>
  <si>
    <t>头像19</t>
  </si>
  <si>
    <t>picture_010.png</t>
  </si>
  <si>
    <t>头像20</t>
  </si>
  <si>
    <t>picture_026.png</t>
  </si>
  <si>
    <t>头像21</t>
  </si>
  <si>
    <t>picture_011.png</t>
  </si>
  <si>
    <t>头像22</t>
  </si>
  <si>
    <t>picture_027.png</t>
  </si>
  <si>
    <t>头像23</t>
  </si>
  <si>
    <t>picture_012.png</t>
  </si>
  <si>
    <t>头像24</t>
  </si>
  <si>
    <t>picture_028.png</t>
  </si>
  <si>
    <t>头像25</t>
  </si>
  <si>
    <t>picture_013.png</t>
  </si>
  <si>
    <t>头像26</t>
  </si>
  <si>
    <t>picture_029.png</t>
  </si>
  <si>
    <t>头像27</t>
  </si>
  <si>
    <t>picture_014.png</t>
  </si>
  <si>
    <t>头像28</t>
  </si>
  <si>
    <t>picture_030.png</t>
  </si>
  <si>
    <t>头像29</t>
  </si>
  <si>
    <t>picture_015.png</t>
  </si>
  <si>
    <t>头像30</t>
  </si>
  <si>
    <t>picture_031.png</t>
  </si>
  <si>
    <t>头像31</t>
  </si>
  <si>
    <t>picture_016.png</t>
  </si>
  <si>
    <t>头像32</t>
  </si>
  <si>
    <t>picture_032.png</t>
  </si>
  <si>
    <t>头像33</t>
  </si>
  <si>
    <t>picture_033.png</t>
  </si>
  <si>
    <t>头像34</t>
  </si>
  <si>
    <t>picture_034.png</t>
  </si>
  <si>
    <t>头像35</t>
  </si>
  <si>
    <t>picture_035.png</t>
  </si>
  <si>
    <t>头像36</t>
  </si>
  <si>
    <t>picture_036.png</t>
  </si>
  <si>
    <t>头像37</t>
  </si>
  <si>
    <t>picture_037.png</t>
  </si>
  <si>
    <t>头像38</t>
  </si>
  <si>
    <t>picture_038.png</t>
  </si>
  <si>
    <t>头像39</t>
  </si>
  <si>
    <t>picture_039.png</t>
  </si>
  <si>
    <t>头像40</t>
  </si>
  <si>
    <t>HeadDia_001.png</t>
  </si>
  <si>
    <t>1980000_90000</t>
  </si>
  <si>
    <t>头像41</t>
  </si>
  <si>
    <t>HeadDia_002.png</t>
  </si>
  <si>
    <t>头像42</t>
  </si>
  <si>
    <t>HeadDia_003.png</t>
  </si>
  <si>
    <t>头像43</t>
  </si>
  <si>
    <t>HeadDia_004.png</t>
  </si>
  <si>
    <t>头像44</t>
  </si>
  <si>
    <t>HeadDia_005.png</t>
  </si>
  <si>
    <t>头像45</t>
  </si>
  <si>
    <t>HeadDia_006.png</t>
  </si>
  <si>
    <t>头像46</t>
  </si>
  <si>
    <t>HeadDia_007.png</t>
  </si>
  <si>
    <t>头像47</t>
  </si>
  <si>
    <t>HeadDia_008.png</t>
  </si>
  <si>
    <t>头像48</t>
  </si>
  <si>
    <t>HeadDia_009.png</t>
  </si>
  <si>
    <t>HeadDia_010.png</t>
  </si>
  <si>
    <t>头像50</t>
  </si>
  <si>
    <t>HeadDia_011.png</t>
  </si>
  <si>
    <t>头像51</t>
  </si>
  <si>
    <t>HeadDia_012.png</t>
  </si>
  <si>
    <t>头像52</t>
  </si>
  <si>
    <t>HeadDia_013.png</t>
  </si>
  <si>
    <t>头像框1</t>
  </si>
  <si>
    <t>frame_001.png</t>
  </si>
  <si>
    <t>头像框2</t>
  </si>
  <si>
    <t>frame_002.png</t>
  </si>
  <si>
    <t>头像框3</t>
  </si>
  <si>
    <t>frame_003.png</t>
  </si>
  <si>
    <t>头像框4</t>
  </si>
  <si>
    <t>frame_004.png</t>
  </si>
  <si>
    <t>头像框-每日奖金</t>
  </si>
  <si>
    <t>frame_801.png</t>
  </si>
  <si>
    <t>1_2_UIDailyBonus</t>
  </si>
  <si>
    <t>头像框-首充专属</t>
  </si>
  <si>
    <t>frame_018.png</t>
  </si>
  <si>
    <t>1_11_UIFirstRecharge</t>
  </si>
  <si>
    <t>头像框5</t>
  </si>
  <si>
    <t>frame_005.png</t>
  </si>
  <si>
    <t>头像框6</t>
  </si>
  <si>
    <t>frame_006.png</t>
  </si>
  <si>
    <t>头像框7</t>
  </si>
  <si>
    <t>frame_007.png</t>
  </si>
  <si>
    <t>头像框8</t>
  </si>
  <si>
    <t>frame_008.png</t>
  </si>
  <si>
    <t>头像框9</t>
  </si>
  <si>
    <t>frame_009.png</t>
  </si>
  <si>
    <t>头像框10</t>
  </si>
  <si>
    <t>frame_010.png</t>
  </si>
  <si>
    <t>头像框11</t>
  </si>
  <si>
    <t>frame_011.png</t>
  </si>
  <si>
    <t>头像框12</t>
  </si>
  <si>
    <t>frame_012.png</t>
  </si>
  <si>
    <t>头像框13</t>
  </si>
  <si>
    <t>frame_013.png</t>
  </si>
  <si>
    <t>头像框14</t>
  </si>
  <si>
    <t>frame_014.png</t>
  </si>
  <si>
    <t>头像框15</t>
  </si>
  <si>
    <t>frame_015.png</t>
  </si>
  <si>
    <t>头像框16</t>
  </si>
  <si>
    <t>frame_016.png</t>
  </si>
  <si>
    <t>头像框17</t>
  </si>
  <si>
    <t>frame_017.png</t>
  </si>
  <si>
    <t>国旗1</t>
  </si>
  <si>
    <t>Flag_001.png</t>
  </si>
  <si>
    <t>国旗2</t>
  </si>
  <si>
    <t>Flag_002.png</t>
  </si>
  <si>
    <t>国旗3</t>
  </si>
  <si>
    <t>Flag_003.png</t>
  </si>
  <si>
    <t>国旗4</t>
  </si>
  <si>
    <t>Flag_004.png</t>
  </si>
  <si>
    <t>国旗5</t>
  </si>
  <si>
    <t>Flag_005.png</t>
  </si>
  <si>
    <t>国旗6</t>
  </si>
  <si>
    <t>Flag_006.png</t>
  </si>
  <si>
    <t>国旗7</t>
  </si>
  <si>
    <t>Flag_007.png</t>
  </si>
  <si>
    <t>国旗8</t>
  </si>
  <si>
    <t>Flag_008.png</t>
  </si>
  <si>
    <t>国旗9</t>
  </si>
  <si>
    <t>Flag_009.png</t>
  </si>
  <si>
    <t>国旗10</t>
  </si>
  <si>
    <t>Flag_010.png</t>
  </si>
  <si>
    <t>国旗11</t>
  </si>
  <si>
    <t>Flag_011.png</t>
  </si>
  <si>
    <t>国旗12</t>
  </si>
  <si>
    <t>Flag_012.png</t>
  </si>
  <si>
    <t>国旗13</t>
  </si>
  <si>
    <t>Flag_013.png</t>
  </si>
  <si>
    <t>国旗14</t>
  </si>
  <si>
    <t>Flag_014.png</t>
  </si>
  <si>
    <t>国旗15</t>
  </si>
  <si>
    <t>Flag_015.png</t>
  </si>
  <si>
    <t>国旗16</t>
  </si>
  <si>
    <t>Flag_016.png</t>
  </si>
  <si>
    <t>国旗17</t>
  </si>
  <si>
    <t>Flag_017.png</t>
  </si>
  <si>
    <t>国旗18</t>
  </si>
  <si>
    <t>Flag_018.png</t>
  </si>
  <si>
    <t>国旗19</t>
  </si>
  <si>
    <t>Flag_019.png</t>
  </si>
  <si>
    <t>国旗20</t>
  </si>
  <si>
    <t>Flag_020.png</t>
  </si>
  <si>
    <t>国旗21</t>
  </si>
  <si>
    <t>Flag_021.png</t>
  </si>
  <si>
    <t>国旗22</t>
  </si>
  <si>
    <t>Flag_022.png</t>
  </si>
  <si>
    <t>国旗23</t>
  </si>
  <si>
    <t>Flag_023.png</t>
  </si>
  <si>
    <t>头衔1</t>
  </si>
  <si>
    <t>Title_001.png</t>
  </si>
  <si>
    <t>头衔2</t>
  </si>
  <si>
    <t>Title_002.png</t>
  </si>
  <si>
    <t>头衔3</t>
  </si>
  <si>
    <t>Title_003.png</t>
  </si>
  <si>
    <t>筹码1</t>
  </si>
  <si>
    <t>VIP_pf_cm1.png</t>
  </si>
  <si>
    <t>VIP_pf_cm2.png</t>
  </si>
  <si>
    <t>筹码2</t>
  </si>
  <si>
    <t>VIP_pf_cm3.png</t>
  </si>
  <si>
    <t>牌背1</t>
  </si>
  <si>
    <t>VIP_pf_pai1.png</t>
  </si>
  <si>
    <t>VIP_pf_pai2.png</t>
  </si>
  <si>
    <t>牌背2</t>
  </si>
  <si>
    <t>VIP_pf_pai3.png</t>
  </si>
  <si>
    <t>大厅背景1</t>
  </si>
  <si>
    <t>VIP_pf_bj0.png</t>
  </si>
  <si>
    <t>VIP_pf_bj1.png</t>
  </si>
  <si>
    <t>大厅背景2</t>
  </si>
  <si>
    <t>VIP_pf_bj2.png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</si>
</sst>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5" tint="-0.25"/>
      <name val="微软雅黑"/>
      <charset val="134"/>
    </font>
    <font>
      <sz val="11"/>
      <color rgb="FF00B0F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1" fillId="2" borderId="0" xfId="0" applyFont="1" applyFill="1">
      <alignment vertical="center"/>
    </xf>
    <xf numFmtId="0" fontId="3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0"/>
  <sheetViews>
    <sheetView tabSelected="1" zoomScale="85" zoomScaleNormal="85" workbookViewId="0">
      <pane ySplit="4" topLeftCell="A83" activePane="bottomLeft" state="frozen"/>
      <selection/>
      <selection pane="bottomLeft" activeCell="K111" sqref="K111"/>
    </sheetView>
  </sheetViews>
  <sheetFormatPr defaultColWidth="9" defaultRowHeight="16.5"/>
  <cols>
    <col min="1" max="2" width="9" style="1"/>
    <col min="3" max="3" width="12.25" style="1" customWidth="1"/>
    <col min="4" max="4" width="9" style="1"/>
    <col min="5" max="5" width="18.25" style="1" customWidth="1"/>
    <col min="6" max="6" width="19.125" style="1" customWidth="1"/>
    <col min="7" max="7" width="12.5" style="1" customWidth="1"/>
    <col min="8" max="8" width="9" style="1" customWidth="1"/>
    <col min="9" max="9" width="20.875" style="1" customWidth="1"/>
    <col min="10" max="10" width="17.5" style="1" customWidth="1"/>
    <col min="11" max="11" width="24.4083333333333" style="1" customWidth="1"/>
    <col min="12" max="12" width="21.4666666666667" style="1" customWidth="1"/>
    <col min="13" max="14" width="12.625" style="1"/>
    <col min="15" max="16" width="9" style="1"/>
    <col min="17" max="17" width="14.375" style="1" customWidth="1"/>
    <col min="18" max="16384" width="9" style="1"/>
  </cols>
  <sheetData>
    <row r="1" s="1" customFormat="1" spans="1:12">
      <c r="A1" s="1" t="s">
        <v>0</v>
      </c>
      <c r="B1" s="1"/>
      <c r="C1" s="1" t="s">
        <v>1</v>
      </c>
      <c r="D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="1" customFormat="1" spans="1:12">
      <c r="A2" s="1" t="s">
        <v>10</v>
      </c>
      <c r="B2" s="1"/>
      <c r="C2" s="1" t="s">
        <v>10</v>
      </c>
      <c r="D2" s="1" t="s">
        <v>10</v>
      </c>
      <c r="F2" s="1" t="s">
        <v>11</v>
      </c>
      <c r="G2" s="1" t="s">
        <v>10</v>
      </c>
      <c r="H2" s="1" t="s">
        <v>10</v>
      </c>
      <c r="I2" s="1" t="s">
        <v>12</v>
      </c>
      <c r="J2" s="1" t="s">
        <v>10</v>
      </c>
      <c r="K2" s="1" t="s">
        <v>11</v>
      </c>
    </row>
    <row r="3" s="1" customFormat="1" spans="1:12">
      <c r="A3" s="1" t="s">
        <v>0</v>
      </c>
      <c r="B3" s="1"/>
      <c r="C3" s="1" t="s">
        <v>13</v>
      </c>
      <c r="D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</row>
    <row r="5" s="1" customFormat="1" spans="1:12">
      <c r="A5" s="1">
        <f t="shared" ref="A5:A36" si="0">C5*1000+B5</f>
        <v>1</v>
      </c>
      <c r="B5" s="1">
        <f>COUNTIF($C$1:C5,C5)</f>
        <v>1</v>
      </c>
      <c r="C5" s="1">
        <v>0</v>
      </c>
      <c r="D5" s="1">
        <f>100000+C5*1000+B5</f>
        <v>100001</v>
      </c>
      <c r="E5" s="1" t="s">
        <v>21</v>
      </c>
      <c r="F5" s="1" t="s">
        <v>22</v>
      </c>
      <c r="G5" s="1">
        <v>200001</v>
      </c>
      <c r="H5" s="1">
        <v>1</v>
      </c>
    </row>
    <row r="6" s="1" customFormat="1" spans="1:12">
      <c r="A6" s="1">
        <f t="shared" si="0"/>
        <v>2</v>
      </c>
      <c r="B6" s="1">
        <f>COUNTIF($C$1:C6,C6)</f>
        <v>2</v>
      </c>
      <c r="C6" s="1">
        <v>0</v>
      </c>
      <c r="D6" s="1">
        <f t="shared" ref="D6:D47" si="1">100000+C6*1000+B6</f>
        <v>100002</v>
      </c>
      <c r="E6" s="1" t="s">
        <v>23</v>
      </c>
      <c r="F6" s="1" t="s">
        <v>24</v>
      </c>
      <c r="G6" s="1">
        <v>200002</v>
      </c>
      <c r="H6" s="1">
        <v>1</v>
      </c>
    </row>
    <row r="7" s="1" customFormat="1" spans="1:12">
      <c r="A7" s="1">
        <f t="shared" si="0"/>
        <v>3</v>
      </c>
      <c r="B7" s="1">
        <f>COUNTIF($C$1:C7,C7)</f>
        <v>3</v>
      </c>
      <c r="C7" s="1">
        <v>0</v>
      </c>
      <c r="D7" s="1">
        <f t="shared" si="1"/>
        <v>100003</v>
      </c>
      <c r="E7" s="1" t="s">
        <v>25</v>
      </c>
      <c r="F7" s="1" t="s">
        <v>26</v>
      </c>
      <c r="G7" s="1">
        <v>200003</v>
      </c>
      <c r="H7" s="1">
        <v>2</v>
      </c>
    </row>
    <row r="8" s="1" customFormat="1" spans="1:12">
      <c r="A8" s="1">
        <f t="shared" si="0"/>
        <v>4</v>
      </c>
      <c r="B8" s="1">
        <f>COUNTIF($C$1:C8,C8)</f>
        <v>4</v>
      </c>
      <c r="C8" s="1">
        <v>0</v>
      </c>
      <c r="D8" s="1">
        <f t="shared" si="1"/>
        <v>100004</v>
      </c>
      <c r="E8" s="1" t="s">
        <v>27</v>
      </c>
      <c r="F8" s="1" t="s">
        <v>28</v>
      </c>
      <c r="G8" s="1">
        <v>200004</v>
      </c>
      <c r="H8" s="1">
        <v>3</v>
      </c>
    </row>
    <row r="9" s="1" customFormat="1" spans="1:12">
      <c r="A9" s="1">
        <f t="shared" si="0"/>
        <v>5</v>
      </c>
      <c r="B9" s="1">
        <f>COUNTIF($C$1:C9,C9)</f>
        <v>5</v>
      </c>
      <c r="C9" s="1">
        <v>0</v>
      </c>
      <c r="D9" s="1">
        <f t="shared" si="1"/>
        <v>100005</v>
      </c>
      <c r="E9" s="1" t="s">
        <v>29</v>
      </c>
      <c r="F9" s="1" t="s">
        <v>30</v>
      </c>
      <c r="G9" s="1">
        <v>200005</v>
      </c>
      <c r="H9" s="1">
        <v>4</v>
      </c>
    </row>
    <row r="10" s="1" customFormat="1" spans="1:12">
      <c r="A10" s="1">
        <f t="shared" si="0"/>
        <v>6</v>
      </c>
      <c r="B10" s="1">
        <f>COUNTIF($C$1:C10,C10)</f>
        <v>6</v>
      </c>
      <c r="C10" s="1">
        <v>0</v>
      </c>
      <c r="D10" s="1">
        <f t="shared" si="1"/>
        <v>100006</v>
      </c>
      <c r="E10" s="1" t="s">
        <v>31</v>
      </c>
      <c r="F10" s="1" t="s">
        <v>32</v>
      </c>
      <c r="G10" s="1">
        <v>200006</v>
      </c>
      <c r="H10" s="1">
        <v>5</v>
      </c>
    </row>
    <row r="11" s="1" customFormat="1" spans="1:12">
      <c r="A11" s="1">
        <f t="shared" si="0"/>
        <v>7</v>
      </c>
      <c r="B11" s="1">
        <f>COUNTIF($C$1:C11,C11)</f>
        <v>7</v>
      </c>
      <c r="C11" s="1">
        <v>0</v>
      </c>
      <c r="D11" s="1">
        <f t="shared" si="1"/>
        <v>100007</v>
      </c>
      <c r="E11" s="1" t="s">
        <v>33</v>
      </c>
      <c r="F11" s="1" t="s">
        <v>34</v>
      </c>
      <c r="G11" s="1">
        <v>200007</v>
      </c>
      <c r="H11" s="1">
        <v>6</v>
      </c>
    </row>
    <row r="12" s="1" customFormat="1" spans="1:12">
      <c r="A12" s="1">
        <f t="shared" si="0"/>
        <v>8</v>
      </c>
      <c r="B12" s="1">
        <f>COUNTIF($C$1:C12,C12)</f>
        <v>8</v>
      </c>
      <c r="C12" s="1">
        <v>0</v>
      </c>
      <c r="D12" s="1">
        <f t="shared" si="1"/>
        <v>100008</v>
      </c>
      <c r="E12" s="1" t="s">
        <v>35</v>
      </c>
      <c r="F12" s="1" t="s">
        <v>36</v>
      </c>
      <c r="G12" s="1">
        <v>200008</v>
      </c>
      <c r="H12" s="1">
        <v>7</v>
      </c>
    </row>
    <row r="13" s="1" customFormat="1" spans="1:12">
      <c r="A13" s="1">
        <f t="shared" si="0"/>
        <v>9</v>
      </c>
      <c r="B13" s="1">
        <f>COUNTIF($C$1:C13,C13)</f>
        <v>9</v>
      </c>
      <c r="C13" s="1">
        <v>0</v>
      </c>
      <c r="D13" s="1">
        <f t="shared" si="1"/>
        <v>100009</v>
      </c>
      <c r="E13" s="1" t="s">
        <v>37</v>
      </c>
      <c r="F13" s="1" t="s">
        <v>38</v>
      </c>
      <c r="G13" s="1">
        <v>200009</v>
      </c>
      <c r="H13" s="1">
        <v>8</v>
      </c>
    </row>
    <row r="14" s="1" customFormat="1" spans="1:12">
      <c r="A14" s="1">
        <f t="shared" si="0"/>
        <v>10</v>
      </c>
      <c r="B14" s="1">
        <f>COUNTIF($C$1:C14,C14)</f>
        <v>10</v>
      </c>
      <c r="C14" s="1">
        <v>0</v>
      </c>
      <c r="D14" s="1">
        <f t="shared" si="1"/>
        <v>100010</v>
      </c>
      <c r="E14" s="1" t="s">
        <v>39</v>
      </c>
      <c r="F14" s="1" t="s">
        <v>40</v>
      </c>
      <c r="G14" s="1">
        <v>200010</v>
      </c>
      <c r="H14" s="1">
        <v>9</v>
      </c>
    </row>
    <row r="15" s="1" customFormat="1" spans="1:12">
      <c r="A15" s="1">
        <f t="shared" si="0"/>
        <v>11</v>
      </c>
      <c r="B15" s="1">
        <f>COUNTIF($C$1:C15,C15)</f>
        <v>11</v>
      </c>
      <c r="C15" s="1">
        <v>0</v>
      </c>
      <c r="D15" s="1">
        <f t="shared" si="1"/>
        <v>100011</v>
      </c>
      <c r="E15" s="1" t="s">
        <v>41</v>
      </c>
      <c r="F15" s="1" t="s">
        <v>42</v>
      </c>
      <c r="G15" s="1">
        <v>200011</v>
      </c>
      <c r="H15" s="1">
        <v>10</v>
      </c>
    </row>
    <row r="16" s="1" customFormat="1" spans="1:12">
      <c r="A16" s="1">
        <f t="shared" si="0"/>
        <v>12</v>
      </c>
      <c r="B16" s="1">
        <f>COUNTIF($C$1:C16,C16)</f>
        <v>12</v>
      </c>
      <c r="C16" s="1">
        <v>0</v>
      </c>
      <c r="D16" s="1">
        <f t="shared" si="1"/>
        <v>100012</v>
      </c>
      <c r="E16" s="1" t="s">
        <v>43</v>
      </c>
      <c r="F16" s="1" t="s">
        <v>44</v>
      </c>
      <c r="G16" s="1">
        <v>200012</v>
      </c>
      <c r="H16" s="1">
        <v>11</v>
      </c>
    </row>
    <row r="17" s="1" customFormat="1" spans="1:8">
      <c r="A17" s="1">
        <f t="shared" si="0"/>
        <v>13</v>
      </c>
      <c r="B17" s="1">
        <f>COUNTIF($C$1:C17,C17)</f>
        <v>13</v>
      </c>
      <c r="C17" s="1">
        <v>0</v>
      </c>
      <c r="D17" s="1">
        <f t="shared" si="1"/>
        <v>100013</v>
      </c>
      <c r="E17" s="1" t="s">
        <v>45</v>
      </c>
      <c r="F17" s="1" t="s">
        <v>46</v>
      </c>
      <c r="G17" s="1">
        <v>200013</v>
      </c>
      <c r="H17" s="1">
        <v>12</v>
      </c>
    </row>
    <row r="18" s="1" customFormat="1" spans="1:8">
      <c r="A18" s="1">
        <f t="shared" si="0"/>
        <v>14</v>
      </c>
      <c r="B18" s="1">
        <f>COUNTIF($C$1:C18,C18)</f>
        <v>14</v>
      </c>
      <c r="C18" s="1">
        <v>0</v>
      </c>
      <c r="D18" s="1">
        <f t="shared" si="1"/>
        <v>100014</v>
      </c>
      <c r="E18" s="1" t="s">
        <v>47</v>
      </c>
      <c r="F18" s="1" t="s">
        <v>48</v>
      </c>
      <c r="G18" s="1">
        <v>200014</v>
      </c>
      <c r="H18" s="1">
        <v>13</v>
      </c>
    </row>
    <row r="19" s="1" customFormat="1" spans="1:8">
      <c r="A19" s="1">
        <f t="shared" si="0"/>
        <v>15</v>
      </c>
      <c r="B19" s="1">
        <f>COUNTIF($C$1:C19,C19)</f>
        <v>15</v>
      </c>
      <c r="C19" s="1">
        <v>0</v>
      </c>
      <c r="D19" s="1">
        <f t="shared" si="1"/>
        <v>100015</v>
      </c>
      <c r="E19" s="1" t="s">
        <v>49</v>
      </c>
      <c r="F19" s="1" t="s">
        <v>50</v>
      </c>
      <c r="G19" s="1">
        <v>200015</v>
      </c>
      <c r="H19" s="1">
        <v>14</v>
      </c>
    </row>
    <row r="20" s="1" customFormat="1" spans="1:8">
      <c r="A20" s="1">
        <f t="shared" si="0"/>
        <v>16</v>
      </c>
      <c r="B20" s="1">
        <f>COUNTIF($C$1:C20,C20)</f>
        <v>16</v>
      </c>
      <c r="C20" s="1">
        <v>0</v>
      </c>
      <c r="D20" s="1">
        <f t="shared" si="1"/>
        <v>100016</v>
      </c>
      <c r="E20" s="1" t="s">
        <v>51</v>
      </c>
      <c r="F20" s="1" t="s">
        <v>52</v>
      </c>
      <c r="G20" s="1">
        <v>200016</v>
      </c>
      <c r="H20" s="1">
        <v>15</v>
      </c>
    </row>
    <row r="21" s="1" customFormat="1" spans="1:8">
      <c r="A21" s="1">
        <f t="shared" si="0"/>
        <v>17</v>
      </c>
      <c r="B21" s="1">
        <f>COUNTIF($C$1:C21,C21)</f>
        <v>17</v>
      </c>
      <c r="C21" s="1">
        <v>0</v>
      </c>
      <c r="D21" s="1">
        <f t="shared" si="1"/>
        <v>100017</v>
      </c>
      <c r="E21" s="1" t="s">
        <v>53</v>
      </c>
      <c r="F21" s="1" t="s">
        <v>54</v>
      </c>
      <c r="G21" s="1">
        <v>200017</v>
      </c>
      <c r="H21" s="1">
        <v>16</v>
      </c>
    </row>
    <row r="22" s="1" customFormat="1" spans="1:8">
      <c r="A22" s="1">
        <f t="shared" si="0"/>
        <v>18</v>
      </c>
      <c r="B22" s="1">
        <f>COUNTIF($C$1:C22,C22)</f>
        <v>18</v>
      </c>
      <c r="C22" s="1">
        <v>0</v>
      </c>
      <c r="D22" s="1">
        <f t="shared" si="1"/>
        <v>100018</v>
      </c>
      <c r="E22" s="1" t="s">
        <v>55</v>
      </c>
      <c r="F22" s="1" t="s">
        <v>56</v>
      </c>
      <c r="G22" s="1">
        <v>200018</v>
      </c>
      <c r="H22" s="1">
        <v>17</v>
      </c>
    </row>
    <row r="23" s="1" customFormat="1" spans="1:8">
      <c r="A23" s="1">
        <f t="shared" si="0"/>
        <v>19</v>
      </c>
      <c r="B23" s="1">
        <f>COUNTIF($C$1:C23,C23)</f>
        <v>19</v>
      </c>
      <c r="C23" s="1">
        <v>0</v>
      </c>
      <c r="D23" s="1">
        <f t="shared" si="1"/>
        <v>100019</v>
      </c>
      <c r="E23" s="1" t="s">
        <v>57</v>
      </c>
      <c r="F23" s="1" t="s">
        <v>58</v>
      </c>
      <c r="G23" s="1">
        <v>200019</v>
      </c>
      <c r="H23" s="1">
        <v>18</v>
      </c>
    </row>
    <row r="24" s="1" customFormat="1" spans="1:8">
      <c r="A24" s="1">
        <f t="shared" si="0"/>
        <v>20</v>
      </c>
      <c r="B24" s="1">
        <f>COUNTIF($C$1:C24,C24)</f>
        <v>20</v>
      </c>
      <c r="C24" s="1">
        <v>0</v>
      </c>
      <c r="D24" s="1">
        <f t="shared" si="1"/>
        <v>100020</v>
      </c>
      <c r="E24" s="1" t="s">
        <v>59</v>
      </c>
      <c r="F24" s="1" t="s">
        <v>60</v>
      </c>
      <c r="G24" s="1">
        <v>200020</v>
      </c>
      <c r="H24" s="1">
        <v>19</v>
      </c>
    </row>
    <row r="25" s="1" customFormat="1" spans="1:8">
      <c r="A25" s="1">
        <f t="shared" si="0"/>
        <v>21</v>
      </c>
      <c r="B25" s="1">
        <f>COUNTIF($C$1:C25,C25)</f>
        <v>21</v>
      </c>
      <c r="C25" s="1">
        <v>0</v>
      </c>
      <c r="D25" s="1">
        <f t="shared" si="1"/>
        <v>100021</v>
      </c>
      <c r="E25" s="1" t="s">
        <v>61</v>
      </c>
      <c r="F25" s="1" t="s">
        <v>62</v>
      </c>
      <c r="G25" s="1">
        <v>200021</v>
      </c>
      <c r="H25" s="1">
        <v>20</v>
      </c>
    </row>
    <row r="26" s="1" customFormat="1" spans="1:8">
      <c r="A26" s="1">
        <f t="shared" si="0"/>
        <v>22</v>
      </c>
      <c r="B26" s="1">
        <f>COUNTIF($C$1:C26,C26)</f>
        <v>22</v>
      </c>
      <c r="C26" s="1">
        <v>0</v>
      </c>
      <c r="D26" s="1">
        <f t="shared" si="1"/>
        <v>100022</v>
      </c>
      <c r="E26" s="1" t="s">
        <v>63</v>
      </c>
      <c r="F26" s="1" t="s">
        <v>64</v>
      </c>
      <c r="G26" s="1">
        <v>200022</v>
      </c>
      <c r="H26" s="1">
        <v>21</v>
      </c>
    </row>
    <row r="27" s="1" customFormat="1" spans="1:8">
      <c r="A27" s="1">
        <f t="shared" si="0"/>
        <v>23</v>
      </c>
      <c r="B27" s="1">
        <f>COUNTIF($C$1:C27,C27)</f>
        <v>23</v>
      </c>
      <c r="C27" s="1">
        <v>0</v>
      </c>
      <c r="D27" s="1">
        <f t="shared" si="1"/>
        <v>100023</v>
      </c>
      <c r="E27" s="1" t="s">
        <v>65</v>
      </c>
      <c r="F27" s="1" t="s">
        <v>66</v>
      </c>
      <c r="G27" s="1">
        <v>200023</v>
      </c>
      <c r="H27" s="1">
        <v>22</v>
      </c>
    </row>
    <row r="28" s="1" customFormat="1" spans="1:8">
      <c r="A28" s="1">
        <f t="shared" si="0"/>
        <v>24</v>
      </c>
      <c r="B28" s="1">
        <f>COUNTIF($C$1:C28,C28)</f>
        <v>24</v>
      </c>
      <c r="C28" s="1">
        <v>0</v>
      </c>
      <c r="D28" s="1">
        <f t="shared" si="1"/>
        <v>100024</v>
      </c>
      <c r="E28" s="1" t="s">
        <v>67</v>
      </c>
      <c r="F28" s="1" t="s">
        <v>68</v>
      </c>
      <c r="G28" s="1">
        <v>200024</v>
      </c>
      <c r="H28" s="1">
        <v>23</v>
      </c>
    </row>
    <row r="29" s="1" customFormat="1" spans="1:8">
      <c r="A29" s="1">
        <f t="shared" si="0"/>
        <v>25</v>
      </c>
      <c r="B29" s="1">
        <f>COUNTIF($C$1:C29,C29)</f>
        <v>25</v>
      </c>
      <c r="C29" s="1">
        <v>0</v>
      </c>
      <c r="D29" s="1">
        <f t="shared" si="1"/>
        <v>100025</v>
      </c>
      <c r="E29" s="1" t="s">
        <v>69</v>
      </c>
      <c r="F29" s="1" t="s">
        <v>70</v>
      </c>
      <c r="G29" s="1">
        <v>200025</v>
      </c>
      <c r="H29" s="1">
        <v>24</v>
      </c>
    </row>
    <row r="30" s="1" customFormat="1" spans="1:8">
      <c r="A30" s="1">
        <f t="shared" si="0"/>
        <v>26</v>
      </c>
      <c r="B30" s="1">
        <f>COUNTIF($C$1:C30,C30)</f>
        <v>26</v>
      </c>
      <c r="C30" s="1">
        <v>0</v>
      </c>
      <c r="D30" s="1">
        <f t="shared" si="1"/>
        <v>100026</v>
      </c>
      <c r="E30" s="1" t="s">
        <v>71</v>
      </c>
      <c r="F30" s="1" t="s">
        <v>72</v>
      </c>
      <c r="G30" s="1">
        <v>200026</v>
      </c>
      <c r="H30" s="1">
        <v>25</v>
      </c>
    </row>
    <row r="31" s="1" customFormat="1" spans="1:8">
      <c r="A31" s="1">
        <f t="shared" si="0"/>
        <v>27</v>
      </c>
      <c r="B31" s="1">
        <f>COUNTIF($C$1:C31,C31)</f>
        <v>27</v>
      </c>
      <c r="C31" s="1">
        <v>0</v>
      </c>
      <c r="D31" s="1">
        <f t="shared" si="1"/>
        <v>100027</v>
      </c>
      <c r="E31" s="1" t="s">
        <v>73</v>
      </c>
      <c r="F31" s="1" t="s">
        <v>74</v>
      </c>
      <c r="G31" s="1">
        <v>200027</v>
      </c>
      <c r="H31" s="1">
        <v>26</v>
      </c>
    </row>
    <row r="32" s="1" customFormat="1" spans="1:8">
      <c r="A32" s="1">
        <f t="shared" si="0"/>
        <v>28</v>
      </c>
      <c r="B32" s="1">
        <f>COUNTIF($C$1:C32,C32)</f>
        <v>28</v>
      </c>
      <c r="C32" s="1">
        <v>0</v>
      </c>
      <c r="D32" s="1">
        <f t="shared" si="1"/>
        <v>100028</v>
      </c>
      <c r="E32" s="1" t="s">
        <v>75</v>
      </c>
      <c r="F32" s="1" t="s">
        <v>76</v>
      </c>
      <c r="G32" s="1">
        <v>200028</v>
      </c>
      <c r="H32" s="1">
        <v>27</v>
      </c>
    </row>
    <row r="33" s="1" customFormat="1" spans="1:10">
      <c r="A33" s="1">
        <f t="shared" si="0"/>
        <v>29</v>
      </c>
      <c r="B33" s="1">
        <f>COUNTIF($C$1:C33,C33)</f>
        <v>29</v>
      </c>
      <c r="C33" s="1">
        <v>0</v>
      </c>
      <c r="D33" s="1">
        <f t="shared" si="1"/>
        <v>100029</v>
      </c>
      <c r="E33" s="1" t="s">
        <v>77</v>
      </c>
      <c r="F33" s="1" t="s">
        <v>78</v>
      </c>
      <c r="G33" s="1">
        <v>200029</v>
      </c>
      <c r="H33" s="1">
        <v>28</v>
      </c>
    </row>
    <row r="34" s="1" customFormat="1" spans="1:10">
      <c r="A34" s="1">
        <f t="shared" si="0"/>
        <v>30</v>
      </c>
      <c r="B34" s="1">
        <f>COUNTIF($C$1:C34,C34)</f>
        <v>30</v>
      </c>
      <c r="C34" s="1">
        <v>0</v>
      </c>
      <c r="D34" s="1">
        <f t="shared" si="1"/>
        <v>100030</v>
      </c>
      <c r="E34" s="1" t="s">
        <v>79</v>
      </c>
      <c r="F34" s="1" t="s">
        <v>80</v>
      </c>
      <c r="G34" s="1">
        <v>200030</v>
      </c>
      <c r="H34" s="1">
        <v>29</v>
      </c>
    </row>
    <row r="35" s="1" customFormat="1" spans="1:10">
      <c r="A35" s="1">
        <f t="shared" si="0"/>
        <v>31</v>
      </c>
      <c r="B35" s="1">
        <f>COUNTIF($C$1:C35,C35)</f>
        <v>31</v>
      </c>
      <c r="C35" s="1">
        <v>0</v>
      </c>
      <c r="D35" s="1">
        <f t="shared" si="1"/>
        <v>100031</v>
      </c>
      <c r="E35" s="1" t="s">
        <v>81</v>
      </c>
      <c r="F35" s="1" t="s">
        <v>82</v>
      </c>
      <c r="G35" s="1">
        <v>200031</v>
      </c>
      <c r="H35" s="1">
        <v>30</v>
      </c>
    </row>
    <row r="36" s="1" customFormat="1" spans="1:10">
      <c r="A36" s="1">
        <f t="shared" si="0"/>
        <v>32</v>
      </c>
      <c r="B36" s="1">
        <f>COUNTIF($C$1:C36,C36)</f>
        <v>32</v>
      </c>
      <c r="C36" s="1">
        <v>0</v>
      </c>
      <c r="D36" s="1">
        <f t="shared" si="1"/>
        <v>100032</v>
      </c>
      <c r="E36" s="1" t="s">
        <v>83</v>
      </c>
      <c r="F36" s="1" t="s">
        <v>84</v>
      </c>
      <c r="G36" s="1">
        <v>200032</v>
      </c>
      <c r="H36" s="1">
        <v>31</v>
      </c>
    </row>
    <row r="37" s="1" customFormat="1" spans="1:10">
      <c r="A37" s="1">
        <f t="shared" ref="A37:A63" si="2">C37*1000+B37</f>
        <v>33</v>
      </c>
      <c r="B37" s="1">
        <f>COUNTIF($C$1:C37,C37)</f>
        <v>33</v>
      </c>
      <c r="C37" s="1">
        <v>0</v>
      </c>
      <c r="D37" s="1">
        <f t="shared" si="1"/>
        <v>100033</v>
      </c>
      <c r="E37" s="1" t="s">
        <v>85</v>
      </c>
      <c r="F37" s="1" t="s">
        <v>86</v>
      </c>
      <c r="G37" s="1">
        <v>200033</v>
      </c>
      <c r="H37" s="1">
        <v>32</v>
      </c>
    </row>
    <row r="38" s="1" customFormat="1" spans="1:10">
      <c r="A38" s="1">
        <f t="shared" si="2"/>
        <v>34</v>
      </c>
      <c r="B38" s="1">
        <f>COUNTIF($C$1:C38,C38)</f>
        <v>34</v>
      </c>
      <c r="C38" s="1">
        <v>0</v>
      </c>
      <c r="D38" s="1">
        <f t="shared" si="1"/>
        <v>100034</v>
      </c>
      <c r="E38" s="1" t="s">
        <v>87</v>
      </c>
      <c r="F38" s="1" t="s">
        <v>88</v>
      </c>
      <c r="G38" s="1">
        <v>200034</v>
      </c>
      <c r="H38" s="1">
        <v>33</v>
      </c>
    </row>
    <row r="39" s="1" customFormat="1" spans="1:10">
      <c r="A39" s="1">
        <f t="shared" si="2"/>
        <v>35</v>
      </c>
      <c r="B39" s="1">
        <f>COUNTIF($C$1:C39,C39)</f>
        <v>35</v>
      </c>
      <c r="C39" s="1">
        <v>0</v>
      </c>
      <c r="D39" s="1">
        <f t="shared" si="1"/>
        <v>100035</v>
      </c>
      <c r="E39" s="1" t="s">
        <v>89</v>
      </c>
      <c r="F39" s="1" t="s">
        <v>90</v>
      </c>
      <c r="G39" s="1">
        <v>200035</v>
      </c>
      <c r="H39" s="1">
        <v>34</v>
      </c>
    </row>
    <row r="40" s="1" customFormat="1" spans="1:10">
      <c r="A40" s="1">
        <f t="shared" si="2"/>
        <v>36</v>
      </c>
      <c r="B40" s="1">
        <f>COUNTIF($C$1:C40,C40)</f>
        <v>36</v>
      </c>
      <c r="C40" s="1">
        <v>0</v>
      </c>
      <c r="D40" s="1">
        <f t="shared" si="1"/>
        <v>100036</v>
      </c>
      <c r="E40" s="1" t="s">
        <v>91</v>
      </c>
      <c r="F40" s="1" t="s">
        <v>92</v>
      </c>
      <c r="G40" s="1">
        <v>200036</v>
      </c>
      <c r="H40" s="1">
        <v>35</v>
      </c>
    </row>
    <row r="41" s="1" customFormat="1" spans="1:10">
      <c r="A41" s="1">
        <f t="shared" si="2"/>
        <v>37</v>
      </c>
      <c r="B41" s="1">
        <f>COUNTIF($C$1:C41,C41)</f>
        <v>37</v>
      </c>
      <c r="C41" s="1">
        <v>0</v>
      </c>
      <c r="D41" s="1">
        <f t="shared" si="1"/>
        <v>100037</v>
      </c>
      <c r="E41" s="1" t="s">
        <v>93</v>
      </c>
      <c r="F41" s="1" t="s">
        <v>94</v>
      </c>
      <c r="G41" s="1">
        <v>200037</v>
      </c>
      <c r="H41" s="1">
        <v>36</v>
      </c>
    </row>
    <row r="42" s="1" customFormat="1" spans="1:10">
      <c r="A42" s="1">
        <f t="shared" si="2"/>
        <v>38</v>
      </c>
      <c r="B42" s="1">
        <f>COUNTIF($C$1:C42,C42)</f>
        <v>38</v>
      </c>
      <c r="C42" s="1">
        <v>0</v>
      </c>
      <c r="D42" s="1">
        <f t="shared" si="1"/>
        <v>100038</v>
      </c>
      <c r="E42" s="1" t="s">
        <v>95</v>
      </c>
      <c r="F42" s="1" t="s">
        <v>96</v>
      </c>
      <c r="G42" s="1">
        <v>200038</v>
      </c>
      <c r="H42" s="1">
        <v>37</v>
      </c>
    </row>
    <row r="43" s="1" customFormat="1" spans="1:10">
      <c r="A43" s="1">
        <f t="shared" si="2"/>
        <v>39</v>
      </c>
      <c r="B43" s="1">
        <f>COUNTIF($C$1:C43,C43)</f>
        <v>39</v>
      </c>
      <c r="C43" s="1">
        <v>0</v>
      </c>
      <c r="D43" s="1">
        <f t="shared" si="1"/>
        <v>100039</v>
      </c>
      <c r="E43" s="1" t="s">
        <v>97</v>
      </c>
      <c r="F43" s="1" t="s">
        <v>98</v>
      </c>
      <c r="G43" s="1">
        <v>200039</v>
      </c>
      <c r="H43" s="1">
        <v>38</v>
      </c>
    </row>
    <row r="44" s="1" customFormat="1" spans="1:10">
      <c r="A44" s="2">
        <f t="shared" si="2"/>
        <v>40</v>
      </c>
      <c r="B44" s="2">
        <f>COUNTIF($C$1:C44,C44)</f>
        <v>40</v>
      </c>
      <c r="C44" s="2">
        <v>0</v>
      </c>
      <c r="D44" s="2">
        <f t="shared" si="1"/>
        <v>100040</v>
      </c>
      <c r="E44" s="2" t="s">
        <v>99</v>
      </c>
      <c r="F44" s="2" t="s">
        <v>100</v>
      </c>
      <c r="G44" s="2">
        <v>200040</v>
      </c>
      <c r="H44" s="2"/>
      <c r="I44" s="2" t="s">
        <v>101</v>
      </c>
      <c r="J44" s="2"/>
    </row>
    <row r="45" s="1" customFormat="1" spans="1:10">
      <c r="A45" s="2">
        <f t="shared" si="2"/>
        <v>41</v>
      </c>
      <c r="B45" s="2">
        <f>COUNTIF($C$1:C45,C45)</f>
        <v>41</v>
      </c>
      <c r="C45" s="2">
        <v>0</v>
      </c>
      <c r="D45" s="2">
        <f t="shared" si="1"/>
        <v>100041</v>
      </c>
      <c r="E45" s="2" t="s">
        <v>102</v>
      </c>
      <c r="F45" s="2" t="s">
        <v>103</v>
      </c>
      <c r="G45" s="2">
        <v>200041</v>
      </c>
      <c r="H45" s="2"/>
      <c r="I45" s="2" t="s">
        <v>101</v>
      </c>
      <c r="J45" s="2"/>
    </row>
    <row r="46" s="1" customFormat="1" spans="1:10">
      <c r="A46" s="2">
        <f t="shared" si="2"/>
        <v>42</v>
      </c>
      <c r="B46" s="2">
        <f>COUNTIF($C$1:C46,C46)</f>
        <v>42</v>
      </c>
      <c r="C46" s="2">
        <v>0</v>
      </c>
      <c r="D46" s="2">
        <f t="shared" si="1"/>
        <v>100042</v>
      </c>
      <c r="E46" s="2" t="s">
        <v>104</v>
      </c>
      <c r="F46" s="2" t="s">
        <v>105</v>
      </c>
      <c r="G46" s="2">
        <v>200042</v>
      </c>
      <c r="H46" s="2"/>
      <c r="I46" s="2" t="s">
        <v>101</v>
      </c>
      <c r="J46" s="2"/>
    </row>
    <row r="47" s="1" customFormat="1" spans="1:10">
      <c r="A47" s="2">
        <f t="shared" si="2"/>
        <v>43</v>
      </c>
      <c r="B47" s="2">
        <f>COUNTIF($C$1:C47,C47)</f>
        <v>43</v>
      </c>
      <c r="C47" s="2">
        <v>0</v>
      </c>
      <c r="D47" s="2">
        <f t="shared" si="1"/>
        <v>100043</v>
      </c>
      <c r="E47" s="2" t="s">
        <v>106</v>
      </c>
      <c r="F47" s="2" t="s">
        <v>107</v>
      </c>
      <c r="G47" s="2">
        <v>200043</v>
      </c>
      <c r="H47" s="2"/>
      <c r="I47" s="2" t="s">
        <v>101</v>
      </c>
      <c r="J47" s="2"/>
    </row>
    <row r="48" s="1" customFormat="1" spans="1:10">
      <c r="A48" s="2">
        <f t="shared" si="2"/>
        <v>44</v>
      </c>
      <c r="B48" s="2">
        <f>COUNTIF($C$1:C48,C48)</f>
        <v>44</v>
      </c>
      <c r="C48" s="2">
        <v>0</v>
      </c>
      <c r="D48" s="2">
        <f t="shared" ref="D48:D53" si="3">100000+C48*1000+B48</f>
        <v>100044</v>
      </c>
      <c r="E48" s="2" t="s">
        <v>108</v>
      </c>
      <c r="F48" s="2" t="s">
        <v>109</v>
      </c>
      <c r="G48" s="2">
        <v>200044</v>
      </c>
      <c r="H48" s="2"/>
      <c r="I48" s="2" t="s">
        <v>101</v>
      </c>
      <c r="J48" s="2"/>
    </row>
    <row r="49" s="1" customFormat="1" spans="1:12">
      <c r="A49" s="2">
        <f t="shared" si="2"/>
        <v>45</v>
      </c>
      <c r="B49" s="2">
        <f>COUNTIF($C$1:C49,C49)</f>
        <v>45</v>
      </c>
      <c r="C49" s="2">
        <v>0</v>
      </c>
      <c r="D49" s="2">
        <f t="shared" si="3"/>
        <v>100045</v>
      </c>
      <c r="E49" s="2" t="s">
        <v>110</v>
      </c>
      <c r="F49" s="2" t="s">
        <v>111</v>
      </c>
      <c r="G49" s="2">
        <v>200045</v>
      </c>
      <c r="H49" s="2"/>
      <c r="I49" s="2" t="s">
        <v>101</v>
      </c>
      <c r="J49" s="2"/>
    </row>
    <row r="50" s="1" customFormat="1" spans="1:12">
      <c r="A50" s="2">
        <f t="shared" si="2"/>
        <v>46</v>
      </c>
      <c r="B50" s="2">
        <f>COUNTIF($C$1:C50,C50)</f>
        <v>46</v>
      </c>
      <c r="C50" s="2">
        <v>0</v>
      </c>
      <c r="D50" s="2">
        <f t="shared" si="3"/>
        <v>100046</v>
      </c>
      <c r="E50" s="2" t="s">
        <v>112</v>
      </c>
      <c r="F50" s="2" t="s">
        <v>113</v>
      </c>
      <c r="G50" s="2">
        <v>200046</v>
      </c>
      <c r="H50" s="2"/>
      <c r="I50" s="2" t="s">
        <v>101</v>
      </c>
      <c r="J50" s="2"/>
    </row>
    <row r="51" s="1" customFormat="1" spans="1:12">
      <c r="A51" s="2">
        <f t="shared" si="2"/>
        <v>47</v>
      </c>
      <c r="B51" s="2">
        <f>COUNTIF($C$1:C51,C51)</f>
        <v>47</v>
      </c>
      <c r="C51" s="2">
        <v>0</v>
      </c>
      <c r="D51" s="2">
        <f t="shared" si="3"/>
        <v>100047</v>
      </c>
      <c r="E51" s="2" t="s">
        <v>114</v>
      </c>
      <c r="F51" s="2" t="s">
        <v>115</v>
      </c>
      <c r="G51" s="2">
        <v>200047</v>
      </c>
      <c r="H51" s="2"/>
      <c r="I51" s="2" t="s">
        <v>101</v>
      </c>
      <c r="J51" s="2"/>
    </row>
    <row r="52" s="1" customFormat="1" spans="1:12">
      <c r="A52" s="2">
        <f t="shared" si="2"/>
        <v>48</v>
      </c>
      <c r="B52" s="2">
        <f>COUNTIF($C$1:C52,C52)</f>
        <v>48</v>
      </c>
      <c r="C52" s="2">
        <v>0</v>
      </c>
      <c r="D52" s="2">
        <f t="shared" si="3"/>
        <v>100048</v>
      </c>
      <c r="E52" s="2" t="s">
        <v>116</v>
      </c>
      <c r="F52" s="2" t="s">
        <v>117</v>
      </c>
      <c r="G52" s="2">
        <v>200048</v>
      </c>
      <c r="H52" s="2"/>
      <c r="I52" s="2" t="s">
        <v>101</v>
      </c>
      <c r="J52" s="2"/>
    </row>
    <row r="53" s="1" customFormat="1" spans="1:12">
      <c r="A53" s="2">
        <f t="shared" si="2"/>
        <v>49</v>
      </c>
      <c r="B53" s="2">
        <f>COUNTIF($C$1:C53,C53)</f>
        <v>49</v>
      </c>
      <c r="C53" s="2">
        <v>0</v>
      </c>
      <c r="D53" s="2">
        <f t="shared" si="3"/>
        <v>100049</v>
      </c>
      <c r="E53" s="2" t="s">
        <v>116</v>
      </c>
      <c r="F53" s="2" t="s">
        <v>118</v>
      </c>
      <c r="G53" s="2">
        <v>200049</v>
      </c>
      <c r="H53" s="2"/>
      <c r="I53" s="2" t="s">
        <v>101</v>
      </c>
      <c r="J53" s="2"/>
    </row>
    <row r="54" s="1" customFormat="1" spans="1:12">
      <c r="A54" s="2">
        <f t="shared" si="2"/>
        <v>50</v>
      </c>
      <c r="B54" s="2">
        <f>COUNTIF($C$1:C54,C54)</f>
        <v>50</v>
      </c>
      <c r="C54" s="2">
        <v>0</v>
      </c>
      <c r="D54" s="2">
        <f t="shared" ref="D54:D76" si="4">100000+C54*1000+B54</f>
        <v>100050</v>
      </c>
      <c r="E54" s="2" t="s">
        <v>119</v>
      </c>
      <c r="F54" s="2" t="s">
        <v>120</v>
      </c>
      <c r="G54" s="2">
        <v>200050</v>
      </c>
      <c r="H54" s="2"/>
      <c r="I54" s="2" t="s">
        <v>101</v>
      </c>
      <c r="J54" s="2"/>
    </row>
    <row r="55" s="1" customFormat="1" spans="1:12">
      <c r="A55" s="2">
        <f t="shared" si="2"/>
        <v>51</v>
      </c>
      <c r="B55" s="2">
        <f>COUNTIF($C$1:C55,C55)</f>
        <v>51</v>
      </c>
      <c r="C55" s="2">
        <v>0</v>
      </c>
      <c r="D55" s="2">
        <f t="shared" si="4"/>
        <v>100051</v>
      </c>
      <c r="E55" s="2" t="s">
        <v>121</v>
      </c>
      <c r="F55" s="2" t="s">
        <v>122</v>
      </c>
      <c r="G55" s="2">
        <v>200051</v>
      </c>
      <c r="H55" s="2"/>
      <c r="I55" s="2" t="s">
        <v>101</v>
      </c>
      <c r="J55" s="2"/>
    </row>
    <row r="56" s="1" customFormat="1" spans="1:12">
      <c r="A56" s="2">
        <f t="shared" si="2"/>
        <v>52</v>
      </c>
      <c r="B56" s="2">
        <f>COUNTIF($C$1:C56,C56)</f>
        <v>52</v>
      </c>
      <c r="C56" s="2">
        <v>0</v>
      </c>
      <c r="D56" s="2">
        <f t="shared" si="4"/>
        <v>100052</v>
      </c>
      <c r="E56" s="2" t="s">
        <v>123</v>
      </c>
      <c r="F56" s="2" t="s">
        <v>124</v>
      </c>
      <c r="G56" s="2">
        <v>200052</v>
      </c>
      <c r="H56" s="2"/>
      <c r="I56" s="2" t="s">
        <v>101</v>
      </c>
      <c r="J56" s="2"/>
    </row>
    <row r="57" spans="1:12">
      <c r="A57" s="1">
        <f t="shared" si="2"/>
        <v>1001</v>
      </c>
      <c r="B57" s="1">
        <f>COUNTIF($C$1:C57,C57)</f>
        <v>1</v>
      </c>
      <c r="C57" s="1">
        <v>1</v>
      </c>
      <c r="D57" s="1">
        <f t="shared" si="4"/>
        <v>101001</v>
      </c>
      <c r="E57" s="1" t="s">
        <v>125</v>
      </c>
      <c r="F57" s="1" t="s">
        <v>126</v>
      </c>
      <c r="G57" s="1">
        <v>201001</v>
      </c>
      <c r="H57" s="1">
        <v>1</v>
      </c>
    </row>
    <row r="58" spans="1:12">
      <c r="A58" s="1">
        <f t="shared" si="2"/>
        <v>1002</v>
      </c>
      <c r="B58" s="1">
        <f>COUNTIF($C$1:C58,C58)</f>
        <v>2</v>
      </c>
      <c r="C58" s="1">
        <v>1</v>
      </c>
      <c r="D58" s="1">
        <f t="shared" si="4"/>
        <v>101002</v>
      </c>
      <c r="E58" s="1" t="s">
        <v>127</v>
      </c>
      <c r="F58" s="1" t="s">
        <v>128</v>
      </c>
      <c r="G58" s="1">
        <v>201002</v>
      </c>
      <c r="H58" s="1">
        <v>10</v>
      </c>
    </row>
    <row r="59" spans="1:12">
      <c r="A59" s="1">
        <f t="shared" si="2"/>
        <v>1003</v>
      </c>
      <c r="B59" s="1">
        <f>COUNTIF($C$1:C59,C59)</f>
        <v>3</v>
      </c>
      <c r="C59" s="1">
        <v>1</v>
      </c>
      <c r="D59" s="1">
        <f t="shared" si="4"/>
        <v>101003</v>
      </c>
      <c r="E59" s="1" t="s">
        <v>129</v>
      </c>
      <c r="F59" s="1" t="s">
        <v>130</v>
      </c>
      <c r="G59" s="1">
        <v>201003</v>
      </c>
      <c r="H59" s="1">
        <v>20</v>
      </c>
    </row>
    <row r="60" spans="1:12">
      <c r="A60" s="1">
        <f t="shared" si="2"/>
        <v>1004</v>
      </c>
      <c r="B60" s="1">
        <f>COUNTIF($C$1:C60,C60)</f>
        <v>4</v>
      </c>
      <c r="C60" s="1">
        <v>1</v>
      </c>
      <c r="D60" s="1">
        <f t="shared" si="4"/>
        <v>101004</v>
      </c>
      <c r="E60" s="1" t="s">
        <v>131</v>
      </c>
      <c r="F60" s="1" t="s">
        <v>132</v>
      </c>
      <c r="G60" s="1">
        <v>201004</v>
      </c>
      <c r="H60" s="1">
        <v>30</v>
      </c>
    </row>
    <row r="61" s="1" customFormat="1" spans="1:12">
      <c r="A61" s="3">
        <f t="shared" si="2"/>
        <v>1005</v>
      </c>
      <c r="B61" s="1">
        <f>COUNTIF($C$1:C61,C61)</f>
        <v>5</v>
      </c>
      <c r="C61" s="1">
        <v>1</v>
      </c>
      <c r="D61" s="1">
        <f t="shared" si="4"/>
        <v>101005</v>
      </c>
      <c r="E61" s="1" t="s">
        <v>133</v>
      </c>
      <c r="F61" s="1" t="s">
        <v>134</v>
      </c>
      <c r="G61" s="1">
        <v>201801</v>
      </c>
      <c r="I61" s="2" t="s">
        <v>101</v>
      </c>
      <c r="L61" s="1" t="s">
        <v>135</v>
      </c>
    </row>
    <row r="62" s="1" customFormat="1" spans="1:12">
      <c r="A62" s="3">
        <f t="shared" si="2"/>
        <v>1006</v>
      </c>
      <c r="B62" s="1">
        <f>COUNTIF($C$1:C62,C62)</f>
        <v>6</v>
      </c>
      <c r="C62" s="1">
        <v>1</v>
      </c>
      <c r="D62" s="1">
        <f t="shared" si="4"/>
        <v>101006</v>
      </c>
      <c r="E62" s="1" t="s">
        <v>136</v>
      </c>
      <c r="F62" s="1" t="s">
        <v>137</v>
      </c>
      <c r="G62" s="1">
        <v>201802</v>
      </c>
      <c r="I62" s="2" t="s">
        <v>101</v>
      </c>
      <c r="L62" s="1" t="s">
        <v>138</v>
      </c>
    </row>
    <row r="63" spans="1:12">
      <c r="A63" s="2">
        <f t="shared" si="2"/>
        <v>1007</v>
      </c>
      <c r="B63" s="2">
        <f>COUNTIF($C$1:C63,C63)</f>
        <v>7</v>
      </c>
      <c r="C63" s="2">
        <v>1</v>
      </c>
      <c r="D63" s="2">
        <f t="shared" si="4"/>
        <v>101007</v>
      </c>
      <c r="E63" s="2" t="s">
        <v>139</v>
      </c>
      <c r="F63" s="2" t="s">
        <v>140</v>
      </c>
      <c r="G63" s="2">
        <v>201005</v>
      </c>
      <c r="H63" s="2"/>
      <c r="I63" s="2" t="s">
        <v>101</v>
      </c>
    </row>
    <row r="64" s="2" customFormat="1" spans="1:12">
      <c r="A64" s="2">
        <f t="shared" ref="A64:A78" si="5">C64*1000+B64</f>
        <v>1008</v>
      </c>
      <c r="B64" s="2">
        <f>COUNTIF($C$1:C64,C64)</f>
        <v>8</v>
      </c>
      <c r="C64" s="2">
        <v>1</v>
      </c>
      <c r="D64" s="2">
        <f t="shared" si="4"/>
        <v>101008</v>
      </c>
      <c r="E64" s="2" t="s">
        <v>141</v>
      </c>
      <c r="F64" s="2" t="s">
        <v>142</v>
      </c>
      <c r="G64" s="2">
        <v>201006</v>
      </c>
      <c r="H64" s="2"/>
      <c r="I64" s="2" t="s">
        <v>101</v>
      </c>
    </row>
    <row r="65" s="2" customFormat="1" spans="1:14">
      <c r="A65" s="2">
        <f t="shared" si="5"/>
        <v>1009</v>
      </c>
      <c r="B65" s="2">
        <f>COUNTIF($C$1:C65,C65)</f>
        <v>9</v>
      </c>
      <c r="C65" s="2">
        <v>1</v>
      </c>
      <c r="D65" s="2">
        <f t="shared" si="4"/>
        <v>101009</v>
      </c>
      <c r="E65" s="2" t="s">
        <v>143</v>
      </c>
      <c r="F65" s="2" t="s">
        <v>144</v>
      </c>
      <c r="G65" s="2">
        <v>201007</v>
      </c>
      <c r="H65" s="2"/>
      <c r="I65" s="2" t="s">
        <v>101</v>
      </c>
    </row>
    <row r="66" s="2" customFormat="1" spans="1:14">
      <c r="A66" s="2">
        <f t="shared" si="5"/>
        <v>1010</v>
      </c>
      <c r="B66" s="2">
        <f>COUNTIF($C$1:C66,C66)</f>
        <v>10</v>
      </c>
      <c r="C66" s="2">
        <v>1</v>
      </c>
      <c r="D66" s="2">
        <f t="shared" si="4"/>
        <v>101010</v>
      </c>
      <c r="E66" s="2" t="s">
        <v>145</v>
      </c>
      <c r="F66" s="2" t="s">
        <v>146</v>
      </c>
      <c r="G66" s="2">
        <v>201008</v>
      </c>
      <c r="H66" s="2"/>
      <c r="I66" s="2" t="s">
        <v>101</v>
      </c>
    </row>
    <row r="67" s="2" customFormat="1" spans="1:14">
      <c r="A67" s="2">
        <f t="shared" si="5"/>
        <v>1011</v>
      </c>
      <c r="B67" s="2">
        <f>COUNTIF($C$1:C67,C67)</f>
        <v>11</v>
      </c>
      <c r="C67" s="2">
        <v>1</v>
      </c>
      <c r="D67" s="2">
        <f t="shared" si="4"/>
        <v>101011</v>
      </c>
      <c r="E67" s="2" t="s">
        <v>147</v>
      </c>
      <c r="F67" s="2" t="s">
        <v>148</v>
      </c>
      <c r="G67" s="2">
        <v>201009</v>
      </c>
      <c r="H67" s="2"/>
      <c r="I67" s="2" t="s">
        <v>101</v>
      </c>
    </row>
    <row r="68" s="2" customFormat="1" spans="1:14">
      <c r="A68" s="2">
        <f t="shared" si="5"/>
        <v>1012</v>
      </c>
      <c r="B68" s="2">
        <f>COUNTIF($C$1:C68,C68)</f>
        <v>12</v>
      </c>
      <c r="C68" s="2">
        <v>1</v>
      </c>
      <c r="D68" s="2">
        <f t="shared" si="4"/>
        <v>101012</v>
      </c>
      <c r="E68" s="2" t="s">
        <v>149</v>
      </c>
      <c r="F68" s="2" t="s">
        <v>150</v>
      </c>
      <c r="G68" s="2">
        <v>201010</v>
      </c>
      <c r="H68" s="2"/>
      <c r="I68" s="2" t="s">
        <v>101</v>
      </c>
    </row>
    <row r="69" s="2" customFormat="1" spans="1:14">
      <c r="A69" s="2">
        <f t="shared" si="5"/>
        <v>1013</v>
      </c>
      <c r="B69" s="2">
        <f>COUNTIF($C$1:C69,C69)</f>
        <v>13</v>
      </c>
      <c r="C69" s="2">
        <v>1</v>
      </c>
      <c r="D69" s="2">
        <f t="shared" si="4"/>
        <v>101013</v>
      </c>
      <c r="E69" s="2" t="s">
        <v>151</v>
      </c>
      <c r="F69" s="2" t="s">
        <v>152</v>
      </c>
      <c r="G69" s="2">
        <v>201011</v>
      </c>
      <c r="H69" s="2"/>
      <c r="I69" s="2" t="s">
        <v>101</v>
      </c>
    </row>
    <row r="70" s="2" customFormat="1" spans="1:14">
      <c r="A70" s="2">
        <f t="shared" si="5"/>
        <v>1014</v>
      </c>
      <c r="B70" s="2">
        <f>COUNTIF($C$1:C70,C70)</f>
        <v>14</v>
      </c>
      <c r="C70" s="2">
        <v>1</v>
      </c>
      <c r="D70" s="2">
        <f t="shared" si="4"/>
        <v>101014</v>
      </c>
      <c r="E70" s="2" t="s">
        <v>153</v>
      </c>
      <c r="F70" s="2" t="s">
        <v>154</v>
      </c>
      <c r="G70" s="2">
        <v>201012</v>
      </c>
      <c r="H70" s="2"/>
      <c r="I70" s="2" t="s">
        <v>101</v>
      </c>
    </row>
    <row r="71" s="2" customFormat="1" spans="1:14">
      <c r="A71" s="2">
        <f t="shared" si="5"/>
        <v>1015</v>
      </c>
      <c r="B71" s="2">
        <f>COUNTIF($C$1:C71,C71)</f>
        <v>15</v>
      </c>
      <c r="C71" s="2">
        <v>1</v>
      </c>
      <c r="D71" s="2">
        <f t="shared" si="4"/>
        <v>101015</v>
      </c>
      <c r="E71" s="2" t="s">
        <v>155</v>
      </c>
      <c r="F71" s="2" t="s">
        <v>156</v>
      </c>
      <c r="G71" s="2">
        <v>201013</v>
      </c>
      <c r="H71" s="2"/>
      <c r="I71" s="2" t="s">
        <v>101</v>
      </c>
    </row>
    <row r="72" s="2" customFormat="1" spans="1:14">
      <c r="A72" s="2">
        <f t="shared" si="5"/>
        <v>1016</v>
      </c>
      <c r="B72" s="2">
        <f>COUNTIF($C$1:C72,C72)</f>
        <v>16</v>
      </c>
      <c r="C72" s="2">
        <v>1</v>
      </c>
      <c r="D72" s="2">
        <f t="shared" si="4"/>
        <v>101016</v>
      </c>
      <c r="E72" s="2" t="s">
        <v>157</v>
      </c>
      <c r="F72" s="2" t="s">
        <v>158</v>
      </c>
      <c r="G72" s="2">
        <v>201014</v>
      </c>
      <c r="H72" s="2"/>
      <c r="I72" s="2" t="s">
        <v>101</v>
      </c>
    </row>
    <row r="73" s="2" customFormat="1" spans="1:14">
      <c r="A73" s="2">
        <f t="shared" si="5"/>
        <v>1017</v>
      </c>
      <c r="B73" s="2">
        <f>COUNTIF($C$1:C73,C73)</f>
        <v>17</v>
      </c>
      <c r="C73" s="2">
        <v>1</v>
      </c>
      <c r="D73" s="2">
        <f t="shared" si="4"/>
        <v>101017</v>
      </c>
      <c r="E73" s="2" t="s">
        <v>159</v>
      </c>
      <c r="F73" s="2" t="s">
        <v>160</v>
      </c>
      <c r="G73" s="2">
        <v>201015</v>
      </c>
      <c r="H73" s="2"/>
      <c r="I73" s="2" t="s">
        <v>101</v>
      </c>
    </row>
    <row r="74" s="2" customFormat="1" spans="1:14">
      <c r="A74" s="2">
        <f t="shared" si="5"/>
        <v>1018</v>
      </c>
      <c r="B74" s="2">
        <f>COUNTIF($C$1:C74,C74)</f>
        <v>18</v>
      </c>
      <c r="C74" s="2">
        <v>1</v>
      </c>
      <c r="D74" s="2">
        <f t="shared" si="4"/>
        <v>101018</v>
      </c>
      <c r="E74" s="2" t="s">
        <v>161</v>
      </c>
      <c r="F74" s="2" t="s">
        <v>162</v>
      </c>
      <c r="G74" s="2">
        <v>201016</v>
      </c>
      <c r="H74" s="2"/>
      <c r="I74" s="2" t="s">
        <v>101</v>
      </c>
    </row>
    <row r="75" s="2" customFormat="1" spans="1:14">
      <c r="A75" s="2">
        <f t="shared" si="5"/>
        <v>1019</v>
      </c>
      <c r="B75" s="2">
        <f>COUNTIF($C$1:C75,C75)</f>
        <v>19</v>
      </c>
      <c r="C75" s="2">
        <v>1</v>
      </c>
      <c r="D75" s="2">
        <f t="shared" si="4"/>
        <v>101019</v>
      </c>
      <c r="E75" s="2" t="s">
        <v>163</v>
      </c>
      <c r="F75" s="2" t="s">
        <v>164</v>
      </c>
      <c r="G75" s="2">
        <v>201017</v>
      </c>
      <c r="H75" s="2"/>
      <c r="I75" s="2" t="s">
        <v>101</v>
      </c>
    </row>
    <row r="76" s="1" customFormat="1" spans="1:14">
      <c r="A76" s="1">
        <f t="shared" si="5"/>
        <v>2001</v>
      </c>
      <c r="B76" s="1">
        <f>COUNTIF($C$1:C76,C76)</f>
        <v>1</v>
      </c>
      <c r="C76" s="1">
        <v>2</v>
      </c>
      <c r="D76" s="4">
        <v>102001</v>
      </c>
      <c r="E76" s="4" t="s">
        <v>165</v>
      </c>
      <c r="F76" s="4" t="s">
        <v>166</v>
      </c>
      <c r="G76" s="1">
        <v>202001</v>
      </c>
      <c r="K76" s="2"/>
      <c r="L76" s="2"/>
      <c r="M76" s="2"/>
      <c r="N76" s="2"/>
    </row>
    <row r="77" s="1" customFormat="1" spans="1:14">
      <c r="A77" s="1">
        <f t="shared" si="5"/>
        <v>2002</v>
      </c>
      <c r="B77" s="1">
        <f>COUNTIF($C$1:C77,C77)</f>
        <v>2</v>
      </c>
      <c r="C77" s="1">
        <v>2</v>
      </c>
      <c r="D77" s="1">
        <f t="shared" ref="D76:D107" si="6">100000+C77*1000+B77</f>
        <v>102002</v>
      </c>
      <c r="E77" s="1" t="s">
        <v>167</v>
      </c>
      <c r="F77" s="1" t="s">
        <v>168</v>
      </c>
      <c r="G77" s="1">
        <v>202002</v>
      </c>
      <c r="K77" s="2"/>
      <c r="L77" s="2"/>
      <c r="M77" s="2"/>
      <c r="N77" s="2"/>
    </row>
    <row r="78" s="1" customFormat="1" spans="1:14">
      <c r="A78" s="1">
        <f t="shared" ref="A78:A107" si="7">C78*1000+B78</f>
        <v>2003</v>
      </c>
      <c r="B78" s="1">
        <f>COUNTIF($C$1:C78,C78)</f>
        <v>3</v>
      </c>
      <c r="C78" s="1">
        <v>2</v>
      </c>
      <c r="D78" s="1">
        <f t="shared" si="6"/>
        <v>102003</v>
      </c>
      <c r="E78" s="1" t="s">
        <v>169</v>
      </c>
      <c r="F78" s="1" t="s">
        <v>170</v>
      </c>
      <c r="G78" s="1">
        <v>202003</v>
      </c>
      <c r="K78" s="2"/>
      <c r="L78" s="2"/>
      <c r="M78" s="2"/>
      <c r="N78" s="2"/>
    </row>
    <row r="79" s="1" customFormat="1" spans="1:14">
      <c r="A79" s="1">
        <f t="shared" si="7"/>
        <v>2004</v>
      </c>
      <c r="B79" s="1">
        <f>COUNTIF($C$1:C79,C79)</f>
        <v>4</v>
      </c>
      <c r="C79" s="1">
        <v>2</v>
      </c>
      <c r="D79" s="1">
        <f t="shared" si="6"/>
        <v>102004</v>
      </c>
      <c r="E79" s="1" t="s">
        <v>171</v>
      </c>
      <c r="F79" s="1" t="s">
        <v>172</v>
      </c>
      <c r="G79" s="1">
        <v>202004</v>
      </c>
      <c r="K79" s="2"/>
      <c r="L79" s="2"/>
      <c r="M79" s="2"/>
      <c r="N79" s="2"/>
    </row>
    <row r="80" s="1" customFormat="1" spans="1:14">
      <c r="A80" s="1">
        <f t="shared" si="7"/>
        <v>2005</v>
      </c>
      <c r="B80" s="1">
        <f>COUNTIF($C$1:C80,C80)</f>
        <v>5</v>
      </c>
      <c r="C80" s="1">
        <v>2</v>
      </c>
      <c r="D80" s="1">
        <f t="shared" si="6"/>
        <v>102005</v>
      </c>
      <c r="E80" s="1" t="s">
        <v>173</v>
      </c>
      <c r="F80" s="1" t="s">
        <v>174</v>
      </c>
      <c r="G80" s="1">
        <v>202005</v>
      </c>
      <c r="K80" s="2"/>
      <c r="L80" s="2"/>
      <c r="M80" s="2"/>
      <c r="N80" s="2"/>
    </row>
    <row r="81" s="1" customFormat="1" spans="1:14">
      <c r="A81" s="1">
        <f t="shared" si="7"/>
        <v>2006</v>
      </c>
      <c r="B81" s="1">
        <f>COUNTIF($C$1:C81,C81)</f>
        <v>6</v>
      </c>
      <c r="C81" s="1">
        <v>2</v>
      </c>
      <c r="D81" s="1">
        <f t="shared" si="6"/>
        <v>102006</v>
      </c>
      <c r="E81" s="1" t="s">
        <v>175</v>
      </c>
      <c r="F81" s="1" t="s">
        <v>176</v>
      </c>
      <c r="G81" s="1">
        <v>202006</v>
      </c>
      <c r="K81" s="2"/>
      <c r="L81" s="2"/>
      <c r="M81" s="2"/>
      <c r="N81" s="2"/>
    </row>
    <row r="82" s="1" customFormat="1" spans="1:14">
      <c r="A82" s="1">
        <f t="shared" si="7"/>
        <v>2007</v>
      </c>
      <c r="B82" s="1">
        <f>COUNTIF($C$1:C82,C82)</f>
        <v>7</v>
      </c>
      <c r="C82" s="1">
        <v>2</v>
      </c>
      <c r="D82" s="1">
        <f t="shared" si="6"/>
        <v>102007</v>
      </c>
      <c r="E82" s="1" t="s">
        <v>177</v>
      </c>
      <c r="F82" s="1" t="s">
        <v>178</v>
      </c>
      <c r="G82" s="1">
        <v>202007</v>
      </c>
      <c r="K82" s="2"/>
      <c r="L82" s="2"/>
      <c r="M82" s="2"/>
      <c r="N82" s="2"/>
    </row>
    <row r="83" s="1" customFormat="1" spans="1:14">
      <c r="A83" s="1">
        <f t="shared" si="7"/>
        <v>2008</v>
      </c>
      <c r="B83" s="1">
        <f>COUNTIF($C$1:C83,C83)</f>
        <v>8</v>
      </c>
      <c r="C83" s="1">
        <v>2</v>
      </c>
      <c r="D83" s="1">
        <f t="shared" si="6"/>
        <v>102008</v>
      </c>
      <c r="E83" s="1" t="s">
        <v>179</v>
      </c>
      <c r="F83" s="1" t="s">
        <v>180</v>
      </c>
      <c r="G83" s="1">
        <v>202008</v>
      </c>
    </row>
    <row r="84" s="1" customFormat="1" spans="1:14">
      <c r="A84" s="1">
        <f t="shared" si="7"/>
        <v>2009</v>
      </c>
      <c r="B84" s="1">
        <f>COUNTIF($C$1:C84,C84)</f>
        <v>9</v>
      </c>
      <c r="C84" s="1">
        <v>2</v>
      </c>
      <c r="D84" s="1">
        <f t="shared" si="6"/>
        <v>102009</v>
      </c>
      <c r="E84" s="1" t="s">
        <v>181</v>
      </c>
      <c r="F84" s="1" t="s">
        <v>182</v>
      </c>
      <c r="G84" s="1">
        <v>202009</v>
      </c>
    </row>
    <row r="85" s="1" customFormat="1" spans="1:14">
      <c r="A85" s="1">
        <f t="shared" si="7"/>
        <v>2010</v>
      </c>
      <c r="B85" s="1">
        <f>COUNTIF($C$1:C85,C85)</f>
        <v>10</v>
      </c>
      <c r="C85" s="1">
        <v>2</v>
      </c>
      <c r="D85" s="1">
        <f t="shared" si="6"/>
        <v>102010</v>
      </c>
      <c r="E85" s="1" t="s">
        <v>183</v>
      </c>
      <c r="F85" s="1" t="s">
        <v>184</v>
      </c>
      <c r="G85" s="1">
        <v>202010</v>
      </c>
    </row>
    <row r="86" s="1" customFormat="1" spans="1:14">
      <c r="A86" s="1">
        <f t="shared" si="7"/>
        <v>2011</v>
      </c>
      <c r="B86" s="1">
        <f>COUNTIF($C$1:C86,C86)</f>
        <v>11</v>
      </c>
      <c r="C86" s="1">
        <v>2</v>
      </c>
      <c r="D86" s="1">
        <f t="shared" si="6"/>
        <v>102011</v>
      </c>
      <c r="E86" s="1" t="s">
        <v>185</v>
      </c>
      <c r="F86" s="1" t="s">
        <v>186</v>
      </c>
      <c r="G86" s="1">
        <v>202011</v>
      </c>
    </row>
    <row r="87" s="1" customFormat="1" spans="1:14">
      <c r="A87" s="1">
        <f t="shared" si="7"/>
        <v>2012</v>
      </c>
      <c r="B87" s="1">
        <f>COUNTIF($C$1:C87,C87)</f>
        <v>12</v>
      </c>
      <c r="C87" s="1">
        <v>2</v>
      </c>
      <c r="D87" s="1">
        <f t="shared" si="6"/>
        <v>102012</v>
      </c>
      <c r="E87" s="1" t="s">
        <v>187</v>
      </c>
      <c r="F87" s="1" t="s">
        <v>188</v>
      </c>
      <c r="G87" s="1">
        <v>202012</v>
      </c>
    </row>
    <row r="88" s="1" customFormat="1" spans="1:14">
      <c r="A88" s="1">
        <f t="shared" si="7"/>
        <v>2013</v>
      </c>
      <c r="B88" s="1">
        <f>COUNTIF($C$1:C88,C88)</f>
        <v>13</v>
      </c>
      <c r="C88" s="1">
        <v>2</v>
      </c>
      <c r="D88" s="1">
        <f t="shared" si="6"/>
        <v>102013</v>
      </c>
      <c r="E88" s="1" t="s">
        <v>189</v>
      </c>
      <c r="F88" s="1" t="s">
        <v>190</v>
      </c>
      <c r="G88" s="1">
        <v>202013</v>
      </c>
    </row>
    <row r="89" s="1" customFormat="1" spans="1:14">
      <c r="A89" s="1">
        <f t="shared" si="7"/>
        <v>2014</v>
      </c>
      <c r="B89" s="1">
        <f>COUNTIF($C$1:C89,C89)</f>
        <v>14</v>
      </c>
      <c r="C89" s="1">
        <v>2</v>
      </c>
      <c r="D89" s="1">
        <f t="shared" si="6"/>
        <v>102014</v>
      </c>
      <c r="E89" s="1" t="s">
        <v>191</v>
      </c>
      <c r="F89" s="1" t="s">
        <v>192</v>
      </c>
      <c r="G89" s="1">
        <v>202014</v>
      </c>
    </row>
    <row r="90" s="1" customFormat="1" spans="1:14">
      <c r="A90" s="1">
        <f t="shared" si="7"/>
        <v>2015</v>
      </c>
      <c r="B90" s="1">
        <f>COUNTIF($C$1:C90,C90)</f>
        <v>15</v>
      </c>
      <c r="C90" s="1">
        <v>2</v>
      </c>
      <c r="D90" s="1">
        <f t="shared" si="6"/>
        <v>102015</v>
      </c>
      <c r="E90" s="1" t="s">
        <v>193</v>
      </c>
      <c r="F90" s="1" t="s">
        <v>194</v>
      </c>
      <c r="G90" s="1">
        <v>202015</v>
      </c>
    </row>
    <row r="91" s="1" customFormat="1" spans="1:14">
      <c r="A91" s="1">
        <f t="shared" si="7"/>
        <v>2016</v>
      </c>
      <c r="B91" s="1">
        <f>COUNTIF($C$1:C91,C91)</f>
        <v>16</v>
      </c>
      <c r="C91" s="1">
        <v>2</v>
      </c>
      <c r="D91" s="1">
        <f t="shared" si="6"/>
        <v>102016</v>
      </c>
      <c r="E91" s="1" t="s">
        <v>195</v>
      </c>
      <c r="F91" s="1" t="s">
        <v>196</v>
      </c>
      <c r="G91" s="1">
        <v>202016</v>
      </c>
    </row>
    <row r="92" s="1" customFormat="1" spans="1:14">
      <c r="A92" s="1">
        <f t="shared" si="7"/>
        <v>2017</v>
      </c>
      <c r="B92" s="1">
        <f>COUNTIF($C$1:C92,C92)</f>
        <v>17</v>
      </c>
      <c r="C92" s="1">
        <v>2</v>
      </c>
      <c r="D92" s="1">
        <f t="shared" si="6"/>
        <v>102017</v>
      </c>
      <c r="E92" s="1" t="s">
        <v>197</v>
      </c>
      <c r="F92" s="1" t="s">
        <v>198</v>
      </c>
      <c r="G92" s="1">
        <v>202017</v>
      </c>
    </row>
    <row r="93" s="1" customFormat="1" spans="1:14">
      <c r="A93" s="1">
        <f t="shared" si="7"/>
        <v>2018</v>
      </c>
      <c r="B93" s="1">
        <f>COUNTIF($C$1:C93,C93)</f>
        <v>18</v>
      </c>
      <c r="C93" s="1">
        <v>2</v>
      </c>
      <c r="D93" s="1">
        <f t="shared" si="6"/>
        <v>102018</v>
      </c>
      <c r="E93" s="1" t="s">
        <v>199</v>
      </c>
      <c r="F93" s="1" t="s">
        <v>200</v>
      </c>
      <c r="G93" s="1">
        <v>202018</v>
      </c>
    </row>
    <row r="94" s="1" customFormat="1" spans="1:14">
      <c r="A94" s="1">
        <f t="shared" si="7"/>
        <v>2019</v>
      </c>
      <c r="B94" s="1">
        <f>COUNTIF($C$1:C94,C94)</f>
        <v>19</v>
      </c>
      <c r="C94" s="1">
        <v>2</v>
      </c>
      <c r="D94" s="1">
        <f t="shared" si="6"/>
        <v>102019</v>
      </c>
      <c r="E94" s="1" t="s">
        <v>201</v>
      </c>
      <c r="F94" s="1" t="s">
        <v>202</v>
      </c>
      <c r="G94" s="1">
        <v>202019</v>
      </c>
    </row>
    <row r="95" s="1" customFormat="1" spans="1:14">
      <c r="A95" s="1">
        <f t="shared" si="7"/>
        <v>2020</v>
      </c>
      <c r="B95" s="1">
        <f>COUNTIF($C$1:C95,C95)</f>
        <v>20</v>
      </c>
      <c r="C95" s="1">
        <v>2</v>
      </c>
      <c r="D95" s="1">
        <f t="shared" si="6"/>
        <v>102020</v>
      </c>
      <c r="E95" s="1" t="s">
        <v>203</v>
      </c>
      <c r="F95" s="1" t="s">
        <v>204</v>
      </c>
      <c r="G95" s="1">
        <v>202020</v>
      </c>
    </row>
    <row r="96" s="1" customFormat="1" spans="1:14">
      <c r="A96" s="1">
        <v>2021</v>
      </c>
      <c r="B96" s="1">
        <v>21</v>
      </c>
      <c r="C96" s="1">
        <v>2</v>
      </c>
      <c r="D96" s="1">
        <f t="shared" si="6"/>
        <v>102021</v>
      </c>
      <c r="E96" s="1" t="s">
        <v>205</v>
      </c>
      <c r="F96" s="1" t="s">
        <v>206</v>
      </c>
      <c r="G96" s="1">
        <v>202021</v>
      </c>
    </row>
    <row r="97" s="1" customFormat="1" spans="1:10">
      <c r="A97" s="1">
        <v>2022</v>
      </c>
      <c r="B97" s="1">
        <v>22</v>
      </c>
      <c r="C97" s="1">
        <v>2</v>
      </c>
      <c r="D97" s="1">
        <f t="shared" si="6"/>
        <v>102022</v>
      </c>
      <c r="E97" s="1" t="s">
        <v>207</v>
      </c>
      <c r="F97" s="1" t="s">
        <v>208</v>
      </c>
      <c r="G97" s="1">
        <v>202022</v>
      </c>
    </row>
    <row r="98" s="1" customFormat="1" spans="1:10">
      <c r="A98" s="1">
        <v>2023</v>
      </c>
      <c r="B98" s="1">
        <v>23</v>
      </c>
      <c r="C98" s="1">
        <v>2</v>
      </c>
      <c r="D98" s="4">
        <v>102023</v>
      </c>
      <c r="E98" s="4" t="s">
        <v>209</v>
      </c>
      <c r="F98" s="4" t="s">
        <v>210</v>
      </c>
      <c r="G98" s="1">
        <v>202023</v>
      </c>
    </row>
    <row r="99" s="1" customFormat="1" spans="1:10">
      <c r="A99" s="1">
        <f t="shared" ref="A99:A104" si="8">C99*1000+B99</f>
        <v>3001</v>
      </c>
      <c r="B99" s="1">
        <f>COUNTIF($C$1:C99,C99)</f>
        <v>1</v>
      </c>
      <c r="C99" s="1">
        <v>3</v>
      </c>
      <c r="D99" s="1">
        <f t="shared" si="6"/>
        <v>103001</v>
      </c>
      <c r="E99" s="1" t="s">
        <v>211</v>
      </c>
      <c r="F99" s="1" t="s">
        <v>212</v>
      </c>
      <c r="G99" s="1">
        <v>2031600</v>
      </c>
      <c r="H99" s="1"/>
      <c r="I99" s="1"/>
      <c r="J99" s="1">
        <v>3</v>
      </c>
    </row>
    <row r="100" s="1" customFormat="1" spans="1:10">
      <c r="A100" s="1">
        <f t="shared" si="8"/>
        <v>3002</v>
      </c>
      <c r="B100" s="1">
        <f>COUNTIF($C$1:C100,C100)</f>
        <v>2</v>
      </c>
      <c r="C100" s="1">
        <v>3</v>
      </c>
      <c r="D100" s="1">
        <f t="shared" si="6"/>
        <v>103002</v>
      </c>
      <c r="E100" s="1" t="s">
        <v>213</v>
      </c>
      <c r="F100" s="1" t="s">
        <v>214</v>
      </c>
      <c r="G100" s="1">
        <v>2031601</v>
      </c>
      <c r="J100" s="1">
        <v>6</v>
      </c>
    </row>
    <row r="101" s="1" customFormat="1" spans="1:10">
      <c r="A101" s="1">
        <f t="shared" si="8"/>
        <v>3003</v>
      </c>
      <c r="B101" s="1">
        <f>COUNTIF($C$1:C101,C101)</f>
        <v>3</v>
      </c>
      <c r="C101" s="1">
        <v>3</v>
      </c>
      <c r="D101" s="1">
        <f t="shared" si="6"/>
        <v>103003</v>
      </c>
      <c r="E101" s="1" t="s">
        <v>215</v>
      </c>
      <c r="F101" s="1" t="s">
        <v>216</v>
      </c>
      <c r="G101" s="1">
        <v>2031602</v>
      </c>
      <c r="J101" s="1">
        <v>9</v>
      </c>
    </row>
    <row r="102" s="1" customFormat="1" spans="1:10">
      <c r="A102" s="1">
        <f t="shared" si="8"/>
        <v>4001</v>
      </c>
      <c r="B102" s="1">
        <f>COUNTIF($C$1:C102,C102)</f>
        <v>1</v>
      </c>
      <c r="C102" s="1">
        <v>4</v>
      </c>
      <c r="D102" s="1">
        <f t="shared" si="6"/>
        <v>104001</v>
      </c>
      <c r="E102" s="1" t="s">
        <v>217</v>
      </c>
      <c r="F102" s="1" t="s">
        <v>218</v>
      </c>
      <c r="G102" s="1">
        <f>200000+A102</f>
        <v>204001</v>
      </c>
    </row>
    <row r="103" s="1" customFormat="1" spans="1:10">
      <c r="A103" s="1">
        <f t="shared" si="8"/>
        <v>4002</v>
      </c>
      <c r="B103" s="1">
        <f>COUNTIF($C$1:C103,C103)</f>
        <v>2</v>
      </c>
      <c r="C103" s="1">
        <v>4</v>
      </c>
      <c r="D103" s="1">
        <f t="shared" si="6"/>
        <v>104002</v>
      </c>
      <c r="E103" s="1" t="s">
        <v>217</v>
      </c>
      <c r="F103" s="1" t="s">
        <v>219</v>
      </c>
      <c r="G103" s="1">
        <v>2031801</v>
      </c>
      <c r="J103" s="1">
        <v>4</v>
      </c>
    </row>
    <row r="104" s="1" customFormat="1" spans="1:10">
      <c r="A104" s="1">
        <f t="shared" si="8"/>
        <v>4003</v>
      </c>
      <c r="B104" s="1">
        <f>COUNTIF($C$1:C104,C104)</f>
        <v>3</v>
      </c>
      <c r="C104" s="1">
        <v>4</v>
      </c>
      <c r="D104" s="1">
        <f t="shared" si="6"/>
        <v>104003</v>
      </c>
      <c r="E104" s="1" t="s">
        <v>220</v>
      </c>
      <c r="F104" s="1" t="s">
        <v>221</v>
      </c>
      <c r="G104" s="1">
        <v>2031802</v>
      </c>
      <c r="J104" s="1">
        <v>7</v>
      </c>
    </row>
    <row r="105" s="1" customFormat="1" spans="1:10">
      <c r="A105" s="1">
        <f t="shared" ref="A105:A112" si="9">C105*1000+B105</f>
        <v>5001</v>
      </c>
      <c r="B105" s="1">
        <f>COUNTIF($C$1:C105,C105)</f>
        <v>1</v>
      </c>
      <c r="C105" s="1">
        <v>5</v>
      </c>
      <c r="D105" s="1">
        <f t="shared" ref="D105:D112" si="10">100000+C105*1000+B105</f>
        <v>105001</v>
      </c>
      <c r="E105" s="1" t="s">
        <v>222</v>
      </c>
      <c r="F105" s="1" t="s">
        <v>223</v>
      </c>
      <c r="G105" s="1">
        <f>200000+A105</f>
        <v>205001</v>
      </c>
    </row>
    <row r="106" s="1" customFormat="1" spans="1:10">
      <c r="A106" s="1">
        <f t="shared" si="9"/>
        <v>5002</v>
      </c>
      <c r="B106" s="1">
        <f>COUNTIF($C$1:C106,C106)</f>
        <v>2</v>
      </c>
      <c r="C106" s="1">
        <v>5</v>
      </c>
      <c r="D106" s="1">
        <f t="shared" si="10"/>
        <v>105002</v>
      </c>
      <c r="E106" s="1" t="s">
        <v>222</v>
      </c>
      <c r="F106" s="1" t="s">
        <v>224</v>
      </c>
      <c r="G106" s="1">
        <v>2032001</v>
      </c>
      <c r="J106" s="1">
        <v>5</v>
      </c>
    </row>
    <row r="107" s="1" customFormat="1" spans="1:10">
      <c r="A107" s="1">
        <f t="shared" si="9"/>
        <v>5003</v>
      </c>
      <c r="B107" s="1">
        <f>COUNTIF($C$1:C107,C107)</f>
        <v>3</v>
      </c>
      <c r="C107" s="1">
        <v>5</v>
      </c>
      <c r="D107" s="1">
        <f t="shared" si="10"/>
        <v>105003</v>
      </c>
      <c r="E107" s="1" t="s">
        <v>225</v>
      </c>
      <c r="F107" s="1" t="s">
        <v>226</v>
      </c>
      <c r="G107" s="1">
        <v>2032002</v>
      </c>
      <c r="J107" s="1">
        <v>8</v>
      </c>
    </row>
    <row r="108" s="1" customFormat="1" spans="1:10">
      <c r="A108" s="1">
        <f t="shared" si="9"/>
        <v>6001</v>
      </c>
      <c r="B108" s="1">
        <f>COUNTIF($C$1:C108,C108)</f>
        <v>1</v>
      </c>
      <c r="C108" s="1">
        <v>6</v>
      </c>
      <c r="D108" s="1">
        <f t="shared" si="10"/>
        <v>106001</v>
      </c>
      <c r="E108" s="1" t="s">
        <v>227</v>
      </c>
      <c r="F108" s="1" t="s">
        <v>228</v>
      </c>
      <c r="G108" s="1">
        <f>200000+A108</f>
        <v>206001</v>
      </c>
    </row>
    <row r="109" s="1" customFormat="1" spans="1:10">
      <c r="A109" s="1">
        <f t="shared" si="9"/>
        <v>6002</v>
      </c>
      <c r="B109" s="1">
        <f>COUNTIF($C$1:C109,C109)</f>
        <v>2</v>
      </c>
      <c r="C109" s="1">
        <v>6</v>
      </c>
      <c r="D109" s="1">
        <f t="shared" si="10"/>
        <v>106002</v>
      </c>
      <c r="E109" s="1" t="s">
        <v>227</v>
      </c>
      <c r="F109" s="1" t="s">
        <v>229</v>
      </c>
      <c r="G109" s="1">
        <v>2032201</v>
      </c>
      <c r="J109" s="1">
        <v>6</v>
      </c>
    </row>
    <row r="110" s="1" customFormat="1" spans="1:10">
      <c r="A110" s="1">
        <f t="shared" si="9"/>
        <v>6003</v>
      </c>
      <c r="B110" s="1">
        <f>COUNTIF($C$1:C110,C110)</f>
        <v>3</v>
      </c>
      <c r="C110" s="1">
        <v>6</v>
      </c>
      <c r="D110" s="1">
        <f t="shared" si="10"/>
        <v>106003</v>
      </c>
      <c r="E110" s="1" t="s">
        <v>230</v>
      </c>
      <c r="F110" s="1" t="s">
        <v>231</v>
      </c>
      <c r="G110" s="1">
        <v>2032202</v>
      </c>
      <c r="J110" s="1">
        <v>9</v>
      </c>
    </row>
  </sheetData>
  <conditionalFormatting sqref="F53">
    <cfRule type="duplicateValues" dxfId="0" priority="4"/>
  </conditionalFormatting>
  <conditionalFormatting sqref="F76">
    <cfRule type="duplicateValues" dxfId="0" priority="2"/>
  </conditionalFormatting>
  <conditionalFormatting sqref="M76">
    <cfRule type="duplicateValues" dxfId="0" priority="3"/>
  </conditionalFormatting>
  <conditionalFormatting sqref="F98">
    <cfRule type="duplicateValues" dxfId="0" priority="1"/>
  </conditionalFormatting>
  <conditionalFormatting sqref="F1:F52 F54:F75 F77:F97 F99:F1048576">
    <cfRule type="duplicateValues" dxfId="0" priority="5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avatar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2026-07-15T03:39:56Z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D6EDF24BFB604A76A66EBAFB2E38E833_12</vt:lpwstr>
  </property>
  <property fmtid="{D5CDD505-2E9C-101B-9397-08002B2CF9AE}" pid="4" name="CalculationRule">
    <vt:i4>0</vt:i4>
  </property>
</Properties>
</file>