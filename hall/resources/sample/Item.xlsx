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/>
  <mc:AlternateContent xmlns:mc="http://schemas.openxmlformats.org/markup-compatibility/2006">
    <mc:Choice Requires="x15">
      <x15ac:absPath xmlns:x15ac="http://schemas.microsoft.com/office/spreadsheetml/2010/11/ac" url="D:\workspace\gameserver\hall\resources\sample\"/>
    </mc:Choice>
  </mc:AlternateContent>
  <xr:revisionPtr revIDLastSave="0" documentId="13_ncr:1_{64EA9B59-57DA-42FA-B3A7-EB9EF1B872A4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Item" sheetId="1" r:id="rId1"/>
  </sheets>
  <calcPr calcId="191029"/>
</workbook>
</file>

<file path=xl/calcChain.xml><?xml version="1.0" encoding="utf-8"?>
<calcChain xmlns="http://schemas.openxmlformats.org/spreadsheetml/2006/main">
  <c r="I14" i="1" l="1"/>
  <c r="H14" i="1"/>
  <c r="B14" i="1"/>
  <c r="A14" i="1"/>
  <c r="I13" i="1"/>
  <c r="H13" i="1"/>
  <c r="B13" i="1"/>
  <c r="A13" i="1"/>
  <c r="I12" i="1"/>
  <c r="H12" i="1"/>
  <c r="B12" i="1"/>
  <c r="A12" i="1"/>
  <c r="I11" i="1"/>
  <c r="H11" i="1"/>
  <c r="B11" i="1"/>
  <c r="A11" i="1"/>
  <c r="I10" i="1"/>
  <c r="H10" i="1"/>
  <c r="B10" i="1"/>
  <c r="A10" i="1"/>
  <c r="I9" i="1"/>
  <c r="H9" i="1"/>
  <c r="B9" i="1"/>
  <c r="A9" i="1"/>
  <c r="I8" i="1"/>
  <c r="H8" i="1"/>
  <c r="B8" i="1"/>
  <c r="A8" i="1"/>
  <c r="I7" i="1"/>
  <c r="H7" i="1"/>
  <c r="B7" i="1"/>
  <c r="A7" i="1"/>
  <c r="I6" i="1"/>
  <c r="H6" i="1"/>
  <c r="A6" i="1"/>
  <c r="I5" i="1"/>
  <c r="H5" i="1"/>
  <c r="A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E1" authorId="0" shapeId="0" xr:uid="{00000000-0006-0000-0000-000001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0：货币
1：可使用道具
2：可合成道具，数量足够后可合成指定道具</t>
        </r>
      </text>
    </comment>
    <comment ref="G1" authorId="0" shapeId="0" xr:uid="{00000000-0006-0000-0000-000002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1：白
2：绿
3：蓝
4：紫
5：橙
6：红</t>
        </r>
      </text>
    </comment>
    <comment ref="L1" authorId="0" shapeId="0" xr:uid="{00000000-0006-0000-0000-000003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</commentList>
</comments>
</file>

<file path=xl/sharedStrings.xml><?xml version="1.0" encoding="utf-8"?>
<sst xmlns="http://schemas.openxmlformats.org/spreadsheetml/2006/main" count="57" uniqueCount="40">
  <si>
    <t>道具ID</t>
  </si>
  <si>
    <t>名称</t>
  </si>
  <si>
    <t>备注</t>
  </si>
  <si>
    <t>类型</t>
  </si>
  <si>
    <t>道具品质ID</t>
  </si>
  <si>
    <t>图标</t>
  </si>
  <si>
    <t>描述</t>
  </si>
  <si>
    <t>最大堆叠数量</t>
  </si>
  <si>
    <t>使用道具后获得道具</t>
  </si>
  <si>
    <t>int</t>
  </si>
  <si>
    <t>string</t>
  </si>
  <si>
    <t>id</t>
  </si>
  <si>
    <t>name</t>
  </si>
  <si>
    <t>type</t>
  </si>
  <si>
    <t>quality</t>
  </si>
  <si>
    <t>icon</t>
  </si>
  <si>
    <t>text</t>
  </si>
  <si>
    <t>prop</t>
  </si>
  <si>
    <t>getItem</t>
  </si>
  <si>
    <t>金币礼包</t>
  </si>
  <si>
    <t>可使用道具</t>
  </si>
  <si>
    <t>使用后可额外获得50%流水，持续时间1小时。多次使用可以叠加持续时间</t>
  </si>
  <si>
    <t>钻石礼包</t>
  </si>
  <si>
    <t>使用后可额外获得100%流水，持续时间2小时。多次使用可以叠加持续时间</t>
  </si>
  <si>
    <t>测试道具1</t>
  </si>
  <si>
    <t>常规道具</t>
  </si>
  <si>
    <t>活动期间获得，集齐6个可领取奖励</t>
  </si>
  <si>
    <t>测试道具2</t>
  </si>
  <si>
    <t>测试道具3</t>
  </si>
  <si>
    <t>测试道具4</t>
  </si>
  <si>
    <t>测试道具5</t>
  </si>
  <si>
    <t>测试道具6</t>
  </si>
  <si>
    <t>金币</t>
  </si>
  <si>
    <t>货币</t>
  </si>
  <si>
    <t>下注时需要用的货币</t>
  </si>
  <si>
    <t>钻石</t>
  </si>
  <si>
    <t>在私密房间内下注时需要用的货币，同时是使用部分功能需要消耗的特殊货币</t>
  </si>
  <si>
    <t>map&lt;int{,}long&gt;{;}</t>
    <phoneticPr fontId="4" type="noConversion"/>
  </si>
  <si>
    <t>1030001,10000</t>
    <phoneticPr fontId="4" type="noConversion"/>
  </si>
  <si>
    <t>1030002,10000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</si>
</sst>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 x14ac:knownFonts="1">
    <font>
      <sz val="11"/>
      <color theme="1"/>
      <name val="宋体"/>
      <charset val="134"/>
      <scheme val="minor"/>
    </font>
    <font>
      <sz val="10"/>
      <color theme="1"/>
      <name val="宋体"/>
      <charset val="134"/>
      <scheme val="minor"/>
    </font>
    <font>
      <b/>
      <sz val="9"/>
      <name val="宋体"/>
      <charset val="134"/>
    </font>
    <font>
      <sz val="9"/>
      <name val="宋体"/>
      <charset val="134"/>
    </font>
    <font>
      <sz val="9"/>
      <name val="宋体"/>
      <charset val="134"/>
      <scheme val="minor"/>
    </font>
    <font>
      <sz val="11"/>
      <color theme="1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>
      <alignment vertical="center"/>
    </xf>
    <xf numFmtId="0" fontId="1" fillId="0" borderId="1" xfId="0" applyFont="1" applyBorder="1">
      <alignment vertical="center"/>
    </xf>
    <xf numFmtId="0" fontId="0" fillId="0" borderId="0" xfId="0" applyAlignment="1">
      <alignment horizontal="left" vertical="center"/>
    </xf>
    <xf numFmtId="0" fontId="0" fillId="2" borderId="0" xfId="0" applyFill="1">
      <alignment vertical="center"/>
    </xf>
    <xf numFmtId="46" fontId="0" fillId="0" borderId="0" xfId="0" applyNumberFormat="1">
      <alignment vertical="center"/>
    </xf>
    <xf numFmtId="49" fontId="0" fillId="0" borderId="0" xfId="0" applyNumberFormat="1">
      <alignment vertical="center"/>
    </xf>
    <xf numFmtId="49" fontId="5" fillId="0" borderId="0" xfId="0" applyNumberFormat="1" applyFont="1" applyAlignment="1"/>
    <xf numFmtId="49" fontId="5" fillId="0" borderId="0" xfId="0" quotePrefix="1" applyNumberFormat="1" applyFont="1">
      <alignment vertical="center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0"/>
  <sheetViews>
    <sheetView tabSelected="1" zoomScale="85" zoomScaleNormal="85" workbookViewId="0">
      <selection activeCell="L6" sqref="L6"/>
    </sheetView>
  </sheetViews>
  <sheetFormatPr defaultColWidth="9" defaultRowHeight="13.5" x14ac:dyDescent="0.15"/>
  <cols>
    <col min="2" max="2" width="4.5" customWidth="1"/>
    <col min="3" max="4" width="15.5" customWidth="1"/>
    <col min="5" max="5" width="5.5" customWidth="1"/>
    <col min="6" max="7" width="9.75" customWidth="1"/>
    <col min="8" max="8" width="17.125" customWidth="1"/>
    <col min="10" max="10" width="17.125" customWidth="1"/>
    <col min="11" max="11" width="12.625" customWidth="1"/>
    <col min="12" max="12" width="22" style="7" customWidth="1"/>
    <col min="17" max="17" width="9.375"/>
  </cols>
  <sheetData>
    <row r="1" spans="1:12" x14ac:dyDescent="0.15">
      <c r="A1" s="1" t="s">
        <v>0</v>
      </c>
      <c r="B1" s="1"/>
      <c r="C1" s="2" t="s">
        <v>1</v>
      </c>
      <c r="D1" s="2" t="s">
        <v>2</v>
      </c>
      <c r="E1" s="2" t="s">
        <v>3</v>
      </c>
      <c r="F1" s="2"/>
      <c r="G1" s="2" t="s">
        <v>4</v>
      </c>
      <c r="H1" s="2" t="s">
        <v>5</v>
      </c>
      <c r="I1" t="s">
        <v>6</v>
      </c>
      <c r="K1" s="2" t="s">
        <v>7</v>
      </c>
      <c r="L1" s="7" t="s">
        <v>8</v>
      </c>
    </row>
    <row r="2" spans="1:12" x14ac:dyDescent="0.15">
      <c r="A2" s="2" t="s">
        <v>9</v>
      </c>
      <c r="B2" s="2"/>
      <c r="C2" s="2" t="s">
        <v>9</v>
      </c>
      <c r="D2" s="2"/>
      <c r="E2" s="2" t="s">
        <v>9</v>
      </c>
      <c r="F2" s="3"/>
      <c r="G2" s="2" t="s">
        <v>9</v>
      </c>
      <c r="H2" s="2" t="s">
        <v>10</v>
      </c>
      <c r="I2" s="2" t="s">
        <v>9</v>
      </c>
      <c r="J2" s="2"/>
      <c r="K2" s="2" t="s">
        <v>9</v>
      </c>
      <c r="L2" s="8" t="s">
        <v>37</v>
      </c>
    </row>
    <row r="3" spans="1:12" x14ac:dyDescent="0.15">
      <c r="A3" s="1" t="s">
        <v>11</v>
      </c>
      <c r="B3" s="1"/>
      <c r="C3" s="2" t="s">
        <v>12</v>
      </c>
      <c r="D3" s="2"/>
      <c r="E3" s="2" t="s">
        <v>13</v>
      </c>
      <c r="F3" s="2"/>
      <c r="G3" s="2" t="s">
        <v>14</v>
      </c>
      <c r="H3" s="2" t="s">
        <v>15</v>
      </c>
      <c r="I3" t="s">
        <v>16</v>
      </c>
      <c r="K3" s="2" t="s">
        <v>17</v>
      </c>
      <c r="L3" s="7" t="s">
        <v>18</v>
      </c>
    </row>
    <row r="4" spans="1:12" x14ac:dyDescent="0.15">
      <c r="A4" s="4"/>
      <c r="B4" s="4"/>
    </row>
    <row r="5" spans="1:12" x14ac:dyDescent="0.15">
      <c r="A5">
        <f>1000000+E5*10000+B5</f>
        <v>1010101</v>
      </c>
      <c r="B5" s="5">
        <v>101</v>
      </c>
      <c r="C5">
        <v>1010101</v>
      </c>
      <c r="D5" t="s">
        <v>19</v>
      </c>
      <c r="E5">
        <v>1</v>
      </c>
      <c r="F5" t="s">
        <v>20</v>
      </c>
      <c r="G5">
        <v>1</v>
      </c>
      <c r="H5" t="str">
        <f t="shared" ref="H5:H14" si="0">"itemicon_"&amp;A5&amp;".png"</f>
        <v>itemicon_1010101.png</v>
      </c>
      <c r="I5">
        <f>2000000+E5*10000+B5</f>
        <v>2010101</v>
      </c>
      <c r="J5" t="s">
        <v>21</v>
      </c>
      <c r="K5">
        <v>999</v>
      </c>
      <c r="L5" s="9" t="s">
        <v>38</v>
      </c>
    </row>
    <row r="6" spans="1:12" x14ac:dyDescent="0.15">
      <c r="A6">
        <f t="shared" ref="A6:A14" si="1">1000000+E6*10000+B6</f>
        <v>1010201</v>
      </c>
      <c r="B6" s="5">
        <v>201</v>
      </c>
      <c r="C6">
        <v>1010201</v>
      </c>
      <c r="D6" t="s">
        <v>22</v>
      </c>
      <c r="E6">
        <v>1</v>
      </c>
      <c r="F6" t="s">
        <v>20</v>
      </c>
      <c r="G6">
        <v>1</v>
      </c>
      <c r="H6" t="str">
        <f t="shared" si="0"/>
        <v>itemicon_1010201.png</v>
      </c>
      <c r="I6">
        <f t="shared" ref="I6:I14" si="2">2000000+E6*10000+B6</f>
        <v>2010201</v>
      </c>
      <c r="J6" t="s">
        <v>23</v>
      </c>
      <c r="K6">
        <v>999</v>
      </c>
      <c r="L6" s="9" t="s">
        <v>39</v>
      </c>
    </row>
    <row r="7" spans="1:12" x14ac:dyDescent="0.15">
      <c r="A7">
        <f t="shared" si="1"/>
        <v>1020001</v>
      </c>
      <c r="B7" s="5">
        <f>COUNTIF($F$1:F7,F7)</f>
        <v>1</v>
      </c>
      <c r="C7">
        <v>1020001</v>
      </c>
      <c r="D7" t="s">
        <v>24</v>
      </c>
      <c r="E7">
        <v>2</v>
      </c>
      <c r="F7" t="s">
        <v>25</v>
      </c>
      <c r="G7">
        <v>1</v>
      </c>
      <c r="H7" t="str">
        <f t="shared" si="0"/>
        <v>itemicon_1020001.png</v>
      </c>
      <c r="I7">
        <f t="shared" si="2"/>
        <v>2020001</v>
      </c>
      <c r="J7" t="s">
        <v>26</v>
      </c>
      <c r="K7">
        <v>999</v>
      </c>
    </row>
    <row r="8" spans="1:12" x14ac:dyDescent="0.15">
      <c r="A8">
        <f t="shared" si="1"/>
        <v>1020002</v>
      </c>
      <c r="B8" s="5">
        <f>COUNTIF($F$1:F8,F8)</f>
        <v>2</v>
      </c>
      <c r="C8">
        <v>1020002</v>
      </c>
      <c r="D8" t="s">
        <v>27</v>
      </c>
      <c r="E8">
        <v>2</v>
      </c>
      <c r="F8" t="s">
        <v>25</v>
      </c>
      <c r="G8">
        <v>2</v>
      </c>
      <c r="H8" t="str">
        <f t="shared" si="0"/>
        <v>itemicon_1020002.png</v>
      </c>
      <c r="I8">
        <f t="shared" si="2"/>
        <v>2020002</v>
      </c>
      <c r="J8" t="s">
        <v>26</v>
      </c>
      <c r="K8">
        <v>999</v>
      </c>
    </row>
    <row r="9" spans="1:12" x14ac:dyDescent="0.15">
      <c r="A9">
        <f t="shared" si="1"/>
        <v>1020003</v>
      </c>
      <c r="B9" s="5">
        <f>COUNTIF($F$1:F9,F9)</f>
        <v>3</v>
      </c>
      <c r="C9">
        <v>1020003</v>
      </c>
      <c r="D9" t="s">
        <v>28</v>
      </c>
      <c r="E9">
        <v>2</v>
      </c>
      <c r="F9" t="s">
        <v>25</v>
      </c>
      <c r="G9">
        <v>3</v>
      </c>
      <c r="H9" t="str">
        <f t="shared" si="0"/>
        <v>itemicon_1020003.png</v>
      </c>
      <c r="I9">
        <f t="shared" si="2"/>
        <v>2020003</v>
      </c>
      <c r="J9" t="s">
        <v>26</v>
      </c>
      <c r="K9">
        <v>999</v>
      </c>
    </row>
    <row r="10" spans="1:12" x14ac:dyDescent="0.15">
      <c r="A10">
        <f t="shared" si="1"/>
        <v>1020004</v>
      </c>
      <c r="B10" s="5">
        <f>COUNTIF($F$1:F10,F10)</f>
        <v>4</v>
      </c>
      <c r="C10">
        <v>1020004</v>
      </c>
      <c r="D10" t="s">
        <v>29</v>
      </c>
      <c r="E10">
        <v>2</v>
      </c>
      <c r="F10" t="s">
        <v>25</v>
      </c>
      <c r="G10">
        <v>4</v>
      </c>
      <c r="H10" t="str">
        <f t="shared" si="0"/>
        <v>itemicon_1020004.png</v>
      </c>
      <c r="I10">
        <f t="shared" si="2"/>
        <v>2020004</v>
      </c>
      <c r="J10" t="s">
        <v>26</v>
      </c>
      <c r="K10">
        <v>999</v>
      </c>
    </row>
    <row r="11" spans="1:12" x14ac:dyDescent="0.15">
      <c r="A11">
        <f t="shared" si="1"/>
        <v>1020005</v>
      </c>
      <c r="B11" s="5">
        <f>COUNTIF($F$1:F11,F11)</f>
        <v>5</v>
      </c>
      <c r="C11">
        <v>1020005</v>
      </c>
      <c r="D11" t="s">
        <v>30</v>
      </c>
      <c r="E11">
        <v>2</v>
      </c>
      <c r="F11" t="s">
        <v>25</v>
      </c>
      <c r="G11">
        <v>5</v>
      </c>
      <c r="H11" t="str">
        <f t="shared" si="0"/>
        <v>itemicon_1020005.png</v>
      </c>
      <c r="I11">
        <f t="shared" si="2"/>
        <v>2020005</v>
      </c>
      <c r="J11" t="s">
        <v>26</v>
      </c>
      <c r="K11">
        <v>999</v>
      </c>
    </row>
    <row r="12" spans="1:12" x14ac:dyDescent="0.15">
      <c r="A12">
        <f t="shared" si="1"/>
        <v>1020006</v>
      </c>
      <c r="B12" s="5">
        <f>COUNTIF($F$1:F12,F12)</f>
        <v>6</v>
      </c>
      <c r="C12">
        <v>1020006</v>
      </c>
      <c r="D12" t="s">
        <v>31</v>
      </c>
      <c r="E12">
        <v>2</v>
      </c>
      <c r="F12" t="s">
        <v>25</v>
      </c>
      <c r="G12">
        <v>6</v>
      </c>
      <c r="H12" t="str">
        <f t="shared" si="0"/>
        <v>itemicon_1020006.png</v>
      </c>
      <c r="I12">
        <f t="shared" si="2"/>
        <v>2020006</v>
      </c>
      <c r="J12" t="s">
        <v>26</v>
      </c>
      <c r="K12">
        <v>999</v>
      </c>
    </row>
    <row r="13" spans="1:12" x14ac:dyDescent="0.15">
      <c r="A13">
        <f t="shared" si="1"/>
        <v>1030001</v>
      </c>
      <c r="B13" s="5">
        <f>COUNTIF($F$1:F13,F13)</f>
        <v>1</v>
      </c>
      <c r="C13">
        <v>1030001</v>
      </c>
      <c r="D13" t="s">
        <v>32</v>
      </c>
      <c r="E13">
        <v>3</v>
      </c>
      <c r="F13" t="s">
        <v>33</v>
      </c>
      <c r="G13">
        <v>1</v>
      </c>
      <c r="H13" t="str">
        <f t="shared" si="0"/>
        <v>itemicon_1030001.png</v>
      </c>
      <c r="I13">
        <f t="shared" si="2"/>
        <v>2030001</v>
      </c>
      <c r="J13" t="s">
        <v>34</v>
      </c>
      <c r="K13">
        <v>-1</v>
      </c>
    </row>
    <row r="14" spans="1:12" x14ac:dyDescent="0.15">
      <c r="A14">
        <f t="shared" si="1"/>
        <v>1030002</v>
      </c>
      <c r="B14" s="5">
        <f>COUNTIF($F$1:F14,F14)</f>
        <v>2</v>
      </c>
      <c r="C14">
        <v>1030002</v>
      </c>
      <c r="D14" t="s">
        <v>35</v>
      </c>
      <c r="E14">
        <v>3</v>
      </c>
      <c r="F14" t="s">
        <v>33</v>
      </c>
      <c r="G14">
        <v>1</v>
      </c>
      <c r="H14" t="str">
        <f t="shared" si="0"/>
        <v>itemicon_1030002.png</v>
      </c>
      <c r="I14">
        <f t="shared" si="2"/>
        <v>2030002</v>
      </c>
      <c r="J14" t="s">
        <v>36</v>
      </c>
      <c r="K14">
        <v>-1</v>
      </c>
    </row>
    <row r="20" spans="17:17" x14ac:dyDescent="0.15">
      <c r="Q20" s="6"/>
    </row>
  </sheetData>
  <phoneticPr fontId="4" type="noConversion"/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2025-07-14T07:23:00Z</dcterms:created>
  <dcterms:modified xsi:type="dcterms:W3CDTF">2025-08-11T09:01:09Z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2052-12.1.0.21915</vt:lpwstr>
  </property>
</Properties>
</file>