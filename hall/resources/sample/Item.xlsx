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hall\resources\sample\"/>
    </mc:Choice>
  </mc:AlternateContent>
  <xr:revisionPtr revIDLastSave="0" documentId="13_ncr:1_{A98E902E-7A85-4177-AC27-219E6E8531CB}" xr6:coauthVersionLast="47" xr6:coauthVersionMax="47" xr10:uidLastSave="{00000000-0000-0000-0000-000000000000}"/>
  <bookViews>
    <workbookView xWindow="3060" yWindow="2595" windowWidth="21600" windowHeight="11385" xr2:uid="{00000000-000D-0000-FFFF-FFFF00000000}"/>
  </bookViews>
  <sheets>
    <sheet name="Item" sheetId="1" r:id="rId1"/>
  </sheets>
  <calcPr calcId="191029"/>
</workbook>
</file>

<file path=xl/calcChain.xml><?xml version="1.0" encoding="utf-8"?>
<calcChain xmlns="http://schemas.openxmlformats.org/spreadsheetml/2006/main">
  <c r="F17" i="1" l="1"/>
  <c r="B17" i="1"/>
  <c r="A17" i="1"/>
  <c r="F16" i="1"/>
  <c r="B16" i="1"/>
  <c r="A16" i="1"/>
  <c r="F15" i="1"/>
  <c r="B15" i="1"/>
  <c r="A15" i="1"/>
  <c r="F14" i="1"/>
  <c r="B14" i="1"/>
  <c r="A14" i="1"/>
  <c r="F13" i="1"/>
  <c r="B13" i="1"/>
  <c r="A13" i="1"/>
  <c r="F12" i="1"/>
  <c r="B12" i="1"/>
  <c r="A12" i="1"/>
  <c r="F11" i="1"/>
  <c r="B11" i="1"/>
  <c r="A11" i="1"/>
  <c r="F10" i="1"/>
  <c r="B10" i="1"/>
  <c r="A10" i="1"/>
  <c r="F9" i="1"/>
  <c r="B9" i="1"/>
  <c r="A9" i="1"/>
  <c r="F8" i="1"/>
  <c r="A8" i="1"/>
  <c r="F7" i="1"/>
  <c r="A7" i="1"/>
  <c r="F6" i="1"/>
  <c r="B6" i="1"/>
  <c r="A6" i="1"/>
  <c r="F5" i="1"/>
  <c r="B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0：货币
1：可使用道具
2：可合成道具，数量足够后可合成指定道具</t>
        </r>
      </text>
    </comment>
    <comment ref="I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J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状态ID；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合成所需要的数量，合成后获得的道具</t>
        </r>
      </text>
    </comment>
  </commentList>
</comments>
</file>

<file path=xl/sharedStrings.xml><?xml version="1.0" encoding="utf-8"?>
<sst xmlns="http://schemas.openxmlformats.org/spreadsheetml/2006/main" count="74" uniqueCount="54">
  <si>
    <t>道具ID</t>
  </si>
  <si>
    <t>名称</t>
  </si>
  <si>
    <t>类型</t>
  </si>
  <si>
    <t>图标</t>
  </si>
  <si>
    <t>描述</t>
  </si>
  <si>
    <t>最大堆叠数量</t>
  </si>
  <si>
    <t>使用道具后获得道具</t>
  </si>
  <si>
    <t>使用道具后获得状态</t>
  </si>
  <si>
    <t>合成物品信息</t>
  </si>
  <si>
    <t>int</t>
  </si>
  <si>
    <t>string</t>
  </si>
  <si>
    <t>list&lt;int&gt;{,}</t>
  </si>
  <si>
    <t>name</t>
  </si>
  <si>
    <t>type</t>
  </si>
  <si>
    <t>icon</t>
  </si>
  <si>
    <t>text</t>
  </si>
  <si>
    <t>prop</t>
  </si>
  <si>
    <t>50%加速卡-VIP</t>
  </si>
  <si>
    <t>可使用道具</t>
  </si>
  <si>
    <t>使用后可额外获得50%VIP经验，持续时间1小时。多次使用可以叠加持续时间</t>
  </si>
  <si>
    <t>100%加速卡-VIP</t>
  </si>
  <si>
    <t>使用后可额外获得100%VIP经验，持续时间2小时。多次使用可以叠加持续时间</t>
  </si>
  <si>
    <t>金币礼包</t>
  </si>
  <si>
    <t>使用后可额外获得50%流水，持续时间1小时。多次使用可以叠加持续时间</t>
  </si>
  <si>
    <t>30001,10000</t>
  </si>
  <si>
    <t>钻石礼包</t>
  </si>
  <si>
    <t>使用后可额外获得100%流水，持续时间2小时。多次使用可以叠加持续时间</t>
  </si>
  <si>
    <t>30002,10000</t>
  </si>
  <si>
    <t>活动卡01</t>
  </si>
  <si>
    <t>可合成道具</t>
  </si>
  <si>
    <t>活动期间获得，集齐6个可领取奖励</t>
  </si>
  <si>
    <t>5,10001</t>
  </si>
  <si>
    <t>活动卡02</t>
  </si>
  <si>
    <t>5,10002</t>
  </si>
  <si>
    <t>活动卡03</t>
  </si>
  <si>
    <t>5,10003</t>
  </si>
  <si>
    <t>活动卡04</t>
  </si>
  <si>
    <t>5,10004</t>
  </si>
  <si>
    <t>活动卡05</t>
  </si>
  <si>
    <t>活动卡06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</si>
  <si>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</si>
  <si>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</si>
  <si>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</si>
  <si>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</si>
  <si>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</si>
  <si>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创建房间消耗道具</t>
  </si>
  <si>
    <t>常规道具</t>
  </si>
  <si>
    <t>在创建游戏时需要消耗的特殊道具</t>
  </si>
  <si>
    <t>id</t>
    <phoneticPr fontId="4" type="noConversion"/>
  </si>
  <si>
    <t>getItem</t>
    <phoneticPr fontId="4" type="noConversion"/>
  </si>
  <si>
    <t>getStatus</t>
    <phoneticPr fontId="4" type="noConversion"/>
  </si>
  <si>
    <t>syntheticProps</t>
    <phoneticPr fontId="4" type="noConversion"/>
  </si>
  <si>
    <t>list&lt;int&gt;{,}</t>
    <phoneticPr fontId="4" type="noConversion"/>
  </si>
  <si>
    <t>map&lt;int{,}int&gt;{;}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</si>
</sst>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0" fontId="0" fillId="0" borderId="0" xfId="0" applyAlignment="1"/>
    <xf numFmtId="46" fontId="0" fillId="0" borderId="0" xfId="0" applyNumberFormat="1">
      <alignment vertical="center"/>
    </xf>
    <xf numFmtId="3" fontId="0" fillId="0" borderId="0" xfId="0" quotePrefix="1" applyNumberForma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>
      <alignment vertical="center"/>
    </xf>
    <xf numFmtId="0" fontId="5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abSelected="1" workbookViewId="0">
      <selection activeCell="K8" sqref="K8"/>
    </sheetView>
  </sheetViews>
  <sheetFormatPr defaultColWidth="9" defaultRowHeight="13.5" x14ac:dyDescent="0.15"/>
  <cols>
    <col min="2" max="2" width="4.5" customWidth="1"/>
    <col min="3" max="3" width="15.5" customWidth="1"/>
    <col min="4" max="4" width="5.5" customWidth="1"/>
    <col min="5" max="5" width="9.75" customWidth="1"/>
    <col min="7" max="7" width="8.875" customWidth="1"/>
    <col min="8" max="8" width="11.75" customWidth="1"/>
    <col min="9" max="9" width="23" customWidth="1"/>
    <col min="10" max="10" width="18.375" customWidth="1"/>
    <col min="11" max="11" width="20.625" customWidth="1"/>
    <col min="16" max="16" width="9.375"/>
  </cols>
  <sheetData>
    <row r="1" spans="1:11" x14ac:dyDescent="0.15">
      <c r="A1" s="1" t="s">
        <v>0</v>
      </c>
      <c r="B1" s="1"/>
      <c r="C1" s="2" t="s">
        <v>1</v>
      </c>
      <c r="D1" s="2" t="s">
        <v>2</v>
      </c>
      <c r="E1" s="2"/>
      <c r="F1" s="2" t="s">
        <v>3</v>
      </c>
      <c r="G1" t="s">
        <v>4</v>
      </c>
      <c r="H1" s="2" t="s">
        <v>5</v>
      </c>
      <c r="I1" t="s">
        <v>6</v>
      </c>
      <c r="J1" t="s">
        <v>7</v>
      </c>
      <c r="K1" t="s">
        <v>8</v>
      </c>
    </row>
    <row r="2" spans="1:11" x14ac:dyDescent="0.15">
      <c r="A2" s="2" t="s">
        <v>9</v>
      </c>
      <c r="B2" s="2"/>
      <c r="C2" s="2" t="s">
        <v>10</v>
      </c>
      <c r="D2" s="2" t="s">
        <v>9</v>
      </c>
      <c r="E2" s="3"/>
      <c r="F2" s="2" t="s">
        <v>10</v>
      </c>
      <c r="G2" s="2" t="s">
        <v>10</v>
      </c>
      <c r="H2" s="2" t="s">
        <v>9</v>
      </c>
      <c r="I2" s="11" t="s">
        <v>52</v>
      </c>
      <c r="J2" s="6" t="s">
        <v>11</v>
      </c>
      <c r="K2" s="11" t="s">
        <v>53</v>
      </c>
    </row>
    <row r="3" spans="1:11" x14ac:dyDescent="0.15">
      <c r="A3" s="9" t="s">
        <v>48</v>
      </c>
      <c r="B3" s="1"/>
      <c r="C3" s="2" t="s">
        <v>12</v>
      </c>
      <c r="D3" s="2" t="s">
        <v>13</v>
      </c>
      <c r="E3" s="2"/>
      <c r="F3" s="2" t="s">
        <v>14</v>
      </c>
      <c r="G3" t="s">
        <v>15</v>
      </c>
      <c r="H3" s="2" t="s">
        <v>16</v>
      </c>
      <c r="I3" s="10" t="s">
        <v>49</v>
      </c>
      <c r="J3" s="10" t="s">
        <v>50</v>
      </c>
      <c r="K3" s="10" t="s">
        <v>51</v>
      </c>
    </row>
    <row r="4" spans="1:11" x14ac:dyDescent="0.15">
      <c r="A4" s="4"/>
      <c r="B4" s="4"/>
    </row>
    <row r="5" spans="1:11" x14ac:dyDescent="0.15">
      <c r="A5">
        <f>D5*10000+B5</f>
        <v>10001</v>
      </c>
      <c r="B5" s="5">
        <f>COUNTIF($E$1:E5,E5)</f>
        <v>1</v>
      </c>
      <c r="C5" t="s">
        <v>17</v>
      </c>
      <c r="D5">
        <v>1</v>
      </c>
      <c r="E5" t="s">
        <v>18</v>
      </c>
      <c r="F5" t="str">
        <f t="shared" ref="F5:F17" si="0">"itemicon_"&amp;A5&amp;".png"</f>
        <v>itemicon_10001.png</v>
      </c>
      <c r="G5" t="s">
        <v>19</v>
      </c>
      <c r="H5">
        <v>999</v>
      </c>
      <c r="J5">
        <v>10001</v>
      </c>
    </row>
    <row r="6" spans="1:11" x14ac:dyDescent="0.15">
      <c r="A6">
        <f t="shared" ref="A6:A17" si="1">D6*10000+B6</f>
        <v>10002</v>
      </c>
      <c r="B6" s="5">
        <f>COUNTIF($E$1:E6,E6)</f>
        <v>2</v>
      </c>
      <c r="C6" t="s">
        <v>20</v>
      </c>
      <c r="D6">
        <v>1</v>
      </c>
      <c r="E6" t="s">
        <v>18</v>
      </c>
      <c r="F6" t="str">
        <f t="shared" si="0"/>
        <v>itemicon_10002.png</v>
      </c>
      <c r="G6" t="s">
        <v>21</v>
      </c>
      <c r="H6">
        <v>999</v>
      </c>
      <c r="J6">
        <v>10002</v>
      </c>
    </row>
    <row r="7" spans="1:11" x14ac:dyDescent="0.15">
      <c r="A7">
        <f t="shared" si="1"/>
        <v>10101</v>
      </c>
      <c r="B7" s="5">
        <v>101</v>
      </c>
      <c r="C7" t="s">
        <v>22</v>
      </c>
      <c r="D7">
        <v>1</v>
      </c>
      <c r="E7" t="s">
        <v>18</v>
      </c>
      <c r="F7" t="str">
        <f t="shared" si="0"/>
        <v>itemicon_10101.png</v>
      </c>
      <c r="G7" t="s">
        <v>23</v>
      </c>
      <c r="H7">
        <v>999</v>
      </c>
      <c r="I7" s="8" t="s">
        <v>24</v>
      </c>
    </row>
    <row r="8" spans="1:11" x14ac:dyDescent="0.15">
      <c r="A8">
        <f t="shared" si="1"/>
        <v>10201</v>
      </c>
      <c r="B8" s="5">
        <v>201</v>
      </c>
      <c r="C8" t="s">
        <v>25</v>
      </c>
      <c r="D8">
        <v>1</v>
      </c>
      <c r="E8" t="s">
        <v>18</v>
      </c>
      <c r="F8" t="str">
        <f t="shared" si="0"/>
        <v>itemicon_10201.png</v>
      </c>
      <c r="G8" t="s">
        <v>26</v>
      </c>
      <c r="H8">
        <v>999</v>
      </c>
      <c r="I8" s="8" t="s">
        <v>27</v>
      </c>
    </row>
    <row r="9" spans="1:11" x14ac:dyDescent="0.15">
      <c r="A9">
        <f t="shared" si="1"/>
        <v>20001</v>
      </c>
      <c r="B9" s="5">
        <f>COUNTIF($E$1:E9,E9)</f>
        <v>1</v>
      </c>
      <c r="C9" t="s">
        <v>28</v>
      </c>
      <c r="D9">
        <v>2</v>
      </c>
      <c r="E9" t="s">
        <v>29</v>
      </c>
      <c r="F9" t="str">
        <f t="shared" si="0"/>
        <v>itemicon_20001.png</v>
      </c>
      <c r="G9" t="s">
        <v>30</v>
      </c>
      <c r="H9">
        <v>999</v>
      </c>
      <c r="K9" s="8" t="s">
        <v>31</v>
      </c>
    </row>
    <row r="10" spans="1:11" x14ac:dyDescent="0.15">
      <c r="A10">
        <f t="shared" si="1"/>
        <v>20002</v>
      </c>
      <c r="B10" s="5">
        <f>COUNTIF($E$1:E10,E10)</f>
        <v>2</v>
      </c>
      <c r="C10" t="s">
        <v>32</v>
      </c>
      <c r="D10">
        <v>2</v>
      </c>
      <c r="E10" t="s">
        <v>29</v>
      </c>
      <c r="F10" t="str">
        <f t="shared" si="0"/>
        <v>itemicon_20002.png</v>
      </c>
      <c r="G10" t="s">
        <v>30</v>
      </c>
      <c r="H10">
        <v>999</v>
      </c>
      <c r="K10" s="8" t="s">
        <v>33</v>
      </c>
    </row>
    <row r="11" spans="1:11" x14ac:dyDescent="0.15">
      <c r="A11">
        <f t="shared" si="1"/>
        <v>20003</v>
      </c>
      <c r="B11" s="5">
        <f>COUNTIF($E$1:E11,E11)</f>
        <v>3</v>
      </c>
      <c r="C11" t="s">
        <v>34</v>
      </c>
      <c r="D11">
        <v>2</v>
      </c>
      <c r="E11" t="s">
        <v>29</v>
      </c>
      <c r="F11" t="str">
        <f t="shared" si="0"/>
        <v>itemicon_20003.png</v>
      </c>
      <c r="G11" t="s">
        <v>30</v>
      </c>
      <c r="H11">
        <v>999</v>
      </c>
      <c r="K11" s="8" t="s">
        <v>35</v>
      </c>
    </row>
    <row r="12" spans="1:11" x14ac:dyDescent="0.15">
      <c r="A12">
        <f t="shared" si="1"/>
        <v>20004</v>
      </c>
      <c r="B12" s="5">
        <f>COUNTIF($E$1:E12,E12)</f>
        <v>4</v>
      </c>
      <c r="C12" t="s">
        <v>36</v>
      </c>
      <c r="D12">
        <v>2</v>
      </c>
      <c r="E12" t="s">
        <v>29</v>
      </c>
      <c r="F12" t="str">
        <f t="shared" si="0"/>
        <v>itemicon_20004.png</v>
      </c>
      <c r="G12" t="s">
        <v>30</v>
      </c>
      <c r="H12">
        <v>999</v>
      </c>
      <c r="K12" s="8" t="s">
        <v>37</v>
      </c>
    </row>
    <row r="13" spans="1:11" x14ac:dyDescent="0.15">
      <c r="A13">
        <f t="shared" si="1"/>
        <v>20005</v>
      </c>
      <c r="B13" s="5">
        <f>COUNTIF($E$1:E13,E13)</f>
        <v>5</v>
      </c>
      <c r="C13" t="s">
        <v>38</v>
      </c>
      <c r="D13">
        <v>2</v>
      </c>
      <c r="E13" t="s">
        <v>29</v>
      </c>
      <c r="F13" t="str">
        <f t="shared" si="0"/>
        <v>itemicon_20005.png</v>
      </c>
      <c r="G13" t="s">
        <v>30</v>
      </c>
      <c r="H13">
        <v>999</v>
      </c>
      <c r="K13" s="8" t="s">
        <v>31</v>
      </c>
    </row>
    <row r="14" spans="1:11" x14ac:dyDescent="0.15">
      <c r="A14">
        <f t="shared" si="1"/>
        <v>20006</v>
      </c>
      <c r="B14" s="5">
        <f>COUNTIF($E$1:E14,E14)</f>
        <v>6</v>
      </c>
      <c r="C14" t="s">
        <v>39</v>
      </c>
      <c r="D14">
        <v>2</v>
      </c>
      <c r="E14" t="s">
        <v>29</v>
      </c>
      <c r="F14" t="str">
        <f t="shared" si="0"/>
        <v>itemicon_20006.png</v>
      </c>
      <c r="G14" t="s">
        <v>30</v>
      </c>
      <c r="H14">
        <v>999</v>
      </c>
      <c r="K14" s="8" t="s">
        <v>33</v>
      </c>
    </row>
    <row r="15" spans="1:11" x14ac:dyDescent="0.15">
      <c r="A15">
        <f t="shared" si="1"/>
        <v>30001</v>
      </c>
      <c r="B15" s="5">
        <f>COUNTIF($E$1:E15,E15)</f>
        <v>1</v>
      </c>
      <c r="C15" t="s">
        <v>40</v>
      </c>
      <c r="D15">
        <v>3</v>
      </c>
      <c r="E15" t="s">
        <v>41</v>
      </c>
      <c r="F15" t="str">
        <f t="shared" si="0"/>
        <v>itemicon_30001.png</v>
      </c>
      <c r="G15" t="s">
        <v>42</v>
      </c>
      <c r="H15">
        <v>-1</v>
      </c>
    </row>
    <row r="16" spans="1:11" x14ac:dyDescent="0.15">
      <c r="A16">
        <f t="shared" si="1"/>
        <v>30002</v>
      </c>
      <c r="B16" s="5">
        <f>COUNTIF($E$1:E16,E16)</f>
        <v>2</v>
      </c>
      <c r="C16" t="s">
        <v>43</v>
      </c>
      <c r="D16">
        <v>3</v>
      </c>
      <c r="E16" t="s">
        <v>41</v>
      </c>
      <c r="F16" t="str">
        <f t="shared" si="0"/>
        <v>itemicon_30002.png</v>
      </c>
      <c r="G16" t="s">
        <v>44</v>
      </c>
      <c r="H16">
        <v>-1</v>
      </c>
    </row>
    <row r="17" spans="1:16" x14ac:dyDescent="0.15">
      <c r="A17">
        <f t="shared" si="1"/>
        <v>40001</v>
      </c>
      <c r="B17" s="5">
        <f>COUNTIF($E$1:E17,E17)</f>
        <v>1</v>
      </c>
      <c r="C17" t="s">
        <v>45</v>
      </c>
      <c r="D17">
        <v>4</v>
      </c>
      <c r="E17" t="s">
        <v>46</v>
      </c>
      <c r="F17" t="str">
        <f t="shared" si="0"/>
        <v>itemicon_40001.png</v>
      </c>
      <c r="G17" t="s">
        <v>47</v>
      </c>
      <c r="H17">
        <v>-1</v>
      </c>
    </row>
    <row r="18" spans="1:16" x14ac:dyDescent="0.15">
      <c r="B18" s="5"/>
    </row>
    <row r="22" spans="1:16" x14ac:dyDescent="0.15">
      <c r="P22" s="7"/>
    </row>
  </sheetData>
  <phoneticPr fontId="4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2025-08-06T12:25:07Z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2052-12.1.0.21915</vt:lpwstr>
  </property>
</Properties>
</file>