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<sst xmlns="http://schemas.openxmlformats.org/spreadsheetml/2006/main" count="1077" uniqueCount="423">
  <si>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</si>
  <si>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</si>
  <si>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</si>
  <si>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</si>
  <si>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</si>
  <si>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</si>
  <si>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</si>
  <si>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</si>
  <si>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</si>
  <si>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</si>
  <si>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</si>
  <si>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</si>
  <si>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</si>
  <si>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</si>
  <si>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</si>
  <si>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</si>
  <si>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</si>
  <si>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</si>
  <si>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</si>
  <si>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</si>
  <si>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</si>
  <si>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</si>
  <si>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</si>
  <si>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</si>
  <si>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</si>
  <si>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</si>
  <si>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</si>
  <si>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11002_300000_0</t>
  </si>
  <si>
    <t>itemicon_1022504.png</t>
  </si>
  <si>
    <t>task_500001.png</t>
  </si>
  <si>
    <t>70001</t>
  </si>
  <si>
    <t>累计充值</t>
  </si>
  <si>
    <t>300,000</t>
  </si>
  <si>
    <t>300000</t>
  </si>
  <si>
    <t>11002_1400000_0</t>
  </si>
  <si>
    <t>70002</t>
  </si>
  <si>
    <t>1,400,000</t>
  </si>
  <si>
    <t>1400000</t>
  </si>
  <si>
    <t>11002_8300000_0</t>
  </si>
  <si>
    <t>70003</t>
  </si>
  <si>
    <t>8,300,000</t>
  </si>
  <si>
    <t>8300000</t>
  </si>
  <si>
    <t>11002_32000000_0</t>
  </si>
  <si>
    <t>70004</t>
  </si>
  <si>
    <t>32,000,000</t>
  </si>
  <si>
    <t>32000000</t>
  </si>
  <si>
    <t>11002_132000000_0</t>
  </si>
  <si>
    <t>70005</t>
  </si>
  <si>
    <t>132,000,000</t>
  </si>
  <si>
    <t>132000000</t>
  </si>
  <si>
    <t>11002_200000000_0</t>
  </si>
  <si>
    <t>70006</t>
  </si>
  <si>
    <t>200,000,000</t>
  </si>
  <si>
    <t>200000000</t>
  </si>
  <si>
    <t>12001_100700_3400000</t>
  </si>
  <si>
    <t>task_100700.png</t>
  </si>
  <si>
    <t>71001</t>
  </si>
  <si>
    <t>游戏有效下注</t>
  </si>
  <si>
    <t>麻将胡了</t>
  </si>
  <si>
    <t>3,400,000</t>
  </si>
  <si>
    <t>3400000</t>
  </si>
  <si>
    <t>Mahjong Hu</t>
  </si>
  <si>
    <t>Mạt chược</t>
  </si>
  <si>
    <t>Mahjong H</t>
  </si>
  <si>
    <t>12001_100300_3400000</t>
  </si>
  <si>
    <t>task_100300.png</t>
  </si>
  <si>
    <t>71002</t>
  </si>
  <si>
    <t>超级明星</t>
  </si>
  <si>
    <t>Super Star</t>
  </si>
  <si>
    <t>Siêu Sao</t>
  </si>
  <si>
    <t>12001_101200_3400000</t>
  </si>
  <si>
    <t>task_101200.png</t>
  </si>
  <si>
    <t>71003</t>
  </si>
  <si>
    <t>财神</t>
  </si>
  <si>
    <t>God of Wealth</t>
  </si>
  <si>
    <t>Thần Tài</t>
  </si>
  <si>
    <t>12001_101400_3400000</t>
  </si>
  <si>
    <t>task_101400.png</t>
  </si>
  <si>
    <t>71004</t>
  </si>
  <si>
    <t>埃及艳后</t>
  </si>
  <si>
    <t>Cleopatra</t>
  </si>
  <si>
    <t>Nữ hoàng Ai Cập</t>
  </si>
  <si>
    <t>Cleópatra</t>
  </si>
  <si>
    <t>12001_0_3400000</t>
  </si>
  <si>
    <t>task_500007.png</t>
  </si>
  <si>
    <t>71005</t>
  </si>
  <si>
    <t>任意有效下注</t>
  </si>
  <si>
    <t>通用</t>
  </si>
  <si>
    <t>any game</t>
  </si>
  <si>
    <r>
      <rPr>
        <sz val="11"/>
        <rFont val="微软雅黑"/>
        <charset val="134"/>
      </rPr>
      <t>b</t>
    </r>
    <r>
      <rPr>
        <sz val="11"/>
        <rFont val="Times New Roman"/>
        <charset val="134"/>
      </rPr>
      <t>ấ</t>
    </r>
    <r>
      <rPr>
        <sz val="11"/>
        <rFont val="微软雅黑"/>
        <charset val="134"/>
      </rPr>
      <t>t kỳ</t>
    </r>
  </si>
  <si>
    <t>qualquer jogo</t>
  </si>
  <si>
    <t>12001_100700_8300000</t>
  </si>
  <si>
    <t>71101</t>
  </si>
  <si>
    <t>12001_100300_8300000</t>
  </si>
  <si>
    <t>71102</t>
  </si>
  <si>
    <t>12001_101200_8300000</t>
  </si>
  <si>
    <t>71103</t>
  </si>
  <si>
    <t>12001_101400_8300000</t>
  </si>
  <si>
    <t>71104</t>
  </si>
  <si>
    <t>12001_0_8300000</t>
  </si>
  <si>
    <t>71105</t>
  </si>
  <si>
    <t>12001_100700_18000000</t>
  </si>
  <si>
    <t>71201</t>
  </si>
  <si>
    <t>18,000,000</t>
  </si>
  <si>
    <t>18000000</t>
  </si>
  <si>
    <t>12001_100300_18000000</t>
  </si>
  <si>
    <t>71202</t>
  </si>
  <si>
    <t>12001_101200_18000000</t>
  </si>
  <si>
    <t>71203</t>
  </si>
  <si>
    <t>12001_101400_18000000</t>
  </si>
  <si>
    <t>71204</t>
  </si>
  <si>
    <t>12001_0_18000000</t>
  </si>
  <si>
    <t>71205</t>
  </si>
  <si>
    <t>12001_100700_68000000</t>
  </si>
  <si>
    <t>71301</t>
  </si>
  <si>
    <t>68,000,000</t>
  </si>
  <si>
    <t>68000000</t>
  </si>
  <si>
    <t>12001_100300_68000000</t>
  </si>
  <si>
    <t>71302</t>
  </si>
  <si>
    <t>12001_101200_68000000</t>
  </si>
  <si>
    <t>71303</t>
  </si>
  <si>
    <t>12001_101400_68000000</t>
  </si>
  <si>
    <t>71304</t>
  </si>
  <si>
    <t>12001_0_68000000</t>
  </si>
  <si>
    <t>71305</t>
  </si>
  <si>
    <t>12001_100700_168000000</t>
  </si>
  <si>
    <t>71401</t>
  </si>
  <si>
    <t>168,000,000</t>
  </si>
  <si>
    <t>168000000</t>
  </si>
  <si>
    <t>12001_100300_168000000</t>
  </si>
  <si>
    <t>71402</t>
  </si>
  <si>
    <t>12001_101200_168000000</t>
  </si>
  <si>
    <t>71403</t>
  </si>
  <si>
    <t>12001_101400_168000000</t>
  </si>
  <si>
    <t>71404</t>
  </si>
  <si>
    <t>12001_0_168000000</t>
  </si>
  <si>
    <t>71405</t>
  </si>
  <si>
    <t>10003_100700_1_8300000_1990000</t>
  </si>
  <si>
    <t>72001</t>
  </si>
  <si>
    <t>游戏累计赢奖</t>
  </si>
  <si>
    <t>10003_100300_1_8300000_1990000</t>
  </si>
  <si>
    <t>72002</t>
  </si>
  <si>
    <t>10003_101200_1_8300000_1990000</t>
  </si>
  <si>
    <t>72003</t>
  </si>
  <si>
    <t>10003_101400_1_8300000_1990000</t>
  </si>
  <si>
    <t>72004</t>
  </si>
  <si>
    <t>10003_0_1_8300000_1990000</t>
  </si>
  <si>
    <t>task_500006.png</t>
  </si>
  <si>
    <t>72005</t>
  </si>
  <si>
    <t>金币赢奖</t>
  </si>
  <si>
    <t>10003_100700_1_18000000_1990000</t>
  </si>
  <si>
    <t>72201</t>
  </si>
  <si>
    <t>10003_100300_1_18000000_1990000</t>
  </si>
  <si>
    <t>72202</t>
  </si>
  <si>
    <t>10003_101200_1_18000000_1990000</t>
  </si>
  <si>
    <t>72203</t>
  </si>
  <si>
    <t>10003_101400_1_18000000_1990000</t>
  </si>
  <si>
    <t>72204</t>
  </si>
  <si>
    <t>10003_0_1_18000000_1990000</t>
  </si>
  <si>
    <t>72205</t>
  </si>
  <si>
    <t>10003_100700_1_24200000_1990000</t>
  </si>
  <si>
    <t>72301</t>
  </si>
  <si>
    <t>24,200,000</t>
  </si>
  <si>
    <t>24200000</t>
  </si>
  <si>
    <t>10003_100300_1_24200000_1990000</t>
  </si>
  <si>
    <t>72302</t>
  </si>
  <si>
    <t>10003_101200_1_24200000_1990000</t>
  </si>
  <si>
    <t>72303</t>
  </si>
  <si>
    <t>10003_101400_1_24200000_1990000</t>
  </si>
  <si>
    <t>72304</t>
  </si>
  <si>
    <t>10003_0_1_24200000_1990000</t>
  </si>
  <si>
    <t>72305</t>
  </si>
  <si>
    <t>10003_100700_1_83000000_1990000</t>
  </si>
  <si>
    <t>72401</t>
  </si>
  <si>
    <t>83,000,000</t>
  </si>
  <si>
    <t>83000000</t>
  </si>
  <si>
    <t>10003_100300_1_83000000_1990000</t>
  </si>
  <si>
    <t>72402</t>
  </si>
  <si>
    <t>10003_101200_1_83000000_1990000</t>
  </si>
  <si>
    <t>72403</t>
  </si>
  <si>
    <t>10003_101400_1_83000000_1990000</t>
  </si>
  <si>
    <t>72404</t>
  </si>
  <si>
    <t>10003_0_1_83000000_1990000</t>
  </si>
  <si>
    <t>72405</t>
  </si>
  <si>
    <t>10001_100700_1_500</t>
  </si>
  <si>
    <t>73001</t>
  </si>
  <si>
    <t>游戏累计旋转</t>
  </si>
  <si>
    <t>500</t>
  </si>
  <si>
    <t>10001_100300_1_500</t>
  </si>
  <si>
    <t>73002</t>
  </si>
  <si>
    <t>10001_101200_1_500</t>
  </si>
  <si>
    <t>73003</t>
  </si>
  <si>
    <t>10001_101400_1_500</t>
  </si>
  <si>
    <t>73004</t>
  </si>
  <si>
    <t>10001_0_1_500</t>
  </si>
  <si>
    <t>task_500004.png</t>
  </si>
  <si>
    <t>73005</t>
  </si>
  <si>
    <t>任意累计旋转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</si>
  <si>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</si>
  <si>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</si>
  <si>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</si>
  <si>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</si>
  <si>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</si>
  <si>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</si>
  <si>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</si>
  <si>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</si>
  <si>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</si>
  <si>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</si>
  <si>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</si>
  <si>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</si>
  <si>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</si>
  <si>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</si>
  <si>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</si>
  <si>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</si>
  <si>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</si>
  <si>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</si>
  <si>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</si>
  <si>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</si>
  <si>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</si>
  <si>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</si>
  <si>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</si>
  <si>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</si>
  <si>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</si>
  <si>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</si>
  <si>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</si>
  <si>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</si>
  <si>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</si>
  <si>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</si>
  <si>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</si>
  <si>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</si>
  <si>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</si>
  <si>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</si>
  <si>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</si>
  <si>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</si>
  <si>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</si>
  <si>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</si>
  <si>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</si>
  <si>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</si>
  <si>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</si>
  <si>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</si>
  <si>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</si>
  <si>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</si>
  <si>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</si>
  <si>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</si>
  <si>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</si>
  <si>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</si>
  <si>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</si>
  <si>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</si>
  <si>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</si>
  <si>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</si>
  <si>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</si>
  <si>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</si>
  <si>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</si>
  <si>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</si>
  <si>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</si>
  <si>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</si>
  <si>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</si>
  <si>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</si>
  <si>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</si>
  <si>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</si>
  <si>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</si>
  <si>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</si>
  <si>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</si>
  <si>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</si>
  <si>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</si>
  <si>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</si>
  <si>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</si>
  <si>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</si>
  <si>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</si>
  <si>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</si>
  <si>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</si>
  <si>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</si>
  <si>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</si>
  <si>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</si>
  <si>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</si>
  <si>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</si>
  <si>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</si>
  <si>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</si>
  <si>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</si>
  <si>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</si>
  <si>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</si>
  <si>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</si>
  <si>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</si>
  <si>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</si>
  <si>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</si>
  <si>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</si>
  <si>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</si>
  <si>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</si>
  <si>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</si>
  <si>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</si>
  <si>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</si>
  <si>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</si>
  <si>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</si>
  <si>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</si>
  <si>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</si>
  <si>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</si>
  <si>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</si>
  <si>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</si>
  <si>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</si>
  <si>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</si>
  <si>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</si>
  <si>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</si>
  <si>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</si>
  <si>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</si>
  <si>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</si>
  <si>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進行2次單筆充值$9.99</t>
  </si>
  <si>
    <t>单笔充值</t>
  </si>
  <si>
    <t>11001_99_1_0</t>
  </si>
  <si>
    <t>進行1次單筆充值$0.99</t>
  </si>
  <si>
    <t>11001_499_1_0</t>
  </si>
  <si>
    <t>進行1次單筆充值$4.99</t>
  </si>
  <si>
    <t>11001_999_1_0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</si>
  <si>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</si>
  <si>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</si>
  <si>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</si>
  <si>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</si>
  <si>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</si>
  <si>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</si>
  <si>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</si>
  <si>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</si>
  <si>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</si>
  <si>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</si>
  <si>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</si>
  <si>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</si>
  <si>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</si>
  <si>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</si>
  <si>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</si>
  <si>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</si>
  <si>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</si>
  <si>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</si>
  <si>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</si>
  <si>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</si>
  <si>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</si>
  <si>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</si>
  <si>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</si>
  <si>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</si>
  <si>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</si>
  <si>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</si>
  <si>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</si>
  <si>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</si>
  <si>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</si>
  <si>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</si>
  <si>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</si>
  <si>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</si>
  <si>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</si>
  <si>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</si>
  <si>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</si>
  <si>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</si>
  <si>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</si>
  <si>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</si>
  <si>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</si>
  <si>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</si>
  <si>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</si>
  <si>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</si>
  <si>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</si>
  <si>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</si>
  <si>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</si>
  <si>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</si>
  <si>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</si>
  <si>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</si>
  <si>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</si>
  <si>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</si>
  <si>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</si>
  <si>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</si>
  <si>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</si>
  <si>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</si>
  <si>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</si>
  <si>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</si>
  <si>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</si>
  <si>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</si>
  <si>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10003_0_1_2000000_1990000</t>
  </si>
  <si>
    <t>在任意遊戲中，金币累積贏獎達到2,000,000</t>
  </si>
  <si>
    <t>task_MoneyTree</t>
  </si>
  <si>
    <t>10001_100100_1_100</t>
  </si>
  <si>
    <t>task_rotation times</t>
  </si>
  <si>
    <t>在任意電子遊戲中，累積旋轉500次</t>
  </si>
  <si>
    <t>新图标名称[task_游戏ID]</t>
  </si>
  <si>
    <t>task_100100.png</t>
  </si>
  <si>
    <t>圣诞狂欢夜</t>
  </si>
  <si>
    <t>task_101700.png</t>
  </si>
  <si>
    <t>杰克船长</t>
  </si>
  <si>
    <t>task_102100.png</t>
  </si>
  <si>
    <t>雷神</t>
  </si>
  <si>
    <t>task_102200.png</t>
  </si>
  <si>
    <t>蒸汽时代</t>
  </si>
  <si>
    <t>task_102300.png</t>
  </si>
  <si>
    <t>财富银行</t>
  </si>
  <si>
    <t>task_102400.png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</si>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</sst>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6" borderId="4" applyNumberFormat="0" applyAlignment="0" applyProtection="0">
      <alignment vertical="center"/>
    </xf>
    <xf numFmtId="0" fontId="18" fillId="17" borderId="5" applyNumberFormat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20" fillId="1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4" borderId="0" xfId="0" applyFont="1" applyFill="1">
      <alignment vertical="center"/>
    </xf>
    <xf numFmtId="176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0"/>
  <sheetViews>
    <sheetView tabSelected="1" zoomScale="115" zoomScaleNormal="115" workbookViewId="0">
      <pane ySplit="4" topLeftCell="A5" activePane="bottomLeft" state="frozen"/>
      <selection/>
      <selection pane="bottomLeft" activeCell="C3" sqref="C3"/>
    </sheetView>
  </sheetViews>
  <sheetFormatPr defaultColWidth="9" defaultRowHeight="16.5"/>
  <cols>
    <col min="1" max="1" width="11.625" style="3" customWidth="1"/>
    <col min="2" max="4" width="9.125" style="3" customWidth="1"/>
    <col min="5" max="5" width="36.875" style="3" customWidth="1"/>
    <col min="6" max="6" width="12.625" style="3" customWidth="1"/>
    <col min="7" max="7" width="13.125" style="3" customWidth="1"/>
    <col min="8" max="8" width="23.625" style="38" customWidth="1"/>
    <col min="9" max="9" width="8.675" style="5" customWidth="1"/>
    <col min="10" max="10" width="15.5833333333333" style="5" customWidth="1"/>
    <col min="11" max="11" width="8.08333333333333" style="39" customWidth="1"/>
    <col min="12" max="12" width="9.25833333333333" style="39" customWidth="1"/>
    <col min="13" max="13" width="55.15" style="3" customWidth="1"/>
    <col min="14" max="15" width="12.3416666666667" style="3" customWidth="1"/>
    <col min="16" max="18" width="14.5" style="3" customWidth="1"/>
    <col min="19" max="20" width="12.875" style="40"/>
    <col min="21" max="21" width="16.5" style="3"/>
    <col min="22" max="22" width="9" style="3"/>
    <col min="23" max="23" width="9" style="41"/>
    <col min="24" max="24" width="19.85" style="3" customWidth="1"/>
    <col min="25" max="25" width="9" style="41"/>
    <col min="26" max="26" width="9" style="3"/>
    <col min="27" max="27" width="9" style="41"/>
    <col min="28" max="16384" width="9" style="3"/>
  </cols>
  <sheetData>
    <row r="1" spans="1:28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7" t="s">
        <v>7</v>
      </c>
      <c r="J1" s="7" t="s">
        <v>8</v>
      </c>
      <c r="K1" s="31" t="s">
        <v>9</v>
      </c>
      <c r="L1" s="31" t="s">
        <v>10</v>
      </c>
      <c r="M1" s="3" t="s">
        <v>11</v>
      </c>
      <c r="U1" s="3" t="s">
        <v>12</v>
      </c>
    </row>
    <row r="2" spans="1:28">
      <c r="A2" s="28" t="s">
        <v>13</v>
      </c>
      <c r="B2" s="28" t="s">
        <v>13</v>
      </c>
      <c r="C2" s="28" t="s">
        <v>13</v>
      </c>
      <c r="D2" s="28"/>
      <c r="E2" s="28" t="s">
        <v>14</v>
      </c>
      <c r="F2" s="32" t="s">
        <v>14</v>
      </c>
      <c r="G2" s="32" t="s">
        <v>13</v>
      </c>
      <c r="H2" s="32" t="s">
        <v>15</v>
      </c>
      <c r="I2" s="9" t="s">
        <v>13</v>
      </c>
      <c r="J2" s="9" t="s">
        <v>15</v>
      </c>
      <c r="K2" s="33" t="s">
        <v>15</v>
      </c>
      <c r="L2" s="33" t="s">
        <v>13</v>
      </c>
    </row>
    <row r="3" spans="1:28">
      <c r="A3" s="28" t="s">
        <v>16</v>
      </c>
      <c r="B3" s="28" t="s">
        <v>17</v>
      </c>
      <c r="C3" s="28" t="s">
        <v>18</v>
      </c>
      <c r="D3" s="28"/>
      <c r="E3" s="28" t="s">
        <v>19</v>
      </c>
      <c r="F3" s="32" t="s">
        <v>20</v>
      </c>
      <c r="G3" s="34" t="s">
        <v>21</v>
      </c>
      <c r="H3" s="34" t="s">
        <v>22</v>
      </c>
      <c r="I3" s="7" t="s">
        <v>23</v>
      </c>
      <c r="J3" s="7" t="s">
        <v>24</v>
      </c>
      <c r="K3" s="31" t="s">
        <v>25</v>
      </c>
      <c r="L3" s="31" t="s">
        <v>26</v>
      </c>
    </row>
    <row r="4" spans="1:28">
      <c r="A4" s="28"/>
      <c r="B4" s="28"/>
      <c r="C4" s="28"/>
      <c r="D4" s="28"/>
      <c r="E4" s="28"/>
      <c r="F4" s="28"/>
      <c r="G4" s="28"/>
      <c r="H4" s="35"/>
      <c r="I4" s="7"/>
      <c r="J4" s="7"/>
      <c r="K4" s="31"/>
      <c r="L4" s="31"/>
    </row>
    <row r="5" s="4" customFormat="1" spans="1:28">
      <c r="A5" s="42">
        <v>110020001</v>
      </c>
      <c r="B5" s="12">
        <v>1</v>
      </c>
      <c r="C5" s="12">
        <v>1100200</v>
      </c>
      <c r="D5" s="12">
        <v>1</v>
      </c>
      <c r="E5" s="12" t="s">
        <v>27</v>
      </c>
      <c r="F5" s="12"/>
      <c r="G5" s="13">
        <v>2</v>
      </c>
      <c r="H5" s="13" t="s">
        <v>28</v>
      </c>
      <c r="I5" s="10">
        <v>2003</v>
      </c>
      <c r="J5" s="10" t="s">
        <v>29</v>
      </c>
      <c r="K5" s="8"/>
      <c r="L5" s="8" t="s">
        <v>30</v>
      </c>
      <c r="M5" s="4" t="str">
        <f t="shared" ref="M5:M10" si="0">"累積充值達到 "&amp;S5&amp;" ₫"</f>
        <v>累積充值達到 300,000 ₫</v>
      </c>
      <c r="N5" s="1" t="s">
        <v>31</v>
      </c>
      <c r="O5" s="1">
        <v>11002</v>
      </c>
      <c r="P5" s="1"/>
      <c r="Q5" s="1"/>
      <c r="R5" s="1">
        <v>2003</v>
      </c>
      <c r="S5" s="43" t="s">
        <v>32</v>
      </c>
      <c r="T5" s="43" t="s">
        <v>33</v>
      </c>
      <c r="U5" s="44">
        <f t="shared" ref="U5:U10" si="1">S5/29000*7*3%</f>
        <v>2.17241379310345</v>
      </c>
      <c r="V5" s="4">
        <v>1</v>
      </c>
      <c r="W5" s="41"/>
      <c r="X5" s="4" t="str">
        <f t="shared" ref="X5:X10" si="2">"Accumulated recharge reaches "&amp;S5&amp;" ₫"</f>
        <v>Accumulated recharge reaches 300,000 ₫</v>
      </c>
      <c r="Y5" s="41"/>
      <c r="Z5" s="4" t="str">
        <f t="shared" ref="Z5:Z10" si="3">"Tích lũy nạp tiền đạt "&amp;S5&amp;" ₫"</f>
        <v>Tích lũy nạp tiền đạt 300,000 ₫</v>
      </c>
      <c r="AA5" s="41"/>
      <c r="AB5" s="4" t="str">
        <f t="shared" ref="AB5:AB10" si="4">"Recarga acumulada atinge "&amp;S5&amp;" ₫"</f>
        <v>Recarga acumulada atinge 300,000 ₫</v>
      </c>
    </row>
    <row r="6" s="4" customFormat="1" spans="1:28">
      <c r="A6" s="42">
        <v>110020101</v>
      </c>
      <c r="B6" s="12">
        <v>1</v>
      </c>
      <c r="C6" s="12">
        <v>1100201</v>
      </c>
      <c r="D6" s="12">
        <v>1</v>
      </c>
      <c r="E6" s="12" t="s">
        <v>34</v>
      </c>
      <c r="F6" s="12"/>
      <c r="G6" s="13">
        <v>10</v>
      </c>
      <c r="H6" s="13" t="s">
        <v>28</v>
      </c>
      <c r="I6" s="10">
        <v>2003</v>
      </c>
      <c r="J6" s="10" t="s">
        <v>29</v>
      </c>
      <c r="K6" s="8"/>
      <c r="L6" s="8" t="s">
        <v>35</v>
      </c>
      <c r="M6" s="4" t="str">
        <f t="shared" si="0"/>
        <v>累積充值達到 1,400,000 ₫</v>
      </c>
      <c r="N6" s="1" t="s">
        <v>31</v>
      </c>
      <c r="O6" s="1">
        <v>11002</v>
      </c>
      <c r="P6" s="1"/>
      <c r="Q6" s="1"/>
      <c r="R6" s="1">
        <v>2003</v>
      </c>
      <c r="S6" s="43" t="s">
        <v>36</v>
      </c>
      <c r="T6" s="43" t="s">
        <v>37</v>
      </c>
      <c r="U6" s="44">
        <f t="shared" si="1"/>
        <v>10.1379310344828</v>
      </c>
      <c r="V6" s="4">
        <v>1</v>
      </c>
      <c r="W6" s="41"/>
      <c r="X6" s="4" t="str">
        <f t="shared" si="2"/>
        <v>Accumulated recharge reaches 1,400,000 ₫</v>
      </c>
      <c r="Y6" s="41"/>
      <c r="Z6" s="4" t="str">
        <f t="shared" si="3"/>
        <v>Tích lũy nạp tiền đạt 1,400,000 ₫</v>
      </c>
      <c r="AA6" s="41"/>
      <c r="AB6" s="4" t="str">
        <f t="shared" si="4"/>
        <v>Recarga acumulada atinge 1,400,000 ₫</v>
      </c>
    </row>
    <row r="7" s="4" customFormat="1" spans="1:28">
      <c r="A7" s="42">
        <v>110020201</v>
      </c>
      <c r="B7" s="12">
        <v>1</v>
      </c>
      <c r="C7" s="12">
        <v>1100202</v>
      </c>
      <c r="D7" s="12">
        <v>1</v>
      </c>
      <c r="E7" s="12" t="s">
        <v>38</v>
      </c>
      <c r="F7" s="12"/>
      <c r="G7" s="13">
        <v>60</v>
      </c>
      <c r="H7" s="13" t="s">
        <v>28</v>
      </c>
      <c r="I7" s="10">
        <v>2003</v>
      </c>
      <c r="J7" s="10" t="s">
        <v>29</v>
      </c>
      <c r="K7" s="8"/>
      <c r="L7" s="8" t="s">
        <v>39</v>
      </c>
      <c r="M7" s="4" t="str">
        <f t="shared" si="0"/>
        <v>累積充值達到 8,300,000 ₫</v>
      </c>
      <c r="N7" s="1" t="s">
        <v>31</v>
      </c>
      <c r="O7" s="1">
        <v>11002</v>
      </c>
      <c r="P7" s="1"/>
      <c r="Q7" s="1"/>
      <c r="R7" s="1">
        <v>2003</v>
      </c>
      <c r="S7" s="43" t="s">
        <v>40</v>
      </c>
      <c r="T7" s="43" t="s">
        <v>41</v>
      </c>
      <c r="U7" s="44">
        <f t="shared" si="1"/>
        <v>60.1034482758621</v>
      </c>
      <c r="V7" s="4">
        <v>1</v>
      </c>
      <c r="W7" s="41"/>
      <c r="X7" s="4" t="str">
        <f t="shared" si="2"/>
        <v>Accumulated recharge reaches 8,300,000 ₫</v>
      </c>
      <c r="Y7" s="41"/>
      <c r="Z7" s="4" t="str">
        <f t="shared" si="3"/>
        <v>Tích lũy nạp tiền đạt 8,300,000 ₫</v>
      </c>
      <c r="AA7" s="41"/>
      <c r="AB7" s="4" t="str">
        <f t="shared" si="4"/>
        <v>Recarga acumulada atinge 8,300,000 ₫</v>
      </c>
    </row>
    <row r="8" s="4" customFormat="1" spans="1:28">
      <c r="A8" s="42">
        <v>110020301</v>
      </c>
      <c r="B8" s="12">
        <v>1</v>
      </c>
      <c r="C8" s="12">
        <v>1100203</v>
      </c>
      <c r="D8" s="12">
        <v>1</v>
      </c>
      <c r="E8" s="12" t="s">
        <v>42</v>
      </c>
      <c r="F8" s="12"/>
      <c r="G8" s="13">
        <v>230</v>
      </c>
      <c r="H8" s="13" t="s">
        <v>28</v>
      </c>
      <c r="I8" s="10">
        <v>2003</v>
      </c>
      <c r="J8" s="10" t="s">
        <v>29</v>
      </c>
      <c r="K8" s="8"/>
      <c r="L8" s="8" t="s">
        <v>43</v>
      </c>
      <c r="M8" s="4" t="str">
        <f t="shared" si="0"/>
        <v>累積充值達到 32,000,000 ₫</v>
      </c>
      <c r="N8" s="1" t="s">
        <v>31</v>
      </c>
      <c r="O8" s="1">
        <v>11002</v>
      </c>
      <c r="P8" s="1"/>
      <c r="Q8" s="1"/>
      <c r="R8" s="1">
        <v>2003</v>
      </c>
      <c r="S8" s="43" t="s">
        <v>44</v>
      </c>
      <c r="T8" s="43" t="s">
        <v>45</v>
      </c>
      <c r="U8" s="44">
        <f t="shared" si="1"/>
        <v>231.724137931035</v>
      </c>
      <c r="V8" s="4">
        <v>1</v>
      </c>
      <c r="W8" s="41"/>
      <c r="X8" s="4" t="str">
        <f t="shared" si="2"/>
        <v>Accumulated recharge reaches 32,000,000 ₫</v>
      </c>
      <c r="Y8" s="41"/>
      <c r="Z8" s="4" t="str">
        <f t="shared" si="3"/>
        <v>Tích lũy nạp tiền đạt 32,000,000 ₫</v>
      </c>
      <c r="AA8" s="41"/>
      <c r="AB8" s="4" t="str">
        <f t="shared" si="4"/>
        <v>Recarga acumulada atinge 32,000,000 ₫</v>
      </c>
    </row>
    <row r="9" s="36" customFormat="1" spans="1:28">
      <c r="A9" s="42">
        <v>110020401</v>
      </c>
      <c r="B9" s="36">
        <v>1</v>
      </c>
      <c r="C9" s="12">
        <v>1100204</v>
      </c>
      <c r="D9" s="36">
        <v>1</v>
      </c>
      <c r="E9" s="36" t="s">
        <v>46</v>
      </c>
      <c r="F9" s="36"/>
      <c r="G9" s="13">
        <v>950</v>
      </c>
      <c r="H9" s="45" t="s">
        <v>28</v>
      </c>
      <c r="I9" s="46">
        <v>2003</v>
      </c>
      <c r="J9" s="46" t="s">
        <v>29</v>
      </c>
      <c r="K9" s="47"/>
      <c r="L9" s="8" t="s">
        <v>47</v>
      </c>
      <c r="M9" s="36" t="str">
        <f t="shared" si="0"/>
        <v>累積充值達到 132,000,000 ₫</v>
      </c>
      <c r="N9" s="48" t="s">
        <v>31</v>
      </c>
      <c r="O9" s="48">
        <v>11002</v>
      </c>
      <c r="P9" s="48"/>
      <c r="Q9" s="48"/>
      <c r="R9" s="48">
        <v>2003</v>
      </c>
      <c r="S9" s="49" t="s">
        <v>48</v>
      </c>
      <c r="T9" s="49" t="s">
        <v>49</v>
      </c>
      <c r="U9" s="50">
        <f t="shared" si="1"/>
        <v>955.862068965517</v>
      </c>
      <c r="V9" s="36">
        <v>1</v>
      </c>
      <c r="W9" s="36"/>
      <c r="X9" s="36" t="str">
        <f t="shared" si="2"/>
        <v>Accumulated recharge reaches 132,000,000 ₫</v>
      </c>
      <c r="Z9" s="36" t="str">
        <f t="shared" si="3"/>
        <v>Tích lũy nạp tiền đạt 132,000,000 ₫</v>
      </c>
      <c r="AB9" s="36" t="str">
        <f t="shared" si="4"/>
        <v>Recarga acumulada atinge 132,000,000 ₫</v>
      </c>
    </row>
    <row r="10" s="37" customFormat="1" spans="1:28">
      <c r="A10" s="42">
        <v>110020501</v>
      </c>
      <c r="B10" s="37">
        <v>1</v>
      </c>
      <c r="C10" s="12">
        <v>1100205</v>
      </c>
      <c r="D10" s="37">
        <v>1</v>
      </c>
      <c r="E10" s="37" t="s">
        <v>50</v>
      </c>
      <c r="F10" s="37"/>
      <c r="G10" s="13">
        <v>1440</v>
      </c>
      <c r="H10" s="51" t="s">
        <v>28</v>
      </c>
      <c r="I10" s="52">
        <v>2003</v>
      </c>
      <c r="J10" s="52" t="s">
        <v>29</v>
      </c>
      <c r="K10" s="53"/>
      <c r="L10" s="8" t="s">
        <v>51</v>
      </c>
      <c r="M10" s="37" t="str">
        <f t="shared" si="0"/>
        <v>累積充值達到 200,000,000 ₫</v>
      </c>
      <c r="N10" s="54" t="s">
        <v>31</v>
      </c>
      <c r="O10" s="54">
        <v>11002</v>
      </c>
      <c r="P10" s="54"/>
      <c r="Q10" s="54"/>
      <c r="R10" s="54">
        <v>2003</v>
      </c>
      <c r="S10" s="55" t="s">
        <v>52</v>
      </c>
      <c r="T10" s="55" t="s">
        <v>53</v>
      </c>
      <c r="U10" s="56">
        <f t="shared" si="1"/>
        <v>1448.27586206897</v>
      </c>
      <c r="V10" s="37">
        <v>1</v>
      </c>
      <c r="W10" s="37"/>
      <c r="X10" s="37" t="str">
        <f t="shared" si="2"/>
        <v>Accumulated recharge reaches 200,000,000 ₫</v>
      </c>
      <c r="Z10" s="37" t="str">
        <f t="shared" si="3"/>
        <v>Tích lũy nạp tiền đạt 200,000,000 ₫</v>
      </c>
      <c r="AB10" s="37" t="str">
        <f t="shared" si="4"/>
        <v>Recarga acumulada atinge 200,000,000 ₫</v>
      </c>
    </row>
    <row r="11" s="4" customFormat="1" spans="1:28">
      <c r="A11" s="42">
        <v>120010001</v>
      </c>
      <c r="B11" s="12">
        <v>1</v>
      </c>
      <c r="C11" s="41">
        <v>1200100</v>
      </c>
      <c r="D11" s="12">
        <v>1</v>
      </c>
      <c r="E11" s="12" t="s">
        <v>54</v>
      </c>
      <c r="F11" s="12"/>
      <c r="G11" s="13">
        <v>20</v>
      </c>
      <c r="H11" s="13" t="s">
        <v>28</v>
      </c>
      <c r="I11" s="10">
        <v>11007</v>
      </c>
      <c r="J11" s="10" t="s">
        <v>55</v>
      </c>
      <c r="K11" s="8"/>
      <c r="L11" s="8" t="s">
        <v>56</v>
      </c>
      <c r="M11" s="4" t="str">
        <f t="shared" ref="M11:M14" si="5">"在["&amp;P11&amp;"]電子遊戲中，金币有效下注累積達到 "&amp;S11</f>
        <v>在[麻将胡了]電子遊戲中，金币有效下注累積達到 3,400,000</v>
      </c>
      <c r="N11" s="4" t="s">
        <v>57</v>
      </c>
      <c r="O11" s="4">
        <v>12001</v>
      </c>
      <c r="P11" s="1" t="s">
        <v>58</v>
      </c>
      <c r="Q11" s="1">
        <v>100700</v>
      </c>
      <c r="R11" s="1">
        <v>11007</v>
      </c>
      <c r="S11" s="43" t="s">
        <v>59</v>
      </c>
      <c r="T11" s="43" t="s">
        <v>60</v>
      </c>
      <c r="U11" s="57">
        <f t="shared" ref="U11:U35" si="6">S11*3%/29000*7</f>
        <v>24.6206896551724</v>
      </c>
      <c r="V11" s="4">
        <v>1</v>
      </c>
      <c r="W11" s="41" t="s">
        <v>61</v>
      </c>
      <c r="X11" s="4" t="str">
        <f>"In the ["&amp;W11&amp;"] video game, the accumulated valid Gold Coin bets reach "&amp;S11</f>
        <v>In the [Mahjong Hu] video game, the accumulated valid Gold Coin bets reach 3,400,000</v>
      </c>
      <c r="Y11" s="41" t="s">
        <v>62</v>
      </c>
      <c r="Z11" s="4" t="str">
        <f>"Trong trò chơi ["&amp;Y11&amp;"], tích lũy đặt cược hợp lệ tiền vàng đạt "&amp;S11</f>
        <v>Trong trò chơi [Mạt chược], tích lũy đặt cược hợp lệ tiền vàng đạt 3,400,000</v>
      </c>
      <c r="AA11" s="41" t="s">
        <v>63</v>
      </c>
      <c r="AB11" s="4" t="str">
        <f>"No videogame ["&amp;AA11&amp;"], as apostas válidas acumuladas em Moedas de Ouro atingem "&amp;S11</f>
        <v>No videogame [Mahjong H], as apostas válidas acumuladas em Moedas de Ouro atingem 3,400,000</v>
      </c>
    </row>
    <row r="12" s="4" customFormat="1" spans="1:28">
      <c r="A12" s="42">
        <v>120010002</v>
      </c>
      <c r="B12" s="12">
        <v>1</v>
      </c>
      <c r="C12" s="41">
        <v>1200100</v>
      </c>
      <c r="D12" s="12">
        <v>2</v>
      </c>
      <c r="E12" s="12" t="s">
        <v>64</v>
      </c>
      <c r="F12" s="12"/>
      <c r="G12" s="13">
        <v>20</v>
      </c>
      <c r="H12" s="13" t="s">
        <v>28</v>
      </c>
      <c r="I12" s="10">
        <v>11003</v>
      </c>
      <c r="J12" s="10" t="s">
        <v>65</v>
      </c>
      <c r="K12" s="8"/>
      <c r="L12" s="8" t="s">
        <v>66</v>
      </c>
      <c r="M12" s="4" t="str">
        <f t="shared" si="5"/>
        <v>在[超级明星]電子遊戲中，金币有效下注累積達到 3,400,000</v>
      </c>
      <c r="N12" s="4" t="s">
        <v>57</v>
      </c>
      <c r="O12" s="4">
        <v>12001</v>
      </c>
      <c r="P12" s="1" t="s">
        <v>67</v>
      </c>
      <c r="Q12" s="1">
        <v>100300</v>
      </c>
      <c r="R12" s="1">
        <v>11003</v>
      </c>
      <c r="S12" s="43" t="s">
        <v>59</v>
      </c>
      <c r="T12" s="43" t="s">
        <v>60</v>
      </c>
      <c r="U12" s="57">
        <f t="shared" si="6"/>
        <v>24.6206896551724</v>
      </c>
      <c r="V12" s="4">
        <v>2</v>
      </c>
      <c r="W12" s="41" t="s">
        <v>68</v>
      </c>
      <c r="X12" s="4" t="str">
        <f>"In the ["&amp;W12&amp;"] video game, the accumulated valid Gold Coin bets reach "&amp;S12</f>
        <v>In the [Super Star] video game, the accumulated valid Gold Coin bets reach 3,400,000</v>
      </c>
      <c r="Y12" s="41" t="s">
        <v>69</v>
      </c>
      <c r="Z12" s="4" t="str">
        <f t="shared" ref="Z12:Z35" si="7">"Trong trò chơi ["&amp;Y12&amp;"], tích lũy đặt cược hợp lệ tiền vàng đạt "&amp;S12</f>
        <v>Trong trò chơi [Siêu Sao], tích lũy đặt cược hợp lệ tiền vàng đạt 3,400,000</v>
      </c>
      <c r="AA12" s="41" t="s">
        <v>68</v>
      </c>
      <c r="AB12" s="4" t="str">
        <f t="shared" ref="AB12:AB35" si="8">"No videogame ["&amp;AA12&amp;"], as apostas válidas acumuladas em Moedas de Ouro atingem "&amp;S12</f>
        <v>No videogame [Super Star], as apostas válidas acumuladas em Moedas de Ouro atingem 3,400,000</v>
      </c>
    </row>
    <row r="13" s="4" customFormat="1" spans="1:28">
      <c r="A13" s="42">
        <v>120010003</v>
      </c>
      <c r="B13" s="12">
        <v>1</v>
      </c>
      <c r="C13" s="41">
        <v>1200100</v>
      </c>
      <c r="D13" s="12">
        <v>3</v>
      </c>
      <c r="E13" s="12" t="s">
        <v>70</v>
      </c>
      <c r="F13" s="12"/>
      <c r="G13" s="13">
        <v>20</v>
      </c>
      <c r="H13" s="13" t="s">
        <v>28</v>
      </c>
      <c r="I13" s="10">
        <v>11012</v>
      </c>
      <c r="J13" s="10" t="s">
        <v>71</v>
      </c>
      <c r="K13" s="8"/>
      <c r="L13" s="8" t="s">
        <v>72</v>
      </c>
      <c r="M13" s="4" t="str">
        <f t="shared" si="5"/>
        <v>在[财神]電子遊戲中，金币有效下注累積達到 3,400,000</v>
      </c>
      <c r="N13" s="4" t="s">
        <v>57</v>
      </c>
      <c r="O13" s="4">
        <v>12001</v>
      </c>
      <c r="P13" s="1" t="s">
        <v>73</v>
      </c>
      <c r="Q13" s="1">
        <v>101200</v>
      </c>
      <c r="R13" s="1">
        <v>11012</v>
      </c>
      <c r="S13" s="43" t="s">
        <v>59</v>
      </c>
      <c r="T13" s="43" t="s">
        <v>60</v>
      </c>
      <c r="U13" s="57">
        <f t="shared" si="6"/>
        <v>24.6206896551724</v>
      </c>
      <c r="V13" s="4">
        <v>3</v>
      </c>
      <c r="W13" s="41" t="s">
        <v>74</v>
      </c>
      <c r="X13" s="4" t="str">
        <f>"In the ["&amp;W13&amp;"] video game, the accumulated valid Gold Coin bets reach "&amp;S13</f>
        <v>In the [God of Wealth] video game, the accumulated valid Gold Coin bets reach 3,400,000</v>
      </c>
      <c r="Y13" s="41" t="s">
        <v>75</v>
      </c>
      <c r="Z13" s="4" t="str">
        <f t="shared" si="7"/>
        <v>Trong trò chơi [Thần Tài], tích lũy đặt cược hợp lệ tiền vàng đạt 3,400,000</v>
      </c>
      <c r="AA13" s="41" t="s">
        <v>74</v>
      </c>
      <c r="AB13" s="4" t="str">
        <f t="shared" si="8"/>
        <v>No videogame [God of Wealth], as apostas válidas acumuladas em Moedas de Ouro atingem 3,400,000</v>
      </c>
    </row>
    <row r="14" s="4" customFormat="1" spans="1:28">
      <c r="A14" s="42">
        <v>120010004</v>
      </c>
      <c r="B14" s="12">
        <v>1</v>
      </c>
      <c r="C14" s="41">
        <v>1200100</v>
      </c>
      <c r="D14" s="12">
        <v>4</v>
      </c>
      <c r="E14" s="12" t="s">
        <v>76</v>
      </c>
      <c r="F14" s="12"/>
      <c r="G14" s="13">
        <v>20</v>
      </c>
      <c r="H14" s="13" t="s">
        <v>28</v>
      </c>
      <c r="I14" s="10">
        <v>11014</v>
      </c>
      <c r="J14" s="10" t="s">
        <v>77</v>
      </c>
      <c r="K14" s="8"/>
      <c r="L14" s="8" t="s">
        <v>78</v>
      </c>
      <c r="M14" s="4" t="str">
        <f t="shared" si="5"/>
        <v>在[埃及艳后]電子遊戲中，金币有效下注累積達到 3,400,000</v>
      </c>
      <c r="N14" s="4" t="s">
        <v>57</v>
      </c>
      <c r="O14" s="4">
        <v>12001</v>
      </c>
      <c r="P14" s="1" t="s">
        <v>79</v>
      </c>
      <c r="Q14" s="1">
        <v>101400</v>
      </c>
      <c r="R14" s="1">
        <v>11014</v>
      </c>
      <c r="S14" s="43" t="s">
        <v>59</v>
      </c>
      <c r="T14" s="43" t="s">
        <v>60</v>
      </c>
      <c r="U14" s="57">
        <f t="shared" si="6"/>
        <v>24.6206896551724</v>
      </c>
      <c r="V14" s="4">
        <v>4</v>
      </c>
      <c r="W14" s="41" t="s">
        <v>80</v>
      </c>
      <c r="X14" s="4" t="str">
        <f>"In the ["&amp;W14&amp;"] video game, the accumulated valid Gold Coin bets reach "&amp;S14</f>
        <v>In the [Cleopatra] video game, the accumulated valid Gold Coin bets reach 3,400,000</v>
      </c>
      <c r="Y14" s="41" t="s">
        <v>81</v>
      </c>
      <c r="Z14" s="4" t="str">
        <f t="shared" si="7"/>
        <v>Trong trò chơi [Nữ hoàng Ai Cập], tích lũy đặt cược hợp lệ tiền vàng đạt 3,400,000</v>
      </c>
      <c r="AA14" s="41" t="s">
        <v>82</v>
      </c>
      <c r="AB14" s="4" t="str">
        <f t="shared" si="8"/>
        <v>No videogame [Cleópatra], as apostas válidas acumuladas em Moedas de Ouro atingem 3,400,000</v>
      </c>
    </row>
    <row r="15" s="4" customFormat="1" spans="1:28">
      <c r="A15" s="42">
        <v>120010005</v>
      </c>
      <c r="B15" s="12">
        <v>1</v>
      </c>
      <c r="C15" s="41">
        <v>1200100</v>
      </c>
      <c r="D15" s="12">
        <v>5</v>
      </c>
      <c r="E15" s="12" t="s">
        <v>83</v>
      </c>
      <c r="F15" s="12"/>
      <c r="G15" s="13">
        <v>20</v>
      </c>
      <c r="H15" s="13" t="s">
        <v>28</v>
      </c>
      <c r="I15" s="10">
        <v>11003</v>
      </c>
      <c r="J15" s="10" t="s">
        <v>84</v>
      </c>
      <c r="K15" s="8"/>
      <c r="L15" s="8" t="s">
        <v>85</v>
      </c>
      <c r="M15" s="4" t="str">
        <f>"在任意遊戲中，金币有效下注累積達到 "&amp;S15</f>
        <v>在任意遊戲中，金币有效下注累積達到 3,400,000</v>
      </c>
      <c r="N15" s="4" t="s">
        <v>86</v>
      </c>
      <c r="O15" s="4">
        <v>12001</v>
      </c>
      <c r="P15" s="1" t="s">
        <v>87</v>
      </c>
      <c r="Q15" s="1">
        <v>0</v>
      </c>
      <c r="R15" s="1">
        <v>11003</v>
      </c>
      <c r="S15" s="43" t="s">
        <v>59</v>
      </c>
      <c r="T15" s="43" t="s">
        <v>60</v>
      </c>
      <c r="U15" s="57">
        <f t="shared" si="6"/>
        <v>24.6206896551724</v>
      </c>
      <c r="V15" s="4">
        <v>5</v>
      </c>
      <c r="W15" s="41" t="s">
        <v>88</v>
      </c>
      <c r="X15" s="4" t="str">
        <f>"In the ["&amp;W15&amp;"] video game, the accumulated valid Gold Coin bets reach "&amp;S15</f>
        <v>In the [any game] video game, the accumulated valid Gold Coin bets reach 3,400,000</v>
      </c>
      <c r="Y15" s="41" t="s">
        <v>89</v>
      </c>
      <c r="Z15" s="4" t="str">
        <f t="shared" si="7"/>
        <v>Trong trò chơi [bất kỳ], tích lũy đặt cược hợp lệ tiền vàng đạt 3,400,000</v>
      </c>
      <c r="AA15" s="41" t="s">
        <v>90</v>
      </c>
      <c r="AB15" s="4" t="str">
        <f t="shared" si="8"/>
        <v>No videogame [qualquer jogo], as apostas válidas acumuladas em Moedas de Ouro atingem 3,400,000</v>
      </c>
    </row>
    <row r="16" s="4" customFormat="1" spans="1:28">
      <c r="A16" s="42">
        <v>120010101</v>
      </c>
      <c r="B16" s="12">
        <v>1</v>
      </c>
      <c r="C16" s="58">
        <v>1200101</v>
      </c>
      <c r="D16" s="12">
        <v>1</v>
      </c>
      <c r="E16" s="12" t="s">
        <v>91</v>
      </c>
      <c r="F16" s="12"/>
      <c r="G16" s="13">
        <v>60</v>
      </c>
      <c r="H16" s="13" t="s">
        <v>28</v>
      </c>
      <c r="I16" s="10">
        <v>11007</v>
      </c>
      <c r="J16" s="10" t="s">
        <v>55</v>
      </c>
      <c r="K16" s="8"/>
      <c r="L16" s="8" t="s">
        <v>92</v>
      </c>
      <c r="M16" s="4" t="str">
        <f>"在["&amp;P16&amp;"]電子遊戲中，金币有效下注累積達到 "&amp;S16</f>
        <v>在[麻将胡了]電子遊戲中，金币有效下注累積達到 8,300,000</v>
      </c>
      <c r="N16" s="4" t="s">
        <v>57</v>
      </c>
      <c r="O16" s="4">
        <v>12001</v>
      </c>
      <c r="P16" s="1" t="s">
        <v>58</v>
      </c>
      <c r="Q16" s="1">
        <v>100700</v>
      </c>
      <c r="R16" s="1">
        <v>11007</v>
      </c>
      <c r="S16" s="43" t="s">
        <v>40</v>
      </c>
      <c r="T16" s="43" t="s">
        <v>41</v>
      </c>
      <c r="U16" s="57">
        <f t="shared" si="6"/>
        <v>60.1034482758621</v>
      </c>
      <c r="V16" s="4">
        <v>1</v>
      </c>
      <c r="W16" s="41" t="s">
        <v>61</v>
      </c>
      <c r="X16" s="4" t="str">
        <f t="shared" ref="X16:X35" si="9">"In the ["&amp;W16&amp;"] video game, the accumulated valid Gold Coin bets reach "&amp;S16</f>
        <v>In the [Mahjong Hu] video game, the accumulated valid Gold Coin bets reach 8,300,000</v>
      </c>
      <c r="Y16" s="41" t="s">
        <v>62</v>
      </c>
      <c r="Z16" s="4" t="str">
        <f t="shared" si="7"/>
        <v>Trong trò chơi [Mạt chược], tích lũy đặt cược hợp lệ tiền vàng đạt 8,300,000</v>
      </c>
      <c r="AA16" s="41" t="s">
        <v>63</v>
      </c>
      <c r="AB16" s="4" t="str">
        <f t="shared" si="8"/>
        <v>No videogame [Mahjong H], as apostas válidas acumuladas em Moedas de Ouro atingem 8,300,000</v>
      </c>
    </row>
    <row r="17" s="4" customFormat="1" spans="1:28">
      <c r="A17" s="42">
        <v>120010102</v>
      </c>
      <c r="B17" s="12">
        <v>1</v>
      </c>
      <c r="C17" s="58">
        <v>1200101</v>
      </c>
      <c r="D17" s="12">
        <v>2</v>
      </c>
      <c r="E17" s="12" t="s">
        <v>93</v>
      </c>
      <c r="F17" s="12"/>
      <c r="G17" s="13">
        <v>60</v>
      </c>
      <c r="H17" s="13" t="s">
        <v>28</v>
      </c>
      <c r="I17" s="10">
        <v>11003</v>
      </c>
      <c r="J17" s="10" t="s">
        <v>65</v>
      </c>
      <c r="K17" s="8"/>
      <c r="L17" s="8" t="s">
        <v>94</v>
      </c>
      <c r="M17" s="4" t="str">
        <f>"在["&amp;P17&amp;"]電子遊戲中，金币有效下注累積達到 "&amp;S17</f>
        <v>在[超级明星]電子遊戲中，金币有效下注累積達到 8,300,000</v>
      </c>
      <c r="N17" s="4" t="s">
        <v>57</v>
      </c>
      <c r="O17" s="4">
        <v>12001</v>
      </c>
      <c r="P17" s="1" t="s">
        <v>67</v>
      </c>
      <c r="Q17" s="1">
        <v>100300</v>
      </c>
      <c r="R17" s="1">
        <v>11003</v>
      </c>
      <c r="S17" s="43" t="s">
        <v>40</v>
      </c>
      <c r="T17" s="43" t="s">
        <v>41</v>
      </c>
      <c r="U17" s="57">
        <f t="shared" si="6"/>
        <v>60.1034482758621</v>
      </c>
      <c r="V17" s="4">
        <v>2</v>
      </c>
      <c r="W17" s="41" t="s">
        <v>68</v>
      </c>
      <c r="X17" s="4" t="str">
        <f t="shared" si="9"/>
        <v>In the [Super Star] video game, the accumulated valid Gold Coin bets reach 8,300,000</v>
      </c>
      <c r="Y17" s="41" t="s">
        <v>69</v>
      </c>
      <c r="Z17" s="4" t="str">
        <f t="shared" si="7"/>
        <v>Trong trò chơi [Siêu Sao], tích lũy đặt cược hợp lệ tiền vàng đạt 8,300,000</v>
      </c>
      <c r="AA17" s="41" t="s">
        <v>68</v>
      </c>
      <c r="AB17" s="4" t="str">
        <f t="shared" si="8"/>
        <v>No videogame [Super Star], as apostas válidas acumuladas em Moedas de Ouro atingem 8,300,000</v>
      </c>
    </row>
    <row r="18" s="4" customFormat="1" spans="1:28">
      <c r="A18" s="42">
        <v>120010103</v>
      </c>
      <c r="B18" s="12">
        <v>1</v>
      </c>
      <c r="C18" s="58">
        <v>1200101</v>
      </c>
      <c r="D18" s="12">
        <v>3</v>
      </c>
      <c r="E18" s="12" t="s">
        <v>95</v>
      </c>
      <c r="F18" s="12"/>
      <c r="G18" s="13">
        <v>60</v>
      </c>
      <c r="H18" s="13" t="s">
        <v>28</v>
      </c>
      <c r="I18" s="10">
        <v>11012</v>
      </c>
      <c r="J18" s="10" t="s">
        <v>71</v>
      </c>
      <c r="K18" s="8"/>
      <c r="L18" s="8" t="s">
        <v>96</v>
      </c>
      <c r="M18" s="4" t="str">
        <f>"在["&amp;P18&amp;"]電子遊戲中，金币有效下注累積達到 "&amp;S18</f>
        <v>在[财神]電子遊戲中，金币有效下注累積達到 8,300,000</v>
      </c>
      <c r="N18" s="4" t="s">
        <v>57</v>
      </c>
      <c r="O18" s="4">
        <v>12001</v>
      </c>
      <c r="P18" s="1" t="s">
        <v>73</v>
      </c>
      <c r="Q18" s="1">
        <v>101200</v>
      </c>
      <c r="R18" s="1">
        <v>11012</v>
      </c>
      <c r="S18" s="43" t="s">
        <v>40</v>
      </c>
      <c r="T18" s="43" t="s">
        <v>41</v>
      </c>
      <c r="U18" s="57">
        <f t="shared" si="6"/>
        <v>60.1034482758621</v>
      </c>
      <c r="V18" s="4">
        <v>3</v>
      </c>
      <c r="W18" s="41" t="s">
        <v>74</v>
      </c>
      <c r="X18" s="4" t="str">
        <f t="shared" si="9"/>
        <v>In the [God of Wealth] video game, the accumulated valid Gold Coin bets reach 8,300,000</v>
      </c>
      <c r="Y18" s="41" t="s">
        <v>75</v>
      </c>
      <c r="Z18" s="4" t="str">
        <f t="shared" si="7"/>
        <v>Trong trò chơi [Thần Tài], tích lũy đặt cược hợp lệ tiền vàng đạt 8,300,000</v>
      </c>
      <c r="AA18" s="41" t="s">
        <v>74</v>
      </c>
      <c r="AB18" s="4" t="str">
        <f t="shared" si="8"/>
        <v>No videogame [God of Wealth], as apostas válidas acumuladas em Moedas de Ouro atingem 8,300,000</v>
      </c>
    </row>
    <row r="19" s="4" customFormat="1" spans="1:28">
      <c r="A19" s="42">
        <v>120010104</v>
      </c>
      <c r="B19" s="12">
        <v>1</v>
      </c>
      <c r="C19" s="58">
        <v>1200101</v>
      </c>
      <c r="D19" s="12">
        <v>4</v>
      </c>
      <c r="E19" s="12" t="s">
        <v>97</v>
      </c>
      <c r="F19" s="12"/>
      <c r="G19" s="13">
        <v>60</v>
      </c>
      <c r="H19" s="13" t="s">
        <v>28</v>
      </c>
      <c r="I19" s="10">
        <v>11014</v>
      </c>
      <c r="J19" s="10" t="s">
        <v>77</v>
      </c>
      <c r="K19" s="8"/>
      <c r="L19" s="8" t="s">
        <v>98</v>
      </c>
      <c r="M19" s="4" t="str">
        <f>"在["&amp;P19&amp;"]電子遊戲中，金币有效下注累積達到 "&amp;S19</f>
        <v>在[埃及艳后]電子遊戲中，金币有效下注累積達到 8,300,000</v>
      </c>
      <c r="N19" s="4" t="s">
        <v>57</v>
      </c>
      <c r="O19" s="4">
        <v>12001</v>
      </c>
      <c r="P19" s="1" t="s">
        <v>79</v>
      </c>
      <c r="Q19" s="1">
        <v>101400</v>
      </c>
      <c r="R19" s="1">
        <v>11014</v>
      </c>
      <c r="S19" s="43" t="s">
        <v>40</v>
      </c>
      <c r="T19" s="43" t="s">
        <v>41</v>
      </c>
      <c r="U19" s="57">
        <f t="shared" si="6"/>
        <v>60.1034482758621</v>
      </c>
      <c r="V19" s="4">
        <v>4</v>
      </c>
      <c r="W19" s="41" t="s">
        <v>80</v>
      </c>
      <c r="X19" s="4" t="str">
        <f t="shared" si="9"/>
        <v>In the [Cleopatra] video game, the accumulated valid Gold Coin bets reach 8,300,000</v>
      </c>
      <c r="Y19" s="41" t="s">
        <v>81</v>
      </c>
      <c r="Z19" s="4" t="str">
        <f t="shared" si="7"/>
        <v>Trong trò chơi [Nữ hoàng Ai Cập], tích lũy đặt cược hợp lệ tiền vàng đạt 8,300,000</v>
      </c>
      <c r="AA19" s="41" t="s">
        <v>82</v>
      </c>
      <c r="AB19" s="4" t="str">
        <f t="shared" si="8"/>
        <v>No videogame [Cleópatra], as apostas válidas acumuladas em Moedas de Ouro atingem 8,300,000</v>
      </c>
    </row>
    <row r="20" s="4" customFormat="1" spans="1:28">
      <c r="A20" s="42">
        <v>120010105</v>
      </c>
      <c r="B20" s="12">
        <v>1</v>
      </c>
      <c r="C20" s="58">
        <v>1200101</v>
      </c>
      <c r="D20" s="12">
        <v>5</v>
      </c>
      <c r="E20" s="12" t="s">
        <v>99</v>
      </c>
      <c r="F20" s="12"/>
      <c r="G20" s="13">
        <v>60</v>
      </c>
      <c r="H20" s="13" t="s">
        <v>28</v>
      </c>
      <c r="I20" s="10">
        <v>11003</v>
      </c>
      <c r="J20" s="10" t="s">
        <v>84</v>
      </c>
      <c r="K20" s="8"/>
      <c r="L20" s="8" t="s">
        <v>100</v>
      </c>
      <c r="M20" s="4" t="str">
        <f>"在任意遊戲中，金币有效下注累積達到 "&amp;S20</f>
        <v>在任意遊戲中，金币有效下注累積達到 8,300,000</v>
      </c>
      <c r="N20" s="4" t="s">
        <v>86</v>
      </c>
      <c r="O20" s="4">
        <v>12001</v>
      </c>
      <c r="P20" s="1" t="s">
        <v>87</v>
      </c>
      <c r="Q20" s="1">
        <v>0</v>
      </c>
      <c r="R20" s="1">
        <v>11003</v>
      </c>
      <c r="S20" s="43" t="s">
        <v>40</v>
      </c>
      <c r="T20" s="43" t="s">
        <v>41</v>
      </c>
      <c r="U20" s="57">
        <f t="shared" si="6"/>
        <v>60.1034482758621</v>
      </c>
      <c r="V20" s="4">
        <v>5</v>
      </c>
      <c r="W20" s="41" t="s">
        <v>88</v>
      </c>
      <c r="X20" s="4" t="str">
        <f t="shared" si="9"/>
        <v>In the [any game] video game, the accumulated valid Gold Coin bets reach 8,300,000</v>
      </c>
      <c r="Y20" s="41" t="s">
        <v>89</v>
      </c>
      <c r="Z20" s="4" t="str">
        <f t="shared" si="7"/>
        <v>Trong trò chơi [bất kỳ], tích lũy đặt cược hợp lệ tiền vàng đạt 8,300,000</v>
      </c>
      <c r="AA20" s="41" t="s">
        <v>90</v>
      </c>
      <c r="AB20" s="4" t="str">
        <f t="shared" si="8"/>
        <v>No videogame [qualquer jogo], as apostas válidas acumuladas em Moedas de Ouro atingem 8,300,000</v>
      </c>
    </row>
    <row r="21" s="4" customFormat="1" spans="1:28">
      <c r="A21" s="42">
        <v>120010201</v>
      </c>
      <c r="B21" s="12">
        <v>1</v>
      </c>
      <c r="C21" s="59">
        <v>1200102</v>
      </c>
      <c r="D21" s="12">
        <v>1</v>
      </c>
      <c r="E21" s="12" t="s">
        <v>101</v>
      </c>
      <c r="F21" s="12"/>
      <c r="G21" s="13">
        <v>130</v>
      </c>
      <c r="H21" s="13" t="s">
        <v>28</v>
      </c>
      <c r="I21" s="10">
        <v>11007</v>
      </c>
      <c r="J21" s="10" t="s">
        <v>55</v>
      </c>
      <c r="K21" s="8"/>
      <c r="L21" s="8" t="s">
        <v>102</v>
      </c>
      <c r="M21" s="4" t="str">
        <f t="shared" ref="M21:M29" si="10">"在["&amp;P21&amp;"]電子遊戲中，金币有效下注累積達到 "&amp;S21</f>
        <v>在[麻将胡了]電子遊戲中，金币有效下注累積達到 18,000,000</v>
      </c>
      <c r="N21" s="4" t="s">
        <v>57</v>
      </c>
      <c r="O21" s="4">
        <v>12001</v>
      </c>
      <c r="P21" s="1" t="s">
        <v>58</v>
      </c>
      <c r="Q21" s="1">
        <v>100700</v>
      </c>
      <c r="R21" s="1">
        <v>11007</v>
      </c>
      <c r="S21" s="43" t="s">
        <v>103</v>
      </c>
      <c r="T21" s="43" t="s">
        <v>104</v>
      </c>
      <c r="U21" s="57">
        <f t="shared" si="6"/>
        <v>130.344827586207</v>
      </c>
      <c r="V21" s="4">
        <v>1</v>
      </c>
      <c r="W21" s="41" t="s">
        <v>61</v>
      </c>
      <c r="X21" s="4" t="str">
        <f t="shared" si="9"/>
        <v>In the [Mahjong Hu] video game, the accumulated valid Gold Coin bets reach 18,000,000</v>
      </c>
      <c r="Y21" s="41" t="s">
        <v>62</v>
      </c>
      <c r="Z21" s="4" t="str">
        <f t="shared" si="7"/>
        <v>Trong trò chơi [Mạt chược], tích lũy đặt cược hợp lệ tiền vàng đạt 18,000,000</v>
      </c>
      <c r="AA21" s="41" t="s">
        <v>63</v>
      </c>
      <c r="AB21" s="4" t="str">
        <f t="shared" si="8"/>
        <v>No videogame [Mahjong H], as apostas válidas acumuladas em Moedas de Ouro atingem 18,000,000</v>
      </c>
    </row>
    <row r="22" s="4" customFormat="1" spans="1:28">
      <c r="A22" s="42">
        <v>120010202</v>
      </c>
      <c r="B22" s="12">
        <v>1</v>
      </c>
      <c r="C22" s="59">
        <v>1200102</v>
      </c>
      <c r="D22" s="12">
        <v>2</v>
      </c>
      <c r="E22" s="12" t="s">
        <v>105</v>
      </c>
      <c r="F22" s="12"/>
      <c r="G22" s="13">
        <v>130</v>
      </c>
      <c r="H22" s="13" t="s">
        <v>28</v>
      </c>
      <c r="I22" s="10">
        <v>11003</v>
      </c>
      <c r="J22" s="10" t="s">
        <v>65</v>
      </c>
      <c r="K22" s="8"/>
      <c r="L22" s="8" t="s">
        <v>106</v>
      </c>
      <c r="M22" s="4" t="str">
        <f t="shared" si="10"/>
        <v>在[超级明星]電子遊戲中，金币有效下注累積達到 18,000,000</v>
      </c>
      <c r="N22" s="4" t="s">
        <v>57</v>
      </c>
      <c r="O22" s="4">
        <v>12001</v>
      </c>
      <c r="P22" s="1" t="s">
        <v>67</v>
      </c>
      <c r="Q22" s="1">
        <v>100300</v>
      </c>
      <c r="R22" s="1">
        <v>11003</v>
      </c>
      <c r="S22" s="43" t="s">
        <v>103</v>
      </c>
      <c r="T22" s="43" t="s">
        <v>104</v>
      </c>
      <c r="U22" s="57">
        <f t="shared" si="6"/>
        <v>130.344827586207</v>
      </c>
      <c r="V22" s="4">
        <v>2</v>
      </c>
      <c r="W22" s="41" t="s">
        <v>68</v>
      </c>
      <c r="X22" s="4" t="str">
        <f t="shared" si="9"/>
        <v>In the [Super Star] video game, the accumulated valid Gold Coin bets reach 18,000,000</v>
      </c>
      <c r="Y22" s="41" t="s">
        <v>69</v>
      </c>
      <c r="Z22" s="4" t="str">
        <f t="shared" si="7"/>
        <v>Trong trò chơi [Siêu Sao], tích lũy đặt cược hợp lệ tiền vàng đạt 18,000,000</v>
      </c>
      <c r="AA22" s="41" t="s">
        <v>68</v>
      </c>
      <c r="AB22" s="4" t="str">
        <f t="shared" si="8"/>
        <v>No videogame [Super Star], as apostas válidas acumuladas em Moedas de Ouro atingem 18,000,000</v>
      </c>
    </row>
    <row r="23" s="4" customFormat="1" spans="1:28">
      <c r="A23" s="42">
        <v>120010203</v>
      </c>
      <c r="B23" s="12">
        <v>1</v>
      </c>
      <c r="C23" s="59">
        <v>1200102</v>
      </c>
      <c r="D23" s="12">
        <v>3</v>
      </c>
      <c r="E23" s="12" t="s">
        <v>107</v>
      </c>
      <c r="F23" s="12"/>
      <c r="G23" s="13">
        <v>130</v>
      </c>
      <c r="H23" s="13" t="s">
        <v>28</v>
      </c>
      <c r="I23" s="10">
        <v>11012</v>
      </c>
      <c r="J23" s="10" t="s">
        <v>71</v>
      </c>
      <c r="K23" s="8"/>
      <c r="L23" s="8" t="s">
        <v>108</v>
      </c>
      <c r="M23" s="4" t="str">
        <f t="shared" si="10"/>
        <v>在[财神]電子遊戲中，金币有效下注累積達到 18,000,000</v>
      </c>
      <c r="N23" s="4" t="s">
        <v>57</v>
      </c>
      <c r="O23" s="4">
        <v>12001</v>
      </c>
      <c r="P23" s="1" t="s">
        <v>73</v>
      </c>
      <c r="Q23" s="1">
        <v>101200</v>
      </c>
      <c r="R23" s="1">
        <v>11012</v>
      </c>
      <c r="S23" s="43" t="s">
        <v>103</v>
      </c>
      <c r="T23" s="43" t="s">
        <v>104</v>
      </c>
      <c r="U23" s="57">
        <f t="shared" si="6"/>
        <v>130.344827586207</v>
      </c>
      <c r="V23" s="4">
        <v>3</v>
      </c>
      <c r="W23" s="41" t="s">
        <v>74</v>
      </c>
      <c r="X23" s="4" t="str">
        <f t="shared" si="9"/>
        <v>In the [God of Wealth] video game, the accumulated valid Gold Coin bets reach 18,000,000</v>
      </c>
      <c r="Y23" s="41" t="s">
        <v>75</v>
      </c>
      <c r="Z23" s="4" t="str">
        <f t="shared" si="7"/>
        <v>Trong trò chơi [Thần Tài], tích lũy đặt cược hợp lệ tiền vàng đạt 18,000,000</v>
      </c>
      <c r="AA23" s="41" t="s">
        <v>74</v>
      </c>
      <c r="AB23" s="4" t="str">
        <f t="shared" si="8"/>
        <v>No videogame [God of Wealth], as apostas válidas acumuladas em Moedas de Ouro atingem 18,000,000</v>
      </c>
    </row>
    <row r="24" s="4" customFormat="1" spans="1:28">
      <c r="A24" s="42">
        <v>120010204</v>
      </c>
      <c r="B24" s="12">
        <v>1</v>
      </c>
      <c r="C24" s="59">
        <v>1200102</v>
      </c>
      <c r="D24" s="12">
        <v>4</v>
      </c>
      <c r="E24" s="12" t="s">
        <v>109</v>
      </c>
      <c r="F24" s="12"/>
      <c r="G24" s="13">
        <v>130</v>
      </c>
      <c r="H24" s="13" t="s">
        <v>28</v>
      </c>
      <c r="I24" s="10">
        <v>11014</v>
      </c>
      <c r="J24" s="10" t="s">
        <v>77</v>
      </c>
      <c r="K24" s="8"/>
      <c r="L24" s="8" t="s">
        <v>110</v>
      </c>
      <c r="M24" s="4" t="str">
        <f t="shared" si="10"/>
        <v>在[埃及艳后]電子遊戲中，金币有效下注累積達到 18,000,000</v>
      </c>
      <c r="N24" s="4" t="s">
        <v>57</v>
      </c>
      <c r="O24" s="4">
        <v>12001</v>
      </c>
      <c r="P24" s="1" t="s">
        <v>79</v>
      </c>
      <c r="Q24" s="1">
        <v>101400</v>
      </c>
      <c r="R24" s="1">
        <v>11014</v>
      </c>
      <c r="S24" s="43" t="s">
        <v>103</v>
      </c>
      <c r="T24" s="43" t="s">
        <v>104</v>
      </c>
      <c r="U24" s="57">
        <f t="shared" si="6"/>
        <v>130.344827586207</v>
      </c>
      <c r="V24" s="4">
        <v>4</v>
      </c>
      <c r="W24" s="41" t="s">
        <v>80</v>
      </c>
      <c r="X24" s="4" t="str">
        <f t="shared" si="9"/>
        <v>In the [Cleopatra] video game, the accumulated valid Gold Coin bets reach 18,000,000</v>
      </c>
      <c r="Y24" s="41" t="s">
        <v>81</v>
      </c>
      <c r="Z24" s="4" t="str">
        <f t="shared" si="7"/>
        <v>Trong trò chơi [Nữ hoàng Ai Cập], tích lũy đặt cược hợp lệ tiền vàng đạt 18,000,000</v>
      </c>
      <c r="AA24" s="41" t="s">
        <v>82</v>
      </c>
      <c r="AB24" s="4" t="str">
        <f t="shared" si="8"/>
        <v>No videogame [Cleópatra], as apostas válidas acumuladas em Moedas de Ouro atingem 18,000,000</v>
      </c>
    </row>
    <row r="25" s="4" customFormat="1" spans="1:28">
      <c r="A25" s="42">
        <v>120010205</v>
      </c>
      <c r="B25" s="12">
        <v>1</v>
      </c>
      <c r="C25" s="59">
        <v>1200102</v>
      </c>
      <c r="D25" s="12">
        <v>5</v>
      </c>
      <c r="E25" s="12" t="s">
        <v>111</v>
      </c>
      <c r="F25" s="12"/>
      <c r="G25" s="13">
        <v>130</v>
      </c>
      <c r="H25" s="13" t="s">
        <v>28</v>
      </c>
      <c r="I25" s="10">
        <v>11003</v>
      </c>
      <c r="J25" s="10" t="s">
        <v>84</v>
      </c>
      <c r="K25" s="8"/>
      <c r="L25" s="8" t="s">
        <v>112</v>
      </c>
      <c r="M25" s="4" t="str">
        <f>"在任意遊戲中，金币有效下注累積達到 "&amp;S25</f>
        <v>在任意遊戲中，金币有效下注累積達到 18,000,000</v>
      </c>
      <c r="N25" s="4" t="s">
        <v>86</v>
      </c>
      <c r="O25" s="4">
        <v>12001</v>
      </c>
      <c r="P25" s="1" t="s">
        <v>87</v>
      </c>
      <c r="Q25" s="1">
        <v>0</v>
      </c>
      <c r="R25" s="1">
        <v>11003</v>
      </c>
      <c r="S25" s="43" t="s">
        <v>103</v>
      </c>
      <c r="T25" s="43" t="s">
        <v>104</v>
      </c>
      <c r="U25" s="57">
        <f t="shared" si="6"/>
        <v>130.344827586207</v>
      </c>
      <c r="V25" s="4">
        <v>5</v>
      </c>
      <c r="W25" s="41" t="s">
        <v>88</v>
      </c>
      <c r="X25" s="4" t="str">
        <f t="shared" si="9"/>
        <v>In the [any game] video game, the accumulated valid Gold Coin bets reach 18,000,000</v>
      </c>
      <c r="Y25" s="41" t="s">
        <v>89</v>
      </c>
      <c r="Z25" s="4" t="str">
        <f t="shared" si="7"/>
        <v>Trong trò chơi [bất kỳ], tích lũy đặt cược hợp lệ tiền vàng đạt 18,000,000</v>
      </c>
      <c r="AA25" s="41" t="s">
        <v>90</v>
      </c>
      <c r="AB25" s="4" t="str">
        <f t="shared" si="8"/>
        <v>No videogame [qualquer jogo], as apostas válidas acumuladas em Moedas de Ouro atingem 18,000,000</v>
      </c>
    </row>
    <row r="26" s="36" customFormat="1" spans="1:28">
      <c r="A26" s="42">
        <v>120010301</v>
      </c>
      <c r="B26" s="36">
        <v>1</v>
      </c>
      <c r="C26" s="36">
        <v>1200103</v>
      </c>
      <c r="D26" s="36">
        <v>1</v>
      </c>
      <c r="E26" s="36" t="s">
        <v>113</v>
      </c>
      <c r="F26" s="36"/>
      <c r="G26" s="13">
        <v>490</v>
      </c>
      <c r="H26" s="45" t="s">
        <v>28</v>
      </c>
      <c r="I26" s="46">
        <v>11007</v>
      </c>
      <c r="J26" s="46" t="s">
        <v>55</v>
      </c>
      <c r="K26" s="47"/>
      <c r="L26" s="47" t="s">
        <v>114</v>
      </c>
      <c r="M26" s="36" t="str">
        <f t="shared" si="10"/>
        <v>在[麻将胡了]電子遊戲中，金币有效下注累積達到 68,000,000</v>
      </c>
      <c r="N26" s="36" t="s">
        <v>57</v>
      </c>
      <c r="O26" s="36">
        <v>12001</v>
      </c>
      <c r="P26" s="48" t="s">
        <v>58</v>
      </c>
      <c r="Q26" s="48">
        <v>100700</v>
      </c>
      <c r="R26" s="48">
        <v>11007</v>
      </c>
      <c r="S26" s="49" t="s">
        <v>115</v>
      </c>
      <c r="T26" s="49" t="s">
        <v>116</v>
      </c>
      <c r="U26" s="50">
        <f t="shared" si="6"/>
        <v>492.413793103448</v>
      </c>
      <c r="V26" s="36">
        <v>1</v>
      </c>
      <c r="W26" s="36" t="s">
        <v>61</v>
      </c>
      <c r="X26" s="36" t="str">
        <f t="shared" si="9"/>
        <v>In the [Mahjong Hu] video game, the accumulated valid Gold Coin bets reach 68,000,000</v>
      </c>
      <c r="Y26" s="36" t="s">
        <v>62</v>
      </c>
      <c r="Z26" s="36" t="str">
        <f t="shared" si="7"/>
        <v>Trong trò chơi [Mạt chược], tích lũy đặt cược hợp lệ tiền vàng đạt 68,000,000</v>
      </c>
      <c r="AA26" s="36" t="s">
        <v>63</v>
      </c>
      <c r="AB26" s="36" t="str">
        <f t="shared" si="8"/>
        <v>No videogame [Mahjong H], as apostas válidas acumuladas em Moedas de Ouro atingem 68,000,000</v>
      </c>
    </row>
    <row r="27" s="36" customFormat="1" spans="1:28">
      <c r="A27" s="42">
        <v>120010302</v>
      </c>
      <c r="B27" s="36">
        <v>1</v>
      </c>
      <c r="C27" s="36">
        <v>1200103</v>
      </c>
      <c r="D27" s="36">
        <v>2</v>
      </c>
      <c r="E27" s="36" t="s">
        <v>117</v>
      </c>
      <c r="F27" s="36"/>
      <c r="G27" s="13">
        <v>490</v>
      </c>
      <c r="H27" s="45" t="s">
        <v>28</v>
      </c>
      <c r="I27" s="46">
        <v>11003</v>
      </c>
      <c r="J27" s="46" t="s">
        <v>65</v>
      </c>
      <c r="K27" s="47"/>
      <c r="L27" s="47" t="s">
        <v>118</v>
      </c>
      <c r="M27" s="36" t="str">
        <f t="shared" si="10"/>
        <v>在[超级明星]電子遊戲中，金币有效下注累積達到 68,000,000</v>
      </c>
      <c r="N27" s="36" t="s">
        <v>57</v>
      </c>
      <c r="O27" s="36">
        <v>12001</v>
      </c>
      <c r="P27" s="48" t="s">
        <v>67</v>
      </c>
      <c r="Q27" s="48">
        <v>100300</v>
      </c>
      <c r="R27" s="48">
        <v>11003</v>
      </c>
      <c r="S27" s="49" t="s">
        <v>115</v>
      </c>
      <c r="T27" s="49" t="s">
        <v>116</v>
      </c>
      <c r="U27" s="50">
        <f t="shared" si="6"/>
        <v>492.413793103448</v>
      </c>
      <c r="V27" s="36">
        <v>2</v>
      </c>
      <c r="W27" s="36" t="s">
        <v>68</v>
      </c>
      <c r="X27" s="36" t="str">
        <f t="shared" si="9"/>
        <v>In the [Super Star] video game, the accumulated valid Gold Coin bets reach 68,000,000</v>
      </c>
      <c r="Y27" s="36" t="s">
        <v>69</v>
      </c>
      <c r="Z27" s="36" t="str">
        <f t="shared" si="7"/>
        <v>Trong trò chơi [Siêu Sao], tích lũy đặt cược hợp lệ tiền vàng đạt 68,000,000</v>
      </c>
      <c r="AA27" s="36" t="s">
        <v>68</v>
      </c>
      <c r="AB27" s="36" t="str">
        <f t="shared" si="8"/>
        <v>No videogame [Super Star], as apostas válidas acumuladas em Moedas de Ouro atingem 68,000,000</v>
      </c>
    </row>
    <row r="28" s="36" customFormat="1" spans="1:28">
      <c r="A28" s="42">
        <v>120010303</v>
      </c>
      <c r="B28" s="36">
        <v>1</v>
      </c>
      <c r="C28" s="36">
        <v>1200103</v>
      </c>
      <c r="D28" s="36">
        <v>3</v>
      </c>
      <c r="E28" s="36" t="s">
        <v>119</v>
      </c>
      <c r="F28" s="36"/>
      <c r="G28" s="13">
        <v>490</v>
      </c>
      <c r="H28" s="45" t="s">
        <v>28</v>
      </c>
      <c r="I28" s="46">
        <v>11012</v>
      </c>
      <c r="J28" s="46" t="s">
        <v>71</v>
      </c>
      <c r="K28" s="47"/>
      <c r="L28" s="47" t="s">
        <v>120</v>
      </c>
      <c r="M28" s="36" t="str">
        <f t="shared" si="10"/>
        <v>在[财神]電子遊戲中，金币有效下注累積達到 68,000,000</v>
      </c>
      <c r="N28" s="36" t="s">
        <v>57</v>
      </c>
      <c r="O28" s="36">
        <v>12001</v>
      </c>
      <c r="P28" s="48" t="s">
        <v>73</v>
      </c>
      <c r="Q28" s="48">
        <v>101200</v>
      </c>
      <c r="R28" s="48">
        <v>11012</v>
      </c>
      <c r="S28" s="49" t="s">
        <v>115</v>
      </c>
      <c r="T28" s="49" t="s">
        <v>116</v>
      </c>
      <c r="U28" s="50">
        <f t="shared" si="6"/>
        <v>492.413793103448</v>
      </c>
      <c r="V28" s="36">
        <v>3</v>
      </c>
      <c r="W28" s="36" t="s">
        <v>74</v>
      </c>
      <c r="X28" s="36" t="str">
        <f t="shared" si="9"/>
        <v>In the [God of Wealth] video game, the accumulated valid Gold Coin bets reach 68,000,000</v>
      </c>
      <c r="Y28" s="36" t="s">
        <v>75</v>
      </c>
      <c r="Z28" s="36" t="str">
        <f t="shared" si="7"/>
        <v>Trong trò chơi [Thần Tài], tích lũy đặt cược hợp lệ tiền vàng đạt 68,000,000</v>
      </c>
      <c r="AA28" s="36" t="s">
        <v>74</v>
      </c>
      <c r="AB28" s="36" t="str">
        <f t="shared" si="8"/>
        <v>No videogame [God of Wealth], as apostas válidas acumuladas em Moedas de Ouro atingem 68,000,000</v>
      </c>
    </row>
    <row r="29" s="36" customFormat="1" spans="1:28">
      <c r="A29" s="42">
        <v>120010304</v>
      </c>
      <c r="B29" s="36">
        <v>1</v>
      </c>
      <c r="C29" s="36">
        <v>1200103</v>
      </c>
      <c r="D29" s="36">
        <v>4</v>
      </c>
      <c r="E29" s="36" t="s">
        <v>121</v>
      </c>
      <c r="F29" s="36"/>
      <c r="G29" s="13">
        <v>490</v>
      </c>
      <c r="H29" s="45" t="s">
        <v>28</v>
      </c>
      <c r="I29" s="46">
        <v>11014</v>
      </c>
      <c r="J29" s="46" t="s">
        <v>77</v>
      </c>
      <c r="K29" s="47"/>
      <c r="L29" s="47" t="s">
        <v>122</v>
      </c>
      <c r="M29" s="36" t="str">
        <f t="shared" si="10"/>
        <v>在[埃及艳后]電子遊戲中，金币有效下注累積達到 68,000,000</v>
      </c>
      <c r="N29" s="36" t="s">
        <v>57</v>
      </c>
      <c r="O29" s="36">
        <v>12001</v>
      </c>
      <c r="P29" s="48" t="s">
        <v>79</v>
      </c>
      <c r="Q29" s="48">
        <v>101400</v>
      </c>
      <c r="R29" s="48">
        <v>11014</v>
      </c>
      <c r="S29" s="49" t="s">
        <v>115</v>
      </c>
      <c r="T29" s="49" t="s">
        <v>116</v>
      </c>
      <c r="U29" s="50">
        <f t="shared" si="6"/>
        <v>492.413793103448</v>
      </c>
      <c r="V29" s="36">
        <v>4</v>
      </c>
      <c r="W29" s="36" t="s">
        <v>80</v>
      </c>
      <c r="X29" s="36" t="str">
        <f t="shared" si="9"/>
        <v>In the [Cleopatra] video game, the accumulated valid Gold Coin bets reach 68,000,000</v>
      </c>
      <c r="Y29" s="36" t="s">
        <v>81</v>
      </c>
      <c r="Z29" s="36" t="str">
        <f t="shared" si="7"/>
        <v>Trong trò chơi [Nữ hoàng Ai Cập], tích lũy đặt cược hợp lệ tiền vàng đạt 68,000,000</v>
      </c>
      <c r="AA29" s="36" t="s">
        <v>82</v>
      </c>
      <c r="AB29" s="36" t="str">
        <f t="shared" si="8"/>
        <v>No videogame [Cleópatra], as apostas válidas acumuladas em Moedas de Ouro atingem 68,000,000</v>
      </c>
    </row>
    <row r="30" s="36" customFormat="1" spans="1:28">
      <c r="A30" s="42">
        <v>120010305</v>
      </c>
      <c r="B30" s="36">
        <v>1</v>
      </c>
      <c r="C30" s="36">
        <v>1200103</v>
      </c>
      <c r="D30" s="36">
        <v>5</v>
      </c>
      <c r="E30" s="36" t="s">
        <v>123</v>
      </c>
      <c r="F30" s="36"/>
      <c r="G30" s="13">
        <v>490</v>
      </c>
      <c r="H30" s="45" t="s">
        <v>28</v>
      </c>
      <c r="I30" s="46">
        <v>11003</v>
      </c>
      <c r="J30" s="46" t="s">
        <v>84</v>
      </c>
      <c r="K30" s="47"/>
      <c r="L30" s="47" t="s">
        <v>124</v>
      </c>
      <c r="M30" s="36" t="str">
        <f>"在任意遊戲中，金币有效下注累積達到 "&amp;S30</f>
        <v>在任意遊戲中，金币有效下注累積達到 68,000,000</v>
      </c>
      <c r="N30" s="36" t="s">
        <v>86</v>
      </c>
      <c r="O30" s="36">
        <v>12001</v>
      </c>
      <c r="P30" s="48" t="s">
        <v>87</v>
      </c>
      <c r="Q30" s="48">
        <v>0</v>
      </c>
      <c r="R30" s="48">
        <v>11003</v>
      </c>
      <c r="S30" s="49" t="s">
        <v>115</v>
      </c>
      <c r="T30" s="49" t="s">
        <v>116</v>
      </c>
      <c r="U30" s="50">
        <f t="shared" si="6"/>
        <v>492.413793103448</v>
      </c>
      <c r="V30" s="36">
        <v>5</v>
      </c>
      <c r="W30" s="36" t="s">
        <v>88</v>
      </c>
      <c r="X30" s="36" t="str">
        <f t="shared" si="9"/>
        <v>In the [any game] video game, the accumulated valid Gold Coin bets reach 68,000,000</v>
      </c>
      <c r="Y30" s="36" t="s">
        <v>89</v>
      </c>
      <c r="Z30" s="36" t="str">
        <f t="shared" si="7"/>
        <v>Trong trò chơi [bất kỳ], tích lũy đặt cược hợp lệ tiền vàng đạt 68,000,000</v>
      </c>
      <c r="AA30" s="36" t="s">
        <v>90</v>
      </c>
      <c r="AB30" s="36" t="str">
        <f t="shared" si="8"/>
        <v>No videogame [qualquer jogo], as apostas válidas acumuladas em Moedas de Ouro atingem 68,000,000</v>
      </c>
    </row>
    <row r="31" s="37" customFormat="1" spans="1:28">
      <c r="A31" s="42">
        <v>120010401</v>
      </c>
      <c r="B31" s="37">
        <v>1</v>
      </c>
      <c r="C31" s="37">
        <v>1200104</v>
      </c>
      <c r="D31" s="37">
        <v>1</v>
      </c>
      <c r="E31" s="51" t="s">
        <v>125</v>
      </c>
      <c r="F31" s="37"/>
      <c r="G31" s="13">
        <v>1210</v>
      </c>
      <c r="H31" s="51" t="s">
        <v>28</v>
      </c>
      <c r="I31" s="52">
        <v>11007</v>
      </c>
      <c r="J31" s="52" t="s">
        <v>55</v>
      </c>
      <c r="K31" s="53"/>
      <c r="L31" s="53" t="s">
        <v>126</v>
      </c>
      <c r="M31" s="37" t="str">
        <f t="shared" ref="M31:M34" si="11">"在["&amp;P31&amp;"]電子遊戲中，金币有效下注累積達到 "&amp;S31</f>
        <v>在[麻将胡了]電子遊戲中，金币有效下注累積達到 168,000,000</v>
      </c>
      <c r="N31" s="37" t="s">
        <v>57</v>
      </c>
      <c r="O31" s="37">
        <v>12001</v>
      </c>
      <c r="P31" s="54" t="s">
        <v>58</v>
      </c>
      <c r="Q31" s="54">
        <v>100700</v>
      </c>
      <c r="R31" s="54">
        <v>11007</v>
      </c>
      <c r="S31" s="55" t="s">
        <v>127</v>
      </c>
      <c r="T31" s="55" t="s">
        <v>128</v>
      </c>
      <c r="U31" s="56">
        <f t="shared" si="6"/>
        <v>1216.55172413793</v>
      </c>
      <c r="V31" s="37">
        <v>1</v>
      </c>
      <c r="W31" s="37" t="s">
        <v>61</v>
      </c>
      <c r="X31" s="37" t="str">
        <f t="shared" si="9"/>
        <v>In the [Mahjong Hu] video game, the accumulated valid Gold Coin bets reach 168,000,000</v>
      </c>
      <c r="Y31" s="37" t="s">
        <v>62</v>
      </c>
      <c r="Z31" s="37" t="str">
        <f t="shared" si="7"/>
        <v>Trong trò chơi [Mạt chược], tích lũy đặt cược hợp lệ tiền vàng đạt 168,000,000</v>
      </c>
      <c r="AA31" s="37" t="s">
        <v>63</v>
      </c>
      <c r="AB31" s="37" t="str">
        <f t="shared" si="8"/>
        <v>No videogame [Mahjong H], as apostas válidas acumuladas em Moedas de Ouro atingem 168,000,000</v>
      </c>
    </row>
    <row r="32" s="37" customFormat="1" spans="1:28">
      <c r="A32" s="42">
        <v>120010402</v>
      </c>
      <c r="B32" s="37">
        <v>1</v>
      </c>
      <c r="C32" s="37">
        <v>1200104</v>
      </c>
      <c r="D32" s="37">
        <v>2</v>
      </c>
      <c r="E32" s="51" t="s">
        <v>129</v>
      </c>
      <c r="F32" s="37"/>
      <c r="G32" s="13">
        <v>1210</v>
      </c>
      <c r="H32" s="51" t="s">
        <v>28</v>
      </c>
      <c r="I32" s="52">
        <v>11003</v>
      </c>
      <c r="J32" s="52" t="s">
        <v>65</v>
      </c>
      <c r="K32" s="53"/>
      <c r="L32" s="53" t="s">
        <v>130</v>
      </c>
      <c r="M32" s="37" t="str">
        <f t="shared" si="11"/>
        <v>在[超级明星]電子遊戲中，金币有效下注累積達到 168,000,000</v>
      </c>
      <c r="N32" s="37" t="s">
        <v>57</v>
      </c>
      <c r="O32" s="37">
        <v>12001</v>
      </c>
      <c r="P32" s="54" t="s">
        <v>67</v>
      </c>
      <c r="Q32" s="54">
        <v>100300</v>
      </c>
      <c r="R32" s="54">
        <v>11003</v>
      </c>
      <c r="S32" s="55" t="s">
        <v>127</v>
      </c>
      <c r="T32" s="55" t="s">
        <v>128</v>
      </c>
      <c r="U32" s="56">
        <f t="shared" si="6"/>
        <v>1216.55172413793</v>
      </c>
      <c r="V32" s="37">
        <v>2</v>
      </c>
      <c r="W32" s="37" t="s">
        <v>68</v>
      </c>
      <c r="X32" s="37" t="str">
        <f t="shared" si="9"/>
        <v>In the [Super Star] video game, the accumulated valid Gold Coin bets reach 168,000,000</v>
      </c>
      <c r="Y32" s="37" t="s">
        <v>69</v>
      </c>
      <c r="Z32" s="37" t="str">
        <f t="shared" si="7"/>
        <v>Trong trò chơi [Siêu Sao], tích lũy đặt cược hợp lệ tiền vàng đạt 168,000,000</v>
      </c>
      <c r="AA32" s="37" t="s">
        <v>68</v>
      </c>
      <c r="AB32" s="37" t="str">
        <f t="shared" si="8"/>
        <v>No videogame [Super Star], as apostas válidas acumuladas em Moedas de Ouro atingem 168,000,000</v>
      </c>
    </row>
    <row r="33" s="37" customFormat="1" spans="1:28">
      <c r="A33" s="42">
        <v>120010403</v>
      </c>
      <c r="B33" s="37">
        <v>1</v>
      </c>
      <c r="C33" s="37">
        <v>1200104</v>
      </c>
      <c r="D33" s="37">
        <v>3</v>
      </c>
      <c r="E33" s="51" t="s">
        <v>131</v>
      </c>
      <c r="F33" s="37"/>
      <c r="G33" s="13">
        <v>1210</v>
      </c>
      <c r="H33" s="51" t="s">
        <v>28</v>
      </c>
      <c r="I33" s="52">
        <v>11012</v>
      </c>
      <c r="J33" s="52" t="s">
        <v>71</v>
      </c>
      <c r="K33" s="53"/>
      <c r="L33" s="53" t="s">
        <v>132</v>
      </c>
      <c r="M33" s="37" t="str">
        <f t="shared" si="11"/>
        <v>在[财神]電子遊戲中，金币有效下注累積達到 168,000,000</v>
      </c>
      <c r="N33" s="37" t="s">
        <v>57</v>
      </c>
      <c r="O33" s="37">
        <v>12001</v>
      </c>
      <c r="P33" s="54" t="s">
        <v>73</v>
      </c>
      <c r="Q33" s="54">
        <v>101200</v>
      </c>
      <c r="R33" s="54">
        <v>11012</v>
      </c>
      <c r="S33" s="55" t="s">
        <v>127</v>
      </c>
      <c r="T33" s="55" t="s">
        <v>128</v>
      </c>
      <c r="U33" s="56">
        <f t="shared" si="6"/>
        <v>1216.55172413793</v>
      </c>
      <c r="V33" s="37">
        <v>3</v>
      </c>
      <c r="W33" s="37" t="s">
        <v>74</v>
      </c>
      <c r="X33" s="37" t="str">
        <f t="shared" si="9"/>
        <v>In the [God of Wealth] video game, the accumulated valid Gold Coin bets reach 168,000,000</v>
      </c>
      <c r="Y33" s="37" t="s">
        <v>75</v>
      </c>
      <c r="Z33" s="37" t="str">
        <f t="shared" si="7"/>
        <v>Trong trò chơi [Thần Tài], tích lũy đặt cược hợp lệ tiền vàng đạt 168,000,000</v>
      </c>
      <c r="AA33" s="37" t="s">
        <v>74</v>
      </c>
      <c r="AB33" s="37" t="str">
        <f t="shared" si="8"/>
        <v>No videogame [God of Wealth], as apostas válidas acumuladas em Moedas de Ouro atingem 168,000,000</v>
      </c>
    </row>
    <row r="34" s="37" customFormat="1" spans="1:28">
      <c r="A34" s="42">
        <v>120010404</v>
      </c>
      <c r="B34" s="37">
        <v>1</v>
      </c>
      <c r="C34" s="37">
        <v>1200104</v>
      </c>
      <c r="D34" s="37">
        <v>4</v>
      </c>
      <c r="E34" s="51" t="s">
        <v>133</v>
      </c>
      <c r="F34" s="37"/>
      <c r="G34" s="13">
        <v>1210</v>
      </c>
      <c r="H34" s="51" t="s">
        <v>28</v>
      </c>
      <c r="I34" s="52">
        <v>11014</v>
      </c>
      <c r="J34" s="52" t="s">
        <v>77</v>
      </c>
      <c r="K34" s="53"/>
      <c r="L34" s="53" t="s">
        <v>134</v>
      </c>
      <c r="M34" s="37" t="str">
        <f t="shared" si="11"/>
        <v>在[埃及艳后]電子遊戲中，金币有效下注累積達到 168,000,000</v>
      </c>
      <c r="N34" s="37" t="s">
        <v>57</v>
      </c>
      <c r="O34" s="37">
        <v>12001</v>
      </c>
      <c r="P34" s="54" t="s">
        <v>79</v>
      </c>
      <c r="Q34" s="54">
        <v>101400</v>
      </c>
      <c r="R34" s="54">
        <v>11014</v>
      </c>
      <c r="S34" s="55" t="s">
        <v>127</v>
      </c>
      <c r="T34" s="55" t="s">
        <v>128</v>
      </c>
      <c r="U34" s="56">
        <f t="shared" si="6"/>
        <v>1216.55172413793</v>
      </c>
      <c r="V34" s="37">
        <v>4</v>
      </c>
      <c r="W34" s="37" t="s">
        <v>80</v>
      </c>
      <c r="X34" s="37" t="str">
        <f t="shared" si="9"/>
        <v>In the [Cleopatra] video game, the accumulated valid Gold Coin bets reach 168,000,000</v>
      </c>
      <c r="Y34" s="37" t="s">
        <v>81</v>
      </c>
      <c r="Z34" s="37" t="str">
        <f t="shared" si="7"/>
        <v>Trong trò chơi [Nữ hoàng Ai Cập], tích lũy đặt cược hợp lệ tiền vàng đạt 168,000,000</v>
      </c>
      <c r="AA34" s="37" t="s">
        <v>82</v>
      </c>
      <c r="AB34" s="37" t="str">
        <f t="shared" si="8"/>
        <v>No videogame [Cleópatra], as apostas válidas acumuladas em Moedas de Ouro atingem 168,000,000</v>
      </c>
    </row>
    <row r="35" s="37" customFormat="1" spans="1:28">
      <c r="A35" s="42">
        <v>120010405</v>
      </c>
      <c r="B35" s="37">
        <v>1</v>
      </c>
      <c r="C35" s="37">
        <v>1200104</v>
      </c>
      <c r="D35" s="37">
        <v>5</v>
      </c>
      <c r="E35" s="51" t="s">
        <v>135</v>
      </c>
      <c r="F35" s="37"/>
      <c r="G35" s="13">
        <v>1210</v>
      </c>
      <c r="H35" s="51" t="s">
        <v>28</v>
      </c>
      <c r="I35" s="52">
        <v>11003</v>
      </c>
      <c r="J35" s="52" t="s">
        <v>84</v>
      </c>
      <c r="K35" s="53"/>
      <c r="L35" s="53" t="s">
        <v>136</v>
      </c>
      <c r="M35" s="37" t="str">
        <f>"在任意遊戲中，金币有效下注累積達到 "&amp;S35</f>
        <v>在任意遊戲中，金币有效下注累積達到 168,000,000</v>
      </c>
      <c r="N35" s="37" t="s">
        <v>86</v>
      </c>
      <c r="O35" s="37">
        <v>12001</v>
      </c>
      <c r="P35" s="54" t="s">
        <v>87</v>
      </c>
      <c r="Q35" s="54">
        <v>0</v>
      </c>
      <c r="R35" s="54">
        <v>11003</v>
      </c>
      <c r="S35" s="55" t="s">
        <v>127</v>
      </c>
      <c r="T35" s="55" t="s">
        <v>128</v>
      </c>
      <c r="U35" s="56">
        <f t="shared" si="6"/>
        <v>1216.55172413793</v>
      </c>
      <c r="V35" s="37">
        <v>5</v>
      </c>
      <c r="W35" s="37" t="s">
        <v>88</v>
      </c>
      <c r="X35" s="37" t="str">
        <f t="shared" si="9"/>
        <v>In the [any game] video game, the accumulated valid Gold Coin bets reach 168,000,000</v>
      </c>
      <c r="Y35" s="37" t="s">
        <v>89</v>
      </c>
      <c r="Z35" s="37" t="str">
        <f t="shared" si="7"/>
        <v>Trong trò chơi [bất kỳ], tích lũy đặt cược hợp lệ tiền vàng đạt 168,000,000</v>
      </c>
      <c r="AA35" s="37" t="s">
        <v>90</v>
      </c>
      <c r="AB35" s="37" t="str">
        <f t="shared" si="8"/>
        <v>No videogame [qualquer jogo], as apostas válidas acumuladas em Moedas de Ouro atingem 168,000,000</v>
      </c>
    </row>
    <row r="36" s="4" customFormat="1" spans="1:28">
      <c r="A36" s="42">
        <v>100030101</v>
      </c>
      <c r="B36" s="12">
        <v>1</v>
      </c>
      <c r="C36" s="36">
        <v>1000301</v>
      </c>
      <c r="D36" s="12">
        <v>1</v>
      </c>
      <c r="E36" s="12" t="s">
        <v>137</v>
      </c>
      <c r="F36" s="12"/>
      <c r="G36" s="13">
        <v>120</v>
      </c>
      <c r="H36" s="13" t="s">
        <v>28</v>
      </c>
      <c r="I36" s="10">
        <v>11007</v>
      </c>
      <c r="J36" s="10" t="s">
        <v>55</v>
      </c>
      <c r="K36" s="8"/>
      <c r="L36" s="8" t="s">
        <v>138</v>
      </c>
      <c r="M36" s="4" t="str">
        <f t="shared" ref="M36:M39" si="12">"在["&amp;P36&amp;"]電子遊戲中，金币累積贏獎達到 "&amp;S36</f>
        <v>在[麻将胡了]電子遊戲中，金币累積贏獎達到 8,300,000</v>
      </c>
      <c r="N36" s="4" t="s">
        <v>139</v>
      </c>
      <c r="O36" s="4">
        <v>10003</v>
      </c>
      <c r="P36" s="1" t="s">
        <v>58</v>
      </c>
      <c r="Q36" s="1">
        <v>100700</v>
      </c>
      <c r="R36" s="1">
        <v>11007</v>
      </c>
      <c r="S36" s="43" t="s">
        <v>40</v>
      </c>
      <c r="T36" s="43" t="s">
        <v>41</v>
      </c>
      <c r="U36" s="60">
        <f t="shared" ref="U36:U40" si="13">S36*3%/29000*7*2</f>
        <v>120.206896551724</v>
      </c>
      <c r="V36" s="4">
        <v>1</v>
      </c>
      <c r="W36" s="41" t="s">
        <v>61</v>
      </c>
      <c r="X36" s="4" t="str">
        <f>"In the ["&amp;W36&amp;"] , total gold coins won have reached  "&amp;S36</f>
        <v>In the [Mahjong Hu] , total gold coins won have reached  8,300,000</v>
      </c>
      <c r="Y36" s="41" t="s">
        <v>62</v>
      </c>
      <c r="Z36" s="4" t="str">
        <f>"Trong trò chơi ["&amp;Y36&amp;"], tổng số vàng thắng được đạt "&amp;S36</f>
        <v>Trong trò chơi [Mạt chược], tổng số vàng thắng được đạt 8,300,000</v>
      </c>
      <c r="AA36" s="41" t="s">
        <v>63</v>
      </c>
      <c r="AB36" s="4" t="str">
        <f>"No jogo ["&amp;AA36&amp;"], o total de moedas de ouro ganhas atingiu "&amp;S36</f>
        <v>No jogo [Mahjong H], o total de moedas de ouro ganhas atingiu 8,300,000</v>
      </c>
    </row>
    <row r="37" s="4" customFormat="1" spans="1:28">
      <c r="A37" s="42">
        <v>100030102</v>
      </c>
      <c r="B37" s="12">
        <v>1</v>
      </c>
      <c r="C37" s="36">
        <v>1000301</v>
      </c>
      <c r="D37" s="12">
        <v>2</v>
      </c>
      <c r="E37" s="12" t="s">
        <v>140</v>
      </c>
      <c r="F37" s="12"/>
      <c r="G37" s="13">
        <v>120</v>
      </c>
      <c r="H37" s="13" t="s">
        <v>28</v>
      </c>
      <c r="I37" s="10">
        <v>11003</v>
      </c>
      <c r="J37" s="10" t="s">
        <v>65</v>
      </c>
      <c r="K37" s="8"/>
      <c r="L37" s="8" t="s">
        <v>141</v>
      </c>
      <c r="M37" s="4" t="str">
        <f t="shared" si="12"/>
        <v>在[超级明星]電子遊戲中，金币累積贏獎達到 8,300,000</v>
      </c>
      <c r="N37" s="4" t="s">
        <v>139</v>
      </c>
      <c r="O37" s="4">
        <v>10003</v>
      </c>
      <c r="P37" s="1" t="s">
        <v>67</v>
      </c>
      <c r="Q37" s="1">
        <v>100300</v>
      </c>
      <c r="R37" s="1">
        <v>11003</v>
      </c>
      <c r="S37" s="43" t="s">
        <v>40</v>
      </c>
      <c r="T37" s="43" t="s">
        <v>41</v>
      </c>
      <c r="U37" s="60">
        <f t="shared" si="13"/>
        <v>120.206896551724</v>
      </c>
      <c r="V37" s="4">
        <v>2</v>
      </c>
      <c r="W37" s="41" t="s">
        <v>68</v>
      </c>
      <c r="X37" s="4" t="str">
        <f t="shared" ref="X37:X55" si="14">"In the ["&amp;W37&amp;"] , total gold coins won have reached  "&amp;S37</f>
        <v>In the [Super Star] , total gold coins won have reached  8,300,000</v>
      </c>
      <c r="Y37" s="41" t="s">
        <v>69</v>
      </c>
      <c r="Z37" s="4" t="str">
        <f t="shared" ref="Z37:Z55" si="15">"Trong trò chơi ["&amp;Y37&amp;"], tổng số vàng thắng được đạt "&amp;S37</f>
        <v>Trong trò chơi [Siêu Sao], tổng số vàng thắng được đạt 8,300,000</v>
      </c>
      <c r="AA37" s="41" t="s">
        <v>68</v>
      </c>
      <c r="AB37" s="4" t="str">
        <f t="shared" ref="AB37:AB55" si="16">"No jogo ["&amp;AA37&amp;"], o total de moedas de ouro ganhas atingiu "&amp;S37</f>
        <v>No jogo [Super Star], o total de moedas de ouro ganhas atingiu 8,300,000</v>
      </c>
    </row>
    <row r="38" s="4" customFormat="1" spans="1:28">
      <c r="A38" s="42">
        <v>100030103</v>
      </c>
      <c r="B38" s="12">
        <v>1</v>
      </c>
      <c r="C38" s="36">
        <v>1000301</v>
      </c>
      <c r="D38" s="12">
        <v>3</v>
      </c>
      <c r="E38" s="12" t="s">
        <v>142</v>
      </c>
      <c r="F38" s="12"/>
      <c r="G38" s="13">
        <v>120</v>
      </c>
      <c r="H38" s="13" t="s">
        <v>28</v>
      </c>
      <c r="I38" s="10">
        <v>11012</v>
      </c>
      <c r="J38" s="10" t="s">
        <v>71</v>
      </c>
      <c r="K38" s="8"/>
      <c r="L38" s="8" t="s">
        <v>143</v>
      </c>
      <c r="M38" s="4" t="str">
        <f t="shared" si="12"/>
        <v>在[财神]電子遊戲中，金币累積贏獎達到 8,300,000</v>
      </c>
      <c r="N38" s="4" t="s">
        <v>139</v>
      </c>
      <c r="O38" s="4">
        <v>10003</v>
      </c>
      <c r="P38" s="1" t="s">
        <v>73</v>
      </c>
      <c r="Q38" s="1">
        <v>101200</v>
      </c>
      <c r="R38" s="1">
        <v>11012</v>
      </c>
      <c r="S38" s="43" t="s">
        <v>40</v>
      </c>
      <c r="T38" s="43" t="s">
        <v>41</v>
      </c>
      <c r="U38" s="60">
        <f t="shared" si="13"/>
        <v>120.206896551724</v>
      </c>
      <c r="V38" s="4">
        <v>3</v>
      </c>
      <c r="W38" s="41" t="s">
        <v>74</v>
      </c>
      <c r="X38" s="4" t="str">
        <f t="shared" si="14"/>
        <v>In the [God of Wealth] , total gold coins won have reached  8,300,000</v>
      </c>
      <c r="Y38" s="41" t="s">
        <v>75</v>
      </c>
      <c r="Z38" s="4" t="str">
        <f t="shared" si="15"/>
        <v>Trong trò chơi [Thần Tài], tổng số vàng thắng được đạt 8,300,000</v>
      </c>
      <c r="AA38" s="41" t="s">
        <v>74</v>
      </c>
      <c r="AB38" s="4" t="str">
        <f t="shared" si="16"/>
        <v>No jogo [God of Wealth], o total de moedas de ouro ganhas atingiu 8,300,000</v>
      </c>
    </row>
    <row r="39" s="4" customFormat="1" spans="1:28">
      <c r="A39" s="42">
        <v>100030104</v>
      </c>
      <c r="B39" s="12">
        <v>1</v>
      </c>
      <c r="C39" s="36">
        <v>1000301</v>
      </c>
      <c r="D39" s="12">
        <v>4</v>
      </c>
      <c r="E39" s="12" t="s">
        <v>144</v>
      </c>
      <c r="F39" s="12"/>
      <c r="G39" s="13">
        <v>120</v>
      </c>
      <c r="H39" s="13" t="s">
        <v>28</v>
      </c>
      <c r="I39" s="10">
        <v>11014</v>
      </c>
      <c r="J39" s="10" t="s">
        <v>77</v>
      </c>
      <c r="K39" s="8"/>
      <c r="L39" s="8" t="s">
        <v>145</v>
      </c>
      <c r="M39" s="4" t="str">
        <f t="shared" si="12"/>
        <v>在[埃及艳后]電子遊戲中，金币累積贏獎達到 8,300,000</v>
      </c>
      <c r="N39" s="4" t="s">
        <v>139</v>
      </c>
      <c r="O39" s="4">
        <v>10003</v>
      </c>
      <c r="P39" s="1" t="s">
        <v>79</v>
      </c>
      <c r="Q39" s="1">
        <v>101400</v>
      </c>
      <c r="R39" s="1">
        <v>11014</v>
      </c>
      <c r="S39" s="43" t="s">
        <v>40</v>
      </c>
      <c r="T39" s="43" t="s">
        <v>41</v>
      </c>
      <c r="U39" s="60">
        <f t="shared" si="13"/>
        <v>120.206896551724</v>
      </c>
      <c r="V39" s="4">
        <v>4</v>
      </c>
      <c r="W39" s="41" t="s">
        <v>80</v>
      </c>
      <c r="X39" s="4" t="str">
        <f t="shared" si="14"/>
        <v>In the [Cleopatra] , total gold coins won have reached  8,300,000</v>
      </c>
      <c r="Y39" s="41" t="s">
        <v>81</v>
      </c>
      <c r="Z39" s="4" t="str">
        <f t="shared" si="15"/>
        <v>Trong trò chơi [Nữ hoàng Ai Cập], tổng số vàng thắng được đạt 8,300,000</v>
      </c>
      <c r="AA39" s="41" t="s">
        <v>82</v>
      </c>
      <c r="AB39" s="4" t="str">
        <f t="shared" si="16"/>
        <v>No jogo [Cleópatra], o total de moedas de ouro ganhas atingiu 8,300,000</v>
      </c>
    </row>
    <row r="40" s="4" customFormat="1" spans="1:28">
      <c r="A40" s="42">
        <v>100030105</v>
      </c>
      <c r="B40" s="12">
        <v>1</v>
      </c>
      <c r="C40" s="36">
        <v>1000301</v>
      </c>
      <c r="D40" s="12">
        <v>5</v>
      </c>
      <c r="E40" s="12" t="s">
        <v>146</v>
      </c>
      <c r="F40" s="12"/>
      <c r="G40" s="13">
        <v>120</v>
      </c>
      <c r="H40" s="13" t="s">
        <v>28</v>
      </c>
      <c r="I40" s="10">
        <v>11003</v>
      </c>
      <c r="J40" s="10" t="s">
        <v>147</v>
      </c>
      <c r="K40" s="8"/>
      <c r="L40" s="8" t="s">
        <v>148</v>
      </c>
      <c r="M40" s="4" t="str">
        <f>"在任意遊戲中，金币累積贏獎達到 "&amp;S40</f>
        <v>在任意遊戲中，金币累積贏獎達到 8,300,000</v>
      </c>
      <c r="N40" s="4" t="s">
        <v>86</v>
      </c>
      <c r="O40" s="4">
        <v>10003</v>
      </c>
      <c r="P40" s="1" t="s">
        <v>149</v>
      </c>
      <c r="Q40" s="1">
        <v>0</v>
      </c>
      <c r="R40" s="1">
        <v>11003</v>
      </c>
      <c r="S40" s="43" t="s">
        <v>40</v>
      </c>
      <c r="T40" s="43" t="s">
        <v>41</v>
      </c>
      <c r="U40" s="60">
        <f t="shared" si="13"/>
        <v>120.206896551724</v>
      </c>
      <c r="V40" s="4">
        <v>5</v>
      </c>
      <c r="W40" s="41" t="s">
        <v>88</v>
      </c>
      <c r="X40" s="4" t="str">
        <f t="shared" si="14"/>
        <v>In the [any game] , total gold coins won have reached  8,300,000</v>
      </c>
      <c r="Y40" s="41" t="s">
        <v>89</v>
      </c>
      <c r="Z40" s="4" t="str">
        <f t="shared" si="15"/>
        <v>Trong trò chơi [bất kỳ], tổng số vàng thắng được đạt 8,300,000</v>
      </c>
      <c r="AA40" s="41" t="s">
        <v>90</v>
      </c>
      <c r="AB40" s="4" t="str">
        <f t="shared" si="16"/>
        <v>No jogo [qualquer jogo], o total de moedas de ouro ganhas atingiu 8,300,000</v>
      </c>
    </row>
    <row r="41" s="4" customFormat="1" spans="1:28">
      <c r="A41" s="42">
        <v>100030201</v>
      </c>
      <c r="B41" s="12">
        <v>1</v>
      </c>
      <c r="C41" s="14">
        <v>1000302</v>
      </c>
      <c r="D41" s="12">
        <v>1</v>
      </c>
      <c r="E41" s="12" t="s">
        <v>150</v>
      </c>
      <c r="F41" s="12"/>
      <c r="G41" s="13">
        <v>260</v>
      </c>
      <c r="H41" s="13" t="s">
        <v>28</v>
      </c>
      <c r="I41" s="10">
        <v>11007</v>
      </c>
      <c r="J41" s="10" t="s">
        <v>55</v>
      </c>
      <c r="K41" s="8"/>
      <c r="L41" s="8" t="s">
        <v>151</v>
      </c>
      <c r="M41" s="4" t="str">
        <f t="shared" ref="M41:M44" si="17">"在["&amp;P41&amp;"]電子遊戲中，金币累積贏獎達到 "&amp;S41</f>
        <v>在[麻将胡了]電子遊戲中，金币累積贏獎達到 18,000,000</v>
      </c>
      <c r="N41" s="4" t="s">
        <v>139</v>
      </c>
      <c r="O41" s="4">
        <v>10003</v>
      </c>
      <c r="P41" s="1" t="s">
        <v>58</v>
      </c>
      <c r="Q41" s="1">
        <v>100700</v>
      </c>
      <c r="R41" s="1">
        <v>11007</v>
      </c>
      <c r="S41" s="43" t="s">
        <v>103</v>
      </c>
      <c r="T41" s="43" t="s">
        <v>104</v>
      </c>
      <c r="U41" s="60">
        <f t="shared" ref="U41:U45" si="18">S41*3%/29000*7*2</f>
        <v>260.689655172414</v>
      </c>
      <c r="V41" s="4">
        <v>1</v>
      </c>
      <c r="W41" s="41" t="s">
        <v>61</v>
      </c>
      <c r="X41" s="4" t="str">
        <f t="shared" si="14"/>
        <v>In the [Mahjong Hu] , total gold coins won have reached  18,000,000</v>
      </c>
      <c r="Y41" s="41" t="s">
        <v>62</v>
      </c>
      <c r="Z41" s="4" t="str">
        <f t="shared" si="15"/>
        <v>Trong trò chơi [Mạt chược], tổng số vàng thắng được đạt 18,000,000</v>
      </c>
      <c r="AA41" s="41" t="s">
        <v>63</v>
      </c>
      <c r="AB41" s="4" t="str">
        <f t="shared" si="16"/>
        <v>No jogo [Mahjong H], o total de moedas de ouro ganhas atingiu 18,000,000</v>
      </c>
    </row>
    <row r="42" s="4" customFormat="1" spans="1:28">
      <c r="A42" s="42">
        <v>100030202</v>
      </c>
      <c r="B42" s="12">
        <v>1</v>
      </c>
      <c r="C42" s="14">
        <v>1000302</v>
      </c>
      <c r="D42" s="12">
        <v>2</v>
      </c>
      <c r="E42" s="12" t="s">
        <v>152</v>
      </c>
      <c r="F42" s="12"/>
      <c r="G42" s="13">
        <v>260</v>
      </c>
      <c r="H42" s="13" t="s">
        <v>28</v>
      </c>
      <c r="I42" s="10">
        <v>11003</v>
      </c>
      <c r="J42" s="10" t="s">
        <v>65</v>
      </c>
      <c r="K42" s="8"/>
      <c r="L42" s="8" t="s">
        <v>153</v>
      </c>
      <c r="M42" s="4" t="str">
        <f t="shared" si="17"/>
        <v>在[超级明星]電子遊戲中，金币累積贏獎達到 18,000,000</v>
      </c>
      <c r="N42" s="4" t="s">
        <v>139</v>
      </c>
      <c r="O42" s="4">
        <v>10003</v>
      </c>
      <c r="P42" s="1" t="s">
        <v>67</v>
      </c>
      <c r="Q42" s="1">
        <v>100300</v>
      </c>
      <c r="R42" s="1">
        <v>11003</v>
      </c>
      <c r="S42" s="43" t="s">
        <v>103</v>
      </c>
      <c r="T42" s="43" t="s">
        <v>104</v>
      </c>
      <c r="U42" s="60">
        <f t="shared" si="18"/>
        <v>260.689655172414</v>
      </c>
      <c r="V42" s="4">
        <v>2</v>
      </c>
      <c r="W42" s="41" t="s">
        <v>68</v>
      </c>
      <c r="X42" s="4" t="str">
        <f t="shared" si="14"/>
        <v>In the [Super Star] , total gold coins won have reached  18,000,000</v>
      </c>
      <c r="Y42" s="41" t="s">
        <v>69</v>
      </c>
      <c r="Z42" s="4" t="str">
        <f t="shared" si="15"/>
        <v>Trong trò chơi [Siêu Sao], tổng số vàng thắng được đạt 18,000,000</v>
      </c>
      <c r="AA42" s="41" t="s">
        <v>68</v>
      </c>
      <c r="AB42" s="4" t="str">
        <f t="shared" si="16"/>
        <v>No jogo [Super Star], o total de moedas de ouro ganhas atingiu 18,000,000</v>
      </c>
    </row>
    <row r="43" s="4" customFormat="1" spans="1:28">
      <c r="A43" s="42">
        <v>100030203</v>
      </c>
      <c r="B43" s="12">
        <v>1</v>
      </c>
      <c r="C43" s="14">
        <v>1000302</v>
      </c>
      <c r="D43" s="12">
        <v>3</v>
      </c>
      <c r="E43" s="12" t="s">
        <v>154</v>
      </c>
      <c r="F43" s="12"/>
      <c r="G43" s="13">
        <v>260</v>
      </c>
      <c r="H43" s="13" t="s">
        <v>28</v>
      </c>
      <c r="I43" s="10">
        <v>11012</v>
      </c>
      <c r="J43" s="10" t="s">
        <v>71</v>
      </c>
      <c r="K43" s="8"/>
      <c r="L43" s="8" t="s">
        <v>155</v>
      </c>
      <c r="M43" s="4" t="str">
        <f t="shared" si="17"/>
        <v>在[财神]電子遊戲中，金币累積贏獎達到 18,000,000</v>
      </c>
      <c r="N43" s="4" t="s">
        <v>139</v>
      </c>
      <c r="O43" s="4">
        <v>10003</v>
      </c>
      <c r="P43" s="1" t="s">
        <v>73</v>
      </c>
      <c r="Q43" s="1">
        <v>101200</v>
      </c>
      <c r="R43" s="1">
        <v>11012</v>
      </c>
      <c r="S43" s="43" t="s">
        <v>103</v>
      </c>
      <c r="T43" s="43" t="s">
        <v>104</v>
      </c>
      <c r="U43" s="60">
        <f t="shared" si="18"/>
        <v>260.689655172414</v>
      </c>
      <c r="V43" s="4">
        <v>3</v>
      </c>
      <c r="W43" s="41" t="s">
        <v>74</v>
      </c>
      <c r="X43" s="4" t="str">
        <f t="shared" si="14"/>
        <v>In the [God of Wealth] , total gold coins won have reached  18,000,000</v>
      </c>
      <c r="Y43" s="41" t="s">
        <v>75</v>
      </c>
      <c r="Z43" s="4" t="str">
        <f t="shared" si="15"/>
        <v>Trong trò chơi [Thần Tài], tổng số vàng thắng được đạt 18,000,000</v>
      </c>
      <c r="AA43" s="41" t="s">
        <v>74</v>
      </c>
      <c r="AB43" s="4" t="str">
        <f t="shared" si="16"/>
        <v>No jogo [God of Wealth], o total de moedas de ouro ganhas atingiu 18,000,000</v>
      </c>
    </row>
    <row r="44" s="4" customFormat="1" spans="1:28">
      <c r="A44" s="42">
        <v>100030204</v>
      </c>
      <c r="B44" s="12">
        <v>1</v>
      </c>
      <c r="C44" s="14">
        <v>1000302</v>
      </c>
      <c r="D44" s="12">
        <v>4</v>
      </c>
      <c r="E44" s="12" t="s">
        <v>156</v>
      </c>
      <c r="F44" s="12"/>
      <c r="G44" s="13">
        <v>260</v>
      </c>
      <c r="H44" s="13" t="s">
        <v>28</v>
      </c>
      <c r="I44" s="10">
        <v>11014</v>
      </c>
      <c r="J44" s="10" t="s">
        <v>77</v>
      </c>
      <c r="K44" s="8"/>
      <c r="L44" s="8" t="s">
        <v>157</v>
      </c>
      <c r="M44" s="4" t="str">
        <f t="shared" si="17"/>
        <v>在[埃及艳后]電子遊戲中，金币累積贏獎達到 18,000,000</v>
      </c>
      <c r="N44" s="4" t="s">
        <v>139</v>
      </c>
      <c r="O44" s="4">
        <v>10003</v>
      </c>
      <c r="P44" s="1" t="s">
        <v>79</v>
      </c>
      <c r="Q44" s="1">
        <v>101400</v>
      </c>
      <c r="R44" s="1">
        <v>11014</v>
      </c>
      <c r="S44" s="43" t="s">
        <v>103</v>
      </c>
      <c r="T44" s="43" t="s">
        <v>104</v>
      </c>
      <c r="U44" s="60">
        <f t="shared" si="18"/>
        <v>260.689655172414</v>
      </c>
      <c r="V44" s="4">
        <v>4</v>
      </c>
      <c r="W44" s="41" t="s">
        <v>80</v>
      </c>
      <c r="X44" s="4" t="str">
        <f t="shared" si="14"/>
        <v>In the [Cleopatra] , total gold coins won have reached  18,000,000</v>
      </c>
      <c r="Y44" s="41" t="s">
        <v>81</v>
      </c>
      <c r="Z44" s="4" t="str">
        <f t="shared" si="15"/>
        <v>Trong trò chơi [Nữ hoàng Ai Cập], tổng số vàng thắng được đạt 18,000,000</v>
      </c>
      <c r="AA44" s="41" t="s">
        <v>82</v>
      </c>
      <c r="AB44" s="4" t="str">
        <f t="shared" si="16"/>
        <v>No jogo [Cleópatra], o total de moedas de ouro ganhas atingiu 18,000,000</v>
      </c>
    </row>
    <row r="45" s="4" customFormat="1" spans="1:28">
      <c r="A45" s="42">
        <v>100030205</v>
      </c>
      <c r="B45" s="12">
        <v>1</v>
      </c>
      <c r="C45" s="14">
        <v>1000302</v>
      </c>
      <c r="D45" s="12">
        <v>5</v>
      </c>
      <c r="E45" s="12" t="s">
        <v>158</v>
      </c>
      <c r="F45" s="12"/>
      <c r="G45" s="13">
        <v>260</v>
      </c>
      <c r="H45" s="13" t="s">
        <v>28</v>
      </c>
      <c r="I45" s="10">
        <v>11003</v>
      </c>
      <c r="J45" s="10" t="s">
        <v>147</v>
      </c>
      <c r="K45" s="8"/>
      <c r="L45" s="8" t="s">
        <v>159</v>
      </c>
      <c r="M45" s="4" t="str">
        <f>"在任意遊戲中，金币累積贏獎達到 "&amp;S45</f>
        <v>在任意遊戲中，金币累積贏獎達到 18,000,000</v>
      </c>
      <c r="N45" s="4" t="s">
        <v>86</v>
      </c>
      <c r="O45" s="4">
        <v>10003</v>
      </c>
      <c r="P45" s="1" t="s">
        <v>149</v>
      </c>
      <c r="Q45" s="1">
        <v>0</v>
      </c>
      <c r="R45" s="1">
        <v>11003</v>
      </c>
      <c r="S45" s="43" t="s">
        <v>103</v>
      </c>
      <c r="T45" s="43" t="s">
        <v>104</v>
      </c>
      <c r="U45" s="60">
        <f t="shared" si="18"/>
        <v>260.689655172414</v>
      </c>
      <c r="V45" s="4">
        <v>5</v>
      </c>
      <c r="W45" s="41" t="s">
        <v>88</v>
      </c>
      <c r="X45" s="4" t="str">
        <f t="shared" si="14"/>
        <v>In the [any game] , total gold coins won have reached  18,000,000</v>
      </c>
      <c r="Y45" s="41" t="s">
        <v>89</v>
      </c>
      <c r="Z45" s="4" t="str">
        <f t="shared" si="15"/>
        <v>Trong trò chơi [bất kỳ], tổng số vàng thắng được đạt 18,000,000</v>
      </c>
      <c r="AA45" s="41" t="s">
        <v>90</v>
      </c>
      <c r="AB45" s="4" t="str">
        <f t="shared" si="16"/>
        <v>No jogo [qualquer jogo], o total de moedas de ouro ganhas atingiu 18,000,000</v>
      </c>
    </row>
    <row r="46" s="4" customFormat="1" spans="1:28">
      <c r="A46" s="42">
        <v>100030301</v>
      </c>
      <c r="B46" s="12">
        <v>1</v>
      </c>
      <c r="C46" s="37">
        <v>1000303</v>
      </c>
      <c r="D46" s="12">
        <v>1</v>
      </c>
      <c r="E46" s="12" t="s">
        <v>160</v>
      </c>
      <c r="F46" s="12"/>
      <c r="G46" s="13">
        <v>350</v>
      </c>
      <c r="H46" s="13" t="s">
        <v>28</v>
      </c>
      <c r="I46" s="10">
        <v>11007</v>
      </c>
      <c r="J46" s="10" t="s">
        <v>55</v>
      </c>
      <c r="K46" s="8"/>
      <c r="L46" s="8" t="s">
        <v>161</v>
      </c>
      <c r="M46" s="4" t="str">
        <f t="shared" ref="M46:M49" si="19">"在["&amp;P46&amp;"]電子遊戲中，金币累積贏獎達到 "&amp;S46</f>
        <v>在[麻将胡了]電子遊戲中，金币累積贏獎達到 24,200,000</v>
      </c>
      <c r="N46" s="4" t="s">
        <v>139</v>
      </c>
      <c r="O46" s="4">
        <v>10003</v>
      </c>
      <c r="P46" s="1" t="s">
        <v>58</v>
      </c>
      <c r="Q46" s="1">
        <v>100700</v>
      </c>
      <c r="R46" s="1">
        <v>11007</v>
      </c>
      <c r="S46" s="43" t="s">
        <v>162</v>
      </c>
      <c r="T46" s="43" t="s">
        <v>163</v>
      </c>
      <c r="U46" s="60">
        <f t="shared" ref="U46:U55" si="20">S46*3%/29000*7*2</f>
        <v>350.48275862069</v>
      </c>
      <c r="V46" s="4">
        <v>1</v>
      </c>
      <c r="W46" s="41" t="s">
        <v>61</v>
      </c>
      <c r="X46" s="4" t="str">
        <f t="shared" si="14"/>
        <v>In the [Mahjong Hu] , total gold coins won have reached  24,200,000</v>
      </c>
      <c r="Y46" s="41" t="s">
        <v>62</v>
      </c>
      <c r="Z46" s="4" t="str">
        <f t="shared" si="15"/>
        <v>Trong trò chơi [Mạt chược], tổng số vàng thắng được đạt 24,200,000</v>
      </c>
      <c r="AA46" s="41" t="s">
        <v>63</v>
      </c>
      <c r="AB46" s="4" t="str">
        <f t="shared" si="16"/>
        <v>No jogo [Mahjong H], o total de moedas de ouro ganhas atingiu 24,200,000</v>
      </c>
    </row>
    <row r="47" s="4" customFormat="1" spans="1:28">
      <c r="A47" s="42">
        <v>100030302</v>
      </c>
      <c r="B47" s="12">
        <v>1</v>
      </c>
      <c r="C47" s="37">
        <v>1000303</v>
      </c>
      <c r="D47" s="12">
        <v>2</v>
      </c>
      <c r="E47" s="12" t="s">
        <v>164</v>
      </c>
      <c r="F47" s="12"/>
      <c r="G47" s="13">
        <v>350</v>
      </c>
      <c r="H47" s="13" t="s">
        <v>28</v>
      </c>
      <c r="I47" s="10">
        <v>11003</v>
      </c>
      <c r="J47" s="10" t="s">
        <v>65</v>
      </c>
      <c r="K47" s="8"/>
      <c r="L47" s="8" t="s">
        <v>165</v>
      </c>
      <c r="M47" s="4" t="str">
        <f t="shared" si="19"/>
        <v>在[超级明星]電子遊戲中，金币累積贏獎達到 24,200,000</v>
      </c>
      <c r="N47" s="4" t="s">
        <v>139</v>
      </c>
      <c r="O47" s="4">
        <v>10003</v>
      </c>
      <c r="P47" s="1" t="s">
        <v>67</v>
      </c>
      <c r="Q47" s="1">
        <v>100300</v>
      </c>
      <c r="R47" s="1">
        <v>11003</v>
      </c>
      <c r="S47" s="43" t="s">
        <v>162</v>
      </c>
      <c r="T47" s="43" t="s">
        <v>163</v>
      </c>
      <c r="U47" s="60">
        <f t="shared" si="20"/>
        <v>350.48275862069</v>
      </c>
      <c r="V47" s="4">
        <v>2</v>
      </c>
      <c r="W47" s="41" t="s">
        <v>68</v>
      </c>
      <c r="X47" s="4" t="str">
        <f t="shared" si="14"/>
        <v>In the [Super Star] , total gold coins won have reached  24,200,000</v>
      </c>
      <c r="Y47" s="41" t="s">
        <v>69</v>
      </c>
      <c r="Z47" s="4" t="str">
        <f t="shared" si="15"/>
        <v>Trong trò chơi [Siêu Sao], tổng số vàng thắng được đạt 24,200,000</v>
      </c>
      <c r="AA47" s="41" t="s">
        <v>68</v>
      </c>
      <c r="AB47" s="4" t="str">
        <f t="shared" si="16"/>
        <v>No jogo [Super Star], o total de moedas de ouro ganhas atingiu 24,200,000</v>
      </c>
    </row>
    <row r="48" s="4" customFormat="1" spans="1:28">
      <c r="A48" s="42">
        <v>100030303</v>
      </c>
      <c r="B48" s="12">
        <v>1</v>
      </c>
      <c r="C48" s="37">
        <v>1000303</v>
      </c>
      <c r="D48" s="12">
        <v>3</v>
      </c>
      <c r="E48" s="12" t="s">
        <v>166</v>
      </c>
      <c r="F48" s="12"/>
      <c r="G48" s="13">
        <v>350</v>
      </c>
      <c r="H48" s="13" t="s">
        <v>28</v>
      </c>
      <c r="I48" s="10">
        <v>11012</v>
      </c>
      <c r="J48" s="10" t="s">
        <v>71</v>
      </c>
      <c r="K48" s="8"/>
      <c r="L48" s="8" t="s">
        <v>167</v>
      </c>
      <c r="M48" s="4" t="str">
        <f t="shared" si="19"/>
        <v>在[财神]電子遊戲中，金币累積贏獎達到 24,200,000</v>
      </c>
      <c r="N48" s="4" t="s">
        <v>139</v>
      </c>
      <c r="O48" s="4">
        <v>10003</v>
      </c>
      <c r="P48" s="1" t="s">
        <v>73</v>
      </c>
      <c r="Q48" s="1">
        <v>101200</v>
      </c>
      <c r="R48" s="1">
        <v>11012</v>
      </c>
      <c r="S48" s="43" t="s">
        <v>162</v>
      </c>
      <c r="T48" s="43" t="s">
        <v>163</v>
      </c>
      <c r="U48" s="60">
        <f t="shared" si="20"/>
        <v>350.48275862069</v>
      </c>
      <c r="V48" s="4">
        <v>3</v>
      </c>
      <c r="W48" s="41" t="s">
        <v>74</v>
      </c>
      <c r="X48" s="4" t="str">
        <f t="shared" si="14"/>
        <v>In the [God of Wealth] , total gold coins won have reached  24,200,000</v>
      </c>
      <c r="Y48" s="41" t="s">
        <v>75</v>
      </c>
      <c r="Z48" s="4" t="str">
        <f t="shared" si="15"/>
        <v>Trong trò chơi [Thần Tài], tổng số vàng thắng được đạt 24,200,000</v>
      </c>
      <c r="AA48" s="41" t="s">
        <v>74</v>
      </c>
      <c r="AB48" s="4" t="str">
        <f t="shared" si="16"/>
        <v>No jogo [God of Wealth], o total de moedas de ouro ganhas atingiu 24,200,000</v>
      </c>
    </row>
    <row r="49" s="4" customFormat="1" spans="1:28">
      <c r="A49" s="42">
        <v>100030304</v>
      </c>
      <c r="B49" s="12">
        <v>1</v>
      </c>
      <c r="C49" s="37">
        <v>1000303</v>
      </c>
      <c r="D49" s="12">
        <v>4</v>
      </c>
      <c r="E49" s="12" t="s">
        <v>168</v>
      </c>
      <c r="F49" s="12"/>
      <c r="G49" s="13">
        <v>350</v>
      </c>
      <c r="H49" s="13" t="s">
        <v>28</v>
      </c>
      <c r="I49" s="10">
        <v>11014</v>
      </c>
      <c r="J49" s="10" t="s">
        <v>77</v>
      </c>
      <c r="K49" s="8"/>
      <c r="L49" s="8" t="s">
        <v>169</v>
      </c>
      <c r="M49" s="4" t="str">
        <f t="shared" si="19"/>
        <v>在[埃及艳后]電子遊戲中，金币累積贏獎達到 24,200,000</v>
      </c>
      <c r="N49" s="4" t="s">
        <v>139</v>
      </c>
      <c r="O49" s="4">
        <v>10003</v>
      </c>
      <c r="P49" s="1" t="s">
        <v>79</v>
      </c>
      <c r="Q49" s="1">
        <v>101400</v>
      </c>
      <c r="R49" s="1">
        <v>11014</v>
      </c>
      <c r="S49" s="43" t="s">
        <v>162</v>
      </c>
      <c r="T49" s="43" t="s">
        <v>163</v>
      </c>
      <c r="U49" s="60">
        <f t="shared" si="20"/>
        <v>350.48275862069</v>
      </c>
      <c r="V49" s="4">
        <v>4</v>
      </c>
      <c r="W49" s="41" t="s">
        <v>80</v>
      </c>
      <c r="X49" s="4" t="str">
        <f t="shared" si="14"/>
        <v>In the [Cleopatra] , total gold coins won have reached  24,200,000</v>
      </c>
      <c r="Y49" s="41" t="s">
        <v>81</v>
      </c>
      <c r="Z49" s="4" t="str">
        <f t="shared" si="15"/>
        <v>Trong trò chơi [Nữ hoàng Ai Cập], tổng số vàng thắng được đạt 24,200,000</v>
      </c>
      <c r="AA49" s="41" t="s">
        <v>82</v>
      </c>
      <c r="AB49" s="4" t="str">
        <f t="shared" si="16"/>
        <v>No jogo [Cleópatra], o total de moedas de ouro ganhas atingiu 24,200,000</v>
      </c>
    </row>
    <row r="50" s="4" customFormat="1" spans="1:28">
      <c r="A50" s="42">
        <v>100030305</v>
      </c>
      <c r="B50" s="12">
        <v>1</v>
      </c>
      <c r="C50" s="37">
        <v>1000303</v>
      </c>
      <c r="D50" s="12">
        <v>5</v>
      </c>
      <c r="E50" s="12" t="s">
        <v>170</v>
      </c>
      <c r="F50" s="12"/>
      <c r="G50" s="13">
        <v>350</v>
      </c>
      <c r="H50" s="13" t="s">
        <v>28</v>
      </c>
      <c r="I50" s="10">
        <v>11003</v>
      </c>
      <c r="J50" s="10" t="s">
        <v>147</v>
      </c>
      <c r="K50" s="8"/>
      <c r="L50" s="8" t="s">
        <v>171</v>
      </c>
      <c r="M50" s="4" t="str">
        <f>"在任意遊戲中，金币累積贏獎達到 "&amp;S50</f>
        <v>在任意遊戲中，金币累積贏獎達到 24,200,000</v>
      </c>
      <c r="N50" s="4" t="s">
        <v>86</v>
      </c>
      <c r="O50" s="4">
        <v>10003</v>
      </c>
      <c r="P50" s="1" t="s">
        <v>149</v>
      </c>
      <c r="Q50" s="1">
        <v>0</v>
      </c>
      <c r="R50" s="1">
        <v>11003</v>
      </c>
      <c r="S50" s="43" t="s">
        <v>162</v>
      </c>
      <c r="T50" s="43" t="s">
        <v>163</v>
      </c>
      <c r="U50" s="60">
        <f t="shared" si="20"/>
        <v>350.48275862069</v>
      </c>
      <c r="V50" s="4">
        <v>5</v>
      </c>
      <c r="W50" s="41" t="s">
        <v>88</v>
      </c>
      <c r="X50" s="4" t="str">
        <f t="shared" si="14"/>
        <v>In the [any game] , total gold coins won have reached  24,200,000</v>
      </c>
      <c r="Y50" s="41" t="s">
        <v>89</v>
      </c>
      <c r="Z50" s="4" t="str">
        <f t="shared" si="15"/>
        <v>Trong trò chơi [bất kỳ], tổng số vàng thắng được đạt 24,200,000</v>
      </c>
      <c r="AA50" s="41" t="s">
        <v>90</v>
      </c>
      <c r="AB50" s="4" t="str">
        <f t="shared" si="16"/>
        <v>No jogo [qualquer jogo], o total de moedas de ouro ganhas atingiu 24,200,000</v>
      </c>
    </row>
    <row r="51" s="36" customFormat="1" spans="1:28">
      <c r="A51" s="42">
        <v>100030401</v>
      </c>
      <c r="B51" s="36">
        <v>1</v>
      </c>
      <c r="C51" s="36">
        <v>1000304</v>
      </c>
      <c r="D51" s="36">
        <v>1</v>
      </c>
      <c r="E51" s="36" t="s">
        <v>172</v>
      </c>
      <c r="F51" s="36"/>
      <c r="G51" s="13">
        <v>1200</v>
      </c>
      <c r="H51" s="45" t="s">
        <v>28</v>
      </c>
      <c r="I51" s="46">
        <v>11007</v>
      </c>
      <c r="J51" s="46" t="s">
        <v>55</v>
      </c>
      <c r="K51" s="47"/>
      <c r="L51" s="47" t="s">
        <v>173</v>
      </c>
      <c r="M51" s="36" t="str">
        <f t="shared" ref="M51:M54" si="21">"在["&amp;P51&amp;"]電子遊戲中，金币累積贏獎達到 "&amp;S51</f>
        <v>在[麻将胡了]電子遊戲中，金币累積贏獎達到 83,000,000</v>
      </c>
      <c r="N51" s="36" t="s">
        <v>139</v>
      </c>
      <c r="O51" s="36">
        <v>10003</v>
      </c>
      <c r="P51" s="48" t="s">
        <v>58</v>
      </c>
      <c r="Q51" s="48">
        <v>100700</v>
      </c>
      <c r="R51" s="48">
        <v>11007</v>
      </c>
      <c r="S51" s="49" t="s">
        <v>174</v>
      </c>
      <c r="T51" s="49" t="s">
        <v>175</v>
      </c>
      <c r="U51" s="50">
        <f t="shared" si="20"/>
        <v>1202.06896551724</v>
      </c>
      <c r="V51" s="36">
        <v>1</v>
      </c>
      <c r="W51" s="36" t="s">
        <v>61</v>
      </c>
      <c r="X51" s="36" t="str">
        <f t="shared" si="14"/>
        <v>In the [Mahjong Hu] , total gold coins won have reached  83,000,000</v>
      </c>
      <c r="Y51" s="36" t="s">
        <v>62</v>
      </c>
      <c r="Z51" s="36" t="str">
        <f t="shared" si="15"/>
        <v>Trong trò chơi [Mạt chược], tổng số vàng thắng được đạt 83,000,000</v>
      </c>
      <c r="AA51" s="36" t="s">
        <v>63</v>
      </c>
      <c r="AB51" s="36" t="str">
        <f t="shared" si="16"/>
        <v>No jogo [Mahjong H], o total de moedas de ouro ganhas atingiu 83,000,000</v>
      </c>
    </row>
    <row r="52" s="36" customFormat="1" spans="1:28">
      <c r="A52" s="42">
        <v>100030402</v>
      </c>
      <c r="B52" s="36">
        <v>1</v>
      </c>
      <c r="C52" s="36">
        <v>1000304</v>
      </c>
      <c r="D52" s="36">
        <v>2</v>
      </c>
      <c r="E52" s="36" t="s">
        <v>176</v>
      </c>
      <c r="F52" s="36"/>
      <c r="G52" s="13">
        <v>1200</v>
      </c>
      <c r="H52" s="45" t="s">
        <v>28</v>
      </c>
      <c r="I52" s="46">
        <v>11003</v>
      </c>
      <c r="J52" s="46" t="s">
        <v>65</v>
      </c>
      <c r="K52" s="47"/>
      <c r="L52" s="47" t="s">
        <v>177</v>
      </c>
      <c r="M52" s="36" t="str">
        <f t="shared" si="21"/>
        <v>在[超级明星]電子遊戲中，金币累積贏獎達到 83,000,000</v>
      </c>
      <c r="N52" s="36" t="s">
        <v>139</v>
      </c>
      <c r="O52" s="36">
        <v>10003</v>
      </c>
      <c r="P52" s="48" t="s">
        <v>67</v>
      </c>
      <c r="Q52" s="48">
        <v>100300</v>
      </c>
      <c r="R52" s="48">
        <v>11003</v>
      </c>
      <c r="S52" s="49" t="s">
        <v>174</v>
      </c>
      <c r="T52" s="49" t="s">
        <v>175</v>
      </c>
      <c r="U52" s="50">
        <f t="shared" si="20"/>
        <v>1202.06896551724</v>
      </c>
      <c r="V52" s="36">
        <v>2</v>
      </c>
      <c r="W52" s="36" t="s">
        <v>68</v>
      </c>
      <c r="X52" s="36" t="str">
        <f t="shared" si="14"/>
        <v>In the [Super Star] , total gold coins won have reached  83,000,000</v>
      </c>
      <c r="Y52" s="36" t="s">
        <v>69</v>
      </c>
      <c r="Z52" s="36" t="str">
        <f t="shared" si="15"/>
        <v>Trong trò chơi [Siêu Sao], tổng số vàng thắng được đạt 83,000,000</v>
      </c>
      <c r="AA52" s="36" t="s">
        <v>68</v>
      </c>
      <c r="AB52" s="36" t="str">
        <f t="shared" si="16"/>
        <v>No jogo [Super Star], o total de moedas de ouro ganhas atingiu 83,000,000</v>
      </c>
    </row>
    <row r="53" s="36" customFormat="1" spans="1:28">
      <c r="A53" s="42">
        <v>100030403</v>
      </c>
      <c r="B53" s="36">
        <v>1</v>
      </c>
      <c r="C53" s="36">
        <v>1000304</v>
      </c>
      <c r="D53" s="36">
        <v>3</v>
      </c>
      <c r="E53" s="36" t="s">
        <v>178</v>
      </c>
      <c r="F53" s="36"/>
      <c r="G53" s="13">
        <v>1200</v>
      </c>
      <c r="H53" s="45" t="s">
        <v>28</v>
      </c>
      <c r="I53" s="46">
        <v>11012</v>
      </c>
      <c r="J53" s="46" t="s">
        <v>71</v>
      </c>
      <c r="K53" s="47"/>
      <c r="L53" s="47" t="s">
        <v>179</v>
      </c>
      <c r="M53" s="36" t="str">
        <f t="shared" si="21"/>
        <v>在[财神]電子遊戲中，金币累積贏獎達到 83,000,000</v>
      </c>
      <c r="N53" s="36" t="s">
        <v>139</v>
      </c>
      <c r="O53" s="36">
        <v>10003</v>
      </c>
      <c r="P53" s="48" t="s">
        <v>73</v>
      </c>
      <c r="Q53" s="48">
        <v>101200</v>
      </c>
      <c r="R53" s="48">
        <v>11012</v>
      </c>
      <c r="S53" s="49" t="s">
        <v>174</v>
      </c>
      <c r="T53" s="49" t="s">
        <v>175</v>
      </c>
      <c r="U53" s="50">
        <f t="shared" si="20"/>
        <v>1202.06896551724</v>
      </c>
      <c r="V53" s="36">
        <v>3</v>
      </c>
      <c r="W53" s="36" t="s">
        <v>74</v>
      </c>
      <c r="X53" s="36" t="str">
        <f t="shared" si="14"/>
        <v>In the [God of Wealth] , total gold coins won have reached  83,000,000</v>
      </c>
      <c r="Y53" s="36" t="s">
        <v>75</v>
      </c>
      <c r="Z53" s="36" t="str">
        <f t="shared" si="15"/>
        <v>Trong trò chơi [Thần Tài], tổng số vàng thắng được đạt 83,000,000</v>
      </c>
      <c r="AA53" s="36" t="s">
        <v>74</v>
      </c>
      <c r="AB53" s="36" t="str">
        <f t="shared" si="16"/>
        <v>No jogo [God of Wealth], o total de moedas de ouro ganhas atingiu 83,000,000</v>
      </c>
    </row>
    <row r="54" s="36" customFormat="1" spans="1:28">
      <c r="A54" s="42">
        <v>100030404</v>
      </c>
      <c r="B54" s="36">
        <v>1</v>
      </c>
      <c r="C54" s="36">
        <v>1000304</v>
      </c>
      <c r="D54" s="36">
        <v>4</v>
      </c>
      <c r="E54" s="36" t="s">
        <v>180</v>
      </c>
      <c r="F54" s="36"/>
      <c r="G54" s="13">
        <v>1200</v>
      </c>
      <c r="H54" s="45" t="s">
        <v>28</v>
      </c>
      <c r="I54" s="46">
        <v>11014</v>
      </c>
      <c r="J54" s="46" t="s">
        <v>77</v>
      </c>
      <c r="K54" s="47"/>
      <c r="L54" s="47" t="s">
        <v>181</v>
      </c>
      <c r="M54" s="36" t="str">
        <f t="shared" si="21"/>
        <v>在[埃及艳后]電子遊戲中，金币累積贏獎達到 83,000,000</v>
      </c>
      <c r="N54" s="36" t="s">
        <v>139</v>
      </c>
      <c r="O54" s="36">
        <v>10003</v>
      </c>
      <c r="P54" s="48" t="s">
        <v>79</v>
      </c>
      <c r="Q54" s="48">
        <v>101400</v>
      </c>
      <c r="R54" s="48">
        <v>11014</v>
      </c>
      <c r="S54" s="49" t="s">
        <v>174</v>
      </c>
      <c r="T54" s="49" t="s">
        <v>175</v>
      </c>
      <c r="U54" s="50">
        <f t="shared" si="20"/>
        <v>1202.06896551724</v>
      </c>
      <c r="V54" s="36">
        <v>4</v>
      </c>
      <c r="W54" s="36" t="s">
        <v>80</v>
      </c>
      <c r="X54" s="36" t="str">
        <f t="shared" si="14"/>
        <v>In the [Cleopatra] , total gold coins won have reached  83,000,000</v>
      </c>
      <c r="Y54" s="36" t="s">
        <v>81</v>
      </c>
      <c r="Z54" s="36" t="str">
        <f t="shared" si="15"/>
        <v>Trong trò chơi [Nữ hoàng Ai Cập], tổng số vàng thắng được đạt 83,000,000</v>
      </c>
      <c r="AA54" s="36" t="s">
        <v>82</v>
      </c>
      <c r="AB54" s="36" t="str">
        <f t="shared" si="16"/>
        <v>No jogo [Cleópatra], o total de moedas de ouro ganhas atingiu 83,000,000</v>
      </c>
    </row>
    <row r="55" s="36" customFormat="1" spans="1:28">
      <c r="A55" s="42">
        <v>100030405</v>
      </c>
      <c r="B55" s="36">
        <v>1</v>
      </c>
      <c r="C55" s="36">
        <v>1000304</v>
      </c>
      <c r="D55" s="36">
        <v>5</v>
      </c>
      <c r="E55" s="36" t="s">
        <v>182</v>
      </c>
      <c r="F55" s="36"/>
      <c r="G55" s="13">
        <v>1200</v>
      </c>
      <c r="H55" s="45" t="s">
        <v>28</v>
      </c>
      <c r="I55" s="46">
        <v>11003</v>
      </c>
      <c r="J55" s="46" t="s">
        <v>147</v>
      </c>
      <c r="K55" s="47"/>
      <c r="L55" s="47" t="s">
        <v>183</v>
      </c>
      <c r="M55" s="36" t="str">
        <f>"在任意遊戲中，金币累積贏獎達到 "&amp;S55</f>
        <v>在任意遊戲中，金币累積贏獎達到 83,000,000</v>
      </c>
      <c r="N55" s="36" t="s">
        <v>86</v>
      </c>
      <c r="O55" s="36">
        <v>10003</v>
      </c>
      <c r="P55" s="48" t="s">
        <v>149</v>
      </c>
      <c r="Q55" s="48">
        <v>0</v>
      </c>
      <c r="R55" s="48">
        <v>11003</v>
      </c>
      <c r="S55" s="49" t="s">
        <v>174</v>
      </c>
      <c r="T55" s="49" t="s">
        <v>175</v>
      </c>
      <c r="U55" s="50">
        <f t="shared" si="20"/>
        <v>1202.06896551724</v>
      </c>
      <c r="V55" s="36">
        <v>5</v>
      </c>
      <c r="W55" s="36" t="s">
        <v>88</v>
      </c>
      <c r="X55" s="36" t="str">
        <f t="shared" si="14"/>
        <v>In the [any game] , total gold coins won have reached  83,000,000</v>
      </c>
      <c r="Y55" s="36" t="s">
        <v>89</v>
      </c>
      <c r="Z55" s="36" t="str">
        <f t="shared" si="15"/>
        <v>Trong trò chơi [bất kỳ], tổng số vàng thắng được đạt 83,000,000</v>
      </c>
      <c r="AA55" s="36" t="s">
        <v>90</v>
      </c>
      <c r="AB55" s="36" t="str">
        <f t="shared" si="16"/>
        <v>No jogo [qualquer jogo], o total de moedas de ouro ganhas atingiu 83,000,000</v>
      </c>
    </row>
    <row r="56" s="4" customFormat="1" spans="1:28">
      <c r="A56" s="42">
        <v>100010101</v>
      </c>
      <c r="B56" s="12">
        <v>1</v>
      </c>
      <c r="C56" s="14">
        <v>1000101</v>
      </c>
      <c r="D56" s="12">
        <v>1</v>
      </c>
      <c r="E56" s="12" t="s">
        <v>184</v>
      </c>
      <c r="F56" s="12"/>
      <c r="G56" s="13">
        <v>5</v>
      </c>
      <c r="H56" s="13" t="s">
        <v>28</v>
      </c>
      <c r="I56" s="10">
        <v>11007</v>
      </c>
      <c r="J56" s="10" t="s">
        <v>55</v>
      </c>
      <c r="K56" s="8"/>
      <c r="L56" s="8" t="s">
        <v>185</v>
      </c>
      <c r="M56" s="4" t="str">
        <f>"在["&amp;P56&amp;"]電子遊戲中，累積旋轉 "&amp;S56&amp;"次"</f>
        <v>在[麻将胡了]電子遊戲中，累積旋轉 500次</v>
      </c>
      <c r="N56" s="4" t="s">
        <v>186</v>
      </c>
      <c r="O56" s="4">
        <v>10001</v>
      </c>
      <c r="P56" s="1" t="s">
        <v>58</v>
      </c>
      <c r="Q56" s="1">
        <v>100700</v>
      </c>
      <c r="R56" s="1">
        <v>11007</v>
      </c>
      <c r="S56" s="43" t="s">
        <v>187</v>
      </c>
      <c r="T56" s="43" t="s">
        <v>187</v>
      </c>
      <c r="U56" s="4">
        <f t="shared" ref="U56:U60" si="22">S56/100</f>
        <v>5</v>
      </c>
      <c r="V56" s="4">
        <v>1</v>
      </c>
      <c r="W56" s="41" t="s">
        <v>61</v>
      </c>
      <c r="X56" s="4" t="str">
        <f>"In the game ["&amp;W56&amp;"] , "&amp;S56&amp;" spins have been accumulated."</f>
        <v>In the game [Mahjong Hu] , 500 spins have been accumulated.</v>
      </c>
      <c r="Y56" s="41" t="s">
        <v>62</v>
      </c>
      <c r="Z56" s="4" t="str">
        <f>"Trong trò chơi ["&amp;Y56&amp;"], tích lũy quay "&amp;T56&amp;" lần."</f>
        <v>Trong trò chơi [Mạt chược], tích lũy quay 500 lần.</v>
      </c>
      <c r="AA56" s="41" t="s">
        <v>63</v>
      </c>
      <c r="AB56" s="4" t="str">
        <f>"No jogo ["&amp;W56&amp;"], foram acumuladas "&amp;T56&amp;" rodadas."</f>
        <v>No jogo [Mahjong Hu], foram acumuladas 500 rodadas.</v>
      </c>
    </row>
    <row r="57" s="4" customFormat="1" spans="1:28">
      <c r="A57" s="42">
        <v>100010102</v>
      </c>
      <c r="B57" s="12">
        <v>1</v>
      </c>
      <c r="C57" s="14">
        <v>1000101</v>
      </c>
      <c r="D57" s="12">
        <v>2</v>
      </c>
      <c r="E57" s="12" t="s">
        <v>188</v>
      </c>
      <c r="F57" s="12"/>
      <c r="G57" s="13">
        <v>5</v>
      </c>
      <c r="H57" s="13" t="s">
        <v>28</v>
      </c>
      <c r="I57" s="10">
        <v>11003</v>
      </c>
      <c r="J57" s="10" t="s">
        <v>65</v>
      </c>
      <c r="K57" s="8"/>
      <c r="L57" s="8" t="s">
        <v>189</v>
      </c>
      <c r="M57" s="4" t="str">
        <f>"在["&amp;P57&amp;"]電子遊戲中，累積旋轉 "&amp;S57&amp;"次"</f>
        <v>在[超级明星]電子遊戲中，累積旋轉 500次</v>
      </c>
      <c r="N57" s="4" t="s">
        <v>186</v>
      </c>
      <c r="O57" s="4">
        <v>10001</v>
      </c>
      <c r="P57" s="1" t="s">
        <v>67</v>
      </c>
      <c r="Q57" s="1">
        <v>100300</v>
      </c>
      <c r="R57" s="1">
        <v>11003</v>
      </c>
      <c r="S57" s="43" t="s">
        <v>187</v>
      </c>
      <c r="T57" s="43" t="s">
        <v>187</v>
      </c>
      <c r="U57" s="4">
        <f t="shared" si="22"/>
        <v>5</v>
      </c>
      <c r="V57" s="4">
        <v>2</v>
      </c>
      <c r="W57" s="41" t="s">
        <v>68</v>
      </c>
      <c r="X57" s="4" t="str">
        <f>"In the game ["&amp;W57&amp;"] , "&amp;S57&amp;" spins have been accumulated."</f>
        <v>In the game [Super Star] , 500 spins have been accumulated.</v>
      </c>
      <c r="Y57" s="41" t="s">
        <v>69</v>
      </c>
      <c r="Z57" s="4" t="str">
        <f>"Trong trò chơi ["&amp;Y57&amp;"], tích lũy quay "&amp;T57&amp;" lần."</f>
        <v>Trong trò chơi [Siêu Sao], tích lũy quay 500 lần.</v>
      </c>
      <c r="AA57" s="41" t="s">
        <v>68</v>
      </c>
      <c r="AB57" s="4" t="str">
        <f>"No jogo ["&amp;W57&amp;"], foram acumuladas "&amp;T57&amp;" rodadas."</f>
        <v>No jogo [Super Star], foram acumuladas 500 rodadas.</v>
      </c>
    </row>
    <row r="58" s="4" customFormat="1" spans="1:28">
      <c r="A58" s="42">
        <v>100010103</v>
      </c>
      <c r="B58" s="12">
        <v>1</v>
      </c>
      <c r="C58" s="14">
        <v>1000101</v>
      </c>
      <c r="D58" s="12">
        <v>3</v>
      </c>
      <c r="E58" s="12" t="s">
        <v>190</v>
      </c>
      <c r="F58" s="12"/>
      <c r="G58" s="13">
        <v>5</v>
      </c>
      <c r="H58" s="13" t="s">
        <v>28</v>
      </c>
      <c r="I58" s="10">
        <v>11012</v>
      </c>
      <c r="J58" s="10" t="s">
        <v>71</v>
      </c>
      <c r="K58" s="8"/>
      <c r="L58" s="8" t="s">
        <v>191</v>
      </c>
      <c r="M58" s="4" t="str">
        <f>"在["&amp;P58&amp;"]電子遊戲中，累積旋轉 "&amp;S58&amp;"次"</f>
        <v>在[财神]電子遊戲中，累積旋轉 500次</v>
      </c>
      <c r="N58" s="4" t="s">
        <v>186</v>
      </c>
      <c r="O58" s="4">
        <v>10001</v>
      </c>
      <c r="P58" s="1" t="s">
        <v>73</v>
      </c>
      <c r="Q58" s="1">
        <v>101200</v>
      </c>
      <c r="R58" s="1">
        <v>11012</v>
      </c>
      <c r="S58" s="43" t="s">
        <v>187</v>
      </c>
      <c r="T58" s="43" t="s">
        <v>187</v>
      </c>
      <c r="U58" s="4">
        <f t="shared" si="22"/>
        <v>5</v>
      </c>
      <c r="V58" s="4">
        <v>3</v>
      </c>
      <c r="W58" s="41" t="s">
        <v>74</v>
      </c>
      <c r="X58" s="4" t="str">
        <f>"In the game ["&amp;W58&amp;"] , "&amp;S58&amp;" spins have been accumulated."</f>
        <v>In the game [God of Wealth] , 500 spins have been accumulated.</v>
      </c>
      <c r="Y58" s="41" t="s">
        <v>75</v>
      </c>
      <c r="Z58" s="4" t="str">
        <f>"Trong trò chơi ["&amp;Y58&amp;"], tích lũy quay "&amp;T58&amp;" lần."</f>
        <v>Trong trò chơi [Thần Tài], tích lũy quay 500 lần.</v>
      </c>
      <c r="AA58" s="41" t="s">
        <v>74</v>
      </c>
      <c r="AB58" s="4" t="str">
        <f>"No jogo ["&amp;W58&amp;"], foram acumuladas "&amp;T58&amp;" rodadas."</f>
        <v>No jogo [God of Wealth], foram acumuladas 500 rodadas.</v>
      </c>
    </row>
    <row r="59" s="4" customFormat="1" spans="1:28">
      <c r="A59" s="42">
        <v>100010104</v>
      </c>
      <c r="B59" s="12">
        <v>1</v>
      </c>
      <c r="C59" s="14">
        <v>1000101</v>
      </c>
      <c r="D59" s="12">
        <v>4</v>
      </c>
      <c r="E59" s="12" t="s">
        <v>192</v>
      </c>
      <c r="F59" s="12"/>
      <c r="G59" s="13">
        <v>5</v>
      </c>
      <c r="H59" s="13" t="s">
        <v>28</v>
      </c>
      <c r="I59" s="10">
        <v>11014</v>
      </c>
      <c r="J59" s="10" t="s">
        <v>77</v>
      </c>
      <c r="K59" s="8"/>
      <c r="L59" s="8" t="s">
        <v>193</v>
      </c>
      <c r="M59" s="4" t="str">
        <f>"在["&amp;P59&amp;"]電子遊戲中，累積旋轉 "&amp;S59&amp;"次"</f>
        <v>在[埃及艳后]電子遊戲中，累積旋轉 500次</v>
      </c>
      <c r="N59" s="4" t="s">
        <v>186</v>
      </c>
      <c r="O59" s="4">
        <v>10001</v>
      </c>
      <c r="P59" s="1" t="s">
        <v>79</v>
      </c>
      <c r="Q59" s="1">
        <v>101400</v>
      </c>
      <c r="R59" s="1">
        <v>11014</v>
      </c>
      <c r="S59" s="43" t="s">
        <v>187</v>
      </c>
      <c r="T59" s="43" t="s">
        <v>187</v>
      </c>
      <c r="U59" s="4">
        <f t="shared" si="22"/>
        <v>5</v>
      </c>
      <c r="V59" s="4">
        <v>4</v>
      </c>
      <c r="W59" s="41" t="s">
        <v>80</v>
      </c>
      <c r="X59" s="4" t="str">
        <f>"In the game ["&amp;W59&amp;"] , "&amp;S59&amp;" spins have been accumulated."</f>
        <v>In the game [Cleopatra] , 500 spins have been accumulated.</v>
      </c>
      <c r="Y59" s="41" t="s">
        <v>81</v>
      </c>
      <c r="Z59" s="4" t="str">
        <f>"Trong trò chơi ["&amp;Y59&amp;"], tích lũy quay "&amp;T59&amp;" lần."</f>
        <v>Trong trò chơi [Nữ hoàng Ai Cập], tích lũy quay 500 lần.</v>
      </c>
      <c r="AA59" s="41" t="s">
        <v>82</v>
      </c>
      <c r="AB59" s="4" t="str">
        <f>"No jogo ["&amp;W59&amp;"], foram acumuladas "&amp;T59&amp;" rodadas."</f>
        <v>No jogo [Cleopatra], foram acumuladas 500 rodadas.</v>
      </c>
    </row>
    <row r="60" s="4" customFormat="1" spans="1:28">
      <c r="A60" s="42">
        <v>100010105</v>
      </c>
      <c r="B60" s="12">
        <v>1</v>
      </c>
      <c r="C60" s="14">
        <v>1000101</v>
      </c>
      <c r="D60" s="12">
        <v>5</v>
      </c>
      <c r="E60" s="12" t="s">
        <v>194</v>
      </c>
      <c r="F60" s="12"/>
      <c r="G60" s="13">
        <v>5</v>
      </c>
      <c r="H60" s="13" t="s">
        <v>28</v>
      </c>
      <c r="I60" s="10">
        <v>11003</v>
      </c>
      <c r="J60" s="10" t="s">
        <v>195</v>
      </c>
      <c r="K60" s="8"/>
      <c r="L60" s="8" t="s">
        <v>196</v>
      </c>
      <c r="M60" s="4" t="str">
        <f>"在任意電子遊戲中，累積旋轉 "&amp;S60&amp;"次"</f>
        <v>在任意電子遊戲中，累積旋轉 500次</v>
      </c>
      <c r="N60" s="4" t="s">
        <v>197</v>
      </c>
      <c r="O60" s="4">
        <v>10001</v>
      </c>
      <c r="P60" s="1"/>
      <c r="Q60" s="1">
        <v>0</v>
      </c>
      <c r="R60" s="1">
        <v>11003</v>
      </c>
      <c r="S60" s="43" t="s">
        <v>187</v>
      </c>
      <c r="T60" s="43" t="s">
        <v>187</v>
      </c>
      <c r="U60" s="4">
        <f t="shared" si="22"/>
        <v>5</v>
      </c>
      <c r="V60" s="4">
        <v>5</v>
      </c>
      <c r="W60" s="41" t="s">
        <v>88</v>
      </c>
      <c r="X60" s="4" t="str">
        <f>"In the game ["&amp;W60&amp;"] , "&amp;S60&amp;" spins have been accumulated."</f>
        <v>In the game [any game] , 500 spins have been accumulated.</v>
      </c>
      <c r="Y60" s="41" t="s">
        <v>89</v>
      </c>
      <c r="Z60" s="4" t="str">
        <f>"Trong trò chơi ["&amp;Y60&amp;"], tích lũy quay "&amp;T60&amp;" lần."</f>
        <v>Trong trò chơi [bất kỳ], tích lũy quay 500 lần.</v>
      </c>
      <c r="AA60" s="41" t="s">
        <v>90</v>
      </c>
      <c r="AB60" s="4" t="str">
        <f>"No jogo ["&amp;W60&amp;"], foram acumuladas "&amp;T60&amp;" rodadas."</f>
        <v>No jogo [any game], foram acumuladas 500 rodadas.</v>
      </c>
    </row>
  </sheetData>
  <conditionalFormatting sqref="L$1:L$1048576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4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198</v>
      </c>
      <c r="J5" s="19">
        <v>502</v>
      </c>
      <c r="K5" s="19" t="s">
        <v>199</v>
      </c>
      <c r="N5" s="20" t="s">
        <v>200</v>
      </c>
    </row>
    <row r="6" spans="2:16">
      <c r="B6" s="21" t="s">
        <v>1</v>
      </c>
      <c r="C6" s="21" t="s">
        <v>10</v>
      </c>
      <c r="D6" s="21" t="s">
        <v>201</v>
      </c>
      <c r="F6" s="22" t="s">
        <v>202</v>
      </c>
      <c r="G6" s="22"/>
      <c r="H6" s="22" t="s">
        <v>203</v>
      </c>
      <c r="J6" s="23" t="s">
        <v>204</v>
      </c>
      <c r="K6" s="23" t="s">
        <v>205</v>
      </c>
      <c r="L6" s="23" t="s">
        <v>201</v>
      </c>
      <c r="N6" s="24" t="s">
        <v>206</v>
      </c>
      <c r="O6" s="24" t="s">
        <v>207</v>
      </c>
      <c r="P6" s="24" t="s">
        <v>201</v>
      </c>
    </row>
    <row r="7" spans="2:16">
      <c r="B7" s="18">
        <v>101</v>
      </c>
      <c r="C7" s="18" t="s">
        <v>208</v>
      </c>
      <c r="D7" s="18" t="s">
        <v>209</v>
      </c>
      <c r="F7" s="18">
        <v>100100</v>
      </c>
      <c r="G7" s="18" t="s">
        <v>210</v>
      </c>
      <c r="H7" s="18" t="s">
        <v>211</v>
      </c>
      <c r="J7" s="18">
        <v>2</v>
      </c>
      <c r="K7" s="18" t="s">
        <v>212</v>
      </c>
      <c r="L7" s="18" t="s">
        <v>213</v>
      </c>
      <c r="N7" s="18">
        <v>1022501</v>
      </c>
      <c r="O7" s="18" t="s">
        <v>214</v>
      </c>
      <c r="P7" s="18" t="s">
        <v>215</v>
      </c>
    </row>
    <row r="8" spans="2:16">
      <c r="B8" s="18">
        <v>102</v>
      </c>
      <c r="C8" s="18" t="s">
        <v>216</v>
      </c>
      <c r="D8" s="18" t="s">
        <v>209</v>
      </c>
      <c r="F8" s="18">
        <v>100300</v>
      </c>
      <c r="G8" s="18" t="s">
        <v>210</v>
      </c>
      <c r="H8" s="18" t="s">
        <v>217</v>
      </c>
      <c r="J8" s="18">
        <v>3</v>
      </c>
      <c r="K8" s="18" t="s">
        <v>218</v>
      </c>
      <c r="L8" s="18" t="s">
        <v>219</v>
      </c>
      <c r="N8" s="18">
        <v>1022502</v>
      </c>
      <c r="O8" s="18" t="s">
        <v>220</v>
      </c>
      <c r="P8" s="18" t="s">
        <v>215</v>
      </c>
    </row>
    <row r="9" spans="2:16">
      <c r="B9" s="18">
        <v>201</v>
      </c>
      <c r="C9" s="18" t="s">
        <v>221</v>
      </c>
      <c r="D9" s="18" t="s">
        <v>222</v>
      </c>
      <c r="F9" s="18">
        <v>100700</v>
      </c>
      <c r="G9" s="18" t="s">
        <v>210</v>
      </c>
      <c r="H9" s="18" t="s">
        <v>223</v>
      </c>
      <c r="J9" s="18">
        <v>4</v>
      </c>
      <c r="K9" s="18" t="s">
        <v>224</v>
      </c>
      <c r="L9" s="18" t="s">
        <v>225</v>
      </c>
      <c r="N9" s="18">
        <v>1010301</v>
      </c>
      <c r="O9" s="18" t="s">
        <v>226</v>
      </c>
      <c r="P9" s="18" t="s">
        <v>215</v>
      </c>
    </row>
    <row r="10" spans="2:16">
      <c r="B10" s="18">
        <v>202</v>
      </c>
      <c r="C10" s="18" t="s">
        <v>227</v>
      </c>
      <c r="D10" s="18" t="s">
        <v>228</v>
      </c>
      <c r="F10" s="18">
        <v>101200</v>
      </c>
      <c r="G10" s="18" t="s">
        <v>210</v>
      </c>
      <c r="H10" s="18" t="s">
        <v>229</v>
      </c>
      <c r="J10" s="18">
        <v>5</v>
      </c>
      <c r="K10" s="18" t="s">
        <v>220</v>
      </c>
      <c r="L10" s="18" t="s">
        <v>230</v>
      </c>
      <c r="N10" s="18">
        <v>1010302</v>
      </c>
      <c r="O10" s="18" t="s">
        <v>231</v>
      </c>
      <c r="P10" s="18" t="s">
        <v>215</v>
      </c>
    </row>
    <row r="11" spans="2:16">
      <c r="B11" s="18">
        <v>203</v>
      </c>
      <c r="C11" s="18" t="s">
        <v>232</v>
      </c>
      <c r="D11" s="18" t="s">
        <v>222</v>
      </c>
      <c r="F11" s="18">
        <v>101400</v>
      </c>
      <c r="G11" s="18" t="s">
        <v>210</v>
      </c>
      <c r="H11" s="18" t="s">
        <v>233</v>
      </c>
      <c r="J11" s="18">
        <v>6</v>
      </c>
      <c r="K11" s="18" t="s">
        <v>234</v>
      </c>
      <c r="L11" s="18" t="s">
        <v>235</v>
      </c>
      <c r="N11" s="18">
        <v>1010303</v>
      </c>
      <c r="O11" s="18" t="s">
        <v>236</v>
      </c>
      <c r="P11" s="18" t="s">
        <v>215</v>
      </c>
    </row>
    <row r="12" spans="2:16">
      <c r="B12" s="18">
        <v>204</v>
      </c>
      <c r="C12" s="18" t="s">
        <v>237</v>
      </c>
      <c r="D12" s="18" t="s">
        <v>228</v>
      </c>
      <c r="F12" s="18">
        <v>200100</v>
      </c>
      <c r="G12" s="18" t="s">
        <v>210</v>
      </c>
      <c r="H12" s="18" t="s">
        <v>238</v>
      </c>
      <c r="J12" s="25">
        <v>12</v>
      </c>
      <c r="K12" s="25" t="s">
        <v>239</v>
      </c>
      <c r="L12" s="25" t="s">
        <v>240</v>
      </c>
      <c r="N12" s="18">
        <v>1010311</v>
      </c>
      <c r="O12" s="18" t="s">
        <v>241</v>
      </c>
      <c r="P12" s="18" t="s">
        <v>215</v>
      </c>
    </row>
    <row r="13" spans="2:16">
      <c r="B13" s="18">
        <v>301</v>
      </c>
      <c r="C13" s="18" t="s">
        <v>242</v>
      </c>
      <c r="D13" s="18" t="s">
        <v>243</v>
      </c>
      <c r="F13" s="18">
        <v>200101</v>
      </c>
      <c r="G13" s="18" t="s">
        <v>210</v>
      </c>
      <c r="H13" s="18" t="s">
        <v>244</v>
      </c>
      <c r="J13" s="26"/>
      <c r="K13" s="26"/>
      <c r="L13" s="26"/>
      <c r="N13" s="18">
        <v>1010312</v>
      </c>
      <c r="O13" s="18" t="s">
        <v>245</v>
      </c>
      <c r="P13" s="18" t="s">
        <v>215</v>
      </c>
    </row>
    <row r="14" spans="2:16">
      <c r="B14" s="18">
        <v>302</v>
      </c>
      <c r="C14" s="18" t="s">
        <v>246</v>
      </c>
      <c r="D14" s="18" t="s">
        <v>247</v>
      </c>
      <c r="F14" s="18">
        <v>200300</v>
      </c>
      <c r="G14" s="18" t="s">
        <v>210</v>
      </c>
      <c r="H14" s="18" t="s">
        <v>248</v>
      </c>
      <c r="J14" s="26"/>
      <c r="K14" s="26"/>
      <c r="L14" s="26"/>
      <c r="N14" s="18">
        <v>1010313</v>
      </c>
      <c r="O14" s="18" t="s">
        <v>249</v>
      </c>
      <c r="P14" s="18" t="s">
        <v>215</v>
      </c>
    </row>
    <row r="15" spans="2:16">
      <c r="B15" s="18">
        <v>303</v>
      </c>
      <c r="C15" s="18" t="s">
        <v>250</v>
      </c>
      <c r="D15" s="18" t="s">
        <v>243</v>
      </c>
      <c r="F15" s="18">
        <v>200400</v>
      </c>
      <c r="G15" s="18" t="s">
        <v>210</v>
      </c>
      <c r="H15" s="18" t="s">
        <v>251</v>
      </c>
      <c r="N15" s="18">
        <v>1010314</v>
      </c>
      <c r="O15" s="18" t="s">
        <v>252</v>
      </c>
      <c r="P15" s="18" t="s">
        <v>215</v>
      </c>
    </row>
    <row r="16" spans="2:16">
      <c r="B16" s="18">
        <v>304</v>
      </c>
      <c r="C16" s="18" t="s">
        <v>253</v>
      </c>
      <c r="D16" s="18" t="s">
        <v>247</v>
      </c>
      <c r="F16" s="18">
        <v>200500</v>
      </c>
      <c r="G16" s="18" t="s">
        <v>210</v>
      </c>
      <c r="H16" s="18" t="s">
        <v>254</v>
      </c>
      <c r="N16" s="18">
        <v>1010315</v>
      </c>
      <c r="O16" s="18" t="s">
        <v>255</v>
      </c>
      <c r="P16" s="18" t="s">
        <v>215</v>
      </c>
    </row>
    <row r="17" spans="2:16">
      <c r="B17" s="20">
        <v>401</v>
      </c>
      <c r="C17" s="20" t="s">
        <v>256</v>
      </c>
      <c r="D17" s="20" t="s">
        <v>222</v>
      </c>
      <c r="F17" s="18">
        <v>200600</v>
      </c>
      <c r="G17" s="18" t="s">
        <v>210</v>
      </c>
      <c r="H17" s="18" t="s">
        <v>257</v>
      </c>
    </row>
    <row r="18" spans="2:16">
      <c r="B18" s="20">
        <v>402</v>
      </c>
      <c r="C18" s="20" t="s">
        <v>258</v>
      </c>
      <c r="D18" s="20" t="s">
        <v>228</v>
      </c>
      <c r="F18" s="18">
        <v>200700</v>
      </c>
      <c r="G18" s="18" t="s">
        <v>210</v>
      </c>
      <c r="H18" s="18" t="s">
        <v>259</v>
      </c>
    </row>
    <row r="19" spans="2:16">
      <c r="B19" s="27">
        <v>501</v>
      </c>
      <c r="C19" s="27" t="s">
        <v>260</v>
      </c>
      <c r="D19" s="27" t="s">
        <v>261</v>
      </c>
      <c r="F19" s="18">
        <v>200800</v>
      </c>
      <c r="G19" s="18" t="s">
        <v>210</v>
      </c>
      <c r="H19" s="18" t="s">
        <v>262</v>
      </c>
      <c r="N19" s="27" t="s">
        <v>263</v>
      </c>
    </row>
    <row r="20" spans="2:16">
      <c r="B20" s="19">
        <v>502</v>
      </c>
      <c r="C20" s="19" t="s">
        <v>264</v>
      </c>
      <c r="D20" s="19" t="s">
        <v>265</v>
      </c>
      <c r="F20" s="18">
        <v>200900</v>
      </c>
      <c r="G20" s="18" t="s">
        <v>210</v>
      </c>
      <c r="H20" s="18" t="s">
        <v>266</v>
      </c>
      <c r="N20" s="24" t="s">
        <v>206</v>
      </c>
      <c r="O20" s="24" t="s">
        <v>207</v>
      </c>
      <c r="P20" s="24" t="s">
        <v>201</v>
      </c>
    </row>
    <row r="21" spans="2:16">
      <c r="B21" s="18">
        <v>601</v>
      </c>
      <c r="C21" s="18" t="s">
        <v>267</v>
      </c>
      <c r="D21" s="18" t="s">
        <v>268</v>
      </c>
      <c r="F21" s="18">
        <v>201000</v>
      </c>
      <c r="G21" s="18" t="s">
        <v>210</v>
      </c>
      <c r="H21" s="18" t="s">
        <v>269</v>
      </c>
      <c r="N21" s="18">
        <v>1022501</v>
      </c>
      <c r="O21" s="18" t="s">
        <v>214</v>
      </c>
      <c r="P21" s="18" t="s">
        <v>270</v>
      </c>
    </row>
    <row r="22" spans="2:16">
      <c r="B22" s="18">
        <v>602</v>
      </c>
      <c r="C22" s="18" t="s">
        <v>271</v>
      </c>
      <c r="D22" s="18" t="s">
        <v>272</v>
      </c>
      <c r="F22" s="18">
        <v>300100</v>
      </c>
      <c r="G22" s="18" t="s">
        <v>210</v>
      </c>
      <c r="H22" s="18" t="s">
        <v>273</v>
      </c>
      <c r="N22" s="18">
        <v>1022502</v>
      </c>
      <c r="O22" s="18" t="s">
        <v>220</v>
      </c>
      <c r="P22" s="18" t="s">
        <v>274</v>
      </c>
    </row>
    <row r="23" spans="2:16">
      <c r="F23" s="18">
        <v>300200</v>
      </c>
      <c r="G23" s="18" t="s">
        <v>210</v>
      </c>
      <c r="H23" s="18" t="s">
        <v>275</v>
      </c>
      <c r="N23" s="18">
        <v>1980000</v>
      </c>
      <c r="O23" s="18" t="s">
        <v>276</v>
      </c>
      <c r="P23" s="18" t="s">
        <v>277</v>
      </c>
    </row>
    <row r="24" spans="2:16">
      <c r="F24" s="18">
        <v>200100</v>
      </c>
      <c r="G24" s="18" t="s">
        <v>278</v>
      </c>
      <c r="H24" s="18" t="s">
        <v>279</v>
      </c>
    </row>
    <row r="25" spans="2:16">
      <c r="F25" s="18">
        <v>200101</v>
      </c>
      <c r="G25" s="18" t="s">
        <v>278</v>
      </c>
      <c r="H25" s="18" t="s">
        <v>280</v>
      </c>
    </row>
    <row r="26" spans="2:16">
      <c r="F26" s="18">
        <v>200300</v>
      </c>
      <c r="G26" s="18" t="s">
        <v>278</v>
      </c>
      <c r="H26" s="18" t="s">
        <v>281</v>
      </c>
    </row>
    <row r="27" spans="2:16">
      <c r="F27" s="18">
        <v>200400</v>
      </c>
      <c r="G27" s="18" t="s">
        <v>278</v>
      </c>
      <c r="H27" s="18" t="s">
        <v>282</v>
      </c>
    </row>
    <row r="28" spans="2:16">
      <c r="F28" s="18">
        <v>200500</v>
      </c>
      <c r="G28" s="18" t="s">
        <v>278</v>
      </c>
      <c r="H28" s="18" t="s">
        <v>283</v>
      </c>
    </row>
    <row r="29" spans="2:16">
      <c r="F29" s="18">
        <v>200600</v>
      </c>
      <c r="G29" s="18" t="s">
        <v>278</v>
      </c>
      <c r="H29" s="18" t="s">
        <v>284</v>
      </c>
    </row>
    <row r="30" spans="2:16">
      <c r="F30" s="18">
        <v>200700</v>
      </c>
      <c r="G30" s="18" t="s">
        <v>278</v>
      </c>
      <c r="H30" s="18" t="s">
        <v>285</v>
      </c>
    </row>
    <row r="31" spans="2:16">
      <c r="F31" s="18">
        <v>200800</v>
      </c>
      <c r="G31" s="18" t="s">
        <v>278</v>
      </c>
      <c r="H31" s="18" t="s">
        <v>286</v>
      </c>
    </row>
    <row r="32" spans="2:16">
      <c r="F32" s="18">
        <v>200900</v>
      </c>
      <c r="G32" s="18" t="s">
        <v>278</v>
      </c>
      <c r="H32" s="18" t="s">
        <v>287</v>
      </c>
    </row>
    <row r="33" spans="1:22">
      <c r="F33" s="18">
        <v>300200</v>
      </c>
      <c r="G33" s="18" t="s">
        <v>278</v>
      </c>
      <c r="H33" s="18" t="s">
        <v>288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3</v>
      </c>
      <c r="F38" s="29" t="s">
        <v>4</v>
      </c>
      <c r="G38" s="29" t="s">
        <v>5</v>
      </c>
      <c r="H38" s="30" t="s">
        <v>6</v>
      </c>
      <c r="I38" s="7" t="s">
        <v>7</v>
      </c>
      <c r="J38" s="7" t="s">
        <v>8</v>
      </c>
      <c r="K38" s="31" t="s">
        <v>9</v>
      </c>
      <c r="L38" s="31" t="s">
        <v>10</v>
      </c>
      <c r="M38" s="3" t="s">
        <v>11</v>
      </c>
      <c r="R38" s="3" t="s">
        <v>289</v>
      </c>
      <c r="S38" s="3" t="s">
        <v>290</v>
      </c>
      <c r="T38" s="3" t="s">
        <v>291</v>
      </c>
      <c r="U38" s="3" t="s">
        <v>292</v>
      </c>
      <c r="V38" s="3" t="s">
        <v>293</v>
      </c>
    </row>
    <row r="39" s="3" customFormat="1" spans="1:22">
      <c r="A39" s="28" t="s">
        <v>13</v>
      </c>
      <c r="B39" s="28" t="s">
        <v>13</v>
      </c>
      <c r="C39" s="28" t="s">
        <v>13</v>
      </c>
      <c r="D39" s="28"/>
      <c r="E39" s="28" t="s">
        <v>14</v>
      </c>
      <c r="F39" s="32" t="s">
        <v>14</v>
      </c>
      <c r="G39" s="32" t="s">
        <v>13</v>
      </c>
      <c r="H39" s="32" t="s">
        <v>15</v>
      </c>
      <c r="I39" s="9" t="s">
        <v>13</v>
      </c>
      <c r="J39" s="9" t="s">
        <v>15</v>
      </c>
      <c r="K39" s="33" t="s">
        <v>15</v>
      </c>
      <c r="L39" s="33" t="s">
        <v>13</v>
      </c>
    </row>
    <row r="40" s="3" customFormat="1" spans="1:22">
      <c r="A40" s="28" t="s">
        <v>16</v>
      </c>
      <c r="B40" s="28" t="s">
        <v>17</v>
      </c>
      <c r="C40" s="28" t="s">
        <v>18</v>
      </c>
      <c r="D40" s="28"/>
      <c r="E40" s="28" t="s">
        <v>19</v>
      </c>
      <c r="F40" s="32" t="s">
        <v>20</v>
      </c>
      <c r="G40" s="34" t="s">
        <v>21</v>
      </c>
      <c r="H40" s="34" t="s">
        <v>22</v>
      </c>
      <c r="I40" s="7" t="s">
        <v>23</v>
      </c>
      <c r="J40" s="7" t="s">
        <v>24</v>
      </c>
      <c r="K40" s="31" t="s">
        <v>25</v>
      </c>
      <c r="L40" s="31" t="s">
        <v>26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294</v>
      </c>
      <c r="F42" s="12"/>
      <c r="G42" s="13">
        <v>3</v>
      </c>
      <c r="H42" s="13" t="s">
        <v>28</v>
      </c>
      <c r="I42" s="10">
        <v>3002</v>
      </c>
      <c r="J42" s="10" t="s">
        <v>295</v>
      </c>
      <c r="K42" s="8"/>
      <c r="L42" s="8">
        <v>70008</v>
      </c>
      <c r="M42" s="4" t="s">
        <v>296</v>
      </c>
      <c r="N42" s="1" t="s">
        <v>218</v>
      </c>
      <c r="O42" s="4">
        <v>10</v>
      </c>
      <c r="P42" t="s">
        <v>214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297</v>
      </c>
      <c r="F43" s="12"/>
      <c r="G43" s="13">
        <v>8</v>
      </c>
      <c r="H43" s="13" t="s">
        <v>28</v>
      </c>
      <c r="I43" s="10">
        <v>3002</v>
      </c>
      <c r="J43" s="10" t="s">
        <v>295</v>
      </c>
      <c r="K43" s="8"/>
      <c r="L43" s="8" t="s">
        <v>298</v>
      </c>
      <c r="M43" s="4" t="s">
        <v>299</v>
      </c>
      <c r="N43" s="1" t="s">
        <v>218</v>
      </c>
      <c r="O43" s="4">
        <v>30</v>
      </c>
      <c r="P43" t="s">
        <v>214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300</v>
      </c>
      <c r="F44" s="12"/>
      <c r="G44" s="13">
        <v>25</v>
      </c>
      <c r="H44" s="13" t="s">
        <v>28</v>
      </c>
      <c r="I44" s="10">
        <v>3002</v>
      </c>
      <c r="J44" s="10" t="s">
        <v>295</v>
      </c>
      <c r="K44" s="8"/>
      <c r="L44" s="8" t="s">
        <v>301</v>
      </c>
      <c r="M44" s="4" t="s">
        <v>302</v>
      </c>
      <c r="N44" s="1" t="s">
        <v>218</v>
      </c>
      <c r="O44" s="4">
        <v>100</v>
      </c>
      <c r="P44" t="s">
        <v>214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</v>
      </c>
      <c r="F45" s="12"/>
      <c r="G45" s="13">
        <v>20</v>
      </c>
      <c r="H45" s="13" t="s">
        <v>28</v>
      </c>
      <c r="I45" s="10">
        <v>2003</v>
      </c>
      <c r="J45" s="10" t="s">
        <v>304</v>
      </c>
      <c r="K45" s="8"/>
      <c r="L45" s="8" t="s">
        <v>30</v>
      </c>
      <c r="M45" s="4" t="s">
        <v>305</v>
      </c>
      <c r="N45" s="4" t="s">
        <v>306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307</v>
      </c>
      <c r="F46" s="12"/>
      <c r="G46" s="13">
        <v>1</v>
      </c>
      <c r="H46" s="13" t="s">
        <v>28</v>
      </c>
      <c r="I46" s="10">
        <v>2003</v>
      </c>
      <c r="J46" s="10" t="s">
        <v>304</v>
      </c>
      <c r="K46" s="8"/>
      <c r="L46" s="8" t="s">
        <v>92</v>
      </c>
      <c r="M46" s="4" t="s">
        <v>308</v>
      </c>
      <c r="N46" s="4" t="s">
        <v>306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309</v>
      </c>
      <c r="F47" s="12"/>
      <c r="G47" s="13">
        <v>5</v>
      </c>
      <c r="H47" s="13" t="s">
        <v>28</v>
      </c>
      <c r="I47" s="10">
        <v>2003</v>
      </c>
      <c r="J47" s="10" t="s">
        <v>304</v>
      </c>
      <c r="K47" s="8"/>
      <c r="L47" s="8" t="s">
        <v>94</v>
      </c>
      <c r="M47" s="4" t="s">
        <v>310</v>
      </c>
      <c r="N47" s="4" t="s">
        <v>306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311</v>
      </c>
      <c r="F48" s="12"/>
      <c r="G48" s="13">
        <v>10</v>
      </c>
      <c r="H48" s="13" t="s">
        <v>28</v>
      </c>
      <c r="I48" s="10">
        <v>2003</v>
      </c>
      <c r="J48" s="10" t="s">
        <v>304</v>
      </c>
      <c r="K48" s="8"/>
      <c r="L48" s="8" t="s">
        <v>96</v>
      </c>
      <c r="M48" s="4" t="s">
        <v>312</v>
      </c>
      <c r="N48" s="4" t="s">
        <v>306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L45" sqref="K40:L45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305</v>
      </c>
      <c r="K1" s="7"/>
      <c r="L1" s="7"/>
    </row>
    <row r="2" spans="1:12">
      <c r="A2" s="8">
        <v>70002</v>
      </c>
      <c r="B2" s="4" t="s">
        <v>313</v>
      </c>
      <c r="K2" s="9"/>
      <c r="L2" s="9"/>
    </row>
    <row r="3" spans="1:12">
      <c r="A3" s="8">
        <v>70003</v>
      </c>
      <c r="B3" s="4" t="s">
        <v>314</v>
      </c>
      <c r="K3" s="7"/>
      <c r="L3" s="7"/>
    </row>
    <row r="4" spans="1:12">
      <c r="A4" s="8">
        <v>70004</v>
      </c>
      <c r="B4" s="4" t="s">
        <v>315</v>
      </c>
      <c r="K4" s="7"/>
      <c r="L4" s="7"/>
    </row>
    <row r="5" spans="1:12">
      <c r="A5" s="8">
        <v>70005</v>
      </c>
      <c r="B5" s="4" t="s">
        <v>316</v>
      </c>
      <c r="K5" s="10" t="s">
        <v>317</v>
      </c>
      <c r="L5" s="10">
        <f>_xlfn.XLOOKUP(K5,[1]jumpData!$F:$F,[1]jumpData!$A:$A)</f>
        <v>2003</v>
      </c>
    </row>
    <row r="6" spans="1:12">
      <c r="A6" s="8">
        <v>70006</v>
      </c>
      <c r="B6" s="4" t="s">
        <v>318</v>
      </c>
      <c r="K6" s="10" t="s">
        <v>317</v>
      </c>
      <c r="L6" s="10">
        <f>_xlfn.XLOOKUP(K6,[1]jumpData!$F:$F,[1]jumpData!$A:$A)</f>
        <v>2003</v>
      </c>
    </row>
    <row r="7" spans="1:12">
      <c r="A7" s="8">
        <v>70007</v>
      </c>
      <c r="B7" s="4" t="s">
        <v>319</v>
      </c>
      <c r="K7" s="10" t="s">
        <v>317</v>
      </c>
      <c r="L7" s="10">
        <f>_xlfn.XLOOKUP(K7,[1]jumpData!$F:$F,[1]jumpData!$A:$A)</f>
        <v>2003</v>
      </c>
    </row>
    <row r="8" spans="1:12">
      <c r="A8" s="8">
        <v>70008</v>
      </c>
      <c r="B8" s="4" t="s">
        <v>296</v>
      </c>
      <c r="K8" s="10" t="s">
        <v>317</v>
      </c>
      <c r="L8" s="10">
        <f>_xlfn.XLOOKUP(K8,[1]jumpData!$F:$F,[1]jumpData!$A:$A)</f>
        <v>2003</v>
      </c>
    </row>
    <row r="9" spans="1:12">
      <c r="A9" s="6">
        <v>70009</v>
      </c>
      <c r="B9" s="4" t="s">
        <v>320</v>
      </c>
      <c r="K9" s="10" t="s">
        <v>317</v>
      </c>
      <c r="L9" s="10">
        <f>_xlfn.XLOOKUP(K9,[1]jumpData!$F:$F,[1]jumpData!$A:$A)</f>
        <v>2003</v>
      </c>
    </row>
    <row r="10" spans="1:12">
      <c r="A10" s="8">
        <v>70010</v>
      </c>
      <c r="B10" s="4" t="s">
        <v>321</v>
      </c>
      <c r="K10" s="10" t="s">
        <v>317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322</v>
      </c>
      <c r="K11" s="10" t="s">
        <v>317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323</v>
      </c>
      <c r="K12" s="10" t="s">
        <v>324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325</v>
      </c>
      <c r="K13" s="10" t="s">
        <v>324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326</v>
      </c>
      <c r="K14" s="10" t="s">
        <v>58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327</v>
      </c>
      <c r="K15" s="10" t="s">
        <v>67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328</v>
      </c>
      <c r="K16" s="10" t="s">
        <v>324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329</v>
      </c>
      <c r="K17" s="10" t="s">
        <v>67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330</v>
      </c>
      <c r="K18" s="10" t="s">
        <v>67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331</v>
      </c>
      <c r="K19" s="10" t="s">
        <v>67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332</v>
      </c>
      <c r="K20" s="10" t="s">
        <v>58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333</v>
      </c>
      <c r="K21" s="10" t="s">
        <v>58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334</v>
      </c>
      <c r="K22" s="10" t="s">
        <v>58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335</v>
      </c>
      <c r="K23" s="10" t="s">
        <v>73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336</v>
      </c>
      <c r="K24" s="10" t="s">
        <v>73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337</v>
      </c>
      <c r="K25" s="10" t="s">
        <v>73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338</v>
      </c>
      <c r="K26" s="10" t="s">
        <v>79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339</v>
      </c>
      <c r="K27" s="10" t="s">
        <v>79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340</v>
      </c>
      <c r="K28" s="10" t="s">
        <v>79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341</v>
      </c>
      <c r="K29" s="10" t="s">
        <v>73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342</v>
      </c>
      <c r="K30" s="10" t="s">
        <v>73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343</v>
      </c>
      <c r="K31" s="10" t="s">
        <v>73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344</v>
      </c>
      <c r="K32" s="10" t="s">
        <v>73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308</v>
      </c>
      <c r="K33" s="10" t="s">
        <v>345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310</v>
      </c>
      <c r="K34" s="10" t="s">
        <v>345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312</v>
      </c>
      <c r="K35" s="10" t="s">
        <v>345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346</v>
      </c>
      <c r="K36" s="10" t="s">
        <v>345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347</v>
      </c>
      <c r="K37" s="10" t="s">
        <v>218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348</v>
      </c>
      <c r="K38" s="10" t="s">
        <v>218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349</v>
      </c>
      <c r="K39" s="10" t="s">
        <v>218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299</v>
      </c>
      <c r="K40" s="10" t="s">
        <v>324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302</v>
      </c>
      <c r="K41" s="10" t="s">
        <v>67</v>
      </c>
      <c r="L41" s="10">
        <f>_xlfn.XLOOKUP(K41,[1]jumpData!$F:$F,[1]jumpData!$A:$A)</f>
        <v>11003</v>
      </c>
    </row>
    <row r="42" spans="1:12">
      <c r="K42" s="10" t="s">
        <v>58</v>
      </c>
      <c r="L42" s="10">
        <f>_xlfn.XLOOKUP(K42,[1]jumpData!$F:$F,[1]jumpData!$A:$A)</f>
        <v>11007</v>
      </c>
    </row>
    <row r="43" spans="1:12">
      <c r="K43" s="10" t="s">
        <v>73</v>
      </c>
      <c r="L43" s="10">
        <f>_xlfn.XLOOKUP(K43,[1]jumpData!$F:$F,[1]jumpData!$A:$A)</f>
        <v>11012</v>
      </c>
    </row>
    <row r="44" spans="1:12">
      <c r="K44" s="10" t="s">
        <v>79</v>
      </c>
      <c r="L44" s="10">
        <f>_xlfn.XLOOKUP(K44,[1]jumpData!$F:$F,[1]jumpData!$A:$A)</f>
        <v>11014</v>
      </c>
    </row>
    <row r="45" spans="1:12">
      <c r="K45" s="10" t="s">
        <v>73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350</v>
      </c>
      <c r="F59" s="12"/>
      <c r="G59" s="13">
        <v>5</v>
      </c>
      <c r="H59" s="13" t="s">
        <v>28</v>
      </c>
      <c r="I59" s="10">
        <v>2001</v>
      </c>
      <c r="J59" s="10" t="s">
        <v>351</v>
      </c>
      <c r="K59" s="8"/>
      <c r="L59" s="8">
        <v>70007</v>
      </c>
      <c r="M59" s="4" t="s">
        <v>319</v>
      </c>
      <c r="N59" s="3" t="s">
        <v>352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353</v>
      </c>
      <c r="F60" s="12"/>
      <c r="G60" s="13">
        <v>10</v>
      </c>
      <c r="H60" s="13" t="s">
        <v>28</v>
      </c>
      <c r="I60" s="10">
        <v>2001</v>
      </c>
      <c r="J60" s="10" t="s">
        <v>351</v>
      </c>
      <c r="K60" s="8"/>
      <c r="L60" s="8" t="s">
        <v>354</v>
      </c>
      <c r="M60" s="4" t="s">
        <v>339</v>
      </c>
      <c r="N60" s="3" t="s">
        <v>352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355</v>
      </c>
      <c r="F61" s="12"/>
      <c r="G61" s="13">
        <v>100</v>
      </c>
      <c r="H61" s="13" t="s">
        <v>28</v>
      </c>
      <c r="I61" s="10">
        <v>2001</v>
      </c>
      <c r="J61" s="10" t="s">
        <v>351</v>
      </c>
      <c r="K61" s="8"/>
      <c r="L61" s="8" t="s">
        <v>356</v>
      </c>
      <c r="M61" s="4" t="s">
        <v>340</v>
      </c>
      <c r="N61" s="3" t="s">
        <v>352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357</v>
      </c>
      <c r="F62" s="12"/>
      <c r="G62" s="13">
        <v>1000</v>
      </c>
      <c r="H62" s="13" t="s">
        <v>28</v>
      </c>
      <c r="I62" s="10">
        <v>2001</v>
      </c>
      <c r="J62" s="10" t="s">
        <v>351</v>
      </c>
      <c r="K62" s="8"/>
      <c r="L62" s="8" t="s">
        <v>358</v>
      </c>
      <c r="M62" s="4" t="s">
        <v>341</v>
      </c>
      <c r="N62" s="3" t="s">
        <v>352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350</v>
      </c>
      <c r="F63" s="14"/>
      <c r="G63" s="15">
        <v>10</v>
      </c>
      <c r="H63" s="15" t="s">
        <v>28</v>
      </c>
      <c r="I63" s="11">
        <v>2002</v>
      </c>
      <c r="J63" s="11" t="s">
        <v>351</v>
      </c>
      <c r="K63" s="16" t="s">
        <v>359</v>
      </c>
      <c r="L63" s="16">
        <v>70007</v>
      </c>
      <c r="M63" s="4" t="s">
        <v>319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360</v>
      </c>
      <c r="F65" s="14"/>
      <c r="G65" s="15">
        <v>20</v>
      </c>
      <c r="H65" s="15" t="s">
        <v>28</v>
      </c>
      <c r="I65" s="11">
        <v>1001</v>
      </c>
      <c r="J65" s="11" t="s">
        <v>361</v>
      </c>
      <c r="K65" s="16" t="s">
        <v>362</v>
      </c>
      <c r="L65" s="16">
        <v>70001</v>
      </c>
      <c r="M65" s="4" t="s">
        <v>305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363</v>
      </c>
      <c r="F66" s="14"/>
      <c r="G66" s="15">
        <v>100</v>
      </c>
      <c r="H66" s="15" t="s">
        <v>28</v>
      </c>
      <c r="I66" s="11">
        <v>2001</v>
      </c>
      <c r="J66" s="11" t="s">
        <v>361</v>
      </c>
      <c r="K66" s="16" t="s">
        <v>359</v>
      </c>
      <c r="L66" s="16">
        <v>70002</v>
      </c>
      <c r="M66" s="4" t="s">
        <v>364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365</v>
      </c>
      <c r="F67" s="14"/>
      <c r="G67" s="15">
        <v>10</v>
      </c>
      <c r="H67" s="15" t="s">
        <v>28</v>
      </c>
      <c r="I67" s="11">
        <v>2002</v>
      </c>
      <c r="J67" s="11" t="s">
        <v>366</v>
      </c>
      <c r="K67" s="16" t="s">
        <v>359</v>
      </c>
      <c r="L67" s="16">
        <v>70003</v>
      </c>
      <c r="M67" s="4" t="s">
        <v>314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367</v>
      </c>
      <c r="F68" s="14"/>
      <c r="G68" s="15">
        <v>40</v>
      </c>
      <c r="H68" s="15" t="s">
        <v>28</v>
      </c>
      <c r="I68" s="11">
        <v>2003</v>
      </c>
      <c r="J68" s="11" t="s">
        <v>368</v>
      </c>
      <c r="K68" s="16" t="s">
        <v>359</v>
      </c>
      <c r="L68" s="16">
        <v>70004</v>
      </c>
      <c r="M68" s="4" t="s">
        <v>315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369</v>
      </c>
      <c r="F69" s="14"/>
      <c r="G69" s="15">
        <v>10</v>
      </c>
      <c r="H69" s="15" t="s">
        <v>28</v>
      </c>
      <c r="I69" s="11">
        <v>1001</v>
      </c>
      <c r="J69" s="11" t="s">
        <v>366</v>
      </c>
      <c r="K69" s="16" t="s">
        <v>359</v>
      </c>
      <c r="L69" s="16">
        <v>70005</v>
      </c>
      <c r="M69" s="4" t="s">
        <v>316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370</v>
      </c>
      <c r="F70" s="14"/>
      <c r="G70" s="15">
        <v>20</v>
      </c>
      <c r="H70" s="15" t="s">
        <v>28</v>
      </c>
      <c r="I70" s="11">
        <v>2001</v>
      </c>
      <c r="J70" s="11" t="s">
        <v>368</v>
      </c>
      <c r="K70" s="16" t="s">
        <v>359</v>
      </c>
      <c r="L70" s="16">
        <v>70006</v>
      </c>
      <c r="M70" s="4" t="s">
        <v>371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294</v>
      </c>
      <c r="F71" s="14"/>
      <c r="G71" s="15">
        <v>5</v>
      </c>
      <c r="H71" s="15" t="s">
        <v>28</v>
      </c>
      <c r="I71" s="11">
        <v>2003</v>
      </c>
      <c r="J71" s="11" t="s">
        <v>372</v>
      </c>
      <c r="K71" s="16" t="s">
        <v>359</v>
      </c>
      <c r="L71" s="16">
        <v>70008</v>
      </c>
      <c r="M71" s="4" t="s">
        <v>296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373</v>
      </c>
      <c r="F72" s="14"/>
      <c r="G72" s="15">
        <v>1</v>
      </c>
      <c r="H72" s="15" t="s">
        <v>28</v>
      </c>
      <c r="I72" s="11">
        <v>1001</v>
      </c>
      <c r="J72" s="11" t="s">
        <v>374</v>
      </c>
      <c r="K72" s="16" t="s">
        <v>359</v>
      </c>
      <c r="L72" s="16">
        <v>70009</v>
      </c>
      <c r="M72" s="4" t="s">
        <v>320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194</v>
      </c>
      <c r="F73" s="14"/>
      <c r="G73" s="15">
        <v>5</v>
      </c>
      <c r="H73" s="15" t="s">
        <v>28</v>
      </c>
      <c r="I73" s="11">
        <v>2001</v>
      </c>
      <c r="J73" s="11" t="s">
        <v>374</v>
      </c>
      <c r="K73" s="16" t="s">
        <v>359</v>
      </c>
      <c r="L73" s="16">
        <v>70010</v>
      </c>
      <c r="M73" s="4" t="s">
        <v>375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8</v>
      </c>
      <c r="B1" s="2" t="s">
        <v>16</v>
      </c>
      <c r="C1" s="2" t="s">
        <v>376</v>
      </c>
    </row>
    <row r="2" spans="1:3">
      <c r="A2" s="1" t="s">
        <v>324</v>
      </c>
      <c r="B2" s="1">
        <v>100100</v>
      </c>
      <c r="C2" s="1" t="s">
        <v>377</v>
      </c>
    </row>
    <row r="3" spans="1:3">
      <c r="A3" s="1" t="s">
        <v>67</v>
      </c>
      <c r="B3" s="1">
        <v>100300</v>
      </c>
      <c r="C3" s="1" t="s">
        <v>65</v>
      </c>
    </row>
    <row r="4" spans="1:3">
      <c r="A4" s="1" t="s">
        <v>58</v>
      </c>
      <c r="B4" s="1">
        <v>100700</v>
      </c>
      <c r="C4" s="1" t="s">
        <v>55</v>
      </c>
    </row>
    <row r="5" spans="1:3">
      <c r="A5" s="1" t="s">
        <v>73</v>
      </c>
      <c r="B5" s="1">
        <v>101200</v>
      </c>
      <c r="C5" s="1" t="s">
        <v>71</v>
      </c>
    </row>
    <row r="6" spans="1:3">
      <c r="A6" s="1" t="s">
        <v>79</v>
      </c>
      <c r="B6" s="1">
        <v>101400</v>
      </c>
      <c r="C6" s="1" t="s">
        <v>77</v>
      </c>
    </row>
    <row r="7" spans="1:3">
      <c r="A7" s="1" t="s">
        <v>378</v>
      </c>
      <c r="B7" s="1">
        <v>101700</v>
      </c>
      <c r="C7" s="1" t="s">
        <v>379</v>
      </c>
    </row>
    <row r="8" spans="1:3">
      <c r="A8" s="1" t="s">
        <v>380</v>
      </c>
      <c r="B8" s="1">
        <v>102100</v>
      </c>
      <c r="C8" s="1" t="s">
        <v>381</v>
      </c>
    </row>
    <row r="9" spans="1:3">
      <c r="A9" s="1" t="s">
        <v>382</v>
      </c>
      <c r="B9" s="1">
        <v>102200</v>
      </c>
      <c r="C9" s="1" t="s">
        <v>383</v>
      </c>
    </row>
    <row r="10" spans="1:3">
      <c r="A10" s="1" t="s">
        <v>384</v>
      </c>
      <c r="B10" s="1">
        <v>102300</v>
      </c>
      <c r="C10" s="1" t="s">
        <v>385</v>
      </c>
    </row>
    <row r="11" spans="1:3">
      <c r="A11" s="1" t="s">
        <v>386</v>
      </c>
      <c r="B11" s="1">
        <v>102400</v>
      </c>
      <c r="C11" s="1" t="s">
        <v>387</v>
      </c>
    </row>
    <row r="12" spans="1:3">
      <c r="A12" s="1" t="s">
        <v>388</v>
      </c>
      <c r="B12" s="1">
        <v>102500</v>
      </c>
      <c r="C12" s="1" t="s">
        <v>389</v>
      </c>
    </row>
    <row r="13" spans="1:3">
      <c r="A13" s="1" t="s">
        <v>390</v>
      </c>
      <c r="B13" s="1">
        <v>200100</v>
      </c>
      <c r="C13" s="1" t="s">
        <v>391</v>
      </c>
    </row>
    <row r="14" spans="1:3">
      <c r="A14" s="1" t="s">
        <v>392</v>
      </c>
      <c r="B14" s="1">
        <v>200101</v>
      </c>
      <c r="C14" s="1" t="s">
        <v>393</v>
      </c>
    </row>
    <row r="15" spans="1:3">
      <c r="A15" s="1" t="s">
        <v>394</v>
      </c>
      <c r="B15" s="1">
        <v>200300</v>
      </c>
      <c r="C15" s="1" t="s">
        <v>395</v>
      </c>
    </row>
    <row r="16" spans="1:3">
      <c r="A16" s="1" t="s">
        <v>396</v>
      </c>
      <c r="B16" s="1">
        <v>200400</v>
      </c>
      <c r="C16" s="1" t="s">
        <v>397</v>
      </c>
    </row>
    <row r="17" spans="1:3">
      <c r="A17" s="1" t="s">
        <v>398</v>
      </c>
      <c r="B17" s="1">
        <v>200500</v>
      </c>
      <c r="C17" s="1" t="s">
        <v>399</v>
      </c>
    </row>
    <row r="18" spans="1:3">
      <c r="A18" s="1" t="s">
        <v>400</v>
      </c>
      <c r="B18" s="1">
        <v>200600</v>
      </c>
      <c r="C18" s="1" t="s">
        <v>401</v>
      </c>
    </row>
    <row r="19" spans="1:3">
      <c r="A19" s="1" t="s">
        <v>402</v>
      </c>
      <c r="B19" s="1">
        <v>200700</v>
      </c>
      <c r="C19" s="1" t="s">
        <v>403</v>
      </c>
    </row>
    <row r="20" spans="1:3">
      <c r="A20" s="1" t="s">
        <v>404</v>
      </c>
      <c r="B20" s="1">
        <v>200800</v>
      </c>
      <c r="C20" s="1" t="s">
        <v>405</v>
      </c>
    </row>
    <row r="21" spans="1:3">
      <c r="A21" s="1" t="s">
        <v>406</v>
      </c>
      <c r="B21" s="1">
        <v>200900</v>
      </c>
      <c r="C21" s="1" t="s">
        <v>407</v>
      </c>
    </row>
    <row r="22" spans="1:3">
      <c r="A22" s="1" t="s">
        <v>408</v>
      </c>
      <c r="B22" s="1">
        <v>300100</v>
      </c>
      <c r="C22" s="1" t="s">
        <v>409</v>
      </c>
    </row>
    <row r="23" spans="1:3">
      <c r="A23" s="1" t="s">
        <v>410</v>
      </c>
      <c r="B23" s="1">
        <v>300200</v>
      </c>
      <c r="C23" s="1" t="s">
        <v>411</v>
      </c>
    </row>
    <row r="24" spans="1:3">
      <c r="A24" s="1" t="s">
        <v>306</v>
      </c>
      <c r="B24" s="1">
        <v>500000</v>
      </c>
      <c r="C24" s="1" t="s">
        <v>304</v>
      </c>
    </row>
    <row r="25" spans="1:3">
      <c r="A25" s="1" t="s">
        <v>31</v>
      </c>
      <c r="B25" s="1">
        <v>500001</v>
      </c>
      <c r="C25" s="1" t="s">
        <v>29</v>
      </c>
    </row>
    <row r="26" spans="1:3">
      <c r="A26" s="1" t="s">
        <v>412</v>
      </c>
      <c r="B26" s="1">
        <v>500002</v>
      </c>
      <c r="C26" s="1" t="s">
        <v>413</v>
      </c>
    </row>
    <row r="27" spans="1:3">
      <c r="A27" s="1" t="s">
        <v>414</v>
      </c>
      <c r="B27" s="1">
        <v>500003</v>
      </c>
      <c r="C27" s="1" t="s">
        <v>415</v>
      </c>
    </row>
    <row r="28" spans="1:3">
      <c r="A28" s="1" t="s">
        <v>416</v>
      </c>
      <c r="B28" s="1">
        <v>500004</v>
      </c>
      <c r="C28" s="1" t="s">
        <v>195</v>
      </c>
    </row>
    <row r="29" spans="1:3">
      <c r="A29" s="1" t="s">
        <v>417</v>
      </c>
      <c r="B29" s="1">
        <v>500005</v>
      </c>
      <c r="C29" s="1" t="s">
        <v>418</v>
      </c>
    </row>
    <row r="30" spans="1:3">
      <c r="A30" s="1" t="s">
        <v>149</v>
      </c>
      <c r="B30" s="1">
        <v>500006</v>
      </c>
      <c r="C30" s="1" t="s">
        <v>147</v>
      </c>
    </row>
    <row r="31" spans="1:3">
      <c r="A31" s="1" t="s">
        <v>87</v>
      </c>
      <c r="B31" s="1">
        <v>500007</v>
      </c>
      <c r="C31" s="1" t="s">
        <v>84</v>
      </c>
    </row>
    <row r="32" spans="1:3">
      <c r="A32" s="1" t="s">
        <v>218</v>
      </c>
      <c r="B32" s="1">
        <v>600000</v>
      </c>
      <c r="C32" s="1" t="s">
        <v>295</v>
      </c>
    </row>
    <row r="33" spans="1:3">
      <c r="A33" s="1" t="s">
        <v>224</v>
      </c>
      <c r="B33" s="1">
        <v>600001</v>
      </c>
      <c r="C33" s="1" t="s">
        <v>419</v>
      </c>
    </row>
    <row r="34" spans="1:3">
      <c r="A34" s="1" t="s">
        <v>420</v>
      </c>
      <c r="B34" s="1">
        <v>600002</v>
      </c>
      <c r="C34" s="1" t="s">
        <v>421</v>
      </c>
    </row>
    <row r="35" spans="1:3">
      <c r="A35" s="1" t="s">
        <v>220</v>
      </c>
      <c r="B35" s="1">
        <v>600003</v>
      </c>
      <c r="C35" s="1" t="s">
        <v>422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2025-12-26T03:43:09Z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