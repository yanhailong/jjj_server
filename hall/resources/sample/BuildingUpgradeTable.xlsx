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SS\游戏配置表\Manage\"/>
    </mc:Choice>
  </mc:AlternateContent>
  <bookViews>
    <workbookView windowWidth="27945" windowHeight="11925"/>
  </bookViews>
  <sheets>
    <sheet name="BuildingUpgradeTable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definedNames>
    <definedName name="_xlnm._FilterDatabase" localSheetId="0" hidden="1">BuildingUpgradeTable!$E$1:$E$404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建筑ID：1101 的等级上限 与 【研发部】的等级上限保持一致；其它的自由配置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交互人员；对应解锁的交互设备数量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此值可以决定游客的交互次数	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空值表示不需要道具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1.娱乐区和休息区表示每分钟的产出数量
2.管理区的值表示等级的上限值，不自产
3.研究院等级解锁的是游戏ID；
4.所有区域配置的值都是相对值，比如说1级配的是1000,2级配的是2000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1.娱乐区和休息区表示每分钟的产出数量
2.管理区的值表示等级的上限值，不自产
3.研究院等级解锁的是游戏ID；
4.所有区域配置的值都是相对值，比如说1级配的是1000,2级配的是2000</t>
        </r>
      </text>
    </comment>
    <comment ref="P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这里是研究院技能的等级，用研究院技能的等级来限制建筑等级成长，玩家建筑的等级若未达到对应研究院等级，将不能进行建筑升级
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仅有交互点的设备。
例 SLOT机台，捕鱼机台、扑克机台、休息区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填写交互点ID。
SLOT交互点ID：默认1 
捕鱼和扑克交互点ID：默认 1 2 3 4 5 6  设计为6个交互位置
休息区交互点ID：默认 1 2   每条沙发设计为2个交互位置  
书与格式：设备ID交互点ID
例 设备ID 100001
交互点ID：1 2 3 4 5 6  即【 1000011 】   除去设备ID，剩余的数字为交互点ID </t>
        </r>
      </text>
    </comment>
    <comment ref="T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装饰ID，没有交互点 直填写ID即可</t>
        </r>
      </text>
    </comment>
    <comment ref="U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注：建筑ID：1101  的CD时间与 【研发部】 的CD时间要保持一致。其它建筑CD时间自由配置</t>
        </r>
      </text>
    </comment>
    <comment ref="V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每一大级间有小级
小级点击需要的道具_数量</t>
        </r>
      </text>
    </comment>
  </commentList>
</comments>
</file>

<file path=xl/sharedStrings.xml><?xml version="1.0" encoding="utf-8"?>
<sst xmlns="http://schemas.openxmlformats.org/spreadsheetml/2006/main" count="2254" uniqueCount="846">
  <si>
    <t>ID</t>
  </si>
  <si>
    <t>建筑ID</t>
  </si>
  <si>
    <t>名称</t>
  </si>
  <si>
    <t>游戏</t>
  </si>
  <si>
    <t>经营等级</t>
  </si>
  <si>
    <t>等级</t>
  </si>
  <si>
    <t>最大交互数量</t>
  </si>
  <si>
    <t>最大等待数量</t>
  </si>
  <si>
    <t>基础繁荣度</t>
  </si>
  <si>
    <t>交互次数</t>
  </si>
  <si>
    <t>升级消耗道具</t>
  </si>
  <si>
    <t>建筑基础属性</t>
  </si>
  <si>
    <t>升级奖励</t>
  </si>
  <si>
    <t>建筑等级解锁下注金额</t>
  </si>
  <si>
    <t>技能等级限制</t>
  </si>
  <si>
    <t>多语言</t>
  </si>
  <si>
    <t>解锁设备</t>
  </si>
  <si>
    <t>交互点ID</t>
  </si>
  <si>
    <t>解锁装饰</t>
  </si>
  <si>
    <t>建筑升级CD时间（min）</t>
  </si>
  <si>
    <t>每级消耗</t>
  </si>
  <si>
    <t>int</t>
  </si>
  <si>
    <t>list&lt;int&gt;{_}</t>
  </si>
  <si>
    <t>map&lt;int{_}long&gt;{|}</t>
  </si>
  <si>
    <t>long</t>
  </si>
  <si>
    <t>map&lt;int{_}int&gt;{|}</t>
  </si>
  <si>
    <t>list&lt;list&lt;int&gt;{_}&gt;{,}</t>
  </si>
  <si>
    <t>id</t>
  </si>
  <si>
    <t>BuildingID</t>
  </si>
  <si>
    <t>NeedLevel</t>
  </si>
  <si>
    <t>level</t>
  </si>
  <si>
    <t>MaxInteractionCount</t>
  </si>
  <si>
    <t>MaxWaiting</t>
  </si>
  <si>
    <t>Prosperity</t>
  </si>
  <si>
    <t>InteractCount</t>
  </si>
  <si>
    <t>UpgradeCost</t>
  </si>
  <si>
    <t>UpgradeOutput</t>
  </si>
  <si>
    <t>UpgradeExp</t>
  </si>
  <si>
    <t>UpgradeReward</t>
  </si>
  <si>
    <t>bet</t>
  </si>
  <si>
    <t>SkillLevel</t>
  </si>
  <si>
    <t>text</t>
  </si>
  <si>
    <t>UnlockEquipment</t>
  </si>
  <si>
    <t>UnlockInteractionId</t>
  </si>
  <si>
    <t>UnlockDecorationId</t>
  </si>
  <si>
    <t>UpgradeCD</t>
  </si>
  <si>
    <t>CostPerLevel</t>
  </si>
  <si>
    <t>富贵厅</t>
  </si>
  <si>
    <t>愤怒的小鸟</t>
  </si>
  <si>
    <t>1101401_1101402_1101403_1101404_1101405_1101406</t>
  </si>
  <si>
    <t>1024081_5</t>
  </si>
  <si>
    <t>1022505_200|1024007_1</t>
  </si>
  <si>
    <t>1101106_1101101_1101107_1101109_1101113_1101114_1101115</t>
  </si>
  <si>
    <t>11011061_11011011_11011071_11011091_11011131_11011141_11011151</t>
  </si>
  <si>
    <t>1101251_1101252_1101253_1101254_1101255_1101256_1101257_1101258_1101259_1101260_1101261_1101262_1101264_1101266_1101267_1101268_1101269_1101270_1101271_1101272_1101273_1101274_1101275_1101276_1101277_1101281_1101282_1101284_1101285_1101286_1101288_1101289_1101290_1101291_1101292_1101293_1101294_1101295_1101296_1101297</t>
  </si>
  <si>
    <t>1990000_706,1990000_1412,1990000_2118,1990000_2824,1990000_3530,1990000_4236,1990000_4942,1990000_5648,1990000_6354</t>
  </si>
  <si>
    <t>1101407_1101408_1101409</t>
  </si>
  <si>
    <t>1024081_10</t>
  </si>
  <si>
    <t>1101263_1101265</t>
  </si>
  <si>
    <t>1990000_1412,1990000_2824,1990000_4236,1990000_5648,1990000_7060,1990000_8472,1990000_9885,1990000_11297,1990000_12709</t>
  </si>
  <si>
    <t>1024081_15</t>
  </si>
  <si>
    <t>1990000_2118,1990000_4236,1990000_6354,1990000_8472,1990000_10591,1990000_12709,1990000_14827,1990000_16945,1990000_19064</t>
  </si>
  <si>
    <t>1024081_20</t>
  </si>
  <si>
    <t>10390001_1</t>
  </si>
  <si>
    <t>1990000_2824,1990000_5648,1990000_8472,1990000_11297,1990000_14121,1990000_16945,1990000_19770,1990000_22594,1990000_25418</t>
  </si>
  <si>
    <t>1024081_25</t>
  </si>
  <si>
    <t>1990000_3530,1990000_7060,1990000_10591,1990000_14121,1990000_17651,1990000_21182,1990000_24712,1990000_28243,1990000_31773</t>
  </si>
  <si>
    <t>1024081_30</t>
  </si>
  <si>
    <t>1990000_4236,1990000_8472,1990000_12709,1990000_16945,1990000_21182,1990000_25418,1990000_29655,1990000_33891,1990000_38128</t>
  </si>
  <si>
    <t>1024081_35</t>
  </si>
  <si>
    <t>1990000_4942,1990000_9885,1990000_14827,1990000_19770,1990000_24712,1990000_29655,1990000_34597,1990000_39540,1990000_44483</t>
  </si>
  <si>
    <t>1024081_40</t>
  </si>
  <si>
    <t>10390001_2</t>
  </si>
  <si>
    <t>1990000_5648,1990000_11297,1990000_16945,1990000_22594,1990000_28243,1990000_33891,1990000_39540,1990000_45188,1990000_50837</t>
  </si>
  <si>
    <t>1024081_45</t>
  </si>
  <si>
    <t>1990000_6354,1990000_12709,1990000_19064,1990000_25418,1990000_31773,1990000_38128,1990000_44482,1990000_50837,1990000_57192</t>
  </si>
  <si>
    <t>1024081_50</t>
  </si>
  <si>
    <t>1990000_7060,1990000_14121,1990000_21182,1990000_28243,1990000_35303,1990000_42364,1990000_49425,1990000_56486,1990000_63547</t>
  </si>
  <si>
    <t>1024081_55</t>
  </si>
  <si>
    <t>10390001_3</t>
  </si>
  <si>
    <t>1990000_8472,1990000_16945,1990000_25418,1990000_33891,1990000_42364,1990000_50837,1990000_59310,1990000_67783,1990000_76256</t>
  </si>
  <si>
    <t>1024081_60</t>
  </si>
  <si>
    <t>1990000_9885,1990000_19770,1990000_29655,1990000_39540,1990000_49425,1990000_59310,1990000_69195,1990000_79080,1990000_88966</t>
  </si>
  <si>
    <t>1024081_65</t>
  </si>
  <si>
    <t>1990000_11297,1990000_22594,1990000_33891,1990000_45189,1990000_56486,1990000_67783,1990000_79080,1990000_90378,1990000_101675</t>
  </si>
  <si>
    <t>1024081_70</t>
  </si>
  <si>
    <t>1990000_12709,1990000_25418,1990000_38128,1990000_50837,1990000_63547,1990000_76256,1990000_88965,1990000_101675,1990000_114384</t>
  </si>
  <si>
    <t>1024081_75</t>
  </si>
  <si>
    <t>1990000_14121,1990000_28243,1990000_42364,1990000_56486,1990000_70607,1990000_84729,1990000_98851,1990000_112972,1990000_127094</t>
  </si>
  <si>
    <t>1024081_80</t>
  </si>
  <si>
    <t>1990000_15533,1990000_31067,1990000_46601,1990000_62134,1990000_77668,1990000_93202,1990000_108736,1990000_124269,1990000_139803</t>
  </si>
  <si>
    <t>1024081_85</t>
  </si>
  <si>
    <t>1990000_16945,1990000_33891,1990000_50837,1990000_67783,1990000_84729,1990000_101675,1990000_118621,1990000_135567,1990000_152513</t>
  </si>
  <si>
    <t>1024081_90</t>
  </si>
  <si>
    <t>1990000_18358,1990000_36716,1990000_55074,1990000_73432,1990000_91790,1990000_110148,1990000_128506,1990000_146864,1990000_165222</t>
  </si>
  <si>
    <t>1024081_95</t>
  </si>
  <si>
    <t>1990000_19770,1990000_39540,1990000_59310,1990000_79080,1990000_98851,1990000_118621,1990000_138391,1990000_158161,1990000_177932</t>
  </si>
  <si>
    <t>1024081_100</t>
  </si>
  <si>
    <t>1990000_21182,1990000_42364,1990000_63547,1990000_84729,1990000_105911,1990000_127094,1990000_148276,1990000_169459,1990000_190641</t>
  </si>
  <si>
    <t>贵宾厅</t>
  </si>
  <si>
    <t>象财神</t>
  </si>
  <si>
    <t>1102401_1102402_1102403_1102404_1102405_1102406</t>
  </si>
  <si>
    <t>1024083_5</t>
  </si>
  <si>
    <t>1022505_400|1024007_1</t>
  </si>
  <si>
    <t>1102101_1102102_1102104_1102105_1102109_1102110_1102111</t>
  </si>
  <si>
    <t>11021011_11021021_11021041_11021051_11021091_11021101_11021111</t>
  </si>
  <si>
    <t>1102251_1102252_1102253_1102254_1102255_1102256_1102257_1102258_1102259_1102260_1102261_1102263_1102264_1102265_1102266_1102267_1102268_1102271_1102274_1102275_1102276_1102277_1102278_1102279_1102280_1102281_1102282_1102283_1102284_1102285_1102286_1102293_1102295_1102296_1102297_1102298_1102299</t>
  </si>
  <si>
    <t>1990000_1767,1990000_3535,1990000_5303,1990000_7070,1990000_8838,1990000_10606,1990000_12373,1990000_14141,1990000_15909</t>
  </si>
  <si>
    <t>1102407_1102408_1102409</t>
  </si>
  <si>
    <t>1024083_10</t>
  </si>
  <si>
    <t>1102272_1102273</t>
  </si>
  <si>
    <t>1990000_3535,1990000_7070,1990000_10606,1990000_14141,1990000_17677,1990000_21212,1990000_24747,1990000_28283,1990000_31818</t>
  </si>
  <si>
    <t>1024083_15</t>
  </si>
  <si>
    <t>1990000_5303,1990000_10606,1990000_15909,1990000_21212,1990000_26515,1990000_31818,1990000_37121,1990000_42425,1990000_47728</t>
  </si>
  <si>
    <t>1024083_20</t>
  </si>
  <si>
    <t>10270001_1</t>
  </si>
  <si>
    <t>1102287_1102288_1102289_1102290_1102291_1102292_1102294</t>
  </si>
  <si>
    <t>1990000_7070,1990000_14141,1990000_21212,1990000_28283,1990000_35354,1990000_42425,1990000_49495,1990000_56566,1990000_63637</t>
  </si>
  <si>
    <t>1024083_25</t>
  </si>
  <si>
    <t>1990000_8838,1990000_17677,1990000_26515,1990000_35354,1990000_44192,1990000_53031,1990000_61869,1990000_70708,1990000_79547</t>
  </si>
  <si>
    <t>1024083_30</t>
  </si>
  <si>
    <t>1990000_10606,1990000_21212,1990000_31818,1990000_42425,1990000_53031,1990000_63637,1990000_74244,1990000_84850,1990000_95456</t>
  </si>
  <si>
    <t>1024083_35</t>
  </si>
  <si>
    <t>1990000_12374,1990000_24748,1990000_37122,1990000_49496,1990000_61870,1990000_74244,1990000_86618,1990000_98992,1990000_111366</t>
  </si>
  <si>
    <t>1024083_40</t>
  </si>
  <si>
    <t>10270001_2</t>
  </si>
  <si>
    <t>1990000_14141,1990000_28283,1990000_42425,1990000_56566,1990000_70708,1990000_84850,1990000_98991,1990000_113133,1990000_127275</t>
  </si>
  <si>
    <t>1024083_45</t>
  </si>
  <si>
    <t>1990000_15909,1990000_31818,1990000_47728,1990000_63637,1990000_79547,1990000_95456,1990000_111365,1990000_127275,1990000_143184</t>
  </si>
  <si>
    <t>1024083_50</t>
  </si>
  <si>
    <t>1990000_17677,1990000_35354,1990000_53031,1990000_70708,1990000_88385,1990000_106062,1990000_123739,1990000_141417,1990000_159094</t>
  </si>
  <si>
    <t>1024083_55</t>
  </si>
  <si>
    <t>10270001_3</t>
  </si>
  <si>
    <t>1990000_21212,1990000_42425,1990000_63637,1990000_84850,1990000_106062,1990000_127275,1990000_148488,1990000_169700,1990000_190913</t>
  </si>
  <si>
    <t>1024083_60</t>
  </si>
  <si>
    <t>1990000_24748,1990000_49496,1990000_74244,1990000_98992,1990000_123740,1990000_148488,1990000_173236,1990000_197984,1990000_222732</t>
  </si>
  <si>
    <t>1024083_65</t>
  </si>
  <si>
    <t>1990000_28283,1990000_56566,1990000_84850,1990000_113133,1990000_141417,1990000_169700,1990000_197983,1990000_226267,1990000_254550</t>
  </si>
  <si>
    <t>1024083_70</t>
  </si>
  <si>
    <t>10270001_4</t>
  </si>
  <si>
    <t>1990000_31818,1990000_63637,1990000_95456,1990000_127275,1990000_159094,1990000_190913,1990000_222732,1990000_254550,1990000_286369</t>
  </si>
  <si>
    <t>1024083_75</t>
  </si>
  <si>
    <t>1990000_35354,1990000_70708,1990000_106062,1990000_141417,1990000_176771,1990000_212125,1990000_247480,1990000_282834,1990000_318188</t>
  </si>
  <si>
    <t>1024083_80</t>
  </si>
  <si>
    <t>1990000_38889,1990000_77779,1990000_116669,1990000_155558,1990000_194448,1990000_233338,1990000_272227,1990000_311117,1990000_350007</t>
  </si>
  <si>
    <t>1024083_85</t>
  </si>
  <si>
    <t>1990000_42425,1990000_84850,1990000_127275,1990000_169700,1990000_212125,1990000_254550,1990000_296976,1990000_339401,1990000_381826</t>
  </si>
  <si>
    <t>1024083_90</t>
  </si>
  <si>
    <t>1990000_45960,1990000_91921,1990000_137881,1990000_183842,1990000_229802,1990000_275763,1990000_321724,1990000_367684,1990000_413645</t>
  </si>
  <si>
    <t>1024083_95</t>
  </si>
  <si>
    <t>1990000_49496,1990000_98992,1990000_148488,1990000_197984,1990000_247480,1990000_296976,1990000_346472,1990000_395968,1990000_445464</t>
  </si>
  <si>
    <t>1024083_100</t>
  </si>
  <si>
    <t>1990000_53031,1990000_106062,1990000_159094,1990000_212125,1990000_265157,1990000_318188,1990000_371220,1990000_424251,1990000_477283</t>
  </si>
  <si>
    <t>欢乐捕鱼厅</t>
  </si>
  <si>
    <t>麻将胡了</t>
  </si>
  <si>
    <t>1110401_1110402_1110403_1110404_1110405</t>
  </si>
  <si>
    <t>1024030_5</t>
  </si>
  <si>
    <t>1022505_1200|1024007_1</t>
  </si>
  <si>
    <t>1110101_1110102_1110103_1110104_1110105_1110106_1110107_1110108_1110112_1110113_1110114</t>
  </si>
  <si>
    <t>11101011_11101021_11101031_11101041_11101051_11101061_11101071_11101081_11101121_11101131_11101141</t>
  </si>
  <si>
    <t>1110251_1110252_1110255_1110257_1110259_1110260_1110261_1110262_1110263_1110265_1110266_1110267_1110269_1110270_1110271_1110274_1110275_1110276_1110277</t>
  </si>
  <si>
    <t>1990000_9324,1990000_18649,1990000_27974,1990000_37298,1990000_46623,1990000_55948,1990000_65272,1990000_74597,1990000_83922</t>
  </si>
  <si>
    <t>1110406_1110407_1110408</t>
  </si>
  <si>
    <t>1024030_10</t>
  </si>
  <si>
    <t>1022505_12001024007_1</t>
  </si>
  <si>
    <t>1990000_18649,1990000_37298,1990000_55948,1990000_74597,1990000_93247,1990000_111896,1990000_130546,1990000_149195,1990000_167845</t>
  </si>
  <si>
    <t>1110409_1110410_1110411_1110412</t>
  </si>
  <si>
    <t>1024030_15</t>
  </si>
  <si>
    <t>1110254_1110258</t>
  </si>
  <si>
    <t>1990000_27974,1990000_55948,1990000_83922,1990000_111896,1990000_139870,1990000_167845,1990000_195819,1990000_223793,1990000_251767</t>
  </si>
  <si>
    <t>1024030_20</t>
  </si>
  <si>
    <t>10070001_1</t>
  </si>
  <si>
    <t>1990000_37298,1990000_74597,1990000_111896,1990000_149195,1990000_186494,1990000_223793,1990000_261092,1990000_298391,1990000_335690</t>
  </si>
  <si>
    <t>1024030_25</t>
  </si>
  <si>
    <t>1990000_46623,1990000_93247,1990000_139870,1990000_186494,1990000_233118,1990000_279741,1990000_326365,1990000_372989,1990000_419612</t>
  </si>
  <si>
    <t>1024030_30</t>
  </si>
  <si>
    <t>1990000_55948,1990000_111896,1990000_167845,1990000_223793,1990000_279741,1990000_335690,1990000_391638,1990000_447587,1990000_503535</t>
  </si>
  <si>
    <t>1024030_35</t>
  </si>
  <si>
    <t>1990000_65273,1990000_130546,1990000_195819,1990000_261092,1990000_326365,1990000_391638,1990000_456911,1990000_522184,1990000_587458</t>
  </si>
  <si>
    <t>1024030_40</t>
  </si>
  <si>
    <t>10070001_2</t>
  </si>
  <si>
    <t>1990000_74597,1990000_149195,1990000_223793,1990000_298391,1990000_372989,1990000_447587,1990000_522184,1990000_596782,1990000_671380</t>
  </si>
  <si>
    <t>1024030_45</t>
  </si>
  <si>
    <t>1990000_83922,1990000_167845,1990000_251767,1990000_335690,1990000_419612,1990000_503535,1990000_587458,1990000_671380,1990000_755303</t>
  </si>
  <si>
    <t>1024030_50</t>
  </si>
  <si>
    <t>1990000_93247,1990000_186494,1990000_279741,1990000_372989,1990000_466236,1990000_559483,1990000_652731,1990000_745978,1990000_839225</t>
  </si>
  <si>
    <t>1024030_55</t>
  </si>
  <si>
    <t>10070001_3</t>
  </si>
  <si>
    <t>1990000_102572,1990000_205144,1990000_307716,1990000_410288,1990000_512860,1990000_615432,1990000_718004,1990000_820576,1990000_923148</t>
  </si>
  <si>
    <t>1024030_60</t>
  </si>
  <si>
    <t>1990000_111896,1990000_223793,1990000_335690,1990000_447587,1990000_559483,1990000_671380,1990000_783277,1990000_895174,1990000_1007071</t>
  </si>
  <si>
    <t>1024030_65</t>
  </si>
  <si>
    <t>1990000_121221,1990000_242443,1990000_363664,1990000_484886,1990000_606107,1990000_727329,1990000_848550,1990000_969772,1990000_1090993</t>
  </si>
  <si>
    <t>1024030_70</t>
  </si>
  <si>
    <t>10070001_4</t>
  </si>
  <si>
    <t>1990000_130546,1990000_261092,1990000_391638,1990000_522184,1990000_652731,1990000_783277,1990000_913823,1990000_1044369,1990000_1174916</t>
  </si>
  <si>
    <t>1024030_75</t>
  </si>
  <si>
    <t>1990000_139870,1990000_279741,1990000_419612,1990000_559483,1990000_699354,1990000_839225,1990000_979096,1990000_1118967,1990000_1258838</t>
  </si>
  <si>
    <t>1024030_80</t>
  </si>
  <si>
    <t>10070001_5</t>
  </si>
  <si>
    <t>1990000_149195,1990000_298391,1990000_447587,1990000_596782,1990000_745978,1990000_895174,1990000_1044369,1990000_1193565,1990000_1342761</t>
  </si>
  <si>
    <t>1024030_85</t>
  </si>
  <si>
    <t>1990000_158520,1990000_317040,1990000_475561,1990000_634081,1990000_792602,1990000_951122,1990000_1109643,1990000_1268163,1990000_1426684</t>
  </si>
  <si>
    <t>1024030_90</t>
  </si>
  <si>
    <t>1990000_167845,1990000_335690,1990000_503535,1990000_671380,1990000_839225,1990000_1007071,1990000_1174916,1990000_1342761,1990000_1510606</t>
  </si>
  <si>
    <t>1024030_95</t>
  </si>
  <si>
    <t>1990000_177169,1990000_354339,1990000_531509,1990000_708679,1990000_885849,1990000_1063019,1990000_1240189,1990000_1417359,1990000_1594529</t>
  </si>
  <si>
    <t>1024030_100</t>
  </si>
  <si>
    <t>1990000_186494,1990000_372989,1990000_559483,1990000_745978,1990000_932473,1990000_1118967,1990000_1305462,1990000_1491957,1990000_1678451</t>
  </si>
  <si>
    <t>博弈扑克厅</t>
  </si>
  <si>
    <t>篮球巨星</t>
  </si>
  <si>
    <t>1107401_1107402_1107403_1107404_1107405</t>
  </si>
  <si>
    <t>1024076_5</t>
  </si>
  <si>
    <t>1022505_1400|1024007_1</t>
  </si>
  <si>
    <t>1107101_1107102_1107103_1107104_1107106_1107107_1107115</t>
  </si>
  <si>
    <t>11071011_11071021_11071031_11071041_11071061_11071071_11071151</t>
  </si>
  <si>
    <t>1107251_1107252_1107254_1107256_1107257_1107258_1107259_1107260_1107261_1107262_1107263_1107264_1107268_1107270_1107271_1107272_1107274_1107277_1107278</t>
  </si>
  <si>
    <t>1990000_19342,1990000_38685,1990000_58028,1990000_77370,1990000_96713,1990000_116056,1990000_135399,1990000_154741,1990000_174084</t>
  </si>
  <si>
    <t>1107406_1107407_1107408</t>
  </si>
  <si>
    <t>1024076_10</t>
  </si>
  <si>
    <t>1990000_38685,1990000_77370,1990000_116056,1990000_154741,1990000_193427,1990000_232112,1990000_270798,1990000_309483,1990000_348169</t>
  </si>
  <si>
    <t>1107409_1107410_1107411_1107412</t>
  </si>
  <si>
    <t>1024076_15</t>
  </si>
  <si>
    <t>1990000_58028,1990000_116056,1990000_174084,1990000_232112,1990000_290141,1990000_348169,1990000_406197,1990000_464225,1990000_522254</t>
  </si>
  <si>
    <t>1024076_20</t>
  </si>
  <si>
    <t>10180001_1</t>
  </si>
  <si>
    <t>1990000_77370,1990000_154741,1990000_232112,1990000_309483,1990000_386854,1990000_464225,1990000_541596,1990000_618967,1990000_696338</t>
  </si>
  <si>
    <t>1024076_25</t>
  </si>
  <si>
    <t>1990000_96713,1990000_193427,1990000_290141,1990000_386854,1990000_483568,1990000_580282,1990000_676996,1990000_773709,1990000_870423</t>
  </si>
  <si>
    <t>1024076_30</t>
  </si>
  <si>
    <t>1990000_116056,1990000_232112,1990000_348169,1990000_464225,1990000_580282,1990000_696338,1990000_812395,1990000_928451,1990000_1044508</t>
  </si>
  <si>
    <t>1024076_35</t>
  </si>
  <si>
    <t>1990000_135399,1990000_270798,1990000_406197,1990000_541596,1990000_676996,1990000_812395,1990000_947794,1990000_1083193,1990000_1218593</t>
  </si>
  <si>
    <t>1024076_40</t>
  </si>
  <si>
    <t>10180001_2</t>
  </si>
  <si>
    <t>1990000_154741,1990000_309483,1990000_464225,1990000_618967,1990000_773709,1990000_928451,1990000_1083193,1990000_1237935,1990000_1392677</t>
  </si>
  <si>
    <t>1024076_45</t>
  </si>
  <si>
    <t>1990000_174084,1990000_348169,1990000_522254,1990000_696338,1990000_870423,1990000_1044508,1990000_1218592,1990000_1392677,1990000_1566762</t>
  </si>
  <si>
    <t>1024076_50</t>
  </si>
  <si>
    <t>1990000_193427,1990000_386854,1990000_580282,1990000_773709,1990000_967137,1990000_1160564,1990000_1353992,1990000_1547419,1990000_1740847</t>
  </si>
  <si>
    <t>1024076_55</t>
  </si>
  <si>
    <t>10180001_3</t>
  </si>
  <si>
    <t>1990000_212770,1990000_425540,1990000_638310,1990000_851080,1990000_1063851,1990000_1276621,1990000_1489391,1990000_1702161,1990000_1914932</t>
  </si>
  <si>
    <t>1024076_60</t>
  </si>
  <si>
    <t>1990000_232112,1990000_464225,1990000_696338,1990000_928451,1990000_1160564,1990000_1392677,1990000_1624790,1990000_1856903,1990000_2089016</t>
  </si>
  <si>
    <t>1024076_65</t>
  </si>
  <si>
    <t>1990000_251455,1990000_502911,1990000_754367,1990000_1005822,1990000_1257278,1990000_1508734,1990000_1760189,1990000_2011645,1990000_2263101</t>
  </si>
  <si>
    <t>1024076_70</t>
  </si>
  <si>
    <t>10180001_4</t>
  </si>
  <si>
    <t>1990000_270798,1990000_541596,1990000_812395,1990000_1083193,1990000_1353992,1990000_1624790,1990000_1895589,1990000_2166387,1990000_2437186</t>
  </si>
  <si>
    <t>1024076_75</t>
  </si>
  <si>
    <t>1990000_290141,1990000_580282,1990000_870423,1990000_1160564,1990000_1450706,1990000_1740847,1990000_2030988,1990000_2321129,1990000_2611270</t>
  </si>
  <si>
    <t>1024076_80</t>
  </si>
  <si>
    <t>10180001_5</t>
  </si>
  <si>
    <t>1990000_309483,1990000_618967,1990000_928451,1990000_1237935,1990000_1547419,1990000_1856903,1990000_2166387,1990000_2475871,1990000_2785355</t>
  </si>
  <si>
    <t>1024076_85</t>
  </si>
  <si>
    <t>1990000_328826,1990000_657653,1990000_986480,1990000_1315306,1990000_1644133,1990000_1972960,1990000_2301786,1990000_2630613,1990000_2959440</t>
  </si>
  <si>
    <t>1024076_90</t>
  </si>
  <si>
    <t>10180001_6</t>
  </si>
  <si>
    <t>1990000_348169,1990000_696338,1990000_1044508,1990000_1392677,1990000_1740847,1990000_2089016,1990000_2437186,1990000_2785355,1990000_3133525</t>
  </si>
  <si>
    <t>1024076_95</t>
  </si>
  <si>
    <t>1990000_367512,1990000_735024,1990000_1102536,1990000_1470048,1990000_1837561,1990000_2205073,1990000_2572585,1990000_2940097,1990000_3307609</t>
  </si>
  <si>
    <t>1024076_100</t>
  </si>
  <si>
    <t>1990000_386854,1990000_773709,1990000_1160564,1990000_1547419,1990000_1934274,1990000_2321129,1990000_2707984,1990000_3094839,1990000_3481694</t>
  </si>
  <si>
    <t>至尊厅</t>
  </si>
  <si>
    <t>绿巨人</t>
  </si>
  <si>
    <t>1106401_1106402_1106403_1106404_1106405_1106406</t>
  </si>
  <si>
    <t>1024078_5</t>
  </si>
  <si>
    <t>1022505_1600|1024007_1</t>
  </si>
  <si>
    <t>1106101_1106102_1106103_1106104_1106105_1106106</t>
  </si>
  <si>
    <t>11061011_11061021_11061031_11061041_11061051_11061061</t>
  </si>
  <si>
    <t>1106266_1106268_1106257_1106258_1106259_1106260_1106262_1106264</t>
  </si>
  <si>
    <t>1990000_34264,1990000_68529,1990000_102793,1990000_137058,1990000_171323,1990000_205587,1990000_239852,1990000_274116,1990000_308381</t>
  </si>
  <si>
    <t>1106407_1106408</t>
  </si>
  <si>
    <t>1024078_10</t>
  </si>
  <si>
    <t>1106107_1106108</t>
  </si>
  <si>
    <t>11061071_11061081</t>
  </si>
  <si>
    <t>1990000_68529,1990000_137058,1990000_205587,1990000_274116,1990000_342646,1990000_411175,1990000_479704,1990000_548233,1990000_616762</t>
  </si>
  <si>
    <t>1106409_1106410</t>
  </si>
  <si>
    <t>1024078_15</t>
  </si>
  <si>
    <t>1106109_1106110</t>
  </si>
  <si>
    <t>11061091_11061101</t>
  </si>
  <si>
    <t>1990000_102793,1990000_205587,1990000_308381,1990000_411175,1990000_513969,1990000_616762,1990000_719556,1990000_822350,1990000_925144</t>
  </si>
  <si>
    <t>1024078_20</t>
  </si>
  <si>
    <t>10310001_1</t>
  </si>
  <si>
    <t>1990000_137058,1990000_274116,1990000_411175,1990000_548233,1990000_685292,1990000_822350,1990000_959408,1990000_1096467,1990000_1233525</t>
  </si>
  <si>
    <t>1024078_25</t>
  </si>
  <si>
    <t>1990000_171323,1990000_342646,1990000_513969,1990000_685292,1990000_856615,1990000_1027938,1990000_1199261,1990000_1370584,1990000_1541907</t>
  </si>
  <si>
    <t>1024078_30</t>
  </si>
  <si>
    <t>1990000_205587,1990000_411175,1990000_616762,1990000_822350,1990000_1027938,1990000_1233525,1990000_1439113,1990000_1644701,1990000_1850288</t>
  </si>
  <si>
    <t>1024078_35</t>
  </si>
  <si>
    <t>1990000_239852,1990000_479704,1990000_719556,1990000_959408,1990000_1199261,1990000_1439113,1990000_1678965,1990000_1918817,1990000_2158670</t>
  </si>
  <si>
    <t>1024078_40</t>
  </si>
  <si>
    <t>10310001_2</t>
  </si>
  <si>
    <t>1990000_274116,1990000_548233,1990000_822350,1990000_1096467,1990000_1370584,1990000_1644701,1990000_1918818,1990000_2192934,1990000_2467051</t>
  </si>
  <si>
    <t>1024078_45</t>
  </si>
  <si>
    <t>1990000_308381,1990000_616762,1990000_925144,1990000_1233525,1990000_1541907,1990000_1850288,1990000_2158670,1990000_2467051,1990000_2775433</t>
  </si>
  <si>
    <t>1024078_50</t>
  </si>
  <si>
    <t>1990000_342646,1990000_685292,1990000_1027938,1990000_1370584,1990000_1713230,1990000_2055876,1990000_2398522,1990000_2741168,1990000_3083814</t>
  </si>
  <si>
    <t>1024078_55</t>
  </si>
  <si>
    <t>10310001_3</t>
  </si>
  <si>
    <t>1990000_376910,1990000_753821,1990000_1130732,1990000_1507642,1990000_1884553,1990000_2261464,1990000_2638374,1990000_3015285,1990000_3392196</t>
  </si>
  <si>
    <t>1024078_60</t>
  </si>
  <si>
    <t>1990000_411175,1990000_822350,1990000_1233525,1990000_1644701,1990000_2055876,1990000_2467051,1990000_2878227,1990000_3289402,1990000_3700577</t>
  </si>
  <si>
    <t>1024078_65</t>
  </si>
  <si>
    <t>1990000_445439,1990000_890879,1990000_1336319,1990000_1781759,1990000_2227199,1990000_2672639,1990000_3118079,1990000_3563519,1990000_4008959</t>
  </si>
  <si>
    <t>1024078_70</t>
  </si>
  <si>
    <t>10310001_4</t>
  </si>
  <si>
    <t>1990000_479704,1990000_959409,1990000_1439113,1990000_1918818,1990000_2398522,1990000_2878227,1990000_3357931,1990000_3837636,1990000_4317340</t>
  </si>
  <si>
    <t>1024078_75</t>
  </si>
  <si>
    <t>1990000_513969,1990000_1027938,1990000_1541907,1990000_2055876,1990000_2569845,1990000_3083814,1990000_3597783,1990000_4111752,1990000_4625722</t>
  </si>
  <si>
    <t>1024078_80</t>
  </si>
  <si>
    <t>10310001_5</t>
  </si>
  <si>
    <t>1990000_548233,1990000_1096467,1990000_1644701,1990000_2192934,1990000_2741168,1990000_3289402,1990000_3837636,1990000_4385869,1990000_4934103</t>
  </si>
  <si>
    <t>1024078_85</t>
  </si>
  <si>
    <t>1990000_582498,1990000_1164996,1990000_1747495,1990000_2329993,1990000_2912491,1990000_3494990,1990000_4077488,1990000_4659986,1990000_5242485</t>
  </si>
  <si>
    <t>1024078_90</t>
  </si>
  <si>
    <t>10310001_6</t>
  </si>
  <si>
    <t>1990000_616762,1990000_1233525,1990000_1850288,1990000_2467051,1990000_3083814,1990000_3700577,1990000_4317340,1990000_4934103,1990000_5550866</t>
  </si>
  <si>
    <t>1024078_95</t>
  </si>
  <si>
    <t>1990000_651027,1990000_1302055,1990000_1953082,1990000_2604110,1990000_3255137,1990000_3906165,1990000_4557192,1990000_5208220,1990000_5859248</t>
  </si>
  <si>
    <t>1024078_100</t>
  </si>
  <si>
    <t>1990000_685292,1990000_1370584,1990000_2055876,1990000_2741168,1990000_3426460,1990000_4111752,1990000_4797045,1990000_5482337,1990000_6167629</t>
  </si>
  <si>
    <t>尊享厅</t>
  </si>
  <si>
    <t>寒冰王座</t>
  </si>
  <si>
    <t>1105401_1105402_1105403_1105404_1105405_1105406</t>
  </si>
  <si>
    <t>1024077_5</t>
  </si>
  <si>
    <t>1022505_1800|1024007_1</t>
  </si>
  <si>
    <t>1105101_1105102_1105103_1105104_1105105_1105106</t>
  </si>
  <si>
    <t>11051011_11051021_11051031_11051041_11051051_11051061</t>
  </si>
  <si>
    <t>1105268_1105271_1105254_1105255_1105258_1105259_1105260_1105261</t>
  </si>
  <si>
    <t>1990000_62182,1990000_124364,1990000_186546,1990000_248728,1990000_310910,1990000_373092,1990000_435275,1990000_497457,1990000_559639</t>
  </si>
  <si>
    <t>1105407_1105408</t>
  </si>
  <si>
    <t>1024077_10</t>
  </si>
  <si>
    <t>1105107_1105108</t>
  </si>
  <si>
    <t>11051071_11051081</t>
  </si>
  <si>
    <t>1990000_124364,1990000_248728,1990000_373092,1990000_497457,1990000_621821,1990000_746185,1990000_870550,1990000_994914,1990000_1119278</t>
  </si>
  <si>
    <t>1105409_1105410</t>
  </si>
  <si>
    <t>1024077_15</t>
  </si>
  <si>
    <t>1105109_1105110</t>
  </si>
  <si>
    <t>11051091_11051101</t>
  </si>
  <si>
    <t>1990000_186546,1990000_373092,1990000_559639,1990000_746185,1990000_932732,1990000_1119278,1990000_1305825,1990000_1492371,1990000_1678918</t>
  </si>
  <si>
    <t>1024077_20</t>
  </si>
  <si>
    <t>10250001_1</t>
  </si>
  <si>
    <t>1990000_248728,1990000_497457,1990000_746185,1990000_994914,1990000_1243643,1990000_1492371,1990000_1741100,1990000_1989829,1990000_2238557</t>
  </si>
  <si>
    <t>1024077_25</t>
  </si>
  <si>
    <t>1990000_310910,1990000_621821,1990000_932732,1990000_1243643,1990000_1554554,1990000_1865464,1990000_2176375,1990000_2487286,1990000_2798197</t>
  </si>
  <si>
    <t>1024077_30</t>
  </si>
  <si>
    <t>1990000_373092,1990000_746185,1990000_1119278,1990000_1492371,1990000_1865464,1990000_2238557,1990000_2611650,1990000_2984743,1990000_3357836</t>
  </si>
  <si>
    <t>1024077_35</t>
  </si>
  <si>
    <t>1990000_435275,1990000_870550,1990000_1305825,1990000_1741100,1990000_2176375,1990000_2611650,1990000_3046926,1990000_3482201,1990000_3917476</t>
  </si>
  <si>
    <t>1024077_40</t>
  </si>
  <si>
    <t>10250001_2</t>
  </si>
  <si>
    <t>1990000_497457,1990000_994914,1990000_1492371,1990000_1989829,1990000_2487286,1990000_2984743,1990000_3482201,1990000_3979658,1990000_4477115</t>
  </si>
  <si>
    <t>1024077_45</t>
  </si>
  <si>
    <t>1990000_559639,1990000_1119278,1990000_1678918,1990000_2238557,1990000_2798197,1990000_3357836,1990000_3917476,1990000_4477115,1990000_5036755</t>
  </si>
  <si>
    <t>1024077_50</t>
  </si>
  <si>
    <t>1990000_621821,1990000_1243643,1990000_1865464,1990000_2487286,1990000_3109108,1990000_3730929,1990000_4352751,1990000_4974573,1990000_5596394</t>
  </si>
  <si>
    <t>1024077_55</t>
  </si>
  <si>
    <t>10250001_3</t>
  </si>
  <si>
    <t>1990000_684003,1990000_1368007,1990000_2052011,1990000_2736015,1990000_3420019,1990000_4104022,1990000_4788026,1990000_5472030,1990000_6156034</t>
  </si>
  <si>
    <t>1024077_60</t>
  </si>
  <si>
    <t>1990000_746185,1990000_1492371,1990000_2238557,1990000_2984743,1990000_3730929,1990000_4477115,1990000_5223301,1990000_5969487,1990000_6715673</t>
  </si>
  <si>
    <t>1024077_65</t>
  </si>
  <si>
    <t>1990000_808368,1990000_1616736,1990000_2425104,1990000_3233472,1990000_4041840,1990000_4850208,1990000_5658577,1990000_6466945,1990000_7275313</t>
  </si>
  <si>
    <t>1024077_70</t>
  </si>
  <si>
    <t>10250001_4</t>
  </si>
  <si>
    <t>1990000_870550,1990000_1741100,1990000_2611650,1990000_3482201,1990000_4352751,1990000_5223301,1990000_6093852,1990000_6964402,1990000_7834952</t>
  </si>
  <si>
    <t>1024077_75</t>
  </si>
  <si>
    <t>1990000_932732,1990000_1865464,1990000_2798197,1990000_3730929,1990000_4663662,1990000_5596394,1990000_6529127,1990000_7461859,1990000_8394592</t>
  </si>
  <si>
    <t>1024077_80</t>
  </si>
  <si>
    <t>10250001_5</t>
  </si>
  <si>
    <t>1990000_994914,1990000_1989829,1990000_2984743,1990000_3979658,1990000_4974573,1990000_5969487,1990000_6964402,1990000_7959317,1990000_8954231</t>
  </si>
  <si>
    <t>1024077_85</t>
  </si>
  <si>
    <t>1990000_1057096,1990000_2114193,1990000_3171290,1990000_4228387,1990000_5285484,1990000_6342580,1990000_7399677,1990000_8456774,1990000_9513871</t>
  </si>
  <si>
    <t>1024077_90</t>
  </si>
  <si>
    <t>10250001_6</t>
  </si>
  <si>
    <t>1990000_1119278,1990000_2238557,1990000_3357836,1990000_4477115,1990000_5596394,1990000_6715673,1990000_7834952,1990000_8954231,1990000_10073510</t>
  </si>
  <si>
    <t>1024077_95</t>
  </si>
  <si>
    <t>1990000_1181461,1990000_2362922,1990000_3544383,1990000_4725844,1990000_5907305,1990000_7088766,1990000_8270228,1990000_9451689,1990000_10633150</t>
  </si>
  <si>
    <t>1024077_100</t>
  </si>
  <si>
    <t>1990000_1243643,1990000_2487286,1990000_3730929,1990000_4974573,1990000_6218216,1990000_7461859,1990000_8705503,1990000_9949146,1990000_11192789</t>
  </si>
  <si>
    <t>鸿运厅</t>
  </si>
  <si>
    <t>财神来了</t>
  </si>
  <si>
    <t>1104401_1104402_1104403_1104404_1104405_1104406</t>
  </si>
  <si>
    <t>1024040_5</t>
  </si>
  <si>
    <t>1022505_2000|1024007_1</t>
  </si>
  <si>
    <t>1104101_1104102_1104103_1104104_1104105_1104106</t>
  </si>
  <si>
    <t>11041011_11041021_11041031_11041041_11041051_11041061</t>
  </si>
  <si>
    <t>1104266_1104269_1104254_1104257_1104258_1104260_1104255</t>
  </si>
  <si>
    <t>1990000_125933,1990000_251866,1990000_377799,1990000_503732,1990000_629666,1990000_755599,1990000_881532,1990000_1007465,1990000_1133399</t>
  </si>
  <si>
    <t>1104407_1104408</t>
  </si>
  <si>
    <t>1024040_10</t>
  </si>
  <si>
    <t>1104107_1104108</t>
  </si>
  <si>
    <t>11041071_11041081</t>
  </si>
  <si>
    <t>1990000_251866,1990000_503732,1990000_755599,1990000_1007465,1990000_1259332,1990000_1511198,1990000_1763065,1990000_2014931,1990000_2266798</t>
  </si>
  <si>
    <t>1104409_1104410</t>
  </si>
  <si>
    <t>1024040_15</t>
  </si>
  <si>
    <t>1104109_1104110</t>
  </si>
  <si>
    <t>11041091_11041101</t>
  </si>
  <si>
    <t>1990000_377799,1990000_755599,1990000_1133399,1990000_1511198,1990000_1888998,1990000_2266798,1990000_2644597,1990000_3022397,1990000_3400197</t>
  </si>
  <si>
    <t>1024040_20</t>
  </si>
  <si>
    <t>10120001_1</t>
  </si>
  <si>
    <t>1990000_503732,1990000_1007465,1990000_1511198,1990000_2014931,1990000_2518664,1990000_3022397,1990000_3526130,1990000_4029863,1990000_4533596</t>
  </si>
  <si>
    <t>1024040_25</t>
  </si>
  <si>
    <t>1990000_629666,1990000_1259332,1990000_1888998,1990000_2518664,1990000_3148330,1990000_3777996,1990000_4407663,1990000_5037329,1990000_5666995</t>
  </si>
  <si>
    <t>1024040_30</t>
  </si>
  <si>
    <t>1990000_755599,1990000_1511198,1990000_2266798,1990000_3022397,1990000_3777996,1990000_4533596,1990000_5289195,1990000_6044795,1990000_6800394</t>
  </si>
  <si>
    <t>1024040_35</t>
  </si>
  <si>
    <t>1990000_881532,1990000_1763065,1990000_2644597,1990000_3526130,1990000_4407663,1990000_5289195,1990000_6170728,1990000_7052260,1990000_7933793</t>
  </si>
  <si>
    <t>1024040_40</t>
  </si>
  <si>
    <t>10120001_2</t>
  </si>
  <si>
    <t>1990000_1007465,1990000_2014931,1990000_3022397,1990000_4029863,1990000_5037329,1990000_6044795,1990000_7052260,1990000_8059726,1990000_9067192</t>
  </si>
  <si>
    <t>1024040_45</t>
  </si>
  <si>
    <t>1990000_1133399,1990000_2266798,1990000_3400197,1990000_4533596,1990000_5666995,1990000_6800394,1990000_7933793,1990000_9067192,1990000_10200591</t>
  </si>
  <si>
    <t>1024040_50</t>
  </si>
  <si>
    <t>1990000_1259332,1990000_2518664,1990000_3777996,1990000_5037329,1990000_6296661,1990000_7555993,1990000_8815326,1990000_10074658,1990000_11333990</t>
  </si>
  <si>
    <t>1024040_55</t>
  </si>
  <si>
    <t>10120001_3</t>
  </si>
  <si>
    <t>1990000_1385265,1990000_2770531,1990000_4155796,1990000_5541062,1990000_6926327,1990000_8311593,1990000_9696858,1990000_11082124,1990000_12467389</t>
  </si>
  <si>
    <t>1024040_60</t>
  </si>
  <si>
    <t>1990000_1511198,1990000_3022397,1990000_4533596,1990000_6044795,1990000_7555993,1990000_9067192,1990000_10578391,1990000_12089590,1990000_13600789</t>
  </si>
  <si>
    <t>1024040_65</t>
  </si>
  <si>
    <t>1990000_1637132,1990000_3274264,1990000_4911396,1990000_6548528,1990000_8185660,1990000_9822792,1990000_11459924,1990000_13097056,1990000_14734188</t>
  </si>
  <si>
    <t>1024040_70</t>
  </si>
  <si>
    <t>10120001_4</t>
  </si>
  <si>
    <t>1990000_1763065,1990000_3526130,1990000_5289195,1990000_7052260,1990000_8815326,1990000_10578391,1990000_12341456,1990000_14104521,1990000_15867587</t>
  </si>
  <si>
    <t>1024040_75</t>
  </si>
  <si>
    <t>1990000_1888998,1990000_3777996,1990000_5666995,1990000_7555993,1990000_9444992,1990000_11333990,1990000_13222989,1990000_15111987,1990000_17000986</t>
  </si>
  <si>
    <t>1024040_80</t>
  </si>
  <si>
    <t>10120001_5</t>
  </si>
  <si>
    <t>1990000_2014931,1990000_4029863,1990000_6044795,1990000_8059726,1990000_10074658,1990000_12089590,1990000_14104521,1990000_16119453,1990000_18134385</t>
  </si>
  <si>
    <t>1024040_85</t>
  </si>
  <si>
    <t>1990000_2140864,1990000_4281729,1990000_6422594,1990000_8563459,1990000_10704324,1990000_12845189,1990000_14986054,1990000_17126919,1990000_19267784</t>
  </si>
  <si>
    <t>1024040_90</t>
  </si>
  <si>
    <t>10120001_6</t>
  </si>
  <si>
    <t>1990000_2266798,1990000_4533596,1990000_6800394,1990000_9067192,1990000_11333990,1990000_13600788,1990000_15867587,1990000_18134385,1990000_20401183</t>
  </si>
  <si>
    <t>1024040_95</t>
  </si>
  <si>
    <t>1990000_2392731,1990000_4785462,1990000_7178194,1990000_9570925,1990000_11963657,1990000_14356388,1990000_16749119,1990000_19141851,1990000_21534582</t>
  </si>
  <si>
    <t>1024040_100</t>
  </si>
  <si>
    <t>1990000_2518664,1990000_5037329,1990000_7555993,1990000_10074658,1990000_12593323,1990000_15111987,1990000_17630652,1990000_20149316,1990000_22667981</t>
  </si>
  <si>
    <t>辉煌厅</t>
  </si>
  <si>
    <t>超级明星</t>
  </si>
  <si>
    <t>1103401_1103402_1103403_1103404_1103405_1103406</t>
  </si>
  <si>
    <t>1024024_5</t>
  </si>
  <si>
    <t>1022505_2200|1024007_1</t>
  </si>
  <si>
    <t>1103101_1103102_1103103_1103104_1103105_1103106</t>
  </si>
  <si>
    <t>11031011_11031021_11031031_11031041_11031051_11031061</t>
  </si>
  <si>
    <t>1103269_1103272_1103254_1103258_1103260_1103259_1103261_1103264_1103255</t>
  </si>
  <si>
    <t>1990000_260237,1990000_520474,1990000_780712,1990000_1040949,1990000_1301187,1990000_1561424,1990000_1821662,1990000_2081899,1990000_2342137</t>
  </si>
  <si>
    <t>1103407_1103408</t>
  </si>
  <si>
    <t>1024024_10</t>
  </si>
  <si>
    <t>1103107_1103108</t>
  </si>
  <si>
    <t>11031071_11031081</t>
  </si>
  <si>
    <t>1990000_520475,1990000_1040950,1990000_1561425,1990000_2081900,1990000_2602375,1990000_3122850,1990000_3643325,1990000_4163800,1990000_4684275</t>
  </si>
  <si>
    <t>1103409_1103410</t>
  </si>
  <si>
    <t>1024024_15</t>
  </si>
  <si>
    <t>1103109_1103110</t>
  </si>
  <si>
    <t>11031091_11031101</t>
  </si>
  <si>
    <t>1990000_780712,1990000_1561425,1990000_2342137,1990000_3122850,1990000_3903562,1990000_4684275,1990000_5464987,1990000_6245700,1990000_7026412</t>
  </si>
  <si>
    <t>1024024_20</t>
  </si>
  <si>
    <t>10030001_1</t>
  </si>
  <si>
    <t>1990000_1040950,1990000_2081900,1990000_3122850,1990000_4163800,1990000_5204750,1990000_6245700,1990000_7286650,1990000_8327600,1990000_9368550</t>
  </si>
  <si>
    <t>1024024_25</t>
  </si>
  <si>
    <t>1990000_1301187,1990000_2602375,1990000_3903562,1990000_5204750,1990000_6505937,1990000_7807125,1990000_9108312,1990000_10409500,1990000_11710687</t>
  </si>
  <si>
    <t>1024024_30</t>
  </si>
  <si>
    <t>1990000_1561425,1990000_3122850,1990000_4684275,1990000_6245700,1990000_7807125,1990000_9368550,1990000_10929975,1990000_12491400,1990000_14052825</t>
  </si>
  <si>
    <t>1024024_35</t>
  </si>
  <si>
    <t>1990000_1821662,1990000_3643325,1990000_5464987,1990000_7286650,1990000_9108312,1990000_10929975,1990000_12751637,1990000_14573300,1990000_16394962</t>
  </si>
  <si>
    <t>1024024_40</t>
  </si>
  <si>
    <t>10030001_2</t>
  </si>
  <si>
    <t>1990000_2081900,1990000_4163800,1990000_6245700,1990000_8327600,1990000_10409500,1990000_12491400,1990000_14573300,1990000_16655200,1990000_18737100</t>
  </si>
  <si>
    <t>1024024_45</t>
  </si>
  <si>
    <t>1990000_2342137,1990000_4684275,1990000_7026412,1990000_9368550,1990000_11710687,1990000_14052825,1990000_16394962,1990000_18737100,1990000_21079238</t>
  </si>
  <si>
    <t>1024024_50</t>
  </si>
  <si>
    <t>1990000_2602375,1990000_5204750,1990000_7807125,1990000_10409500,1990000_13011875,1990000_15614250,1990000_18216625,1990000_20819000,1990000_23421375</t>
  </si>
  <si>
    <t>1024024_55</t>
  </si>
  <si>
    <t>10030001_3</t>
  </si>
  <si>
    <t>1990000_2862612,1990000_5725225,1990000_8587837,1990000_11450450,1990000_14313062,1990000_17175675,1990000_20038287,1990000_22900900,1990000_25763513</t>
  </si>
  <si>
    <t>1024024_60</t>
  </si>
  <si>
    <t>1990000_3122850,1990000_6245700,1990000_9368550,1990000_12491400,1990000_15614250,1990000_18737100,1990000_21859950,1990000_24982800,1990000_28105650</t>
  </si>
  <si>
    <t>1024024_65</t>
  </si>
  <si>
    <t>1990000_3383087,1990000_6766175,1990000_10149262,1990000_13532350,1990000_16915437,1990000_20298525,1990000_23681613,1990000_27064700,1990000_30447788</t>
  </si>
  <si>
    <t>1024024_70</t>
  </si>
  <si>
    <t>10030001_4</t>
  </si>
  <si>
    <t>1990000_3643325,1990000_7286650,1990000_10929975,1990000_14573300,1990000_18216625,1990000_21859950,1990000_25503275,1990000_29146600,1990000_32789925</t>
  </si>
  <si>
    <t>1024024_75</t>
  </si>
  <si>
    <t>1990000_3903562,1990000_7807125,1990000_11710687,1990000_15614250,1990000_19517813,1990000_23421375,1990000_27324938,1990000_31228500,1990000_35132063</t>
  </si>
  <si>
    <t>1024024_80</t>
  </si>
  <si>
    <t>10030001_5</t>
  </si>
  <si>
    <t>1990000_4163800,1990000_8327600,1990000_12491400,1990000_16655200,1990000_20819000,1990000_24982800,1990000_29146600,1990000_33310400,1990000_37474200</t>
  </si>
  <si>
    <t>1024024_85</t>
  </si>
  <si>
    <t>1990000_4424037,1990000_8848075,1990000_13272112,1990000_17696150,1990000_22120188,1990000_26544225,1990000_30968263,1990000_35392300,1990000_39816338</t>
  </si>
  <si>
    <t>1024024_90</t>
  </si>
  <si>
    <t>10030001_6</t>
  </si>
  <si>
    <t>1990000_4684275,1990000_9368550,1990000_14052825,1990000_18737100,1990000_23421375,1990000_28105650,1990000_32789925,1990000_37474200,1990000_42158476</t>
  </si>
  <si>
    <t>1024024_95</t>
  </si>
  <si>
    <t>1990000_4944512,1990000_9889025,1990000_14833537,1990000_19778050,1990000_24722563,1990000_29667075,1990000_34611588,1990000_39556100,1990000_44500613</t>
  </si>
  <si>
    <t>1024024_100</t>
  </si>
  <si>
    <t>1990000_5204750,1990000_10409500,1990000_15614250,1990000_20819000,1990000_26023750,1990000_31228500,1990000_36433250,1990000_41638001,1990000_46842751</t>
  </si>
  <si>
    <t>精英扑克厅</t>
  </si>
  <si>
    <t>狼月</t>
  </si>
  <si>
    <t>1109401_1109402_1109403_1109404_1109405</t>
  </si>
  <si>
    <t>1024084_5</t>
  </si>
  <si>
    <t>1022505_2400|1024007_1</t>
  </si>
  <si>
    <t>1109101_1109102_1109103_1109104_1109105</t>
  </si>
  <si>
    <t>11091011_11091021_11091031_11091041_11091051</t>
  </si>
  <si>
    <t>1109252_1109268_1109269_1109261_1109262</t>
  </si>
  <si>
    <t>1990000_516812,1990000_1033624,1990000_1550436,1990000_2067248,1990000_2584061,1990000_3100873,1990000_3617685,1990000_4134497,1990000_4651310</t>
  </si>
  <si>
    <t>1109406_1109407_1109408</t>
  </si>
  <si>
    <t>1024084_10</t>
  </si>
  <si>
    <t>1109106_1109107_1109108</t>
  </si>
  <si>
    <t>11091061_11091071_11091081</t>
  </si>
  <si>
    <t>1990000_1033624,1990000_2067248,1990000_3100873,1990000_4134497,1990000_5168122,1990000_6201746,1990000_7235371,1990000_8268995,1990000_9302620</t>
  </si>
  <si>
    <t>1109409_1109410</t>
  </si>
  <si>
    <t>1024084_15</t>
  </si>
  <si>
    <t>1109109_1109110</t>
  </si>
  <si>
    <t>11091091_11091101</t>
  </si>
  <si>
    <t>1990000_1550436,1990000_3100873,1990000_4651310,1990000_6201746,1990000_7752183,1990000_9302620,1990000_10853056,1990000_12403493,1990000_13953930</t>
  </si>
  <si>
    <t>1024084_20</t>
  </si>
  <si>
    <t>10150001_1</t>
  </si>
  <si>
    <t>1990000_2067248,1990000_4134497,1990000_6201746,1990000_8268995,1990000_10336244,1990000_12403493,1990000_14470742,1990000_16537991,1990000_18605240</t>
  </si>
  <si>
    <t>1024084_25</t>
  </si>
  <si>
    <t>1990000_2584061,1990000_5168122,1990000_7752183,1990000_10336244,1990000_12920305,1990000_15504366,1990000_18088427,1990000_20672488,1990000_23256550</t>
  </si>
  <si>
    <t>1024084_30</t>
  </si>
  <si>
    <t>1990000_3100873,1990000_6201746,1990000_9302620,1990000_12403493,1990000_15504366,1990000_18605240,1990000_21706113,1990000_24806986,1990000_27907860</t>
  </si>
  <si>
    <t>1024084_35</t>
  </si>
  <si>
    <t>1990000_3617685,1990000_7235371,1990000_10853056,1990000_14470742,1990000_18088427,1990000_21706113,1990000_25323798,1990000_28941484,1990000_32559170</t>
  </si>
  <si>
    <t>1024084_40</t>
  </si>
  <si>
    <t>10150001_2</t>
  </si>
  <si>
    <t>1990000_4134497,1990000_8268995,1990000_12403493,1990000_16537991,1990000_20672488,1990000_24806986,1990000_28941484,1990000_33075982,1990000_37210480</t>
  </si>
  <si>
    <t>1024084_45</t>
  </si>
  <si>
    <t>1990000_4651310,1990000_9302620,1990000_13953930,1990000_18605240,1990000_23256550,1990000_27907860,1990000_32559170,1990000_37210480,1990000_41861790</t>
  </si>
  <si>
    <t>1024084_50</t>
  </si>
  <si>
    <t>1990000_5168122,1990000_10336244,1990000_15504366,1990000_20672488,1990000_25840611,1990000_31008733,1990000_36176855,1990000_41344977,1990000_46513100</t>
  </si>
  <si>
    <t>1024084_55</t>
  </si>
  <si>
    <t>10150001_3</t>
  </si>
  <si>
    <t>1990000_5684934,1990000_11369868,1990000_17054803,1990000_22739737,1990000_28424672,1990000_34109606,1990000_39794541,1990000_45479475,1990000_51164410</t>
  </si>
  <si>
    <t>1024084_60</t>
  </si>
  <si>
    <t>1990000_6201746,1990000_12403493,1990000_18605240,1990000_24806986,1990000_31008733,1990000_37210480,1990000_43412226,1990000_49613973,1990000_55815720</t>
  </si>
  <si>
    <t>1024084_65</t>
  </si>
  <si>
    <t>1990000_6718558,1990000_13437117,1990000_20155676,1990000_26874235,1990000_33592794,1990000_40311353,1990000_47029912,1990000_53748471,1990000_60467030</t>
  </si>
  <si>
    <t>1024084_70</t>
  </si>
  <si>
    <t>10150001_4</t>
  </si>
  <si>
    <t>1990000_7235371,1990000_14470742,1990000_21706113,1990000_28941484,1990000_36176855,1990000_43412226,1990000_50647597,1990000_57882968,1990000_65118340</t>
  </si>
  <si>
    <t>1024084_75</t>
  </si>
  <si>
    <t>1990000_7752183,1990000_15504366,1990000_23256550,1990000_31008733,1990000_38760916,1990000_46513100,1990000_54265283,1990000_62017466,1990000_69769650</t>
  </si>
  <si>
    <t>1024084_80</t>
  </si>
  <si>
    <t>10150001_5</t>
  </si>
  <si>
    <t>1990000_8268995,1990000_16537991,1990000_24806986,1990000_33075982,1990000_41344977,1990000_49613973,1990000_57882968,1990000_66151964,1990000_74420960</t>
  </si>
  <si>
    <t>1024084_85</t>
  </si>
  <si>
    <t>1990000_8785807,1990000_17571615,1990000_26357423,1990000_35143231,1990000_43929038,1990000_52714846,1990000_61500654,1990000_70286462,1990000_79072270</t>
  </si>
  <si>
    <t>1024084_90</t>
  </si>
  <si>
    <t>10150001_6</t>
  </si>
  <si>
    <t>1990000_9302620,1990000_18605240,1990000_27907860,1990000_37210480,1990000_46513100,1990000_55815720,1990000_65118340,1990000_74420960,1990000_83723580</t>
  </si>
  <si>
    <t>1024084_95</t>
  </si>
  <si>
    <t>1990000_9819432,1990000_19638864,1990000_29458296,1990000_39277728,1990000_49097161,1990000_58916593,1990000_68736025,1990000_78555457,1990000_88374890</t>
  </si>
  <si>
    <t>1024084_100</t>
  </si>
  <si>
    <t>1990000_10336244,1990000_20672488,1990000_31008733,1990000_41344977,1990000_51681222,1990000_62017466,1990000_72353711,1990000_82689955,1990000_93026200</t>
  </si>
  <si>
    <t>沙龙扑克厅</t>
  </si>
  <si>
    <t>宙斯VS哈迪斯</t>
  </si>
  <si>
    <t>1108401_1108402_1108403_1108404_1108405</t>
  </si>
  <si>
    <t>1024082_5</t>
  </si>
  <si>
    <t>1022505_2600|1024007_1</t>
  </si>
  <si>
    <t>1108101_1108102_1108103_1108104_1108105</t>
  </si>
  <si>
    <t>11081011_11081021_11081031_11081041_11081051</t>
  </si>
  <si>
    <t>1108252_1108268_1108269_1108261_1108262</t>
  </si>
  <si>
    <t>1990000_1041708,1990000_2083417,1990000_3125126,1990000_4166834,1990000_5208543,1990000_6250252,1990000_7291960,1990000_8333669,1990000_9375378</t>
  </si>
  <si>
    <t>1108406_1108407_1108408</t>
  </si>
  <si>
    <t>1024082_10</t>
  </si>
  <si>
    <t>1108106_1108107_1108108</t>
  </si>
  <si>
    <t>11081061_11081071_11081081</t>
  </si>
  <si>
    <t>1990000_2083417,1990000_4166834,1990000_6250252,1990000_8333669,1990000_10417086,1990000_12500504,1990000_14583921,1990000_16667338,1990000_18750756</t>
  </si>
  <si>
    <t>1108409_1108410</t>
  </si>
  <si>
    <t>1024082_15</t>
  </si>
  <si>
    <t>1108109_1108110</t>
  </si>
  <si>
    <t>11081091_11081101</t>
  </si>
  <si>
    <t>1990000_3125126,1990000_6250252,1990000_9375378,1990000_12500504,1990000_15625630,1990000_18750756,1990000_21875882,1990000_25001008,1990000_28126134</t>
  </si>
  <si>
    <t>1024082_20</t>
  </si>
  <si>
    <t>10200001_1</t>
  </si>
  <si>
    <t>1990000_4166834,1990000_8333669,1990000_12500504,1990000_16667338,1990000_20834173,1990000_25001008,1990000_29167843,1990000_33334677,1990000_37501512</t>
  </si>
  <si>
    <t>1024082_25</t>
  </si>
  <si>
    <t>1990000_5208543,1990000_10417086,1990000_15625630,1990000_20834173,1990000_26042717,1990000_31251260,1990000_36459803,1990000_41668347,1990000_46876890</t>
  </si>
  <si>
    <t>1024082_30</t>
  </si>
  <si>
    <t>1990000_6250252,1990000_12500504,1990000_18750756,1990000_25001008,1990000_31251260,1990000_37501512,1990000_43751764,1990000_50002016,1990000_56252268</t>
  </si>
  <si>
    <t>1024082_35</t>
  </si>
  <si>
    <t>1990000_7291960,1990000_14583921,1990000_21875882,1990000_29167843,1990000_36459803,1990000_43751764,1990000_51043725,1990000_58335686,1990000_65627647</t>
  </si>
  <si>
    <t>1024082_40</t>
  </si>
  <si>
    <t>10200001_2</t>
  </si>
  <si>
    <t>1990000_8333669,1990000_16667338,1990000_25001008,1990000_33334677,1990000_41668347,1990000_50002016,1990000_58335686,1990000_66669355,1990000_75003025</t>
  </si>
  <si>
    <t>1024082_45</t>
  </si>
  <si>
    <t>1990000_9375378,1990000_18750756,1990000_28126134,1990000_37501512,1990000_46876890,1990000_56252268,1990000_65627647,1990000_75003025,1990000_84378403</t>
  </si>
  <si>
    <t>1024082_50</t>
  </si>
  <si>
    <t>1990000_10417086,1990000_20834173,1990000_31251260,1990000_41668347,1990000_52085434,1990000_62502521,1990000_72919607,1990000_83336694,1990000_93753781</t>
  </si>
  <si>
    <t>1024082_55</t>
  </si>
  <si>
    <t>10200001_3</t>
  </si>
  <si>
    <t>1990000_11458795,1990000_22917591,1990000_34376386,1990000_45835182,1990000_57293977,1990000_68752773,1990000_80211568,1990000_91670364,1990000_103129159</t>
  </si>
  <si>
    <t>1024082_60</t>
  </si>
  <si>
    <t>1990000_12500504,1990000_25001008,1990000_37501512,1990000_50002016,1990000_62502521,1990000_75003025,1990000_87503529,1990000_100004033,1990000_112504537</t>
  </si>
  <si>
    <t>1024082_65</t>
  </si>
  <si>
    <t>1990000_13542212,1990000_27084425,1990000_40626638,1990000_54168851,1990000_67711064,1990000_81253277,1990000_94795490,1990000_108337703,1990000_121879916</t>
  </si>
  <si>
    <t>1024082_70</t>
  </si>
  <si>
    <t>10200001_4</t>
  </si>
  <si>
    <t>1990000_14583921,1990000_29167843,1990000_43751764,1990000_58335686,1990000_72919607,1990000_87503529,1990000_102087451,1990000_116671372,1990000_131255294</t>
  </si>
  <si>
    <t>1024082_75</t>
  </si>
  <si>
    <t>1990000_15625630,1990000_31251260,1990000_46876890,1990000_62502521,1990000_78128151,1990000_93753781,1990000_109379411,1990000_125005042,1990000_140630672</t>
  </si>
  <si>
    <t>1024082_80</t>
  </si>
  <si>
    <t>10200001_5</t>
  </si>
  <si>
    <t>1990000_16667338,1990000_33334677,1990000_50002016,1990000_66669355,1990000_83336694,1990000_100004033,1990000_116671372,1990000_133338711,1990000_150006050</t>
  </si>
  <si>
    <t>1024082_85</t>
  </si>
  <si>
    <t>1990000_17709047,1990000_35418095,1990000_53127142,1990000_70836190,1990000_88545238,1990000_106254285,1990000_123963333,1990000_141672380,1990000_159381428</t>
  </si>
  <si>
    <t>1024082_90</t>
  </si>
  <si>
    <t>10200001_6</t>
  </si>
  <si>
    <t>1990000_18750756,1990000_37501512,1990000_56252268,1990000_75003025,1990000_93753781,1990000_112504537,1990000_131255294,1990000_150006050,1990000_168756806</t>
  </si>
  <si>
    <t>1024082_95</t>
  </si>
  <si>
    <t>1990000_19792465,1990000_39584930,1990000_59377395,1990000_79169860,1990000_98962325,1990000_118754790,1990000_138547255,1990000_158339720,1990000_178132185</t>
  </si>
  <si>
    <t>1024082_100</t>
  </si>
  <si>
    <t>1990000_20834173,1990000_41668347,1990000_62502521,1990000_83336694,1990000_104170868,1990000_125005042,1990000_145839215,1990000_166673389,1990000_187507563</t>
  </si>
  <si>
    <t>富豪捕鱼厅</t>
  </si>
  <si>
    <t>杰克船长</t>
  </si>
  <si>
    <t>1112401_1112402_1112403_1112404_1112405</t>
  </si>
  <si>
    <t>1024080_5</t>
  </si>
  <si>
    <t>1022505_2800|1024007_1</t>
  </si>
  <si>
    <t>1112101_1112102_1112103_1112104_1112105</t>
  </si>
  <si>
    <t>11121011_11121021_11121031_11121041_11121051</t>
  </si>
  <si>
    <t>1112251_1112252_1112268_1112269_1112261_1112260_1112257_1112258</t>
  </si>
  <si>
    <t>1990000_1396775,1990000_2793550,1990000_4190326,1990000_5587101,1990000_6983877,1990000_8380652,1990000_9777427,1990000_11174203,1990000_12570978</t>
  </si>
  <si>
    <t>1112406_1112407_1112408</t>
  </si>
  <si>
    <t>1024080_10</t>
  </si>
  <si>
    <t>1112106_1112107_1112108</t>
  </si>
  <si>
    <t>11121061_11121071_11121081</t>
  </si>
  <si>
    <t>1990000_2793550,1990000_5587101,1990000_8380652,1990000_11174203,1990000_13967754,1990000_16761305,1990000_19554855,1990000_22348406,1990000_25141957</t>
  </si>
  <si>
    <t>1112409_1112410</t>
  </si>
  <si>
    <t>1024080_15</t>
  </si>
  <si>
    <t>1112109_1112110</t>
  </si>
  <si>
    <t>11121091_11121101</t>
  </si>
  <si>
    <t>1990000_4190326,1990000_8380652,1990000_12570978,1990000_16761305,1990000_20951631,1990000_25141957,1990000_29332284,1990000_33522610,1990000_37712936</t>
  </si>
  <si>
    <t>1024080_20</t>
  </si>
  <si>
    <t>10210001_1</t>
  </si>
  <si>
    <t>1990000_5587101,1990000_11174203,1990000_16761305,1990000_22348406,1990000_27935508,1990000_33522610,1990000_39109711,1990000_44696813,1990000_50283915</t>
  </si>
  <si>
    <t>1024080_25</t>
  </si>
  <si>
    <t>1990000_6983877,1990000_13967754,1990000_20951631,1990000_27935508,1990000_34919385,1990000_41903262,1990000_48887139,1990000_55871017,1990000_62854894</t>
  </si>
  <si>
    <t>1024080_30</t>
  </si>
  <si>
    <t>1990000_8380652,1990000_16761305,1990000_25141957,1990000_33522610,1990000_41903262,1990000_50283915,1990000_58664568,1990000_67045220,1990000_75425873</t>
  </si>
  <si>
    <t>1024080_35</t>
  </si>
  <si>
    <t>1990000_9777428,1990000_19554856,1990000_29332284,1990000_39109712,1990000_48887140,1990000_58664568,1990000_68441996,1990000_78219424,1990000_87996852</t>
  </si>
  <si>
    <t>1024080_40</t>
  </si>
  <si>
    <t>10210001_2</t>
  </si>
  <si>
    <t>1990000_11174203,1990000_22348406,1990000_33522610,1990000_44696813,1990000_55871017,1990000_67045220,1990000_78219423,1990000_89393627,1990000_100567830</t>
  </si>
  <si>
    <t>1024080_45</t>
  </si>
  <si>
    <t>1990000_12570978,1990000_25141957,1990000_37712936,1990000_50283915,1990000_62854894,1990000_75425873,1990000_87996852,1990000_100567830,1990000_113138809</t>
  </si>
  <si>
    <t>1024080_50</t>
  </si>
  <si>
    <t>1990000_13967754,1990000_27935508,1990000_41903262,1990000_55871017,1990000_69838771,1990000_83806525,1990000_97774280,1990000_111742034,1990000_125709788</t>
  </si>
  <si>
    <t>1024080_55</t>
  </si>
  <si>
    <t>10210001_3</t>
  </si>
  <si>
    <t>1990000_15364529,1990000_30729059,1990000_46093589,1990000_61458118,1990000_76822648,1990000_92187178,1990000_107551707,1990000_122916237,1990000_138280767</t>
  </si>
  <si>
    <t>1024080_60</t>
  </si>
  <si>
    <t>1990000_16761305,1990000_33522610,1990000_50283915,1990000_67045220,1990000_83806525,1990000_100567830,1990000_117329136,1990000_134090441,1990000_150851746</t>
  </si>
  <si>
    <t>1024080_65</t>
  </si>
  <si>
    <t>1990000_18158080,1990000_36316161,1990000_54474241,1990000_72632322,1990000_90790402,1990000_108948483,1990000_127106564,1990000_145264644,1990000_163422725</t>
  </si>
  <si>
    <t>1024080_70</t>
  </si>
  <si>
    <t>10210001_4</t>
  </si>
  <si>
    <t>1990000_19554856,1990000_39109712,1990000_58664568,1990000_78219424,1990000_97774280,1990000_117329136,1990000_136883992,1990000_156438848,1990000_175993704</t>
  </si>
  <si>
    <t>1024080_75</t>
  </si>
  <si>
    <t>1990000_20951631,1990000_41903262,1990000_62854894,1990000_83806525,1990000_104758157,1990000_125709788,1990000_146661420,1990000_167613051,1990000_188564683</t>
  </si>
  <si>
    <t>1024080_80</t>
  </si>
  <si>
    <t>10210001_5</t>
  </si>
  <si>
    <t>1990000_22348406,1990000_44696813,1990000_67045220,1990000_89393627,1990000_111742034,1990000_134090441,1990000_156438848,1990000_178787254,1990000_201135661</t>
  </si>
  <si>
    <t>1024080_85</t>
  </si>
  <si>
    <t>1990000_23745182,1990000_47490364,1990000_71235546,1990000_94980729,1990000_118725911,1990000_142471093,1990000_166216276,1990000_189961458,1990000_213706640</t>
  </si>
  <si>
    <t>1024080_90</t>
  </si>
  <si>
    <t>10210001_6</t>
  </si>
  <si>
    <t>1990000_25141957,1990000_50283915,1990000_75425873,1990000_100567830,1990000_125709788,1990000_150851746,1990000_175993704,1990000_201135661,1990000_226277619</t>
  </si>
  <si>
    <t>1024080_95</t>
  </si>
  <si>
    <t>1990000_26538733,1990000_53077466,1990000_79616199,1990000_106154932,1990000_132693665,1990000_159232398,1990000_185771132,1990000_212309865,1990000_238848598</t>
  </si>
  <si>
    <t>1024080_100</t>
  </si>
  <si>
    <t>1990000_27935508,1990000_55871017,1990000_83806525,1990000_111742034,1990000_139677543,1990000_167613051,1990000_195548560,1990000_223484068,1990000_251419577</t>
  </si>
  <si>
    <t>天际捕鱼厅</t>
  </si>
  <si>
    <t>雷神</t>
  </si>
  <si>
    <t>1111401_1111402_1111403_1111404_1111405</t>
  </si>
  <si>
    <t>1024079_5</t>
  </si>
  <si>
    <t>1022505_3000|1024007_1</t>
  </si>
  <si>
    <t>1111109_1111110_1111106_1111107_1111108</t>
  </si>
  <si>
    <t>11111091_11111101_11111061_11111071_11111081</t>
  </si>
  <si>
    <t>1111269_1111270_1111251_1111271_1111267_1111265_1111264_1111263_1111256_1111260</t>
  </si>
  <si>
    <t>1990000_3366901,1990000_6733803,1990000_10100705,1990000_13467607,1990000_16834509,1990000_20201411,1990000_23568313,1990000_26935215,1990000_30302117</t>
  </si>
  <si>
    <t>1111406_1111407_1111408</t>
  </si>
  <si>
    <t>1024079_10</t>
  </si>
  <si>
    <t>1111103_1111104_1111105</t>
  </si>
  <si>
    <t>11111031_11111041_11111051</t>
  </si>
  <si>
    <t>1990000_6733803,1990000_13467607,1990000_20201411,1990000_26935215,1990000_33669019,1990000_40402823,1990000_47136627,1990000_53870431,1990000_60604235</t>
  </si>
  <si>
    <t>1111409_1111410</t>
  </si>
  <si>
    <t>1024079_15</t>
  </si>
  <si>
    <t>1111102_1111101</t>
  </si>
  <si>
    <t>11111021_11111011</t>
  </si>
  <si>
    <t>1990000_10100705,1990000_20201411,1990000_30302117,1990000_40402823,1990000_50503529,1990000_60604235,1990000_70704941,1990000_80805646,1990000_90906352</t>
  </si>
  <si>
    <t>1024079_20</t>
  </si>
  <si>
    <t>10220001_1</t>
  </si>
  <si>
    <t>1990000_13467607,1990000_26935215,1990000_40402823,1990000_53870431,1990000_67338039,1990000_80805647,1990000_94273254,1990000_107740862,1990000_121208470</t>
  </si>
  <si>
    <t>1024079_25</t>
  </si>
  <si>
    <t>1990000_16834509,1990000_33669019,1990000_50503529,1990000_67338039,1990000_84172549,1990000_101007058,1990000_117841568,1990000_134676078,1990000_151510588</t>
  </si>
  <si>
    <t>1024079_30</t>
  </si>
  <si>
    <t>1990000_20201411,1990000_40402823,1990000_60604235,1990000_80805647,1990000_101007058,1990000_121208470,1990000_141409882,1990000_161611294,1990000_181812705</t>
  </si>
  <si>
    <t>1024079_35</t>
  </si>
  <si>
    <t>1990000_23568313,1990000_47136627,1990000_70704941,1990000_94273254,1990000_117841568,1990000_141409882,1990000_164978195,1990000_188546509,1990000_212114823</t>
  </si>
  <si>
    <t>1024079_40</t>
  </si>
  <si>
    <t>10220001_2</t>
  </si>
  <si>
    <t>1990000_26935215,1990000_53870431,1990000_80805647,1990000_107740862,1990000_134676078,1990000_161611294,1990000_188546509,1990000_215481725,1990000_242416941</t>
  </si>
  <si>
    <t>1024079_45</t>
  </si>
  <si>
    <t>1990000_30302117,1990000_60604235,1990000_90906352,1990000_121208470,1990000_151510588,1990000_181812705,1990000_212114823,1990000_242416941,1990000_272719058</t>
  </si>
  <si>
    <t>1024079_50</t>
  </si>
  <si>
    <t>1990000_33669019,1990000_67338039,1990000_101007058,1990000_134676078,1990000_168345098,1990000_202014117,1990000_235683137,1990000_269352156,1990000_303021176</t>
  </si>
  <si>
    <t>1024079_55</t>
  </si>
  <si>
    <t>10220001_3</t>
  </si>
  <si>
    <t>1990000_37035921,1990000_74071843,1990000_111107764,1990000_148143686,1990000_185179607,1990000_222215529,1990000_259251451,1990000_296287372,1990000_333323294</t>
  </si>
  <si>
    <t>1024079_60</t>
  </si>
  <si>
    <t>1990000_40402823,1990000_80805647,1990000_121208470,1990000_161611294,1990000_202014117,1990000_242416941,1990000_282819764,1990000_323222588,1990000_363625411</t>
  </si>
  <si>
    <t>1024079_65</t>
  </si>
  <si>
    <t>1990000_43769725,1990000_87539450,1990000_131309176,1990000_175078901,1990000_218848627,1990000_262618352,1990000_306388078,1990000_350157803,1990000_393927529</t>
  </si>
  <si>
    <t>1024079_70</t>
  </si>
  <si>
    <t>10220001_4</t>
  </si>
  <si>
    <t>1990000_47136627,1990000_94273254,1990000_141409882,1990000_188546509,1990000_235683137,1990000_282819764,1990000_329956392,1990000_377093019,1990000_424229647</t>
  </si>
  <si>
    <t>1024079_75</t>
  </si>
  <si>
    <t>1990000_50503529,1990000_101007058,1990000_151510588,1990000_202014117,1990000_252517647,1990000_303021176,1990000_353524705,1990000_404028235,1990000_454531764</t>
  </si>
  <si>
    <t>1024079_80</t>
  </si>
  <si>
    <t>10220001_5</t>
  </si>
  <si>
    <t>1990000_53870431,1990000_107740862,1990000_161611294,1990000_215481725,1990000_269352156,1990000_323222588,1990000_377093019,1990000_430963451,1990000_484833882</t>
  </si>
  <si>
    <t>1024079_85</t>
  </si>
  <si>
    <t>1990000_57237333,1990000_114474666,1990000_171712000,1990000_228949333,1990000_286186666,1990000_343424000,1990000_400661333,1990000_457898666,1990000_515136000</t>
  </si>
  <si>
    <t>1024079_90</t>
  </si>
  <si>
    <t>10220001_6</t>
  </si>
  <si>
    <t>1990000_60604235,1990000_121208470,1990000_181812705,1990000_242416941,1990000_303021176,1990000_363625411,1990000_424229647,1990000_484833882,1990000_545438117</t>
  </si>
  <si>
    <t>1024079_95</t>
  </si>
  <si>
    <t>1990000_63971137,1990000_127942274,1990000_191913411,1990000_255884549,1990000_319855686,1990000_383826823,1990000_447797960,1990000_511769098,1990000_575740235</t>
  </si>
  <si>
    <t>1024079_100</t>
  </si>
  <si>
    <t>1990000_67338039,1990000_134676078,1990000_202014117,1990000_269352156,1990000_336690196,1990000_404028235,1990000_471366274,1990000_538704313,1990000_606042353</t>
  </si>
  <si>
    <t>VIP休息区</t>
  </si>
  <si>
    <t>1202401_1202402_1202403_1202404_1202405_1202406_1202407_1202408_1202409_1202410_1202411_1202412_1202413_1202414_1202415_1202416</t>
  </si>
  <si>
    <t>1980000_5</t>
  </si>
  <si>
    <t>1022505_800|1024007_1</t>
  </si>
  <si>
    <t>1202101_1202103_1202105_1202107_1202109_1202111_1202113_1202115_1202117_1202119_1202121_1202123_1202125_1202127_1202129_1202131</t>
  </si>
  <si>
    <t>12021011_12021012_12021031_12021032_12021051_12021052_12021071_12021072_12021091_12021092_12021111_12021112_12021131_12021132_12021151_12021152_12021171_12021172_12021191_12021192_12021211_12021212_12021231_12021232_12021251_12021252_12021271_12021272_12021291_12021292_12021311_12021312</t>
  </si>
  <si>
    <t>1202293_1202307_1202299_1202291_1202282_1202274_1202270_1202261_1202258_1202251_1202253_1202267_1202268_1202265</t>
  </si>
  <si>
    <t>1980000_10</t>
  </si>
  <si>
    <t>1202306_1202298_1202292_1202281</t>
  </si>
  <si>
    <t>1980000_15</t>
  </si>
  <si>
    <t>1980000_20</t>
  </si>
  <si>
    <t>1980000_25</t>
  </si>
  <si>
    <t>1980000_30</t>
  </si>
  <si>
    <t>1980000_35</t>
  </si>
  <si>
    <t>1980000_40</t>
  </si>
  <si>
    <t>1202300_1202259</t>
  </si>
  <si>
    <t>1980000_45</t>
  </si>
  <si>
    <t>1202286_1202284</t>
  </si>
  <si>
    <t>1980000_50</t>
  </si>
  <si>
    <t>1202302_1202303_1202304_1202305</t>
  </si>
  <si>
    <t>1980000_55</t>
  </si>
  <si>
    <t>1202294_1202295_1202296_1202297</t>
  </si>
  <si>
    <t>1980000_60</t>
  </si>
  <si>
    <t>1202287_1202288_1202289_1202290</t>
  </si>
  <si>
    <t>1980000_65</t>
  </si>
  <si>
    <t>1202277_1202278_1202279_1202280</t>
  </si>
  <si>
    <t>1980000_70</t>
  </si>
  <si>
    <t>1980000_75</t>
  </si>
  <si>
    <t>1980000_80</t>
  </si>
  <si>
    <t>1980000_85</t>
  </si>
  <si>
    <t>1980000_90</t>
  </si>
  <si>
    <t>1980000_95</t>
  </si>
  <si>
    <t>1980000_100</t>
  </si>
  <si>
    <t>接待区</t>
  </si>
  <si>
    <t>1301258_1301261_1301260</t>
  </si>
  <si>
    <t>13012581_13012601_13012611</t>
  </si>
  <si>
    <t>1301251_1301252_1301253_1301254_1301257_1301259_1301263_1301264</t>
  </si>
  <si>
    <t>1301262_1301255_1301256</t>
  </si>
  <si>
    <t/>
  </si>
  <si>
    <t>运营部</t>
  </si>
  <si>
    <t>1303256_1303257_1303259_1303260</t>
  </si>
  <si>
    <t>营销部</t>
  </si>
  <si>
    <t>1304251_1304252_1304253</t>
  </si>
  <si>
    <t>道具</t>
  </si>
  <si>
    <t>普通升级消耗</t>
  </si>
  <si>
    <t>总计</t>
  </si>
  <si>
    <t>vip建筑升级消耗</t>
  </si>
  <si>
    <t>1990000_3738,1990000_7476,1990000_11214,1990000_14952,1990000_18690,1990000_22428,1990000_26166,1990000_29904,1990000_33642</t>
  </si>
  <si>
    <t>1990000_7476,1990000_14952,1990000_22428,1990000_29904,1990000_37380,1990000_44856,1990000_52332,1990000_59808,1990000_67284</t>
  </si>
  <si>
    <t>1990000_11214,1990000_22428,1990000_33642,1990000_44856,1990000_56070,1990000_67284,1990000_78498,1990000_89712,1990000_100926</t>
  </si>
  <si>
    <t>1990000_14952,1990000_29904,1990000_44856,1990000_59808,1990000_74760,1990000_89712,1990000_104664,1990000_119616,1990000_134568</t>
  </si>
  <si>
    <t>1990000_18690,1990000_37380,1990000_56070,1990000_74760,1990000_93450,1990000_112140,1990000_130830,1990000_149520,1990000_168210</t>
  </si>
  <si>
    <t>1990000_22428,1990000_44856,1990000_67284,1990000_89712,1990000_112140,1990000_134568,1990000_156996,1990000_179424,1990000_201853</t>
  </si>
  <si>
    <t>1990000_26166,1990000_52332,1990000_78498,1990000_104664,1990000_130830,1990000_156996,1990000_183162,1990000_209329,1990000_235495</t>
  </si>
  <si>
    <t>1990000_29904,1990000_59808,1990000_89712,1990000_119616,1990000_149520,1990000_179424,1990000_209329,1990000_239233,1990000_269137</t>
  </si>
  <si>
    <t>1990000_33642,1990000_67284,1990000_100926,1990000_134568,1990000_168210,1990000_201852,1990000_235495,1990000_269137,1990000_302779</t>
  </si>
  <si>
    <t>1990000_37380,1990000_74760,1990000_112140,1990000_149520,1990000_186900,1990000_224281,1990000_261661,1990000_299041,1990000_336421</t>
  </si>
  <si>
    <t>1990000_41118,1990000_82236,1990000_123354,1990000_164472,1990000_205591,1990000_246709,1990000_287827,1990000_328945,1990000_370063</t>
  </si>
  <si>
    <t>1990000_44856,1990000_89712,1990000_134568,1990000_179424,1990000_224281,1990000_269137,1990000_313993,1990000_358849,1990000_403706</t>
  </si>
  <si>
    <t>1990000_48594,1990000_97188,1990000_145782,1990000_194376,1990000_242971,1990000_291565,1990000_340159,1990000_388753,1990000_437348</t>
  </si>
  <si>
    <t>1990000_52332,1990000_104664,1990000_156996,1990000_209329,1990000_261661,1990000_313993,1990000_366325,1990000_418658,1990000_470990</t>
  </si>
  <si>
    <t>1990000_56070,1990000_112140,1990000_168210,1990000_224281,1990000_280351,1990000_336421,1990000_392492,1990000_448562,1990000_504632</t>
  </si>
  <si>
    <t>1990000_59808,1990000_119616,1990000_179424,1990000_239233,1990000_299041,1990000_358849,1990000_418658,1990000_478466,1990000_538274</t>
  </si>
  <si>
    <t>1990000_63546,1990000_127092,1990000_190639,1990000_254185,1990000_317731,1990000_381278,1990000_444824,1990000_508370,1990000_571917</t>
  </si>
  <si>
    <t>1990000_67284,1990000_134568,1990000_201853,1990000_269137,1990000_336421,1990000_403706,1990000_470990,1990000_538274,1990000_605559</t>
  </si>
  <si>
    <t>1990000_71022,1990000_142044,1990000_213067,1990000_284089,1990000_355111,1990000_426134,1990000_497156,1990000_568178,1990000_639201</t>
  </si>
  <si>
    <t>1990000_74760,1990000_149520,1990000_224281,1990000_299041,1990000_373801,1990000_448562,1990000_523322,1990000_598083,1990000_672843</t>
  </si>
  <si>
    <t>1990000_78498,1990000_156996,1990000_235495,1990000_313993,1990000_392492,1990000_470990,1990000_549488,1990000_627987,1990000_706485</t>
  </si>
  <si>
    <t>1990000_82236,1990000_164472,1990000_246709,1990000_328945,1990000_411182,1990000_493418,1990000_575654,1990000_657891,1990000_740127</t>
  </si>
  <si>
    <t>1990000_85974,1990000_171948,1990000_257923,1990000_343897,1990000_429872,1990000_515846,1990000_601821,1990000_687795,1990000_773770</t>
  </si>
  <si>
    <t>1990000_89712,1990000_179424,1990000_269137,1990000_358849,1990000_448562,1990000_538274,1990000_627987,1990000_717699,1990000_807412</t>
  </si>
  <si>
    <t>1990000_93450,1990000_186900,1990000_280351,1990000_373801,1990000_467252,1990000_560702,1990000_654153,1990000_747603,1990000_841054</t>
  </si>
  <si>
    <t>1990000_97188,1990000_194377,1990000_291565,1990000_388754,1990000_485942,1990000_583131,1990000_680319,1990000_777508,1990000_874696</t>
  </si>
  <si>
    <t>1990000_100926,1990000_201853,1990000_302779,1990000_403706,1990000_504632,1990000_605559,1990000_706485,1990000_807412,1990000_908338</t>
  </si>
  <si>
    <t>1990000_104664,1990000_216805,1990000_336421,1990000_463514,1990000_598083,1990000_740127,1990000_889648,1990000_1046645,1990000_1211118</t>
  </si>
  <si>
    <t>1990000_108402,1990000_224281,1990000_347635,1990000_478466,1990000_616773,1990000_762556,1990000_915814,1990000_1076549,1990000_1244760</t>
  </si>
  <si>
    <t>1990000_112140,1990000_224281,1990000_336421,1990000_448562,1990000_560702,1990000_672843,1990000_784984,1990000_897124,1990000_1009265</t>
  </si>
  <si>
    <t>1990000_115878,1990000_231757,1990000_347635,1990000_463514,1990000_579393,1990000_695271,1990000_811150,1990000_927028,1990000_1042907</t>
  </si>
  <si>
    <t>1990000_119616,1990000_246709,1990000_381278,1990000_523322,1990000_672843,1990000_829840,1990000_994313,1990000_1166262,1990000_1345687</t>
  </si>
  <si>
    <t>1990000_123354,1990000_246709,1990000_370063,1990000_493418,1990000_616773,1990000_740127,1990000_863482,1990000_986837,1990000_1110191</t>
  </si>
  <si>
    <t>1990000_127092,1990000_254185,1990000_381278,1990000_508370,1990000_635463,1990000_762556,1990000_889648,1990000_1016741,1990000_1143834</t>
  </si>
  <si>
    <t>1990000_130830,1990000_261661,1990000_392492,1990000_523322,1990000_654153,1990000_784984,1990000_915814,1990000_1046645,1990000_1177476</t>
  </si>
  <si>
    <t>1990000_134568,1990000_269137,1990000_403706,1990000_538274,1990000_672843,1990000_807412,1990000_941980,1990000_1076549,1990000_1211118</t>
  </si>
  <si>
    <t>1990000_138306,1990000_276613,1990000_414920,1990000_553226,1990000_691533,1990000_829840,1990000_968146,1990000_1106453,1990000_1244760</t>
  </si>
  <si>
    <t>1990000_142044,1990000_284089,1990000_426134,1990000_568178,1990000_710223,1990000_852268,1990000_994313,1990000_1136357,1990000_1278402</t>
  </si>
  <si>
    <t>1990000_145782,1990000_291565,1990000_437348,1990000_583131,1990000_728913,1990000_874696,1990000_1020479,1990000_1166262,1990000_1312044</t>
  </si>
  <si>
    <t>1990000_149520,1990000_299041,1990000_448562,1990000_598083,1990000_747603,1990000_897124,1990000_1046645,1990000_1196166,1990000_1345687</t>
  </si>
  <si>
    <t>1990000_153258,1990000_306517,1990000_459776,1990000_613035,1990000_766294,1990000_919552,1990000_1072811,1990000_1226070,1990000_1379329</t>
  </si>
  <si>
    <t>1990000_156996,1990000_313993,1990000_470990,1990000_627987,1990000_784984,1990000_941980,1990000_1098977,1990000_1255974,1990000_1412971</t>
  </si>
  <si>
    <t>1990000_160734,1990000_321469,1990000_482204,1990000_642939,1990000_803674,1990000_964409,1990000_1125143,1990000_1285878,1990000_1446613</t>
  </si>
  <si>
    <t>1990000_164472,1990000_328945,1990000_493418,1990000_657891,1990000_822364,1990000_986837,1990000_1151310,1990000_1315782,1990000_1480255</t>
  </si>
  <si>
    <t>1990000_168210,1990000_336421,1990000_504632,1990000_672843,1990000_841054,1990000_1009265,1990000_1177476,1990000_1345686,1990000_1513897</t>
  </si>
  <si>
    <t>1990000_171948,1990000_343897,1990000_515846,1990000_687795,1990000_859744,1990000_1031693,1990000_1203642,1990000_1375591,1990000_1547540</t>
  </si>
  <si>
    <t>1990000_175686,1990000_351373,1990000_527060,1990000_702747,1990000_878434,1990000_1054121,1990000_1229808,1990000_1405495,1990000_1581182</t>
  </si>
  <si>
    <t>1990000_179424,1990000_358849,1990000_538274,1990000_717699,1990000_897124,1990000_1076549,1990000_1255974,1990000_1435399,1990000_1614824</t>
  </si>
  <si>
    <t>1990000_183162,1990000_366325,1990000_549488,1990000_732651,1990000_915814,1990000_1098977,1990000_1282140,1990000_1465303,1990000_1648466</t>
  </si>
  <si>
    <t>1990000_186900,1990000_373801,1990000_560702,1990000_747603,1990000_934504,1990000_1121405,1990000_1308306,1990000_1495207,1990000_1682108</t>
  </si>
  <si>
    <t>1990000_190639,1990000_381278,1990000_571917,1990000_762556,1990000_953195,1990000_1143834,1990000_1334473,1990000_1525112,1990000_1715751</t>
  </si>
  <si>
    <t>1990000_194377,1990000_388754,1990000_583131,1990000_777508,1990000_971885,1990000_1166262,1990000_1360639,1990000_1555016,1990000_1749393</t>
  </si>
  <si>
    <t>1990000_198115,1990000_396230,1990000_594345,1990000_792460,1990000_990575,1990000_1188690,1990000_1386805,1990000_1584920,1990000_1783035</t>
  </si>
  <si>
    <t>1990000_201853,1990000_403706,1990000_605559,1990000_807412,1990000_1009265,1990000_1211118,1990000_1412971,1990000_1614824,1990000_1816677</t>
  </si>
  <si>
    <t>1990000_205591,1990000_411182,1990000_616773,1990000_822364,1990000_1027955,1990000_1233546,1990000_1439137,1990000_1644728,1990000_1850319</t>
  </si>
  <si>
    <t>1990000_209329,1990000_418658,1990000_627987,1990000_837316,1990000_1046645,1990000_1255974,1990000_1465303,1990000_1674632,1990000_1883961</t>
  </si>
  <si>
    <t>1990000_213067,1990000_426134,1990000_639201,1990000_852268,1990000_1065335,1990000_1278402,1990000_1491469,1990000_1704536,1990000_1917604</t>
  </si>
  <si>
    <t>1990000_216805,1990000_433610,1990000_650415,1990000_867220,1990000_1084025,1990000_1300830,1990000_1517635,1990000_1734441,1990000_1951246</t>
  </si>
  <si>
    <t>1990000_220543,1990000_441086,1990000_661629,1990000_882172,1990000_1102715,1990000_1323258,1990000_1543802,1990000_1764345,1990000_1984888</t>
  </si>
  <si>
    <t>1990000_224281,1990000_448562,1990000_672843,1990000_897124,1990000_1121405,1990000_1345687,1990000_1569968,1990000_1794249,1990000_2018530</t>
  </si>
  <si>
    <t>等待点位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</si>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</sst>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rgb="FF00B0F0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>
      <alignment vertical="center"/>
    </xf>
    <xf numFmtId="0" fontId="6" fillId="2" borderId="0" xfId="0" applyFont="1" applyFill="1" applyBorder="1">
      <alignment vertical="center"/>
    </xf>
    <xf numFmtId="0" fontId="6" fillId="2" borderId="0" xfId="0" applyFont="1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49" fontId="7" fillId="0" borderId="0" xfId="0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2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04"/>
  <sheetViews>
    <sheetView tabSelected="1" zoomScale="55" zoomScaleNormal="55" workbookViewId="0">
      <pane ySplit="4" topLeftCell="A168" activePane="bottomLeft" state="frozen"/>
      <selection/>
      <selection pane="bottomLeft" activeCell="S24" sqref="S24"/>
    </sheetView>
  </sheetViews>
  <sheetFormatPr defaultColWidth="9" defaultRowHeight="20" customHeight="1"/>
  <cols>
    <col min="1" max="1" width="9.25" style="12" customWidth="1"/>
    <col min="2" max="2" width="9.875" style="12" customWidth="1"/>
    <col min="3" max="4" width="10" style="12" customWidth="1"/>
    <col min="5" max="5" width="10.25" style="12" customWidth="1"/>
    <col min="6" max="6" width="8.75" style="12" customWidth="1"/>
    <col min="7" max="7" width="19.875" style="18" customWidth="1"/>
    <col min="8" max="8" width="20" style="12" customWidth="1"/>
    <col min="9" max="10" width="14.4416666666667" style="18" customWidth="1"/>
    <col min="11" max="11" width="18.875" style="12" customWidth="1"/>
    <col min="12" max="13" width="16.5" style="12" customWidth="1"/>
    <col min="14" max="14" width="27.7666666666667" style="12" customWidth="1"/>
    <col min="15" max="15" width="20.8333333333333" style="12" customWidth="1"/>
    <col min="16" max="16" width="25.55" style="12" customWidth="1"/>
    <col min="17" max="17" width="9.25" style="12" customWidth="1"/>
    <col min="18" max="18" width="19.7" style="19" customWidth="1"/>
    <col min="19" max="19" width="19.7083333333333" style="19" customWidth="1"/>
    <col min="20" max="20" width="38.375" style="7" customWidth="1"/>
    <col min="21" max="21" width="22" style="18" customWidth="1"/>
    <col min="22" max="22" width="80.4416666666667" style="12" customWidth="1"/>
    <col min="23" max="16384" width="9" style="12"/>
  </cols>
  <sheetData>
    <row r="1" s="11" customFormat="1" customHeight="1" spans="1:2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1" t="s">
        <v>8</v>
      </c>
      <c r="J1" s="21" t="s">
        <v>9</v>
      </c>
      <c r="K1" s="22" t="s">
        <v>10</v>
      </c>
      <c r="L1" s="22" t="s">
        <v>11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3" t="s">
        <v>16</v>
      </c>
      <c r="S1" s="23" t="s">
        <v>17</v>
      </c>
      <c r="T1" s="24" t="s">
        <v>18</v>
      </c>
      <c r="U1" s="22" t="s">
        <v>19</v>
      </c>
      <c r="V1" s="22" t="s">
        <v>20</v>
      </c>
    </row>
    <row r="2" s="11" customFormat="1" customHeight="1" spans="1:22">
      <c r="A2" s="20" t="s">
        <v>21</v>
      </c>
      <c r="B2" s="20" t="s">
        <v>21</v>
      </c>
      <c r="C2" s="20"/>
      <c r="D2" s="20"/>
      <c r="E2" s="20" t="s">
        <v>21</v>
      </c>
      <c r="F2" s="20" t="s">
        <v>21</v>
      </c>
      <c r="G2" s="20" t="s">
        <v>21</v>
      </c>
      <c r="H2" s="25" t="s">
        <v>22</v>
      </c>
      <c r="I2" s="26" t="s">
        <v>21</v>
      </c>
      <c r="J2" s="26" t="s">
        <v>21</v>
      </c>
      <c r="K2" s="20" t="s">
        <v>23</v>
      </c>
      <c r="L2" s="20" t="s">
        <v>24</v>
      </c>
      <c r="M2" s="20" t="s">
        <v>24</v>
      </c>
      <c r="N2" s="25" t="s">
        <v>23</v>
      </c>
      <c r="O2" s="25" t="s">
        <v>25</v>
      </c>
      <c r="P2" s="20" t="s">
        <v>21</v>
      </c>
      <c r="Q2" s="20" t="s">
        <v>21</v>
      </c>
      <c r="R2" s="25" t="s">
        <v>22</v>
      </c>
      <c r="S2" s="25" t="s">
        <v>22</v>
      </c>
      <c r="T2" s="27" t="s">
        <v>22</v>
      </c>
      <c r="U2" s="20" t="s">
        <v>21</v>
      </c>
      <c r="V2" s="28" t="s">
        <v>26</v>
      </c>
    </row>
    <row r="3" s="11" customFormat="1" customHeight="1" spans="1:22">
      <c r="A3" s="20" t="s">
        <v>27</v>
      </c>
      <c r="B3" s="20" t="s">
        <v>28</v>
      </c>
      <c r="C3" s="20"/>
      <c r="D3" s="20"/>
      <c r="E3" s="20" t="s">
        <v>29</v>
      </c>
      <c r="F3" s="20" t="s">
        <v>30</v>
      </c>
      <c r="G3" s="20" t="s">
        <v>31</v>
      </c>
      <c r="H3" s="20" t="s">
        <v>32</v>
      </c>
      <c r="I3" s="21" t="s">
        <v>33</v>
      </c>
      <c r="J3" s="21" t="s">
        <v>34</v>
      </c>
      <c r="K3" s="20" t="s">
        <v>35</v>
      </c>
      <c r="L3" s="29" t="s">
        <v>36</v>
      </c>
      <c r="M3" s="29" t="s">
        <v>37</v>
      </c>
      <c r="N3" s="29" t="s">
        <v>38</v>
      </c>
      <c r="O3" s="28" t="s">
        <v>39</v>
      </c>
      <c r="P3" s="28" t="s">
        <v>40</v>
      </c>
      <c r="Q3" s="28" t="s">
        <v>41</v>
      </c>
      <c r="R3" s="25" t="s">
        <v>42</v>
      </c>
      <c r="S3" s="25" t="s">
        <v>43</v>
      </c>
      <c r="T3" s="27" t="s">
        <v>44</v>
      </c>
      <c r="U3" s="30" t="s">
        <v>45</v>
      </c>
      <c r="V3" s="30" t="s">
        <v>46</v>
      </c>
    </row>
    <row r="4" customHeight="1" spans="1:2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  <c r="M4" s="32"/>
      <c r="N4" s="32"/>
      <c r="O4" s="32"/>
      <c r="P4" s="32"/>
      <c r="Q4" s="32"/>
      <c r="V4" s="32"/>
    </row>
    <row r="5" s="12" customFormat="1" customHeight="1" spans="1:22">
      <c r="A5" s="31">
        <v>1101001</v>
      </c>
      <c r="B5" s="31">
        <v>1101</v>
      </c>
      <c r="C5" s="31" t="s">
        <v>47</v>
      </c>
      <c r="D5" s="31" t="s">
        <v>48</v>
      </c>
      <c r="E5" s="31">
        <v>1</v>
      </c>
      <c r="F5" s="31">
        <v>1</v>
      </c>
      <c r="G5" s="18">
        <v>7</v>
      </c>
      <c r="H5" s="12" t="s">
        <v>49</v>
      </c>
      <c r="I5" s="18">
        <v>300</v>
      </c>
      <c r="J5" s="33">
        <v>100</v>
      </c>
      <c r="K5" s="31" t="s">
        <v>50</v>
      </c>
      <c r="L5" s="18">
        <v>100</v>
      </c>
      <c r="M5" s="18">
        <v>10</v>
      </c>
      <c r="N5" s="18" t="s">
        <v>51</v>
      </c>
      <c r="O5" s="18"/>
      <c r="P5" s="18"/>
      <c r="Q5" s="18"/>
      <c r="R5" s="19" t="s">
        <v>52</v>
      </c>
      <c r="S5" s="19" t="s">
        <v>53</v>
      </c>
      <c r="T5" s="7" t="s">
        <v>54</v>
      </c>
      <c r="U5" s="34">
        <v>1</v>
      </c>
      <c r="V5" s="35" t="s">
        <v>55</v>
      </c>
    </row>
    <row r="6" s="12" customFormat="1" customHeight="1" spans="1:22">
      <c r="A6" s="31">
        <v>1101002</v>
      </c>
      <c r="B6" s="31">
        <v>1101</v>
      </c>
      <c r="C6" s="31" t="s">
        <v>47</v>
      </c>
      <c r="D6" s="31" t="s">
        <v>48</v>
      </c>
      <c r="E6" s="31">
        <v>1</v>
      </c>
      <c r="F6" s="31">
        <v>2</v>
      </c>
      <c r="G6" s="18">
        <v>8</v>
      </c>
      <c r="H6" s="19" t="s">
        <v>56</v>
      </c>
      <c r="I6" s="18">
        <v>305</v>
      </c>
      <c r="J6" s="33">
        <v>107</v>
      </c>
      <c r="K6" s="31" t="s">
        <v>57</v>
      </c>
      <c r="L6" s="18">
        <v>200</v>
      </c>
      <c r="M6" s="18">
        <v>20</v>
      </c>
      <c r="N6" s="18" t="s">
        <v>51</v>
      </c>
      <c r="O6" s="18"/>
      <c r="P6" s="18"/>
      <c r="Q6" s="18"/>
      <c r="R6" s="19">
        <v>1101116</v>
      </c>
      <c r="S6" s="19">
        <v>11011161</v>
      </c>
      <c r="T6" s="7" t="s">
        <v>58</v>
      </c>
      <c r="U6" s="34">
        <v>2</v>
      </c>
      <c r="V6" s="35" t="s">
        <v>59</v>
      </c>
    </row>
    <row r="7" s="12" customFormat="1" customHeight="1" spans="1:22">
      <c r="A7" s="31">
        <v>1101003</v>
      </c>
      <c r="B7" s="31">
        <v>1101</v>
      </c>
      <c r="C7" s="31" t="s">
        <v>47</v>
      </c>
      <c r="D7" s="31" t="s">
        <v>48</v>
      </c>
      <c r="E7" s="31">
        <v>1</v>
      </c>
      <c r="F7" s="31">
        <v>3</v>
      </c>
      <c r="G7" s="18">
        <v>9</v>
      </c>
      <c r="H7" s="19">
        <v>1101410</v>
      </c>
      <c r="I7" s="18">
        <v>310</v>
      </c>
      <c r="J7" s="33">
        <v>120</v>
      </c>
      <c r="K7" s="31" t="s">
        <v>60</v>
      </c>
      <c r="L7" s="18">
        <v>300</v>
      </c>
      <c r="M7" s="18">
        <v>30</v>
      </c>
      <c r="N7" s="18" t="s">
        <v>51</v>
      </c>
      <c r="O7" s="18"/>
      <c r="Q7" s="18"/>
      <c r="R7" s="19">
        <v>1101104</v>
      </c>
      <c r="S7" s="19">
        <v>11011041</v>
      </c>
      <c r="T7" s="10">
        <v>1101278</v>
      </c>
      <c r="U7" s="34">
        <v>4</v>
      </c>
      <c r="V7" s="35" t="s">
        <v>61</v>
      </c>
    </row>
    <row r="8" s="12" customFormat="1" customHeight="1" spans="1:22">
      <c r="A8" s="31">
        <v>1101004</v>
      </c>
      <c r="B8" s="31">
        <v>1101</v>
      </c>
      <c r="C8" s="31" t="s">
        <v>47</v>
      </c>
      <c r="D8" s="31" t="s">
        <v>48</v>
      </c>
      <c r="E8" s="31">
        <v>1</v>
      </c>
      <c r="F8" s="31">
        <v>4</v>
      </c>
      <c r="G8" s="18">
        <v>10</v>
      </c>
      <c r="H8" s="19">
        <v>1101411</v>
      </c>
      <c r="I8" s="18">
        <v>315</v>
      </c>
      <c r="J8" s="33">
        <v>237</v>
      </c>
      <c r="K8" s="31" t="s">
        <v>62</v>
      </c>
      <c r="L8" s="18">
        <v>400</v>
      </c>
      <c r="M8" s="18">
        <v>40</v>
      </c>
      <c r="N8" s="18" t="s">
        <v>51</v>
      </c>
      <c r="O8" s="18" t="s">
        <v>63</v>
      </c>
      <c r="P8" s="18">
        <v>10</v>
      </c>
      <c r="Q8" s="18"/>
      <c r="R8" s="19">
        <v>1101111</v>
      </c>
      <c r="S8" s="19">
        <v>11011111</v>
      </c>
      <c r="T8" s="10">
        <v>1101279</v>
      </c>
      <c r="U8" s="34">
        <v>6</v>
      </c>
      <c r="V8" s="35" t="s">
        <v>64</v>
      </c>
    </row>
    <row r="9" s="12" customFormat="1" customHeight="1" spans="1:22">
      <c r="A9" s="31">
        <v>1101005</v>
      </c>
      <c r="B9" s="31">
        <v>1101</v>
      </c>
      <c r="C9" s="31" t="s">
        <v>47</v>
      </c>
      <c r="D9" s="31" t="s">
        <v>48</v>
      </c>
      <c r="E9" s="31">
        <v>3</v>
      </c>
      <c r="F9" s="31">
        <v>5</v>
      </c>
      <c r="G9" s="18">
        <v>11</v>
      </c>
      <c r="H9" s="19">
        <v>1101412</v>
      </c>
      <c r="I9" s="18">
        <v>320</v>
      </c>
      <c r="J9" s="33">
        <v>354</v>
      </c>
      <c r="K9" s="31" t="s">
        <v>65</v>
      </c>
      <c r="L9" s="18">
        <v>500</v>
      </c>
      <c r="M9" s="18">
        <v>50</v>
      </c>
      <c r="N9" s="18" t="s">
        <v>51</v>
      </c>
      <c r="O9" s="18"/>
      <c r="Q9" s="18"/>
      <c r="R9" s="19">
        <v>1101112</v>
      </c>
      <c r="S9" s="19">
        <v>11011121</v>
      </c>
      <c r="T9" s="10">
        <v>1101280</v>
      </c>
      <c r="U9" s="34">
        <v>8</v>
      </c>
      <c r="V9" s="35" t="s">
        <v>66</v>
      </c>
    </row>
    <row r="10" s="12" customFormat="1" customHeight="1" spans="1:22">
      <c r="A10" s="31">
        <v>1101006</v>
      </c>
      <c r="B10" s="31">
        <v>1101</v>
      </c>
      <c r="C10" s="31" t="s">
        <v>47</v>
      </c>
      <c r="D10" s="31" t="s">
        <v>48</v>
      </c>
      <c r="E10" s="31">
        <v>3</v>
      </c>
      <c r="F10" s="31">
        <v>6</v>
      </c>
      <c r="G10" s="18">
        <v>12</v>
      </c>
      <c r="H10" s="19">
        <v>1101413</v>
      </c>
      <c r="I10" s="18">
        <v>325</v>
      </c>
      <c r="J10" s="33">
        <v>469</v>
      </c>
      <c r="K10" s="31" t="s">
        <v>67</v>
      </c>
      <c r="L10" s="18">
        <v>600</v>
      </c>
      <c r="M10" s="18">
        <v>60</v>
      </c>
      <c r="N10" s="18" t="s">
        <v>51</v>
      </c>
      <c r="O10" s="18"/>
      <c r="P10" s="18">
        <v>20</v>
      </c>
      <c r="Q10" s="18"/>
      <c r="R10" s="19">
        <v>1101108</v>
      </c>
      <c r="S10" s="19">
        <v>11011081</v>
      </c>
      <c r="T10" s="10">
        <v>1101287</v>
      </c>
      <c r="U10" s="34">
        <v>10</v>
      </c>
      <c r="V10" s="35" t="s">
        <v>68</v>
      </c>
    </row>
    <row r="11" s="12" customFormat="1" customHeight="1" spans="1:22">
      <c r="A11" s="31">
        <v>1101007</v>
      </c>
      <c r="B11" s="31">
        <v>1101</v>
      </c>
      <c r="C11" s="31" t="s">
        <v>47</v>
      </c>
      <c r="D11" s="31" t="s">
        <v>48</v>
      </c>
      <c r="E11" s="31">
        <v>3</v>
      </c>
      <c r="F11" s="31">
        <v>7</v>
      </c>
      <c r="G11" s="18">
        <v>13</v>
      </c>
      <c r="H11" s="19">
        <v>1101414</v>
      </c>
      <c r="I11" s="18">
        <v>330</v>
      </c>
      <c r="J11" s="33">
        <v>480</v>
      </c>
      <c r="K11" s="31" t="s">
        <v>69</v>
      </c>
      <c r="L11" s="18">
        <v>700</v>
      </c>
      <c r="M11" s="18">
        <v>70</v>
      </c>
      <c r="N11" s="18" t="s">
        <v>51</v>
      </c>
      <c r="Q11" s="18"/>
      <c r="R11" s="19">
        <v>1101110</v>
      </c>
      <c r="S11" s="19">
        <v>11011101</v>
      </c>
      <c r="T11" s="10">
        <v>1101283</v>
      </c>
      <c r="U11" s="34">
        <v>12</v>
      </c>
      <c r="V11" s="35" t="s">
        <v>70</v>
      </c>
    </row>
    <row r="12" s="12" customFormat="1" customHeight="1" spans="1:22">
      <c r="A12" s="31">
        <v>1101008</v>
      </c>
      <c r="B12" s="31">
        <v>1101</v>
      </c>
      <c r="C12" s="31" t="s">
        <v>47</v>
      </c>
      <c r="D12" s="31" t="s">
        <v>48</v>
      </c>
      <c r="E12" s="31">
        <v>3</v>
      </c>
      <c r="F12" s="31">
        <v>8</v>
      </c>
      <c r="G12" s="18">
        <v>14</v>
      </c>
      <c r="H12" s="19">
        <v>1101415</v>
      </c>
      <c r="I12" s="18">
        <v>335</v>
      </c>
      <c r="J12" s="33">
        <v>491</v>
      </c>
      <c r="K12" s="31" t="s">
        <v>71</v>
      </c>
      <c r="L12" s="18">
        <v>800</v>
      </c>
      <c r="M12" s="18">
        <v>80</v>
      </c>
      <c r="N12" s="18" t="s">
        <v>51</v>
      </c>
      <c r="O12" s="18" t="s">
        <v>72</v>
      </c>
      <c r="P12" s="18"/>
      <c r="Q12" s="18"/>
      <c r="R12" s="19">
        <v>1101105</v>
      </c>
      <c r="S12" s="19">
        <v>11011051</v>
      </c>
      <c r="T12" s="7"/>
      <c r="U12" s="34">
        <v>14</v>
      </c>
      <c r="V12" s="35" t="s">
        <v>73</v>
      </c>
    </row>
    <row r="13" s="12" customFormat="1" customHeight="1" spans="1:22">
      <c r="A13" s="31">
        <v>1101009</v>
      </c>
      <c r="B13" s="31">
        <v>1101</v>
      </c>
      <c r="C13" s="31" t="s">
        <v>47</v>
      </c>
      <c r="D13" s="31" t="s">
        <v>48</v>
      </c>
      <c r="E13" s="31">
        <v>5</v>
      </c>
      <c r="F13" s="31">
        <v>9</v>
      </c>
      <c r="G13" s="18">
        <v>15</v>
      </c>
      <c r="H13" s="19"/>
      <c r="I13" s="18">
        <v>340</v>
      </c>
      <c r="J13" s="33">
        <v>501</v>
      </c>
      <c r="K13" s="31" t="s">
        <v>74</v>
      </c>
      <c r="L13" s="18">
        <v>900</v>
      </c>
      <c r="M13" s="18">
        <v>90</v>
      </c>
      <c r="N13" s="18" t="s">
        <v>51</v>
      </c>
      <c r="O13" s="18"/>
      <c r="P13" s="18">
        <v>30</v>
      </c>
      <c r="Q13" s="18"/>
      <c r="R13" s="19">
        <v>1101103</v>
      </c>
      <c r="S13" s="19">
        <v>11011031</v>
      </c>
      <c r="T13" s="7"/>
      <c r="U13" s="34">
        <v>16</v>
      </c>
      <c r="V13" s="35" t="s">
        <v>75</v>
      </c>
    </row>
    <row r="14" s="12" customFormat="1" customHeight="1" spans="1:22">
      <c r="A14" s="31">
        <v>1101010</v>
      </c>
      <c r="B14" s="31">
        <v>1101</v>
      </c>
      <c r="C14" s="31" t="s">
        <v>47</v>
      </c>
      <c r="D14" s="31" t="s">
        <v>48</v>
      </c>
      <c r="E14" s="31">
        <v>5</v>
      </c>
      <c r="F14" s="31">
        <v>10</v>
      </c>
      <c r="G14" s="18">
        <v>16</v>
      </c>
      <c r="H14" s="19"/>
      <c r="I14" s="18">
        <v>345</v>
      </c>
      <c r="J14" s="33">
        <v>533</v>
      </c>
      <c r="K14" s="31" t="s">
        <v>76</v>
      </c>
      <c r="L14" s="18">
        <v>1000</v>
      </c>
      <c r="M14" s="18">
        <v>100</v>
      </c>
      <c r="N14" s="18" t="s">
        <v>51</v>
      </c>
      <c r="P14" s="18"/>
      <c r="Q14" s="18"/>
      <c r="R14" s="19">
        <v>1101102</v>
      </c>
      <c r="S14" s="19">
        <v>11011021</v>
      </c>
      <c r="T14" s="7"/>
      <c r="U14" s="34">
        <v>18</v>
      </c>
      <c r="V14" s="35" t="s">
        <v>77</v>
      </c>
    </row>
    <row r="15" s="13" customFormat="1" customHeight="1" spans="1:22">
      <c r="A15" s="31">
        <v>1101011</v>
      </c>
      <c r="B15" s="31">
        <v>1101</v>
      </c>
      <c r="C15" s="31" t="s">
        <v>47</v>
      </c>
      <c r="D15" s="31" t="s">
        <v>48</v>
      </c>
      <c r="E15" s="31">
        <v>5</v>
      </c>
      <c r="F15" s="31">
        <v>11</v>
      </c>
      <c r="G15" s="18">
        <v>16</v>
      </c>
      <c r="H15" s="19"/>
      <c r="I15" s="18">
        <v>350</v>
      </c>
      <c r="J15" s="33">
        <v>565</v>
      </c>
      <c r="K15" s="31" t="s">
        <v>78</v>
      </c>
      <c r="L15" s="18">
        <v>1100</v>
      </c>
      <c r="M15" s="18">
        <v>110</v>
      </c>
      <c r="N15" s="18" t="s">
        <v>51</v>
      </c>
      <c r="O15" s="18" t="s">
        <v>79</v>
      </c>
      <c r="P15" s="18">
        <v>40</v>
      </c>
      <c r="Q15" s="18"/>
      <c r="R15" s="19"/>
      <c r="T15" s="7"/>
      <c r="U15" s="34">
        <v>20</v>
      </c>
      <c r="V15" s="35" t="s">
        <v>80</v>
      </c>
    </row>
    <row r="16" s="13" customFormat="1" customHeight="1" spans="1:22">
      <c r="A16" s="31">
        <v>1101012</v>
      </c>
      <c r="B16" s="31">
        <v>1101</v>
      </c>
      <c r="C16" s="31" t="s">
        <v>47</v>
      </c>
      <c r="D16" s="31" t="s">
        <v>48</v>
      </c>
      <c r="E16" s="31">
        <v>5</v>
      </c>
      <c r="F16" s="31">
        <v>12</v>
      </c>
      <c r="G16" s="18">
        <v>16</v>
      </c>
      <c r="H16" s="12"/>
      <c r="I16" s="18">
        <v>355</v>
      </c>
      <c r="J16" s="33">
        <v>581</v>
      </c>
      <c r="K16" s="31" t="s">
        <v>81</v>
      </c>
      <c r="L16" s="18">
        <v>1200</v>
      </c>
      <c r="M16" s="18">
        <v>120</v>
      </c>
      <c r="N16" s="18" t="s">
        <v>51</v>
      </c>
      <c r="O16" s="18"/>
      <c r="P16" s="18"/>
      <c r="Q16" s="18"/>
      <c r="T16" s="7"/>
      <c r="U16" s="34">
        <v>22</v>
      </c>
      <c r="V16" s="35" t="s">
        <v>82</v>
      </c>
    </row>
    <row r="17" s="13" customFormat="1" customHeight="1" spans="1:22">
      <c r="A17" s="31">
        <v>1101013</v>
      </c>
      <c r="B17" s="31">
        <v>1101</v>
      </c>
      <c r="C17" s="31" t="s">
        <v>47</v>
      </c>
      <c r="D17" s="31" t="s">
        <v>48</v>
      </c>
      <c r="E17" s="31">
        <v>7</v>
      </c>
      <c r="F17" s="31">
        <v>13</v>
      </c>
      <c r="G17" s="18">
        <v>16</v>
      </c>
      <c r="H17" s="12"/>
      <c r="I17" s="18">
        <v>360</v>
      </c>
      <c r="J17" s="33">
        <v>597</v>
      </c>
      <c r="K17" s="31" t="s">
        <v>83</v>
      </c>
      <c r="L17" s="18">
        <v>1300</v>
      </c>
      <c r="M17" s="18">
        <v>130</v>
      </c>
      <c r="N17" s="18" t="s">
        <v>51</v>
      </c>
      <c r="O17" s="18"/>
      <c r="P17" s="18">
        <v>50</v>
      </c>
      <c r="Q17" s="18"/>
      <c r="R17" s="19"/>
      <c r="S17" s="19"/>
      <c r="T17" s="7"/>
      <c r="U17" s="34">
        <v>24</v>
      </c>
      <c r="V17" s="35" t="s">
        <v>84</v>
      </c>
    </row>
    <row r="18" s="13" customFormat="1" customHeight="1" spans="1:22">
      <c r="A18" s="31">
        <v>1101014</v>
      </c>
      <c r="B18" s="31">
        <v>1101</v>
      </c>
      <c r="C18" s="31" t="s">
        <v>47</v>
      </c>
      <c r="D18" s="31" t="s">
        <v>48</v>
      </c>
      <c r="E18" s="31">
        <v>7</v>
      </c>
      <c r="F18" s="31">
        <v>14</v>
      </c>
      <c r="G18" s="18">
        <v>16</v>
      </c>
      <c r="H18" s="12"/>
      <c r="I18" s="18">
        <v>365</v>
      </c>
      <c r="J18" s="33">
        <v>613</v>
      </c>
      <c r="K18" s="31" t="s">
        <v>85</v>
      </c>
      <c r="L18" s="18">
        <v>1400</v>
      </c>
      <c r="M18" s="18">
        <v>140</v>
      </c>
      <c r="N18" s="18" t="s">
        <v>51</v>
      </c>
      <c r="O18" s="18"/>
      <c r="P18" s="18"/>
      <c r="Q18" s="18"/>
      <c r="R18" s="19"/>
      <c r="S18" s="19"/>
      <c r="T18" s="7"/>
      <c r="U18" s="34">
        <v>26</v>
      </c>
      <c r="V18" s="35" t="s">
        <v>86</v>
      </c>
    </row>
    <row r="19" s="13" customFormat="1" customHeight="1" spans="1:22">
      <c r="A19" s="31">
        <v>1101015</v>
      </c>
      <c r="B19" s="31">
        <v>1101</v>
      </c>
      <c r="C19" s="31" t="s">
        <v>47</v>
      </c>
      <c r="D19" s="31" t="s">
        <v>48</v>
      </c>
      <c r="E19" s="31">
        <v>7</v>
      </c>
      <c r="F19" s="31">
        <v>15</v>
      </c>
      <c r="G19" s="18">
        <v>16</v>
      </c>
      <c r="H19" s="12"/>
      <c r="I19" s="18">
        <v>370</v>
      </c>
      <c r="J19" s="33">
        <v>635</v>
      </c>
      <c r="K19" s="31" t="s">
        <v>87</v>
      </c>
      <c r="L19" s="18">
        <v>1500</v>
      </c>
      <c r="M19" s="18">
        <v>150</v>
      </c>
      <c r="N19" s="18" t="s">
        <v>51</v>
      </c>
      <c r="O19" s="18"/>
      <c r="P19" s="18">
        <v>60</v>
      </c>
      <c r="Q19" s="18"/>
      <c r="R19" s="19"/>
      <c r="S19" s="19"/>
      <c r="T19" s="7"/>
      <c r="U19" s="34">
        <v>28</v>
      </c>
      <c r="V19" s="35" t="s">
        <v>88</v>
      </c>
    </row>
    <row r="20" s="13" customFormat="1" customHeight="1" spans="1:22">
      <c r="A20" s="31">
        <v>1101016</v>
      </c>
      <c r="B20" s="31">
        <v>1101</v>
      </c>
      <c r="C20" s="31" t="s">
        <v>47</v>
      </c>
      <c r="D20" s="31" t="s">
        <v>48</v>
      </c>
      <c r="E20" s="31">
        <v>7</v>
      </c>
      <c r="F20" s="31">
        <v>16</v>
      </c>
      <c r="G20" s="18">
        <v>16</v>
      </c>
      <c r="H20" s="12"/>
      <c r="I20" s="18">
        <v>375</v>
      </c>
      <c r="J20" s="33">
        <v>656</v>
      </c>
      <c r="K20" s="31" t="s">
        <v>89</v>
      </c>
      <c r="L20" s="18">
        <v>1600</v>
      </c>
      <c r="M20" s="18">
        <v>160</v>
      </c>
      <c r="N20" s="18" t="s">
        <v>51</v>
      </c>
      <c r="O20" s="18"/>
      <c r="P20" s="18"/>
      <c r="Q20" s="18"/>
      <c r="R20" s="19"/>
      <c r="S20" s="19"/>
      <c r="T20" s="7"/>
      <c r="U20" s="34">
        <v>30</v>
      </c>
      <c r="V20" s="35" t="s">
        <v>90</v>
      </c>
    </row>
    <row r="21" s="13" customFormat="1" customHeight="1" spans="1:22">
      <c r="A21" s="31">
        <v>1101017</v>
      </c>
      <c r="B21" s="31">
        <v>1101</v>
      </c>
      <c r="C21" s="31" t="s">
        <v>47</v>
      </c>
      <c r="D21" s="31" t="s">
        <v>48</v>
      </c>
      <c r="E21" s="31">
        <v>9</v>
      </c>
      <c r="F21" s="31">
        <v>17</v>
      </c>
      <c r="G21" s="18">
        <v>16</v>
      </c>
      <c r="H21" s="12"/>
      <c r="I21" s="18">
        <v>380</v>
      </c>
      <c r="J21" s="33">
        <v>672</v>
      </c>
      <c r="K21" s="31" t="s">
        <v>91</v>
      </c>
      <c r="L21" s="18">
        <v>1700</v>
      </c>
      <c r="M21" s="18">
        <v>170</v>
      </c>
      <c r="N21" s="18" t="s">
        <v>51</v>
      </c>
      <c r="O21" s="18"/>
      <c r="P21" s="18">
        <v>70</v>
      </c>
      <c r="Q21" s="18"/>
      <c r="R21" s="19"/>
      <c r="S21" s="19"/>
      <c r="T21" s="7"/>
      <c r="U21" s="34">
        <v>32</v>
      </c>
      <c r="V21" s="35" t="s">
        <v>92</v>
      </c>
    </row>
    <row r="22" s="13" customFormat="1" customHeight="1" spans="1:22">
      <c r="A22" s="31">
        <v>1101018</v>
      </c>
      <c r="B22" s="31">
        <v>1101</v>
      </c>
      <c r="C22" s="31" t="s">
        <v>47</v>
      </c>
      <c r="D22" s="31" t="s">
        <v>48</v>
      </c>
      <c r="E22" s="31">
        <v>9</v>
      </c>
      <c r="F22" s="31">
        <v>18</v>
      </c>
      <c r="G22" s="18">
        <v>16</v>
      </c>
      <c r="H22" s="12"/>
      <c r="I22" s="18">
        <v>385</v>
      </c>
      <c r="J22" s="33">
        <v>688</v>
      </c>
      <c r="K22" s="31" t="s">
        <v>93</v>
      </c>
      <c r="L22" s="18">
        <v>1800</v>
      </c>
      <c r="M22" s="18">
        <v>180</v>
      </c>
      <c r="N22" s="18" t="s">
        <v>51</v>
      </c>
      <c r="O22" s="18"/>
      <c r="P22" s="18"/>
      <c r="Q22" s="18"/>
      <c r="R22" s="19"/>
      <c r="S22" s="19"/>
      <c r="T22" s="7"/>
      <c r="U22" s="34">
        <v>34</v>
      </c>
      <c r="V22" s="35" t="s">
        <v>94</v>
      </c>
    </row>
    <row r="23" s="13" customFormat="1" customHeight="1" spans="1:22">
      <c r="A23" s="31">
        <v>1101019</v>
      </c>
      <c r="B23" s="31">
        <v>1101</v>
      </c>
      <c r="C23" s="31" t="s">
        <v>47</v>
      </c>
      <c r="D23" s="31" t="s">
        <v>48</v>
      </c>
      <c r="E23" s="31">
        <v>9</v>
      </c>
      <c r="F23" s="31">
        <v>19</v>
      </c>
      <c r="G23" s="18">
        <v>16</v>
      </c>
      <c r="H23" s="12"/>
      <c r="I23" s="18">
        <v>390</v>
      </c>
      <c r="J23" s="33">
        <v>704</v>
      </c>
      <c r="K23" s="31" t="s">
        <v>95</v>
      </c>
      <c r="L23" s="18">
        <v>1900</v>
      </c>
      <c r="M23" s="18">
        <v>190</v>
      </c>
      <c r="N23" s="18" t="s">
        <v>51</v>
      </c>
      <c r="O23" s="18"/>
      <c r="P23" s="18">
        <v>80</v>
      </c>
      <c r="Q23" s="18"/>
      <c r="R23" s="19"/>
      <c r="S23" s="19"/>
      <c r="T23" s="7"/>
      <c r="U23" s="34">
        <v>36</v>
      </c>
      <c r="V23" s="35" t="s">
        <v>96</v>
      </c>
    </row>
    <row r="24" s="13" customFormat="1" customHeight="1" spans="1:22">
      <c r="A24" s="31">
        <v>1101020</v>
      </c>
      <c r="B24" s="31">
        <v>1101</v>
      </c>
      <c r="C24" s="31" t="s">
        <v>47</v>
      </c>
      <c r="D24" s="31" t="s">
        <v>48</v>
      </c>
      <c r="E24" s="31">
        <v>9</v>
      </c>
      <c r="F24" s="31">
        <v>20</v>
      </c>
      <c r="G24" s="18">
        <v>16</v>
      </c>
      <c r="H24" s="12"/>
      <c r="I24" s="18">
        <v>395</v>
      </c>
      <c r="J24" s="33">
        <v>720</v>
      </c>
      <c r="K24" s="31" t="s">
        <v>97</v>
      </c>
      <c r="L24" s="18">
        <v>2000</v>
      </c>
      <c r="M24" s="18">
        <v>200</v>
      </c>
      <c r="N24" s="18" t="s">
        <v>51</v>
      </c>
      <c r="O24" s="18"/>
      <c r="P24" s="18"/>
      <c r="Q24" s="18"/>
      <c r="R24" s="19"/>
      <c r="S24" s="19"/>
      <c r="T24" s="7"/>
      <c r="U24" s="34">
        <v>38</v>
      </c>
      <c r="V24" s="35" t="s">
        <v>98</v>
      </c>
    </row>
    <row r="25" customHeight="1" spans="1:22">
      <c r="A25" s="31">
        <v>1102001</v>
      </c>
      <c r="B25" s="31">
        <v>1102</v>
      </c>
      <c r="C25" s="31" t="s">
        <v>99</v>
      </c>
      <c r="D25" s="31" t="s">
        <v>100</v>
      </c>
      <c r="E25" s="31">
        <v>6</v>
      </c>
      <c r="F25" s="31">
        <v>1</v>
      </c>
      <c r="G25" s="18">
        <v>7</v>
      </c>
      <c r="H25" s="12" t="s">
        <v>101</v>
      </c>
      <c r="I25" s="18">
        <v>5</v>
      </c>
      <c r="J25" s="18">
        <v>32</v>
      </c>
      <c r="K25" s="31" t="s">
        <v>102</v>
      </c>
      <c r="L25" s="18">
        <v>200</v>
      </c>
      <c r="M25" s="18">
        <v>15</v>
      </c>
      <c r="N25" s="18" t="s">
        <v>103</v>
      </c>
      <c r="O25" s="18"/>
      <c r="P25" s="18"/>
      <c r="Q25" s="18"/>
      <c r="R25" s="19" t="s">
        <v>104</v>
      </c>
      <c r="S25" s="19" t="s">
        <v>105</v>
      </c>
      <c r="T25" s="7" t="s">
        <v>106</v>
      </c>
      <c r="U25" s="34">
        <v>1</v>
      </c>
      <c r="V25" s="35" t="s">
        <v>107</v>
      </c>
    </row>
    <row r="26" customHeight="1" spans="1:22">
      <c r="A26" s="31">
        <v>1102002</v>
      </c>
      <c r="B26" s="31">
        <v>1102</v>
      </c>
      <c r="C26" s="31" t="s">
        <v>99</v>
      </c>
      <c r="D26" s="31" t="s">
        <v>100</v>
      </c>
      <c r="E26" s="31">
        <v>6</v>
      </c>
      <c r="F26" s="31">
        <v>2</v>
      </c>
      <c r="G26" s="18">
        <v>8</v>
      </c>
      <c r="H26" s="12" t="s">
        <v>108</v>
      </c>
      <c r="I26" s="18">
        <v>10</v>
      </c>
      <c r="J26" s="18">
        <v>48</v>
      </c>
      <c r="K26" s="31" t="s">
        <v>109</v>
      </c>
      <c r="L26" s="18">
        <v>400</v>
      </c>
      <c r="M26" s="18">
        <v>30</v>
      </c>
      <c r="N26" s="18" t="s">
        <v>103</v>
      </c>
      <c r="O26" s="18"/>
      <c r="P26" s="18"/>
      <c r="Q26" s="18"/>
      <c r="R26" s="19">
        <v>1102113</v>
      </c>
      <c r="S26" s="19">
        <v>11021131</v>
      </c>
      <c r="T26" s="7" t="s">
        <v>110</v>
      </c>
      <c r="U26" s="34">
        <v>2</v>
      </c>
      <c r="V26" s="35" t="s">
        <v>111</v>
      </c>
    </row>
    <row r="27" customHeight="1" spans="1:22">
      <c r="A27" s="31">
        <v>1102003</v>
      </c>
      <c r="B27" s="31">
        <v>1102</v>
      </c>
      <c r="C27" s="31" t="s">
        <v>99</v>
      </c>
      <c r="D27" s="31" t="s">
        <v>100</v>
      </c>
      <c r="E27" s="31">
        <v>6</v>
      </c>
      <c r="F27" s="31">
        <v>3</v>
      </c>
      <c r="G27" s="18">
        <v>9</v>
      </c>
      <c r="H27" s="19">
        <v>1102410</v>
      </c>
      <c r="I27" s="18">
        <v>15</v>
      </c>
      <c r="J27" s="18">
        <v>64</v>
      </c>
      <c r="K27" s="31" t="s">
        <v>112</v>
      </c>
      <c r="L27" s="18">
        <v>600</v>
      </c>
      <c r="M27" s="18">
        <v>45</v>
      </c>
      <c r="N27" s="18" t="s">
        <v>103</v>
      </c>
      <c r="O27" s="18"/>
      <c r="P27" s="18">
        <v>10</v>
      </c>
      <c r="Q27" s="18"/>
      <c r="R27" s="19">
        <v>1102114</v>
      </c>
      <c r="S27" s="19">
        <v>11021141</v>
      </c>
      <c r="T27" s="10">
        <v>1102262</v>
      </c>
      <c r="U27" s="34">
        <v>4</v>
      </c>
      <c r="V27" s="35" t="s">
        <v>113</v>
      </c>
    </row>
    <row r="28" customHeight="1" spans="1:22">
      <c r="A28" s="31">
        <v>1102004</v>
      </c>
      <c r="B28" s="31">
        <v>1102</v>
      </c>
      <c r="C28" s="31" t="s">
        <v>99</v>
      </c>
      <c r="D28" s="31" t="s">
        <v>100</v>
      </c>
      <c r="E28" s="31">
        <v>6</v>
      </c>
      <c r="F28" s="31">
        <v>4</v>
      </c>
      <c r="G28" s="18">
        <v>10</v>
      </c>
      <c r="H28" s="19">
        <v>1102411</v>
      </c>
      <c r="I28" s="18">
        <v>20</v>
      </c>
      <c r="J28" s="18">
        <v>80</v>
      </c>
      <c r="K28" s="31" t="s">
        <v>114</v>
      </c>
      <c r="L28" s="18">
        <v>800</v>
      </c>
      <c r="M28" s="18">
        <v>60</v>
      </c>
      <c r="N28" s="18" t="s">
        <v>103</v>
      </c>
      <c r="O28" s="18" t="s">
        <v>115</v>
      </c>
      <c r="P28" s="18"/>
      <c r="Q28" s="18"/>
      <c r="R28" s="19">
        <v>1102116</v>
      </c>
      <c r="S28" s="19">
        <v>11021161</v>
      </c>
      <c r="T28" s="7" t="s">
        <v>116</v>
      </c>
      <c r="U28" s="34">
        <v>6</v>
      </c>
      <c r="V28" s="35" t="s">
        <v>117</v>
      </c>
    </row>
    <row r="29" customHeight="1" spans="1:22">
      <c r="A29" s="31">
        <v>1102005</v>
      </c>
      <c r="B29" s="31">
        <v>1102</v>
      </c>
      <c r="C29" s="31" t="s">
        <v>99</v>
      </c>
      <c r="D29" s="31" t="s">
        <v>100</v>
      </c>
      <c r="E29" s="31">
        <v>8</v>
      </c>
      <c r="F29" s="31">
        <v>5</v>
      </c>
      <c r="G29" s="18">
        <v>11</v>
      </c>
      <c r="H29" s="19">
        <v>1102412</v>
      </c>
      <c r="I29" s="18">
        <v>25</v>
      </c>
      <c r="J29" s="18">
        <v>102</v>
      </c>
      <c r="K29" s="31" t="s">
        <v>118</v>
      </c>
      <c r="L29" s="18">
        <v>1000</v>
      </c>
      <c r="M29" s="18">
        <v>75</v>
      </c>
      <c r="N29" s="18" t="s">
        <v>103</v>
      </c>
      <c r="Q29" s="18"/>
      <c r="R29" s="19">
        <v>1102117</v>
      </c>
      <c r="S29" s="19">
        <v>11021171</v>
      </c>
      <c r="U29" s="34">
        <v>8</v>
      </c>
      <c r="V29" s="35" t="s">
        <v>119</v>
      </c>
    </row>
    <row r="30" customHeight="1" spans="1:22">
      <c r="A30" s="31">
        <v>1102006</v>
      </c>
      <c r="B30" s="31">
        <v>1102</v>
      </c>
      <c r="C30" s="31" t="s">
        <v>99</v>
      </c>
      <c r="D30" s="31" t="s">
        <v>100</v>
      </c>
      <c r="E30" s="31">
        <v>8</v>
      </c>
      <c r="F30" s="31">
        <v>6</v>
      </c>
      <c r="G30" s="18">
        <v>12</v>
      </c>
      <c r="H30" s="19">
        <v>1102413</v>
      </c>
      <c r="I30" s="18">
        <v>30</v>
      </c>
      <c r="J30" s="18">
        <v>123</v>
      </c>
      <c r="K30" s="31" t="s">
        <v>120</v>
      </c>
      <c r="L30" s="18">
        <v>1200</v>
      </c>
      <c r="M30" s="18">
        <v>90</v>
      </c>
      <c r="N30" s="18" t="s">
        <v>103</v>
      </c>
      <c r="O30" s="18"/>
      <c r="P30" s="18">
        <v>20</v>
      </c>
      <c r="Q30" s="18"/>
      <c r="R30" s="19">
        <v>1102103</v>
      </c>
      <c r="S30" s="19">
        <v>11021031</v>
      </c>
      <c r="U30" s="34">
        <v>10</v>
      </c>
      <c r="V30" s="35" t="s">
        <v>121</v>
      </c>
    </row>
    <row r="31" customHeight="1" spans="1:22">
      <c r="A31" s="31">
        <v>1102007</v>
      </c>
      <c r="B31" s="31">
        <v>1102</v>
      </c>
      <c r="C31" s="31" t="s">
        <v>99</v>
      </c>
      <c r="D31" s="31" t="s">
        <v>100</v>
      </c>
      <c r="E31" s="31">
        <v>8</v>
      </c>
      <c r="F31" s="31">
        <v>7</v>
      </c>
      <c r="G31" s="18">
        <v>13</v>
      </c>
      <c r="H31" s="19">
        <v>1102414</v>
      </c>
      <c r="I31" s="18">
        <v>35</v>
      </c>
      <c r="J31" s="18">
        <v>139</v>
      </c>
      <c r="K31" s="31" t="s">
        <v>122</v>
      </c>
      <c r="L31" s="18">
        <v>1400</v>
      </c>
      <c r="M31" s="18">
        <v>105</v>
      </c>
      <c r="N31" s="18" t="s">
        <v>103</v>
      </c>
      <c r="Q31" s="18"/>
      <c r="R31" s="19">
        <v>1102115</v>
      </c>
      <c r="S31" s="19">
        <v>11021151</v>
      </c>
      <c r="U31" s="34">
        <v>12</v>
      </c>
      <c r="V31" s="35" t="s">
        <v>123</v>
      </c>
    </row>
    <row r="32" customHeight="1" spans="1:22">
      <c r="A32" s="31">
        <v>1102008</v>
      </c>
      <c r="B32" s="31">
        <v>1102</v>
      </c>
      <c r="C32" s="31" t="s">
        <v>99</v>
      </c>
      <c r="D32" s="31" t="s">
        <v>100</v>
      </c>
      <c r="E32" s="31">
        <v>8</v>
      </c>
      <c r="F32" s="31">
        <v>8</v>
      </c>
      <c r="G32" s="18">
        <v>14</v>
      </c>
      <c r="H32" s="19">
        <v>1102415</v>
      </c>
      <c r="I32" s="18">
        <v>40</v>
      </c>
      <c r="J32" s="18">
        <v>155</v>
      </c>
      <c r="K32" s="31" t="s">
        <v>124</v>
      </c>
      <c r="L32" s="18">
        <v>1600</v>
      </c>
      <c r="M32" s="18">
        <v>120</v>
      </c>
      <c r="N32" s="18" t="s">
        <v>103</v>
      </c>
      <c r="O32" s="18" t="s">
        <v>125</v>
      </c>
      <c r="P32" s="18"/>
      <c r="Q32" s="18"/>
      <c r="R32" s="19">
        <v>1102106</v>
      </c>
      <c r="S32" s="19">
        <v>11021061</v>
      </c>
      <c r="U32" s="34">
        <v>14</v>
      </c>
      <c r="V32" s="35" t="s">
        <v>126</v>
      </c>
    </row>
    <row r="33" customHeight="1" spans="1:22">
      <c r="A33" s="31">
        <v>1102009</v>
      </c>
      <c r="B33" s="31">
        <v>1102</v>
      </c>
      <c r="C33" s="31" t="s">
        <v>99</v>
      </c>
      <c r="D33" s="31" t="s">
        <v>100</v>
      </c>
      <c r="E33" s="31">
        <v>10</v>
      </c>
      <c r="F33" s="31">
        <v>9</v>
      </c>
      <c r="G33" s="18">
        <v>15</v>
      </c>
      <c r="I33" s="18">
        <v>45</v>
      </c>
      <c r="J33" s="18">
        <v>171</v>
      </c>
      <c r="K33" s="31" t="s">
        <v>127</v>
      </c>
      <c r="L33" s="18">
        <v>1800</v>
      </c>
      <c r="M33" s="18">
        <v>135</v>
      </c>
      <c r="N33" s="18" t="s">
        <v>103</v>
      </c>
      <c r="O33" s="18"/>
      <c r="P33" s="18">
        <v>30</v>
      </c>
      <c r="Q33" s="18"/>
      <c r="R33" s="19">
        <v>1102118</v>
      </c>
      <c r="S33" s="19">
        <v>11021181</v>
      </c>
      <c r="U33" s="34">
        <v>16</v>
      </c>
      <c r="V33" s="35" t="s">
        <v>128</v>
      </c>
    </row>
    <row r="34" customHeight="1" spans="1:22">
      <c r="A34" s="31">
        <v>1102010</v>
      </c>
      <c r="B34" s="31">
        <v>1102</v>
      </c>
      <c r="C34" s="31" t="s">
        <v>99</v>
      </c>
      <c r="D34" s="31" t="s">
        <v>100</v>
      </c>
      <c r="E34" s="31">
        <v>10</v>
      </c>
      <c r="F34" s="31">
        <v>10</v>
      </c>
      <c r="G34" s="18">
        <v>16</v>
      </c>
      <c r="I34" s="18">
        <v>50</v>
      </c>
      <c r="J34" s="18">
        <v>187</v>
      </c>
      <c r="K34" s="31" t="s">
        <v>129</v>
      </c>
      <c r="L34" s="18">
        <v>2000</v>
      </c>
      <c r="M34" s="18">
        <v>150</v>
      </c>
      <c r="N34" s="18" t="s">
        <v>103</v>
      </c>
      <c r="P34" s="18"/>
      <c r="Q34" s="18"/>
      <c r="R34" s="19">
        <v>1102107</v>
      </c>
      <c r="S34" s="19">
        <v>11021071</v>
      </c>
      <c r="U34" s="34">
        <v>18</v>
      </c>
      <c r="V34" s="35" t="s">
        <v>130</v>
      </c>
    </row>
    <row r="35" customHeight="1" spans="1:22">
      <c r="A35" s="31">
        <v>1102011</v>
      </c>
      <c r="B35" s="31">
        <v>1102</v>
      </c>
      <c r="C35" s="31" t="s">
        <v>99</v>
      </c>
      <c r="D35" s="31" t="s">
        <v>100</v>
      </c>
      <c r="E35" s="31">
        <v>10</v>
      </c>
      <c r="F35" s="31">
        <v>11</v>
      </c>
      <c r="G35" s="18">
        <v>17</v>
      </c>
      <c r="I35" s="18">
        <v>55</v>
      </c>
      <c r="J35" s="18">
        <v>203</v>
      </c>
      <c r="K35" s="31" t="s">
        <v>131</v>
      </c>
      <c r="L35" s="18">
        <v>2200</v>
      </c>
      <c r="M35" s="18">
        <v>165</v>
      </c>
      <c r="N35" s="18" t="s">
        <v>103</v>
      </c>
      <c r="O35" s="18" t="s">
        <v>132</v>
      </c>
      <c r="P35" s="18">
        <v>40</v>
      </c>
      <c r="Q35" s="18"/>
      <c r="R35" s="19">
        <v>1102108</v>
      </c>
      <c r="S35" s="19">
        <v>11021081</v>
      </c>
      <c r="U35" s="34">
        <v>20</v>
      </c>
      <c r="V35" s="35" t="s">
        <v>133</v>
      </c>
    </row>
    <row r="36" customHeight="1" spans="1:22">
      <c r="A36" s="31">
        <v>1102012</v>
      </c>
      <c r="B36" s="31">
        <v>1102</v>
      </c>
      <c r="C36" s="31" t="s">
        <v>99</v>
      </c>
      <c r="D36" s="31" t="s">
        <v>100</v>
      </c>
      <c r="E36" s="31">
        <v>10</v>
      </c>
      <c r="F36" s="31">
        <v>12</v>
      </c>
      <c r="G36" s="18">
        <v>18</v>
      </c>
      <c r="I36" s="18">
        <v>60</v>
      </c>
      <c r="J36" s="18">
        <v>219</v>
      </c>
      <c r="K36" s="31" t="s">
        <v>134</v>
      </c>
      <c r="L36" s="18">
        <v>2400</v>
      </c>
      <c r="M36" s="18">
        <v>180</v>
      </c>
      <c r="N36" s="18" t="s">
        <v>103</v>
      </c>
      <c r="O36" s="18"/>
      <c r="P36" s="18"/>
      <c r="Q36" s="18"/>
      <c r="R36" s="19">
        <v>1102112</v>
      </c>
      <c r="S36" s="19">
        <v>11021121</v>
      </c>
      <c r="U36" s="34">
        <v>22</v>
      </c>
      <c r="V36" s="35" t="s">
        <v>135</v>
      </c>
    </row>
    <row r="37" customHeight="1" spans="1:22">
      <c r="A37" s="31">
        <v>1102013</v>
      </c>
      <c r="B37" s="31">
        <v>1102</v>
      </c>
      <c r="C37" s="31" t="s">
        <v>99</v>
      </c>
      <c r="D37" s="31" t="s">
        <v>100</v>
      </c>
      <c r="E37" s="31">
        <v>12</v>
      </c>
      <c r="F37" s="31">
        <v>13</v>
      </c>
      <c r="G37" s="18">
        <v>18</v>
      </c>
      <c r="I37" s="18">
        <v>65</v>
      </c>
      <c r="J37" s="18">
        <v>235</v>
      </c>
      <c r="K37" s="31" t="s">
        <v>136</v>
      </c>
      <c r="L37" s="18">
        <v>2600</v>
      </c>
      <c r="M37" s="18">
        <v>195</v>
      </c>
      <c r="N37" s="18" t="s">
        <v>103</v>
      </c>
      <c r="P37" s="18">
        <v>50</v>
      </c>
      <c r="Q37" s="18"/>
      <c r="U37" s="34">
        <v>24</v>
      </c>
      <c r="V37" s="35" t="s">
        <v>137</v>
      </c>
    </row>
    <row r="38" customHeight="1" spans="1:22">
      <c r="A38" s="31">
        <v>1102014</v>
      </c>
      <c r="B38" s="31">
        <v>1102</v>
      </c>
      <c r="C38" s="31" t="s">
        <v>99</v>
      </c>
      <c r="D38" s="31" t="s">
        <v>100</v>
      </c>
      <c r="E38" s="31">
        <v>12</v>
      </c>
      <c r="F38" s="31">
        <v>14</v>
      </c>
      <c r="G38" s="18">
        <v>18</v>
      </c>
      <c r="I38" s="18">
        <v>70</v>
      </c>
      <c r="J38" s="18">
        <v>251</v>
      </c>
      <c r="K38" s="31" t="s">
        <v>138</v>
      </c>
      <c r="L38" s="18">
        <v>2800</v>
      </c>
      <c r="M38" s="18">
        <v>210</v>
      </c>
      <c r="N38" s="18" t="s">
        <v>103</v>
      </c>
      <c r="O38" s="18" t="s">
        <v>139</v>
      </c>
      <c r="P38" s="18"/>
      <c r="Q38" s="18"/>
      <c r="U38" s="34">
        <v>26</v>
      </c>
      <c r="V38" s="35" t="s">
        <v>140</v>
      </c>
    </row>
    <row r="39" customHeight="1" spans="1:22">
      <c r="A39" s="31">
        <v>1102015</v>
      </c>
      <c r="B39" s="31">
        <v>1102</v>
      </c>
      <c r="C39" s="31" t="s">
        <v>99</v>
      </c>
      <c r="D39" s="31" t="s">
        <v>100</v>
      </c>
      <c r="E39" s="31">
        <v>12</v>
      </c>
      <c r="F39" s="31">
        <v>15</v>
      </c>
      <c r="G39" s="18">
        <v>18</v>
      </c>
      <c r="I39" s="18">
        <v>75</v>
      </c>
      <c r="J39" s="18">
        <v>252</v>
      </c>
      <c r="K39" s="31" t="s">
        <v>141</v>
      </c>
      <c r="L39" s="18">
        <v>3000</v>
      </c>
      <c r="M39" s="18">
        <v>225</v>
      </c>
      <c r="N39" s="18" t="s">
        <v>103</v>
      </c>
      <c r="P39" s="18">
        <v>60</v>
      </c>
      <c r="Q39" s="18"/>
      <c r="U39" s="34">
        <v>28</v>
      </c>
      <c r="V39" s="35" t="s">
        <v>142</v>
      </c>
    </row>
    <row r="40" customHeight="1" spans="1:22">
      <c r="A40" s="31">
        <v>1102016</v>
      </c>
      <c r="B40" s="31">
        <v>1102</v>
      </c>
      <c r="C40" s="31" t="s">
        <v>99</v>
      </c>
      <c r="D40" s="31" t="s">
        <v>100</v>
      </c>
      <c r="E40" s="31">
        <v>12</v>
      </c>
      <c r="F40" s="31">
        <v>16</v>
      </c>
      <c r="G40" s="18">
        <v>18</v>
      </c>
      <c r="I40" s="18">
        <v>80</v>
      </c>
      <c r="J40" s="18">
        <v>266</v>
      </c>
      <c r="K40" s="31" t="s">
        <v>143</v>
      </c>
      <c r="L40" s="18">
        <v>3200</v>
      </c>
      <c r="M40" s="18">
        <v>240</v>
      </c>
      <c r="N40" s="18" t="s">
        <v>103</v>
      </c>
      <c r="O40" s="18"/>
      <c r="P40" s="18"/>
      <c r="Q40" s="18"/>
      <c r="U40" s="34">
        <v>30</v>
      </c>
      <c r="V40" s="35" t="s">
        <v>144</v>
      </c>
    </row>
    <row r="41" customHeight="1" spans="1:22">
      <c r="A41" s="31">
        <v>1102017</v>
      </c>
      <c r="B41" s="31">
        <v>1102</v>
      </c>
      <c r="C41" s="31" t="s">
        <v>99</v>
      </c>
      <c r="D41" s="31" t="s">
        <v>100</v>
      </c>
      <c r="E41" s="31">
        <v>14</v>
      </c>
      <c r="F41" s="31">
        <v>17</v>
      </c>
      <c r="G41" s="18">
        <v>18</v>
      </c>
      <c r="I41" s="18">
        <v>85</v>
      </c>
      <c r="J41" s="18">
        <v>279</v>
      </c>
      <c r="K41" s="31" t="s">
        <v>145</v>
      </c>
      <c r="L41" s="18">
        <v>3400</v>
      </c>
      <c r="M41" s="18">
        <v>255</v>
      </c>
      <c r="N41" s="18" t="s">
        <v>103</v>
      </c>
      <c r="O41" s="18"/>
      <c r="P41" s="18">
        <v>70</v>
      </c>
      <c r="Q41" s="18"/>
      <c r="U41" s="34">
        <v>32</v>
      </c>
      <c r="V41" s="35" t="s">
        <v>146</v>
      </c>
    </row>
    <row r="42" customHeight="1" spans="1:22">
      <c r="A42" s="31">
        <v>1102018</v>
      </c>
      <c r="B42" s="31">
        <v>1102</v>
      </c>
      <c r="C42" s="31" t="s">
        <v>99</v>
      </c>
      <c r="D42" s="31" t="s">
        <v>100</v>
      </c>
      <c r="E42" s="31">
        <v>14</v>
      </c>
      <c r="F42" s="31">
        <v>18</v>
      </c>
      <c r="G42" s="18">
        <v>18</v>
      </c>
      <c r="I42" s="18">
        <v>90</v>
      </c>
      <c r="J42" s="18">
        <v>293</v>
      </c>
      <c r="K42" s="31" t="s">
        <v>147</v>
      </c>
      <c r="L42" s="18">
        <v>3600</v>
      </c>
      <c r="M42" s="18">
        <v>270</v>
      </c>
      <c r="N42" s="18" t="s">
        <v>103</v>
      </c>
      <c r="O42" s="18"/>
      <c r="P42" s="18"/>
      <c r="Q42" s="18"/>
      <c r="U42" s="34">
        <v>34</v>
      </c>
      <c r="V42" s="35" t="s">
        <v>148</v>
      </c>
    </row>
    <row r="43" customHeight="1" spans="1:22">
      <c r="A43" s="31">
        <v>1102019</v>
      </c>
      <c r="B43" s="31">
        <v>1102</v>
      </c>
      <c r="C43" s="31" t="s">
        <v>99</v>
      </c>
      <c r="D43" s="31" t="s">
        <v>100</v>
      </c>
      <c r="E43" s="31">
        <v>14</v>
      </c>
      <c r="F43" s="31">
        <v>19</v>
      </c>
      <c r="G43" s="18">
        <v>18</v>
      </c>
      <c r="I43" s="18">
        <v>95</v>
      </c>
      <c r="J43" s="18">
        <v>306</v>
      </c>
      <c r="K43" s="31" t="s">
        <v>149</v>
      </c>
      <c r="L43" s="18">
        <v>3800</v>
      </c>
      <c r="M43" s="18">
        <v>285</v>
      </c>
      <c r="N43" s="18" t="s">
        <v>103</v>
      </c>
      <c r="O43" s="18"/>
      <c r="P43" s="18">
        <v>80</v>
      </c>
      <c r="Q43" s="18"/>
      <c r="U43" s="34">
        <v>36</v>
      </c>
      <c r="V43" s="35" t="s">
        <v>150</v>
      </c>
    </row>
    <row r="44" customHeight="1" spans="1:22">
      <c r="A44" s="31">
        <v>1102020</v>
      </c>
      <c r="B44" s="31">
        <v>1102</v>
      </c>
      <c r="C44" s="31" t="s">
        <v>99</v>
      </c>
      <c r="D44" s="31" t="s">
        <v>100</v>
      </c>
      <c r="E44" s="31">
        <v>14</v>
      </c>
      <c r="F44" s="31">
        <v>20</v>
      </c>
      <c r="G44" s="18">
        <v>18</v>
      </c>
      <c r="I44" s="18">
        <v>100</v>
      </c>
      <c r="J44" s="18">
        <v>319</v>
      </c>
      <c r="K44" s="31" t="s">
        <v>151</v>
      </c>
      <c r="L44" s="18">
        <v>4000</v>
      </c>
      <c r="M44" s="18">
        <v>300</v>
      </c>
      <c r="N44" s="18" t="s">
        <v>103</v>
      </c>
      <c r="P44" s="18"/>
      <c r="Q44" s="18"/>
      <c r="U44" s="34">
        <v>38</v>
      </c>
      <c r="V44" s="35" t="s">
        <v>152</v>
      </c>
    </row>
    <row r="45" customHeight="1" spans="1:22">
      <c r="A45" s="31">
        <v>1110001</v>
      </c>
      <c r="B45" s="31">
        <v>1110</v>
      </c>
      <c r="C45" s="31" t="s">
        <v>153</v>
      </c>
      <c r="D45" s="31" t="s">
        <v>154</v>
      </c>
      <c r="E45" s="31">
        <v>11</v>
      </c>
      <c r="F45" s="31">
        <v>1</v>
      </c>
      <c r="G45" s="18">
        <v>11</v>
      </c>
      <c r="H45" s="31" t="s">
        <v>155</v>
      </c>
      <c r="I45" s="18">
        <v>5</v>
      </c>
      <c r="J45" s="36">
        <v>16</v>
      </c>
      <c r="K45" s="31" t="s">
        <v>156</v>
      </c>
      <c r="L45" s="18">
        <v>300</v>
      </c>
      <c r="M45" s="18">
        <v>20</v>
      </c>
      <c r="N45" s="18" t="s">
        <v>157</v>
      </c>
      <c r="O45" s="18"/>
      <c r="P45" s="18"/>
      <c r="Q45" s="18"/>
      <c r="R45" s="7" t="s">
        <v>158</v>
      </c>
      <c r="S45" s="7" t="s">
        <v>159</v>
      </c>
      <c r="T45" s="7" t="s">
        <v>160</v>
      </c>
      <c r="U45" s="34">
        <v>1</v>
      </c>
      <c r="V45" s="35" t="s">
        <v>161</v>
      </c>
    </row>
    <row r="46" customHeight="1" spans="1:22">
      <c r="A46" s="31">
        <v>1110002</v>
      </c>
      <c r="B46" s="31">
        <v>1110</v>
      </c>
      <c r="C46" s="31" t="s">
        <v>153</v>
      </c>
      <c r="D46" s="31" t="s">
        <v>154</v>
      </c>
      <c r="E46" s="31">
        <v>11</v>
      </c>
      <c r="F46" s="31">
        <v>2</v>
      </c>
      <c r="G46" s="18">
        <v>12</v>
      </c>
      <c r="H46" s="31" t="s">
        <v>162</v>
      </c>
      <c r="I46" s="18">
        <v>10</v>
      </c>
      <c r="J46" s="36">
        <v>32</v>
      </c>
      <c r="K46" s="31" t="s">
        <v>163</v>
      </c>
      <c r="L46" s="18">
        <v>600</v>
      </c>
      <c r="M46" s="18">
        <v>40</v>
      </c>
      <c r="N46" s="18" t="s">
        <v>164</v>
      </c>
      <c r="O46" s="18"/>
      <c r="P46" s="18"/>
      <c r="Q46" s="18"/>
      <c r="R46" s="10">
        <v>1110115</v>
      </c>
      <c r="S46" s="7">
        <v>11101151</v>
      </c>
      <c r="T46" s="7">
        <v>1110253</v>
      </c>
      <c r="U46" s="34">
        <v>2</v>
      </c>
      <c r="V46" s="35" t="s">
        <v>165</v>
      </c>
    </row>
    <row r="47" customHeight="1" spans="1:22">
      <c r="A47" s="31">
        <v>1110003</v>
      </c>
      <c r="B47" s="31">
        <v>1110</v>
      </c>
      <c r="C47" s="31" t="s">
        <v>153</v>
      </c>
      <c r="D47" s="31" t="s">
        <v>154</v>
      </c>
      <c r="E47" s="31">
        <v>11</v>
      </c>
      <c r="F47" s="31">
        <v>3</v>
      </c>
      <c r="G47" s="18">
        <v>13</v>
      </c>
      <c r="H47" s="31" t="s">
        <v>166</v>
      </c>
      <c r="I47" s="18">
        <v>15</v>
      </c>
      <c r="J47" s="36">
        <v>48</v>
      </c>
      <c r="K47" s="31" t="s">
        <v>167</v>
      </c>
      <c r="L47" s="18">
        <v>900</v>
      </c>
      <c r="M47" s="18">
        <v>60</v>
      </c>
      <c r="N47" s="18" t="s">
        <v>164</v>
      </c>
      <c r="O47" s="18"/>
      <c r="P47" s="18"/>
      <c r="Q47" s="18"/>
      <c r="R47" s="10">
        <v>1110116</v>
      </c>
      <c r="S47" s="7">
        <v>11101161</v>
      </c>
      <c r="T47" s="7" t="s">
        <v>168</v>
      </c>
      <c r="U47" s="34">
        <v>4</v>
      </c>
      <c r="V47" s="35" t="s">
        <v>169</v>
      </c>
    </row>
    <row r="48" customHeight="1" spans="1:22">
      <c r="A48" s="31">
        <v>1110004</v>
      </c>
      <c r="B48" s="31">
        <v>1110</v>
      </c>
      <c r="C48" s="31" t="s">
        <v>153</v>
      </c>
      <c r="D48" s="31" t="s">
        <v>154</v>
      </c>
      <c r="E48" s="31">
        <v>11</v>
      </c>
      <c r="F48" s="31">
        <v>4</v>
      </c>
      <c r="G48" s="18">
        <v>14</v>
      </c>
      <c r="H48" s="31">
        <v>1110413</v>
      </c>
      <c r="I48" s="18">
        <v>20</v>
      </c>
      <c r="J48" s="36">
        <v>64</v>
      </c>
      <c r="K48" s="31" t="s">
        <v>170</v>
      </c>
      <c r="L48" s="18">
        <v>1200</v>
      </c>
      <c r="M48" s="18">
        <v>80</v>
      </c>
      <c r="N48" s="18" t="s">
        <v>157</v>
      </c>
      <c r="O48" s="18" t="s">
        <v>171</v>
      </c>
      <c r="P48" s="18"/>
      <c r="Q48" s="18"/>
      <c r="R48" s="10">
        <v>1110117</v>
      </c>
      <c r="S48" s="19">
        <v>11101171</v>
      </c>
      <c r="T48" s="7">
        <v>1110256</v>
      </c>
      <c r="U48" s="34">
        <v>6</v>
      </c>
      <c r="V48" s="35" t="s">
        <v>172</v>
      </c>
    </row>
    <row r="49" customHeight="1" spans="1:22">
      <c r="A49" s="31">
        <v>1110005</v>
      </c>
      <c r="B49" s="31">
        <v>1110</v>
      </c>
      <c r="C49" s="31" t="s">
        <v>153</v>
      </c>
      <c r="D49" s="31" t="s">
        <v>154</v>
      </c>
      <c r="E49" s="31">
        <v>13</v>
      </c>
      <c r="F49" s="31">
        <v>5</v>
      </c>
      <c r="G49" s="18">
        <v>15</v>
      </c>
      <c r="H49" s="31">
        <v>1110414</v>
      </c>
      <c r="I49" s="18">
        <v>25</v>
      </c>
      <c r="J49" s="36">
        <v>85</v>
      </c>
      <c r="K49" s="31" t="s">
        <v>173</v>
      </c>
      <c r="L49" s="18">
        <v>1500</v>
      </c>
      <c r="M49" s="18">
        <v>100</v>
      </c>
      <c r="N49" s="18" t="s">
        <v>164</v>
      </c>
      <c r="P49" s="18">
        <v>10</v>
      </c>
      <c r="Q49" s="18"/>
      <c r="R49" s="10">
        <v>1110109</v>
      </c>
      <c r="S49" s="19">
        <v>11101091</v>
      </c>
      <c r="T49" s="7">
        <v>1110273</v>
      </c>
      <c r="U49" s="34">
        <v>8</v>
      </c>
      <c r="V49" s="35" t="s">
        <v>174</v>
      </c>
    </row>
    <row r="50" customHeight="1" spans="1:22">
      <c r="A50" s="31">
        <v>1110006</v>
      </c>
      <c r="B50" s="31">
        <v>1110</v>
      </c>
      <c r="C50" s="31" t="s">
        <v>153</v>
      </c>
      <c r="D50" s="31" t="s">
        <v>154</v>
      </c>
      <c r="E50" s="31">
        <v>13</v>
      </c>
      <c r="F50" s="31">
        <v>6</v>
      </c>
      <c r="G50" s="18">
        <v>16</v>
      </c>
      <c r="H50" s="31">
        <v>1110415</v>
      </c>
      <c r="I50" s="18">
        <v>30</v>
      </c>
      <c r="J50" s="36">
        <v>107</v>
      </c>
      <c r="K50" s="31" t="s">
        <v>175</v>
      </c>
      <c r="L50" s="18">
        <v>1800</v>
      </c>
      <c r="M50" s="18">
        <v>120</v>
      </c>
      <c r="N50" s="18" t="s">
        <v>164</v>
      </c>
      <c r="O50" s="18"/>
      <c r="P50" s="18"/>
      <c r="Q50" s="18"/>
      <c r="R50" s="10">
        <v>1110110</v>
      </c>
      <c r="S50" s="19">
        <v>11101101</v>
      </c>
      <c r="T50" s="7">
        <v>1110264</v>
      </c>
      <c r="U50" s="34">
        <v>10</v>
      </c>
      <c r="V50" s="35" t="s">
        <v>176</v>
      </c>
    </row>
    <row r="51" customHeight="1" spans="1:22">
      <c r="A51" s="31">
        <v>1110007</v>
      </c>
      <c r="B51" s="31">
        <v>1110</v>
      </c>
      <c r="C51" s="31" t="s">
        <v>153</v>
      </c>
      <c r="D51" s="31" t="s">
        <v>154</v>
      </c>
      <c r="E51" s="31">
        <v>13</v>
      </c>
      <c r="F51" s="31">
        <v>7</v>
      </c>
      <c r="G51" s="18">
        <v>17</v>
      </c>
      <c r="H51" s="31"/>
      <c r="I51" s="18">
        <v>35</v>
      </c>
      <c r="J51" s="36">
        <v>123</v>
      </c>
      <c r="K51" s="31" t="s">
        <v>177</v>
      </c>
      <c r="L51" s="18">
        <v>2100</v>
      </c>
      <c r="M51" s="18">
        <v>140</v>
      </c>
      <c r="N51" s="18" t="s">
        <v>157</v>
      </c>
      <c r="O51" s="18"/>
      <c r="P51" s="18"/>
      <c r="Q51" s="18"/>
      <c r="R51" s="10">
        <v>1110111</v>
      </c>
      <c r="S51" s="19">
        <v>11101111</v>
      </c>
      <c r="T51" s="7">
        <v>1110268</v>
      </c>
      <c r="U51" s="34">
        <v>12</v>
      </c>
      <c r="V51" s="35" t="s">
        <v>178</v>
      </c>
    </row>
    <row r="52" customHeight="1" spans="1:22">
      <c r="A52" s="31">
        <v>1110008</v>
      </c>
      <c r="B52" s="31">
        <v>1110</v>
      </c>
      <c r="C52" s="31" t="s">
        <v>153</v>
      </c>
      <c r="D52" s="31" t="s">
        <v>154</v>
      </c>
      <c r="E52" s="31">
        <v>13</v>
      </c>
      <c r="F52" s="31">
        <v>8</v>
      </c>
      <c r="G52" s="18">
        <v>18</v>
      </c>
      <c r="H52" s="31"/>
      <c r="I52" s="18">
        <v>40</v>
      </c>
      <c r="J52" s="36">
        <v>139</v>
      </c>
      <c r="K52" s="31" t="s">
        <v>179</v>
      </c>
      <c r="L52" s="18">
        <v>2400</v>
      </c>
      <c r="M52" s="18">
        <v>160</v>
      </c>
      <c r="N52" s="18" t="s">
        <v>164</v>
      </c>
      <c r="O52" s="18" t="s">
        <v>180</v>
      </c>
      <c r="P52" s="18"/>
      <c r="Q52" s="18"/>
      <c r="R52" s="10">
        <v>1110118</v>
      </c>
      <c r="S52" s="19">
        <v>11101181</v>
      </c>
      <c r="T52" s="7">
        <v>1110272</v>
      </c>
      <c r="U52" s="34">
        <v>14</v>
      </c>
      <c r="V52" s="35" t="s">
        <v>181</v>
      </c>
    </row>
    <row r="53" customHeight="1" spans="1:22">
      <c r="A53" s="31">
        <v>1110009</v>
      </c>
      <c r="B53" s="31">
        <v>1110</v>
      </c>
      <c r="C53" s="31" t="s">
        <v>153</v>
      </c>
      <c r="D53" s="31" t="s">
        <v>154</v>
      </c>
      <c r="E53" s="31">
        <v>15</v>
      </c>
      <c r="F53" s="31">
        <v>9</v>
      </c>
      <c r="G53" s="18">
        <v>19</v>
      </c>
      <c r="H53" s="31"/>
      <c r="I53" s="18">
        <v>45</v>
      </c>
      <c r="J53" s="36">
        <v>155</v>
      </c>
      <c r="K53" s="31" t="s">
        <v>182</v>
      </c>
      <c r="L53" s="18">
        <v>2700</v>
      </c>
      <c r="M53" s="18">
        <v>180</v>
      </c>
      <c r="N53" s="18" t="s">
        <v>164</v>
      </c>
      <c r="O53" s="18"/>
      <c r="P53" s="18"/>
      <c r="Q53" s="18"/>
      <c r="R53" s="10">
        <v>1110119</v>
      </c>
      <c r="S53" s="19">
        <v>11101191</v>
      </c>
      <c r="U53" s="34">
        <v>16</v>
      </c>
      <c r="V53" s="35" t="s">
        <v>183</v>
      </c>
    </row>
    <row r="54" customHeight="1" spans="1:22">
      <c r="A54" s="31">
        <v>1110010</v>
      </c>
      <c r="B54" s="31">
        <v>1110</v>
      </c>
      <c r="C54" s="31" t="s">
        <v>153</v>
      </c>
      <c r="D54" s="31" t="s">
        <v>154</v>
      </c>
      <c r="E54" s="31">
        <v>15</v>
      </c>
      <c r="F54" s="31">
        <v>10</v>
      </c>
      <c r="G54" s="18">
        <v>20</v>
      </c>
      <c r="H54" s="31"/>
      <c r="I54" s="18">
        <v>50</v>
      </c>
      <c r="J54" s="36">
        <v>171</v>
      </c>
      <c r="K54" s="31" t="s">
        <v>184</v>
      </c>
      <c r="L54" s="18">
        <v>3000</v>
      </c>
      <c r="M54" s="18">
        <v>200</v>
      </c>
      <c r="N54" s="18" t="s">
        <v>157</v>
      </c>
      <c r="P54" s="18">
        <v>20</v>
      </c>
      <c r="Q54" s="18"/>
      <c r="R54" s="10">
        <v>1110120</v>
      </c>
      <c r="S54" s="19">
        <v>11101201</v>
      </c>
      <c r="U54" s="34">
        <v>18</v>
      </c>
      <c r="V54" s="35" t="s">
        <v>185</v>
      </c>
    </row>
    <row r="55" customHeight="1" spans="1:22">
      <c r="A55" s="31">
        <v>1110011</v>
      </c>
      <c r="B55" s="31">
        <v>1110</v>
      </c>
      <c r="C55" s="31" t="s">
        <v>153</v>
      </c>
      <c r="D55" s="31" t="s">
        <v>154</v>
      </c>
      <c r="E55" s="31">
        <v>15</v>
      </c>
      <c r="F55" s="31">
        <v>11</v>
      </c>
      <c r="G55" s="31">
        <v>20</v>
      </c>
      <c r="H55" s="31"/>
      <c r="I55" s="18">
        <v>55</v>
      </c>
      <c r="J55" s="36">
        <v>187</v>
      </c>
      <c r="K55" s="31" t="s">
        <v>186</v>
      </c>
      <c r="L55" s="18">
        <v>3300</v>
      </c>
      <c r="M55" s="18">
        <v>220</v>
      </c>
      <c r="N55" s="18" t="s">
        <v>164</v>
      </c>
      <c r="O55" s="18" t="s">
        <v>187</v>
      </c>
      <c r="P55" s="18"/>
      <c r="Q55" s="18"/>
      <c r="U55" s="34">
        <v>20</v>
      </c>
      <c r="V55" s="35" t="s">
        <v>188</v>
      </c>
    </row>
    <row r="56" customHeight="1" spans="1:22">
      <c r="A56" s="31">
        <v>1110012</v>
      </c>
      <c r="B56" s="31">
        <v>1110</v>
      </c>
      <c r="C56" s="31" t="s">
        <v>153</v>
      </c>
      <c r="D56" s="31" t="s">
        <v>154</v>
      </c>
      <c r="E56" s="31">
        <v>15</v>
      </c>
      <c r="F56" s="31">
        <v>12</v>
      </c>
      <c r="G56" s="31">
        <v>20</v>
      </c>
      <c r="H56" s="31"/>
      <c r="I56" s="18">
        <v>60</v>
      </c>
      <c r="J56" s="36">
        <v>155</v>
      </c>
      <c r="K56" s="31" t="s">
        <v>189</v>
      </c>
      <c r="L56" s="18">
        <v>3600</v>
      </c>
      <c r="M56" s="18">
        <v>240</v>
      </c>
      <c r="N56" s="18" t="s">
        <v>164</v>
      </c>
      <c r="O56" s="18"/>
      <c r="P56" s="18"/>
      <c r="Q56" s="18"/>
      <c r="U56" s="34">
        <v>22</v>
      </c>
      <c r="V56" s="35" t="s">
        <v>190</v>
      </c>
    </row>
    <row r="57" customHeight="1" spans="1:22">
      <c r="A57" s="31">
        <v>1110013</v>
      </c>
      <c r="B57" s="31">
        <v>1110</v>
      </c>
      <c r="C57" s="31" t="s">
        <v>153</v>
      </c>
      <c r="D57" s="31" t="s">
        <v>154</v>
      </c>
      <c r="E57" s="31">
        <v>17</v>
      </c>
      <c r="F57" s="31">
        <v>13</v>
      </c>
      <c r="G57" s="31">
        <v>20</v>
      </c>
      <c r="H57" s="31"/>
      <c r="I57" s="18">
        <v>65</v>
      </c>
      <c r="J57" s="36">
        <v>165</v>
      </c>
      <c r="K57" s="31" t="s">
        <v>191</v>
      </c>
      <c r="L57" s="18">
        <v>3900</v>
      </c>
      <c r="M57" s="18">
        <v>260</v>
      </c>
      <c r="N57" s="18" t="s">
        <v>157</v>
      </c>
      <c r="O57" s="18"/>
      <c r="P57" s="18"/>
      <c r="Q57" s="18"/>
      <c r="U57" s="34">
        <v>24</v>
      </c>
      <c r="V57" s="35" t="s">
        <v>192</v>
      </c>
    </row>
    <row r="58" customHeight="1" spans="1:22">
      <c r="A58" s="31">
        <v>1110014</v>
      </c>
      <c r="B58" s="31">
        <v>1110</v>
      </c>
      <c r="C58" s="31" t="s">
        <v>153</v>
      </c>
      <c r="D58" s="31" t="s">
        <v>154</v>
      </c>
      <c r="E58" s="31">
        <v>17</v>
      </c>
      <c r="F58" s="31">
        <v>14</v>
      </c>
      <c r="G58" s="31">
        <v>20</v>
      </c>
      <c r="H58" s="31"/>
      <c r="I58" s="18">
        <v>70</v>
      </c>
      <c r="J58" s="36">
        <v>175</v>
      </c>
      <c r="K58" s="31" t="s">
        <v>193</v>
      </c>
      <c r="L58" s="18">
        <v>4200</v>
      </c>
      <c r="M58" s="18">
        <v>280</v>
      </c>
      <c r="N58" s="18" t="s">
        <v>164</v>
      </c>
      <c r="O58" s="18" t="s">
        <v>194</v>
      </c>
      <c r="P58" s="18"/>
      <c r="Q58" s="18"/>
      <c r="U58" s="34">
        <v>26</v>
      </c>
      <c r="V58" s="35" t="s">
        <v>195</v>
      </c>
    </row>
    <row r="59" customHeight="1" spans="1:22">
      <c r="A59" s="31">
        <v>1110015</v>
      </c>
      <c r="B59" s="31">
        <v>1110</v>
      </c>
      <c r="C59" s="31" t="s">
        <v>153</v>
      </c>
      <c r="D59" s="31" t="s">
        <v>154</v>
      </c>
      <c r="E59" s="31">
        <v>17</v>
      </c>
      <c r="F59" s="31">
        <v>15</v>
      </c>
      <c r="G59" s="31">
        <v>20</v>
      </c>
      <c r="H59" s="31"/>
      <c r="I59" s="18">
        <v>75</v>
      </c>
      <c r="J59" s="36">
        <v>185</v>
      </c>
      <c r="K59" s="31" t="s">
        <v>196</v>
      </c>
      <c r="L59" s="18">
        <v>4500</v>
      </c>
      <c r="M59" s="18">
        <v>300</v>
      </c>
      <c r="N59" s="18" t="s">
        <v>164</v>
      </c>
      <c r="P59" s="18">
        <v>30</v>
      </c>
      <c r="Q59" s="18"/>
      <c r="U59" s="34">
        <v>28</v>
      </c>
      <c r="V59" s="35" t="s">
        <v>197</v>
      </c>
    </row>
    <row r="60" customHeight="1" spans="1:22">
      <c r="A60" s="31">
        <v>1110016</v>
      </c>
      <c r="B60" s="31">
        <v>1110</v>
      </c>
      <c r="C60" s="31" t="s">
        <v>153</v>
      </c>
      <c r="D60" s="31" t="s">
        <v>154</v>
      </c>
      <c r="E60" s="31">
        <v>17</v>
      </c>
      <c r="F60" s="31">
        <v>16</v>
      </c>
      <c r="G60" s="31">
        <v>20</v>
      </c>
      <c r="H60" s="31"/>
      <c r="I60" s="18">
        <v>80</v>
      </c>
      <c r="J60" s="36">
        <v>195</v>
      </c>
      <c r="K60" s="31" t="s">
        <v>198</v>
      </c>
      <c r="L60" s="18">
        <v>4800</v>
      </c>
      <c r="M60" s="18">
        <v>320</v>
      </c>
      <c r="N60" s="18" t="s">
        <v>157</v>
      </c>
      <c r="O60" s="18" t="s">
        <v>199</v>
      </c>
      <c r="P60" s="18"/>
      <c r="Q60" s="18"/>
      <c r="U60" s="34">
        <v>30</v>
      </c>
      <c r="V60" s="35" t="s">
        <v>200</v>
      </c>
    </row>
    <row r="61" customHeight="1" spans="1:22">
      <c r="A61" s="31">
        <v>1110017</v>
      </c>
      <c r="B61" s="31">
        <v>1110</v>
      </c>
      <c r="C61" s="31" t="s">
        <v>153</v>
      </c>
      <c r="D61" s="31" t="s">
        <v>154</v>
      </c>
      <c r="E61" s="31">
        <v>19</v>
      </c>
      <c r="F61" s="31">
        <v>17</v>
      </c>
      <c r="G61" s="31">
        <v>20</v>
      </c>
      <c r="H61" s="31"/>
      <c r="I61" s="18">
        <v>85</v>
      </c>
      <c r="J61" s="36">
        <v>204</v>
      </c>
      <c r="K61" s="31" t="s">
        <v>201</v>
      </c>
      <c r="L61" s="18">
        <v>5100</v>
      </c>
      <c r="M61" s="18">
        <v>340</v>
      </c>
      <c r="N61" s="18" t="s">
        <v>164</v>
      </c>
      <c r="O61" s="18"/>
      <c r="P61" s="18"/>
      <c r="Q61" s="18"/>
      <c r="U61" s="34">
        <v>32</v>
      </c>
      <c r="V61" s="35" t="s">
        <v>202</v>
      </c>
    </row>
    <row r="62" customHeight="1" spans="1:22">
      <c r="A62" s="31">
        <v>1110018</v>
      </c>
      <c r="B62" s="31">
        <v>1110</v>
      </c>
      <c r="C62" s="31" t="s">
        <v>153</v>
      </c>
      <c r="D62" s="31" t="s">
        <v>154</v>
      </c>
      <c r="E62" s="31">
        <v>19</v>
      </c>
      <c r="F62" s="31">
        <v>18</v>
      </c>
      <c r="G62" s="31">
        <v>20</v>
      </c>
      <c r="H62" s="31"/>
      <c r="I62" s="18">
        <v>90</v>
      </c>
      <c r="J62" s="36">
        <v>213</v>
      </c>
      <c r="K62" s="31" t="s">
        <v>203</v>
      </c>
      <c r="L62" s="18">
        <v>5400</v>
      </c>
      <c r="M62" s="18">
        <v>360</v>
      </c>
      <c r="N62" s="18" t="s">
        <v>164</v>
      </c>
      <c r="O62" s="18"/>
      <c r="P62" s="18"/>
      <c r="Q62" s="18"/>
      <c r="U62" s="34">
        <v>34</v>
      </c>
      <c r="V62" s="35" t="s">
        <v>204</v>
      </c>
    </row>
    <row r="63" customHeight="1" spans="1:22">
      <c r="A63" s="31">
        <v>1110019</v>
      </c>
      <c r="B63" s="31">
        <v>1110</v>
      </c>
      <c r="C63" s="31" t="s">
        <v>153</v>
      </c>
      <c r="D63" s="31" t="s">
        <v>154</v>
      </c>
      <c r="E63" s="31">
        <v>19</v>
      </c>
      <c r="F63" s="31">
        <v>19</v>
      </c>
      <c r="G63" s="31">
        <v>20</v>
      </c>
      <c r="H63" s="31"/>
      <c r="I63" s="18">
        <v>95</v>
      </c>
      <c r="J63" s="36">
        <v>222</v>
      </c>
      <c r="K63" s="31" t="s">
        <v>205</v>
      </c>
      <c r="L63" s="18">
        <v>5700</v>
      </c>
      <c r="M63" s="18">
        <v>380</v>
      </c>
      <c r="N63" s="18" t="s">
        <v>157</v>
      </c>
      <c r="O63" s="18"/>
      <c r="P63" s="18"/>
      <c r="Q63" s="18"/>
      <c r="U63" s="34">
        <v>36</v>
      </c>
      <c r="V63" s="35" t="s">
        <v>206</v>
      </c>
    </row>
    <row r="64" customHeight="1" spans="1:22">
      <c r="A64" s="31">
        <v>1110020</v>
      </c>
      <c r="B64" s="31">
        <v>1110</v>
      </c>
      <c r="C64" s="31" t="s">
        <v>153</v>
      </c>
      <c r="D64" s="31" t="s">
        <v>154</v>
      </c>
      <c r="E64" s="31">
        <v>19</v>
      </c>
      <c r="F64" s="31">
        <v>20</v>
      </c>
      <c r="G64" s="31">
        <v>20</v>
      </c>
      <c r="H64" s="31"/>
      <c r="I64" s="18">
        <v>100</v>
      </c>
      <c r="J64" s="36">
        <v>231</v>
      </c>
      <c r="K64" s="31" t="s">
        <v>207</v>
      </c>
      <c r="L64" s="18">
        <v>6000</v>
      </c>
      <c r="M64" s="18">
        <v>400</v>
      </c>
      <c r="N64" s="18" t="s">
        <v>164</v>
      </c>
      <c r="P64" s="18">
        <v>40</v>
      </c>
      <c r="Q64" s="18"/>
      <c r="U64" s="34">
        <v>38</v>
      </c>
      <c r="V64" s="35" t="s">
        <v>208</v>
      </c>
    </row>
    <row r="65" s="14" customFormat="1" customHeight="1" spans="1:22">
      <c r="A65" s="37">
        <v>1107001</v>
      </c>
      <c r="B65" s="37">
        <v>1107</v>
      </c>
      <c r="C65" s="37" t="s">
        <v>209</v>
      </c>
      <c r="D65" s="37" t="s">
        <v>210</v>
      </c>
      <c r="E65" s="31">
        <v>16</v>
      </c>
      <c r="F65" s="37">
        <v>1</v>
      </c>
      <c r="G65" s="37">
        <v>7</v>
      </c>
      <c r="H65" s="37" t="s">
        <v>211</v>
      </c>
      <c r="I65" s="18">
        <v>5</v>
      </c>
      <c r="J65" s="37">
        <v>12</v>
      </c>
      <c r="K65" s="37" t="s">
        <v>212</v>
      </c>
      <c r="L65" s="38">
        <v>400</v>
      </c>
      <c r="M65" s="18">
        <v>25</v>
      </c>
      <c r="N65" s="18" t="s">
        <v>213</v>
      </c>
      <c r="O65" s="38"/>
      <c r="P65" s="38"/>
      <c r="Q65" s="38"/>
      <c r="R65" s="39" t="s">
        <v>214</v>
      </c>
      <c r="S65" s="39" t="s">
        <v>215</v>
      </c>
      <c r="T65" s="8" t="s">
        <v>216</v>
      </c>
      <c r="U65" s="40">
        <v>1</v>
      </c>
      <c r="V65" s="41" t="s">
        <v>217</v>
      </c>
    </row>
    <row r="66" s="14" customFormat="1" customHeight="1" spans="1:22">
      <c r="A66" s="37">
        <v>1107002</v>
      </c>
      <c r="B66" s="37">
        <v>1107</v>
      </c>
      <c r="C66" s="37" t="s">
        <v>209</v>
      </c>
      <c r="D66" s="37" t="s">
        <v>210</v>
      </c>
      <c r="E66" s="31">
        <v>16</v>
      </c>
      <c r="F66" s="37">
        <v>2</v>
      </c>
      <c r="G66" s="37">
        <v>8</v>
      </c>
      <c r="H66" s="37" t="s">
        <v>218</v>
      </c>
      <c r="I66" s="18">
        <v>10</v>
      </c>
      <c r="J66" s="37">
        <v>23</v>
      </c>
      <c r="K66" s="37" t="s">
        <v>219</v>
      </c>
      <c r="L66" s="38">
        <v>800</v>
      </c>
      <c r="M66" s="18">
        <v>50</v>
      </c>
      <c r="N66" s="18" t="s">
        <v>213</v>
      </c>
      <c r="O66" s="38"/>
      <c r="P66" s="38"/>
      <c r="Q66" s="38"/>
      <c r="R66" s="39">
        <v>1107105</v>
      </c>
      <c r="S66" s="39">
        <v>11071051</v>
      </c>
      <c r="T66" s="8">
        <v>1107255</v>
      </c>
      <c r="U66" s="40">
        <v>2</v>
      </c>
      <c r="V66" s="41" t="s">
        <v>220</v>
      </c>
    </row>
    <row r="67" s="14" customFormat="1" customHeight="1" spans="1:22">
      <c r="A67" s="37">
        <v>1107003</v>
      </c>
      <c r="B67" s="37">
        <v>1107</v>
      </c>
      <c r="C67" s="37" t="s">
        <v>209</v>
      </c>
      <c r="D67" s="37" t="s">
        <v>210</v>
      </c>
      <c r="E67" s="31">
        <v>16</v>
      </c>
      <c r="F67" s="37">
        <v>3</v>
      </c>
      <c r="G67" s="37">
        <v>9</v>
      </c>
      <c r="H67" s="37" t="s">
        <v>221</v>
      </c>
      <c r="I67" s="18">
        <v>15</v>
      </c>
      <c r="J67" s="37">
        <v>33</v>
      </c>
      <c r="K67" s="37" t="s">
        <v>222</v>
      </c>
      <c r="L67" s="38">
        <v>1200</v>
      </c>
      <c r="M67" s="18">
        <v>75</v>
      </c>
      <c r="N67" s="18" t="s">
        <v>213</v>
      </c>
      <c r="O67" s="38"/>
      <c r="P67" s="38"/>
      <c r="Q67" s="38"/>
      <c r="R67" s="39">
        <v>1107109</v>
      </c>
      <c r="S67" s="39">
        <v>11071091</v>
      </c>
      <c r="T67" s="8">
        <v>1107253</v>
      </c>
      <c r="U67" s="40">
        <v>4</v>
      </c>
      <c r="V67" s="41" t="s">
        <v>223</v>
      </c>
    </row>
    <row r="68" s="14" customFormat="1" customHeight="1" spans="1:22">
      <c r="A68" s="37">
        <v>1107004</v>
      </c>
      <c r="B68" s="37">
        <v>1107</v>
      </c>
      <c r="C68" s="37" t="s">
        <v>209</v>
      </c>
      <c r="D68" s="37" t="s">
        <v>210</v>
      </c>
      <c r="E68" s="31">
        <v>16</v>
      </c>
      <c r="F68" s="37">
        <v>4</v>
      </c>
      <c r="G68" s="37">
        <v>10</v>
      </c>
      <c r="H68" s="37">
        <v>1107413</v>
      </c>
      <c r="I68" s="18">
        <v>20</v>
      </c>
      <c r="J68" s="37">
        <v>43</v>
      </c>
      <c r="K68" s="37" t="s">
        <v>224</v>
      </c>
      <c r="L68" s="38">
        <v>1600</v>
      </c>
      <c r="M68" s="18">
        <v>100</v>
      </c>
      <c r="N68" s="18" t="s">
        <v>213</v>
      </c>
      <c r="O68" s="38" t="s">
        <v>225</v>
      </c>
      <c r="P68" s="38"/>
      <c r="Q68" s="38"/>
      <c r="R68" s="39">
        <v>1107110</v>
      </c>
      <c r="S68" s="39">
        <v>11071101</v>
      </c>
      <c r="T68" s="8">
        <v>1107265</v>
      </c>
      <c r="U68" s="40">
        <v>6</v>
      </c>
      <c r="V68" s="41" t="s">
        <v>226</v>
      </c>
    </row>
    <row r="69" s="14" customFormat="1" customHeight="1" spans="1:22">
      <c r="A69" s="37">
        <v>1107005</v>
      </c>
      <c r="B69" s="37">
        <v>1107</v>
      </c>
      <c r="C69" s="37" t="s">
        <v>209</v>
      </c>
      <c r="D69" s="37" t="s">
        <v>210</v>
      </c>
      <c r="E69" s="31">
        <v>18</v>
      </c>
      <c r="F69" s="37">
        <v>5</v>
      </c>
      <c r="G69" s="37">
        <v>11</v>
      </c>
      <c r="H69" s="37">
        <v>1107414</v>
      </c>
      <c r="I69" s="18">
        <v>25</v>
      </c>
      <c r="J69" s="37">
        <v>53</v>
      </c>
      <c r="K69" s="37" t="s">
        <v>227</v>
      </c>
      <c r="L69" s="38">
        <v>2000</v>
      </c>
      <c r="M69" s="18">
        <v>125</v>
      </c>
      <c r="N69" s="18" t="s">
        <v>213</v>
      </c>
      <c r="P69" s="38">
        <v>10</v>
      </c>
      <c r="Q69" s="38"/>
      <c r="R69" s="39">
        <v>1107111</v>
      </c>
      <c r="S69" s="39">
        <v>11071111</v>
      </c>
      <c r="T69" s="8">
        <v>1107267</v>
      </c>
      <c r="U69" s="40">
        <v>8</v>
      </c>
      <c r="V69" s="41" t="s">
        <v>228</v>
      </c>
    </row>
    <row r="70" s="14" customFormat="1" customHeight="1" spans="1:22">
      <c r="A70" s="37">
        <v>1107006</v>
      </c>
      <c r="B70" s="37">
        <v>1107</v>
      </c>
      <c r="C70" s="37" t="s">
        <v>209</v>
      </c>
      <c r="D70" s="37" t="s">
        <v>210</v>
      </c>
      <c r="E70" s="31">
        <v>18</v>
      </c>
      <c r="F70" s="37">
        <v>6</v>
      </c>
      <c r="G70" s="37">
        <v>12</v>
      </c>
      <c r="H70" s="37">
        <v>1107415</v>
      </c>
      <c r="I70" s="18">
        <v>30</v>
      </c>
      <c r="J70" s="37">
        <v>63</v>
      </c>
      <c r="K70" s="37" t="s">
        <v>229</v>
      </c>
      <c r="L70" s="38">
        <v>2400</v>
      </c>
      <c r="M70" s="18">
        <v>150</v>
      </c>
      <c r="N70" s="18" t="s">
        <v>213</v>
      </c>
      <c r="O70" s="38"/>
      <c r="P70" s="38"/>
      <c r="Q70" s="38"/>
      <c r="R70" s="39">
        <v>1107108</v>
      </c>
      <c r="S70" s="39">
        <v>11071081</v>
      </c>
      <c r="T70" s="8">
        <v>1107266</v>
      </c>
      <c r="U70" s="40">
        <v>10</v>
      </c>
      <c r="V70" s="41" t="s">
        <v>230</v>
      </c>
    </row>
    <row r="71" s="14" customFormat="1" customHeight="1" spans="1:22">
      <c r="A71" s="37">
        <v>1107007</v>
      </c>
      <c r="B71" s="37">
        <v>1107</v>
      </c>
      <c r="C71" s="37" t="s">
        <v>209</v>
      </c>
      <c r="D71" s="37" t="s">
        <v>210</v>
      </c>
      <c r="E71" s="31">
        <v>18</v>
      </c>
      <c r="F71" s="37">
        <v>7</v>
      </c>
      <c r="G71" s="37">
        <v>13</v>
      </c>
      <c r="H71" s="37">
        <v>1107416</v>
      </c>
      <c r="I71" s="18">
        <v>35</v>
      </c>
      <c r="J71" s="37">
        <v>72</v>
      </c>
      <c r="K71" s="37" t="s">
        <v>231</v>
      </c>
      <c r="L71" s="38">
        <v>2800</v>
      </c>
      <c r="M71" s="18">
        <v>175</v>
      </c>
      <c r="N71" s="18" t="s">
        <v>213</v>
      </c>
      <c r="O71" s="38"/>
      <c r="P71" s="38"/>
      <c r="Q71" s="38"/>
      <c r="R71" s="39">
        <v>1107112</v>
      </c>
      <c r="S71" s="42">
        <v>11071121</v>
      </c>
      <c r="T71" s="8">
        <v>1107269</v>
      </c>
      <c r="U71" s="40">
        <v>12</v>
      </c>
      <c r="V71" s="41" t="s">
        <v>232</v>
      </c>
    </row>
    <row r="72" s="14" customFormat="1" customHeight="1" spans="1:22">
      <c r="A72" s="37">
        <v>1107008</v>
      </c>
      <c r="B72" s="37">
        <v>1107</v>
      </c>
      <c r="C72" s="37" t="s">
        <v>209</v>
      </c>
      <c r="D72" s="37" t="s">
        <v>210</v>
      </c>
      <c r="E72" s="31">
        <v>18</v>
      </c>
      <c r="F72" s="37">
        <v>8</v>
      </c>
      <c r="G72" s="37">
        <v>14</v>
      </c>
      <c r="H72" s="37"/>
      <c r="I72" s="18">
        <v>40</v>
      </c>
      <c r="J72" s="37">
        <v>81</v>
      </c>
      <c r="K72" s="37" t="s">
        <v>233</v>
      </c>
      <c r="L72" s="38">
        <v>3200</v>
      </c>
      <c r="M72" s="18">
        <v>200</v>
      </c>
      <c r="N72" s="18" t="s">
        <v>213</v>
      </c>
      <c r="O72" s="38" t="s">
        <v>234</v>
      </c>
      <c r="P72" s="38"/>
      <c r="Q72" s="38"/>
      <c r="R72" s="39">
        <v>1107113</v>
      </c>
      <c r="S72" s="42">
        <v>11071131</v>
      </c>
      <c r="T72" s="8">
        <v>1107273</v>
      </c>
      <c r="U72" s="40">
        <v>14</v>
      </c>
      <c r="V72" s="41" t="s">
        <v>235</v>
      </c>
    </row>
    <row r="73" s="14" customFormat="1" customHeight="1" spans="1:22">
      <c r="A73" s="37">
        <v>1107009</v>
      </c>
      <c r="B73" s="37">
        <v>1107</v>
      </c>
      <c r="C73" s="37" t="s">
        <v>209</v>
      </c>
      <c r="D73" s="37" t="s">
        <v>210</v>
      </c>
      <c r="E73" s="31">
        <v>20</v>
      </c>
      <c r="F73" s="37">
        <v>9</v>
      </c>
      <c r="G73" s="37">
        <v>15</v>
      </c>
      <c r="H73" s="37"/>
      <c r="I73" s="18">
        <v>45</v>
      </c>
      <c r="J73" s="37">
        <v>90</v>
      </c>
      <c r="K73" s="37" t="s">
        <v>236</v>
      </c>
      <c r="L73" s="38">
        <v>3600</v>
      </c>
      <c r="M73" s="18">
        <v>225</v>
      </c>
      <c r="N73" s="18" t="s">
        <v>213</v>
      </c>
      <c r="O73" s="38"/>
      <c r="P73" s="38"/>
      <c r="Q73" s="38"/>
      <c r="R73" s="39">
        <v>1107114</v>
      </c>
      <c r="S73" s="42">
        <v>11071141</v>
      </c>
      <c r="T73" s="8">
        <v>1107275</v>
      </c>
      <c r="U73" s="40">
        <v>16</v>
      </c>
      <c r="V73" s="41" t="s">
        <v>237</v>
      </c>
    </row>
    <row r="74" s="14" customFormat="1" customHeight="1" spans="1:22">
      <c r="A74" s="37">
        <v>1107010</v>
      </c>
      <c r="B74" s="37">
        <v>1107</v>
      </c>
      <c r="C74" s="37" t="s">
        <v>209</v>
      </c>
      <c r="D74" s="37" t="s">
        <v>210</v>
      </c>
      <c r="E74" s="31">
        <v>20</v>
      </c>
      <c r="F74" s="37">
        <v>10</v>
      </c>
      <c r="G74" s="37">
        <v>16</v>
      </c>
      <c r="H74" s="37"/>
      <c r="I74" s="18">
        <v>50</v>
      </c>
      <c r="J74" s="37">
        <v>99</v>
      </c>
      <c r="K74" s="37" t="s">
        <v>238</v>
      </c>
      <c r="L74" s="38">
        <v>4000</v>
      </c>
      <c r="M74" s="18">
        <v>250</v>
      </c>
      <c r="N74" s="18" t="s">
        <v>213</v>
      </c>
      <c r="P74" s="38">
        <v>20</v>
      </c>
      <c r="Q74" s="38"/>
      <c r="R74" s="39">
        <v>1107116</v>
      </c>
      <c r="S74" s="42">
        <v>11071161</v>
      </c>
      <c r="T74" s="8">
        <v>1107276</v>
      </c>
      <c r="U74" s="40">
        <v>18</v>
      </c>
      <c r="V74" s="41" t="s">
        <v>239</v>
      </c>
    </row>
    <row r="75" s="15" customFormat="1" customHeight="1" spans="1:22">
      <c r="A75" s="37">
        <v>1107011</v>
      </c>
      <c r="B75" s="37">
        <v>1107</v>
      </c>
      <c r="C75" s="37" t="s">
        <v>209</v>
      </c>
      <c r="D75" s="37" t="s">
        <v>210</v>
      </c>
      <c r="E75" s="31">
        <v>20</v>
      </c>
      <c r="F75" s="37">
        <v>11</v>
      </c>
      <c r="G75" s="37">
        <v>16</v>
      </c>
      <c r="H75" s="37"/>
      <c r="I75" s="18">
        <v>55</v>
      </c>
      <c r="J75" s="37">
        <v>107</v>
      </c>
      <c r="K75" s="37" t="s">
        <v>240</v>
      </c>
      <c r="L75" s="38">
        <v>4400</v>
      </c>
      <c r="M75" s="18">
        <v>275</v>
      </c>
      <c r="N75" s="18" t="s">
        <v>213</v>
      </c>
      <c r="O75" s="38" t="s">
        <v>241</v>
      </c>
      <c r="P75" s="38"/>
      <c r="Q75" s="38"/>
      <c r="R75" s="39"/>
      <c r="S75" s="42"/>
      <c r="T75" s="8"/>
      <c r="U75" s="40">
        <v>20</v>
      </c>
      <c r="V75" s="41" t="s">
        <v>242</v>
      </c>
    </row>
    <row r="76" s="15" customFormat="1" customHeight="1" spans="1:22">
      <c r="A76" s="37">
        <v>1107012</v>
      </c>
      <c r="B76" s="37">
        <v>1107</v>
      </c>
      <c r="C76" s="37" t="s">
        <v>209</v>
      </c>
      <c r="D76" s="37" t="s">
        <v>210</v>
      </c>
      <c r="E76" s="31">
        <v>20</v>
      </c>
      <c r="F76" s="37">
        <v>12</v>
      </c>
      <c r="G76" s="37">
        <v>16</v>
      </c>
      <c r="H76" s="37"/>
      <c r="I76" s="18">
        <v>60</v>
      </c>
      <c r="J76" s="37">
        <v>113</v>
      </c>
      <c r="K76" s="37" t="s">
        <v>243</v>
      </c>
      <c r="L76" s="38">
        <v>4800</v>
      </c>
      <c r="M76" s="18">
        <v>300</v>
      </c>
      <c r="N76" s="18" t="s">
        <v>213</v>
      </c>
      <c r="O76" s="38"/>
      <c r="P76" s="38"/>
      <c r="Q76" s="38"/>
      <c r="R76" s="39"/>
      <c r="S76" s="42"/>
      <c r="T76" s="8"/>
      <c r="U76" s="40">
        <v>22</v>
      </c>
      <c r="V76" s="41" t="s">
        <v>244</v>
      </c>
    </row>
    <row r="77" s="15" customFormat="1" customHeight="1" spans="1:22">
      <c r="A77" s="37">
        <v>1107013</v>
      </c>
      <c r="B77" s="37">
        <v>1107</v>
      </c>
      <c r="C77" s="37" t="s">
        <v>209</v>
      </c>
      <c r="D77" s="37" t="s">
        <v>210</v>
      </c>
      <c r="E77" s="31">
        <v>22</v>
      </c>
      <c r="F77" s="37">
        <v>13</v>
      </c>
      <c r="G77" s="37">
        <v>16</v>
      </c>
      <c r="H77" s="37"/>
      <c r="I77" s="18">
        <v>65</v>
      </c>
      <c r="J77" s="37">
        <v>120</v>
      </c>
      <c r="K77" s="37" t="s">
        <v>245</v>
      </c>
      <c r="L77" s="38">
        <v>5200</v>
      </c>
      <c r="M77" s="18">
        <v>325</v>
      </c>
      <c r="N77" s="18" t="s">
        <v>213</v>
      </c>
      <c r="O77" s="38"/>
      <c r="P77" s="38"/>
      <c r="Q77" s="38"/>
      <c r="R77" s="39"/>
      <c r="S77" s="39"/>
      <c r="T77" s="8"/>
      <c r="U77" s="40">
        <v>24</v>
      </c>
      <c r="V77" s="41" t="s">
        <v>246</v>
      </c>
    </row>
    <row r="78" s="15" customFormat="1" customHeight="1" spans="1:22">
      <c r="A78" s="37">
        <v>1107014</v>
      </c>
      <c r="B78" s="37">
        <v>1107</v>
      </c>
      <c r="C78" s="37" t="s">
        <v>209</v>
      </c>
      <c r="D78" s="37" t="s">
        <v>210</v>
      </c>
      <c r="E78" s="31">
        <v>22</v>
      </c>
      <c r="F78" s="37">
        <v>14</v>
      </c>
      <c r="G78" s="37">
        <v>16</v>
      </c>
      <c r="H78" s="37"/>
      <c r="I78" s="18">
        <v>70</v>
      </c>
      <c r="J78" s="37">
        <v>126</v>
      </c>
      <c r="K78" s="37" t="s">
        <v>247</v>
      </c>
      <c r="L78" s="38">
        <v>5600</v>
      </c>
      <c r="M78" s="18">
        <v>350</v>
      </c>
      <c r="N78" s="18" t="s">
        <v>213</v>
      </c>
      <c r="O78" s="38" t="s">
        <v>248</v>
      </c>
      <c r="P78" s="38"/>
      <c r="Q78" s="38"/>
      <c r="R78" s="39"/>
      <c r="S78" s="39"/>
      <c r="T78" s="8"/>
      <c r="U78" s="40">
        <v>26</v>
      </c>
      <c r="V78" s="41" t="s">
        <v>249</v>
      </c>
    </row>
    <row r="79" s="15" customFormat="1" customHeight="1" spans="1:22">
      <c r="A79" s="37">
        <v>1107015</v>
      </c>
      <c r="B79" s="37">
        <v>1107</v>
      </c>
      <c r="C79" s="37" t="s">
        <v>209</v>
      </c>
      <c r="D79" s="37" t="s">
        <v>210</v>
      </c>
      <c r="E79" s="31">
        <v>22</v>
      </c>
      <c r="F79" s="37">
        <v>15</v>
      </c>
      <c r="G79" s="37">
        <v>16</v>
      </c>
      <c r="H79" s="37"/>
      <c r="I79" s="18">
        <v>75</v>
      </c>
      <c r="J79" s="37">
        <v>131</v>
      </c>
      <c r="K79" s="37" t="s">
        <v>250</v>
      </c>
      <c r="L79" s="38">
        <v>6000</v>
      </c>
      <c r="M79" s="18">
        <v>375</v>
      </c>
      <c r="N79" s="18" t="s">
        <v>213</v>
      </c>
      <c r="P79" s="38">
        <v>30</v>
      </c>
      <c r="Q79" s="38"/>
      <c r="R79" s="39"/>
      <c r="S79" s="39"/>
      <c r="U79" s="40">
        <v>28</v>
      </c>
      <c r="V79" s="41" t="s">
        <v>251</v>
      </c>
    </row>
    <row r="80" s="15" customFormat="1" customHeight="1" spans="1:22">
      <c r="A80" s="37">
        <v>1107016</v>
      </c>
      <c r="B80" s="37">
        <v>1107</v>
      </c>
      <c r="C80" s="37" t="s">
        <v>209</v>
      </c>
      <c r="D80" s="37" t="s">
        <v>210</v>
      </c>
      <c r="E80" s="31">
        <v>22</v>
      </c>
      <c r="F80" s="37">
        <v>16</v>
      </c>
      <c r="G80" s="37">
        <v>16</v>
      </c>
      <c r="H80" s="37"/>
      <c r="I80" s="18">
        <v>80</v>
      </c>
      <c r="J80" s="37">
        <v>137</v>
      </c>
      <c r="K80" s="37" t="s">
        <v>252</v>
      </c>
      <c r="L80" s="38">
        <v>6400</v>
      </c>
      <c r="M80" s="18">
        <v>400</v>
      </c>
      <c r="N80" s="18" t="s">
        <v>213</v>
      </c>
      <c r="O80" s="38" t="s">
        <v>253</v>
      </c>
      <c r="P80" s="38"/>
      <c r="Q80" s="38"/>
      <c r="R80" s="39"/>
      <c r="S80" s="39"/>
      <c r="T80" s="8"/>
      <c r="U80" s="40">
        <v>30</v>
      </c>
      <c r="V80" s="41" t="s">
        <v>254</v>
      </c>
    </row>
    <row r="81" s="15" customFormat="1" customHeight="1" spans="1:22">
      <c r="A81" s="37">
        <v>1107017</v>
      </c>
      <c r="B81" s="37">
        <v>1107</v>
      </c>
      <c r="C81" s="37" t="s">
        <v>209</v>
      </c>
      <c r="D81" s="37" t="s">
        <v>210</v>
      </c>
      <c r="E81" s="31">
        <v>24</v>
      </c>
      <c r="F81" s="37">
        <v>17</v>
      </c>
      <c r="G81" s="37">
        <v>16</v>
      </c>
      <c r="H81" s="37"/>
      <c r="I81" s="18">
        <v>85</v>
      </c>
      <c r="J81" s="37">
        <v>142</v>
      </c>
      <c r="K81" s="37" t="s">
        <v>255</v>
      </c>
      <c r="L81" s="38">
        <v>6800</v>
      </c>
      <c r="M81" s="18">
        <v>425</v>
      </c>
      <c r="N81" s="18" t="s">
        <v>213</v>
      </c>
      <c r="O81" s="38"/>
      <c r="P81" s="38"/>
      <c r="Q81" s="38"/>
      <c r="R81" s="39"/>
      <c r="S81" s="39"/>
      <c r="T81" s="9"/>
      <c r="U81" s="40">
        <v>32</v>
      </c>
      <c r="V81" s="41" t="s">
        <v>256</v>
      </c>
    </row>
    <row r="82" s="15" customFormat="1" customHeight="1" spans="1:22">
      <c r="A82" s="37">
        <v>1107018</v>
      </c>
      <c r="B82" s="37">
        <v>1107</v>
      </c>
      <c r="C82" s="37" t="s">
        <v>209</v>
      </c>
      <c r="D82" s="37" t="s">
        <v>210</v>
      </c>
      <c r="E82" s="31">
        <v>24</v>
      </c>
      <c r="F82" s="37">
        <v>18</v>
      </c>
      <c r="G82" s="37">
        <v>16</v>
      </c>
      <c r="H82" s="37"/>
      <c r="I82" s="18">
        <v>90</v>
      </c>
      <c r="J82" s="37">
        <v>147</v>
      </c>
      <c r="K82" s="37" t="s">
        <v>257</v>
      </c>
      <c r="L82" s="38">
        <v>7200</v>
      </c>
      <c r="M82" s="18">
        <v>450</v>
      </c>
      <c r="N82" s="18" t="s">
        <v>213</v>
      </c>
      <c r="O82" s="38" t="s">
        <v>258</v>
      </c>
      <c r="P82" s="38"/>
      <c r="Q82" s="38"/>
      <c r="R82" s="39"/>
      <c r="S82" s="39"/>
      <c r="T82" s="8"/>
      <c r="U82" s="40">
        <v>34</v>
      </c>
      <c r="V82" s="41" t="s">
        <v>259</v>
      </c>
    </row>
    <row r="83" s="15" customFormat="1" customHeight="1" spans="1:22">
      <c r="A83" s="37">
        <v>1107019</v>
      </c>
      <c r="B83" s="37">
        <v>1107</v>
      </c>
      <c r="C83" s="37" t="s">
        <v>209</v>
      </c>
      <c r="D83" s="37" t="s">
        <v>210</v>
      </c>
      <c r="E83" s="31">
        <v>24</v>
      </c>
      <c r="F83" s="37">
        <v>19</v>
      </c>
      <c r="G83" s="37">
        <v>16</v>
      </c>
      <c r="H83" s="37"/>
      <c r="I83" s="18">
        <v>95</v>
      </c>
      <c r="J83" s="37">
        <v>152</v>
      </c>
      <c r="K83" s="37" t="s">
        <v>260</v>
      </c>
      <c r="L83" s="38">
        <v>7600</v>
      </c>
      <c r="M83" s="18">
        <v>475</v>
      </c>
      <c r="N83" s="18" t="s">
        <v>213</v>
      </c>
      <c r="O83" s="38"/>
      <c r="P83" s="38"/>
      <c r="Q83" s="38"/>
      <c r="R83" s="39"/>
      <c r="S83" s="39"/>
      <c r="T83" s="8"/>
      <c r="U83" s="40">
        <v>36</v>
      </c>
      <c r="V83" s="41" t="s">
        <v>261</v>
      </c>
    </row>
    <row r="84" s="15" customFormat="1" customHeight="1" spans="1:22">
      <c r="A84" s="37">
        <v>1107020</v>
      </c>
      <c r="B84" s="37">
        <v>1107</v>
      </c>
      <c r="C84" s="37" t="s">
        <v>209</v>
      </c>
      <c r="D84" s="37" t="s">
        <v>210</v>
      </c>
      <c r="E84" s="31">
        <v>24</v>
      </c>
      <c r="F84" s="37">
        <v>20</v>
      </c>
      <c r="G84" s="37">
        <v>16</v>
      </c>
      <c r="H84" s="37"/>
      <c r="I84" s="18">
        <v>100</v>
      </c>
      <c r="J84" s="37">
        <v>157</v>
      </c>
      <c r="K84" s="37" t="s">
        <v>262</v>
      </c>
      <c r="L84" s="38">
        <v>8000</v>
      </c>
      <c r="M84" s="18">
        <v>500</v>
      </c>
      <c r="N84" s="18" t="s">
        <v>213</v>
      </c>
      <c r="P84" s="38">
        <v>40</v>
      </c>
      <c r="Q84" s="38"/>
      <c r="R84" s="39"/>
      <c r="S84" s="39"/>
      <c r="T84" s="8"/>
      <c r="U84" s="40">
        <v>38</v>
      </c>
      <c r="V84" s="41" t="s">
        <v>263</v>
      </c>
    </row>
    <row r="85" customHeight="1" spans="1:22">
      <c r="A85" s="31">
        <v>1106001</v>
      </c>
      <c r="B85" s="31">
        <v>1106</v>
      </c>
      <c r="C85" s="31" t="s">
        <v>264</v>
      </c>
      <c r="D85" s="31" t="s">
        <v>265</v>
      </c>
      <c r="E85" s="31">
        <v>21</v>
      </c>
      <c r="F85" s="31">
        <v>1</v>
      </c>
      <c r="G85" s="31">
        <v>6</v>
      </c>
      <c r="H85" s="31" t="s">
        <v>266</v>
      </c>
      <c r="I85" s="18">
        <v>5</v>
      </c>
      <c r="J85" s="36">
        <v>8</v>
      </c>
      <c r="K85" s="31" t="s">
        <v>267</v>
      </c>
      <c r="L85" s="18">
        <v>500</v>
      </c>
      <c r="M85" s="18">
        <v>30</v>
      </c>
      <c r="N85" s="18" t="s">
        <v>268</v>
      </c>
      <c r="O85" s="18"/>
      <c r="P85" s="18"/>
      <c r="Q85" s="18"/>
      <c r="R85" s="19" t="s">
        <v>269</v>
      </c>
      <c r="S85" s="10" t="s">
        <v>270</v>
      </c>
      <c r="T85" s="7" t="s">
        <v>271</v>
      </c>
      <c r="U85" s="34">
        <v>2</v>
      </c>
      <c r="V85" s="35" t="s">
        <v>272</v>
      </c>
    </row>
    <row r="86" customHeight="1" spans="1:22">
      <c r="A86" s="31">
        <v>1106002</v>
      </c>
      <c r="B86" s="31">
        <v>1106</v>
      </c>
      <c r="C86" s="31" t="s">
        <v>264</v>
      </c>
      <c r="D86" s="31" t="s">
        <v>265</v>
      </c>
      <c r="E86" s="31">
        <v>21</v>
      </c>
      <c r="F86" s="31">
        <v>2</v>
      </c>
      <c r="G86" s="31">
        <v>8</v>
      </c>
      <c r="H86" s="31" t="s">
        <v>273</v>
      </c>
      <c r="I86" s="18">
        <v>10</v>
      </c>
      <c r="J86" s="36">
        <v>14</v>
      </c>
      <c r="K86" s="31" t="s">
        <v>274</v>
      </c>
      <c r="L86" s="18">
        <v>1000</v>
      </c>
      <c r="M86" s="18">
        <v>60</v>
      </c>
      <c r="N86" s="18" t="s">
        <v>268</v>
      </c>
      <c r="O86" s="18"/>
      <c r="P86" s="18"/>
      <c r="Q86" s="18"/>
      <c r="R86" s="19" t="s">
        <v>275</v>
      </c>
      <c r="S86" s="10" t="s">
        <v>276</v>
      </c>
      <c r="T86" s="7">
        <v>1106263</v>
      </c>
      <c r="U86" s="34">
        <v>4</v>
      </c>
      <c r="V86" s="35" t="s">
        <v>277</v>
      </c>
    </row>
    <row r="87" customHeight="1" spans="1:22">
      <c r="A87" s="31">
        <v>1106003</v>
      </c>
      <c r="B87" s="31">
        <v>1106</v>
      </c>
      <c r="C87" s="31" t="s">
        <v>264</v>
      </c>
      <c r="D87" s="31" t="s">
        <v>265</v>
      </c>
      <c r="E87" s="31">
        <v>21</v>
      </c>
      <c r="F87" s="31">
        <v>3</v>
      </c>
      <c r="G87" s="31">
        <v>10</v>
      </c>
      <c r="H87" s="31" t="s">
        <v>278</v>
      </c>
      <c r="I87" s="18">
        <v>15</v>
      </c>
      <c r="J87" s="36">
        <v>21</v>
      </c>
      <c r="K87" s="31" t="s">
        <v>279</v>
      </c>
      <c r="L87" s="18">
        <v>1500</v>
      </c>
      <c r="M87" s="18">
        <v>90</v>
      </c>
      <c r="N87" s="18" t="s">
        <v>268</v>
      </c>
      <c r="O87" s="18"/>
      <c r="P87" s="18"/>
      <c r="Q87" s="18"/>
      <c r="R87" s="19" t="s">
        <v>280</v>
      </c>
      <c r="S87" s="10" t="s">
        <v>281</v>
      </c>
      <c r="T87" s="7">
        <v>1106261</v>
      </c>
      <c r="U87" s="34">
        <v>8</v>
      </c>
      <c r="V87" s="35" t="s">
        <v>282</v>
      </c>
    </row>
    <row r="88" customHeight="1" spans="1:22">
      <c r="A88" s="31">
        <v>1106004</v>
      </c>
      <c r="B88" s="31">
        <v>1106</v>
      </c>
      <c r="C88" s="31" t="s">
        <v>264</v>
      </c>
      <c r="D88" s="31" t="s">
        <v>265</v>
      </c>
      <c r="E88" s="31">
        <v>21</v>
      </c>
      <c r="F88" s="31">
        <v>4</v>
      </c>
      <c r="G88" s="31">
        <v>10</v>
      </c>
      <c r="H88" s="31">
        <v>1106411</v>
      </c>
      <c r="I88" s="18">
        <v>20</v>
      </c>
      <c r="J88" s="36">
        <v>27</v>
      </c>
      <c r="K88" s="31" t="s">
        <v>283</v>
      </c>
      <c r="L88" s="18">
        <v>2000</v>
      </c>
      <c r="M88" s="18">
        <v>120</v>
      </c>
      <c r="N88" s="18" t="s">
        <v>268</v>
      </c>
      <c r="O88" s="18" t="s">
        <v>284</v>
      </c>
      <c r="P88" s="18"/>
      <c r="Q88" s="18"/>
      <c r="S88" s="10"/>
      <c r="T88" s="7">
        <v>1106254</v>
      </c>
      <c r="U88" s="34">
        <v>12</v>
      </c>
      <c r="V88" s="35" t="s">
        <v>285</v>
      </c>
    </row>
    <row r="89" customHeight="1" spans="1:22">
      <c r="A89" s="31">
        <v>1106005</v>
      </c>
      <c r="B89" s="31">
        <v>1106</v>
      </c>
      <c r="C89" s="31" t="s">
        <v>264</v>
      </c>
      <c r="D89" s="31" t="s">
        <v>265</v>
      </c>
      <c r="E89" s="31">
        <v>23</v>
      </c>
      <c r="F89" s="31">
        <v>5</v>
      </c>
      <c r="G89" s="31">
        <v>10</v>
      </c>
      <c r="H89" s="31">
        <v>1106412</v>
      </c>
      <c r="I89" s="18">
        <v>25</v>
      </c>
      <c r="J89" s="36">
        <v>32</v>
      </c>
      <c r="K89" s="31" t="s">
        <v>286</v>
      </c>
      <c r="L89" s="18">
        <v>2500</v>
      </c>
      <c r="M89" s="18">
        <v>150</v>
      </c>
      <c r="N89" s="18" t="s">
        <v>268</v>
      </c>
      <c r="P89" s="18">
        <v>10</v>
      </c>
      <c r="Q89" s="18"/>
      <c r="S89" s="10"/>
      <c r="T89" s="7">
        <v>1106253</v>
      </c>
      <c r="U89" s="34">
        <v>16</v>
      </c>
      <c r="V89" s="35" t="s">
        <v>287</v>
      </c>
    </row>
    <row r="90" customHeight="1" spans="1:22">
      <c r="A90" s="31">
        <v>1106006</v>
      </c>
      <c r="B90" s="31">
        <v>1106</v>
      </c>
      <c r="C90" s="31" t="s">
        <v>264</v>
      </c>
      <c r="D90" s="31" t="s">
        <v>265</v>
      </c>
      <c r="E90" s="31">
        <v>23</v>
      </c>
      <c r="F90" s="31">
        <v>6</v>
      </c>
      <c r="G90" s="31">
        <v>10</v>
      </c>
      <c r="H90" s="31">
        <v>1106413</v>
      </c>
      <c r="I90" s="18">
        <v>30</v>
      </c>
      <c r="J90" s="36">
        <v>38</v>
      </c>
      <c r="K90" s="31" t="s">
        <v>288</v>
      </c>
      <c r="L90" s="18">
        <v>3000</v>
      </c>
      <c r="M90" s="18">
        <v>180</v>
      </c>
      <c r="N90" s="18" t="s">
        <v>268</v>
      </c>
      <c r="O90" s="18"/>
      <c r="P90" s="18"/>
      <c r="Q90" s="18"/>
      <c r="S90" s="10"/>
      <c r="T90" s="7">
        <v>1106251</v>
      </c>
      <c r="U90" s="34">
        <v>20</v>
      </c>
      <c r="V90" s="35" t="s">
        <v>289</v>
      </c>
    </row>
    <row r="91" customHeight="1" spans="1:22">
      <c r="A91" s="31">
        <v>1106007</v>
      </c>
      <c r="B91" s="31">
        <v>1106</v>
      </c>
      <c r="C91" s="31" t="s">
        <v>264</v>
      </c>
      <c r="D91" s="31" t="s">
        <v>265</v>
      </c>
      <c r="E91" s="31">
        <v>23</v>
      </c>
      <c r="F91" s="31">
        <v>7</v>
      </c>
      <c r="G91" s="31">
        <v>10</v>
      </c>
      <c r="H91" s="31">
        <v>1106414</v>
      </c>
      <c r="I91" s="18">
        <v>35</v>
      </c>
      <c r="J91" s="36">
        <v>43</v>
      </c>
      <c r="K91" s="31" t="s">
        <v>290</v>
      </c>
      <c r="L91" s="18">
        <v>3500</v>
      </c>
      <c r="M91" s="18">
        <v>210</v>
      </c>
      <c r="N91" s="18" t="s">
        <v>268</v>
      </c>
      <c r="O91" s="18"/>
      <c r="P91" s="18"/>
      <c r="Q91" s="18"/>
      <c r="S91" s="10"/>
      <c r="T91" s="7">
        <v>1106252</v>
      </c>
      <c r="U91" s="34">
        <v>24</v>
      </c>
      <c r="V91" s="35" t="s">
        <v>291</v>
      </c>
    </row>
    <row r="92" customHeight="1" spans="1:22">
      <c r="A92" s="31">
        <v>1106008</v>
      </c>
      <c r="B92" s="31">
        <v>1106</v>
      </c>
      <c r="C92" s="31" t="s">
        <v>264</v>
      </c>
      <c r="D92" s="31" t="s">
        <v>265</v>
      </c>
      <c r="E92" s="31">
        <v>23</v>
      </c>
      <c r="F92" s="31">
        <v>8</v>
      </c>
      <c r="G92" s="31">
        <v>10</v>
      </c>
      <c r="H92" s="31">
        <v>1106415</v>
      </c>
      <c r="I92" s="18">
        <v>40</v>
      </c>
      <c r="J92" s="36">
        <v>48</v>
      </c>
      <c r="K92" s="31" t="s">
        <v>292</v>
      </c>
      <c r="L92" s="18">
        <v>4000</v>
      </c>
      <c r="M92" s="18">
        <v>240</v>
      </c>
      <c r="N92" s="18" t="s">
        <v>268</v>
      </c>
      <c r="O92" s="18" t="s">
        <v>293</v>
      </c>
      <c r="P92" s="18"/>
      <c r="Q92" s="18"/>
      <c r="S92" s="10"/>
      <c r="T92" s="7">
        <v>1106256</v>
      </c>
      <c r="U92" s="34">
        <v>28</v>
      </c>
      <c r="V92" s="35" t="s">
        <v>294</v>
      </c>
    </row>
    <row r="93" customHeight="1" spans="1:22">
      <c r="A93" s="31">
        <v>1106009</v>
      </c>
      <c r="B93" s="31">
        <v>1106</v>
      </c>
      <c r="C93" s="31" t="s">
        <v>264</v>
      </c>
      <c r="D93" s="31" t="s">
        <v>265</v>
      </c>
      <c r="E93" s="31">
        <v>25</v>
      </c>
      <c r="F93" s="31">
        <v>9</v>
      </c>
      <c r="G93" s="31">
        <v>10</v>
      </c>
      <c r="H93" s="31"/>
      <c r="I93" s="18">
        <v>45</v>
      </c>
      <c r="J93" s="36">
        <v>53</v>
      </c>
      <c r="K93" s="31" t="s">
        <v>295</v>
      </c>
      <c r="L93" s="18">
        <v>4500</v>
      </c>
      <c r="M93" s="18">
        <v>270</v>
      </c>
      <c r="N93" s="18" t="s">
        <v>268</v>
      </c>
      <c r="O93" s="18"/>
      <c r="P93" s="18"/>
      <c r="Q93" s="18"/>
      <c r="S93" s="10"/>
      <c r="T93" s="7">
        <v>1106265</v>
      </c>
      <c r="U93" s="34">
        <v>32</v>
      </c>
      <c r="V93" s="35" t="s">
        <v>296</v>
      </c>
    </row>
    <row r="94" customHeight="1" spans="1:22">
      <c r="A94" s="31">
        <v>1106010</v>
      </c>
      <c r="B94" s="31">
        <v>1106</v>
      </c>
      <c r="C94" s="31" t="s">
        <v>264</v>
      </c>
      <c r="D94" s="31" t="s">
        <v>265</v>
      </c>
      <c r="E94" s="31">
        <v>25</v>
      </c>
      <c r="F94" s="31">
        <v>10</v>
      </c>
      <c r="G94" s="31">
        <v>10</v>
      </c>
      <c r="H94" s="31"/>
      <c r="I94" s="18">
        <v>50</v>
      </c>
      <c r="J94" s="36">
        <v>58</v>
      </c>
      <c r="K94" s="31" t="s">
        <v>297</v>
      </c>
      <c r="L94" s="18">
        <v>5000</v>
      </c>
      <c r="M94" s="18">
        <v>300</v>
      </c>
      <c r="N94" s="18" t="s">
        <v>268</v>
      </c>
      <c r="P94" s="18">
        <v>20</v>
      </c>
      <c r="Q94" s="18"/>
      <c r="S94" s="10"/>
      <c r="T94" s="7">
        <v>1106267</v>
      </c>
      <c r="U94" s="34">
        <v>36</v>
      </c>
      <c r="V94" s="35" t="s">
        <v>298</v>
      </c>
    </row>
    <row r="95" customHeight="1" spans="1:22">
      <c r="A95" s="31">
        <v>1106011</v>
      </c>
      <c r="B95" s="31">
        <v>1106</v>
      </c>
      <c r="C95" s="31" t="s">
        <v>264</v>
      </c>
      <c r="D95" s="31" t="s">
        <v>265</v>
      </c>
      <c r="E95" s="31">
        <v>25</v>
      </c>
      <c r="F95" s="31">
        <v>11</v>
      </c>
      <c r="G95" s="31">
        <v>10</v>
      </c>
      <c r="H95" s="31"/>
      <c r="I95" s="18">
        <v>55</v>
      </c>
      <c r="J95" s="36">
        <v>64</v>
      </c>
      <c r="K95" s="31" t="s">
        <v>299</v>
      </c>
      <c r="L95" s="18">
        <v>5500</v>
      </c>
      <c r="M95" s="18">
        <v>330</v>
      </c>
      <c r="N95" s="18" t="s">
        <v>268</v>
      </c>
      <c r="O95" s="18" t="s">
        <v>300</v>
      </c>
      <c r="P95" s="18"/>
      <c r="Q95" s="18"/>
      <c r="S95" s="10"/>
      <c r="T95" s="7">
        <v>1106269</v>
      </c>
      <c r="U95" s="34">
        <v>40</v>
      </c>
      <c r="V95" s="35" t="s">
        <v>301</v>
      </c>
    </row>
    <row r="96" customHeight="1" spans="1:22">
      <c r="A96" s="31">
        <v>1106012</v>
      </c>
      <c r="B96" s="31">
        <v>1106</v>
      </c>
      <c r="C96" s="31" t="s">
        <v>264</v>
      </c>
      <c r="D96" s="31" t="s">
        <v>265</v>
      </c>
      <c r="E96" s="31">
        <v>25</v>
      </c>
      <c r="F96" s="31">
        <v>12</v>
      </c>
      <c r="G96" s="31">
        <v>10</v>
      </c>
      <c r="H96" s="31"/>
      <c r="I96" s="18">
        <v>60</v>
      </c>
      <c r="J96" s="36">
        <v>69</v>
      </c>
      <c r="K96" s="31" t="s">
        <v>302</v>
      </c>
      <c r="L96" s="18">
        <v>6000</v>
      </c>
      <c r="M96" s="18">
        <v>360</v>
      </c>
      <c r="N96" s="18" t="s">
        <v>268</v>
      </c>
      <c r="O96" s="18"/>
      <c r="P96" s="18"/>
      <c r="Q96" s="18"/>
      <c r="S96" s="10"/>
      <c r="T96" s="7">
        <v>1106270</v>
      </c>
      <c r="U96" s="34">
        <v>44</v>
      </c>
      <c r="V96" s="35" t="s">
        <v>303</v>
      </c>
    </row>
    <row r="97" customHeight="1" spans="1:22">
      <c r="A97" s="31">
        <v>1106013</v>
      </c>
      <c r="B97" s="31">
        <v>1106</v>
      </c>
      <c r="C97" s="31" t="s">
        <v>264</v>
      </c>
      <c r="D97" s="31" t="s">
        <v>265</v>
      </c>
      <c r="E97" s="31">
        <v>27</v>
      </c>
      <c r="F97" s="31">
        <v>13</v>
      </c>
      <c r="G97" s="31">
        <v>10</v>
      </c>
      <c r="H97" s="31"/>
      <c r="I97" s="18">
        <v>65</v>
      </c>
      <c r="J97" s="36">
        <v>73</v>
      </c>
      <c r="K97" s="31" t="s">
        <v>304</v>
      </c>
      <c r="L97" s="18">
        <v>6500</v>
      </c>
      <c r="M97" s="18">
        <v>390</v>
      </c>
      <c r="N97" s="18" t="s">
        <v>268</v>
      </c>
      <c r="O97" s="18"/>
      <c r="P97" s="18"/>
      <c r="Q97" s="18"/>
      <c r="S97" s="10"/>
      <c r="T97" s="7">
        <v>1106271</v>
      </c>
      <c r="U97" s="34">
        <v>48</v>
      </c>
      <c r="V97" s="35" t="s">
        <v>305</v>
      </c>
    </row>
    <row r="98" customHeight="1" spans="1:22">
      <c r="A98" s="31">
        <v>1106014</v>
      </c>
      <c r="B98" s="31">
        <v>1106</v>
      </c>
      <c r="C98" s="31" t="s">
        <v>264</v>
      </c>
      <c r="D98" s="31" t="s">
        <v>265</v>
      </c>
      <c r="E98" s="31">
        <v>27</v>
      </c>
      <c r="F98" s="31">
        <v>14</v>
      </c>
      <c r="G98" s="31">
        <v>10</v>
      </c>
      <c r="H98" s="31"/>
      <c r="I98" s="18">
        <v>70</v>
      </c>
      <c r="J98" s="36">
        <v>77</v>
      </c>
      <c r="K98" s="31" t="s">
        <v>306</v>
      </c>
      <c r="L98" s="18">
        <v>7000</v>
      </c>
      <c r="M98" s="18">
        <v>420</v>
      </c>
      <c r="N98" s="18" t="s">
        <v>268</v>
      </c>
      <c r="O98" s="18" t="s">
        <v>307</v>
      </c>
      <c r="P98" s="18"/>
      <c r="Q98" s="18"/>
      <c r="S98" s="10"/>
      <c r="U98" s="34">
        <v>52</v>
      </c>
      <c r="V98" s="35" t="s">
        <v>308</v>
      </c>
    </row>
    <row r="99" customHeight="1" spans="1:22">
      <c r="A99" s="31">
        <v>1106015</v>
      </c>
      <c r="B99" s="31">
        <v>1106</v>
      </c>
      <c r="C99" s="31" t="s">
        <v>264</v>
      </c>
      <c r="D99" s="31" t="s">
        <v>265</v>
      </c>
      <c r="E99" s="31">
        <v>27</v>
      </c>
      <c r="F99" s="31">
        <v>15</v>
      </c>
      <c r="G99" s="31">
        <v>10</v>
      </c>
      <c r="H99" s="31"/>
      <c r="I99" s="18">
        <v>75</v>
      </c>
      <c r="J99" s="36">
        <v>81</v>
      </c>
      <c r="K99" s="31" t="s">
        <v>309</v>
      </c>
      <c r="L99" s="18">
        <v>7500</v>
      </c>
      <c r="M99" s="18">
        <v>450</v>
      </c>
      <c r="N99" s="18" t="s">
        <v>268</v>
      </c>
      <c r="P99" s="18">
        <v>30</v>
      </c>
      <c r="Q99" s="18"/>
      <c r="S99" s="10"/>
      <c r="U99" s="34">
        <v>56</v>
      </c>
      <c r="V99" s="35" t="s">
        <v>310</v>
      </c>
    </row>
    <row r="100" customHeight="1" spans="1:22">
      <c r="A100" s="31">
        <v>1106016</v>
      </c>
      <c r="B100" s="31">
        <v>1106</v>
      </c>
      <c r="C100" s="31" t="s">
        <v>264</v>
      </c>
      <c r="D100" s="31" t="s">
        <v>265</v>
      </c>
      <c r="E100" s="31">
        <v>27</v>
      </c>
      <c r="F100" s="31">
        <v>16</v>
      </c>
      <c r="G100" s="31">
        <v>10</v>
      </c>
      <c r="H100" s="31"/>
      <c r="I100" s="18">
        <v>80</v>
      </c>
      <c r="J100" s="36">
        <v>85</v>
      </c>
      <c r="K100" s="31" t="s">
        <v>311</v>
      </c>
      <c r="L100" s="18">
        <v>8000</v>
      </c>
      <c r="M100" s="18">
        <v>480</v>
      </c>
      <c r="N100" s="18" t="s">
        <v>268</v>
      </c>
      <c r="O100" s="18" t="s">
        <v>312</v>
      </c>
      <c r="P100" s="18"/>
      <c r="Q100" s="18"/>
      <c r="S100" s="10"/>
      <c r="U100" s="34">
        <v>60</v>
      </c>
      <c r="V100" s="35" t="s">
        <v>313</v>
      </c>
    </row>
    <row r="101" customHeight="1" spans="1:22">
      <c r="A101" s="31">
        <v>1106017</v>
      </c>
      <c r="B101" s="31">
        <v>1106</v>
      </c>
      <c r="C101" s="31" t="s">
        <v>264</v>
      </c>
      <c r="D101" s="31" t="s">
        <v>265</v>
      </c>
      <c r="E101" s="31">
        <v>29</v>
      </c>
      <c r="F101" s="31">
        <v>17</v>
      </c>
      <c r="G101" s="31">
        <v>10</v>
      </c>
      <c r="H101" s="31"/>
      <c r="I101" s="18">
        <v>85</v>
      </c>
      <c r="J101" s="36">
        <v>89</v>
      </c>
      <c r="K101" s="31" t="s">
        <v>314</v>
      </c>
      <c r="L101" s="18">
        <v>8500</v>
      </c>
      <c r="M101" s="18">
        <v>510</v>
      </c>
      <c r="N101" s="18" t="s">
        <v>268</v>
      </c>
      <c r="O101" s="18"/>
      <c r="P101" s="18"/>
      <c r="Q101" s="18"/>
      <c r="U101" s="34">
        <v>64</v>
      </c>
      <c r="V101" s="35" t="s">
        <v>315</v>
      </c>
    </row>
    <row r="102" customHeight="1" spans="1:22">
      <c r="A102" s="31">
        <v>1106018</v>
      </c>
      <c r="B102" s="31">
        <v>1106</v>
      </c>
      <c r="C102" s="31" t="s">
        <v>264</v>
      </c>
      <c r="D102" s="31" t="s">
        <v>265</v>
      </c>
      <c r="E102" s="31">
        <v>29</v>
      </c>
      <c r="F102" s="31">
        <v>18</v>
      </c>
      <c r="G102" s="31">
        <v>10</v>
      </c>
      <c r="H102" s="31"/>
      <c r="I102" s="18">
        <v>90</v>
      </c>
      <c r="J102" s="36">
        <v>93</v>
      </c>
      <c r="K102" s="31" t="s">
        <v>316</v>
      </c>
      <c r="L102" s="18">
        <v>9000</v>
      </c>
      <c r="M102" s="18">
        <v>540</v>
      </c>
      <c r="N102" s="18" t="s">
        <v>268</v>
      </c>
      <c r="O102" s="18" t="s">
        <v>317</v>
      </c>
      <c r="P102" s="18"/>
      <c r="Q102" s="18"/>
      <c r="U102" s="34">
        <v>68</v>
      </c>
      <c r="V102" s="12" t="s">
        <v>318</v>
      </c>
    </row>
    <row r="103" customHeight="1" spans="1:22">
      <c r="A103" s="31">
        <v>1106019</v>
      </c>
      <c r="B103" s="31">
        <v>1106</v>
      </c>
      <c r="C103" s="31" t="s">
        <v>264</v>
      </c>
      <c r="D103" s="31" t="s">
        <v>265</v>
      </c>
      <c r="E103" s="31">
        <v>29</v>
      </c>
      <c r="F103" s="31">
        <v>19</v>
      </c>
      <c r="G103" s="31">
        <v>10</v>
      </c>
      <c r="H103" s="31"/>
      <c r="I103" s="18">
        <v>95</v>
      </c>
      <c r="J103" s="36">
        <v>97</v>
      </c>
      <c r="K103" s="31" t="s">
        <v>319</v>
      </c>
      <c r="L103" s="18">
        <v>9500</v>
      </c>
      <c r="M103" s="18">
        <v>570</v>
      </c>
      <c r="N103" s="18" t="s">
        <v>268</v>
      </c>
      <c r="O103" s="18"/>
      <c r="P103" s="18"/>
      <c r="Q103" s="18"/>
      <c r="U103" s="34">
        <v>72</v>
      </c>
      <c r="V103" s="35" t="s">
        <v>320</v>
      </c>
    </row>
    <row r="104" customHeight="1" spans="1:22">
      <c r="A104" s="31">
        <v>1106020</v>
      </c>
      <c r="B104" s="31">
        <v>1106</v>
      </c>
      <c r="C104" s="31" t="s">
        <v>264</v>
      </c>
      <c r="D104" s="31" t="s">
        <v>265</v>
      </c>
      <c r="E104" s="31">
        <v>29</v>
      </c>
      <c r="F104" s="31">
        <v>20</v>
      </c>
      <c r="G104" s="31">
        <v>10</v>
      </c>
      <c r="H104" s="31"/>
      <c r="I104" s="18">
        <v>100</v>
      </c>
      <c r="J104" s="36">
        <v>100</v>
      </c>
      <c r="K104" s="31" t="s">
        <v>321</v>
      </c>
      <c r="L104" s="18">
        <v>10000</v>
      </c>
      <c r="M104" s="18">
        <v>600</v>
      </c>
      <c r="N104" s="18" t="s">
        <v>268</v>
      </c>
      <c r="P104" s="18">
        <v>40</v>
      </c>
      <c r="Q104" s="18"/>
      <c r="U104" s="34">
        <v>76</v>
      </c>
      <c r="V104" s="35" t="s">
        <v>322</v>
      </c>
    </row>
    <row r="105" s="14" customFormat="1" customHeight="1" spans="1:22">
      <c r="A105" s="37">
        <v>1105001</v>
      </c>
      <c r="B105" s="37">
        <v>1105</v>
      </c>
      <c r="C105" s="37" t="s">
        <v>323</v>
      </c>
      <c r="D105" s="37" t="s">
        <v>324</v>
      </c>
      <c r="E105" s="31">
        <v>26</v>
      </c>
      <c r="F105" s="37">
        <v>1</v>
      </c>
      <c r="G105" s="37">
        <v>6</v>
      </c>
      <c r="H105" s="37" t="s">
        <v>325</v>
      </c>
      <c r="I105" s="18">
        <v>5</v>
      </c>
      <c r="J105" s="37">
        <v>6</v>
      </c>
      <c r="K105" s="37" t="s">
        <v>326</v>
      </c>
      <c r="L105" s="38">
        <v>600</v>
      </c>
      <c r="M105" s="18">
        <v>35</v>
      </c>
      <c r="N105" s="18" t="s">
        <v>327</v>
      </c>
      <c r="O105" s="38"/>
      <c r="P105" s="38"/>
      <c r="Q105" s="38"/>
      <c r="R105" s="39" t="s">
        <v>328</v>
      </c>
      <c r="S105" s="42" t="s">
        <v>329</v>
      </c>
      <c r="T105" s="8" t="s">
        <v>330</v>
      </c>
      <c r="U105" s="40">
        <v>2</v>
      </c>
      <c r="V105" s="35" t="s">
        <v>331</v>
      </c>
    </row>
    <row r="106" s="14" customFormat="1" customHeight="1" spans="1:22">
      <c r="A106" s="37">
        <v>1105002</v>
      </c>
      <c r="B106" s="37">
        <v>1105</v>
      </c>
      <c r="C106" s="37" t="s">
        <v>323</v>
      </c>
      <c r="D106" s="37" t="s">
        <v>324</v>
      </c>
      <c r="E106" s="31">
        <v>26</v>
      </c>
      <c r="F106" s="37">
        <v>2</v>
      </c>
      <c r="G106" s="37">
        <v>8</v>
      </c>
      <c r="H106" s="37" t="s">
        <v>332</v>
      </c>
      <c r="I106" s="18">
        <v>10</v>
      </c>
      <c r="J106" s="37">
        <v>11</v>
      </c>
      <c r="K106" s="37" t="s">
        <v>333</v>
      </c>
      <c r="L106" s="38">
        <v>1200</v>
      </c>
      <c r="M106" s="18">
        <v>70</v>
      </c>
      <c r="N106" s="18" t="s">
        <v>327</v>
      </c>
      <c r="O106" s="38"/>
      <c r="P106" s="38"/>
      <c r="Q106" s="38"/>
      <c r="R106" s="39" t="s">
        <v>334</v>
      </c>
      <c r="S106" s="42" t="s">
        <v>335</v>
      </c>
      <c r="T106" s="8">
        <v>1105263</v>
      </c>
      <c r="U106" s="40">
        <v>4</v>
      </c>
      <c r="V106" s="35" t="s">
        <v>336</v>
      </c>
    </row>
    <row r="107" s="14" customFormat="1" customHeight="1" spans="1:22">
      <c r="A107" s="37">
        <v>1105003</v>
      </c>
      <c r="B107" s="37">
        <v>1105</v>
      </c>
      <c r="C107" s="37" t="s">
        <v>323</v>
      </c>
      <c r="D107" s="37" t="s">
        <v>324</v>
      </c>
      <c r="E107" s="31">
        <v>26</v>
      </c>
      <c r="F107" s="37">
        <v>3</v>
      </c>
      <c r="G107" s="37">
        <v>10</v>
      </c>
      <c r="H107" s="37" t="s">
        <v>337</v>
      </c>
      <c r="I107" s="18">
        <v>15</v>
      </c>
      <c r="J107" s="37">
        <v>15</v>
      </c>
      <c r="K107" s="37" t="s">
        <v>338</v>
      </c>
      <c r="L107" s="38">
        <v>1800</v>
      </c>
      <c r="M107" s="18">
        <v>105</v>
      </c>
      <c r="N107" s="18" t="s">
        <v>327</v>
      </c>
      <c r="O107" s="38"/>
      <c r="P107" s="38"/>
      <c r="Q107" s="38"/>
      <c r="R107" s="39" t="s">
        <v>339</v>
      </c>
      <c r="S107" s="42" t="s">
        <v>340</v>
      </c>
      <c r="T107" s="8">
        <v>1105256</v>
      </c>
      <c r="U107" s="40">
        <v>8</v>
      </c>
      <c r="V107" s="35" t="s">
        <v>341</v>
      </c>
    </row>
    <row r="108" s="14" customFormat="1" customHeight="1" spans="1:22">
      <c r="A108" s="37">
        <v>1105004</v>
      </c>
      <c r="B108" s="37">
        <v>1105</v>
      </c>
      <c r="C108" s="37" t="s">
        <v>323</v>
      </c>
      <c r="D108" s="37" t="s">
        <v>324</v>
      </c>
      <c r="E108" s="31">
        <v>26</v>
      </c>
      <c r="F108" s="37">
        <v>4</v>
      </c>
      <c r="G108" s="37">
        <v>10</v>
      </c>
      <c r="H108" s="37">
        <v>1105411</v>
      </c>
      <c r="I108" s="18">
        <v>20</v>
      </c>
      <c r="J108" s="37">
        <v>19</v>
      </c>
      <c r="K108" s="37" t="s">
        <v>342</v>
      </c>
      <c r="L108" s="38">
        <v>2400</v>
      </c>
      <c r="M108" s="18">
        <v>140</v>
      </c>
      <c r="N108" s="18" t="s">
        <v>327</v>
      </c>
      <c r="O108" s="38" t="s">
        <v>343</v>
      </c>
      <c r="P108" s="38"/>
      <c r="Q108" s="38"/>
      <c r="R108" s="39"/>
      <c r="S108" s="42"/>
      <c r="T108" s="8">
        <v>1105257</v>
      </c>
      <c r="U108" s="40">
        <v>12</v>
      </c>
      <c r="V108" s="35" t="s">
        <v>344</v>
      </c>
    </row>
    <row r="109" s="14" customFormat="1" customHeight="1" spans="1:22">
      <c r="A109" s="37">
        <v>1105005</v>
      </c>
      <c r="B109" s="37">
        <v>1105</v>
      </c>
      <c r="C109" s="37" t="s">
        <v>323</v>
      </c>
      <c r="D109" s="37" t="s">
        <v>324</v>
      </c>
      <c r="E109" s="31">
        <v>28</v>
      </c>
      <c r="F109" s="37">
        <v>5</v>
      </c>
      <c r="G109" s="37">
        <v>10</v>
      </c>
      <c r="H109" s="37">
        <v>1105412</v>
      </c>
      <c r="I109" s="18">
        <v>25</v>
      </c>
      <c r="J109" s="37">
        <v>23</v>
      </c>
      <c r="K109" s="37" t="s">
        <v>345</v>
      </c>
      <c r="L109" s="38">
        <v>3000</v>
      </c>
      <c r="M109" s="18">
        <v>175</v>
      </c>
      <c r="N109" s="18" t="s">
        <v>327</v>
      </c>
      <c r="O109" s="38"/>
      <c r="P109" s="38">
        <v>10</v>
      </c>
      <c r="Q109" s="38"/>
      <c r="R109" s="39"/>
      <c r="S109" s="42"/>
      <c r="T109" s="8">
        <v>1105262</v>
      </c>
      <c r="U109" s="40">
        <v>16</v>
      </c>
      <c r="V109" s="35" t="s">
        <v>346</v>
      </c>
    </row>
    <row r="110" s="14" customFormat="1" customHeight="1" spans="1:22">
      <c r="A110" s="37">
        <v>1105006</v>
      </c>
      <c r="B110" s="37">
        <v>1105</v>
      </c>
      <c r="C110" s="37" t="s">
        <v>323</v>
      </c>
      <c r="D110" s="37" t="s">
        <v>324</v>
      </c>
      <c r="E110" s="31">
        <v>28</v>
      </c>
      <c r="F110" s="37">
        <v>6</v>
      </c>
      <c r="G110" s="37">
        <v>10</v>
      </c>
      <c r="H110" s="37">
        <v>1105413</v>
      </c>
      <c r="I110" s="18">
        <v>30</v>
      </c>
      <c r="J110" s="37">
        <v>27</v>
      </c>
      <c r="K110" s="37" t="s">
        <v>347</v>
      </c>
      <c r="L110" s="38">
        <v>3600</v>
      </c>
      <c r="M110" s="18">
        <v>210</v>
      </c>
      <c r="N110" s="18" t="s">
        <v>327</v>
      </c>
      <c r="O110" s="38"/>
      <c r="P110" s="38"/>
      <c r="Q110" s="38"/>
      <c r="R110" s="39"/>
      <c r="S110" s="42"/>
      <c r="T110" s="8">
        <v>1105251</v>
      </c>
      <c r="U110" s="40">
        <v>20</v>
      </c>
      <c r="V110" s="35" t="s">
        <v>348</v>
      </c>
    </row>
    <row r="111" s="14" customFormat="1" customHeight="1" spans="1:22">
      <c r="A111" s="37">
        <v>1105007</v>
      </c>
      <c r="B111" s="37">
        <v>1105</v>
      </c>
      <c r="C111" s="37" t="s">
        <v>323</v>
      </c>
      <c r="D111" s="37" t="s">
        <v>324</v>
      </c>
      <c r="E111" s="31">
        <v>28</v>
      </c>
      <c r="F111" s="37">
        <v>7</v>
      </c>
      <c r="G111" s="37">
        <v>10</v>
      </c>
      <c r="H111" s="37">
        <v>1105414</v>
      </c>
      <c r="I111" s="18">
        <v>35</v>
      </c>
      <c r="J111" s="37">
        <v>31</v>
      </c>
      <c r="K111" s="37" t="s">
        <v>349</v>
      </c>
      <c r="L111" s="38">
        <v>4200</v>
      </c>
      <c r="M111" s="18">
        <v>245</v>
      </c>
      <c r="N111" s="18" t="s">
        <v>327</v>
      </c>
      <c r="O111" s="38"/>
      <c r="P111" s="38"/>
      <c r="Q111" s="38"/>
      <c r="R111" s="39"/>
      <c r="S111" s="42"/>
      <c r="T111" s="8">
        <v>1105252</v>
      </c>
      <c r="U111" s="40">
        <v>24</v>
      </c>
      <c r="V111" s="35" t="s">
        <v>350</v>
      </c>
    </row>
    <row r="112" s="14" customFormat="1" customHeight="1" spans="1:22">
      <c r="A112" s="37">
        <v>1105008</v>
      </c>
      <c r="B112" s="37">
        <v>1105</v>
      </c>
      <c r="C112" s="37" t="s">
        <v>323</v>
      </c>
      <c r="D112" s="37" t="s">
        <v>324</v>
      </c>
      <c r="E112" s="31">
        <v>28</v>
      </c>
      <c r="F112" s="37">
        <v>8</v>
      </c>
      <c r="G112" s="37">
        <v>10</v>
      </c>
      <c r="H112" s="37">
        <v>1105415</v>
      </c>
      <c r="I112" s="18">
        <v>40</v>
      </c>
      <c r="J112" s="37">
        <v>35</v>
      </c>
      <c r="K112" s="37" t="s">
        <v>351</v>
      </c>
      <c r="L112" s="38">
        <v>4800</v>
      </c>
      <c r="M112" s="18">
        <v>280</v>
      </c>
      <c r="N112" s="18" t="s">
        <v>327</v>
      </c>
      <c r="O112" s="38" t="s">
        <v>352</v>
      </c>
      <c r="P112" s="38"/>
      <c r="Q112" s="38"/>
      <c r="R112" s="39"/>
      <c r="S112" s="42"/>
      <c r="T112" s="8">
        <v>1105253</v>
      </c>
      <c r="U112" s="40">
        <v>28</v>
      </c>
      <c r="V112" s="35" t="s">
        <v>353</v>
      </c>
    </row>
    <row r="113" s="14" customFormat="1" customHeight="1" spans="1:22">
      <c r="A113" s="37">
        <v>1105009</v>
      </c>
      <c r="B113" s="37">
        <v>1105</v>
      </c>
      <c r="C113" s="37" t="s">
        <v>323</v>
      </c>
      <c r="D113" s="37" t="s">
        <v>324</v>
      </c>
      <c r="E113" s="31">
        <v>30</v>
      </c>
      <c r="F113" s="37">
        <v>9</v>
      </c>
      <c r="G113" s="37">
        <v>10</v>
      </c>
      <c r="H113" s="37"/>
      <c r="I113" s="18">
        <v>45</v>
      </c>
      <c r="J113" s="37">
        <v>39</v>
      </c>
      <c r="K113" s="37" t="s">
        <v>354</v>
      </c>
      <c r="L113" s="38">
        <v>5400</v>
      </c>
      <c r="M113" s="18">
        <v>315</v>
      </c>
      <c r="N113" s="18" t="s">
        <v>327</v>
      </c>
      <c r="O113" s="38"/>
      <c r="P113" s="38"/>
      <c r="Q113" s="38"/>
      <c r="R113" s="39"/>
      <c r="S113" s="42"/>
      <c r="T113" s="8">
        <v>1105272</v>
      </c>
      <c r="U113" s="40">
        <v>32</v>
      </c>
      <c r="V113" s="35" t="s">
        <v>355</v>
      </c>
    </row>
    <row r="114" s="14" customFormat="1" customHeight="1" spans="1:22">
      <c r="A114" s="37">
        <v>1105010</v>
      </c>
      <c r="B114" s="37">
        <v>1105</v>
      </c>
      <c r="C114" s="37" t="s">
        <v>323</v>
      </c>
      <c r="D114" s="37" t="s">
        <v>324</v>
      </c>
      <c r="E114" s="31">
        <v>30</v>
      </c>
      <c r="F114" s="37">
        <v>10</v>
      </c>
      <c r="G114" s="37">
        <v>10</v>
      </c>
      <c r="H114" s="37"/>
      <c r="I114" s="18">
        <v>50</v>
      </c>
      <c r="J114" s="37">
        <v>42</v>
      </c>
      <c r="K114" s="37" t="s">
        <v>356</v>
      </c>
      <c r="L114" s="38">
        <v>6000</v>
      </c>
      <c r="M114" s="18">
        <v>350</v>
      </c>
      <c r="N114" s="18" t="s">
        <v>327</v>
      </c>
      <c r="P114" s="38">
        <v>20</v>
      </c>
      <c r="Q114" s="38"/>
      <c r="R114" s="39"/>
      <c r="S114" s="42"/>
      <c r="T114" s="8">
        <v>1105273</v>
      </c>
      <c r="U114" s="40">
        <v>36</v>
      </c>
      <c r="V114" s="35" t="s">
        <v>357</v>
      </c>
    </row>
    <row r="115" s="15" customFormat="1" customHeight="1" spans="1:22">
      <c r="A115" s="37">
        <v>1105011</v>
      </c>
      <c r="B115" s="37">
        <v>1105</v>
      </c>
      <c r="C115" s="37" t="s">
        <v>323</v>
      </c>
      <c r="D115" s="37" t="s">
        <v>324</v>
      </c>
      <c r="E115" s="31">
        <v>30</v>
      </c>
      <c r="F115" s="37">
        <v>11</v>
      </c>
      <c r="G115" s="37">
        <v>10</v>
      </c>
      <c r="H115" s="37"/>
      <c r="I115" s="18">
        <v>55</v>
      </c>
      <c r="J115" s="37">
        <v>47</v>
      </c>
      <c r="K115" s="37" t="s">
        <v>358</v>
      </c>
      <c r="L115" s="38">
        <v>6600</v>
      </c>
      <c r="M115" s="18">
        <v>385</v>
      </c>
      <c r="N115" s="18" t="s">
        <v>327</v>
      </c>
      <c r="O115" s="38" t="s">
        <v>359</v>
      </c>
      <c r="P115" s="38"/>
      <c r="Q115" s="38"/>
      <c r="R115" s="39"/>
      <c r="S115" s="42"/>
      <c r="T115" s="8">
        <v>1105274</v>
      </c>
      <c r="U115" s="40">
        <v>40</v>
      </c>
      <c r="V115" s="35" t="s">
        <v>360</v>
      </c>
    </row>
    <row r="116" s="15" customFormat="1" customHeight="1" spans="1:22">
      <c r="A116" s="37">
        <v>1105012</v>
      </c>
      <c r="B116" s="37">
        <v>1105</v>
      </c>
      <c r="C116" s="37" t="s">
        <v>323</v>
      </c>
      <c r="D116" s="37" t="s">
        <v>324</v>
      </c>
      <c r="E116" s="31">
        <v>30</v>
      </c>
      <c r="F116" s="37">
        <v>12</v>
      </c>
      <c r="G116" s="37">
        <v>10</v>
      </c>
      <c r="H116" s="37"/>
      <c r="I116" s="18">
        <v>60</v>
      </c>
      <c r="J116" s="37">
        <v>52</v>
      </c>
      <c r="K116" s="37" t="s">
        <v>361</v>
      </c>
      <c r="L116" s="38">
        <v>7200</v>
      </c>
      <c r="M116" s="18">
        <v>420</v>
      </c>
      <c r="N116" s="18" t="s">
        <v>327</v>
      </c>
      <c r="O116" s="38"/>
      <c r="P116" s="38"/>
      <c r="Q116" s="38"/>
      <c r="R116" s="39"/>
      <c r="S116" s="42"/>
      <c r="T116" s="8">
        <v>1105267</v>
      </c>
      <c r="U116" s="40">
        <v>44</v>
      </c>
      <c r="V116" s="35" t="s">
        <v>362</v>
      </c>
    </row>
    <row r="117" s="15" customFormat="1" customHeight="1" spans="1:22">
      <c r="A117" s="37">
        <v>1105013</v>
      </c>
      <c r="B117" s="37">
        <v>1105</v>
      </c>
      <c r="C117" s="37" t="s">
        <v>323</v>
      </c>
      <c r="D117" s="37" t="s">
        <v>324</v>
      </c>
      <c r="E117" s="31">
        <v>32</v>
      </c>
      <c r="F117" s="37">
        <v>13</v>
      </c>
      <c r="G117" s="37">
        <v>10</v>
      </c>
      <c r="H117" s="37"/>
      <c r="I117" s="18">
        <v>65</v>
      </c>
      <c r="J117" s="37">
        <v>57</v>
      </c>
      <c r="K117" s="37" t="s">
        <v>363</v>
      </c>
      <c r="L117" s="38">
        <v>7800</v>
      </c>
      <c r="M117" s="18">
        <v>455</v>
      </c>
      <c r="N117" s="18" t="s">
        <v>327</v>
      </c>
      <c r="O117" s="38"/>
      <c r="P117" s="38"/>
      <c r="Q117" s="38"/>
      <c r="R117" s="39"/>
      <c r="S117" s="42"/>
      <c r="T117" s="8">
        <v>1105269</v>
      </c>
      <c r="U117" s="40">
        <v>48</v>
      </c>
      <c r="V117" s="35" t="s">
        <v>364</v>
      </c>
    </row>
    <row r="118" s="15" customFormat="1" customHeight="1" spans="1:22">
      <c r="A118" s="37">
        <v>1105014</v>
      </c>
      <c r="B118" s="37">
        <v>1105</v>
      </c>
      <c r="C118" s="37" t="s">
        <v>323</v>
      </c>
      <c r="D118" s="37" t="s">
        <v>324</v>
      </c>
      <c r="E118" s="31">
        <v>32</v>
      </c>
      <c r="F118" s="37">
        <v>14</v>
      </c>
      <c r="G118" s="37">
        <v>10</v>
      </c>
      <c r="H118" s="37"/>
      <c r="I118" s="18">
        <v>70</v>
      </c>
      <c r="J118" s="37">
        <v>62</v>
      </c>
      <c r="K118" s="37" t="s">
        <v>365</v>
      </c>
      <c r="L118" s="38">
        <v>8400</v>
      </c>
      <c r="M118" s="18">
        <v>490</v>
      </c>
      <c r="N118" s="18" t="s">
        <v>327</v>
      </c>
      <c r="O118" s="38" t="s">
        <v>366</v>
      </c>
      <c r="P118" s="38"/>
      <c r="Q118" s="38"/>
      <c r="R118" s="39"/>
      <c r="S118" s="42"/>
      <c r="T118" s="8">
        <v>1105264</v>
      </c>
      <c r="U118" s="40">
        <v>52</v>
      </c>
      <c r="V118" s="35" t="s">
        <v>367</v>
      </c>
    </row>
    <row r="119" s="15" customFormat="1" customHeight="1" spans="1:22">
      <c r="A119" s="37">
        <v>1105015</v>
      </c>
      <c r="B119" s="37">
        <v>1105</v>
      </c>
      <c r="C119" s="37" t="s">
        <v>323</v>
      </c>
      <c r="D119" s="37" t="s">
        <v>324</v>
      </c>
      <c r="E119" s="31">
        <v>32</v>
      </c>
      <c r="F119" s="37">
        <v>15</v>
      </c>
      <c r="G119" s="37">
        <v>10</v>
      </c>
      <c r="H119" s="37"/>
      <c r="I119" s="18">
        <v>75</v>
      </c>
      <c r="J119" s="37">
        <v>67</v>
      </c>
      <c r="K119" s="37" t="s">
        <v>368</v>
      </c>
      <c r="L119" s="38">
        <v>9000</v>
      </c>
      <c r="M119" s="18">
        <v>525</v>
      </c>
      <c r="N119" s="18" t="s">
        <v>327</v>
      </c>
      <c r="P119" s="38">
        <v>30</v>
      </c>
      <c r="Q119" s="38"/>
      <c r="R119" s="39"/>
      <c r="S119" s="42"/>
      <c r="T119" s="8">
        <v>1105265</v>
      </c>
      <c r="U119" s="40">
        <v>56</v>
      </c>
      <c r="V119" s="35" t="s">
        <v>369</v>
      </c>
    </row>
    <row r="120" s="15" customFormat="1" customHeight="1" spans="1:22">
      <c r="A120" s="37">
        <v>1105016</v>
      </c>
      <c r="B120" s="37">
        <v>1105</v>
      </c>
      <c r="C120" s="37" t="s">
        <v>323</v>
      </c>
      <c r="D120" s="37" t="s">
        <v>324</v>
      </c>
      <c r="E120" s="31">
        <v>32</v>
      </c>
      <c r="F120" s="37">
        <v>16</v>
      </c>
      <c r="G120" s="37">
        <v>10</v>
      </c>
      <c r="H120" s="37"/>
      <c r="I120" s="18">
        <v>80</v>
      </c>
      <c r="J120" s="37">
        <v>73</v>
      </c>
      <c r="K120" s="37" t="s">
        <v>370</v>
      </c>
      <c r="L120" s="38">
        <v>9600</v>
      </c>
      <c r="M120" s="18">
        <v>560</v>
      </c>
      <c r="N120" s="18" t="s">
        <v>327</v>
      </c>
      <c r="O120" s="38" t="s">
        <v>371</v>
      </c>
      <c r="P120" s="38"/>
      <c r="Q120" s="38"/>
      <c r="R120" s="39"/>
      <c r="S120" s="42"/>
      <c r="T120" s="8">
        <v>1105266</v>
      </c>
      <c r="U120" s="40">
        <v>60</v>
      </c>
      <c r="V120" s="35" t="s">
        <v>372</v>
      </c>
    </row>
    <row r="121" s="15" customFormat="1" customHeight="1" spans="1:22">
      <c r="A121" s="37">
        <v>1105017</v>
      </c>
      <c r="B121" s="37">
        <v>1105</v>
      </c>
      <c r="C121" s="37" t="s">
        <v>323</v>
      </c>
      <c r="D121" s="37" t="s">
        <v>324</v>
      </c>
      <c r="E121" s="31">
        <v>34</v>
      </c>
      <c r="F121" s="37">
        <v>17</v>
      </c>
      <c r="G121" s="37">
        <v>10</v>
      </c>
      <c r="H121" s="37"/>
      <c r="I121" s="18">
        <v>85</v>
      </c>
      <c r="J121" s="37">
        <v>79</v>
      </c>
      <c r="K121" s="37" t="s">
        <v>373</v>
      </c>
      <c r="L121" s="38">
        <v>10200</v>
      </c>
      <c r="M121" s="18">
        <v>595</v>
      </c>
      <c r="N121" s="18" t="s">
        <v>327</v>
      </c>
      <c r="O121" s="38"/>
      <c r="P121" s="38"/>
      <c r="Q121" s="38"/>
      <c r="R121" s="39"/>
      <c r="S121" s="39"/>
      <c r="T121" s="8">
        <v>1105270</v>
      </c>
      <c r="U121" s="40">
        <v>64</v>
      </c>
      <c r="V121" s="35" t="s">
        <v>374</v>
      </c>
    </row>
    <row r="122" s="15" customFormat="1" customHeight="1" spans="1:22">
      <c r="A122" s="37">
        <v>1105018</v>
      </c>
      <c r="B122" s="37">
        <v>1105</v>
      </c>
      <c r="C122" s="37" t="s">
        <v>323</v>
      </c>
      <c r="D122" s="37" t="s">
        <v>324</v>
      </c>
      <c r="E122" s="31">
        <v>34</v>
      </c>
      <c r="F122" s="37">
        <v>18</v>
      </c>
      <c r="G122" s="37">
        <v>10</v>
      </c>
      <c r="H122" s="37"/>
      <c r="I122" s="18">
        <v>90</v>
      </c>
      <c r="J122" s="37">
        <v>84</v>
      </c>
      <c r="K122" s="37" t="s">
        <v>375</v>
      </c>
      <c r="L122" s="38">
        <v>10800</v>
      </c>
      <c r="M122" s="18">
        <v>630</v>
      </c>
      <c r="N122" s="18" t="s">
        <v>327</v>
      </c>
      <c r="O122" s="38" t="s">
        <v>376</v>
      </c>
      <c r="P122" s="38"/>
      <c r="Q122" s="38"/>
      <c r="R122" s="39"/>
      <c r="S122" s="39"/>
      <c r="U122" s="40">
        <v>68</v>
      </c>
      <c r="V122" s="35" t="s">
        <v>377</v>
      </c>
    </row>
    <row r="123" s="15" customFormat="1" customHeight="1" spans="1:22">
      <c r="A123" s="37">
        <v>1105019</v>
      </c>
      <c r="B123" s="37">
        <v>1105</v>
      </c>
      <c r="C123" s="37" t="s">
        <v>323</v>
      </c>
      <c r="D123" s="37" t="s">
        <v>324</v>
      </c>
      <c r="E123" s="31">
        <v>34</v>
      </c>
      <c r="F123" s="37">
        <v>19</v>
      </c>
      <c r="G123" s="37">
        <v>10</v>
      </c>
      <c r="H123" s="37"/>
      <c r="I123" s="18">
        <v>95</v>
      </c>
      <c r="J123" s="37">
        <v>90</v>
      </c>
      <c r="K123" s="37" t="s">
        <v>378</v>
      </c>
      <c r="L123" s="38">
        <v>11400</v>
      </c>
      <c r="M123" s="18">
        <v>665</v>
      </c>
      <c r="N123" s="18" t="s">
        <v>327</v>
      </c>
      <c r="O123" s="38"/>
      <c r="P123" s="38"/>
      <c r="Q123" s="38"/>
      <c r="R123" s="39"/>
      <c r="S123" s="39"/>
      <c r="U123" s="40">
        <v>72</v>
      </c>
      <c r="V123" s="35" t="s">
        <v>379</v>
      </c>
    </row>
    <row r="124" s="15" customFormat="1" customHeight="1" spans="1:22">
      <c r="A124" s="37">
        <v>1105020</v>
      </c>
      <c r="B124" s="37">
        <v>1105</v>
      </c>
      <c r="C124" s="37" t="s">
        <v>323</v>
      </c>
      <c r="D124" s="37" t="s">
        <v>324</v>
      </c>
      <c r="E124" s="31">
        <v>34</v>
      </c>
      <c r="F124" s="37">
        <v>20</v>
      </c>
      <c r="G124" s="37">
        <v>10</v>
      </c>
      <c r="H124" s="37"/>
      <c r="I124" s="18">
        <v>100</v>
      </c>
      <c r="J124" s="37">
        <v>97</v>
      </c>
      <c r="K124" s="37" t="s">
        <v>380</v>
      </c>
      <c r="L124" s="38">
        <v>12000</v>
      </c>
      <c r="M124" s="18">
        <v>700</v>
      </c>
      <c r="N124" s="18" t="s">
        <v>327</v>
      </c>
      <c r="P124" s="38">
        <v>40</v>
      </c>
      <c r="Q124" s="38"/>
      <c r="R124" s="39"/>
      <c r="S124" s="39"/>
      <c r="U124" s="40">
        <v>76</v>
      </c>
      <c r="V124" s="35" t="s">
        <v>381</v>
      </c>
    </row>
    <row r="125" customHeight="1" spans="1:22">
      <c r="A125" s="31">
        <v>1104001</v>
      </c>
      <c r="B125" s="31">
        <v>1104</v>
      </c>
      <c r="C125" s="31" t="s">
        <v>382</v>
      </c>
      <c r="D125" s="31" t="s">
        <v>383</v>
      </c>
      <c r="E125" s="31">
        <v>31</v>
      </c>
      <c r="F125" s="31">
        <v>1</v>
      </c>
      <c r="G125" s="31">
        <v>6</v>
      </c>
      <c r="H125" s="31" t="s">
        <v>384</v>
      </c>
      <c r="I125" s="18">
        <v>5</v>
      </c>
      <c r="J125" s="36">
        <v>5</v>
      </c>
      <c r="K125" s="31" t="s">
        <v>385</v>
      </c>
      <c r="L125" s="18">
        <v>700</v>
      </c>
      <c r="M125" s="18">
        <v>40</v>
      </c>
      <c r="N125" s="18" t="s">
        <v>386</v>
      </c>
      <c r="O125" s="18"/>
      <c r="P125" s="18"/>
      <c r="Q125" s="18"/>
      <c r="R125" s="19" t="s">
        <v>387</v>
      </c>
      <c r="S125" s="19" t="s">
        <v>388</v>
      </c>
      <c r="T125" s="7" t="s">
        <v>389</v>
      </c>
      <c r="U125" s="34">
        <v>2</v>
      </c>
      <c r="V125" s="35" t="s">
        <v>390</v>
      </c>
    </row>
    <row r="126" customHeight="1" spans="1:22">
      <c r="A126" s="31">
        <v>1104002</v>
      </c>
      <c r="B126" s="31">
        <v>1104</v>
      </c>
      <c r="C126" s="31" t="s">
        <v>382</v>
      </c>
      <c r="D126" s="31" t="s">
        <v>383</v>
      </c>
      <c r="E126" s="31">
        <v>31</v>
      </c>
      <c r="F126" s="31">
        <v>2</v>
      </c>
      <c r="G126" s="31">
        <v>8</v>
      </c>
      <c r="H126" s="31" t="s">
        <v>391</v>
      </c>
      <c r="I126" s="18">
        <v>10</v>
      </c>
      <c r="J126" s="36">
        <v>10</v>
      </c>
      <c r="K126" s="31" t="s">
        <v>392</v>
      </c>
      <c r="L126" s="18">
        <v>1400</v>
      </c>
      <c r="M126" s="18">
        <v>80</v>
      </c>
      <c r="N126" s="18" t="s">
        <v>386</v>
      </c>
      <c r="O126" s="18"/>
      <c r="P126" s="18"/>
      <c r="Q126" s="18"/>
      <c r="R126" s="19" t="s">
        <v>393</v>
      </c>
      <c r="S126" s="19" t="s">
        <v>394</v>
      </c>
      <c r="T126" s="7">
        <v>1104256</v>
      </c>
      <c r="U126" s="34">
        <v>4</v>
      </c>
      <c r="V126" s="35" t="s">
        <v>395</v>
      </c>
    </row>
    <row r="127" customHeight="1" spans="1:22">
      <c r="A127" s="31">
        <v>1104003</v>
      </c>
      <c r="B127" s="31">
        <v>1104</v>
      </c>
      <c r="C127" s="31" t="s">
        <v>382</v>
      </c>
      <c r="D127" s="31" t="s">
        <v>383</v>
      </c>
      <c r="E127" s="31">
        <v>31</v>
      </c>
      <c r="F127" s="31">
        <v>3</v>
      </c>
      <c r="G127" s="31">
        <v>10</v>
      </c>
      <c r="H127" s="31" t="s">
        <v>396</v>
      </c>
      <c r="I127" s="18">
        <v>15</v>
      </c>
      <c r="J127" s="36">
        <v>15</v>
      </c>
      <c r="K127" s="31" t="s">
        <v>397</v>
      </c>
      <c r="L127" s="18">
        <v>2100</v>
      </c>
      <c r="M127" s="18">
        <v>120</v>
      </c>
      <c r="N127" s="18" t="s">
        <v>386</v>
      </c>
      <c r="O127" s="18"/>
      <c r="P127" s="18"/>
      <c r="Q127" s="18"/>
      <c r="R127" s="19" t="s">
        <v>398</v>
      </c>
      <c r="S127" s="19" t="s">
        <v>399</v>
      </c>
      <c r="T127" s="7">
        <v>1104259</v>
      </c>
      <c r="U127" s="34">
        <v>8</v>
      </c>
      <c r="V127" s="35" t="s">
        <v>400</v>
      </c>
    </row>
    <row r="128" customHeight="1" spans="1:22">
      <c r="A128" s="31">
        <v>1104004</v>
      </c>
      <c r="B128" s="31">
        <v>1104</v>
      </c>
      <c r="C128" s="31" t="s">
        <v>382</v>
      </c>
      <c r="D128" s="31" t="s">
        <v>383</v>
      </c>
      <c r="E128" s="31">
        <v>31</v>
      </c>
      <c r="F128" s="31">
        <v>4</v>
      </c>
      <c r="G128" s="31">
        <v>10</v>
      </c>
      <c r="H128" s="31">
        <v>1104411</v>
      </c>
      <c r="I128" s="18">
        <v>20</v>
      </c>
      <c r="J128" s="36">
        <v>20</v>
      </c>
      <c r="K128" s="31" t="s">
        <v>401</v>
      </c>
      <c r="L128" s="18">
        <v>2800</v>
      </c>
      <c r="M128" s="18">
        <v>160</v>
      </c>
      <c r="N128" s="18" t="s">
        <v>386</v>
      </c>
      <c r="O128" s="18" t="s">
        <v>402</v>
      </c>
      <c r="P128" s="18"/>
      <c r="Q128" s="18"/>
      <c r="T128" s="7">
        <v>1104261</v>
      </c>
      <c r="U128" s="34">
        <v>12</v>
      </c>
      <c r="V128" s="35" t="s">
        <v>403</v>
      </c>
    </row>
    <row r="129" customHeight="1" spans="1:22">
      <c r="A129" s="31">
        <v>1104005</v>
      </c>
      <c r="B129" s="31">
        <v>1104</v>
      </c>
      <c r="C129" s="31" t="s">
        <v>382</v>
      </c>
      <c r="D129" s="31" t="s">
        <v>383</v>
      </c>
      <c r="E129" s="31">
        <v>33</v>
      </c>
      <c r="F129" s="31">
        <v>5</v>
      </c>
      <c r="G129" s="31">
        <v>10</v>
      </c>
      <c r="H129" s="31">
        <v>1104412</v>
      </c>
      <c r="I129" s="18">
        <v>25</v>
      </c>
      <c r="J129" s="36">
        <v>25</v>
      </c>
      <c r="K129" s="31" t="s">
        <v>404</v>
      </c>
      <c r="L129" s="18">
        <v>3500</v>
      </c>
      <c r="M129" s="18">
        <v>200</v>
      </c>
      <c r="N129" s="18" t="s">
        <v>386</v>
      </c>
      <c r="P129" s="18">
        <v>10</v>
      </c>
      <c r="Q129" s="18"/>
      <c r="T129" s="7">
        <v>1104251</v>
      </c>
      <c r="U129" s="34">
        <v>16</v>
      </c>
      <c r="V129" s="35" t="s">
        <v>405</v>
      </c>
    </row>
    <row r="130" customHeight="1" spans="1:22">
      <c r="A130" s="31">
        <v>1104006</v>
      </c>
      <c r="B130" s="31">
        <v>1104</v>
      </c>
      <c r="C130" s="31" t="s">
        <v>382</v>
      </c>
      <c r="D130" s="31" t="s">
        <v>383</v>
      </c>
      <c r="E130" s="31">
        <v>33</v>
      </c>
      <c r="F130" s="31">
        <v>6</v>
      </c>
      <c r="G130" s="31">
        <v>10</v>
      </c>
      <c r="H130" s="31">
        <v>1104413</v>
      </c>
      <c r="I130" s="18">
        <v>30</v>
      </c>
      <c r="J130" s="36">
        <v>31</v>
      </c>
      <c r="K130" s="31" t="s">
        <v>406</v>
      </c>
      <c r="L130" s="18">
        <v>4200</v>
      </c>
      <c r="M130" s="18">
        <v>240</v>
      </c>
      <c r="N130" s="18" t="s">
        <v>386</v>
      </c>
      <c r="O130" s="18"/>
      <c r="P130" s="18"/>
      <c r="Q130" s="18"/>
      <c r="T130" s="7">
        <v>1104252</v>
      </c>
      <c r="U130" s="34">
        <v>20</v>
      </c>
      <c r="V130" s="35" t="s">
        <v>407</v>
      </c>
    </row>
    <row r="131" customHeight="1" spans="1:22">
      <c r="A131" s="31">
        <v>1104007</v>
      </c>
      <c r="B131" s="31">
        <v>1104</v>
      </c>
      <c r="C131" s="31" t="s">
        <v>382</v>
      </c>
      <c r="D131" s="31" t="s">
        <v>383</v>
      </c>
      <c r="E131" s="31">
        <v>33</v>
      </c>
      <c r="F131" s="31">
        <v>7</v>
      </c>
      <c r="G131" s="31">
        <v>10</v>
      </c>
      <c r="H131" s="31">
        <v>1104414</v>
      </c>
      <c r="I131" s="18">
        <v>35</v>
      </c>
      <c r="J131" s="36">
        <v>37</v>
      </c>
      <c r="K131" s="31" t="s">
        <v>408</v>
      </c>
      <c r="L131" s="18">
        <v>4900</v>
      </c>
      <c r="M131" s="18">
        <v>280</v>
      </c>
      <c r="N131" s="18" t="s">
        <v>386</v>
      </c>
      <c r="O131" s="18"/>
      <c r="P131" s="18"/>
      <c r="Q131" s="18"/>
      <c r="T131" s="7">
        <v>1104253</v>
      </c>
      <c r="U131" s="34">
        <v>24</v>
      </c>
      <c r="V131" s="35" t="s">
        <v>409</v>
      </c>
    </row>
    <row r="132" customHeight="1" spans="1:22">
      <c r="A132" s="31">
        <v>1104008</v>
      </c>
      <c r="B132" s="31">
        <v>1104</v>
      </c>
      <c r="C132" s="31" t="s">
        <v>382</v>
      </c>
      <c r="D132" s="31" t="s">
        <v>383</v>
      </c>
      <c r="E132" s="31">
        <v>33</v>
      </c>
      <c r="F132" s="31">
        <v>8</v>
      </c>
      <c r="G132" s="31">
        <v>10</v>
      </c>
      <c r="H132" s="31">
        <v>1104415</v>
      </c>
      <c r="I132" s="18">
        <v>40</v>
      </c>
      <c r="J132" s="36">
        <v>42</v>
      </c>
      <c r="K132" s="31" t="s">
        <v>410</v>
      </c>
      <c r="L132" s="18">
        <v>5600</v>
      </c>
      <c r="M132" s="18">
        <v>320</v>
      </c>
      <c r="N132" s="18" t="s">
        <v>386</v>
      </c>
      <c r="O132" s="18" t="s">
        <v>411</v>
      </c>
      <c r="P132" s="18"/>
      <c r="Q132" s="18"/>
      <c r="T132" s="7">
        <v>1104270</v>
      </c>
      <c r="U132" s="34">
        <v>28</v>
      </c>
      <c r="V132" s="35" t="s">
        <v>412</v>
      </c>
    </row>
    <row r="133" customHeight="1" spans="1:22">
      <c r="A133" s="31">
        <v>1104009</v>
      </c>
      <c r="B133" s="31">
        <v>1104</v>
      </c>
      <c r="C133" s="31" t="s">
        <v>382</v>
      </c>
      <c r="D133" s="31" t="s">
        <v>383</v>
      </c>
      <c r="E133" s="31">
        <v>35</v>
      </c>
      <c r="F133" s="31">
        <v>9</v>
      </c>
      <c r="G133" s="31">
        <v>10</v>
      </c>
      <c r="H133" s="31"/>
      <c r="I133" s="18">
        <v>45</v>
      </c>
      <c r="J133" s="36">
        <v>48</v>
      </c>
      <c r="K133" s="31" t="s">
        <v>413</v>
      </c>
      <c r="L133" s="18">
        <v>6300</v>
      </c>
      <c r="M133" s="18">
        <v>360</v>
      </c>
      <c r="N133" s="18" t="s">
        <v>386</v>
      </c>
      <c r="O133" s="18"/>
      <c r="P133" s="18"/>
      <c r="Q133" s="18"/>
      <c r="T133" s="7">
        <v>1104271</v>
      </c>
      <c r="U133" s="34">
        <v>32</v>
      </c>
      <c r="V133" s="35" t="s">
        <v>414</v>
      </c>
    </row>
    <row r="134" customHeight="1" spans="1:22">
      <c r="A134" s="31">
        <v>1104010</v>
      </c>
      <c r="B134" s="31">
        <v>1104</v>
      </c>
      <c r="C134" s="31" t="s">
        <v>382</v>
      </c>
      <c r="D134" s="31" t="s">
        <v>383</v>
      </c>
      <c r="E134" s="31">
        <v>35</v>
      </c>
      <c r="F134" s="31">
        <v>10</v>
      </c>
      <c r="G134" s="31">
        <v>10</v>
      </c>
      <c r="H134" s="31"/>
      <c r="I134" s="18">
        <v>50</v>
      </c>
      <c r="J134" s="36">
        <v>55</v>
      </c>
      <c r="K134" s="31" t="s">
        <v>415</v>
      </c>
      <c r="L134" s="18">
        <v>7000</v>
      </c>
      <c r="M134" s="18">
        <v>400</v>
      </c>
      <c r="N134" s="18" t="s">
        <v>386</v>
      </c>
      <c r="P134" s="18">
        <v>20</v>
      </c>
      <c r="Q134" s="18"/>
      <c r="T134" s="7">
        <v>1104272</v>
      </c>
      <c r="U134" s="34">
        <v>36</v>
      </c>
      <c r="V134" s="35" t="s">
        <v>416</v>
      </c>
    </row>
    <row r="135" customHeight="1" spans="1:22">
      <c r="A135" s="31">
        <v>1104011</v>
      </c>
      <c r="B135" s="31">
        <v>1104</v>
      </c>
      <c r="C135" s="31" t="s">
        <v>382</v>
      </c>
      <c r="D135" s="31" t="s">
        <v>383</v>
      </c>
      <c r="E135" s="31">
        <v>35</v>
      </c>
      <c r="F135" s="31">
        <v>11</v>
      </c>
      <c r="G135" s="31">
        <v>10</v>
      </c>
      <c r="H135" s="31"/>
      <c r="I135" s="18">
        <v>55</v>
      </c>
      <c r="J135" s="36">
        <v>61</v>
      </c>
      <c r="K135" s="31" t="s">
        <v>417</v>
      </c>
      <c r="L135" s="18">
        <v>7700</v>
      </c>
      <c r="M135" s="18">
        <v>440</v>
      </c>
      <c r="N135" s="18" t="s">
        <v>386</v>
      </c>
      <c r="O135" s="18" t="s">
        <v>418</v>
      </c>
      <c r="P135" s="18"/>
      <c r="Q135" s="18"/>
      <c r="T135" s="7">
        <v>1104265</v>
      </c>
      <c r="U135" s="34">
        <v>40</v>
      </c>
      <c r="V135" s="12" t="s">
        <v>419</v>
      </c>
    </row>
    <row r="136" customHeight="1" spans="1:22">
      <c r="A136" s="31">
        <v>1104012</v>
      </c>
      <c r="B136" s="31">
        <v>1104</v>
      </c>
      <c r="C136" s="31" t="s">
        <v>382</v>
      </c>
      <c r="D136" s="31" t="s">
        <v>383</v>
      </c>
      <c r="E136" s="31">
        <v>35</v>
      </c>
      <c r="F136" s="31">
        <v>12</v>
      </c>
      <c r="G136" s="31">
        <v>10</v>
      </c>
      <c r="H136" s="31"/>
      <c r="I136" s="18">
        <v>60</v>
      </c>
      <c r="J136" s="36">
        <v>67</v>
      </c>
      <c r="K136" s="31" t="s">
        <v>420</v>
      </c>
      <c r="L136" s="18">
        <v>8400</v>
      </c>
      <c r="M136" s="18">
        <v>480</v>
      </c>
      <c r="N136" s="18" t="s">
        <v>386</v>
      </c>
      <c r="O136" s="18"/>
      <c r="P136" s="18"/>
      <c r="Q136" s="18"/>
      <c r="T136" s="7">
        <v>1104267</v>
      </c>
      <c r="U136" s="34">
        <v>44</v>
      </c>
      <c r="V136" s="35" t="s">
        <v>421</v>
      </c>
    </row>
    <row r="137" customHeight="1" spans="1:22">
      <c r="A137" s="31">
        <v>1104013</v>
      </c>
      <c r="B137" s="31">
        <v>1104</v>
      </c>
      <c r="C137" s="31" t="s">
        <v>382</v>
      </c>
      <c r="D137" s="31" t="s">
        <v>383</v>
      </c>
      <c r="E137" s="31">
        <v>37</v>
      </c>
      <c r="F137" s="31">
        <v>13</v>
      </c>
      <c r="G137" s="31">
        <v>10</v>
      </c>
      <c r="H137" s="31"/>
      <c r="I137" s="18">
        <v>65</v>
      </c>
      <c r="J137" s="36">
        <v>73</v>
      </c>
      <c r="K137" s="31" t="s">
        <v>422</v>
      </c>
      <c r="L137" s="18">
        <v>9100</v>
      </c>
      <c r="M137" s="18">
        <v>520</v>
      </c>
      <c r="N137" s="18" t="s">
        <v>386</v>
      </c>
      <c r="O137" s="18"/>
      <c r="P137" s="18"/>
      <c r="Q137" s="18"/>
      <c r="T137" s="7">
        <v>1104262</v>
      </c>
      <c r="U137" s="34">
        <v>48</v>
      </c>
      <c r="V137" s="35" t="s">
        <v>423</v>
      </c>
    </row>
    <row r="138" customHeight="1" spans="1:22">
      <c r="A138" s="31">
        <v>1104014</v>
      </c>
      <c r="B138" s="31">
        <v>1104</v>
      </c>
      <c r="C138" s="31" t="s">
        <v>382</v>
      </c>
      <c r="D138" s="31" t="s">
        <v>383</v>
      </c>
      <c r="E138" s="31">
        <v>37</v>
      </c>
      <c r="F138" s="31">
        <v>14</v>
      </c>
      <c r="G138" s="31">
        <v>10</v>
      </c>
      <c r="H138" s="31"/>
      <c r="I138" s="18">
        <v>70</v>
      </c>
      <c r="J138" s="36">
        <v>80</v>
      </c>
      <c r="K138" s="31" t="s">
        <v>424</v>
      </c>
      <c r="L138" s="18">
        <v>9800</v>
      </c>
      <c r="M138" s="18">
        <v>560</v>
      </c>
      <c r="N138" s="18" t="s">
        <v>386</v>
      </c>
      <c r="O138" s="18" t="s">
        <v>425</v>
      </c>
      <c r="P138" s="18"/>
      <c r="Q138" s="18"/>
      <c r="T138" s="7">
        <v>1104263</v>
      </c>
      <c r="U138" s="34">
        <v>52</v>
      </c>
      <c r="V138" s="35" t="s">
        <v>426</v>
      </c>
    </row>
    <row r="139" customHeight="1" spans="1:22">
      <c r="A139" s="31">
        <v>1104015</v>
      </c>
      <c r="B139" s="31">
        <v>1104</v>
      </c>
      <c r="C139" s="31" t="s">
        <v>382</v>
      </c>
      <c r="D139" s="31" t="s">
        <v>383</v>
      </c>
      <c r="E139" s="31">
        <v>37</v>
      </c>
      <c r="F139" s="31">
        <v>15</v>
      </c>
      <c r="G139" s="31">
        <v>10</v>
      </c>
      <c r="H139" s="31"/>
      <c r="I139" s="18">
        <v>75</v>
      </c>
      <c r="J139" s="36">
        <v>86</v>
      </c>
      <c r="K139" s="31" t="s">
        <v>427</v>
      </c>
      <c r="L139" s="18">
        <v>10500</v>
      </c>
      <c r="M139" s="18">
        <v>600</v>
      </c>
      <c r="N139" s="18" t="s">
        <v>386</v>
      </c>
      <c r="P139" s="18">
        <v>30</v>
      </c>
      <c r="Q139" s="18"/>
      <c r="T139" s="7">
        <v>1104264</v>
      </c>
      <c r="U139" s="34">
        <v>56</v>
      </c>
      <c r="V139" s="35" t="s">
        <v>428</v>
      </c>
    </row>
    <row r="140" customHeight="1" spans="1:22">
      <c r="A140" s="31">
        <v>1104016</v>
      </c>
      <c r="B140" s="31">
        <v>1104</v>
      </c>
      <c r="C140" s="31" t="s">
        <v>382</v>
      </c>
      <c r="D140" s="31" t="s">
        <v>383</v>
      </c>
      <c r="E140" s="31">
        <v>37</v>
      </c>
      <c r="F140" s="31">
        <v>16</v>
      </c>
      <c r="G140" s="31">
        <v>10</v>
      </c>
      <c r="H140" s="31"/>
      <c r="I140" s="18">
        <v>80</v>
      </c>
      <c r="J140" s="36">
        <v>92</v>
      </c>
      <c r="K140" s="31" t="s">
        <v>429</v>
      </c>
      <c r="L140" s="18">
        <v>11200</v>
      </c>
      <c r="M140" s="18">
        <v>640</v>
      </c>
      <c r="N140" s="18" t="s">
        <v>386</v>
      </c>
      <c r="O140" s="18" t="s">
        <v>430</v>
      </c>
      <c r="P140" s="18"/>
      <c r="Q140" s="18"/>
      <c r="T140" s="7">
        <v>1104268</v>
      </c>
      <c r="U140" s="34">
        <v>60</v>
      </c>
      <c r="V140" s="35" t="s">
        <v>431</v>
      </c>
    </row>
    <row r="141" customHeight="1" spans="1:22">
      <c r="A141" s="31">
        <v>1104017</v>
      </c>
      <c r="B141" s="31">
        <v>1104</v>
      </c>
      <c r="C141" s="31" t="s">
        <v>382</v>
      </c>
      <c r="D141" s="31" t="s">
        <v>383</v>
      </c>
      <c r="E141" s="31">
        <v>39</v>
      </c>
      <c r="F141" s="31">
        <v>17</v>
      </c>
      <c r="G141" s="31">
        <v>10</v>
      </c>
      <c r="H141" s="31"/>
      <c r="I141" s="18">
        <v>85</v>
      </c>
      <c r="J141" s="36">
        <v>98</v>
      </c>
      <c r="K141" s="31" t="s">
        <v>432</v>
      </c>
      <c r="L141" s="18">
        <v>11900</v>
      </c>
      <c r="M141" s="18">
        <v>680</v>
      </c>
      <c r="N141" s="18" t="s">
        <v>386</v>
      </c>
      <c r="O141" s="18"/>
      <c r="P141" s="18"/>
      <c r="Q141" s="18"/>
      <c r="U141" s="34">
        <v>64</v>
      </c>
      <c r="V141" s="35" t="s">
        <v>433</v>
      </c>
    </row>
    <row r="142" customHeight="1" spans="1:22">
      <c r="A142" s="31">
        <v>1104018</v>
      </c>
      <c r="B142" s="31">
        <v>1104</v>
      </c>
      <c r="C142" s="31" t="s">
        <v>382</v>
      </c>
      <c r="D142" s="31" t="s">
        <v>383</v>
      </c>
      <c r="E142" s="31">
        <v>39</v>
      </c>
      <c r="F142" s="31">
        <v>18</v>
      </c>
      <c r="G142" s="31">
        <v>10</v>
      </c>
      <c r="H142" s="31"/>
      <c r="I142" s="18">
        <v>90</v>
      </c>
      <c r="J142" s="36">
        <v>105</v>
      </c>
      <c r="K142" s="31" t="s">
        <v>434</v>
      </c>
      <c r="L142" s="18">
        <v>12600</v>
      </c>
      <c r="M142" s="18">
        <v>720</v>
      </c>
      <c r="N142" s="18" t="s">
        <v>386</v>
      </c>
      <c r="O142" s="18" t="s">
        <v>435</v>
      </c>
      <c r="P142" s="18"/>
      <c r="Q142" s="18"/>
      <c r="U142" s="34">
        <v>68</v>
      </c>
      <c r="V142" s="35" t="s">
        <v>436</v>
      </c>
    </row>
    <row r="143" customHeight="1" spans="1:22">
      <c r="A143" s="31">
        <v>1104019</v>
      </c>
      <c r="B143" s="31">
        <v>1104</v>
      </c>
      <c r="C143" s="31" t="s">
        <v>382</v>
      </c>
      <c r="D143" s="31" t="s">
        <v>383</v>
      </c>
      <c r="E143" s="31">
        <v>39</v>
      </c>
      <c r="F143" s="31">
        <v>19</v>
      </c>
      <c r="G143" s="31">
        <v>10</v>
      </c>
      <c r="H143" s="31"/>
      <c r="I143" s="18">
        <v>95</v>
      </c>
      <c r="J143" s="36">
        <v>111</v>
      </c>
      <c r="K143" s="31" t="s">
        <v>437</v>
      </c>
      <c r="L143" s="18">
        <v>13300</v>
      </c>
      <c r="M143" s="18">
        <v>760</v>
      </c>
      <c r="N143" s="18" t="s">
        <v>386</v>
      </c>
      <c r="O143" s="18"/>
      <c r="P143" s="18"/>
      <c r="Q143" s="18"/>
      <c r="U143" s="34">
        <v>72</v>
      </c>
      <c r="V143" s="12" t="s">
        <v>438</v>
      </c>
    </row>
    <row r="144" customHeight="1" spans="1:22">
      <c r="A144" s="31">
        <v>1104020</v>
      </c>
      <c r="B144" s="31">
        <v>1104</v>
      </c>
      <c r="C144" s="31" t="s">
        <v>382</v>
      </c>
      <c r="D144" s="31" t="s">
        <v>383</v>
      </c>
      <c r="E144" s="31">
        <v>39</v>
      </c>
      <c r="F144" s="31">
        <v>20</v>
      </c>
      <c r="G144" s="31">
        <v>10</v>
      </c>
      <c r="H144" s="31"/>
      <c r="I144" s="18">
        <v>100</v>
      </c>
      <c r="J144" s="36">
        <v>117</v>
      </c>
      <c r="K144" s="31" t="s">
        <v>439</v>
      </c>
      <c r="L144" s="18">
        <v>14000</v>
      </c>
      <c r="M144" s="18">
        <v>800</v>
      </c>
      <c r="N144" s="18" t="s">
        <v>386</v>
      </c>
      <c r="P144" s="18">
        <v>40</v>
      </c>
      <c r="Q144" s="18"/>
      <c r="U144" s="34">
        <v>76</v>
      </c>
      <c r="V144" s="35" t="s">
        <v>440</v>
      </c>
    </row>
    <row r="145" s="14" customFormat="1" customHeight="1" spans="1:22">
      <c r="A145" s="37">
        <v>1103001</v>
      </c>
      <c r="B145" s="37">
        <v>1103</v>
      </c>
      <c r="C145" s="37" t="s">
        <v>441</v>
      </c>
      <c r="D145" s="37" t="s">
        <v>442</v>
      </c>
      <c r="E145" s="31">
        <v>36</v>
      </c>
      <c r="F145" s="37">
        <v>1</v>
      </c>
      <c r="G145" s="37">
        <v>6</v>
      </c>
      <c r="H145" s="37" t="s">
        <v>443</v>
      </c>
      <c r="I145" s="18">
        <v>5</v>
      </c>
      <c r="J145" s="37">
        <v>9</v>
      </c>
      <c r="K145" s="37" t="s">
        <v>444</v>
      </c>
      <c r="L145" s="38">
        <v>800</v>
      </c>
      <c r="M145" s="18">
        <v>45</v>
      </c>
      <c r="N145" s="18" t="s">
        <v>445</v>
      </c>
      <c r="O145" s="38"/>
      <c r="P145" s="38"/>
      <c r="Q145" s="38"/>
      <c r="R145" s="39" t="s">
        <v>446</v>
      </c>
      <c r="S145" s="39" t="s">
        <v>447</v>
      </c>
      <c r="T145" s="8" t="s">
        <v>448</v>
      </c>
      <c r="U145" s="40">
        <v>2</v>
      </c>
      <c r="V145" s="35" t="s">
        <v>449</v>
      </c>
    </row>
    <row r="146" s="14" customFormat="1" customHeight="1" spans="1:22">
      <c r="A146" s="37">
        <v>1103002</v>
      </c>
      <c r="B146" s="37">
        <v>1103</v>
      </c>
      <c r="C146" s="37" t="s">
        <v>441</v>
      </c>
      <c r="D146" s="37" t="s">
        <v>442</v>
      </c>
      <c r="E146" s="31">
        <v>36</v>
      </c>
      <c r="F146" s="37">
        <v>2</v>
      </c>
      <c r="G146" s="37">
        <v>8</v>
      </c>
      <c r="H146" s="37" t="s">
        <v>450</v>
      </c>
      <c r="I146" s="18">
        <v>10</v>
      </c>
      <c r="J146" s="37">
        <v>17</v>
      </c>
      <c r="K146" s="37" t="s">
        <v>451</v>
      </c>
      <c r="L146" s="38">
        <v>1600</v>
      </c>
      <c r="M146" s="18">
        <v>90</v>
      </c>
      <c r="N146" s="18" t="s">
        <v>445</v>
      </c>
      <c r="O146" s="38"/>
      <c r="P146" s="38"/>
      <c r="Q146" s="38"/>
      <c r="R146" s="39" t="s">
        <v>452</v>
      </c>
      <c r="S146" s="39" t="s">
        <v>453</v>
      </c>
      <c r="T146" s="8">
        <v>1103263</v>
      </c>
      <c r="U146" s="40">
        <v>4</v>
      </c>
      <c r="V146" s="35" t="s">
        <v>454</v>
      </c>
    </row>
    <row r="147" s="14" customFormat="1" customHeight="1" spans="1:22">
      <c r="A147" s="37">
        <v>1103003</v>
      </c>
      <c r="B147" s="37">
        <v>1103</v>
      </c>
      <c r="C147" s="37" t="s">
        <v>441</v>
      </c>
      <c r="D147" s="37" t="s">
        <v>442</v>
      </c>
      <c r="E147" s="31">
        <v>36</v>
      </c>
      <c r="F147" s="37">
        <v>3</v>
      </c>
      <c r="G147" s="37">
        <v>10</v>
      </c>
      <c r="H147" s="37" t="s">
        <v>455</v>
      </c>
      <c r="I147" s="18">
        <v>15</v>
      </c>
      <c r="J147" s="37">
        <v>26</v>
      </c>
      <c r="K147" s="37" t="s">
        <v>456</v>
      </c>
      <c r="L147" s="38">
        <v>2400</v>
      </c>
      <c r="M147" s="18">
        <v>135</v>
      </c>
      <c r="N147" s="18" t="s">
        <v>445</v>
      </c>
      <c r="O147" s="38"/>
      <c r="P147" s="38"/>
      <c r="Q147" s="38"/>
      <c r="R147" s="39" t="s">
        <v>457</v>
      </c>
      <c r="S147" s="39" t="s">
        <v>458</v>
      </c>
      <c r="T147" s="8">
        <v>1103256</v>
      </c>
      <c r="U147" s="40">
        <v>8</v>
      </c>
      <c r="V147" s="35" t="s">
        <v>459</v>
      </c>
    </row>
    <row r="148" s="14" customFormat="1" customHeight="1" spans="1:22">
      <c r="A148" s="37">
        <v>1103004</v>
      </c>
      <c r="B148" s="37">
        <v>1103</v>
      </c>
      <c r="C148" s="37" t="s">
        <v>441</v>
      </c>
      <c r="D148" s="37" t="s">
        <v>442</v>
      </c>
      <c r="E148" s="31">
        <v>36</v>
      </c>
      <c r="F148" s="37">
        <v>4</v>
      </c>
      <c r="G148" s="37">
        <v>10</v>
      </c>
      <c r="H148" s="37">
        <v>1103411</v>
      </c>
      <c r="I148" s="18">
        <v>20</v>
      </c>
      <c r="J148" s="37">
        <v>34</v>
      </c>
      <c r="K148" s="37" t="s">
        <v>460</v>
      </c>
      <c r="L148" s="38">
        <v>3200</v>
      </c>
      <c r="M148" s="18">
        <v>180</v>
      </c>
      <c r="N148" s="18" t="s">
        <v>445</v>
      </c>
      <c r="O148" s="38" t="s">
        <v>461</v>
      </c>
      <c r="P148" s="38"/>
      <c r="Q148" s="38"/>
      <c r="R148" s="39"/>
      <c r="S148" s="39"/>
      <c r="T148" s="8">
        <v>1103257</v>
      </c>
      <c r="U148" s="40">
        <v>12</v>
      </c>
      <c r="V148" s="35" t="s">
        <v>462</v>
      </c>
    </row>
    <row r="149" s="14" customFormat="1" customHeight="1" spans="1:22">
      <c r="A149" s="37">
        <v>1103005</v>
      </c>
      <c r="B149" s="37">
        <v>1103</v>
      </c>
      <c r="C149" s="37" t="s">
        <v>441</v>
      </c>
      <c r="D149" s="37" t="s">
        <v>442</v>
      </c>
      <c r="E149" s="31">
        <v>38</v>
      </c>
      <c r="F149" s="37">
        <v>5</v>
      </c>
      <c r="G149" s="37">
        <v>10</v>
      </c>
      <c r="H149" s="37">
        <v>1103412</v>
      </c>
      <c r="I149" s="18">
        <v>25</v>
      </c>
      <c r="J149" s="37">
        <v>42</v>
      </c>
      <c r="K149" s="37" t="s">
        <v>463</v>
      </c>
      <c r="L149" s="38">
        <v>4000</v>
      </c>
      <c r="M149" s="18">
        <v>225</v>
      </c>
      <c r="N149" s="18" t="s">
        <v>445</v>
      </c>
      <c r="P149" s="38">
        <v>10</v>
      </c>
      <c r="Q149" s="38"/>
      <c r="R149" s="39"/>
      <c r="S149" s="39"/>
      <c r="T149" s="8">
        <v>1103262</v>
      </c>
      <c r="U149" s="40">
        <v>16</v>
      </c>
      <c r="V149" s="35" t="s">
        <v>464</v>
      </c>
    </row>
    <row r="150" s="14" customFormat="1" customHeight="1" spans="1:22">
      <c r="A150" s="37">
        <v>1103006</v>
      </c>
      <c r="B150" s="37">
        <v>1103</v>
      </c>
      <c r="C150" s="37" t="s">
        <v>441</v>
      </c>
      <c r="D150" s="37" t="s">
        <v>442</v>
      </c>
      <c r="E150" s="31">
        <v>38</v>
      </c>
      <c r="F150" s="37">
        <v>6</v>
      </c>
      <c r="G150" s="37">
        <v>10</v>
      </c>
      <c r="H150" s="37">
        <v>1103413</v>
      </c>
      <c r="I150" s="18">
        <v>30</v>
      </c>
      <c r="J150" s="37">
        <v>51</v>
      </c>
      <c r="K150" s="37" t="s">
        <v>465</v>
      </c>
      <c r="L150" s="38">
        <v>4800</v>
      </c>
      <c r="M150" s="18">
        <v>270</v>
      </c>
      <c r="N150" s="18" t="s">
        <v>445</v>
      </c>
      <c r="O150" s="38"/>
      <c r="P150" s="38"/>
      <c r="Q150" s="38"/>
      <c r="R150" s="39"/>
      <c r="S150" s="39"/>
      <c r="T150" s="8">
        <v>1103251</v>
      </c>
      <c r="U150" s="40">
        <v>20</v>
      </c>
      <c r="V150" s="35" t="s">
        <v>466</v>
      </c>
    </row>
    <row r="151" s="14" customFormat="1" customHeight="1" spans="1:22">
      <c r="A151" s="37">
        <v>1103007</v>
      </c>
      <c r="B151" s="37">
        <v>1103</v>
      </c>
      <c r="C151" s="37" t="s">
        <v>441</v>
      </c>
      <c r="D151" s="37" t="s">
        <v>442</v>
      </c>
      <c r="E151" s="31">
        <v>38</v>
      </c>
      <c r="F151" s="37">
        <v>7</v>
      </c>
      <c r="G151" s="37">
        <v>10</v>
      </c>
      <c r="H151" s="37">
        <v>1103414</v>
      </c>
      <c r="I151" s="18">
        <v>35</v>
      </c>
      <c r="J151" s="37">
        <v>59</v>
      </c>
      <c r="K151" s="37" t="s">
        <v>467</v>
      </c>
      <c r="L151" s="38">
        <v>5600</v>
      </c>
      <c r="M151" s="18">
        <v>315</v>
      </c>
      <c r="N151" s="18" t="s">
        <v>445</v>
      </c>
      <c r="O151" s="38"/>
      <c r="P151" s="38"/>
      <c r="Q151" s="38"/>
      <c r="R151" s="39"/>
      <c r="S151" s="39"/>
      <c r="T151" s="8">
        <v>1103252</v>
      </c>
      <c r="U151" s="40">
        <v>24</v>
      </c>
      <c r="V151" s="35" t="s">
        <v>468</v>
      </c>
    </row>
    <row r="152" s="14" customFormat="1" customHeight="1" spans="1:22">
      <c r="A152" s="37">
        <v>1103008</v>
      </c>
      <c r="B152" s="37">
        <v>1103</v>
      </c>
      <c r="C152" s="37" t="s">
        <v>441</v>
      </c>
      <c r="D152" s="37" t="s">
        <v>442</v>
      </c>
      <c r="E152" s="31">
        <v>38</v>
      </c>
      <c r="F152" s="37">
        <v>8</v>
      </c>
      <c r="G152" s="37">
        <v>10</v>
      </c>
      <c r="H152" s="37">
        <v>1103415</v>
      </c>
      <c r="I152" s="18">
        <v>40</v>
      </c>
      <c r="J152" s="37">
        <v>67</v>
      </c>
      <c r="K152" s="37" t="s">
        <v>469</v>
      </c>
      <c r="L152" s="38">
        <v>6400</v>
      </c>
      <c r="M152" s="18">
        <v>360</v>
      </c>
      <c r="N152" s="18" t="s">
        <v>445</v>
      </c>
      <c r="O152" s="38" t="s">
        <v>470</v>
      </c>
      <c r="P152" s="38"/>
      <c r="Q152" s="38"/>
      <c r="R152" s="39"/>
      <c r="S152" s="39"/>
      <c r="T152" s="8">
        <v>1103253</v>
      </c>
      <c r="U152" s="40">
        <v>28</v>
      </c>
      <c r="V152" s="35" t="s">
        <v>471</v>
      </c>
    </row>
    <row r="153" s="14" customFormat="1" customHeight="1" spans="1:22">
      <c r="A153" s="37">
        <v>1103009</v>
      </c>
      <c r="B153" s="37">
        <v>1103</v>
      </c>
      <c r="C153" s="37" t="s">
        <v>441</v>
      </c>
      <c r="D153" s="37" t="s">
        <v>442</v>
      </c>
      <c r="E153" s="31">
        <v>40</v>
      </c>
      <c r="F153" s="37">
        <v>9</v>
      </c>
      <c r="G153" s="37">
        <v>10</v>
      </c>
      <c r="H153" s="37"/>
      <c r="I153" s="18">
        <v>45</v>
      </c>
      <c r="J153" s="37">
        <v>75</v>
      </c>
      <c r="K153" s="37" t="s">
        <v>472</v>
      </c>
      <c r="L153" s="38">
        <v>7200</v>
      </c>
      <c r="M153" s="18">
        <v>405</v>
      </c>
      <c r="N153" s="18" t="s">
        <v>445</v>
      </c>
      <c r="O153" s="38"/>
      <c r="P153" s="38"/>
      <c r="Q153" s="38"/>
      <c r="R153" s="39"/>
      <c r="S153" s="39"/>
      <c r="T153" s="8">
        <v>1103273</v>
      </c>
      <c r="U153" s="40">
        <v>32</v>
      </c>
      <c r="V153" s="35" t="s">
        <v>473</v>
      </c>
    </row>
    <row r="154" s="14" customFormat="1" customHeight="1" spans="1:22">
      <c r="A154" s="37">
        <v>1103010</v>
      </c>
      <c r="B154" s="37">
        <v>1103</v>
      </c>
      <c r="C154" s="37" t="s">
        <v>441</v>
      </c>
      <c r="D154" s="37" t="s">
        <v>442</v>
      </c>
      <c r="E154" s="31">
        <v>40</v>
      </c>
      <c r="F154" s="37">
        <v>10</v>
      </c>
      <c r="G154" s="37">
        <v>10</v>
      </c>
      <c r="H154" s="37"/>
      <c r="I154" s="18">
        <v>50</v>
      </c>
      <c r="J154" s="37">
        <v>84</v>
      </c>
      <c r="K154" s="37" t="s">
        <v>474</v>
      </c>
      <c r="L154" s="38">
        <v>8000</v>
      </c>
      <c r="M154" s="18">
        <v>450</v>
      </c>
      <c r="N154" s="18" t="s">
        <v>445</v>
      </c>
      <c r="P154" s="38">
        <v>20</v>
      </c>
      <c r="Q154" s="38"/>
      <c r="R154" s="39"/>
      <c r="S154" s="39"/>
      <c r="T154" s="8">
        <v>1103274</v>
      </c>
      <c r="U154" s="40">
        <v>36</v>
      </c>
      <c r="V154" s="35" t="s">
        <v>475</v>
      </c>
    </row>
    <row r="155" s="15" customFormat="1" customHeight="1" spans="1:22">
      <c r="A155" s="37">
        <v>1103011</v>
      </c>
      <c r="B155" s="37">
        <v>1103</v>
      </c>
      <c r="C155" s="37" t="s">
        <v>441</v>
      </c>
      <c r="D155" s="37" t="s">
        <v>442</v>
      </c>
      <c r="E155" s="31">
        <v>40</v>
      </c>
      <c r="F155" s="37">
        <v>11</v>
      </c>
      <c r="G155" s="37">
        <v>10</v>
      </c>
      <c r="H155" s="37"/>
      <c r="I155" s="18">
        <v>55</v>
      </c>
      <c r="J155" s="37">
        <v>88</v>
      </c>
      <c r="K155" s="37" t="s">
        <v>476</v>
      </c>
      <c r="L155" s="38">
        <v>8800</v>
      </c>
      <c r="M155" s="18">
        <v>495</v>
      </c>
      <c r="N155" s="18" t="s">
        <v>445</v>
      </c>
      <c r="O155" s="38" t="s">
        <v>477</v>
      </c>
      <c r="P155" s="38"/>
      <c r="Q155" s="38"/>
      <c r="R155" s="39"/>
      <c r="S155" s="39"/>
      <c r="T155" s="8">
        <v>1103275</v>
      </c>
      <c r="U155" s="40">
        <v>40</v>
      </c>
      <c r="V155" s="35" t="s">
        <v>478</v>
      </c>
    </row>
    <row r="156" s="15" customFormat="1" customHeight="1" spans="1:22">
      <c r="A156" s="37">
        <v>1103012</v>
      </c>
      <c r="B156" s="37">
        <v>1103</v>
      </c>
      <c r="C156" s="37" t="s">
        <v>441</v>
      </c>
      <c r="D156" s="37" t="s">
        <v>442</v>
      </c>
      <c r="E156" s="31">
        <v>40</v>
      </c>
      <c r="F156" s="37">
        <v>12</v>
      </c>
      <c r="G156" s="37">
        <v>10</v>
      </c>
      <c r="H156" s="37"/>
      <c r="I156" s="18">
        <v>60</v>
      </c>
      <c r="J156" s="37">
        <v>91</v>
      </c>
      <c r="K156" s="37" t="s">
        <v>479</v>
      </c>
      <c r="L156" s="38">
        <v>9600</v>
      </c>
      <c r="M156" s="18">
        <v>540</v>
      </c>
      <c r="N156" s="18" t="s">
        <v>445</v>
      </c>
      <c r="O156" s="38"/>
      <c r="P156" s="38"/>
      <c r="Q156" s="38"/>
      <c r="R156" s="39"/>
      <c r="S156" s="39"/>
      <c r="T156" s="8">
        <v>1103268</v>
      </c>
      <c r="U156" s="40">
        <v>44</v>
      </c>
      <c r="V156" s="35" t="s">
        <v>480</v>
      </c>
    </row>
    <row r="157" s="15" customFormat="1" customHeight="1" spans="1:22">
      <c r="A157" s="37">
        <v>1103013</v>
      </c>
      <c r="B157" s="37">
        <v>1103</v>
      </c>
      <c r="C157" s="37" t="s">
        <v>441</v>
      </c>
      <c r="D157" s="37" t="s">
        <v>442</v>
      </c>
      <c r="E157" s="31">
        <v>42</v>
      </c>
      <c r="F157" s="37">
        <v>13</v>
      </c>
      <c r="G157" s="37">
        <v>10</v>
      </c>
      <c r="H157" s="37"/>
      <c r="I157" s="18">
        <v>65</v>
      </c>
      <c r="J157" s="37">
        <v>94</v>
      </c>
      <c r="K157" s="37" t="s">
        <v>481</v>
      </c>
      <c r="L157" s="38">
        <v>10400</v>
      </c>
      <c r="M157" s="18">
        <v>585</v>
      </c>
      <c r="N157" s="18" t="s">
        <v>445</v>
      </c>
      <c r="O157" s="38"/>
      <c r="P157" s="38"/>
      <c r="Q157" s="38"/>
      <c r="R157" s="39"/>
      <c r="S157" s="39"/>
      <c r="T157" s="8">
        <v>1103270</v>
      </c>
      <c r="U157" s="40">
        <v>48</v>
      </c>
      <c r="V157" s="35" t="s">
        <v>482</v>
      </c>
    </row>
    <row r="158" s="15" customFormat="1" customHeight="1" spans="1:22">
      <c r="A158" s="37">
        <v>1103014</v>
      </c>
      <c r="B158" s="37">
        <v>1103</v>
      </c>
      <c r="C158" s="37" t="s">
        <v>441</v>
      </c>
      <c r="D158" s="37" t="s">
        <v>442</v>
      </c>
      <c r="E158" s="31">
        <v>42</v>
      </c>
      <c r="F158" s="37">
        <v>14</v>
      </c>
      <c r="G158" s="37">
        <v>10</v>
      </c>
      <c r="H158" s="37"/>
      <c r="I158" s="18">
        <v>70</v>
      </c>
      <c r="J158" s="37">
        <v>97</v>
      </c>
      <c r="K158" s="37" t="s">
        <v>483</v>
      </c>
      <c r="L158" s="38">
        <v>11200</v>
      </c>
      <c r="M158" s="18">
        <v>630</v>
      </c>
      <c r="N158" s="18" t="s">
        <v>445</v>
      </c>
      <c r="O158" s="38" t="s">
        <v>484</v>
      </c>
      <c r="P158" s="38"/>
      <c r="Q158" s="38"/>
      <c r="R158" s="39"/>
      <c r="S158" s="39"/>
      <c r="T158" s="8">
        <v>1103265</v>
      </c>
      <c r="U158" s="40">
        <v>52</v>
      </c>
      <c r="V158" s="35" t="s">
        <v>485</v>
      </c>
    </row>
    <row r="159" s="15" customFormat="1" customHeight="1" spans="1:22">
      <c r="A159" s="37">
        <v>1103015</v>
      </c>
      <c r="B159" s="37">
        <v>1103</v>
      </c>
      <c r="C159" s="37" t="s">
        <v>441</v>
      </c>
      <c r="D159" s="37" t="s">
        <v>442</v>
      </c>
      <c r="E159" s="31">
        <v>42</v>
      </c>
      <c r="F159" s="37">
        <v>15</v>
      </c>
      <c r="G159" s="37">
        <v>10</v>
      </c>
      <c r="H159" s="37"/>
      <c r="I159" s="18">
        <v>75</v>
      </c>
      <c r="J159" s="37">
        <v>100</v>
      </c>
      <c r="K159" s="37" t="s">
        <v>486</v>
      </c>
      <c r="L159" s="38">
        <v>12000</v>
      </c>
      <c r="M159" s="18">
        <v>675</v>
      </c>
      <c r="N159" s="18" t="s">
        <v>445</v>
      </c>
      <c r="P159" s="38">
        <v>30</v>
      </c>
      <c r="Q159" s="38"/>
      <c r="R159" s="39"/>
      <c r="S159" s="39"/>
      <c r="T159" s="8">
        <v>1103266</v>
      </c>
      <c r="U159" s="40">
        <v>56</v>
      </c>
      <c r="V159" s="35" t="s">
        <v>487</v>
      </c>
    </row>
    <row r="160" s="15" customFormat="1" customHeight="1" spans="1:22">
      <c r="A160" s="37">
        <v>1103016</v>
      </c>
      <c r="B160" s="37">
        <v>1103</v>
      </c>
      <c r="C160" s="37" t="s">
        <v>441</v>
      </c>
      <c r="D160" s="37" t="s">
        <v>442</v>
      </c>
      <c r="E160" s="31">
        <v>42</v>
      </c>
      <c r="F160" s="37">
        <v>16</v>
      </c>
      <c r="G160" s="37">
        <v>10</v>
      </c>
      <c r="H160" s="37"/>
      <c r="I160" s="18">
        <v>80</v>
      </c>
      <c r="J160" s="37">
        <v>103</v>
      </c>
      <c r="K160" s="37" t="s">
        <v>488</v>
      </c>
      <c r="L160" s="38">
        <v>12800</v>
      </c>
      <c r="M160" s="18">
        <v>720</v>
      </c>
      <c r="N160" s="18" t="s">
        <v>445</v>
      </c>
      <c r="O160" s="38" t="s">
        <v>489</v>
      </c>
      <c r="P160" s="38"/>
      <c r="Q160" s="38"/>
      <c r="R160" s="39"/>
      <c r="S160" s="39"/>
      <c r="T160" s="8">
        <v>1103267</v>
      </c>
      <c r="U160" s="40">
        <v>60</v>
      </c>
      <c r="V160" s="35" t="s">
        <v>490</v>
      </c>
    </row>
    <row r="161" s="15" customFormat="1" customHeight="1" spans="1:22">
      <c r="A161" s="37">
        <v>1103017</v>
      </c>
      <c r="B161" s="37">
        <v>1103</v>
      </c>
      <c r="C161" s="37" t="s">
        <v>441</v>
      </c>
      <c r="D161" s="37" t="s">
        <v>442</v>
      </c>
      <c r="E161" s="31">
        <v>44</v>
      </c>
      <c r="F161" s="37">
        <v>17</v>
      </c>
      <c r="G161" s="37">
        <v>10</v>
      </c>
      <c r="H161" s="37"/>
      <c r="I161" s="18">
        <v>85</v>
      </c>
      <c r="J161" s="37">
        <v>106</v>
      </c>
      <c r="K161" s="37" t="s">
        <v>491</v>
      </c>
      <c r="L161" s="38">
        <v>13600</v>
      </c>
      <c r="M161" s="18">
        <v>765</v>
      </c>
      <c r="N161" s="18" t="s">
        <v>445</v>
      </c>
      <c r="O161" s="38"/>
      <c r="P161" s="38"/>
      <c r="Q161" s="38"/>
      <c r="R161" s="39"/>
      <c r="S161" s="39"/>
      <c r="T161" s="8">
        <v>1103271</v>
      </c>
      <c r="U161" s="40">
        <v>64</v>
      </c>
      <c r="V161" s="35" t="s">
        <v>492</v>
      </c>
    </row>
    <row r="162" s="15" customFormat="1" customHeight="1" spans="1:22">
      <c r="A162" s="37">
        <v>1103018</v>
      </c>
      <c r="B162" s="37">
        <v>1103</v>
      </c>
      <c r="C162" s="37" t="s">
        <v>441</v>
      </c>
      <c r="D162" s="37" t="s">
        <v>442</v>
      </c>
      <c r="E162" s="31">
        <v>44</v>
      </c>
      <c r="F162" s="37">
        <v>18</v>
      </c>
      <c r="G162" s="37">
        <v>10</v>
      </c>
      <c r="H162" s="37"/>
      <c r="I162" s="18">
        <v>90</v>
      </c>
      <c r="J162" s="37">
        <v>109</v>
      </c>
      <c r="K162" s="37" t="s">
        <v>493</v>
      </c>
      <c r="L162" s="38">
        <v>14400</v>
      </c>
      <c r="M162" s="18">
        <v>810</v>
      </c>
      <c r="N162" s="18" t="s">
        <v>445</v>
      </c>
      <c r="O162" s="38" t="s">
        <v>494</v>
      </c>
      <c r="P162" s="38"/>
      <c r="Q162" s="38"/>
      <c r="R162" s="39"/>
      <c r="S162" s="39"/>
      <c r="U162" s="40">
        <v>68</v>
      </c>
      <c r="V162" s="35" t="s">
        <v>495</v>
      </c>
    </row>
    <row r="163" s="15" customFormat="1" customHeight="1" spans="1:22">
      <c r="A163" s="37">
        <v>1103019</v>
      </c>
      <c r="B163" s="37">
        <v>1103</v>
      </c>
      <c r="C163" s="37" t="s">
        <v>441</v>
      </c>
      <c r="D163" s="37" t="s">
        <v>442</v>
      </c>
      <c r="E163" s="31">
        <v>44</v>
      </c>
      <c r="F163" s="37">
        <v>19</v>
      </c>
      <c r="G163" s="37">
        <v>10</v>
      </c>
      <c r="H163" s="37"/>
      <c r="I163" s="18">
        <v>95</v>
      </c>
      <c r="J163" s="37">
        <v>112</v>
      </c>
      <c r="K163" s="37" t="s">
        <v>496</v>
      </c>
      <c r="L163" s="38">
        <v>15200</v>
      </c>
      <c r="M163" s="18">
        <v>855</v>
      </c>
      <c r="N163" s="18" t="s">
        <v>445</v>
      </c>
      <c r="O163" s="38"/>
      <c r="P163" s="38"/>
      <c r="Q163" s="38"/>
      <c r="R163" s="39"/>
      <c r="S163" s="39"/>
      <c r="U163" s="40">
        <v>72</v>
      </c>
      <c r="V163" s="35" t="s">
        <v>497</v>
      </c>
    </row>
    <row r="164" s="15" customFormat="1" customHeight="1" spans="1:22">
      <c r="A164" s="37">
        <v>1103020</v>
      </c>
      <c r="B164" s="37">
        <v>1103</v>
      </c>
      <c r="C164" s="37" t="s">
        <v>441</v>
      </c>
      <c r="D164" s="37" t="s">
        <v>442</v>
      </c>
      <c r="E164" s="31">
        <v>44</v>
      </c>
      <c r="F164" s="37">
        <v>20</v>
      </c>
      <c r="G164" s="37">
        <v>10</v>
      </c>
      <c r="H164" s="37"/>
      <c r="I164" s="18">
        <v>100</v>
      </c>
      <c r="J164" s="37">
        <v>115</v>
      </c>
      <c r="K164" s="37" t="s">
        <v>498</v>
      </c>
      <c r="L164" s="38">
        <v>16000</v>
      </c>
      <c r="M164" s="18">
        <v>900</v>
      </c>
      <c r="N164" s="18" t="s">
        <v>445</v>
      </c>
      <c r="P164" s="38">
        <v>40</v>
      </c>
      <c r="Q164" s="38"/>
      <c r="R164" s="39"/>
      <c r="S164" s="39"/>
      <c r="U164" s="40">
        <v>76</v>
      </c>
      <c r="V164" s="35" t="s">
        <v>499</v>
      </c>
    </row>
    <row r="165" s="14" customFormat="1" customHeight="1" spans="1:22">
      <c r="A165" s="37">
        <v>1109001</v>
      </c>
      <c r="B165" s="37">
        <v>1109</v>
      </c>
      <c r="C165" s="37" t="s">
        <v>500</v>
      </c>
      <c r="D165" s="37" t="s">
        <v>501</v>
      </c>
      <c r="E165" s="31">
        <v>41</v>
      </c>
      <c r="F165" s="37">
        <v>1</v>
      </c>
      <c r="G165" s="37">
        <v>5</v>
      </c>
      <c r="H165" s="37" t="s">
        <v>502</v>
      </c>
      <c r="I165" s="18">
        <v>5</v>
      </c>
      <c r="J165" s="37">
        <v>6</v>
      </c>
      <c r="K165" s="37" t="s">
        <v>503</v>
      </c>
      <c r="L165" s="38">
        <v>900</v>
      </c>
      <c r="M165" s="18">
        <v>50</v>
      </c>
      <c r="N165" s="18" t="s">
        <v>504</v>
      </c>
      <c r="O165" s="38"/>
      <c r="P165" s="38"/>
      <c r="Q165" s="38"/>
      <c r="R165" s="8" t="s">
        <v>505</v>
      </c>
      <c r="S165" s="8" t="s">
        <v>506</v>
      </c>
      <c r="T165" s="8" t="s">
        <v>507</v>
      </c>
      <c r="U165" s="40">
        <v>2</v>
      </c>
      <c r="V165" s="41" t="s">
        <v>508</v>
      </c>
    </row>
    <row r="166" s="14" customFormat="1" customHeight="1" spans="1:22">
      <c r="A166" s="37">
        <v>1109002</v>
      </c>
      <c r="B166" s="37">
        <v>1109</v>
      </c>
      <c r="C166" s="37" t="s">
        <v>500</v>
      </c>
      <c r="D166" s="37" t="s">
        <v>501</v>
      </c>
      <c r="E166" s="31">
        <v>41</v>
      </c>
      <c r="F166" s="37">
        <v>2</v>
      </c>
      <c r="G166" s="37">
        <v>8</v>
      </c>
      <c r="H166" s="37" t="s">
        <v>509</v>
      </c>
      <c r="I166" s="18">
        <v>10</v>
      </c>
      <c r="J166" s="37">
        <v>12</v>
      </c>
      <c r="K166" s="37" t="s">
        <v>510</v>
      </c>
      <c r="L166" s="38">
        <v>1800</v>
      </c>
      <c r="M166" s="18">
        <v>100</v>
      </c>
      <c r="N166" s="18" t="s">
        <v>504</v>
      </c>
      <c r="O166" s="38"/>
      <c r="P166" s="38"/>
      <c r="Q166" s="38"/>
      <c r="R166" s="8" t="s">
        <v>511</v>
      </c>
      <c r="S166" s="8" t="s">
        <v>512</v>
      </c>
      <c r="T166" s="8">
        <v>1109263</v>
      </c>
      <c r="U166" s="40">
        <v>4</v>
      </c>
      <c r="V166" s="41" t="s">
        <v>513</v>
      </c>
    </row>
    <row r="167" s="14" customFormat="1" customHeight="1" spans="1:22">
      <c r="A167" s="37">
        <v>1109003</v>
      </c>
      <c r="B167" s="37">
        <v>1109</v>
      </c>
      <c r="C167" s="37" t="s">
        <v>500</v>
      </c>
      <c r="D167" s="37" t="s">
        <v>501</v>
      </c>
      <c r="E167" s="31">
        <v>41</v>
      </c>
      <c r="F167" s="37">
        <v>3</v>
      </c>
      <c r="G167" s="37">
        <v>10</v>
      </c>
      <c r="H167" s="37" t="s">
        <v>514</v>
      </c>
      <c r="I167" s="18">
        <v>15</v>
      </c>
      <c r="J167" s="37">
        <v>18</v>
      </c>
      <c r="K167" s="37" t="s">
        <v>515</v>
      </c>
      <c r="L167" s="38">
        <v>2700</v>
      </c>
      <c r="M167" s="18">
        <v>150</v>
      </c>
      <c r="N167" s="18" t="s">
        <v>504</v>
      </c>
      <c r="O167" s="38"/>
      <c r="P167" s="38"/>
      <c r="Q167" s="38"/>
      <c r="R167" s="8" t="s">
        <v>516</v>
      </c>
      <c r="S167" s="8" t="s">
        <v>517</v>
      </c>
      <c r="T167" s="8">
        <v>1109255</v>
      </c>
      <c r="U167" s="40">
        <v>8</v>
      </c>
      <c r="V167" s="41" t="s">
        <v>518</v>
      </c>
    </row>
    <row r="168" s="14" customFormat="1" customHeight="1" spans="1:22">
      <c r="A168" s="37">
        <v>1109004</v>
      </c>
      <c r="B168" s="37">
        <v>1109</v>
      </c>
      <c r="C168" s="37" t="s">
        <v>500</v>
      </c>
      <c r="D168" s="37" t="s">
        <v>501</v>
      </c>
      <c r="E168" s="31">
        <v>41</v>
      </c>
      <c r="F168" s="37">
        <v>4</v>
      </c>
      <c r="G168" s="37">
        <v>10</v>
      </c>
      <c r="H168" s="37">
        <v>1109411</v>
      </c>
      <c r="I168" s="18">
        <v>20</v>
      </c>
      <c r="J168" s="37">
        <v>25</v>
      </c>
      <c r="K168" s="37" t="s">
        <v>519</v>
      </c>
      <c r="L168" s="38">
        <v>3600</v>
      </c>
      <c r="M168" s="18">
        <v>200</v>
      </c>
      <c r="N168" s="18" t="s">
        <v>504</v>
      </c>
      <c r="O168" s="38" t="s">
        <v>520</v>
      </c>
      <c r="P168" s="38"/>
      <c r="Q168" s="38"/>
      <c r="R168" s="39"/>
      <c r="S168" s="39"/>
      <c r="T168" s="8">
        <v>1109264</v>
      </c>
      <c r="U168" s="40">
        <v>12</v>
      </c>
      <c r="V168" s="41" t="s">
        <v>521</v>
      </c>
    </row>
    <row r="169" s="14" customFormat="1" customHeight="1" spans="1:22">
      <c r="A169" s="37">
        <v>1109005</v>
      </c>
      <c r="B169" s="37">
        <v>1109</v>
      </c>
      <c r="C169" s="37" t="s">
        <v>500</v>
      </c>
      <c r="D169" s="37" t="s">
        <v>501</v>
      </c>
      <c r="E169" s="31">
        <v>43</v>
      </c>
      <c r="F169" s="37">
        <v>5</v>
      </c>
      <c r="G169" s="37">
        <v>10</v>
      </c>
      <c r="H169" s="37">
        <v>1109412</v>
      </c>
      <c r="I169" s="18">
        <v>25</v>
      </c>
      <c r="J169" s="37">
        <v>31</v>
      </c>
      <c r="K169" s="37" t="s">
        <v>522</v>
      </c>
      <c r="L169" s="38">
        <v>4500</v>
      </c>
      <c r="M169" s="18">
        <v>250</v>
      </c>
      <c r="N169" s="18" t="s">
        <v>504</v>
      </c>
      <c r="P169" s="38">
        <v>10</v>
      </c>
      <c r="Q169" s="38"/>
      <c r="T169" s="8">
        <v>1109253</v>
      </c>
      <c r="U169" s="40">
        <v>16</v>
      </c>
      <c r="V169" s="41" t="s">
        <v>523</v>
      </c>
    </row>
    <row r="170" s="14" customFormat="1" customHeight="1" spans="1:22">
      <c r="A170" s="37">
        <v>1109006</v>
      </c>
      <c r="B170" s="37">
        <v>1109</v>
      </c>
      <c r="C170" s="37" t="s">
        <v>500</v>
      </c>
      <c r="D170" s="37" t="s">
        <v>501</v>
      </c>
      <c r="E170" s="31">
        <v>43</v>
      </c>
      <c r="F170" s="37">
        <v>6</v>
      </c>
      <c r="G170" s="37">
        <v>10</v>
      </c>
      <c r="H170" s="37">
        <v>1109413</v>
      </c>
      <c r="I170" s="18">
        <v>30</v>
      </c>
      <c r="J170" s="37">
        <v>37</v>
      </c>
      <c r="K170" s="37" t="s">
        <v>524</v>
      </c>
      <c r="L170" s="38">
        <v>5400</v>
      </c>
      <c r="M170" s="18">
        <v>300</v>
      </c>
      <c r="N170" s="18" t="s">
        <v>504</v>
      </c>
      <c r="O170" s="38"/>
      <c r="P170" s="38"/>
      <c r="Q170" s="38"/>
      <c r="R170" s="39"/>
      <c r="S170" s="39"/>
      <c r="T170" s="8">
        <v>1109254</v>
      </c>
      <c r="U170" s="40">
        <v>20</v>
      </c>
      <c r="V170" s="41" t="s">
        <v>525</v>
      </c>
    </row>
    <row r="171" s="14" customFormat="1" customHeight="1" spans="1:22">
      <c r="A171" s="37">
        <v>1109007</v>
      </c>
      <c r="B171" s="37">
        <v>1109</v>
      </c>
      <c r="C171" s="37" t="s">
        <v>500</v>
      </c>
      <c r="D171" s="37" t="s">
        <v>501</v>
      </c>
      <c r="E171" s="31">
        <v>43</v>
      </c>
      <c r="F171" s="37">
        <v>7</v>
      </c>
      <c r="G171" s="37">
        <v>10</v>
      </c>
      <c r="H171" s="37">
        <v>1109414</v>
      </c>
      <c r="I171" s="18">
        <v>35</v>
      </c>
      <c r="J171" s="37">
        <v>43</v>
      </c>
      <c r="K171" s="37" t="s">
        <v>526</v>
      </c>
      <c r="L171" s="38">
        <v>6300</v>
      </c>
      <c r="M171" s="18">
        <v>350</v>
      </c>
      <c r="N171" s="18" t="s">
        <v>504</v>
      </c>
      <c r="O171" s="38"/>
      <c r="P171" s="38"/>
      <c r="Q171" s="38"/>
      <c r="R171" s="39"/>
      <c r="S171" s="39"/>
      <c r="T171" s="8">
        <v>1109257</v>
      </c>
      <c r="U171" s="40">
        <v>24</v>
      </c>
      <c r="V171" s="41" t="s">
        <v>527</v>
      </c>
    </row>
    <row r="172" s="14" customFormat="1" customHeight="1" spans="1:22">
      <c r="A172" s="37">
        <v>1109008</v>
      </c>
      <c r="B172" s="37">
        <v>1109</v>
      </c>
      <c r="C172" s="37" t="s">
        <v>500</v>
      </c>
      <c r="D172" s="37" t="s">
        <v>501</v>
      </c>
      <c r="E172" s="31">
        <v>43</v>
      </c>
      <c r="F172" s="37">
        <v>8</v>
      </c>
      <c r="G172" s="37">
        <v>10</v>
      </c>
      <c r="H172" s="37">
        <v>1109415</v>
      </c>
      <c r="I172" s="18">
        <v>40</v>
      </c>
      <c r="J172" s="37">
        <v>50</v>
      </c>
      <c r="K172" s="37" t="s">
        <v>528</v>
      </c>
      <c r="L172" s="38">
        <v>7200</v>
      </c>
      <c r="M172" s="18">
        <v>400</v>
      </c>
      <c r="N172" s="18" t="s">
        <v>504</v>
      </c>
      <c r="O172" s="38" t="s">
        <v>529</v>
      </c>
      <c r="P172" s="38"/>
      <c r="Q172" s="38"/>
      <c r="R172" s="39"/>
      <c r="S172" s="39"/>
      <c r="T172" s="8">
        <v>1109256</v>
      </c>
      <c r="U172" s="40">
        <v>28</v>
      </c>
      <c r="V172" s="41" t="s">
        <v>530</v>
      </c>
    </row>
    <row r="173" s="14" customFormat="1" customHeight="1" spans="1:22">
      <c r="A173" s="37">
        <v>1109009</v>
      </c>
      <c r="B173" s="37">
        <v>1109</v>
      </c>
      <c r="C173" s="37" t="s">
        <v>500</v>
      </c>
      <c r="D173" s="37" t="s">
        <v>501</v>
      </c>
      <c r="E173" s="31">
        <v>45</v>
      </c>
      <c r="F173" s="37">
        <v>9</v>
      </c>
      <c r="G173" s="37">
        <v>10</v>
      </c>
      <c r="H173" s="37"/>
      <c r="I173" s="18">
        <v>45</v>
      </c>
      <c r="J173" s="37">
        <v>56</v>
      </c>
      <c r="K173" s="37" t="s">
        <v>531</v>
      </c>
      <c r="L173" s="38">
        <v>8100</v>
      </c>
      <c r="M173" s="18">
        <v>450</v>
      </c>
      <c r="N173" s="18" t="s">
        <v>504</v>
      </c>
      <c r="O173" s="38"/>
      <c r="P173" s="38"/>
      <c r="Q173" s="38"/>
      <c r="R173" s="39"/>
      <c r="S173" s="39"/>
      <c r="T173" s="8">
        <v>1109258</v>
      </c>
      <c r="U173" s="40">
        <v>32</v>
      </c>
      <c r="V173" s="41" t="s">
        <v>532</v>
      </c>
    </row>
    <row r="174" s="14" customFormat="1" customHeight="1" spans="1:22">
      <c r="A174" s="37">
        <v>1109010</v>
      </c>
      <c r="B174" s="37">
        <v>1109</v>
      </c>
      <c r="C174" s="37" t="s">
        <v>500</v>
      </c>
      <c r="D174" s="37" t="s">
        <v>501</v>
      </c>
      <c r="E174" s="31">
        <v>45</v>
      </c>
      <c r="F174" s="37">
        <v>10</v>
      </c>
      <c r="G174" s="37">
        <v>10</v>
      </c>
      <c r="H174" s="37"/>
      <c r="I174" s="18">
        <v>50</v>
      </c>
      <c r="J174" s="37">
        <v>62</v>
      </c>
      <c r="K174" s="37" t="s">
        <v>533</v>
      </c>
      <c r="L174" s="38">
        <v>9000</v>
      </c>
      <c r="M174" s="18">
        <v>500</v>
      </c>
      <c r="N174" s="18" t="s">
        <v>504</v>
      </c>
      <c r="P174" s="38">
        <v>20</v>
      </c>
      <c r="Q174" s="38"/>
      <c r="R174" s="39"/>
      <c r="S174" s="39"/>
      <c r="T174" s="8">
        <v>1109259</v>
      </c>
      <c r="U174" s="40">
        <v>36</v>
      </c>
      <c r="V174" s="41" t="s">
        <v>534</v>
      </c>
    </row>
    <row r="175" s="15" customFormat="1" customHeight="1" spans="1:22">
      <c r="A175" s="37">
        <v>1109011</v>
      </c>
      <c r="B175" s="37">
        <v>1109</v>
      </c>
      <c r="C175" s="37" t="s">
        <v>500</v>
      </c>
      <c r="D175" s="37" t="s">
        <v>501</v>
      </c>
      <c r="E175" s="31">
        <v>45</v>
      </c>
      <c r="F175" s="37">
        <v>11</v>
      </c>
      <c r="G175" s="37">
        <v>10</v>
      </c>
      <c r="H175" s="37"/>
      <c r="I175" s="18">
        <v>55</v>
      </c>
      <c r="J175" s="37">
        <v>70</v>
      </c>
      <c r="K175" s="37" t="s">
        <v>535</v>
      </c>
      <c r="L175" s="38">
        <v>9900</v>
      </c>
      <c r="M175" s="18">
        <v>550</v>
      </c>
      <c r="N175" s="18" t="s">
        <v>504</v>
      </c>
      <c r="O175" s="38" t="s">
        <v>536</v>
      </c>
      <c r="P175" s="38"/>
      <c r="Q175" s="38"/>
      <c r="R175" s="39"/>
      <c r="S175" s="39"/>
      <c r="T175" s="8">
        <v>1109260</v>
      </c>
      <c r="U175" s="40">
        <v>40</v>
      </c>
      <c r="V175" s="41" t="s">
        <v>537</v>
      </c>
    </row>
    <row r="176" s="15" customFormat="1" customHeight="1" spans="1:22">
      <c r="A176" s="37">
        <v>1109012</v>
      </c>
      <c r="B176" s="37">
        <v>1109</v>
      </c>
      <c r="C176" s="37" t="s">
        <v>500</v>
      </c>
      <c r="D176" s="37" t="s">
        <v>501</v>
      </c>
      <c r="E176" s="31">
        <v>45</v>
      </c>
      <c r="F176" s="37">
        <v>12</v>
      </c>
      <c r="G176" s="37">
        <v>10</v>
      </c>
      <c r="H176" s="37"/>
      <c r="I176" s="18">
        <v>60</v>
      </c>
      <c r="J176" s="37">
        <v>77</v>
      </c>
      <c r="K176" s="37" t="s">
        <v>538</v>
      </c>
      <c r="L176" s="38">
        <v>10800</v>
      </c>
      <c r="M176" s="18">
        <v>600</v>
      </c>
      <c r="N176" s="18" t="s">
        <v>504</v>
      </c>
      <c r="O176" s="38"/>
      <c r="P176" s="38"/>
      <c r="Q176" s="38"/>
      <c r="R176" s="39"/>
      <c r="S176" s="39"/>
      <c r="T176" s="8"/>
      <c r="U176" s="40">
        <v>44</v>
      </c>
      <c r="V176" s="41" t="s">
        <v>539</v>
      </c>
    </row>
    <row r="177" s="15" customFormat="1" customHeight="1" spans="1:22">
      <c r="A177" s="37">
        <v>1109013</v>
      </c>
      <c r="B177" s="37">
        <v>1109</v>
      </c>
      <c r="C177" s="37" t="s">
        <v>500</v>
      </c>
      <c r="D177" s="37" t="s">
        <v>501</v>
      </c>
      <c r="E177" s="31">
        <v>47</v>
      </c>
      <c r="F177" s="37">
        <v>13</v>
      </c>
      <c r="G177" s="37">
        <v>10</v>
      </c>
      <c r="H177" s="37"/>
      <c r="I177" s="18">
        <v>65</v>
      </c>
      <c r="J177" s="37">
        <v>85</v>
      </c>
      <c r="K177" s="37" t="s">
        <v>540</v>
      </c>
      <c r="L177" s="38">
        <v>11700</v>
      </c>
      <c r="M177" s="18">
        <v>650</v>
      </c>
      <c r="N177" s="18" t="s">
        <v>504</v>
      </c>
      <c r="O177" s="38"/>
      <c r="P177" s="38"/>
      <c r="Q177" s="38"/>
      <c r="R177" s="39"/>
      <c r="S177" s="39"/>
      <c r="T177" s="8">
        <v>1109251</v>
      </c>
      <c r="U177" s="40">
        <v>48</v>
      </c>
      <c r="V177" s="41" t="s">
        <v>541</v>
      </c>
    </row>
    <row r="178" s="15" customFormat="1" customHeight="1" spans="1:22">
      <c r="A178" s="37">
        <v>1109014</v>
      </c>
      <c r="B178" s="37">
        <v>1109</v>
      </c>
      <c r="C178" s="37" t="s">
        <v>500</v>
      </c>
      <c r="D178" s="37" t="s">
        <v>501</v>
      </c>
      <c r="E178" s="31">
        <v>47</v>
      </c>
      <c r="F178" s="37">
        <v>14</v>
      </c>
      <c r="G178" s="37">
        <v>10</v>
      </c>
      <c r="H178" s="37"/>
      <c r="I178" s="18">
        <v>70</v>
      </c>
      <c r="J178" s="37">
        <v>93</v>
      </c>
      <c r="K178" s="37" t="s">
        <v>542</v>
      </c>
      <c r="L178" s="38">
        <v>12600</v>
      </c>
      <c r="M178" s="18">
        <v>700</v>
      </c>
      <c r="N178" s="18" t="s">
        <v>504</v>
      </c>
      <c r="O178" s="38" t="s">
        <v>543</v>
      </c>
      <c r="P178" s="38"/>
      <c r="Q178" s="38"/>
      <c r="R178" s="39"/>
      <c r="S178" s="39"/>
      <c r="T178" s="8">
        <v>1109265</v>
      </c>
      <c r="U178" s="40">
        <v>52</v>
      </c>
      <c r="V178" s="41" t="s">
        <v>544</v>
      </c>
    </row>
    <row r="179" s="15" customFormat="1" customHeight="1" spans="1:22">
      <c r="A179" s="37">
        <v>1109015</v>
      </c>
      <c r="B179" s="37">
        <v>1109</v>
      </c>
      <c r="C179" s="37" t="s">
        <v>500</v>
      </c>
      <c r="D179" s="37" t="s">
        <v>501</v>
      </c>
      <c r="E179" s="31">
        <v>47</v>
      </c>
      <c r="F179" s="37">
        <v>15</v>
      </c>
      <c r="G179" s="37">
        <v>10</v>
      </c>
      <c r="H179" s="37"/>
      <c r="I179" s="18">
        <v>75</v>
      </c>
      <c r="J179" s="37">
        <v>101</v>
      </c>
      <c r="K179" s="37" t="s">
        <v>545</v>
      </c>
      <c r="L179" s="38">
        <v>13500</v>
      </c>
      <c r="M179" s="18">
        <v>750</v>
      </c>
      <c r="N179" s="18" t="s">
        <v>504</v>
      </c>
      <c r="P179" s="38">
        <v>30</v>
      </c>
      <c r="Q179" s="38"/>
      <c r="R179" s="39"/>
      <c r="S179" s="39"/>
      <c r="T179" s="8">
        <v>1109266</v>
      </c>
      <c r="U179" s="40">
        <v>56</v>
      </c>
      <c r="V179" s="41" t="s">
        <v>546</v>
      </c>
    </row>
    <row r="180" s="15" customFormat="1" customHeight="1" spans="1:22">
      <c r="A180" s="37">
        <v>1109016</v>
      </c>
      <c r="B180" s="37">
        <v>1109</v>
      </c>
      <c r="C180" s="37" t="s">
        <v>500</v>
      </c>
      <c r="D180" s="37" t="s">
        <v>501</v>
      </c>
      <c r="E180" s="31">
        <v>47</v>
      </c>
      <c r="F180" s="37">
        <v>16</v>
      </c>
      <c r="G180" s="37">
        <v>10</v>
      </c>
      <c r="H180" s="37"/>
      <c r="I180" s="18">
        <v>80</v>
      </c>
      <c r="J180" s="37">
        <v>109</v>
      </c>
      <c r="K180" s="37" t="s">
        <v>547</v>
      </c>
      <c r="L180" s="38">
        <v>14400</v>
      </c>
      <c r="M180" s="18">
        <v>800</v>
      </c>
      <c r="N180" s="18" t="s">
        <v>504</v>
      </c>
      <c r="O180" s="38" t="s">
        <v>548</v>
      </c>
      <c r="P180" s="38"/>
      <c r="Q180" s="38"/>
      <c r="R180" s="39"/>
      <c r="S180" s="39"/>
      <c r="T180" s="8">
        <v>1109267</v>
      </c>
      <c r="U180" s="40">
        <v>60</v>
      </c>
      <c r="V180" s="41" t="s">
        <v>549</v>
      </c>
    </row>
    <row r="181" s="15" customFormat="1" customHeight="1" spans="1:22">
      <c r="A181" s="37">
        <v>1109017</v>
      </c>
      <c r="B181" s="37">
        <v>1109</v>
      </c>
      <c r="C181" s="37" t="s">
        <v>500</v>
      </c>
      <c r="D181" s="37" t="s">
        <v>501</v>
      </c>
      <c r="E181" s="31">
        <v>49</v>
      </c>
      <c r="F181" s="37">
        <v>17</v>
      </c>
      <c r="G181" s="37">
        <v>10</v>
      </c>
      <c r="H181" s="37"/>
      <c r="I181" s="18">
        <v>85</v>
      </c>
      <c r="J181" s="37">
        <v>117</v>
      </c>
      <c r="K181" s="37" t="s">
        <v>550</v>
      </c>
      <c r="L181" s="38">
        <v>15300</v>
      </c>
      <c r="M181" s="18">
        <v>850</v>
      </c>
      <c r="N181" s="18" t="s">
        <v>504</v>
      </c>
      <c r="O181" s="38"/>
      <c r="P181" s="38"/>
      <c r="Q181" s="38"/>
      <c r="R181" s="39"/>
      <c r="S181" s="39"/>
      <c r="T181" s="9"/>
      <c r="U181" s="40">
        <v>64</v>
      </c>
      <c r="V181" s="41" t="s">
        <v>551</v>
      </c>
    </row>
    <row r="182" s="15" customFormat="1" customHeight="1" spans="1:22">
      <c r="A182" s="37">
        <v>1109018</v>
      </c>
      <c r="B182" s="37">
        <v>1109</v>
      </c>
      <c r="C182" s="37" t="s">
        <v>500</v>
      </c>
      <c r="D182" s="37" t="s">
        <v>501</v>
      </c>
      <c r="E182" s="31">
        <v>49</v>
      </c>
      <c r="F182" s="37">
        <v>18</v>
      </c>
      <c r="G182" s="37">
        <v>10</v>
      </c>
      <c r="H182" s="37"/>
      <c r="I182" s="18">
        <v>90</v>
      </c>
      <c r="J182" s="37">
        <v>126</v>
      </c>
      <c r="K182" s="37" t="s">
        <v>552</v>
      </c>
      <c r="L182" s="38">
        <v>16200</v>
      </c>
      <c r="M182" s="18">
        <v>900</v>
      </c>
      <c r="N182" s="18" t="s">
        <v>504</v>
      </c>
      <c r="O182" s="38" t="s">
        <v>553</v>
      </c>
      <c r="P182" s="38"/>
      <c r="Q182" s="38"/>
      <c r="R182" s="39"/>
      <c r="S182" s="39"/>
      <c r="T182" s="9"/>
      <c r="U182" s="40">
        <v>68</v>
      </c>
      <c r="V182" s="41" t="s">
        <v>554</v>
      </c>
    </row>
    <row r="183" s="15" customFormat="1" customHeight="1" spans="1:22">
      <c r="A183" s="37">
        <v>1109019</v>
      </c>
      <c r="B183" s="37">
        <v>1109</v>
      </c>
      <c r="C183" s="37" t="s">
        <v>500</v>
      </c>
      <c r="D183" s="37" t="s">
        <v>501</v>
      </c>
      <c r="E183" s="31">
        <v>49</v>
      </c>
      <c r="F183" s="37">
        <v>19</v>
      </c>
      <c r="G183" s="37">
        <v>10</v>
      </c>
      <c r="H183" s="37"/>
      <c r="I183" s="18">
        <v>95</v>
      </c>
      <c r="J183" s="37">
        <v>134</v>
      </c>
      <c r="K183" s="37" t="s">
        <v>555</v>
      </c>
      <c r="L183" s="38">
        <v>17100</v>
      </c>
      <c r="M183" s="18">
        <v>950</v>
      </c>
      <c r="N183" s="18" t="s">
        <v>504</v>
      </c>
      <c r="O183" s="38"/>
      <c r="P183" s="38"/>
      <c r="Q183" s="38"/>
      <c r="R183" s="39"/>
      <c r="S183" s="39"/>
      <c r="T183" s="8"/>
      <c r="U183" s="40">
        <v>72</v>
      </c>
      <c r="V183" s="41" t="s">
        <v>556</v>
      </c>
    </row>
    <row r="184" s="15" customFormat="1" customHeight="1" spans="1:22">
      <c r="A184" s="37">
        <v>1109020</v>
      </c>
      <c r="B184" s="37">
        <v>1109</v>
      </c>
      <c r="C184" s="37" t="s">
        <v>500</v>
      </c>
      <c r="D184" s="37" t="s">
        <v>501</v>
      </c>
      <c r="E184" s="31">
        <v>49</v>
      </c>
      <c r="F184" s="37">
        <v>20</v>
      </c>
      <c r="G184" s="37">
        <v>10</v>
      </c>
      <c r="H184" s="37"/>
      <c r="I184" s="18">
        <v>100</v>
      </c>
      <c r="J184" s="37">
        <v>143</v>
      </c>
      <c r="K184" s="37" t="s">
        <v>557</v>
      </c>
      <c r="L184" s="38">
        <v>18000</v>
      </c>
      <c r="M184" s="18">
        <v>1000</v>
      </c>
      <c r="N184" s="18" t="s">
        <v>504</v>
      </c>
      <c r="P184" s="38">
        <v>40</v>
      </c>
      <c r="Q184" s="38"/>
      <c r="R184" s="39"/>
      <c r="S184" s="39"/>
      <c r="T184" s="8"/>
      <c r="U184" s="40">
        <v>76</v>
      </c>
      <c r="V184" s="41" t="s">
        <v>558</v>
      </c>
    </row>
    <row r="185" customHeight="1" spans="1:22">
      <c r="A185" s="31">
        <v>1108001</v>
      </c>
      <c r="B185" s="31">
        <v>1108</v>
      </c>
      <c r="C185" s="31" t="s">
        <v>559</v>
      </c>
      <c r="D185" s="31" t="s">
        <v>560</v>
      </c>
      <c r="E185" s="31">
        <v>46</v>
      </c>
      <c r="F185" s="31">
        <v>1</v>
      </c>
      <c r="G185" s="31">
        <v>5</v>
      </c>
      <c r="H185" s="31" t="s">
        <v>561</v>
      </c>
      <c r="I185" s="18">
        <v>5</v>
      </c>
      <c r="J185" s="36">
        <v>8</v>
      </c>
      <c r="K185" s="31" t="s">
        <v>562</v>
      </c>
      <c r="L185" s="18">
        <v>1000</v>
      </c>
      <c r="M185" s="18">
        <v>55</v>
      </c>
      <c r="N185" s="18" t="s">
        <v>563</v>
      </c>
      <c r="O185" s="18"/>
      <c r="P185" s="18"/>
      <c r="Q185" s="18"/>
      <c r="R185" s="19" t="s">
        <v>564</v>
      </c>
      <c r="S185" s="19" t="s">
        <v>565</v>
      </c>
      <c r="T185" s="7" t="s">
        <v>566</v>
      </c>
      <c r="U185" s="34">
        <v>2</v>
      </c>
      <c r="V185" s="35" t="s">
        <v>567</v>
      </c>
    </row>
    <row r="186" customHeight="1" spans="1:22">
      <c r="A186" s="31">
        <v>1108002</v>
      </c>
      <c r="B186" s="31">
        <v>1108</v>
      </c>
      <c r="C186" s="31" t="s">
        <v>559</v>
      </c>
      <c r="D186" s="31" t="s">
        <v>560</v>
      </c>
      <c r="E186" s="31">
        <v>46</v>
      </c>
      <c r="F186" s="31">
        <v>2</v>
      </c>
      <c r="G186" s="31">
        <v>8</v>
      </c>
      <c r="H186" s="31" t="s">
        <v>568</v>
      </c>
      <c r="I186" s="18">
        <v>10</v>
      </c>
      <c r="J186" s="36">
        <v>15</v>
      </c>
      <c r="K186" s="31" t="s">
        <v>569</v>
      </c>
      <c r="L186" s="18">
        <v>2000</v>
      </c>
      <c r="M186" s="18">
        <v>110</v>
      </c>
      <c r="N186" s="18" t="s">
        <v>563</v>
      </c>
      <c r="O186" s="18"/>
      <c r="P186" s="18"/>
      <c r="Q186" s="18"/>
      <c r="R186" s="19" t="s">
        <v>570</v>
      </c>
      <c r="S186" s="19" t="s">
        <v>571</v>
      </c>
      <c r="T186" s="7">
        <v>1108263</v>
      </c>
      <c r="U186" s="34">
        <v>4</v>
      </c>
      <c r="V186" s="35" t="s">
        <v>572</v>
      </c>
    </row>
    <row r="187" customHeight="1" spans="1:22">
      <c r="A187" s="31">
        <v>1108003</v>
      </c>
      <c r="B187" s="31">
        <v>1108</v>
      </c>
      <c r="C187" s="31" t="s">
        <v>559</v>
      </c>
      <c r="D187" s="31" t="s">
        <v>560</v>
      </c>
      <c r="E187" s="31">
        <v>46</v>
      </c>
      <c r="F187" s="31">
        <v>3</v>
      </c>
      <c r="G187" s="31">
        <v>10</v>
      </c>
      <c r="H187" s="31" t="s">
        <v>573</v>
      </c>
      <c r="I187" s="18">
        <v>15</v>
      </c>
      <c r="J187" s="36">
        <v>23</v>
      </c>
      <c r="K187" s="31" t="s">
        <v>574</v>
      </c>
      <c r="L187" s="18">
        <v>3000</v>
      </c>
      <c r="M187" s="18">
        <v>165</v>
      </c>
      <c r="N187" s="18" t="s">
        <v>563</v>
      </c>
      <c r="O187" s="18"/>
      <c r="P187" s="18"/>
      <c r="Q187" s="18"/>
      <c r="R187" s="19" t="s">
        <v>575</v>
      </c>
      <c r="S187" s="19" t="s">
        <v>576</v>
      </c>
      <c r="T187" s="7">
        <v>1108255</v>
      </c>
      <c r="U187" s="34">
        <v>8</v>
      </c>
      <c r="V187" s="35" t="s">
        <v>577</v>
      </c>
    </row>
    <row r="188" customHeight="1" spans="1:22">
      <c r="A188" s="31">
        <v>1108004</v>
      </c>
      <c r="B188" s="31">
        <v>1108</v>
      </c>
      <c r="C188" s="31" t="s">
        <v>559</v>
      </c>
      <c r="D188" s="31" t="s">
        <v>560</v>
      </c>
      <c r="E188" s="31">
        <v>46</v>
      </c>
      <c r="F188" s="31">
        <v>4</v>
      </c>
      <c r="G188" s="31">
        <v>10</v>
      </c>
      <c r="H188" s="31">
        <v>1108411</v>
      </c>
      <c r="I188" s="18">
        <v>20</v>
      </c>
      <c r="J188" s="36">
        <v>31</v>
      </c>
      <c r="K188" s="31" t="s">
        <v>578</v>
      </c>
      <c r="L188" s="18">
        <v>4000</v>
      </c>
      <c r="M188" s="18">
        <v>220</v>
      </c>
      <c r="N188" s="18" t="s">
        <v>563</v>
      </c>
      <c r="O188" s="18" t="s">
        <v>579</v>
      </c>
      <c r="P188" s="18"/>
      <c r="Q188" s="18"/>
      <c r="T188" s="7">
        <v>1108264</v>
      </c>
      <c r="U188" s="34">
        <v>12</v>
      </c>
      <c r="V188" s="35" t="s">
        <v>580</v>
      </c>
    </row>
    <row r="189" customHeight="1" spans="1:22">
      <c r="A189" s="31">
        <v>1108005</v>
      </c>
      <c r="B189" s="31">
        <v>1108</v>
      </c>
      <c r="C189" s="31" t="s">
        <v>559</v>
      </c>
      <c r="D189" s="31" t="s">
        <v>560</v>
      </c>
      <c r="E189" s="31">
        <v>48</v>
      </c>
      <c r="F189" s="31">
        <v>5</v>
      </c>
      <c r="G189" s="31">
        <v>10</v>
      </c>
      <c r="H189" s="31">
        <v>1108412</v>
      </c>
      <c r="I189" s="18">
        <v>25</v>
      </c>
      <c r="J189" s="36">
        <v>39</v>
      </c>
      <c r="K189" s="31" t="s">
        <v>581</v>
      </c>
      <c r="L189" s="18">
        <v>5000</v>
      </c>
      <c r="M189" s="18">
        <v>275</v>
      </c>
      <c r="N189" s="18" t="s">
        <v>563</v>
      </c>
      <c r="P189" s="18">
        <v>10</v>
      </c>
      <c r="Q189" s="18"/>
      <c r="T189" s="7">
        <v>1108253</v>
      </c>
      <c r="U189" s="34">
        <v>16</v>
      </c>
      <c r="V189" s="35" t="s">
        <v>582</v>
      </c>
    </row>
    <row r="190" customHeight="1" spans="1:22">
      <c r="A190" s="31">
        <v>1108006</v>
      </c>
      <c r="B190" s="31">
        <v>1108</v>
      </c>
      <c r="C190" s="31" t="s">
        <v>559</v>
      </c>
      <c r="D190" s="31" t="s">
        <v>560</v>
      </c>
      <c r="E190" s="31">
        <v>48</v>
      </c>
      <c r="F190" s="31">
        <v>6</v>
      </c>
      <c r="G190" s="31">
        <v>10</v>
      </c>
      <c r="H190" s="31">
        <v>1108413</v>
      </c>
      <c r="I190" s="18">
        <v>30</v>
      </c>
      <c r="J190" s="36">
        <v>47</v>
      </c>
      <c r="K190" s="31" t="s">
        <v>583</v>
      </c>
      <c r="L190" s="18">
        <v>6000</v>
      </c>
      <c r="M190" s="18">
        <v>330</v>
      </c>
      <c r="N190" s="18" t="s">
        <v>563</v>
      </c>
      <c r="O190" s="18"/>
      <c r="P190" s="18"/>
      <c r="Q190" s="18"/>
      <c r="T190" s="7">
        <v>1108254</v>
      </c>
      <c r="U190" s="34">
        <v>20</v>
      </c>
      <c r="V190" s="35" t="s">
        <v>584</v>
      </c>
    </row>
    <row r="191" customHeight="1" spans="1:22">
      <c r="A191" s="31">
        <v>1108007</v>
      </c>
      <c r="B191" s="31">
        <v>1108</v>
      </c>
      <c r="C191" s="31" t="s">
        <v>559</v>
      </c>
      <c r="D191" s="31" t="s">
        <v>560</v>
      </c>
      <c r="E191" s="31">
        <v>48</v>
      </c>
      <c r="F191" s="31">
        <v>7</v>
      </c>
      <c r="G191" s="31">
        <v>10</v>
      </c>
      <c r="H191" s="31">
        <v>1108414</v>
      </c>
      <c r="I191" s="18">
        <v>35</v>
      </c>
      <c r="J191" s="36">
        <v>55</v>
      </c>
      <c r="K191" s="31" t="s">
        <v>585</v>
      </c>
      <c r="L191" s="18">
        <v>7000</v>
      </c>
      <c r="M191" s="18">
        <v>385</v>
      </c>
      <c r="N191" s="18" t="s">
        <v>563</v>
      </c>
      <c r="O191" s="18"/>
      <c r="P191" s="18"/>
      <c r="Q191" s="18"/>
      <c r="T191" s="7">
        <v>1108257</v>
      </c>
      <c r="U191" s="34">
        <v>24</v>
      </c>
      <c r="V191" s="35" t="s">
        <v>586</v>
      </c>
    </row>
    <row r="192" customHeight="1" spans="1:22">
      <c r="A192" s="31">
        <v>1108008</v>
      </c>
      <c r="B192" s="31">
        <v>1108</v>
      </c>
      <c r="C192" s="31" t="s">
        <v>559</v>
      </c>
      <c r="D192" s="31" t="s">
        <v>560</v>
      </c>
      <c r="E192" s="31">
        <v>48</v>
      </c>
      <c r="F192" s="31">
        <v>8</v>
      </c>
      <c r="G192" s="31">
        <v>10</v>
      </c>
      <c r="H192" s="31">
        <v>1108415</v>
      </c>
      <c r="I192" s="18">
        <v>40</v>
      </c>
      <c r="J192" s="36">
        <v>64</v>
      </c>
      <c r="K192" s="31" t="s">
        <v>587</v>
      </c>
      <c r="L192" s="18">
        <v>8000</v>
      </c>
      <c r="M192" s="18">
        <v>440</v>
      </c>
      <c r="N192" s="18" t="s">
        <v>563</v>
      </c>
      <c r="O192" s="18" t="s">
        <v>588</v>
      </c>
      <c r="P192" s="18"/>
      <c r="Q192" s="18"/>
      <c r="T192" s="7">
        <v>1108256</v>
      </c>
      <c r="U192" s="34">
        <v>28</v>
      </c>
      <c r="V192" s="35" t="s">
        <v>589</v>
      </c>
    </row>
    <row r="193" customHeight="1" spans="1:22">
      <c r="A193" s="31">
        <v>1108009</v>
      </c>
      <c r="B193" s="31">
        <v>1108</v>
      </c>
      <c r="C193" s="31" t="s">
        <v>559</v>
      </c>
      <c r="D193" s="31" t="s">
        <v>560</v>
      </c>
      <c r="E193" s="31">
        <v>50</v>
      </c>
      <c r="F193" s="31">
        <v>9</v>
      </c>
      <c r="G193" s="31">
        <v>10</v>
      </c>
      <c r="H193" s="31"/>
      <c r="I193" s="18">
        <v>45</v>
      </c>
      <c r="J193" s="36">
        <v>72</v>
      </c>
      <c r="K193" s="31" t="s">
        <v>590</v>
      </c>
      <c r="L193" s="18">
        <v>9000</v>
      </c>
      <c r="M193" s="18">
        <v>495</v>
      </c>
      <c r="N193" s="18" t="s">
        <v>563</v>
      </c>
      <c r="O193" s="18"/>
      <c r="P193" s="18"/>
      <c r="Q193" s="18"/>
      <c r="T193" s="7">
        <v>1108258</v>
      </c>
      <c r="U193" s="34">
        <v>32</v>
      </c>
      <c r="V193" s="35" t="s">
        <v>591</v>
      </c>
    </row>
    <row r="194" customHeight="1" spans="1:22">
      <c r="A194" s="31">
        <v>1108010</v>
      </c>
      <c r="B194" s="31">
        <v>1108</v>
      </c>
      <c r="C194" s="31" t="s">
        <v>559</v>
      </c>
      <c r="D194" s="31" t="s">
        <v>560</v>
      </c>
      <c r="E194" s="31">
        <v>50</v>
      </c>
      <c r="F194" s="31">
        <v>10</v>
      </c>
      <c r="G194" s="31">
        <v>10</v>
      </c>
      <c r="H194" s="31"/>
      <c r="I194" s="18">
        <v>50</v>
      </c>
      <c r="J194" s="36">
        <v>81</v>
      </c>
      <c r="K194" s="31" t="s">
        <v>592</v>
      </c>
      <c r="L194" s="18">
        <v>10000</v>
      </c>
      <c r="M194" s="18">
        <v>550</v>
      </c>
      <c r="N194" s="18" t="s">
        <v>563</v>
      </c>
      <c r="P194" s="18">
        <v>20</v>
      </c>
      <c r="Q194" s="18"/>
      <c r="T194" s="7">
        <v>1108259</v>
      </c>
      <c r="U194" s="34">
        <v>36</v>
      </c>
      <c r="V194" s="35" t="s">
        <v>593</v>
      </c>
    </row>
    <row r="195" customHeight="1" spans="1:22">
      <c r="A195" s="31">
        <v>1108011</v>
      </c>
      <c r="B195" s="31">
        <v>1108</v>
      </c>
      <c r="C195" s="31" t="s">
        <v>559</v>
      </c>
      <c r="D195" s="31" t="s">
        <v>560</v>
      </c>
      <c r="E195" s="31">
        <v>50</v>
      </c>
      <c r="F195" s="31">
        <v>11</v>
      </c>
      <c r="G195" s="31">
        <v>10</v>
      </c>
      <c r="H195" s="31"/>
      <c r="I195" s="18">
        <v>55</v>
      </c>
      <c r="J195" s="36">
        <v>90</v>
      </c>
      <c r="K195" s="31" t="s">
        <v>594</v>
      </c>
      <c r="L195" s="18">
        <v>11000</v>
      </c>
      <c r="M195" s="18">
        <v>605</v>
      </c>
      <c r="N195" s="18" t="s">
        <v>563</v>
      </c>
      <c r="O195" s="18" t="s">
        <v>595</v>
      </c>
      <c r="P195" s="18"/>
      <c r="Q195" s="18"/>
      <c r="T195" s="7">
        <v>1108260</v>
      </c>
      <c r="U195" s="34">
        <v>40</v>
      </c>
      <c r="V195" s="35" t="s">
        <v>596</v>
      </c>
    </row>
    <row r="196" customHeight="1" spans="1:22">
      <c r="A196" s="31">
        <v>1108012</v>
      </c>
      <c r="B196" s="31">
        <v>1108</v>
      </c>
      <c r="C196" s="31" t="s">
        <v>559</v>
      </c>
      <c r="D196" s="31" t="s">
        <v>560</v>
      </c>
      <c r="E196" s="31">
        <v>50</v>
      </c>
      <c r="F196" s="31">
        <v>12</v>
      </c>
      <c r="G196" s="31">
        <v>10</v>
      </c>
      <c r="H196" s="31"/>
      <c r="I196" s="18">
        <v>60</v>
      </c>
      <c r="J196" s="36">
        <v>98</v>
      </c>
      <c r="K196" s="31" t="s">
        <v>597</v>
      </c>
      <c r="L196" s="18">
        <v>12000</v>
      </c>
      <c r="M196" s="18">
        <v>660</v>
      </c>
      <c r="N196" s="18" t="s">
        <v>563</v>
      </c>
      <c r="O196" s="18"/>
      <c r="P196" s="18"/>
      <c r="Q196" s="18"/>
      <c r="U196" s="34">
        <v>44</v>
      </c>
      <c r="V196" s="35" t="s">
        <v>598</v>
      </c>
    </row>
    <row r="197" customHeight="1" spans="1:22">
      <c r="A197" s="31">
        <v>1108013</v>
      </c>
      <c r="B197" s="31">
        <v>1108</v>
      </c>
      <c r="C197" s="31" t="s">
        <v>559</v>
      </c>
      <c r="D197" s="31" t="s">
        <v>560</v>
      </c>
      <c r="E197" s="31">
        <v>52</v>
      </c>
      <c r="F197" s="31">
        <v>13</v>
      </c>
      <c r="G197" s="31">
        <v>10</v>
      </c>
      <c r="H197" s="31"/>
      <c r="I197" s="18">
        <v>65</v>
      </c>
      <c r="J197" s="36">
        <v>107</v>
      </c>
      <c r="K197" s="31" t="s">
        <v>599</v>
      </c>
      <c r="L197" s="18">
        <v>13000</v>
      </c>
      <c r="M197" s="18">
        <v>715</v>
      </c>
      <c r="N197" s="18" t="s">
        <v>563</v>
      </c>
      <c r="O197" s="18"/>
      <c r="P197" s="18"/>
      <c r="Q197" s="18"/>
      <c r="T197" s="7">
        <v>1108251</v>
      </c>
      <c r="U197" s="34">
        <v>48</v>
      </c>
      <c r="V197" s="35" t="s">
        <v>600</v>
      </c>
    </row>
    <row r="198" customHeight="1" spans="1:22">
      <c r="A198" s="31">
        <v>1108014</v>
      </c>
      <c r="B198" s="31">
        <v>1108</v>
      </c>
      <c r="C198" s="31" t="s">
        <v>559</v>
      </c>
      <c r="D198" s="31" t="s">
        <v>560</v>
      </c>
      <c r="E198" s="31">
        <v>52</v>
      </c>
      <c r="F198" s="31">
        <v>14</v>
      </c>
      <c r="G198" s="31">
        <v>10</v>
      </c>
      <c r="H198" s="31"/>
      <c r="I198" s="18">
        <v>70</v>
      </c>
      <c r="J198" s="36">
        <v>115</v>
      </c>
      <c r="K198" s="31" t="s">
        <v>601</v>
      </c>
      <c r="L198" s="18">
        <v>14000</v>
      </c>
      <c r="M198" s="18">
        <v>770</v>
      </c>
      <c r="N198" s="18" t="s">
        <v>563</v>
      </c>
      <c r="O198" s="18" t="s">
        <v>602</v>
      </c>
      <c r="P198" s="18"/>
      <c r="Q198" s="18"/>
      <c r="T198" s="7">
        <v>1108265</v>
      </c>
      <c r="U198" s="34">
        <v>52</v>
      </c>
      <c r="V198" s="35" t="s">
        <v>603</v>
      </c>
    </row>
    <row r="199" customHeight="1" spans="1:22">
      <c r="A199" s="31">
        <v>1108015</v>
      </c>
      <c r="B199" s="31">
        <v>1108</v>
      </c>
      <c r="C199" s="31" t="s">
        <v>559</v>
      </c>
      <c r="D199" s="31" t="s">
        <v>560</v>
      </c>
      <c r="E199" s="31">
        <v>52</v>
      </c>
      <c r="F199" s="31">
        <v>15</v>
      </c>
      <c r="G199" s="31">
        <v>10</v>
      </c>
      <c r="H199" s="31"/>
      <c r="I199" s="18">
        <v>75</v>
      </c>
      <c r="J199" s="36">
        <v>123</v>
      </c>
      <c r="K199" s="31" t="s">
        <v>604</v>
      </c>
      <c r="L199" s="18">
        <v>15000</v>
      </c>
      <c r="M199" s="18">
        <v>825</v>
      </c>
      <c r="N199" s="18" t="s">
        <v>563</v>
      </c>
      <c r="P199" s="18">
        <v>30</v>
      </c>
      <c r="Q199" s="18"/>
      <c r="T199" s="7">
        <v>1108266</v>
      </c>
      <c r="U199" s="34">
        <v>56</v>
      </c>
      <c r="V199" s="35" t="s">
        <v>605</v>
      </c>
    </row>
    <row r="200" customHeight="1" spans="1:22">
      <c r="A200" s="31">
        <v>1108016</v>
      </c>
      <c r="B200" s="31">
        <v>1108</v>
      </c>
      <c r="C200" s="31" t="s">
        <v>559</v>
      </c>
      <c r="D200" s="31" t="s">
        <v>560</v>
      </c>
      <c r="E200" s="31">
        <v>52</v>
      </c>
      <c r="F200" s="31">
        <v>16</v>
      </c>
      <c r="G200" s="31">
        <v>10</v>
      </c>
      <c r="H200" s="31"/>
      <c r="I200" s="18">
        <v>80</v>
      </c>
      <c r="J200" s="36">
        <v>132</v>
      </c>
      <c r="K200" s="31" t="s">
        <v>606</v>
      </c>
      <c r="L200" s="18">
        <v>16000</v>
      </c>
      <c r="M200" s="18">
        <v>880</v>
      </c>
      <c r="N200" s="18" t="s">
        <v>563</v>
      </c>
      <c r="O200" s="18" t="s">
        <v>607</v>
      </c>
      <c r="P200" s="18"/>
      <c r="Q200" s="18"/>
      <c r="T200" s="7">
        <v>1108267</v>
      </c>
      <c r="U200" s="34">
        <v>60</v>
      </c>
      <c r="V200" s="35" t="s">
        <v>608</v>
      </c>
    </row>
    <row r="201" customHeight="1" spans="1:22">
      <c r="A201" s="31">
        <v>1108017</v>
      </c>
      <c r="B201" s="31">
        <v>1108</v>
      </c>
      <c r="C201" s="31" t="s">
        <v>559</v>
      </c>
      <c r="D201" s="31" t="s">
        <v>560</v>
      </c>
      <c r="E201" s="31">
        <v>54</v>
      </c>
      <c r="F201" s="31">
        <v>17</v>
      </c>
      <c r="G201" s="31">
        <v>10</v>
      </c>
      <c r="H201" s="31"/>
      <c r="I201" s="18">
        <v>85</v>
      </c>
      <c r="J201" s="36">
        <v>140</v>
      </c>
      <c r="K201" s="31" t="s">
        <v>609</v>
      </c>
      <c r="L201" s="18">
        <v>17000</v>
      </c>
      <c r="M201" s="18">
        <v>935</v>
      </c>
      <c r="N201" s="18" t="s">
        <v>563</v>
      </c>
      <c r="O201" s="18"/>
      <c r="P201" s="18"/>
      <c r="Q201" s="18"/>
      <c r="U201" s="34">
        <v>64</v>
      </c>
      <c r="V201" s="35" t="s">
        <v>610</v>
      </c>
    </row>
    <row r="202" customHeight="1" spans="1:22">
      <c r="A202" s="31">
        <v>1108018</v>
      </c>
      <c r="B202" s="31">
        <v>1108</v>
      </c>
      <c r="C202" s="31" t="s">
        <v>559</v>
      </c>
      <c r="D202" s="31" t="s">
        <v>560</v>
      </c>
      <c r="E202" s="31">
        <v>54</v>
      </c>
      <c r="F202" s="31">
        <v>18</v>
      </c>
      <c r="G202" s="31">
        <v>10</v>
      </c>
      <c r="H202" s="31"/>
      <c r="I202" s="18">
        <v>90</v>
      </c>
      <c r="J202" s="36">
        <v>148</v>
      </c>
      <c r="K202" s="31" t="s">
        <v>611</v>
      </c>
      <c r="L202" s="18">
        <v>18000</v>
      </c>
      <c r="M202" s="18">
        <v>990</v>
      </c>
      <c r="N202" s="18" t="s">
        <v>563</v>
      </c>
      <c r="O202" s="18" t="s">
        <v>612</v>
      </c>
      <c r="P202" s="18"/>
      <c r="Q202" s="18"/>
      <c r="U202" s="34">
        <v>68</v>
      </c>
      <c r="V202" s="35" t="s">
        <v>613</v>
      </c>
    </row>
    <row r="203" customHeight="1" spans="1:22">
      <c r="A203" s="31">
        <v>1108019</v>
      </c>
      <c r="B203" s="31">
        <v>1108</v>
      </c>
      <c r="C203" s="31" t="s">
        <v>559</v>
      </c>
      <c r="D203" s="31" t="s">
        <v>560</v>
      </c>
      <c r="E203" s="31">
        <v>54</v>
      </c>
      <c r="F203" s="31">
        <v>19</v>
      </c>
      <c r="G203" s="31">
        <v>10</v>
      </c>
      <c r="H203" s="31"/>
      <c r="I203" s="18">
        <v>95</v>
      </c>
      <c r="J203" s="36">
        <v>156</v>
      </c>
      <c r="K203" s="31" t="s">
        <v>614</v>
      </c>
      <c r="L203" s="18">
        <v>19000</v>
      </c>
      <c r="M203" s="18">
        <v>1045</v>
      </c>
      <c r="N203" s="18" t="s">
        <v>563</v>
      </c>
      <c r="O203" s="18"/>
      <c r="P203" s="18"/>
      <c r="Q203" s="18"/>
      <c r="U203" s="34">
        <v>72</v>
      </c>
      <c r="V203" s="35" t="s">
        <v>615</v>
      </c>
    </row>
    <row r="204" customHeight="1" spans="1:22">
      <c r="A204" s="31">
        <v>1108020</v>
      </c>
      <c r="B204" s="31">
        <v>1108</v>
      </c>
      <c r="C204" s="31" t="s">
        <v>559</v>
      </c>
      <c r="D204" s="31" t="s">
        <v>560</v>
      </c>
      <c r="E204" s="31">
        <v>54</v>
      </c>
      <c r="F204" s="31">
        <v>20</v>
      </c>
      <c r="G204" s="31">
        <v>10</v>
      </c>
      <c r="H204" s="31"/>
      <c r="I204" s="18">
        <v>100</v>
      </c>
      <c r="J204" s="36">
        <v>165</v>
      </c>
      <c r="K204" s="31" t="s">
        <v>616</v>
      </c>
      <c r="L204" s="18">
        <v>20000</v>
      </c>
      <c r="M204" s="18">
        <v>1100</v>
      </c>
      <c r="N204" s="18" t="s">
        <v>563</v>
      </c>
      <c r="P204" s="18">
        <v>40</v>
      </c>
      <c r="Q204" s="18"/>
      <c r="U204" s="34">
        <v>76</v>
      </c>
      <c r="V204" s="35" t="s">
        <v>617</v>
      </c>
    </row>
    <row r="205" customHeight="1" spans="1:22">
      <c r="A205" s="31">
        <v>1112001</v>
      </c>
      <c r="B205" s="31">
        <v>1112</v>
      </c>
      <c r="C205" s="31" t="s">
        <v>618</v>
      </c>
      <c r="D205" s="31" t="s">
        <v>619</v>
      </c>
      <c r="E205" s="31">
        <v>51</v>
      </c>
      <c r="F205" s="31">
        <v>1</v>
      </c>
      <c r="G205" s="31">
        <v>5</v>
      </c>
      <c r="H205" s="31" t="s">
        <v>620</v>
      </c>
      <c r="I205" s="18">
        <v>5</v>
      </c>
      <c r="J205" s="36">
        <v>4</v>
      </c>
      <c r="K205" s="31" t="s">
        <v>621</v>
      </c>
      <c r="L205" s="18">
        <v>1100</v>
      </c>
      <c r="M205" s="18">
        <v>60</v>
      </c>
      <c r="N205" s="18" t="s">
        <v>622</v>
      </c>
      <c r="O205" s="18"/>
      <c r="P205" s="18"/>
      <c r="Q205" s="18"/>
      <c r="R205" s="7" t="s">
        <v>623</v>
      </c>
      <c r="S205" s="7" t="s">
        <v>624</v>
      </c>
      <c r="T205" s="7" t="s">
        <v>625</v>
      </c>
      <c r="U205" s="34">
        <v>2</v>
      </c>
      <c r="V205" s="35" t="s">
        <v>626</v>
      </c>
    </row>
    <row r="206" customHeight="1" spans="1:22">
      <c r="A206" s="31">
        <v>1112002</v>
      </c>
      <c r="B206" s="31">
        <v>1112</v>
      </c>
      <c r="C206" s="31" t="s">
        <v>618</v>
      </c>
      <c r="D206" s="31" t="s">
        <v>619</v>
      </c>
      <c r="E206" s="31">
        <v>51</v>
      </c>
      <c r="F206" s="31">
        <v>2</v>
      </c>
      <c r="G206" s="31">
        <v>8</v>
      </c>
      <c r="H206" s="31" t="s">
        <v>627</v>
      </c>
      <c r="I206" s="18">
        <v>10</v>
      </c>
      <c r="J206" s="36">
        <v>7</v>
      </c>
      <c r="K206" s="31" t="s">
        <v>628</v>
      </c>
      <c r="L206" s="18">
        <v>2200</v>
      </c>
      <c r="M206" s="18">
        <v>120</v>
      </c>
      <c r="N206" s="18" t="s">
        <v>622</v>
      </c>
      <c r="O206" s="18"/>
      <c r="P206" s="18"/>
      <c r="Q206" s="18"/>
      <c r="R206" s="7" t="s">
        <v>629</v>
      </c>
      <c r="S206" s="7" t="s">
        <v>630</v>
      </c>
      <c r="T206" s="7">
        <v>1112264</v>
      </c>
      <c r="U206" s="34">
        <v>4</v>
      </c>
      <c r="V206" s="35" t="s">
        <v>631</v>
      </c>
    </row>
    <row r="207" customHeight="1" spans="1:22">
      <c r="A207" s="31">
        <v>1112003</v>
      </c>
      <c r="B207" s="31">
        <v>1112</v>
      </c>
      <c r="C207" s="31" t="s">
        <v>618</v>
      </c>
      <c r="D207" s="31" t="s">
        <v>619</v>
      </c>
      <c r="E207" s="31">
        <v>51</v>
      </c>
      <c r="F207" s="31">
        <v>3</v>
      </c>
      <c r="G207" s="31">
        <v>10</v>
      </c>
      <c r="H207" s="31" t="s">
        <v>632</v>
      </c>
      <c r="I207" s="18">
        <v>15</v>
      </c>
      <c r="J207" s="36">
        <v>10</v>
      </c>
      <c r="K207" s="31" t="s">
        <v>633</v>
      </c>
      <c r="L207" s="18">
        <v>3300</v>
      </c>
      <c r="M207" s="18">
        <v>180</v>
      </c>
      <c r="N207" s="18" t="s">
        <v>622</v>
      </c>
      <c r="O207" s="18"/>
      <c r="P207" s="18"/>
      <c r="Q207" s="18"/>
      <c r="R207" s="7" t="s">
        <v>634</v>
      </c>
      <c r="S207" s="7" t="s">
        <v>635</v>
      </c>
      <c r="T207" s="7">
        <v>1112255</v>
      </c>
      <c r="U207" s="34">
        <v>8</v>
      </c>
      <c r="V207" s="35" t="s">
        <v>636</v>
      </c>
    </row>
    <row r="208" customHeight="1" spans="1:22">
      <c r="A208" s="31">
        <v>1112004</v>
      </c>
      <c r="B208" s="31">
        <v>1112</v>
      </c>
      <c r="C208" s="31" t="s">
        <v>618</v>
      </c>
      <c r="D208" s="31" t="s">
        <v>619</v>
      </c>
      <c r="E208" s="31">
        <v>51</v>
      </c>
      <c r="F208" s="31">
        <v>4</v>
      </c>
      <c r="G208" s="31">
        <v>10</v>
      </c>
      <c r="H208" s="31">
        <v>1112411</v>
      </c>
      <c r="I208" s="18">
        <v>20</v>
      </c>
      <c r="J208" s="36">
        <v>13</v>
      </c>
      <c r="K208" s="31" t="s">
        <v>637</v>
      </c>
      <c r="L208" s="18">
        <v>4400</v>
      </c>
      <c r="M208" s="18">
        <v>240</v>
      </c>
      <c r="N208" s="18" t="s">
        <v>622</v>
      </c>
      <c r="O208" s="18" t="s">
        <v>638</v>
      </c>
      <c r="P208" s="18"/>
      <c r="Q208" s="18"/>
      <c r="T208" s="7">
        <v>1112254</v>
      </c>
      <c r="U208" s="34">
        <v>12</v>
      </c>
      <c r="V208" s="35" t="s">
        <v>639</v>
      </c>
    </row>
    <row r="209" customHeight="1" spans="1:22">
      <c r="A209" s="31">
        <v>1112005</v>
      </c>
      <c r="B209" s="31">
        <v>1112</v>
      </c>
      <c r="C209" s="31" t="s">
        <v>618</v>
      </c>
      <c r="D209" s="31" t="s">
        <v>619</v>
      </c>
      <c r="E209" s="31">
        <v>53</v>
      </c>
      <c r="F209" s="31">
        <v>5</v>
      </c>
      <c r="G209" s="31">
        <v>10</v>
      </c>
      <c r="H209" s="31">
        <v>1112412</v>
      </c>
      <c r="I209" s="18">
        <v>25</v>
      </c>
      <c r="J209" s="36">
        <v>16</v>
      </c>
      <c r="K209" s="31" t="s">
        <v>640</v>
      </c>
      <c r="L209" s="18">
        <v>5500</v>
      </c>
      <c r="M209" s="18">
        <v>300</v>
      </c>
      <c r="N209" s="18" t="s">
        <v>622</v>
      </c>
      <c r="P209" s="18">
        <v>10</v>
      </c>
      <c r="Q209" s="18"/>
      <c r="T209" s="7">
        <v>1112263</v>
      </c>
      <c r="U209" s="34">
        <v>16</v>
      </c>
      <c r="V209" s="35" t="s">
        <v>641</v>
      </c>
    </row>
    <row r="210" customHeight="1" spans="1:22">
      <c r="A210" s="31">
        <v>1112006</v>
      </c>
      <c r="B210" s="31">
        <v>1112</v>
      </c>
      <c r="C210" s="31" t="s">
        <v>618</v>
      </c>
      <c r="D210" s="31" t="s">
        <v>619</v>
      </c>
      <c r="E210" s="31">
        <v>53</v>
      </c>
      <c r="F210" s="31">
        <v>6</v>
      </c>
      <c r="G210" s="31">
        <v>10</v>
      </c>
      <c r="H210" s="31">
        <v>1112413</v>
      </c>
      <c r="I210" s="18">
        <v>30</v>
      </c>
      <c r="J210" s="36">
        <v>19</v>
      </c>
      <c r="K210" s="31" t="s">
        <v>642</v>
      </c>
      <c r="L210" s="18">
        <v>6600</v>
      </c>
      <c r="M210" s="18">
        <v>360</v>
      </c>
      <c r="N210" s="18" t="s">
        <v>622</v>
      </c>
      <c r="O210" s="18"/>
      <c r="P210" s="18"/>
      <c r="Q210" s="18"/>
      <c r="T210" s="7">
        <v>1112262</v>
      </c>
      <c r="U210" s="34">
        <v>20</v>
      </c>
      <c r="V210" s="35" t="s">
        <v>643</v>
      </c>
    </row>
    <row r="211" customHeight="1" spans="1:22">
      <c r="A211" s="31">
        <v>1112007</v>
      </c>
      <c r="B211" s="31">
        <v>1112</v>
      </c>
      <c r="C211" s="31" t="s">
        <v>618</v>
      </c>
      <c r="D211" s="31" t="s">
        <v>619</v>
      </c>
      <c r="E211" s="31">
        <v>53</v>
      </c>
      <c r="F211" s="31">
        <v>7</v>
      </c>
      <c r="G211" s="31">
        <v>10</v>
      </c>
      <c r="H211" s="31">
        <v>1112414</v>
      </c>
      <c r="I211" s="18">
        <v>35</v>
      </c>
      <c r="J211" s="36">
        <v>22</v>
      </c>
      <c r="K211" s="31" t="s">
        <v>644</v>
      </c>
      <c r="L211" s="18">
        <v>7700</v>
      </c>
      <c r="M211" s="18">
        <v>420</v>
      </c>
      <c r="N211" s="18" t="s">
        <v>622</v>
      </c>
      <c r="O211" s="18"/>
      <c r="P211" s="18"/>
      <c r="Q211" s="18"/>
      <c r="T211" s="7">
        <v>1112256</v>
      </c>
      <c r="U211" s="34">
        <v>24</v>
      </c>
      <c r="V211" s="35" t="s">
        <v>645</v>
      </c>
    </row>
    <row r="212" customHeight="1" spans="1:22">
      <c r="A212" s="31">
        <v>1112008</v>
      </c>
      <c r="B212" s="31">
        <v>1112</v>
      </c>
      <c r="C212" s="31" t="s">
        <v>618</v>
      </c>
      <c r="D212" s="31" t="s">
        <v>619</v>
      </c>
      <c r="E212" s="31">
        <v>53</v>
      </c>
      <c r="F212" s="31">
        <v>8</v>
      </c>
      <c r="G212" s="31">
        <v>10</v>
      </c>
      <c r="H212" s="31">
        <v>1112415</v>
      </c>
      <c r="I212" s="18">
        <v>40</v>
      </c>
      <c r="J212" s="36">
        <v>25</v>
      </c>
      <c r="K212" s="31" t="s">
        <v>646</v>
      </c>
      <c r="L212" s="18">
        <v>8800</v>
      </c>
      <c r="M212" s="18">
        <v>480</v>
      </c>
      <c r="N212" s="18" t="s">
        <v>622</v>
      </c>
      <c r="O212" s="18" t="s">
        <v>647</v>
      </c>
      <c r="P212" s="18"/>
      <c r="Q212" s="18"/>
      <c r="U212" s="34">
        <v>28</v>
      </c>
      <c r="V212" s="35" t="s">
        <v>648</v>
      </c>
    </row>
    <row r="213" customHeight="1" spans="1:22">
      <c r="A213" s="31">
        <v>1112009</v>
      </c>
      <c r="B213" s="31">
        <v>1112</v>
      </c>
      <c r="C213" s="31" t="s">
        <v>618</v>
      </c>
      <c r="D213" s="31" t="s">
        <v>619</v>
      </c>
      <c r="E213" s="31">
        <v>55</v>
      </c>
      <c r="F213" s="31">
        <v>9</v>
      </c>
      <c r="G213" s="31">
        <v>10</v>
      </c>
      <c r="H213" s="31"/>
      <c r="I213" s="18">
        <v>45</v>
      </c>
      <c r="J213" s="36">
        <v>28</v>
      </c>
      <c r="K213" s="31" t="s">
        <v>649</v>
      </c>
      <c r="L213" s="18">
        <v>9900</v>
      </c>
      <c r="M213" s="18">
        <v>540</v>
      </c>
      <c r="N213" s="18" t="s">
        <v>622</v>
      </c>
      <c r="O213" s="18"/>
      <c r="P213" s="18"/>
      <c r="Q213" s="18"/>
      <c r="T213" s="7">
        <v>1112259</v>
      </c>
      <c r="U213" s="34">
        <v>32</v>
      </c>
      <c r="V213" s="35" t="s">
        <v>650</v>
      </c>
    </row>
    <row r="214" customHeight="1" spans="1:22">
      <c r="A214" s="31">
        <v>1112010</v>
      </c>
      <c r="B214" s="31">
        <v>1112</v>
      </c>
      <c r="C214" s="31" t="s">
        <v>618</v>
      </c>
      <c r="D214" s="31" t="s">
        <v>619</v>
      </c>
      <c r="E214" s="31">
        <v>55</v>
      </c>
      <c r="F214" s="31">
        <v>10</v>
      </c>
      <c r="G214" s="31">
        <v>10</v>
      </c>
      <c r="H214" s="31"/>
      <c r="I214" s="18">
        <v>50</v>
      </c>
      <c r="J214" s="36">
        <v>31</v>
      </c>
      <c r="K214" s="31" t="s">
        <v>651</v>
      </c>
      <c r="L214" s="18">
        <v>11000</v>
      </c>
      <c r="M214" s="18">
        <v>600</v>
      </c>
      <c r="N214" s="18" t="s">
        <v>622</v>
      </c>
      <c r="P214" s="18">
        <v>20</v>
      </c>
      <c r="Q214" s="18"/>
      <c r="T214" s="10"/>
      <c r="U214" s="34">
        <v>36</v>
      </c>
      <c r="V214" s="35" t="s">
        <v>652</v>
      </c>
    </row>
    <row r="215" customFormat="1" customHeight="1" spans="1:22">
      <c r="A215" s="31">
        <v>1112011</v>
      </c>
      <c r="B215" s="31">
        <v>1112</v>
      </c>
      <c r="C215" s="31" t="s">
        <v>618</v>
      </c>
      <c r="D215" s="31" t="s">
        <v>619</v>
      </c>
      <c r="E215" s="31">
        <v>55</v>
      </c>
      <c r="F215" s="31">
        <v>11</v>
      </c>
      <c r="G215" s="31">
        <v>10</v>
      </c>
      <c r="H215" s="31"/>
      <c r="I215" s="18">
        <v>55</v>
      </c>
      <c r="J215" s="36">
        <v>34</v>
      </c>
      <c r="K215" s="31" t="s">
        <v>653</v>
      </c>
      <c r="L215" s="18">
        <v>12100</v>
      </c>
      <c r="M215" s="18">
        <v>660</v>
      </c>
      <c r="N215" s="18" t="s">
        <v>622</v>
      </c>
      <c r="O215" s="18" t="s">
        <v>654</v>
      </c>
      <c r="P215" s="18"/>
      <c r="Q215" s="18"/>
      <c r="R215" s="19"/>
      <c r="S215" s="19"/>
      <c r="T215" s="7"/>
      <c r="U215" s="34">
        <v>40</v>
      </c>
      <c r="V215" s="35" t="s">
        <v>655</v>
      </c>
    </row>
    <row r="216" customFormat="1" customHeight="1" spans="1:22">
      <c r="A216" s="31">
        <v>1112012</v>
      </c>
      <c r="B216" s="31">
        <v>1112</v>
      </c>
      <c r="C216" s="31" t="s">
        <v>618</v>
      </c>
      <c r="D216" s="31" t="s">
        <v>619</v>
      </c>
      <c r="E216" s="31">
        <v>55</v>
      </c>
      <c r="F216" s="31">
        <v>12</v>
      </c>
      <c r="G216" s="31">
        <v>10</v>
      </c>
      <c r="H216" s="31"/>
      <c r="I216" s="18">
        <v>60</v>
      </c>
      <c r="J216" s="36">
        <v>37</v>
      </c>
      <c r="K216" s="31" t="s">
        <v>656</v>
      </c>
      <c r="L216" s="18">
        <v>13200</v>
      </c>
      <c r="M216" s="18">
        <v>720</v>
      </c>
      <c r="N216" s="18" t="s">
        <v>622</v>
      </c>
      <c r="O216" s="18"/>
      <c r="P216" s="18"/>
      <c r="Q216" s="18"/>
      <c r="R216" s="19"/>
      <c r="S216" s="19"/>
      <c r="T216" s="7"/>
      <c r="U216" s="34">
        <v>44</v>
      </c>
      <c r="V216" s="35" t="s">
        <v>657</v>
      </c>
    </row>
    <row r="217" customFormat="1" customHeight="1" spans="1:22">
      <c r="A217" s="31">
        <v>1112013</v>
      </c>
      <c r="B217" s="31">
        <v>1112</v>
      </c>
      <c r="C217" s="31" t="s">
        <v>618</v>
      </c>
      <c r="D217" s="31" t="s">
        <v>619</v>
      </c>
      <c r="E217" s="31">
        <v>57</v>
      </c>
      <c r="F217" s="31">
        <v>13</v>
      </c>
      <c r="G217" s="31">
        <v>10</v>
      </c>
      <c r="H217" s="31"/>
      <c r="I217" s="18">
        <v>65</v>
      </c>
      <c r="J217" s="36">
        <v>40</v>
      </c>
      <c r="K217" s="31" t="s">
        <v>658</v>
      </c>
      <c r="L217" s="18">
        <v>14300</v>
      </c>
      <c r="M217" s="18">
        <v>780</v>
      </c>
      <c r="N217" s="18" t="s">
        <v>622</v>
      </c>
      <c r="O217" s="18"/>
      <c r="P217" s="18"/>
      <c r="Q217" s="18"/>
      <c r="R217" s="19"/>
      <c r="S217" s="19"/>
      <c r="T217" s="7">
        <v>1112265</v>
      </c>
      <c r="U217" s="34">
        <v>48</v>
      </c>
      <c r="V217" s="35" t="s">
        <v>659</v>
      </c>
    </row>
    <row r="218" customFormat="1" customHeight="1" spans="1:22">
      <c r="A218" s="31">
        <v>1112014</v>
      </c>
      <c r="B218" s="31">
        <v>1112</v>
      </c>
      <c r="C218" s="31" t="s">
        <v>618</v>
      </c>
      <c r="D218" s="31" t="s">
        <v>619</v>
      </c>
      <c r="E218" s="31">
        <v>57</v>
      </c>
      <c r="F218" s="31">
        <v>14</v>
      </c>
      <c r="G218" s="31">
        <v>10</v>
      </c>
      <c r="H218" s="31"/>
      <c r="I218" s="18">
        <v>70</v>
      </c>
      <c r="J218" s="36">
        <v>43</v>
      </c>
      <c r="K218" s="31" t="s">
        <v>660</v>
      </c>
      <c r="L218" s="18">
        <v>15400</v>
      </c>
      <c r="M218" s="18">
        <v>840</v>
      </c>
      <c r="N218" s="18" t="s">
        <v>622</v>
      </c>
      <c r="O218" s="18" t="s">
        <v>661</v>
      </c>
      <c r="P218" s="18"/>
      <c r="Q218" s="18"/>
      <c r="R218" s="19"/>
      <c r="S218" s="19"/>
      <c r="T218" s="7">
        <v>1112266</v>
      </c>
      <c r="U218" s="34">
        <v>52</v>
      </c>
      <c r="V218" s="35" t="s">
        <v>662</v>
      </c>
    </row>
    <row r="219" customFormat="1" customHeight="1" spans="1:22">
      <c r="A219" s="31">
        <v>1112015</v>
      </c>
      <c r="B219" s="31">
        <v>1112</v>
      </c>
      <c r="C219" s="31" t="s">
        <v>618</v>
      </c>
      <c r="D219" s="31" t="s">
        <v>619</v>
      </c>
      <c r="E219" s="31">
        <v>57</v>
      </c>
      <c r="F219" s="31">
        <v>15</v>
      </c>
      <c r="G219" s="31">
        <v>10</v>
      </c>
      <c r="H219" s="31"/>
      <c r="I219" s="18">
        <v>75</v>
      </c>
      <c r="J219" s="36">
        <v>47</v>
      </c>
      <c r="K219" s="31" t="s">
        <v>663</v>
      </c>
      <c r="L219" s="18">
        <v>16500</v>
      </c>
      <c r="M219" s="18">
        <v>900</v>
      </c>
      <c r="N219" s="18" t="s">
        <v>622</v>
      </c>
      <c r="P219" s="18">
        <v>30</v>
      </c>
      <c r="Q219" s="18"/>
      <c r="R219" s="19"/>
      <c r="S219" s="19"/>
      <c r="T219" s="7">
        <v>1112267</v>
      </c>
      <c r="U219" s="34">
        <v>56</v>
      </c>
      <c r="V219" s="35" t="s">
        <v>664</v>
      </c>
    </row>
    <row r="220" customFormat="1" customHeight="1" spans="1:22">
      <c r="A220" s="31">
        <v>1112016</v>
      </c>
      <c r="B220" s="31">
        <v>1112</v>
      </c>
      <c r="C220" s="31" t="s">
        <v>618</v>
      </c>
      <c r="D220" s="31" t="s">
        <v>619</v>
      </c>
      <c r="E220" s="31">
        <v>57</v>
      </c>
      <c r="F220" s="31">
        <v>16</v>
      </c>
      <c r="G220" s="31">
        <v>10</v>
      </c>
      <c r="H220" s="31"/>
      <c r="I220" s="18">
        <v>80</v>
      </c>
      <c r="J220" s="36">
        <v>51</v>
      </c>
      <c r="K220" s="31" t="s">
        <v>665</v>
      </c>
      <c r="L220" s="18">
        <v>17600</v>
      </c>
      <c r="M220" s="18">
        <v>960</v>
      </c>
      <c r="N220" s="18" t="s">
        <v>622</v>
      </c>
      <c r="O220" s="18" t="s">
        <v>666</v>
      </c>
      <c r="P220" s="18"/>
      <c r="Q220" s="18"/>
      <c r="R220" s="19"/>
      <c r="S220" s="19"/>
      <c r="U220" s="34">
        <v>60</v>
      </c>
      <c r="V220" s="35" t="s">
        <v>667</v>
      </c>
    </row>
    <row r="221" customFormat="1" customHeight="1" spans="1:22">
      <c r="A221" s="31">
        <v>1112017</v>
      </c>
      <c r="B221" s="31">
        <v>1112</v>
      </c>
      <c r="C221" s="31" t="s">
        <v>618</v>
      </c>
      <c r="D221" s="31" t="s">
        <v>619</v>
      </c>
      <c r="E221" s="31">
        <v>59</v>
      </c>
      <c r="F221" s="31">
        <v>17</v>
      </c>
      <c r="G221" s="31">
        <v>10</v>
      </c>
      <c r="H221" s="31"/>
      <c r="I221" s="18">
        <v>85</v>
      </c>
      <c r="J221" s="36">
        <v>55</v>
      </c>
      <c r="K221" s="31" t="s">
        <v>668</v>
      </c>
      <c r="L221" s="18">
        <v>18700</v>
      </c>
      <c r="M221" s="18">
        <v>1020</v>
      </c>
      <c r="N221" s="18" t="s">
        <v>622</v>
      </c>
      <c r="O221" s="18"/>
      <c r="P221" s="18"/>
      <c r="Q221" s="18"/>
      <c r="R221" s="19"/>
      <c r="S221" s="19"/>
      <c r="U221" s="34">
        <v>64</v>
      </c>
      <c r="V221" s="35" t="s">
        <v>669</v>
      </c>
    </row>
    <row r="222" customFormat="1" customHeight="1" spans="1:22">
      <c r="A222" s="31">
        <v>1112018</v>
      </c>
      <c r="B222" s="31">
        <v>1112</v>
      </c>
      <c r="C222" s="31" t="s">
        <v>618</v>
      </c>
      <c r="D222" s="31" t="s">
        <v>619</v>
      </c>
      <c r="E222" s="31">
        <v>59</v>
      </c>
      <c r="F222" s="31">
        <v>18</v>
      </c>
      <c r="G222" s="31">
        <v>10</v>
      </c>
      <c r="H222" s="31"/>
      <c r="I222" s="18">
        <v>90</v>
      </c>
      <c r="J222" s="36">
        <v>60</v>
      </c>
      <c r="K222" s="31" t="s">
        <v>670</v>
      </c>
      <c r="L222" s="18">
        <v>19800</v>
      </c>
      <c r="M222" s="18">
        <v>1080</v>
      </c>
      <c r="N222" s="18" t="s">
        <v>622</v>
      </c>
      <c r="O222" s="18" t="s">
        <v>671</v>
      </c>
      <c r="P222" s="18"/>
      <c r="Q222" s="18"/>
      <c r="R222" s="19"/>
      <c r="S222" s="19"/>
      <c r="U222" s="34">
        <v>68</v>
      </c>
      <c r="V222" s="35" t="s">
        <v>672</v>
      </c>
    </row>
    <row r="223" customFormat="1" customHeight="1" spans="1:22">
      <c r="A223" s="31">
        <v>1112019</v>
      </c>
      <c r="B223" s="31">
        <v>1112</v>
      </c>
      <c r="C223" s="31" t="s">
        <v>618</v>
      </c>
      <c r="D223" s="31" t="s">
        <v>619</v>
      </c>
      <c r="E223" s="31">
        <v>59</v>
      </c>
      <c r="F223" s="31">
        <v>19</v>
      </c>
      <c r="G223" s="31">
        <v>10</v>
      </c>
      <c r="H223" s="31"/>
      <c r="I223" s="18">
        <v>95</v>
      </c>
      <c r="J223" s="36">
        <v>65</v>
      </c>
      <c r="K223" s="31" t="s">
        <v>673</v>
      </c>
      <c r="L223" s="18">
        <v>20900</v>
      </c>
      <c r="M223" s="18">
        <v>1140</v>
      </c>
      <c r="N223" s="18" t="s">
        <v>622</v>
      </c>
      <c r="O223" s="18"/>
      <c r="P223" s="18"/>
      <c r="Q223" s="18"/>
      <c r="R223" s="19"/>
      <c r="S223" s="19"/>
      <c r="T223" s="43"/>
      <c r="U223" s="34">
        <v>72</v>
      </c>
      <c r="V223" s="35" t="s">
        <v>674</v>
      </c>
    </row>
    <row r="224" customFormat="1" customHeight="1" spans="1:22">
      <c r="A224" s="31">
        <v>1112020</v>
      </c>
      <c r="B224" s="31">
        <v>1112</v>
      </c>
      <c r="C224" s="31" t="s">
        <v>618</v>
      </c>
      <c r="D224" s="31" t="s">
        <v>619</v>
      </c>
      <c r="E224" s="31">
        <v>59</v>
      </c>
      <c r="F224" s="31">
        <v>20</v>
      </c>
      <c r="G224" s="31">
        <v>10</v>
      </c>
      <c r="H224" s="31"/>
      <c r="I224" s="18">
        <v>100</v>
      </c>
      <c r="J224" s="36">
        <v>71</v>
      </c>
      <c r="K224" s="31" t="s">
        <v>675</v>
      </c>
      <c r="L224" s="18">
        <v>22000</v>
      </c>
      <c r="M224" s="18">
        <v>1200</v>
      </c>
      <c r="N224" s="18" t="s">
        <v>622</v>
      </c>
      <c r="P224" s="18">
        <v>40</v>
      </c>
      <c r="Q224" s="18"/>
      <c r="R224" s="19"/>
      <c r="S224" s="19"/>
      <c r="T224" s="43"/>
      <c r="U224" s="34">
        <v>76</v>
      </c>
      <c r="V224" s="35" t="s">
        <v>676</v>
      </c>
    </row>
    <row r="225" s="14" customFormat="1" customHeight="1" spans="1:22">
      <c r="A225" s="37">
        <v>1111001</v>
      </c>
      <c r="B225" s="37">
        <v>1111</v>
      </c>
      <c r="C225" s="37" t="s">
        <v>677</v>
      </c>
      <c r="D225" s="37" t="s">
        <v>678</v>
      </c>
      <c r="E225" s="31">
        <v>56</v>
      </c>
      <c r="F225" s="37">
        <v>1</v>
      </c>
      <c r="G225" s="37">
        <v>5</v>
      </c>
      <c r="H225" s="37" t="s">
        <v>679</v>
      </c>
      <c r="I225" s="18">
        <v>5</v>
      </c>
      <c r="J225" s="37">
        <v>3</v>
      </c>
      <c r="K225" s="37" t="s">
        <v>680</v>
      </c>
      <c r="L225" s="38">
        <v>1200</v>
      </c>
      <c r="M225" s="18">
        <v>65</v>
      </c>
      <c r="N225" s="18" t="s">
        <v>681</v>
      </c>
      <c r="O225" s="38"/>
      <c r="P225" s="38"/>
      <c r="Q225" s="38"/>
      <c r="R225" s="8" t="s">
        <v>682</v>
      </c>
      <c r="S225" s="8" t="s">
        <v>683</v>
      </c>
      <c r="T225" s="8" t="s">
        <v>684</v>
      </c>
      <c r="U225" s="40">
        <v>2</v>
      </c>
      <c r="V225" s="41" t="s">
        <v>685</v>
      </c>
    </row>
    <row r="226" s="14" customFormat="1" customHeight="1" spans="1:22">
      <c r="A226" s="37">
        <v>1111002</v>
      </c>
      <c r="B226" s="37">
        <v>1111</v>
      </c>
      <c r="C226" s="37" t="s">
        <v>677</v>
      </c>
      <c r="D226" s="37" t="s">
        <v>678</v>
      </c>
      <c r="E226" s="31">
        <v>56</v>
      </c>
      <c r="F226" s="37">
        <v>2</v>
      </c>
      <c r="G226" s="37">
        <v>8</v>
      </c>
      <c r="H226" s="37" t="s">
        <v>686</v>
      </c>
      <c r="I226" s="18">
        <v>10</v>
      </c>
      <c r="J226" s="37">
        <v>6</v>
      </c>
      <c r="K226" s="37" t="s">
        <v>687</v>
      </c>
      <c r="L226" s="38">
        <v>2400</v>
      </c>
      <c r="M226" s="18">
        <v>130</v>
      </c>
      <c r="N226" s="18" t="s">
        <v>681</v>
      </c>
      <c r="O226" s="38"/>
      <c r="P226" s="38"/>
      <c r="Q226" s="38"/>
      <c r="R226" s="8" t="s">
        <v>688</v>
      </c>
      <c r="S226" s="8" t="s">
        <v>689</v>
      </c>
      <c r="T226" s="8">
        <v>1111261</v>
      </c>
      <c r="U226" s="40">
        <v>4</v>
      </c>
      <c r="V226" s="41" t="s">
        <v>690</v>
      </c>
    </row>
    <row r="227" s="14" customFormat="1" customHeight="1" spans="1:22">
      <c r="A227" s="37">
        <v>1111003</v>
      </c>
      <c r="B227" s="37">
        <v>1111</v>
      </c>
      <c r="C227" s="37" t="s">
        <v>677</v>
      </c>
      <c r="D227" s="37" t="s">
        <v>678</v>
      </c>
      <c r="E227" s="31">
        <v>56</v>
      </c>
      <c r="F227" s="37">
        <v>3</v>
      </c>
      <c r="G227" s="37">
        <v>10</v>
      </c>
      <c r="H227" s="37" t="s">
        <v>691</v>
      </c>
      <c r="I227" s="18">
        <v>15</v>
      </c>
      <c r="J227" s="37">
        <v>9</v>
      </c>
      <c r="K227" s="37" t="s">
        <v>692</v>
      </c>
      <c r="L227" s="38">
        <v>3600</v>
      </c>
      <c r="M227" s="18">
        <v>195</v>
      </c>
      <c r="N227" s="18" t="s">
        <v>681</v>
      </c>
      <c r="O227" s="38"/>
      <c r="P227" s="38"/>
      <c r="Q227" s="38"/>
      <c r="R227" s="8" t="s">
        <v>693</v>
      </c>
      <c r="S227" s="8" t="s">
        <v>694</v>
      </c>
      <c r="T227" s="8">
        <v>1111255</v>
      </c>
      <c r="U227" s="40">
        <v>8</v>
      </c>
      <c r="V227" s="41" t="s">
        <v>695</v>
      </c>
    </row>
    <row r="228" s="14" customFormat="1" customHeight="1" spans="1:22">
      <c r="A228" s="37">
        <v>1111004</v>
      </c>
      <c r="B228" s="37">
        <v>1111</v>
      </c>
      <c r="C228" s="37" t="s">
        <v>677</v>
      </c>
      <c r="D228" s="37" t="s">
        <v>678</v>
      </c>
      <c r="E228" s="31">
        <v>56</v>
      </c>
      <c r="F228" s="37">
        <v>4</v>
      </c>
      <c r="G228" s="37">
        <v>10</v>
      </c>
      <c r="H228" s="37">
        <v>1111411</v>
      </c>
      <c r="I228" s="18">
        <v>20</v>
      </c>
      <c r="J228" s="37">
        <v>12</v>
      </c>
      <c r="K228" s="37" t="s">
        <v>696</v>
      </c>
      <c r="L228" s="38">
        <v>4800</v>
      </c>
      <c r="M228" s="18">
        <v>260</v>
      </c>
      <c r="N228" s="18" t="s">
        <v>681</v>
      </c>
      <c r="O228" s="38" t="s">
        <v>697</v>
      </c>
      <c r="P228" s="38"/>
      <c r="Q228" s="38"/>
      <c r="R228" s="39"/>
      <c r="S228" s="39"/>
      <c r="T228" s="8">
        <v>1111257</v>
      </c>
      <c r="U228" s="40">
        <v>12</v>
      </c>
      <c r="V228" s="41" t="s">
        <v>698</v>
      </c>
    </row>
    <row r="229" s="14" customFormat="1" customHeight="1" spans="1:22">
      <c r="A229" s="37">
        <v>1111005</v>
      </c>
      <c r="B229" s="37">
        <v>1111</v>
      </c>
      <c r="C229" s="37" t="s">
        <v>677</v>
      </c>
      <c r="D229" s="37" t="s">
        <v>678</v>
      </c>
      <c r="E229" s="31">
        <v>58</v>
      </c>
      <c r="F229" s="37">
        <v>5</v>
      </c>
      <c r="G229" s="37">
        <v>10</v>
      </c>
      <c r="H229" s="37">
        <v>1111412</v>
      </c>
      <c r="I229" s="18">
        <v>25</v>
      </c>
      <c r="J229" s="37">
        <v>16</v>
      </c>
      <c r="K229" s="37" t="s">
        <v>699</v>
      </c>
      <c r="L229" s="38">
        <v>6000</v>
      </c>
      <c r="M229" s="18">
        <v>325</v>
      </c>
      <c r="N229" s="18" t="s">
        <v>681</v>
      </c>
      <c r="P229" s="38">
        <v>10</v>
      </c>
      <c r="Q229" s="38"/>
      <c r="T229" s="8">
        <v>1111266</v>
      </c>
      <c r="U229" s="40">
        <v>16</v>
      </c>
      <c r="V229" s="41" t="s">
        <v>700</v>
      </c>
    </row>
    <row r="230" s="14" customFormat="1" customHeight="1" spans="1:22">
      <c r="A230" s="37">
        <v>1111006</v>
      </c>
      <c r="B230" s="37">
        <v>1111</v>
      </c>
      <c r="C230" s="37" t="s">
        <v>677</v>
      </c>
      <c r="D230" s="37" t="s">
        <v>678</v>
      </c>
      <c r="E230" s="31">
        <v>58</v>
      </c>
      <c r="F230" s="37">
        <v>6</v>
      </c>
      <c r="G230" s="37">
        <v>10</v>
      </c>
      <c r="H230" s="37">
        <v>1111413</v>
      </c>
      <c r="I230" s="18">
        <v>30</v>
      </c>
      <c r="J230" s="37">
        <v>20</v>
      </c>
      <c r="K230" s="37" t="s">
        <v>701</v>
      </c>
      <c r="L230" s="38">
        <v>7200</v>
      </c>
      <c r="M230" s="18">
        <v>390</v>
      </c>
      <c r="N230" s="18" t="s">
        <v>681</v>
      </c>
      <c r="O230" s="38"/>
      <c r="P230" s="38"/>
      <c r="Q230" s="38"/>
      <c r="R230" s="39"/>
      <c r="S230" s="39"/>
      <c r="T230" s="8">
        <v>1111254</v>
      </c>
      <c r="U230" s="40">
        <v>20</v>
      </c>
      <c r="V230" s="41" t="s">
        <v>702</v>
      </c>
    </row>
    <row r="231" s="14" customFormat="1" customHeight="1" spans="1:22">
      <c r="A231" s="37">
        <v>1111007</v>
      </c>
      <c r="B231" s="37">
        <v>1111</v>
      </c>
      <c r="C231" s="37" t="s">
        <v>677</v>
      </c>
      <c r="D231" s="37" t="s">
        <v>678</v>
      </c>
      <c r="E231" s="31">
        <v>58</v>
      </c>
      <c r="F231" s="37">
        <v>7</v>
      </c>
      <c r="G231" s="37">
        <v>10</v>
      </c>
      <c r="H231" s="37">
        <v>1111414</v>
      </c>
      <c r="I231" s="18">
        <v>35</v>
      </c>
      <c r="J231" s="37">
        <v>24</v>
      </c>
      <c r="K231" s="37" t="s">
        <v>703</v>
      </c>
      <c r="L231" s="38">
        <v>8400</v>
      </c>
      <c r="M231" s="18">
        <v>455</v>
      </c>
      <c r="N231" s="18" t="s">
        <v>681</v>
      </c>
      <c r="O231" s="38"/>
      <c r="P231" s="38"/>
      <c r="Q231" s="38"/>
      <c r="R231" s="39"/>
      <c r="S231" s="39"/>
      <c r="T231" s="8">
        <v>1111268</v>
      </c>
      <c r="U231" s="40">
        <v>24</v>
      </c>
      <c r="V231" s="41" t="s">
        <v>704</v>
      </c>
    </row>
    <row r="232" s="14" customFormat="1" customHeight="1" spans="1:22">
      <c r="A232" s="37">
        <v>1111008</v>
      </c>
      <c r="B232" s="37">
        <v>1111</v>
      </c>
      <c r="C232" s="37" t="s">
        <v>677</v>
      </c>
      <c r="D232" s="37" t="s">
        <v>678</v>
      </c>
      <c r="E232" s="31">
        <v>58</v>
      </c>
      <c r="F232" s="37">
        <v>8</v>
      </c>
      <c r="G232" s="37">
        <v>10</v>
      </c>
      <c r="H232" s="37">
        <v>1111415</v>
      </c>
      <c r="I232" s="18">
        <v>40</v>
      </c>
      <c r="J232" s="37">
        <v>29</v>
      </c>
      <c r="K232" s="37" t="s">
        <v>705</v>
      </c>
      <c r="L232" s="38">
        <v>9600</v>
      </c>
      <c r="M232" s="18">
        <v>520</v>
      </c>
      <c r="N232" s="18" t="s">
        <v>681</v>
      </c>
      <c r="O232" s="38" t="s">
        <v>706</v>
      </c>
      <c r="P232" s="38"/>
      <c r="Q232" s="38"/>
      <c r="R232" s="39"/>
      <c r="S232" s="39"/>
      <c r="T232" s="8">
        <v>1111262</v>
      </c>
      <c r="U232" s="40">
        <v>28</v>
      </c>
      <c r="V232" s="41" t="s">
        <v>707</v>
      </c>
    </row>
    <row r="233" s="14" customFormat="1" customHeight="1" spans="1:22">
      <c r="A233" s="37">
        <v>1111009</v>
      </c>
      <c r="B233" s="37">
        <v>1111</v>
      </c>
      <c r="C233" s="37" t="s">
        <v>677</v>
      </c>
      <c r="D233" s="37" t="s">
        <v>678</v>
      </c>
      <c r="E233" s="31">
        <v>60</v>
      </c>
      <c r="F233" s="37">
        <v>9</v>
      </c>
      <c r="G233" s="37">
        <v>10</v>
      </c>
      <c r="H233" s="37"/>
      <c r="I233" s="18">
        <v>45</v>
      </c>
      <c r="J233" s="37">
        <v>34</v>
      </c>
      <c r="K233" s="37" t="s">
        <v>708</v>
      </c>
      <c r="L233" s="38">
        <v>10800</v>
      </c>
      <c r="M233" s="18">
        <v>585</v>
      </c>
      <c r="N233" s="18" t="s">
        <v>681</v>
      </c>
      <c r="O233" s="38"/>
      <c r="P233" s="38"/>
      <c r="Q233" s="38"/>
      <c r="R233" s="39"/>
      <c r="S233" s="39"/>
      <c r="T233" s="8">
        <v>1111259</v>
      </c>
      <c r="U233" s="40">
        <v>32</v>
      </c>
      <c r="V233" s="41" t="s">
        <v>709</v>
      </c>
    </row>
    <row r="234" s="14" customFormat="1" customHeight="1" spans="1:22">
      <c r="A234" s="37">
        <v>1111010</v>
      </c>
      <c r="B234" s="37">
        <v>1111</v>
      </c>
      <c r="C234" s="37" t="s">
        <v>677</v>
      </c>
      <c r="D234" s="37" t="s">
        <v>678</v>
      </c>
      <c r="E234" s="31">
        <v>60</v>
      </c>
      <c r="F234" s="37">
        <v>10</v>
      </c>
      <c r="G234" s="37">
        <v>10</v>
      </c>
      <c r="H234" s="37"/>
      <c r="I234" s="18">
        <v>50</v>
      </c>
      <c r="J234" s="37">
        <v>39</v>
      </c>
      <c r="K234" s="37" t="s">
        <v>710</v>
      </c>
      <c r="L234" s="38">
        <v>12000</v>
      </c>
      <c r="M234" s="18">
        <v>650</v>
      </c>
      <c r="N234" s="18" t="s">
        <v>681</v>
      </c>
      <c r="P234" s="38">
        <v>20</v>
      </c>
      <c r="Q234" s="38"/>
      <c r="R234" s="39"/>
      <c r="S234" s="39"/>
      <c r="T234" s="8">
        <v>1111258</v>
      </c>
      <c r="U234" s="40">
        <v>36</v>
      </c>
      <c r="V234" s="41" t="s">
        <v>711</v>
      </c>
    </row>
    <row r="235" s="15" customFormat="1" customHeight="1" spans="1:22">
      <c r="A235" s="37">
        <v>1111011</v>
      </c>
      <c r="B235" s="37">
        <v>1111</v>
      </c>
      <c r="C235" s="37" t="s">
        <v>677</v>
      </c>
      <c r="D235" s="37" t="s">
        <v>678</v>
      </c>
      <c r="E235" s="31">
        <v>60</v>
      </c>
      <c r="F235" s="37">
        <v>11</v>
      </c>
      <c r="G235" s="37">
        <v>10</v>
      </c>
      <c r="H235" s="37"/>
      <c r="I235" s="18">
        <v>55</v>
      </c>
      <c r="J235" s="37">
        <v>44</v>
      </c>
      <c r="K235" s="37" t="s">
        <v>712</v>
      </c>
      <c r="L235" s="38">
        <v>13200</v>
      </c>
      <c r="M235" s="18">
        <v>715</v>
      </c>
      <c r="N235" s="18" t="s">
        <v>681</v>
      </c>
      <c r="O235" s="38" t="s">
        <v>713</v>
      </c>
      <c r="P235" s="38"/>
      <c r="Q235" s="38"/>
      <c r="R235" s="39"/>
      <c r="S235" s="39"/>
      <c r="T235" s="8"/>
      <c r="U235" s="40">
        <v>40</v>
      </c>
      <c r="V235" s="41" t="s">
        <v>714</v>
      </c>
    </row>
    <row r="236" s="15" customFormat="1" customHeight="1" spans="1:22">
      <c r="A236" s="37">
        <v>1111012</v>
      </c>
      <c r="B236" s="37">
        <v>1111</v>
      </c>
      <c r="C236" s="37" t="s">
        <v>677</v>
      </c>
      <c r="D236" s="37" t="s">
        <v>678</v>
      </c>
      <c r="E236" s="31">
        <v>60</v>
      </c>
      <c r="F236" s="37">
        <v>12</v>
      </c>
      <c r="G236" s="37">
        <v>10</v>
      </c>
      <c r="H236" s="37"/>
      <c r="I236" s="18">
        <v>60</v>
      </c>
      <c r="J236" s="37">
        <v>49</v>
      </c>
      <c r="K236" s="37" t="s">
        <v>715</v>
      </c>
      <c r="L236" s="38">
        <v>14400</v>
      </c>
      <c r="M236" s="18">
        <v>780</v>
      </c>
      <c r="N236" s="18" t="s">
        <v>681</v>
      </c>
      <c r="O236" s="38"/>
      <c r="P236" s="38"/>
      <c r="Q236" s="38"/>
      <c r="R236" s="39"/>
      <c r="S236" s="39"/>
      <c r="T236" s="8"/>
      <c r="U236" s="40">
        <v>44</v>
      </c>
      <c r="V236" s="41" t="s">
        <v>716</v>
      </c>
    </row>
    <row r="237" s="15" customFormat="1" customHeight="1" spans="1:22">
      <c r="A237" s="37">
        <v>1111013</v>
      </c>
      <c r="B237" s="37">
        <v>1111</v>
      </c>
      <c r="C237" s="37" t="s">
        <v>677</v>
      </c>
      <c r="D237" s="37" t="s">
        <v>678</v>
      </c>
      <c r="E237" s="31">
        <v>60</v>
      </c>
      <c r="F237" s="37">
        <v>13</v>
      </c>
      <c r="G237" s="37">
        <v>10</v>
      </c>
      <c r="H237" s="37"/>
      <c r="I237" s="18">
        <v>65</v>
      </c>
      <c r="J237" s="37">
        <v>54</v>
      </c>
      <c r="K237" s="37" t="s">
        <v>717</v>
      </c>
      <c r="L237" s="38">
        <v>15600</v>
      </c>
      <c r="M237" s="18">
        <v>845</v>
      </c>
      <c r="N237" s="18" t="s">
        <v>681</v>
      </c>
      <c r="O237" s="38"/>
      <c r="P237" s="38"/>
      <c r="Q237" s="38"/>
      <c r="R237" s="39"/>
      <c r="S237" s="39"/>
      <c r="T237" s="8">
        <v>1111252</v>
      </c>
      <c r="U237" s="40">
        <v>48</v>
      </c>
      <c r="V237" s="41" t="s">
        <v>718</v>
      </c>
    </row>
    <row r="238" s="15" customFormat="1" customHeight="1" spans="1:22">
      <c r="A238" s="37">
        <v>1111014</v>
      </c>
      <c r="B238" s="37">
        <v>1111</v>
      </c>
      <c r="C238" s="37" t="s">
        <v>677</v>
      </c>
      <c r="D238" s="37" t="s">
        <v>678</v>
      </c>
      <c r="E238" s="31">
        <v>60</v>
      </c>
      <c r="F238" s="37">
        <v>14</v>
      </c>
      <c r="G238" s="37">
        <v>10</v>
      </c>
      <c r="H238" s="37"/>
      <c r="I238" s="18">
        <v>70</v>
      </c>
      <c r="J238" s="37">
        <v>59</v>
      </c>
      <c r="K238" s="37" t="s">
        <v>719</v>
      </c>
      <c r="L238" s="38">
        <v>16800</v>
      </c>
      <c r="M238" s="18">
        <v>910</v>
      </c>
      <c r="N238" s="18" t="s">
        <v>681</v>
      </c>
      <c r="O238" s="38" t="s">
        <v>720</v>
      </c>
      <c r="P238" s="38"/>
      <c r="Q238" s="38"/>
      <c r="R238" s="39"/>
      <c r="S238" s="39"/>
      <c r="T238" s="8">
        <v>1111253</v>
      </c>
      <c r="U238" s="40">
        <v>52</v>
      </c>
      <c r="V238" s="41" t="s">
        <v>721</v>
      </c>
    </row>
    <row r="239" s="15" customFormat="1" customHeight="1" spans="1:22">
      <c r="A239" s="37">
        <v>1111015</v>
      </c>
      <c r="B239" s="37">
        <v>1111</v>
      </c>
      <c r="C239" s="37" t="s">
        <v>677</v>
      </c>
      <c r="D239" s="37" t="s">
        <v>678</v>
      </c>
      <c r="E239" s="31">
        <v>60</v>
      </c>
      <c r="F239" s="37">
        <v>15</v>
      </c>
      <c r="G239" s="37">
        <v>10</v>
      </c>
      <c r="H239" s="37"/>
      <c r="I239" s="18">
        <v>75</v>
      </c>
      <c r="J239" s="37">
        <v>64</v>
      </c>
      <c r="K239" s="37" t="s">
        <v>722</v>
      </c>
      <c r="L239" s="38">
        <v>18000</v>
      </c>
      <c r="M239" s="18">
        <v>975</v>
      </c>
      <c r="N239" s="18" t="s">
        <v>681</v>
      </c>
      <c r="P239" s="38">
        <v>30</v>
      </c>
      <c r="Q239" s="38"/>
      <c r="R239" s="39"/>
      <c r="S239" s="39"/>
      <c r="U239" s="40">
        <v>56</v>
      </c>
      <c r="V239" s="41" t="s">
        <v>723</v>
      </c>
    </row>
    <row r="240" s="15" customFormat="1" customHeight="1" spans="1:22">
      <c r="A240" s="37">
        <v>1111016</v>
      </c>
      <c r="B240" s="37">
        <v>1111</v>
      </c>
      <c r="C240" s="37" t="s">
        <v>677</v>
      </c>
      <c r="D240" s="37" t="s">
        <v>678</v>
      </c>
      <c r="E240" s="31">
        <v>60</v>
      </c>
      <c r="F240" s="37">
        <v>16</v>
      </c>
      <c r="G240" s="37">
        <v>10</v>
      </c>
      <c r="H240" s="37"/>
      <c r="I240" s="18">
        <v>80</v>
      </c>
      <c r="J240" s="37">
        <v>69</v>
      </c>
      <c r="K240" s="37" t="s">
        <v>724</v>
      </c>
      <c r="L240" s="38">
        <v>19200</v>
      </c>
      <c r="M240" s="18">
        <v>1040</v>
      </c>
      <c r="N240" s="18" t="s">
        <v>681</v>
      </c>
      <c r="O240" s="38" t="s">
        <v>725</v>
      </c>
      <c r="P240" s="38"/>
      <c r="Q240" s="38"/>
      <c r="R240" s="39"/>
      <c r="S240" s="39"/>
      <c r="U240" s="40">
        <v>60</v>
      </c>
      <c r="V240" s="41" t="s">
        <v>726</v>
      </c>
    </row>
    <row r="241" s="15" customFormat="1" customHeight="1" spans="1:22">
      <c r="A241" s="37">
        <v>1111017</v>
      </c>
      <c r="B241" s="37">
        <v>1111</v>
      </c>
      <c r="C241" s="37" t="s">
        <v>677</v>
      </c>
      <c r="D241" s="37" t="s">
        <v>678</v>
      </c>
      <c r="E241" s="31">
        <v>60</v>
      </c>
      <c r="F241" s="37">
        <v>17</v>
      </c>
      <c r="G241" s="37">
        <v>10</v>
      </c>
      <c r="H241" s="37"/>
      <c r="I241" s="18">
        <v>85</v>
      </c>
      <c r="J241" s="37">
        <v>74</v>
      </c>
      <c r="K241" s="37" t="s">
        <v>727</v>
      </c>
      <c r="L241" s="38">
        <v>20400</v>
      </c>
      <c r="M241" s="18">
        <v>1105</v>
      </c>
      <c r="N241" s="18" t="s">
        <v>681</v>
      </c>
      <c r="O241" s="38"/>
      <c r="P241" s="38"/>
      <c r="Q241" s="38"/>
      <c r="R241" s="39"/>
      <c r="S241" s="39"/>
      <c r="U241" s="40">
        <v>64</v>
      </c>
      <c r="V241" s="41" t="s">
        <v>728</v>
      </c>
    </row>
    <row r="242" s="15" customFormat="1" customHeight="1" spans="1:22">
      <c r="A242" s="37">
        <v>1111018</v>
      </c>
      <c r="B242" s="37">
        <v>1111</v>
      </c>
      <c r="C242" s="37" t="s">
        <v>677</v>
      </c>
      <c r="D242" s="37" t="s">
        <v>678</v>
      </c>
      <c r="E242" s="31">
        <v>60</v>
      </c>
      <c r="F242" s="37">
        <v>18</v>
      </c>
      <c r="G242" s="37">
        <v>10</v>
      </c>
      <c r="H242" s="37"/>
      <c r="I242" s="18">
        <v>90</v>
      </c>
      <c r="J242" s="37">
        <v>79</v>
      </c>
      <c r="K242" s="37" t="s">
        <v>729</v>
      </c>
      <c r="L242" s="38">
        <v>21600</v>
      </c>
      <c r="M242" s="18">
        <v>1170</v>
      </c>
      <c r="N242" s="18" t="s">
        <v>681</v>
      </c>
      <c r="O242" s="38" t="s">
        <v>730</v>
      </c>
      <c r="P242" s="38"/>
      <c r="Q242" s="38"/>
      <c r="R242" s="39"/>
      <c r="S242" s="39"/>
      <c r="T242" s="9"/>
      <c r="U242" s="40">
        <v>68</v>
      </c>
      <c r="V242" s="41" t="s">
        <v>731</v>
      </c>
    </row>
    <row r="243" s="15" customFormat="1" customHeight="1" spans="1:22">
      <c r="A243" s="37">
        <v>1111019</v>
      </c>
      <c r="B243" s="37">
        <v>1111</v>
      </c>
      <c r="C243" s="37" t="s">
        <v>677</v>
      </c>
      <c r="D243" s="37" t="s">
        <v>678</v>
      </c>
      <c r="E243" s="31">
        <v>60</v>
      </c>
      <c r="F243" s="37">
        <v>19</v>
      </c>
      <c r="G243" s="37">
        <v>10</v>
      </c>
      <c r="H243" s="37"/>
      <c r="I243" s="18">
        <v>95</v>
      </c>
      <c r="J243" s="37">
        <v>84</v>
      </c>
      <c r="K243" s="37" t="s">
        <v>732</v>
      </c>
      <c r="L243" s="38">
        <v>22800</v>
      </c>
      <c r="M243" s="18">
        <v>1235</v>
      </c>
      <c r="N243" s="18" t="s">
        <v>681</v>
      </c>
      <c r="O243" s="38"/>
      <c r="P243" s="38"/>
      <c r="Q243" s="38"/>
      <c r="R243" s="39"/>
      <c r="S243" s="39"/>
      <c r="T243" s="9"/>
      <c r="U243" s="40">
        <v>72</v>
      </c>
      <c r="V243" s="41" t="s">
        <v>733</v>
      </c>
    </row>
    <row r="244" s="15" customFormat="1" customHeight="1" spans="1:22">
      <c r="A244" s="37">
        <v>1111020</v>
      </c>
      <c r="B244" s="37">
        <v>1111</v>
      </c>
      <c r="C244" s="37" t="s">
        <v>677</v>
      </c>
      <c r="D244" s="37" t="s">
        <v>678</v>
      </c>
      <c r="E244" s="31">
        <v>60</v>
      </c>
      <c r="F244" s="37">
        <v>20</v>
      </c>
      <c r="G244" s="37">
        <v>10</v>
      </c>
      <c r="H244" s="37"/>
      <c r="I244" s="18">
        <v>100</v>
      </c>
      <c r="J244" s="37">
        <v>89</v>
      </c>
      <c r="K244" s="37" t="s">
        <v>734</v>
      </c>
      <c r="L244" s="38">
        <v>24000</v>
      </c>
      <c r="M244" s="18">
        <v>1300</v>
      </c>
      <c r="N244" s="18" t="s">
        <v>681</v>
      </c>
      <c r="P244" s="38">
        <v>40</v>
      </c>
      <c r="Q244" s="38"/>
      <c r="R244" s="39"/>
      <c r="S244" s="39"/>
      <c r="T244" s="9"/>
      <c r="U244" s="40">
        <v>76</v>
      </c>
      <c r="V244" s="41" t="s">
        <v>735</v>
      </c>
    </row>
    <row r="245" customHeight="1" spans="1:22">
      <c r="A245" s="31">
        <v>1202001</v>
      </c>
      <c r="B245" s="31">
        <v>1202</v>
      </c>
      <c r="C245" s="31" t="s">
        <v>736</v>
      </c>
      <c r="D245" s="31"/>
      <c r="E245" s="44">
        <v>1</v>
      </c>
      <c r="F245" s="31">
        <v>1</v>
      </c>
      <c r="G245" s="31">
        <v>32</v>
      </c>
      <c r="H245" s="31" t="s">
        <v>737</v>
      </c>
      <c r="I245" s="31"/>
      <c r="J245" s="31"/>
      <c r="K245" s="31" t="s">
        <v>738</v>
      </c>
      <c r="L245" s="18">
        <v>100</v>
      </c>
      <c r="M245" s="18"/>
      <c r="N245" s="18" t="s">
        <v>739</v>
      </c>
      <c r="O245" s="18"/>
      <c r="P245" s="18"/>
      <c r="Q245" s="18"/>
      <c r="R245" s="19" t="s">
        <v>740</v>
      </c>
      <c r="S245" s="19" t="s">
        <v>741</v>
      </c>
      <c r="T245" s="7" t="s">
        <v>742</v>
      </c>
      <c r="U245" s="34">
        <v>2</v>
      </c>
      <c r="V245" s="35" t="s">
        <v>107</v>
      </c>
    </row>
    <row r="246" customHeight="1" spans="1:22">
      <c r="A246" s="31">
        <v>1202002</v>
      </c>
      <c r="B246" s="31">
        <v>1202</v>
      </c>
      <c r="C246" s="31" t="s">
        <v>736</v>
      </c>
      <c r="D246" s="31"/>
      <c r="E246" s="44">
        <v>1</v>
      </c>
      <c r="F246" s="31">
        <v>2</v>
      </c>
      <c r="G246" s="31">
        <v>32</v>
      </c>
      <c r="H246" s="31">
        <v>1202417</v>
      </c>
      <c r="I246" s="31"/>
      <c r="J246" s="31"/>
      <c r="K246" s="31" t="s">
        <v>743</v>
      </c>
      <c r="L246" s="18">
        <v>200</v>
      </c>
      <c r="M246" s="18"/>
      <c r="N246" s="18" t="s">
        <v>739</v>
      </c>
      <c r="O246" s="18"/>
      <c r="P246" s="18"/>
      <c r="Q246" s="18"/>
      <c r="T246" s="7" t="s">
        <v>744</v>
      </c>
      <c r="U246" s="34">
        <v>4</v>
      </c>
      <c r="V246" s="35" t="s">
        <v>111</v>
      </c>
    </row>
    <row r="247" customHeight="1" spans="1:22">
      <c r="A247" s="31">
        <v>1202003</v>
      </c>
      <c r="B247" s="31">
        <v>1202</v>
      </c>
      <c r="C247" s="31" t="s">
        <v>736</v>
      </c>
      <c r="D247" s="31"/>
      <c r="E247" s="44">
        <v>1</v>
      </c>
      <c r="F247" s="31">
        <v>3</v>
      </c>
      <c r="G247" s="31">
        <v>32</v>
      </c>
      <c r="H247" s="31">
        <v>1202418</v>
      </c>
      <c r="I247" s="31"/>
      <c r="J247" s="31"/>
      <c r="K247" s="31" t="s">
        <v>745</v>
      </c>
      <c r="L247" s="18">
        <v>300</v>
      </c>
      <c r="M247" s="18"/>
      <c r="N247" s="18" t="s">
        <v>739</v>
      </c>
      <c r="O247" s="18"/>
      <c r="P247" s="18"/>
      <c r="Q247" s="18"/>
      <c r="T247" s="7">
        <v>1202255</v>
      </c>
      <c r="U247" s="34">
        <v>8</v>
      </c>
      <c r="V247" s="35" t="s">
        <v>113</v>
      </c>
    </row>
    <row r="248" customHeight="1" spans="1:22">
      <c r="A248" s="31">
        <v>1202004</v>
      </c>
      <c r="B248" s="31">
        <v>1202</v>
      </c>
      <c r="C248" s="31" t="s">
        <v>736</v>
      </c>
      <c r="D248" s="31"/>
      <c r="E248" s="45">
        <v>6</v>
      </c>
      <c r="F248" s="31">
        <v>4</v>
      </c>
      <c r="G248" s="31">
        <v>32</v>
      </c>
      <c r="H248" s="31">
        <v>1202419</v>
      </c>
      <c r="I248" s="31"/>
      <c r="J248" s="31"/>
      <c r="K248" s="31" t="s">
        <v>746</v>
      </c>
      <c r="L248" s="18">
        <v>400</v>
      </c>
      <c r="M248" s="18"/>
      <c r="N248" s="18" t="s">
        <v>739</v>
      </c>
      <c r="O248" s="18"/>
      <c r="P248" s="18"/>
      <c r="Q248" s="18"/>
      <c r="T248" s="7">
        <v>1202271</v>
      </c>
      <c r="U248" s="34">
        <v>12</v>
      </c>
      <c r="V248" s="35" t="s">
        <v>117</v>
      </c>
    </row>
    <row r="249" customHeight="1" spans="1:22">
      <c r="A249" s="31">
        <v>1202005</v>
      </c>
      <c r="B249" s="31">
        <v>1202</v>
      </c>
      <c r="C249" s="31" t="s">
        <v>736</v>
      </c>
      <c r="D249" s="31"/>
      <c r="E249" s="31">
        <v>6</v>
      </c>
      <c r="F249" s="31">
        <v>5</v>
      </c>
      <c r="G249" s="31">
        <v>32</v>
      </c>
      <c r="H249" s="31">
        <v>1202420</v>
      </c>
      <c r="I249" s="31"/>
      <c r="J249" s="31"/>
      <c r="K249" s="31" t="s">
        <v>747</v>
      </c>
      <c r="L249" s="18">
        <v>500</v>
      </c>
      <c r="M249" s="18"/>
      <c r="N249" s="18" t="s">
        <v>739</v>
      </c>
      <c r="O249" s="18"/>
      <c r="P249" s="18"/>
      <c r="Q249" s="18"/>
      <c r="T249" s="7">
        <v>1202252</v>
      </c>
      <c r="U249" s="34">
        <v>16</v>
      </c>
      <c r="V249" s="35" t="s">
        <v>119</v>
      </c>
    </row>
    <row r="250" customHeight="1" spans="1:22">
      <c r="A250" s="31">
        <v>1202006</v>
      </c>
      <c r="B250" s="31">
        <v>1202</v>
      </c>
      <c r="C250" s="31" t="s">
        <v>736</v>
      </c>
      <c r="D250" s="31"/>
      <c r="E250" s="31">
        <v>6</v>
      </c>
      <c r="F250" s="31">
        <v>6</v>
      </c>
      <c r="G250" s="31">
        <v>32</v>
      </c>
      <c r="H250" s="31">
        <v>1202421</v>
      </c>
      <c r="I250" s="31"/>
      <c r="J250" s="31"/>
      <c r="K250" s="31" t="s">
        <v>748</v>
      </c>
      <c r="L250" s="18">
        <v>600</v>
      </c>
      <c r="M250" s="18"/>
      <c r="N250" s="18" t="s">
        <v>739</v>
      </c>
      <c r="O250" s="18"/>
      <c r="P250" s="18"/>
      <c r="Q250" s="18"/>
      <c r="T250" s="7">
        <v>1202260</v>
      </c>
      <c r="U250" s="34">
        <v>20</v>
      </c>
      <c r="V250" s="35" t="s">
        <v>121</v>
      </c>
    </row>
    <row r="251" customHeight="1" spans="1:22">
      <c r="A251" s="31">
        <v>1202007</v>
      </c>
      <c r="B251" s="31">
        <v>1202</v>
      </c>
      <c r="C251" s="31" t="s">
        <v>736</v>
      </c>
      <c r="D251" s="31"/>
      <c r="E251" s="31">
        <v>6</v>
      </c>
      <c r="F251" s="31">
        <v>7</v>
      </c>
      <c r="G251" s="31">
        <v>32</v>
      </c>
      <c r="H251" s="31">
        <v>1202422</v>
      </c>
      <c r="I251" s="31"/>
      <c r="J251" s="31"/>
      <c r="K251" s="31" t="s">
        <v>749</v>
      </c>
      <c r="L251" s="18">
        <v>700</v>
      </c>
      <c r="M251" s="18"/>
      <c r="N251" s="18" t="s">
        <v>739</v>
      </c>
      <c r="O251" s="18"/>
      <c r="P251" s="18"/>
      <c r="Q251" s="18"/>
      <c r="T251" s="7">
        <v>1202275</v>
      </c>
      <c r="U251" s="34">
        <v>24</v>
      </c>
      <c r="V251" s="35" t="s">
        <v>123</v>
      </c>
    </row>
    <row r="252" customHeight="1" spans="1:22">
      <c r="A252" s="31">
        <v>1202008</v>
      </c>
      <c r="B252" s="31">
        <v>1202</v>
      </c>
      <c r="C252" s="31" t="s">
        <v>736</v>
      </c>
      <c r="D252" s="31"/>
      <c r="E252" s="31">
        <v>6</v>
      </c>
      <c r="F252" s="31">
        <v>8</v>
      </c>
      <c r="G252" s="31">
        <v>32</v>
      </c>
      <c r="H252" s="31">
        <v>1202423</v>
      </c>
      <c r="I252" s="31"/>
      <c r="J252" s="31"/>
      <c r="K252" s="31" t="s">
        <v>750</v>
      </c>
      <c r="L252" s="18">
        <v>800</v>
      </c>
      <c r="M252" s="18"/>
      <c r="N252" s="18" t="s">
        <v>739</v>
      </c>
      <c r="O252" s="18"/>
      <c r="P252" s="18"/>
      <c r="Q252" s="18"/>
      <c r="T252" s="7" t="s">
        <v>751</v>
      </c>
      <c r="U252" s="34">
        <v>28</v>
      </c>
      <c r="V252" s="35" t="s">
        <v>126</v>
      </c>
    </row>
    <row r="253" customHeight="1" spans="1:22">
      <c r="A253" s="31">
        <v>1202009</v>
      </c>
      <c r="B253" s="31">
        <v>1202</v>
      </c>
      <c r="C253" s="31" t="s">
        <v>736</v>
      </c>
      <c r="D253" s="31"/>
      <c r="E253" s="45">
        <v>13</v>
      </c>
      <c r="F253" s="31">
        <v>9</v>
      </c>
      <c r="G253" s="31">
        <v>32</v>
      </c>
      <c r="H253" s="31">
        <v>1202424</v>
      </c>
      <c r="I253" s="31"/>
      <c r="J253" s="31"/>
      <c r="K253" s="31" t="s">
        <v>752</v>
      </c>
      <c r="L253" s="18">
        <v>900</v>
      </c>
      <c r="M253" s="18"/>
      <c r="N253" s="18" t="s">
        <v>739</v>
      </c>
      <c r="O253" s="18"/>
      <c r="P253" s="18"/>
      <c r="Q253" s="18"/>
      <c r="T253" s="7" t="s">
        <v>753</v>
      </c>
      <c r="U253" s="34">
        <v>32</v>
      </c>
      <c r="V253" s="35" t="s">
        <v>128</v>
      </c>
    </row>
    <row r="254" customHeight="1" spans="1:22">
      <c r="A254" s="31">
        <v>1202010</v>
      </c>
      <c r="B254" s="31">
        <v>1202</v>
      </c>
      <c r="C254" s="31" t="s">
        <v>736</v>
      </c>
      <c r="D254" s="31"/>
      <c r="E254" s="31">
        <v>13</v>
      </c>
      <c r="F254" s="31">
        <v>10</v>
      </c>
      <c r="G254" s="31">
        <v>32</v>
      </c>
      <c r="H254" s="31">
        <v>1202425</v>
      </c>
      <c r="I254" s="31"/>
      <c r="J254" s="31"/>
      <c r="K254" s="31" t="s">
        <v>754</v>
      </c>
      <c r="L254" s="18">
        <v>1000</v>
      </c>
      <c r="M254" s="18"/>
      <c r="N254" s="18" t="s">
        <v>739</v>
      </c>
      <c r="O254" s="18"/>
      <c r="P254" s="18"/>
      <c r="Q254" s="18"/>
      <c r="T254" s="7" t="s">
        <v>755</v>
      </c>
      <c r="U254" s="34">
        <v>36</v>
      </c>
      <c r="V254" s="35" t="s">
        <v>130</v>
      </c>
    </row>
    <row r="255" customHeight="1" spans="1:22">
      <c r="A255" s="31">
        <v>1202011</v>
      </c>
      <c r="B255" s="31">
        <v>1202</v>
      </c>
      <c r="C255" s="31" t="s">
        <v>736</v>
      </c>
      <c r="D255" s="31"/>
      <c r="E255" s="31">
        <v>13</v>
      </c>
      <c r="F255" s="31">
        <v>11</v>
      </c>
      <c r="G255" s="31">
        <v>32</v>
      </c>
      <c r="H255" s="31"/>
      <c r="I255" s="31"/>
      <c r="J255" s="31"/>
      <c r="K255" s="31" t="s">
        <v>756</v>
      </c>
      <c r="L255" s="18">
        <v>1100</v>
      </c>
      <c r="M255" s="18"/>
      <c r="N255" s="18" t="s">
        <v>739</v>
      </c>
      <c r="O255" s="18"/>
      <c r="P255" s="18"/>
      <c r="Q255" s="18"/>
      <c r="T255" s="7" t="s">
        <v>757</v>
      </c>
      <c r="U255" s="34">
        <v>40</v>
      </c>
      <c r="V255" s="35" t="s">
        <v>133</v>
      </c>
    </row>
    <row r="256" customHeight="1" spans="1:22">
      <c r="A256" s="31">
        <v>1202012</v>
      </c>
      <c r="B256" s="31">
        <v>1202</v>
      </c>
      <c r="C256" s="31" t="s">
        <v>736</v>
      </c>
      <c r="D256" s="31"/>
      <c r="E256" s="31">
        <v>13</v>
      </c>
      <c r="F256" s="31">
        <v>12</v>
      </c>
      <c r="G256" s="31">
        <v>32</v>
      </c>
      <c r="H256" s="31"/>
      <c r="I256" s="31"/>
      <c r="J256" s="31"/>
      <c r="K256" s="31" t="s">
        <v>758</v>
      </c>
      <c r="L256" s="18">
        <v>1200</v>
      </c>
      <c r="M256" s="18"/>
      <c r="N256" s="18" t="s">
        <v>739</v>
      </c>
      <c r="O256" s="18"/>
      <c r="P256" s="18"/>
      <c r="Q256" s="18"/>
      <c r="T256" s="7" t="s">
        <v>759</v>
      </c>
      <c r="U256" s="34">
        <v>44</v>
      </c>
      <c r="V256" s="35" t="s">
        <v>135</v>
      </c>
    </row>
    <row r="257" customHeight="1" spans="1:22">
      <c r="A257" s="31">
        <v>1202013</v>
      </c>
      <c r="B257" s="31">
        <v>1202</v>
      </c>
      <c r="C257" s="31" t="s">
        <v>736</v>
      </c>
      <c r="D257" s="31"/>
      <c r="E257" s="31">
        <v>13</v>
      </c>
      <c r="F257" s="31">
        <v>13</v>
      </c>
      <c r="G257" s="31">
        <v>32</v>
      </c>
      <c r="H257" s="31"/>
      <c r="I257" s="31"/>
      <c r="J257" s="31"/>
      <c r="K257" s="31" t="s">
        <v>760</v>
      </c>
      <c r="L257" s="18">
        <v>1300</v>
      </c>
      <c r="M257" s="18"/>
      <c r="N257" s="18" t="s">
        <v>739</v>
      </c>
      <c r="O257" s="18"/>
      <c r="P257" s="18"/>
      <c r="Q257" s="18"/>
      <c r="T257" s="7" t="s">
        <v>761</v>
      </c>
      <c r="U257" s="34">
        <v>48</v>
      </c>
      <c r="V257" s="35" t="s">
        <v>137</v>
      </c>
    </row>
    <row r="258" customHeight="1" spans="1:22">
      <c r="A258" s="31">
        <v>1202014</v>
      </c>
      <c r="B258" s="31">
        <v>1202</v>
      </c>
      <c r="C258" s="31" t="s">
        <v>736</v>
      </c>
      <c r="D258" s="31"/>
      <c r="E258" s="45">
        <v>21</v>
      </c>
      <c r="F258" s="31">
        <v>14</v>
      </c>
      <c r="G258" s="31">
        <v>32</v>
      </c>
      <c r="H258" s="31"/>
      <c r="I258" s="31"/>
      <c r="J258" s="31"/>
      <c r="K258" s="31" t="s">
        <v>762</v>
      </c>
      <c r="L258" s="18">
        <v>1400</v>
      </c>
      <c r="M258" s="18"/>
      <c r="N258" s="18" t="s">
        <v>739</v>
      </c>
      <c r="O258" s="18"/>
      <c r="P258" s="18"/>
      <c r="Q258" s="18"/>
      <c r="T258" s="7">
        <v>1202254</v>
      </c>
      <c r="U258" s="34">
        <v>52</v>
      </c>
      <c r="V258" s="35" t="s">
        <v>140</v>
      </c>
    </row>
    <row r="259" customHeight="1" spans="1:22">
      <c r="A259" s="31">
        <v>1202015</v>
      </c>
      <c r="B259" s="31">
        <v>1202</v>
      </c>
      <c r="C259" s="31" t="s">
        <v>736</v>
      </c>
      <c r="D259" s="31"/>
      <c r="E259" s="31">
        <v>21</v>
      </c>
      <c r="F259" s="31">
        <v>15</v>
      </c>
      <c r="G259" s="31">
        <v>32</v>
      </c>
      <c r="H259" s="31"/>
      <c r="I259" s="31"/>
      <c r="J259" s="31"/>
      <c r="K259" s="31" t="s">
        <v>763</v>
      </c>
      <c r="L259" s="18">
        <v>1500</v>
      </c>
      <c r="M259" s="18"/>
      <c r="N259" s="18" t="s">
        <v>739</v>
      </c>
      <c r="O259" s="18"/>
      <c r="P259" s="18"/>
      <c r="Q259" s="18"/>
      <c r="T259" s="7">
        <v>1202262</v>
      </c>
      <c r="U259" s="34">
        <v>56</v>
      </c>
      <c r="V259" s="35" t="s">
        <v>142</v>
      </c>
    </row>
    <row r="260" customHeight="1" spans="1:22">
      <c r="A260" s="31">
        <v>1202016</v>
      </c>
      <c r="B260" s="31">
        <v>1202</v>
      </c>
      <c r="C260" s="31" t="s">
        <v>736</v>
      </c>
      <c r="D260" s="31"/>
      <c r="E260" s="31">
        <v>21</v>
      </c>
      <c r="F260" s="31">
        <v>16</v>
      </c>
      <c r="G260" s="31">
        <v>32</v>
      </c>
      <c r="H260" s="31"/>
      <c r="I260" s="31"/>
      <c r="J260" s="31"/>
      <c r="K260" s="31" t="s">
        <v>764</v>
      </c>
      <c r="L260" s="18">
        <v>1600</v>
      </c>
      <c r="M260" s="18"/>
      <c r="N260" s="18" t="s">
        <v>739</v>
      </c>
      <c r="O260" s="18"/>
      <c r="P260" s="18"/>
      <c r="Q260" s="18"/>
      <c r="T260" s="7">
        <v>1202269</v>
      </c>
      <c r="U260" s="34">
        <v>60</v>
      </c>
      <c r="V260" s="35" t="s">
        <v>144</v>
      </c>
    </row>
    <row r="261" customHeight="1" spans="1:22">
      <c r="A261" s="31">
        <v>1202017</v>
      </c>
      <c r="B261" s="31">
        <v>1202</v>
      </c>
      <c r="C261" s="31" t="s">
        <v>736</v>
      </c>
      <c r="D261" s="31"/>
      <c r="E261" s="31">
        <v>21</v>
      </c>
      <c r="F261" s="31">
        <v>17</v>
      </c>
      <c r="G261" s="31">
        <v>32</v>
      </c>
      <c r="H261" s="31"/>
      <c r="I261" s="31"/>
      <c r="J261" s="31"/>
      <c r="K261" s="31" t="s">
        <v>765</v>
      </c>
      <c r="L261" s="18">
        <v>1700</v>
      </c>
      <c r="M261" s="18"/>
      <c r="N261" s="18" t="s">
        <v>739</v>
      </c>
      <c r="O261" s="18"/>
      <c r="P261" s="18"/>
      <c r="Q261" s="18"/>
      <c r="T261" s="7">
        <v>1202276</v>
      </c>
      <c r="U261" s="34">
        <v>64</v>
      </c>
      <c r="V261" s="35" t="s">
        <v>146</v>
      </c>
    </row>
    <row r="262" customHeight="1" spans="1:22">
      <c r="A262" s="31">
        <v>1202018</v>
      </c>
      <c r="B262" s="31">
        <v>1202</v>
      </c>
      <c r="C262" s="31" t="s">
        <v>736</v>
      </c>
      <c r="D262" s="31"/>
      <c r="E262" s="31">
        <v>21</v>
      </c>
      <c r="F262" s="31">
        <v>18</v>
      </c>
      <c r="G262" s="31">
        <v>32</v>
      </c>
      <c r="H262" s="31"/>
      <c r="I262" s="31"/>
      <c r="J262" s="31"/>
      <c r="K262" s="31" t="s">
        <v>766</v>
      </c>
      <c r="L262" s="18">
        <v>1800</v>
      </c>
      <c r="M262" s="18"/>
      <c r="N262" s="18" t="s">
        <v>739</v>
      </c>
      <c r="O262" s="18"/>
      <c r="P262" s="18"/>
      <c r="Q262" s="18"/>
      <c r="T262" s="7">
        <v>1202283</v>
      </c>
      <c r="U262" s="34">
        <v>68</v>
      </c>
      <c r="V262" s="35" t="s">
        <v>148</v>
      </c>
    </row>
    <row r="263" customHeight="1" spans="1:22">
      <c r="A263" s="31">
        <v>1202019</v>
      </c>
      <c r="B263" s="31">
        <v>1202</v>
      </c>
      <c r="C263" s="31" t="s">
        <v>736</v>
      </c>
      <c r="D263" s="31"/>
      <c r="E263" s="45">
        <v>29</v>
      </c>
      <c r="F263" s="31">
        <v>19</v>
      </c>
      <c r="G263" s="31">
        <v>32</v>
      </c>
      <c r="H263" s="31"/>
      <c r="I263" s="31"/>
      <c r="J263" s="31"/>
      <c r="K263" s="31" t="s">
        <v>767</v>
      </c>
      <c r="L263" s="18">
        <v>1900</v>
      </c>
      <c r="M263" s="18"/>
      <c r="N263" s="18" t="s">
        <v>739</v>
      </c>
      <c r="O263" s="18"/>
      <c r="P263" s="18"/>
      <c r="Q263" s="18"/>
      <c r="T263" s="7">
        <v>1202285</v>
      </c>
      <c r="U263" s="34">
        <v>72</v>
      </c>
      <c r="V263" s="35" t="s">
        <v>150</v>
      </c>
    </row>
    <row r="264" customHeight="1" spans="1:22">
      <c r="A264" s="31">
        <v>1202020</v>
      </c>
      <c r="B264" s="31">
        <v>1202</v>
      </c>
      <c r="C264" s="31" t="s">
        <v>736</v>
      </c>
      <c r="D264" s="31"/>
      <c r="E264" s="31">
        <v>29</v>
      </c>
      <c r="F264" s="31">
        <v>20</v>
      </c>
      <c r="G264" s="31">
        <v>32</v>
      </c>
      <c r="H264" s="31"/>
      <c r="I264" s="31"/>
      <c r="J264" s="31"/>
      <c r="K264" s="31" t="s">
        <v>768</v>
      </c>
      <c r="L264" s="18">
        <v>2000</v>
      </c>
      <c r="M264" s="18"/>
      <c r="N264" s="18" t="s">
        <v>739</v>
      </c>
      <c r="O264" s="18"/>
      <c r="P264" s="18"/>
      <c r="Q264" s="18"/>
      <c r="T264" s="7">
        <v>1202301</v>
      </c>
      <c r="U264" s="34">
        <v>76</v>
      </c>
      <c r="V264" s="35" t="s">
        <v>152</v>
      </c>
    </row>
    <row r="265" customFormat="1" customHeight="1" spans="1:22">
      <c r="A265" s="31">
        <v>1202021</v>
      </c>
      <c r="B265" s="31">
        <v>1202</v>
      </c>
      <c r="C265" s="31" t="s">
        <v>736</v>
      </c>
      <c r="D265" s="31"/>
      <c r="E265" s="31">
        <v>29</v>
      </c>
      <c r="F265" s="31">
        <v>21</v>
      </c>
      <c r="G265" s="31">
        <v>32</v>
      </c>
      <c r="H265" s="31"/>
      <c r="I265" s="31"/>
      <c r="J265" s="31"/>
      <c r="K265" s="31" t="s">
        <v>738</v>
      </c>
      <c r="L265" s="18">
        <v>2100</v>
      </c>
      <c r="M265" s="18"/>
      <c r="N265" s="18" t="s">
        <v>739</v>
      </c>
      <c r="O265" s="18"/>
      <c r="P265" s="18"/>
      <c r="Q265" s="18"/>
      <c r="R265" s="19"/>
      <c r="S265" s="19"/>
      <c r="T265" s="7"/>
      <c r="U265" s="34">
        <v>80</v>
      </c>
      <c r="V265" s="35" t="s">
        <v>107</v>
      </c>
    </row>
    <row r="266" customFormat="1" customHeight="1" spans="1:22">
      <c r="A266" s="31">
        <v>1202022</v>
      </c>
      <c r="B266" s="31">
        <v>1202</v>
      </c>
      <c r="C266" s="31" t="s">
        <v>736</v>
      </c>
      <c r="D266" s="31"/>
      <c r="E266" s="31">
        <v>29</v>
      </c>
      <c r="F266" s="31">
        <v>22</v>
      </c>
      <c r="G266" s="31">
        <v>32</v>
      </c>
      <c r="H266" s="31"/>
      <c r="I266" s="31"/>
      <c r="J266" s="31"/>
      <c r="K266" s="31" t="s">
        <v>743</v>
      </c>
      <c r="L266" s="18">
        <v>2200</v>
      </c>
      <c r="M266" s="18"/>
      <c r="N266" s="18" t="s">
        <v>739</v>
      </c>
      <c r="O266" s="18"/>
      <c r="P266" s="18"/>
      <c r="Q266" s="18"/>
      <c r="R266" s="19"/>
      <c r="S266" s="19"/>
      <c r="T266" s="7"/>
      <c r="U266" s="34">
        <v>84</v>
      </c>
      <c r="V266" s="35" t="s">
        <v>111</v>
      </c>
    </row>
    <row r="267" customFormat="1" customHeight="1" spans="1:22">
      <c r="A267" s="31">
        <v>1202023</v>
      </c>
      <c r="B267" s="31">
        <v>1202</v>
      </c>
      <c r="C267" s="31" t="s">
        <v>736</v>
      </c>
      <c r="D267" s="31"/>
      <c r="E267" s="31">
        <v>29</v>
      </c>
      <c r="F267" s="31">
        <v>23</v>
      </c>
      <c r="G267" s="31">
        <v>32</v>
      </c>
      <c r="H267" s="31"/>
      <c r="I267" s="31"/>
      <c r="J267" s="31"/>
      <c r="K267" s="31" t="s">
        <v>745</v>
      </c>
      <c r="L267" s="18">
        <v>2300</v>
      </c>
      <c r="M267" s="18"/>
      <c r="N267" s="18" t="s">
        <v>739</v>
      </c>
      <c r="O267" s="18"/>
      <c r="P267" s="18"/>
      <c r="Q267" s="18"/>
      <c r="R267" s="19"/>
      <c r="S267" s="19"/>
      <c r="T267" s="7"/>
      <c r="U267" s="34">
        <v>88</v>
      </c>
      <c r="V267" s="35" t="s">
        <v>113</v>
      </c>
    </row>
    <row r="268" customFormat="1" customHeight="1" spans="1:22">
      <c r="A268" s="31">
        <v>1202024</v>
      </c>
      <c r="B268" s="31">
        <v>1202</v>
      </c>
      <c r="C268" s="31" t="s">
        <v>736</v>
      </c>
      <c r="D268" s="31"/>
      <c r="E268" s="45">
        <v>36</v>
      </c>
      <c r="F268" s="31">
        <v>24</v>
      </c>
      <c r="G268" s="31">
        <v>32</v>
      </c>
      <c r="H268" s="31"/>
      <c r="I268" s="31"/>
      <c r="J268" s="31"/>
      <c r="K268" s="31" t="s">
        <v>746</v>
      </c>
      <c r="L268" s="18">
        <v>2400</v>
      </c>
      <c r="M268" s="18"/>
      <c r="N268" s="18" t="s">
        <v>739</v>
      </c>
      <c r="O268" s="18"/>
      <c r="P268" s="18"/>
      <c r="Q268" s="18"/>
      <c r="R268" s="19"/>
      <c r="S268" s="19"/>
      <c r="T268" s="7"/>
      <c r="U268" s="34">
        <v>92</v>
      </c>
      <c r="V268" s="35" t="s">
        <v>117</v>
      </c>
    </row>
    <row r="269" customFormat="1" customHeight="1" spans="1:22">
      <c r="A269" s="31">
        <v>1202025</v>
      </c>
      <c r="B269" s="31">
        <v>1202</v>
      </c>
      <c r="C269" s="31" t="s">
        <v>736</v>
      </c>
      <c r="D269" s="31"/>
      <c r="E269" s="31">
        <v>36</v>
      </c>
      <c r="F269" s="31">
        <v>25</v>
      </c>
      <c r="G269" s="31">
        <v>32</v>
      </c>
      <c r="H269" s="31"/>
      <c r="I269" s="31"/>
      <c r="J269" s="31"/>
      <c r="K269" s="31" t="s">
        <v>747</v>
      </c>
      <c r="L269" s="18">
        <v>2500</v>
      </c>
      <c r="M269" s="18"/>
      <c r="N269" s="18" t="s">
        <v>739</v>
      </c>
      <c r="O269" s="18"/>
      <c r="P269" s="18"/>
      <c r="Q269" s="18"/>
      <c r="R269" s="19"/>
      <c r="S269" s="19"/>
      <c r="T269" s="7"/>
      <c r="U269" s="34">
        <v>96</v>
      </c>
      <c r="V269" s="35" t="s">
        <v>119</v>
      </c>
    </row>
    <row r="270" customFormat="1" customHeight="1" spans="1:22">
      <c r="A270" s="31">
        <v>1202026</v>
      </c>
      <c r="B270" s="31">
        <v>1202</v>
      </c>
      <c r="C270" s="31" t="s">
        <v>736</v>
      </c>
      <c r="D270" s="31"/>
      <c r="E270" s="31">
        <v>36</v>
      </c>
      <c r="F270" s="31">
        <v>26</v>
      </c>
      <c r="G270" s="31">
        <v>32</v>
      </c>
      <c r="H270" s="31"/>
      <c r="I270" s="31"/>
      <c r="J270" s="31"/>
      <c r="K270" s="31" t="s">
        <v>748</v>
      </c>
      <c r="L270" s="18">
        <v>2600</v>
      </c>
      <c r="M270" s="18"/>
      <c r="N270" s="18" t="s">
        <v>739</v>
      </c>
      <c r="O270" s="18"/>
      <c r="P270" s="18"/>
      <c r="Q270" s="18"/>
      <c r="R270" s="19"/>
      <c r="S270" s="19"/>
      <c r="T270" s="7"/>
      <c r="U270" s="34">
        <v>100</v>
      </c>
      <c r="V270" s="35" t="s">
        <v>121</v>
      </c>
    </row>
    <row r="271" customFormat="1" customHeight="1" spans="1:22">
      <c r="A271" s="31">
        <v>1202027</v>
      </c>
      <c r="B271" s="31">
        <v>1202</v>
      </c>
      <c r="C271" s="31" t="s">
        <v>736</v>
      </c>
      <c r="D271" s="31"/>
      <c r="E271" s="31">
        <v>36</v>
      </c>
      <c r="F271" s="31">
        <v>27</v>
      </c>
      <c r="G271" s="31">
        <v>32</v>
      </c>
      <c r="H271" s="31"/>
      <c r="I271" s="31"/>
      <c r="J271" s="31"/>
      <c r="K271" s="31" t="s">
        <v>749</v>
      </c>
      <c r="L271" s="18">
        <v>2700</v>
      </c>
      <c r="M271" s="18"/>
      <c r="N271" s="18" t="s">
        <v>739</v>
      </c>
      <c r="O271" s="18"/>
      <c r="P271" s="18"/>
      <c r="Q271" s="18"/>
      <c r="R271" s="19"/>
      <c r="S271" s="19"/>
      <c r="T271" s="7"/>
      <c r="U271" s="34">
        <v>104</v>
      </c>
      <c r="V271" s="35" t="s">
        <v>123</v>
      </c>
    </row>
    <row r="272" customFormat="1" customHeight="1" spans="1:22">
      <c r="A272" s="31">
        <v>1202028</v>
      </c>
      <c r="B272" s="31">
        <v>1202</v>
      </c>
      <c r="C272" s="31" t="s">
        <v>736</v>
      </c>
      <c r="D272" s="31"/>
      <c r="E272" s="31">
        <v>36</v>
      </c>
      <c r="F272" s="31">
        <v>28</v>
      </c>
      <c r="G272" s="31">
        <v>32</v>
      </c>
      <c r="H272" s="31"/>
      <c r="I272" s="31"/>
      <c r="J272" s="31"/>
      <c r="K272" s="31" t="s">
        <v>750</v>
      </c>
      <c r="L272" s="18">
        <v>2800</v>
      </c>
      <c r="M272" s="18"/>
      <c r="N272" s="18" t="s">
        <v>739</v>
      </c>
      <c r="O272" s="18"/>
      <c r="P272" s="18"/>
      <c r="Q272" s="18"/>
      <c r="R272" s="19"/>
      <c r="S272" s="19"/>
      <c r="T272" s="7"/>
      <c r="U272" s="34">
        <v>108</v>
      </c>
      <c r="V272" s="35" t="s">
        <v>126</v>
      </c>
    </row>
    <row r="273" customFormat="1" customHeight="1" spans="1:22">
      <c r="A273" s="31">
        <v>1202029</v>
      </c>
      <c r="B273" s="31">
        <v>1202</v>
      </c>
      <c r="C273" s="31" t="s">
        <v>736</v>
      </c>
      <c r="D273" s="31"/>
      <c r="E273" s="45">
        <v>44</v>
      </c>
      <c r="F273" s="31">
        <v>29</v>
      </c>
      <c r="G273" s="31">
        <v>32</v>
      </c>
      <c r="H273" s="31"/>
      <c r="I273" s="31"/>
      <c r="J273" s="31"/>
      <c r="K273" s="31" t="s">
        <v>752</v>
      </c>
      <c r="L273" s="18">
        <v>2900</v>
      </c>
      <c r="M273" s="18"/>
      <c r="N273" s="18" t="s">
        <v>739</v>
      </c>
      <c r="O273" s="18"/>
      <c r="P273" s="18"/>
      <c r="Q273" s="18"/>
      <c r="R273" s="19"/>
      <c r="S273" s="19"/>
      <c r="T273" s="7"/>
      <c r="U273" s="34">
        <v>112</v>
      </c>
      <c r="V273" s="35" t="s">
        <v>128</v>
      </c>
    </row>
    <row r="274" customFormat="1" customHeight="1" spans="1:22">
      <c r="A274" s="31">
        <v>1202030</v>
      </c>
      <c r="B274" s="31">
        <v>1202</v>
      </c>
      <c r="C274" s="31" t="s">
        <v>736</v>
      </c>
      <c r="D274" s="31"/>
      <c r="E274" s="31">
        <v>44</v>
      </c>
      <c r="F274" s="31">
        <v>30</v>
      </c>
      <c r="G274" s="31">
        <v>32</v>
      </c>
      <c r="H274" s="31"/>
      <c r="I274" s="31"/>
      <c r="J274" s="31"/>
      <c r="K274" s="31" t="s">
        <v>754</v>
      </c>
      <c r="L274" s="18">
        <v>3000</v>
      </c>
      <c r="M274" s="18"/>
      <c r="N274" s="18" t="s">
        <v>739</v>
      </c>
      <c r="O274" s="18"/>
      <c r="P274" s="18"/>
      <c r="Q274" s="18"/>
      <c r="R274" s="19"/>
      <c r="S274" s="19"/>
      <c r="T274" s="7"/>
      <c r="U274" s="34">
        <v>116</v>
      </c>
      <c r="V274" s="35" t="s">
        <v>130</v>
      </c>
    </row>
    <row r="275" customFormat="1" customHeight="1" spans="1:22">
      <c r="A275" s="31">
        <v>1202031</v>
      </c>
      <c r="B275" s="31">
        <v>1202</v>
      </c>
      <c r="C275" s="31" t="s">
        <v>736</v>
      </c>
      <c r="D275" s="31"/>
      <c r="E275" s="31">
        <v>44</v>
      </c>
      <c r="F275" s="31">
        <v>31</v>
      </c>
      <c r="G275" s="31">
        <v>32</v>
      </c>
      <c r="H275" s="31"/>
      <c r="I275" s="31"/>
      <c r="J275" s="31"/>
      <c r="K275" s="31" t="s">
        <v>756</v>
      </c>
      <c r="L275" s="18">
        <v>3100</v>
      </c>
      <c r="M275" s="18"/>
      <c r="N275" s="18" t="s">
        <v>739</v>
      </c>
      <c r="O275" s="18"/>
      <c r="P275" s="18"/>
      <c r="Q275" s="18"/>
      <c r="R275" s="19"/>
      <c r="S275" s="19"/>
      <c r="T275" s="7"/>
      <c r="U275" s="34">
        <v>120</v>
      </c>
      <c r="V275" s="35" t="s">
        <v>133</v>
      </c>
    </row>
    <row r="276" customFormat="1" customHeight="1" spans="1:22">
      <c r="A276" s="31">
        <v>1202032</v>
      </c>
      <c r="B276" s="31">
        <v>1202</v>
      </c>
      <c r="C276" s="31" t="s">
        <v>736</v>
      </c>
      <c r="D276" s="31"/>
      <c r="E276" s="31">
        <v>44</v>
      </c>
      <c r="F276" s="31">
        <v>32</v>
      </c>
      <c r="G276" s="31">
        <v>32</v>
      </c>
      <c r="H276" s="31"/>
      <c r="I276" s="31"/>
      <c r="J276" s="31"/>
      <c r="K276" s="31" t="s">
        <v>758</v>
      </c>
      <c r="L276" s="18">
        <v>3200</v>
      </c>
      <c r="M276" s="18"/>
      <c r="N276" s="18" t="s">
        <v>739</v>
      </c>
      <c r="O276" s="18"/>
      <c r="P276" s="18"/>
      <c r="Q276" s="18"/>
      <c r="R276" s="19"/>
      <c r="S276" s="19"/>
      <c r="T276" s="7"/>
      <c r="U276" s="34">
        <v>124</v>
      </c>
      <c r="V276" s="35" t="s">
        <v>135</v>
      </c>
    </row>
    <row r="277" customFormat="1" customHeight="1" spans="1:22">
      <c r="A277" s="31">
        <v>1202033</v>
      </c>
      <c r="B277" s="31">
        <v>1202</v>
      </c>
      <c r="C277" s="31" t="s">
        <v>736</v>
      </c>
      <c r="D277" s="31"/>
      <c r="E277" s="31">
        <v>44</v>
      </c>
      <c r="F277" s="31">
        <v>33</v>
      </c>
      <c r="G277" s="31">
        <v>32</v>
      </c>
      <c r="H277" s="31"/>
      <c r="I277" s="31"/>
      <c r="J277" s="31"/>
      <c r="K277" s="31" t="s">
        <v>760</v>
      </c>
      <c r="L277" s="18">
        <v>3300</v>
      </c>
      <c r="M277" s="18"/>
      <c r="N277" s="18" t="s">
        <v>739</v>
      </c>
      <c r="O277" s="18"/>
      <c r="P277" s="18"/>
      <c r="Q277" s="18"/>
      <c r="R277" s="19"/>
      <c r="S277" s="19"/>
      <c r="T277" s="7"/>
      <c r="U277" s="34">
        <v>128</v>
      </c>
      <c r="V277" s="35" t="s">
        <v>137</v>
      </c>
    </row>
    <row r="278" customFormat="1" customHeight="1" spans="1:22">
      <c r="A278" s="31">
        <v>1202034</v>
      </c>
      <c r="B278" s="31">
        <v>1202</v>
      </c>
      <c r="C278" s="31" t="s">
        <v>736</v>
      </c>
      <c r="D278" s="31"/>
      <c r="E278" s="45">
        <v>51</v>
      </c>
      <c r="F278" s="31">
        <v>34</v>
      </c>
      <c r="G278" s="31">
        <v>32</v>
      </c>
      <c r="H278" s="31"/>
      <c r="I278" s="31"/>
      <c r="J278" s="31"/>
      <c r="K278" s="31" t="s">
        <v>762</v>
      </c>
      <c r="L278" s="18">
        <v>3400</v>
      </c>
      <c r="M278" s="18"/>
      <c r="N278" s="18" t="s">
        <v>739</v>
      </c>
      <c r="O278" s="18"/>
      <c r="P278" s="18"/>
      <c r="Q278" s="18"/>
      <c r="R278" s="19"/>
      <c r="S278" s="19"/>
      <c r="T278" s="7"/>
      <c r="U278" s="34">
        <v>132</v>
      </c>
      <c r="V278" s="35" t="s">
        <v>140</v>
      </c>
    </row>
    <row r="279" customFormat="1" customHeight="1" spans="1:22">
      <c r="A279" s="31">
        <v>1202035</v>
      </c>
      <c r="B279" s="31">
        <v>1202</v>
      </c>
      <c r="C279" s="31" t="s">
        <v>736</v>
      </c>
      <c r="D279" s="31"/>
      <c r="E279" s="31">
        <v>51</v>
      </c>
      <c r="F279" s="31">
        <v>35</v>
      </c>
      <c r="G279" s="31">
        <v>32</v>
      </c>
      <c r="H279" s="31"/>
      <c r="I279" s="31"/>
      <c r="J279" s="31"/>
      <c r="K279" s="31" t="s">
        <v>763</v>
      </c>
      <c r="L279" s="18">
        <v>3500</v>
      </c>
      <c r="M279" s="18"/>
      <c r="N279" s="18" t="s">
        <v>739</v>
      </c>
      <c r="O279" s="18"/>
      <c r="P279" s="18"/>
      <c r="Q279" s="18"/>
      <c r="R279" s="19"/>
      <c r="S279" s="19"/>
      <c r="T279" s="7"/>
      <c r="U279" s="34">
        <v>136</v>
      </c>
      <c r="V279" s="35" t="s">
        <v>142</v>
      </c>
    </row>
    <row r="280" customFormat="1" customHeight="1" spans="1:22">
      <c r="A280" s="31">
        <v>1202036</v>
      </c>
      <c r="B280" s="31">
        <v>1202</v>
      </c>
      <c r="C280" s="31" t="s">
        <v>736</v>
      </c>
      <c r="D280" s="31"/>
      <c r="E280" s="31">
        <v>51</v>
      </c>
      <c r="F280" s="31">
        <v>36</v>
      </c>
      <c r="G280" s="31">
        <v>32</v>
      </c>
      <c r="H280" s="31"/>
      <c r="I280" s="31"/>
      <c r="J280" s="31"/>
      <c r="K280" s="31" t="s">
        <v>764</v>
      </c>
      <c r="L280" s="18">
        <v>3600</v>
      </c>
      <c r="M280" s="18"/>
      <c r="N280" s="18" t="s">
        <v>739</v>
      </c>
      <c r="O280" s="18"/>
      <c r="P280" s="18"/>
      <c r="Q280" s="18"/>
      <c r="R280" s="19"/>
      <c r="S280" s="19"/>
      <c r="T280" s="7"/>
      <c r="U280" s="34">
        <v>140</v>
      </c>
      <c r="V280" s="35" t="s">
        <v>144</v>
      </c>
    </row>
    <row r="281" customFormat="1" customHeight="1" spans="1:22">
      <c r="A281" s="31">
        <v>1202037</v>
      </c>
      <c r="B281" s="31">
        <v>1202</v>
      </c>
      <c r="C281" s="31" t="s">
        <v>736</v>
      </c>
      <c r="D281" s="31"/>
      <c r="E281" s="31">
        <v>51</v>
      </c>
      <c r="F281" s="31">
        <v>37</v>
      </c>
      <c r="G281" s="31">
        <v>32</v>
      </c>
      <c r="H281" s="31"/>
      <c r="I281" s="31"/>
      <c r="J281" s="31"/>
      <c r="K281" s="31" t="s">
        <v>765</v>
      </c>
      <c r="L281" s="18">
        <v>3700</v>
      </c>
      <c r="M281" s="18"/>
      <c r="N281" s="18" t="s">
        <v>739</v>
      </c>
      <c r="O281" s="18"/>
      <c r="P281" s="18"/>
      <c r="Q281" s="18"/>
      <c r="R281" s="19"/>
      <c r="S281" s="19"/>
      <c r="T281" s="7"/>
      <c r="U281" s="34">
        <v>144</v>
      </c>
      <c r="V281" s="35" t="s">
        <v>146</v>
      </c>
    </row>
    <row r="282" customFormat="1" customHeight="1" spans="1:22">
      <c r="A282" s="31">
        <v>1202038</v>
      </c>
      <c r="B282" s="31">
        <v>1202</v>
      </c>
      <c r="C282" s="31" t="s">
        <v>736</v>
      </c>
      <c r="D282" s="31"/>
      <c r="E282" s="31">
        <v>51</v>
      </c>
      <c r="F282" s="31">
        <v>38</v>
      </c>
      <c r="G282" s="31">
        <v>32</v>
      </c>
      <c r="H282" s="31"/>
      <c r="I282" s="31"/>
      <c r="J282" s="31"/>
      <c r="K282" s="31" t="s">
        <v>766</v>
      </c>
      <c r="L282" s="18">
        <v>3800</v>
      </c>
      <c r="M282" s="18"/>
      <c r="N282" s="18" t="s">
        <v>739</v>
      </c>
      <c r="O282" s="18"/>
      <c r="P282" s="18"/>
      <c r="Q282" s="18"/>
      <c r="R282" s="19"/>
      <c r="S282" s="19"/>
      <c r="T282" s="7"/>
      <c r="U282" s="34">
        <v>148</v>
      </c>
      <c r="V282" s="35" t="s">
        <v>148</v>
      </c>
    </row>
    <row r="283" customFormat="1" customHeight="1" spans="1:22">
      <c r="A283" s="31">
        <v>1202039</v>
      </c>
      <c r="B283" s="31">
        <v>1202</v>
      </c>
      <c r="C283" s="31" t="s">
        <v>736</v>
      </c>
      <c r="D283" s="31"/>
      <c r="E283" s="45">
        <v>59</v>
      </c>
      <c r="F283" s="31">
        <v>39</v>
      </c>
      <c r="G283" s="31">
        <v>32</v>
      </c>
      <c r="H283" s="31"/>
      <c r="I283" s="31"/>
      <c r="J283" s="31"/>
      <c r="K283" s="31" t="s">
        <v>767</v>
      </c>
      <c r="L283" s="18">
        <v>3900</v>
      </c>
      <c r="M283" s="18"/>
      <c r="N283" s="18" t="s">
        <v>739</v>
      </c>
      <c r="O283" s="18"/>
      <c r="P283" s="18"/>
      <c r="Q283" s="18"/>
      <c r="R283" s="19"/>
      <c r="S283" s="19"/>
      <c r="T283" s="7"/>
      <c r="U283" s="34">
        <v>152</v>
      </c>
      <c r="V283" s="35" t="s">
        <v>150</v>
      </c>
    </row>
    <row r="284" customFormat="1" customHeight="1" spans="1:22">
      <c r="A284" s="31">
        <v>1202040</v>
      </c>
      <c r="B284" s="31">
        <v>1202</v>
      </c>
      <c r="C284" s="31" t="s">
        <v>736</v>
      </c>
      <c r="D284" s="31"/>
      <c r="E284" s="31">
        <v>59</v>
      </c>
      <c r="F284" s="31">
        <v>40</v>
      </c>
      <c r="G284" s="31">
        <v>32</v>
      </c>
      <c r="H284" s="31"/>
      <c r="I284" s="31"/>
      <c r="J284" s="31"/>
      <c r="K284" s="31" t="s">
        <v>768</v>
      </c>
      <c r="L284" s="18">
        <v>4000</v>
      </c>
      <c r="M284" s="18"/>
      <c r="N284" s="18" t="s">
        <v>739</v>
      </c>
      <c r="O284" s="18"/>
      <c r="P284" s="18"/>
      <c r="Q284" s="18"/>
      <c r="R284" s="19"/>
      <c r="S284" s="19"/>
      <c r="T284" s="7"/>
      <c r="U284" s="34">
        <v>156</v>
      </c>
      <c r="V284" s="35" t="s">
        <v>152</v>
      </c>
    </row>
    <row r="285" s="14" customFormat="1" customHeight="1" spans="1:22">
      <c r="A285" s="37">
        <v>1301001</v>
      </c>
      <c r="B285" s="37">
        <v>1301</v>
      </c>
      <c r="C285" s="37" t="s">
        <v>769</v>
      </c>
      <c r="D285" s="37"/>
      <c r="E285" s="31">
        <v>1</v>
      </c>
      <c r="F285" s="37">
        <v>1</v>
      </c>
      <c r="G285" s="38">
        <v>3</v>
      </c>
      <c r="H285" s="38"/>
      <c r="I285" s="38"/>
      <c r="J285" s="38"/>
      <c r="K285" s="37" t="s">
        <v>738</v>
      </c>
      <c r="L285" s="38">
        <v>100</v>
      </c>
      <c r="M285" s="38"/>
      <c r="N285" s="18" t="s">
        <v>103</v>
      </c>
      <c r="R285" s="39" t="s">
        <v>770</v>
      </c>
      <c r="S285" s="39" t="s">
        <v>771</v>
      </c>
      <c r="T285" s="8" t="s">
        <v>772</v>
      </c>
      <c r="U285" s="40">
        <v>1</v>
      </c>
      <c r="V285" s="35" t="s">
        <v>55</v>
      </c>
    </row>
    <row r="286" s="14" customFormat="1" customHeight="1" outlineLevel="1" spans="1:22">
      <c r="A286" s="37">
        <v>1301002</v>
      </c>
      <c r="B286" s="37">
        <v>1301</v>
      </c>
      <c r="C286" s="37" t="s">
        <v>769</v>
      </c>
      <c r="D286" s="37"/>
      <c r="E286" s="31">
        <v>1</v>
      </c>
      <c r="F286" s="37">
        <v>2</v>
      </c>
      <c r="G286" s="38">
        <v>3</v>
      </c>
      <c r="H286" s="14"/>
      <c r="I286" s="38"/>
      <c r="J286" s="38"/>
      <c r="K286" s="37" t="s">
        <v>743</v>
      </c>
      <c r="L286" s="38">
        <v>500</v>
      </c>
      <c r="M286" s="38"/>
      <c r="N286" s="18" t="s">
        <v>103</v>
      </c>
      <c r="R286" s="39"/>
      <c r="S286" s="39"/>
      <c r="T286" s="8" t="s">
        <v>773</v>
      </c>
      <c r="U286" s="40">
        <v>2</v>
      </c>
      <c r="V286" s="35" t="s">
        <v>59</v>
      </c>
    </row>
    <row r="287" s="14" customFormat="1" customHeight="1" outlineLevel="1" spans="1:22">
      <c r="A287" s="37">
        <v>1301003</v>
      </c>
      <c r="B287" s="37">
        <v>1301</v>
      </c>
      <c r="C287" s="37" t="s">
        <v>769</v>
      </c>
      <c r="D287" s="37"/>
      <c r="E287" s="31">
        <v>1</v>
      </c>
      <c r="F287" s="37">
        <v>3</v>
      </c>
      <c r="G287" s="38">
        <v>3</v>
      </c>
      <c r="H287" s="14"/>
      <c r="I287" s="38"/>
      <c r="J287" s="38"/>
      <c r="K287" s="37" t="s">
        <v>745</v>
      </c>
      <c r="L287" s="38">
        <v>900</v>
      </c>
      <c r="M287" s="38"/>
      <c r="N287" s="18" t="s">
        <v>103</v>
      </c>
      <c r="R287" s="39"/>
      <c r="S287" s="39"/>
      <c r="T287" s="8"/>
      <c r="U287" s="40">
        <v>4</v>
      </c>
      <c r="V287" s="35" t="s">
        <v>61</v>
      </c>
    </row>
    <row r="288" s="14" customFormat="1" customHeight="1" outlineLevel="1" spans="1:22">
      <c r="A288" s="37">
        <v>1301004</v>
      </c>
      <c r="B288" s="37">
        <v>1301</v>
      </c>
      <c r="C288" s="37" t="s">
        <v>769</v>
      </c>
      <c r="D288" s="37"/>
      <c r="E288" s="31">
        <v>1</v>
      </c>
      <c r="F288" s="37">
        <v>4</v>
      </c>
      <c r="G288" s="38">
        <v>3</v>
      </c>
      <c r="H288" s="14"/>
      <c r="I288" s="38"/>
      <c r="J288" s="38"/>
      <c r="K288" s="37" t="s">
        <v>746</v>
      </c>
      <c r="L288" s="38">
        <v>1300</v>
      </c>
      <c r="M288" s="38"/>
      <c r="N288" s="18" t="s">
        <v>103</v>
      </c>
      <c r="R288" s="39"/>
      <c r="S288" s="39"/>
      <c r="T288" s="8"/>
      <c r="U288" s="40">
        <v>6</v>
      </c>
      <c r="V288" s="35" t="s">
        <v>64</v>
      </c>
    </row>
    <row r="289" s="14" customFormat="1" customHeight="1" outlineLevel="1" spans="1:22">
      <c r="A289" s="37">
        <v>1301005</v>
      </c>
      <c r="B289" s="37">
        <v>1301</v>
      </c>
      <c r="C289" s="37" t="s">
        <v>769</v>
      </c>
      <c r="D289" s="37"/>
      <c r="E289" s="31">
        <v>1</v>
      </c>
      <c r="F289" s="37">
        <v>5</v>
      </c>
      <c r="G289" s="38">
        <v>3</v>
      </c>
      <c r="H289" s="14"/>
      <c r="I289" s="38"/>
      <c r="J289" s="38"/>
      <c r="K289" s="37" t="s">
        <v>747</v>
      </c>
      <c r="L289" s="38">
        <v>1700</v>
      </c>
      <c r="M289" s="38"/>
      <c r="N289" s="18" t="s">
        <v>103</v>
      </c>
      <c r="R289" s="39"/>
      <c r="S289" s="39"/>
      <c r="T289" s="8"/>
      <c r="U289" s="40">
        <v>8</v>
      </c>
      <c r="V289" s="35" t="s">
        <v>66</v>
      </c>
    </row>
    <row r="290" s="14" customFormat="1" customHeight="1" outlineLevel="1" spans="1:22">
      <c r="A290" s="37">
        <v>1301006</v>
      </c>
      <c r="B290" s="37">
        <v>1301</v>
      </c>
      <c r="C290" s="37" t="s">
        <v>769</v>
      </c>
      <c r="D290" s="37"/>
      <c r="E290" s="31">
        <v>1</v>
      </c>
      <c r="F290" s="37">
        <v>6</v>
      </c>
      <c r="G290" s="38">
        <v>3</v>
      </c>
      <c r="H290" s="14"/>
      <c r="I290" s="38"/>
      <c r="J290" s="38"/>
      <c r="K290" s="37" t="s">
        <v>748</v>
      </c>
      <c r="L290" s="38">
        <v>2100</v>
      </c>
      <c r="M290" s="38"/>
      <c r="N290" s="18" t="s">
        <v>103</v>
      </c>
      <c r="R290" s="39"/>
      <c r="S290" s="39"/>
      <c r="T290" s="8"/>
      <c r="U290" s="40">
        <v>10</v>
      </c>
      <c r="V290" s="35" t="s">
        <v>68</v>
      </c>
    </row>
    <row r="291" s="14" customFormat="1" customHeight="1" outlineLevel="1" spans="1:22">
      <c r="A291" s="37">
        <v>1301007</v>
      </c>
      <c r="B291" s="37">
        <v>1301</v>
      </c>
      <c r="C291" s="37" t="s">
        <v>769</v>
      </c>
      <c r="D291" s="37"/>
      <c r="E291" s="31">
        <v>1</v>
      </c>
      <c r="F291" s="37">
        <v>7</v>
      </c>
      <c r="G291" s="38">
        <v>3</v>
      </c>
      <c r="H291" s="14"/>
      <c r="I291" s="38"/>
      <c r="J291" s="38"/>
      <c r="K291" s="37" t="s">
        <v>749</v>
      </c>
      <c r="L291" s="38">
        <v>2500</v>
      </c>
      <c r="M291" s="38"/>
      <c r="N291" s="18" t="s">
        <v>103</v>
      </c>
      <c r="R291" s="39"/>
      <c r="S291" s="39"/>
      <c r="T291" s="8"/>
      <c r="U291" s="40">
        <v>12</v>
      </c>
      <c r="V291" s="35" t="s">
        <v>70</v>
      </c>
    </row>
    <row r="292" s="14" customFormat="1" customHeight="1" outlineLevel="1" spans="1:22">
      <c r="A292" s="37">
        <v>1301008</v>
      </c>
      <c r="B292" s="37">
        <v>1301</v>
      </c>
      <c r="C292" s="37" t="s">
        <v>769</v>
      </c>
      <c r="D292" s="37"/>
      <c r="E292" s="31">
        <v>11</v>
      </c>
      <c r="F292" s="37">
        <v>8</v>
      </c>
      <c r="G292" s="38">
        <v>3</v>
      </c>
      <c r="H292" s="14"/>
      <c r="I292" s="38"/>
      <c r="J292" s="38"/>
      <c r="K292" s="37" t="s">
        <v>750</v>
      </c>
      <c r="L292" s="38">
        <v>2900</v>
      </c>
      <c r="M292" s="38"/>
      <c r="N292" s="18" t="s">
        <v>103</v>
      </c>
      <c r="R292" s="39"/>
      <c r="S292" s="39"/>
      <c r="T292" s="8"/>
      <c r="U292" s="40">
        <v>14</v>
      </c>
      <c r="V292" s="35" t="s">
        <v>73</v>
      </c>
    </row>
    <row r="293" s="14" customFormat="1" customHeight="1" outlineLevel="1" spans="1:22">
      <c r="A293" s="37">
        <v>1301009</v>
      </c>
      <c r="B293" s="37">
        <v>1301</v>
      </c>
      <c r="C293" s="37" t="s">
        <v>769</v>
      </c>
      <c r="D293" s="37"/>
      <c r="E293" s="31">
        <v>11</v>
      </c>
      <c r="F293" s="37">
        <v>9</v>
      </c>
      <c r="G293" s="38">
        <v>3</v>
      </c>
      <c r="H293" s="14"/>
      <c r="I293" s="38"/>
      <c r="J293" s="38"/>
      <c r="K293" s="37" t="s">
        <v>752</v>
      </c>
      <c r="L293" s="38">
        <v>3300</v>
      </c>
      <c r="M293" s="38"/>
      <c r="N293" s="18" t="s">
        <v>103</v>
      </c>
      <c r="R293" s="39"/>
      <c r="S293" s="39"/>
      <c r="T293" s="8"/>
      <c r="U293" s="40">
        <v>16</v>
      </c>
      <c r="V293" s="35" t="s">
        <v>75</v>
      </c>
    </row>
    <row r="294" s="14" customFormat="1" customHeight="1" outlineLevel="1" spans="1:22">
      <c r="A294" s="37">
        <v>1301010</v>
      </c>
      <c r="B294" s="37">
        <v>1301</v>
      </c>
      <c r="C294" s="37" t="s">
        <v>769</v>
      </c>
      <c r="D294" s="37"/>
      <c r="E294" s="31">
        <v>11</v>
      </c>
      <c r="F294" s="37">
        <v>10</v>
      </c>
      <c r="G294" s="38">
        <v>3</v>
      </c>
      <c r="H294" s="14"/>
      <c r="I294" s="38"/>
      <c r="J294" s="38"/>
      <c r="K294" s="37" t="s">
        <v>754</v>
      </c>
      <c r="L294" s="38">
        <v>3700</v>
      </c>
      <c r="M294" s="38"/>
      <c r="N294" s="18" t="s">
        <v>103</v>
      </c>
      <c r="R294" s="39"/>
      <c r="S294" s="39"/>
      <c r="T294" s="8"/>
      <c r="U294" s="40">
        <v>18</v>
      </c>
      <c r="V294" s="35" t="s">
        <v>77</v>
      </c>
    </row>
    <row r="295" s="14" customFormat="1" customHeight="1" outlineLevel="1" spans="1:22">
      <c r="A295" s="37">
        <v>1301011</v>
      </c>
      <c r="B295" s="37">
        <v>1301</v>
      </c>
      <c r="C295" s="37" t="s">
        <v>769</v>
      </c>
      <c r="D295" s="37"/>
      <c r="E295" s="31">
        <v>11</v>
      </c>
      <c r="F295" s="37">
        <v>11</v>
      </c>
      <c r="G295" s="38">
        <v>3</v>
      </c>
      <c r="H295" s="14"/>
      <c r="I295" s="38"/>
      <c r="J295" s="38"/>
      <c r="K295" s="37" t="s">
        <v>756</v>
      </c>
      <c r="L295" s="38">
        <v>4100</v>
      </c>
      <c r="M295" s="38"/>
      <c r="N295" s="18" t="s">
        <v>103</v>
      </c>
      <c r="R295" s="39"/>
      <c r="S295" s="39"/>
      <c r="T295" s="8"/>
      <c r="U295" s="40">
        <v>20</v>
      </c>
      <c r="V295" s="35" t="s">
        <v>80</v>
      </c>
    </row>
    <row r="296" s="14" customFormat="1" customHeight="1" outlineLevel="1" spans="1:22">
      <c r="A296" s="37">
        <v>1301012</v>
      </c>
      <c r="B296" s="37">
        <v>1301</v>
      </c>
      <c r="C296" s="37" t="s">
        <v>769</v>
      </c>
      <c r="D296" s="37"/>
      <c r="E296" s="31">
        <v>11</v>
      </c>
      <c r="F296" s="37">
        <v>12</v>
      </c>
      <c r="G296" s="38">
        <v>3</v>
      </c>
      <c r="H296" s="14"/>
      <c r="I296" s="38"/>
      <c r="J296" s="38"/>
      <c r="K296" s="37" t="s">
        <v>758</v>
      </c>
      <c r="L296" s="38">
        <v>4500</v>
      </c>
      <c r="M296" s="38"/>
      <c r="N296" s="18" t="s">
        <v>103</v>
      </c>
      <c r="R296" s="39"/>
      <c r="S296" s="39"/>
      <c r="T296" s="8"/>
      <c r="U296" s="40">
        <v>22</v>
      </c>
      <c r="V296" s="35" t="s">
        <v>82</v>
      </c>
    </row>
    <row r="297" s="14" customFormat="1" customHeight="1" outlineLevel="1" spans="1:22">
      <c r="A297" s="37">
        <v>1301013</v>
      </c>
      <c r="B297" s="37">
        <v>1301</v>
      </c>
      <c r="C297" s="37" t="s">
        <v>769</v>
      </c>
      <c r="D297" s="37"/>
      <c r="E297" s="31">
        <v>19</v>
      </c>
      <c r="F297" s="37">
        <v>13</v>
      </c>
      <c r="G297" s="38">
        <v>3</v>
      </c>
      <c r="H297" s="14"/>
      <c r="I297" s="38"/>
      <c r="J297" s="38"/>
      <c r="K297" s="37" t="s">
        <v>760</v>
      </c>
      <c r="L297" s="38">
        <v>4900</v>
      </c>
      <c r="M297" s="38"/>
      <c r="N297" s="18" t="s">
        <v>103</v>
      </c>
      <c r="R297" s="39"/>
      <c r="S297" s="39"/>
      <c r="T297" s="8" t="s">
        <v>774</v>
      </c>
      <c r="U297" s="40">
        <v>24</v>
      </c>
      <c r="V297" s="35" t="s">
        <v>84</v>
      </c>
    </row>
    <row r="298" s="14" customFormat="1" customHeight="1" outlineLevel="1" spans="1:22">
      <c r="A298" s="37">
        <v>1301014</v>
      </c>
      <c r="B298" s="37">
        <v>1301</v>
      </c>
      <c r="C298" s="37" t="s">
        <v>769</v>
      </c>
      <c r="D298" s="37"/>
      <c r="E298" s="31">
        <v>19</v>
      </c>
      <c r="F298" s="37">
        <v>14</v>
      </c>
      <c r="G298" s="38">
        <v>3</v>
      </c>
      <c r="H298" s="14"/>
      <c r="I298" s="38"/>
      <c r="J298" s="38"/>
      <c r="K298" s="37" t="s">
        <v>762</v>
      </c>
      <c r="L298" s="38">
        <v>5300</v>
      </c>
      <c r="M298" s="38"/>
      <c r="N298" s="18" t="s">
        <v>103</v>
      </c>
      <c r="R298" s="39"/>
      <c r="S298" s="39"/>
      <c r="T298" s="8" t="s">
        <v>774</v>
      </c>
      <c r="U298" s="40">
        <v>26</v>
      </c>
      <c r="V298" s="35" t="s">
        <v>86</v>
      </c>
    </row>
    <row r="299" s="14" customFormat="1" customHeight="1" outlineLevel="1" spans="1:22">
      <c r="A299" s="37">
        <v>1301015</v>
      </c>
      <c r="B299" s="37">
        <v>1301</v>
      </c>
      <c r="C299" s="37" t="s">
        <v>769</v>
      </c>
      <c r="D299" s="37"/>
      <c r="E299" s="31">
        <v>19</v>
      </c>
      <c r="F299" s="37">
        <v>15</v>
      </c>
      <c r="G299" s="38">
        <v>3</v>
      </c>
      <c r="H299" s="14"/>
      <c r="I299" s="38"/>
      <c r="J299" s="38"/>
      <c r="K299" s="37" t="s">
        <v>763</v>
      </c>
      <c r="L299" s="38">
        <v>5700</v>
      </c>
      <c r="M299" s="38"/>
      <c r="N299" s="18" t="s">
        <v>103</v>
      </c>
      <c r="R299" s="39"/>
      <c r="S299" s="39"/>
      <c r="T299" s="8" t="s">
        <v>774</v>
      </c>
      <c r="U299" s="40">
        <v>28</v>
      </c>
      <c r="V299" s="35" t="s">
        <v>88</v>
      </c>
    </row>
    <row r="300" s="14" customFormat="1" customHeight="1" outlineLevel="1" spans="1:22">
      <c r="A300" s="37">
        <v>1301016</v>
      </c>
      <c r="B300" s="37">
        <v>1301</v>
      </c>
      <c r="C300" s="37" t="s">
        <v>769</v>
      </c>
      <c r="D300" s="37"/>
      <c r="E300" s="31">
        <v>19</v>
      </c>
      <c r="F300" s="37">
        <v>16</v>
      </c>
      <c r="G300" s="38">
        <v>3</v>
      </c>
      <c r="H300" s="14"/>
      <c r="I300" s="38"/>
      <c r="J300" s="38"/>
      <c r="K300" s="37" t="s">
        <v>764</v>
      </c>
      <c r="L300" s="38">
        <v>6000</v>
      </c>
      <c r="M300" s="38"/>
      <c r="N300" s="18" t="s">
        <v>103</v>
      </c>
      <c r="R300" s="39"/>
      <c r="S300" s="39"/>
      <c r="T300" s="8"/>
      <c r="U300" s="40">
        <v>30</v>
      </c>
      <c r="V300" s="35" t="s">
        <v>90</v>
      </c>
    </row>
    <row r="301" s="14" customFormat="1" customHeight="1" outlineLevel="1" spans="1:22">
      <c r="A301" s="37">
        <v>1301017</v>
      </c>
      <c r="B301" s="37">
        <v>1301</v>
      </c>
      <c r="C301" s="37" t="s">
        <v>769</v>
      </c>
      <c r="D301" s="37"/>
      <c r="E301" s="31">
        <v>19</v>
      </c>
      <c r="F301" s="37">
        <v>17</v>
      </c>
      <c r="G301" s="38">
        <v>3</v>
      </c>
      <c r="H301" s="14"/>
      <c r="I301" s="38"/>
      <c r="J301" s="38"/>
      <c r="K301" s="37" t="s">
        <v>765</v>
      </c>
      <c r="L301" s="38">
        <v>6300</v>
      </c>
      <c r="M301" s="38"/>
      <c r="N301" s="18" t="s">
        <v>103</v>
      </c>
      <c r="R301" s="39"/>
      <c r="S301" s="39"/>
      <c r="T301" s="8"/>
      <c r="U301" s="40">
        <v>32</v>
      </c>
      <c r="V301" s="35" t="s">
        <v>92</v>
      </c>
    </row>
    <row r="302" s="14" customFormat="1" customHeight="1" outlineLevel="1" spans="1:22">
      <c r="A302" s="37">
        <v>1301018</v>
      </c>
      <c r="B302" s="37">
        <v>1301</v>
      </c>
      <c r="C302" s="37" t="s">
        <v>769</v>
      </c>
      <c r="D302" s="37"/>
      <c r="E302" s="31">
        <v>27</v>
      </c>
      <c r="F302" s="37">
        <v>18</v>
      </c>
      <c r="G302" s="38">
        <v>3</v>
      </c>
      <c r="H302" s="14"/>
      <c r="I302" s="38"/>
      <c r="J302" s="38"/>
      <c r="K302" s="37" t="s">
        <v>766</v>
      </c>
      <c r="L302" s="38">
        <v>6600</v>
      </c>
      <c r="M302" s="38"/>
      <c r="N302" s="18" t="s">
        <v>103</v>
      </c>
      <c r="R302" s="39"/>
      <c r="S302" s="39"/>
      <c r="T302" s="8"/>
      <c r="U302" s="40">
        <v>34</v>
      </c>
      <c r="V302" s="35" t="s">
        <v>94</v>
      </c>
    </row>
    <row r="303" s="14" customFormat="1" customHeight="1" outlineLevel="1" spans="1:22">
      <c r="A303" s="37">
        <v>1301019</v>
      </c>
      <c r="B303" s="37">
        <v>1301</v>
      </c>
      <c r="C303" s="37" t="s">
        <v>769</v>
      </c>
      <c r="D303" s="37"/>
      <c r="E303" s="31">
        <v>27</v>
      </c>
      <c r="F303" s="37">
        <v>19</v>
      </c>
      <c r="G303" s="38">
        <v>3</v>
      </c>
      <c r="H303" s="14"/>
      <c r="I303" s="38"/>
      <c r="J303" s="38"/>
      <c r="K303" s="37" t="s">
        <v>767</v>
      </c>
      <c r="L303" s="38">
        <v>6900</v>
      </c>
      <c r="M303" s="38"/>
      <c r="N303" s="18" t="s">
        <v>103</v>
      </c>
      <c r="R303" s="39"/>
      <c r="S303" s="39"/>
      <c r="T303" s="8"/>
      <c r="U303" s="40">
        <v>36</v>
      </c>
      <c r="V303" s="35" t="s">
        <v>96</v>
      </c>
    </row>
    <row r="304" s="14" customFormat="1" customHeight="1" outlineLevel="1" spans="1:22">
      <c r="A304" s="37">
        <v>1301020</v>
      </c>
      <c r="B304" s="37">
        <v>1301</v>
      </c>
      <c r="C304" s="37" t="s">
        <v>769</v>
      </c>
      <c r="D304" s="37"/>
      <c r="E304" s="31">
        <v>27</v>
      </c>
      <c r="F304" s="37">
        <v>20</v>
      </c>
      <c r="G304" s="38">
        <v>3</v>
      </c>
      <c r="H304" s="14"/>
      <c r="I304" s="38"/>
      <c r="J304" s="38"/>
      <c r="K304" s="37" t="s">
        <v>768</v>
      </c>
      <c r="L304" s="38">
        <v>7200</v>
      </c>
      <c r="M304" s="38"/>
      <c r="N304" s="18" t="s">
        <v>103</v>
      </c>
      <c r="R304" s="39"/>
      <c r="S304" s="39"/>
      <c r="T304" s="8"/>
      <c r="U304" s="40">
        <v>38</v>
      </c>
      <c r="V304" s="35" t="s">
        <v>98</v>
      </c>
    </row>
    <row r="305" s="14" customFormat="1" customHeight="1" outlineLevel="1" spans="1:22">
      <c r="A305" s="37">
        <v>1301021</v>
      </c>
      <c r="B305" s="37">
        <v>1301</v>
      </c>
      <c r="C305" s="37" t="s">
        <v>769</v>
      </c>
      <c r="D305" s="37"/>
      <c r="E305" s="31">
        <v>27</v>
      </c>
      <c r="F305" s="37">
        <v>21</v>
      </c>
      <c r="G305" s="38">
        <v>3</v>
      </c>
      <c r="H305" s="38"/>
      <c r="I305" s="38"/>
      <c r="J305" s="38"/>
      <c r="K305" s="37" t="s">
        <v>738</v>
      </c>
      <c r="L305" s="38">
        <v>7500</v>
      </c>
      <c r="M305" s="38"/>
      <c r="N305" s="18" t="s">
        <v>103</v>
      </c>
      <c r="R305" s="39"/>
      <c r="S305" s="39"/>
      <c r="T305" s="8"/>
      <c r="U305" s="40">
        <v>40</v>
      </c>
      <c r="V305" s="35" t="s">
        <v>55</v>
      </c>
    </row>
    <row r="306" s="14" customFormat="1" customHeight="1" outlineLevel="1" spans="1:22">
      <c r="A306" s="37">
        <v>1301022</v>
      </c>
      <c r="B306" s="37">
        <v>1301</v>
      </c>
      <c r="C306" s="37" t="s">
        <v>769</v>
      </c>
      <c r="D306" s="37"/>
      <c r="E306" s="31">
        <v>27</v>
      </c>
      <c r="F306" s="37">
        <v>22</v>
      </c>
      <c r="G306" s="38">
        <v>3</v>
      </c>
      <c r="I306" s="38"/>
      <c r="J306" s="38"/>
      <c r="K306" s="37" t="s">
        <v>743</v>
      </c>
      <c r="L306" s="38">
        <v>7800</v>
      </c>
      <c r="M306" s="38"/>
      <c r="N306" s="18" t="s">
        <v>103</v>
      </c>
      <c r="R306" s="39"/>
      <c r="S306" s="39"/>
      <c r="T306" s="8"/>
      <c r="U306" s="40">
        <v>42</v>
      </c>
      <c r="V306" s="35" t="s">
        <v>59</v>
      </c>
    </row>
    <row r="307" s="14" customFormat="1" customHeight="1" outlineLevel="1" spans="1:22">
      <c r="A307" s="37">
        <v>1301023</v>
      </c>
      <c r="B307" s="37">
        <v>1301</v>
      </c>
      <c r="C307" s="37" t="s">
        <v>769</v>
      </c>
      <c r="D307" s="37"/>
      <c r="E307" s="31">
        <v>34</v>
      </c>
      <c r="F307" s="37">
        <v>23</v>
      </c>
      <c r="G307" s="38">
        <v>3</v>
      </c>
      <c r="I307" s="38"/>
      <c r="J307" s="38"/>
      <c r="K307" s="37" t="s">
        <v>745</v>
      </c>
      <c r="L307" s="38">
        <v>8100</v>
      </c>
      <c r="M307" s="38"/>
      <c r="N307" s="18" t="s">
        <v>103</v>
      </c>
      <c r="R307" s="39"/>
      <c r="S307" s="39"/>
      <c r="T307" s="8"/>
      <c r="U307" s="40">
        <v>44</v>
      </c>
      <c r="V307" s="35" t="s">
        <v>61</v>
      </c>
    </row>
    <row r="308" s="14" customFormat="1" customHeight="1" outlineLevel="1" spans="1:22">
      <c r="A308" s="37">
        <v>1301024</v>
      </c>
      <c r="B308" s="37">
        <v>1301</v>
      </c>
      <c r="C308" s="37" t="s">
        <v>769</v>
      </c>
      <c r="D308" s="37"/>
      <c r="E308" s="31">
        <v>34</v>
      </c>
      <c r="F308" s="37">
        <v>24</v>
      </c>
      <c r="G308" s="38">
        <v>3</v>
      </c>
      <c r="I308" s="38"/>
      <c r="J308" s="38"/>
      <c r="K308" s="37" t="s">
        <v>746</v>
      </c>
      <c r="L308" s="38">
        <v>8400</v>
      </c>
      <c r="M308" s="38"/>
      <c r="N308" s="18" t="s">
        <v>103</v>
      </c>
      <c r="R308" s="39"/>
      <c r="S308" s="39"/>
      <c r="T308" s="8"/>
      <c r="U308" s="40">
        <v>46</v>
      </c>
      <c r="V308" s="35" t="s">
        <v>64</v>
      </c>
    </row>
    <row r="309" s="14" customFormat="1" customHeight="1" outlineLevel="1" spans="1:22">
      <c r="A309" s="37">
        <v>1301025</v>
      </c>
      <c r="B309" s="37">
        <v>1301</v>
      </c>
      <c r="C309" s="37" t="s">
        <v>769</v>
      </c>
      <c r="D309" s="37"/>
      <c r="E309" s="31">
        <v>34</v>
      </c>
      <c r="F309" s="37">
        <v>25</v>
      </c>
      <c r="G309" s="38">
        <v>3</v>
      </c>
      <c r="I309" s="38"/>
      <c r="J309" s="38"/>
      <c r="K309" s="37" t="s">
        <v>747</v>
      </c>
      <c r="L309" s="38">
        <v>8700</v>
      </c>
      <c r="M309" s="38"/>
      <c r="N309" s="18" t="s">
        <v>103</v>
      </c>
      <c r="R309" s="39"/>
      <c r="S309" s="39"/>
      <c r="T309" s="8"/>
      <c r="U309" s="40">
        <v>48</v>
      </c>
      <c r="V309" s="35" t="s">
        <v>66</v>
      </c>
    </row>
    <row r="310" s="14" customFormat="1" customHeight="1" outlineLevel="1" spans="1:22">
      <c r="A310" s="37">
        <v>1301026</v>
      </c>
      <c r="B310" s="37">
        <v>1301</v>
      </c>
      <c r="C310" s="37" t="s">
        <v>769</v>
      </c>
      <c r="D310" s="37"/>
      <c r="E310" s="31">
        <v>34</v>
      </c>
      <c r="F310" s="37">
        <v>26</v>
      </c>
      <c r="G310" s="38">
        <v>3</v>
      </c>
      <c r="I310" s="38"/>
      <c r="J310" s="38"/>
      <c r="K310" s="37" t="s">
        <v>748</v>
      </c>
      <c r="L310" s="38">
        <v>9000</v>
      </c>
      <c r="M310" s="38"/>
      <c r="N310" s="18" t="s">
        <v>103</v>
      </c>
      <c r="R310" s="39"/>
      <c r="S310" s="39"/>
      <c r="T310" s="8"/>
      <c r="U310" s="40">
        <v>50</v>
      </c>
      <c r="V310" s="35" t="s">
        <v>68</v>
      </c>
    </row>
    <row r="311" s="14" customFormat="1" customHeight="1" outlineLevel="1" spans="1:22">
      <c r="A311" s="37">
        <v>1301027</v>
      </c>
      <c r="B311" s="37">
        <v>1301</v>
      </c>
      <c r="C311" s="37" t="s">
        <v>769</v>
      </c>
      <c r="D311" s="37"/>
      <c r="E311" s="31">
        <v>34</v>
      </c>
      <c r="F311" s="37">
        <v>27</v>
      </c>
      <c r="G311" s="38">
        <v>3</v>
      </c>
      <c r="I311" s="38"/>
      <c r="J311" s="38"/>
      <c r="K311" s="37" t="s">
        <v>749</v>
      </c>
      <c r="L311" s="38">
        <v>9300</v>
      </c>
      <c r="M311" s="38"/>
      <c r="N311" s="18" t="s">
        <v>103</v>
      </c>
      <c r="R311" s="39"/>
      <c r="S311" s="39"/>
      <c r="T311" s="8"/>
      <c r="U311" s="40">
        <v>52</v>
      </c>
      <c r="V311" s="35" t="s">
        <v>70</v>
      </c>
    </row>
    <row r="312" s="14" customFormat="1" customHeight="1" outlineLevel="1" spans="1:22">
      <c r="A312" s="37">
        <v>1301028</v>
      </c>
      <c r="B312" s="37">
        <v>1301</v>
      </c>
      <c r="C312" s="37" t="s">
        <v>769</v>
      </c>
      <c r="D312" s="37"/>
      <c r="E312" s="31">
        <v>42</v>
      </c>
      <c r="F312" s="37">
        <v>28</v>
      </c>
      <c r="G312" s="38">
        <v>3</v>
      </c>
      <c r="I312" s="38"/>
      <c r="J312" s="38"/>
      <c r="K312" s="37" t="s">
        <v>750</v>
      </c>
      <c r="L312" s="38">
        <v>9650</v>
      </c>
      <c r="M312" s="38"/>
      <c r="N312" s="18" t="s">
        <v>103</v>
      </c>
      <c r="R312" s="39"/>
      <c r="S312" s="39"/>
      <c r="T312" s="8"/>
      <c r="U312" s="40">
        <v>54</v>
      </c>
      <c r="V312" s="35" t="s">
        <v>73</v>
      </c>
    </row>
    <row r="313" s="14" customFormat="1" customHeight="1" outlineLevel="1" spans="1:22">
      <c r="A313" s="37">
        <v>1301029</v>
      </c>
      <c r="B313" s="37">
        <v>1301</v>
      </c>
      <c r="C313" s="37" t="s">
        <v>769</v>
      </c>
      <c r="D313" s="37"/>
      <c r="E313" s="31">
        <v>42</v>
      </c>
      <c r="F313" s="37">
        <v>29</v>
      </c>
      <c r="G313" s="38">
        <v>3</v>
      </c>
      <c r="I313" s="38"/>
      <c r="J313" s="38"/>
      <c r="K313" s="37" t="s">
        <v>752</v>
      </c>
      <c r="L313" s="38">
        <v>10000</v>
      </c>
      <c r="M313" s="38"/>
      <c r="N313" s="18" t="s">
        <v>103</v>
      </c>
      <c r="R313" s="39"/>
      <c r="S313" s="39"/>
      <c r="T313" s="8"/>
      <c r="U313" s="40">
        <v>56</v>
      </c>
      <c r="V313" s="35" t="s">
        <v>75</v>
      </c>
    </row>
    <row r="314" s="14" customFormat="1" customHeight="1" outlineLevel="1" spans="1:22">
      <c r="A314" s="37">
        <v>1301030</v>
      </c>
      <c r="B314" s="37">
        <v>1301</v>
      </c>
      <c r="C314" s="37" t="s">
        <v>769</v>
      </c>
      <c r="D314" s="37"/>
      <c r="E314" s="31">
        <v>42</v>
      </c>
      <c r="F314" s="37">
        <v>30</v>
      </c>
      <c r="G314" s="38">
        <v>3</v>
      </c>
      <c r="I314" s="38"/>
      <c r="J314" s="38"/>
      <c r="K314" s="37" t="s">
        <v>754</v>
      </c>
      <c r="L314" s="38">
        <v>10350</v>
      </c>
      <c r="M314" s="38"/>
      <c r="N314" s="18" t="s">
        <v>103</v>
      </c>
      <c r="R314" s="39"/>
      <c r="S314" s="39"/>
      <c r="T314" s="8"/>
      <c r="U314" s="40">
        <v>58</v>
      </c>
      <c r="V314" s="35" t="s">
        <v>77</v>
      </c>
    </row>
    <row r="315" s="14" customFormat="1" customHeight="1" outlineLevel="1" spans="1:22">
      <c r="A315" s="37">
        <v>1301031</v>
      </c>
      <c r="B315" s="37">
        <v>1301</v>
      </c>
      <c r="C315" s="37" t="s">
        <v>769</v>
      </c>
      <c r="D315" s="37"/>
      <c r="E315" s="31">
        <v>42</v>
      </c>
      <c r="F315" s="37">
        <v>31</v>
      </c>
      <c r="G315" s="38">
        <v>3</v>
      </c>
      <c r="I315" s="38"/>
      <c r="J315" s="38"/>
      <c r="K315" s="37" t="s">
        <v>756</v>
      </c>
      <c r="L315" s="38">
        <v>10700</v>
      </c>
      <c r="M315" s="38"/>
      <c r="N315" s="18" t="s">
        <v>103</v>
      </c>
      <c r="R315" s="39"/>
      <c r="S315" s="39"/>
      <c r="T315" s="8"/>
      <c r="U315" s="40">
        <v>60</v>
      </c>
      <c r="V315" s="35" t="s">
        <v>80</v>
      </c>
    </row>
    <row r="316" s="14" customFormat="1" customHeight="1" outlineLevel="1" spans="1:22">
      <c r="A316" s="37">
        <v>1301032</v>
      </c>
      <c r="B316" s="37">
        <v>1301</v>
      </c>
      <c r="C316" s="37" t="s">
        <v>769</v>
      </c>
      <c r="D316" s="37"/>
      <c r="E316" s="31">
        <v>42</v>
      </c>
      <c r="F316" s="37">
        <v>32</v>
      </c>
      <c r="G316" s="38">
        <v>3</v>
      </c>
      <c r="I316" s="38"/>
      <c r="J316" s="38"/>
      <c r="K316" s="37" t="s">
        <v>758</v>
      </c>
      <c r="L316" s="38">
        <v>11050</v>
      </c>
      <c r="M316" s="38"/>
      <c r="N316" s="18" t="s">
        <v>103</v>
      </c>
      <c r="R316" s="39"/>
      <c r="S316" s="39"/>
      <c r="T316" s="8"/>
      <c r="U316" s="40">
        <v>62</v>
      </c>
      <c r="V316" s="35" t="s">
        <v>82</v>
      </c>
    </row>
    <row r="317" s="14" customFormat="1" customHeight="1" outlineLevel="1" spans="1:22">
      <c r="A317" s="37">
        <v>1301033</v>
      </c>
      <c r="B317" s="37">
        <v>1301</v>
      </c>
      <c r="C317" s="37" t="s">
        <v>769</v>
      </c>
      <c r="D317" s="37"/>
      <c r="E317" s="31">
        <v>49</v>
      </c>
      <c r="F317" s="37">
        <v>33</v>
      </c>
      <c r="G317" s="38">
        <v>3</v>
      </c>
      <c r="I317" s="38"/>
      <c r="J317" s="38"/>
      <c r="K317" s="37" t="s">
        <v>760</v>
      </c>
      <c r="L317" s="38">
        <v>11400</v>
      </c>
      <c r="M317" s="38"/>
      <c r="N317" s="18" t="s">
        <v>103</v>
      </c>
      <c r="R317" s="39"/>
      <c r="S317" s="39"/>
      <c r="T317" s="8" t="s">
        <v>774</v>
      </c>
      <c r="U317" s="40">
        <v>64</v>
      </c>
      <c r="V317" s="35" t="s">
        <v>84</v>
      </c>
    </row>
    <row r="318" s="14" customFormat="1" customHeight="1" outlineLevel="1" spans="1:22">
      <c r="A318" s="37">
        <v>1301034</v>
      </c>
      <c r="B318" s="37">
        <v>1301</v>
      </c>
      <c r="C318" s="37" t="s">
        <v>769</v>
      </c>
      <c r="D318" s="37"/>
      <c r="E318" s="31">
        <v>49</v>
      </c>
      <c r="F318" s="37">
        <v>34</v>
      </c>
      <c r="G318" s="38">
        <v>3</v>
      </c>
      <c r="I318" s="38"/>
      <c r="J318" s="38"/>
      <c r="K318" s="37" t="s">
        <v>762</v>
      </c>
      <c r="L318" s="38">
        <v>11750</v>
      </c>
      <c r="M318" s="38"/>
      <c r="N318" s="18" t="s">
        <v>103</v>
      </c>
      <c r="R318" s="39"/>
      <c r="S318" s="39"/>
      <c r="T318" s="8" t="s">
        <v>774</v>
      </c>
      <c r="U318" s="40">
        <v>66</v>
      </c>
      <c r="V318" s="35" t="s">
        <v>86</v>
      </c>
    </row>
    <row r="319" s="14" customFormat="1" customHeight="1" outlineLevel="1" spans="1:22">
      <c r="A319" s="37">
        <v>1301035</v>
      </c>
      <c r="B319" s="37">
        <v>1301</v>
      </c>
      <c r="C319" s="37" t="s">
        <v>769</v>
      </c>
      <c r="D319" s="37"/>
      <c r="E319" s="31">
        <v>49</v>
      </c>
      <c r="F319" s="37">
        <v>35</v>
      </c>
      <c r="G319" s="38">
        <v>3</v>
      </c>
      <c r="I319" s="38"/>
      <c r="J319" s="38"/>
      <c r="K319" s="37" t="s">
        <v>763</v>
      </c>
      <c r="L319" s="38">
        <v>12100</v>
      </c>
      <c r="M319" s="38"/>
      <c r="N319" s="18" t="s">
        <v>103</v>
      </c>
      <c r="R319" s="39"/>
      <c r="S319" s="39"/>
      <c r="T319" s="8" t="s">
        <v>774</v>
      </c>
      <c r="U319" s="40">
        <v>68</v>
      </c>
      <c r="V319" s="35" t="s">
        <v>88</v>
      </c>
    </row>
    <row r="320" s="14" customFormat="1" customHeight="1" outlineLevel="1" spans="1:22">
      <c r="A320" s="37">
        <v>1301036</v>
      </c>
      <c r="B320" s="37">
        <v>1301</v>
      </c>
      <c r="C320" s="37" t="s">
        <v>769</v>
      </c>
      <c r="D320" s="37"/>
      <c r="E320" s="31">
        <v>49</v>
      </c>
      <c r="F320" s="37">
        <v>36</v>
      </c>
      <c r="G320" s="38">
        <v>3</v>
      </c>
      <c r="I320" s="38"/>
      <c r="J320" s="38"/>
      <c r="K320" s="37" t="s">
        <v>764</v>
      </c>
      <c r="L320" s="38">
        <v>12450</v>
      </c>
      <c r="M320" s="38"/>
      <c r="N320" s="18" t="s">
        <v>103</v>
      </c>
      <c r="R320" s="39"/>
      <c r="S320" s="39"/>
      <c r="T320" s="8" t="s">
        <v>774</v>
      </c>
      <c r="U320" s="40">
        <v>70</v>
      </c>
      <c r="V320" s="35" t="s">
        <v>90</v>
      </c>
    </row>
    <row r="321" s="14" customFormat="1" customHeight="1" outlineLevel="1" spans="1:22">
      <c r="A321" s="37">
        <v>1301037</v>
      </c>
      <c r="B321" s="37">
        <v>1301</v>
      </c>
      <c r="C321" s="37" t="s">
        <v>769</v>
      </c>
      <c r="D321" s="37"/>
      <c r="E321" s="31">
        <v>49</v>
      </c>
      <c r="F321" s="37">
        <v>37</v>
      </c>
      <c r="G321" s="38">
        <v>3</v>
      </c>
      <c r="I321" s="38"/>
      <c r="J321" s="38"/>
      <c r="K321" s="37" t="s">
        <v>765</v>
      </c>
      <c r="L321" s="38">
        <v>12800</v>
      </c>
      <c r="M321" s="38"/>
      <c r="N321" s="18" t="s">
        <v>103</v>
      </c>
      <c r="R321" s="39"/>
      <c r="S321" s="39"/>
      <c r="T321" s="8" t="s">
        <v>774</v>
      </c>
      <c r="U321" s="40">
        <v>72</v>
      </c>
      <c r="V321" s="35" t="s">
        <v>92</v>
      </c>
    </row>
    <row r="322" s="14" customFormat="1" customHeight="1" outlineLevel="1" spans="1:22">
      <c r="A322" s="37">
        <v>1301038</v>
      </c>
      <c r="B322" s="37">
        <v>1301</v>
      </c>
      <c r="C322" s="37" t="s">
        <v>769</v>
      </c>
      <c r="D322" s="37"/>
      <c r="E322" s="31">
        <v>57</v>
      </c>
      <c r="F322" s="37">
        <v>38</v>
      </c>
      <c r="G322" s="38">
        <v>3</v>
      </c>
      <c r="I322" s="38"/>
      <c r="J322" s="38"/>
      <c r="K322" s="37" t="s">
        <v>766</v>
      </c>
      <c r="L322" s="38">
        <v>13150</v>
      </c>
      <c r="M322" s="38"/>
      <c r="N322" s="18" t="s">
        <v>103</v>
      </c>
      <c r="R322" s="39"/>
      <c r="S322" s="39"/>
      <c r="T322" s="8" t="s">
        <v>774</v>
      </c>
      <c r="U322" s="40">
        <v>74</v>
      </c>
      <c r="V322" s="35" t="s">
        <v>94</v>
      </c>
    </row>
    <row r="323" s="14" customFormat="1" customHeight="1" outlineLevel="1" spans="1:22">
      <c r="A323" s="37">
        <v>1301039</v>
      </c>
      <c r="B323" s="37">
        <v>1301</v>
      </c>
      <c r="C323" s="37" t="s">
        <v>769</v>
      </c>
      <c r="D323" s="37"/>
      <c r="E323" s="31">
        <v>57</v>
      </c>
      <c r="F323" s="37">
        <v>39</v>
      </c>
      <c r="G323" s="38">
        <v>3</v>
      </c>
      <c r="I323" s="38"/>
      <c r="J323" s="38"/>
      <c r="K323" s="37" t="s">
        <v>767</v>
      </c>
      <c r="L323" s="38">
        <v>13500</v>
      </c>
      <c r="M323" s="38"/>
      <c r="N323" s="18" t="s">
        <v>103</v>
      </c>
      <c r="R323" s="39"/>
      <c r="S323" s="39"/>
      <c r="T323" s="8" t="s">
        <v>774</v>
      </c>
      <c r="U323" s="40">
        <v>76</v>
      </c>
      <c r="V323" s="35" t="s">
        <v>96</v>
      </c>
    </row>
    <row r="324" s="14" customFormat="1" customHeight="1" spans="1:22">
      <c r="A324" s="37">
        <v>1301040</v>
      </c>
      <c r="B324" s="37">
        <v>1301</v>
      </c>
      <c r="C324" s="37" t="s">
        <v>769</v>
      </c>
      <c r="D324" s="37"/>
      <c r="E324" s="31">
        <v>57</v>
      </c>
      <c r="F324" s="37">
        <v>40</v>
      </c>
      <c r="G324" s="38">
        <v>3</v>
      </c>
      <c r="I324" s="38"/>
      <c r="J324" s="38"/>
      <c r="K324" s="37" t="s">
        <v>768</v>
      </c>
      <c r="L324" s="38">
        <v>13850</v>
      </c>
      <c r="M324" s="38"/>
      <c r="N324" s="18" t="s">
        <v>103</v>
      </c>
      <c r="R324" s="39"/>
      <c r="S324" s="39"/>
      <c r="T324" s="8" t="s">
        <v>774</v>
      </c>
      <c r="U324" s="40">
        <v>78</v>
      </c>
      <c r="V324" s="35" t="s">
        <v>98</v>
      </c>
    </row>
    <row r="325" s="16" customFormat="1" customHeight="1" spans="1:22">
      <c r="A325" s="44">
        <v>1303001</v>
      </c>
      <c r="B325" s="44">
        <v>1303</v>
      </c>
      <c r="C325" s="44" t="s">
        <v>775</v>
      </c>
      <c r="D325" s="44"/>
      <c r="E325" s="44">
        <v>1</v>
      </c>
      <c r="F325" s="44">
        <v>1</v>
      </c>
      <c r="G325" s="46"/>
      <c r="H325" s="16"/>
      <c r="I325" s="46"/>
      <c r="J325" s="46"/>
      <c r="K325" s="44" t="s">
        <v>738</v>
      </c>
      <c r="L325" s="46">
        <v>400</v>
      </c>
      <c r="M325" s="46"/>
      <c r="N325" s="46" t="s">
        <v>739</v>
      </c>
      <c r="R325" s="47"/>
      <c r="S325" s="47"/>
      <c r="T325" s="48" t="s">
        <v>776</v>
      </c>
      <c r="U325" s="49">
        <v>1</v>
      </c>
      <c r="V325" s="50" t="s">
        <v>107</v>
      </c>
    </row>
    <row r="326" s="16" customFormat="1" customHeight="1" outlineLevel="1" spans="1:22">
      <c r="A326" s="44">
        <v>1303002</v>
      </c>
      <c r="B326" s="44">
        <v>1303</v>
      </c>
      <c r="C326" s="44" t="s">
        <v>775</v>
      </c>
      <c r="D326" s="44"/>
      <c r="E326" s="44">
        <v>1</v>
      </c>
      <c r="F326" s="44">
        <v>2</v>
      </c>
      <c r="G326" s="46"/>
      <c r="H326" s="16"/>
      <c r="I326" s="46"/>
      <c r="J326" s="46"/>
      <c r="K326" s="44" t="s">
        <v>743</v>
      </c>
      <c r="L326" s="46">
        <v>800</v>
      </c>
      <c r="M326" s="46"/>
      <c r="N326" s="46" t="s">
        <v>739</v>
      </c>
      <c r="R326" s="47"/>
      <c r="S326" s="47"/>
      <c r="T326" s="48">
        <v>1303253</v>
      </c>
      <c r="U326" s="49">
        <v>2</v>
      </c>
      <c r="V326" s="50" t="s">
        <v>111</v>
      </c>
    </row>
    <row r="327" s="16" customFormat="1" customHeight="1" outlineLevel="1" spans="1:22">
      <c r="A327" s="44">
        <v>1303003</v>
      </c>
      <c r="B327" s="44">
        <v>1303</v>
      </c>
      <c r="C327" s="44" t="s">
        <v>775</v>
      </c>
      <c r="D327" s="44"/>
      <c r="E327" s="44">
        <v>1</v>
      </c>
      <c r="F327" s="44">
        <v>3</v>
      </c>
      <c r="G327" s="46"/>
      <c r="H327" s="16"/>
      <c r="I327" s="46"/>
      <c r="J327" s="46"/>
      <c r="K327" s="44" t="s">
        <v>745</v>
      </c>
      <c r="L327" s="46">
        <v>1000</v>
      </c>
      <c r="M327" s="46"/>
      <c r="N327" s="46" t="s">
        <v>739</v>
      </c>
      <c r="R327" s="47"/>
      <c r="S327" s="47"/>
      <c r="T327" s="48">
        <v>1303254</v>
      </c>
      <c r="U327" s="49">
        <v>4</v>
      </c>
      <c r="V327" s="50" t="s">
        <v>113</v>
      </c>
    </row>
    <row r="328" s="16" customFormat="1" customHeight="1" outlineLevel="1" spans="1:22">
      <c r="A328" s="44">
        <v>1303004</v>
      </c>
      <c r="B328" s="44">
        <v>1303</v>
      </c>
      <c r="C328" s="44" t="s">
        <v>775</v>
      </c>
      <c r="D328" s="44"/>
      <c r="E328" s="44">
        <v>1</v>
      </c>
      <c r="F328" s="44">
        <v>4</v>
      </c>
      <c r="G328" s="46"/>
      <c r="H328" s="16"/>
      <c r="I328" s="46"/>
      <c r="J328" s="46"/>
      <c r="K328" s="44" t="s">
        <v>746</v>
      </c>
      <c r="L328" s="46">
        <v>1400</v>
      </c>
      <c r="M328" s="46"/>
      <c r="N328" s="46" t="s">
        <v>739</v>
      </c>
      <c r="R328" s="47"/>
      <c r="S328" s="47"/>
      <c r="T328" s="48">
        <v>1303255</v>
      </c>
      <c r="U328" s="49">
        <v>6</v>
      </c>
      <c r="V328" s="50" t="s">
        <v>117</v>
      </c>
    </row>
    <row r="329" s="16" customFormat="1" customHeight="1" outlineLevel="1" spans="1:22">
      <c r="A329" s="44">
        <v>1303005</v>
      </c>
      <c r="B329" s="44">
        <v>1303</v>
      </c>
      <c r="C329" s="44" t="s">
        <v>775</v>
      </c>
      <c r="D329" s="44"/>
      <c r="E329" s="45">
        <v>8</v>
      </c>
      <c r="F329" s="44">
        <v>5</v>
      </c>
      <c r="G329" s="46"/>
      <c r="H329" s="16"/>
      <c r="I329" s="46"/>
      <c r="J329" s="46"/>
      <c r="K329" s="44" t="s">
        <v>747</v>
      </c>
      <c r="L329" s="46">
        <v>1600</v>
      </c>
      <c r="M329" s="46"/>
      <c r="N329" s="46" t="s">
        <v>739</v>
      </c>
      <c r="R329" s="47"/>
      <c r="S329" s="47"/>
      <c r="T329" s="48">
        <v>1303251</v>
      </c>
      <c r="U329" s="49">
        <v>8</v>
      </c>
      <c r="V329" s="50" t="s">
        <v>119</v>
      </c>
    </row>
    <row r="330" s="16" customFormat="1" customHeight="1" outlineLevel="1" spans="1:22">
      <c r="A330" s="44">
        <v>1303006</v>
      </c>
      <c r="B330" s="44">
        <v>1303</v>
      </c>
      <c r="C330" s="44" t="s">
        <v>775</v>
      </c>
      <c r="D330" s="44"/>
      <c r="E330" s="31">
        <v>8</v>
      </c>
      <c r="F330" s="44">
        <v>6</v>
      </c>
      <c r="G330" s="46"/>
      <c r="H330" s="16"/>
      <c r="I330" s="46"/>
      <c r="J330" s="46"/>
      <c r="K330" s="44" t="s">
        <v>748</v>
      </c>
      <c r="L330" s="46">
        <v>2000</v>
      </c>
      <c r="M330" s="46"/>
      <c r="N330" s="46" t="s">
        <v>739</v>
      </c>
      <c r="R330" s="47"/>
      <c r="S330" s="47"/>
      <c r="T330" s="48">
        <v>1303252</v>
      </c>
      <c r="U330" s="49">
        <v>10</v>
      </c>
      <c r="V330" s="50" t="s">
        <v>121</v>
      </c>
    </row>
    <row r="331" s="16" customFormat="1" customHeight="1" outlineLevel="1" spans="1:22">
      <c r="A331" s="44">
        <v>1303007</v>
      </c>
      <c r="B331" s="44">
        <v>1303</v>
      </c>
      <c r="C331" s="44" t="s">
        <v>775</v>
      </c>
      <c r="D331" s="44"/>
      <c r="E331" s="31">
        <v>8</v>
      </c>
      <c r="F331" s="44">
        <v>7</v>
      </c>
      <c r="G331" s="46"/>
      <c r="H331" s="16"/>
      <c r="I331" s="46"/>
      <c r="J331" s="46"/>
      <c r="K331" s="44" t="s">
        <v>749</v>
      </c>
      <c r="L331" s="46">
        <v>2200</v>
      </c>
      <c r="M331" s="46"/>
      <c r="N331" s="46" t="s">
        <v>739</v>
      </c>
      <c r="R331" s="47"/>
      <c r="S331" s="47"/>
      <c r="T331" s="48">
        <v>1303258</v>
      </c>
      <c r="U331" s="49">
        <v>12</v>
      </c>
      <c r="V331" s="50" t="s">
        <v>123</v>
      </c>
    </row>
    <row r="332" s="16" customFormat="1" customHeight="1" outlineLevel="1" spans="1:22">
      <c r="A332" s="44">
        <v>1303008</v>
      </c>
      <c r="B332" s="44">
        <v>1303</v>
      </c>
      <c r="C332" s="44" t="s">
        <v>775</v>
      </c>
      <c r="D332" s="44"/>
      <c r="E332" s="31">
        <v>8</v>
      </c>
      <c r="F332" s="44">
        <v>8</v>
      </c>
      <c r="G332" s="46"/>
      <c r="H332" s="16"/>
      <c r="I332" s="46"/>
      <c r="J332" s="46"/>
      <c r="K332" s="44" t="s">
        <v>750</v>
      </c>
      <c r="L332" s="46">
        <v>2600</v>
      </c>
      <c r="M332" s="46"/>
      <c r="N332" s="46" t="s">
        <v>739</v>
      </c>
      <c r="R332" s="47"/>
      <c r="S332" s="47"/>
      <c r="U332" s="49">
        <v>14</v>
      </c>
      <c r="V332" s="50" t="s">
        <v>126</v>
      </c>
    </row>
    <row r="333" s="16" customFormat="1" customHeight="1" outlineLevel="1" spans="1:22">
      <c r="A333" s="44">
        <v>1303009</v>
      </c>
      <c r="B333" s="44">
        <v>1303</v>
      </c>
      <c r="C333" s="44" t="s">
        <v>775</v>
      </c>
      <c r="D333" s="44"/>
      <c r="E333" s="31">
        <v>8</v>
      </c>
      <c r="F333" s="44">
        <v>9</v>
      </c>
      <c r="G333" s="46"/>
      <c r="H333" s="16"/>
      <c r="I333" s="46"/>
      <c r="J333" s="46"/>
      <c r="K333" s="44" t="s">
        <v>752</v>
      </c>
      <c r="L333" s="46">
        <v>2800</v>
      </c>
      <c r="M333" s="46"/>
      <c r="N333" s="46" t="s">
        <v>739</v>
      </c>
      <c r="R333" s="47"/>
      <c r="S333" s="47"/>
      <c r="T333" s="48"/>
      <c r="U333" s="49">
        <v>16</v>
      </c>
      <c r="V333" s="50" t="s">
        <v>128</v>
      </c>
    </row>
    <row r="334" s="16" customFormat="1" customHeight="1" outlineLevel="1" spans="1:22">
      <c r="A334" s="44">
        <v>1303010</v>
      </c>
      <c r="B334" s="44">
        <v>1303</v>
      </c>
      <c r="C334" s="44" t="s">
        <v>775</v>
      </c>
      <c r="D334" s="44"/>
      <c r="E334" s="45">
        <v>15</v>
      </c>
      <c r="F334" s="44">
        <v>10</v>
      </c>
      <c r="G334" s="46"/>
      <c r="H334" s="16"/>
      <c r="I334" s="46"/>
      <c r="J334" s="46"/>
      <c r="K334" s="44" t="s">
        <v>754</v>
      </c>
      <c r="L334" s="46">
        <v>3200</v>
      </c>
      <c r="M334" s="46"/>
      <c r="N334" s="46" t="s">
        <v>739</v>
      </c>
      <c r="R334" s="47"/>
      <c r="S334" s="47"/>
      <c r="T334" s="48"/>
      <c r="U334" s="49">
        <v>18</v>
      </c>
      <c r="V334" s="50" t="s">
        <v>130</v>
      </c>
    </row>
    <row r="335" s="17" customFormat="1" customHeight="1" outlineLevel="1" spans="1:22">
      <c r="A335" s="44">
        <v>1303011</v>
      </c>
      <c r="B335" s="44">
        <v>1303</v>
      </c>
      <c r="C335" s="44" t="s">
        <v>775</v>
      </c>
      <c r="D335" s="44"/>
      <c r="E335" s="31">
        <v>15</v>
      </c>
      <c r="F335" s="44">
        <v>11</v>
      </c>
      <c r="G335" s="46"/>
      <c r="H335" s="16"/>
      <c r="I335" s="46"/>
      <c r="J335" s="46"/>
      <c r="K335" s="44" t="s">
        <v>756</v>
      </c>
      <c r="L335" s="46">
        <v>3400</v>
      </c>
      <c r="M335" s="46"/>
      <c r="N335" s="46" t="s">
        <v>739</v>
      </c>
      <c r="O335" s="16"/>
      <c r="P335" s="16"/>
      <c r="Q335" s="16"/>
      <c r="R335" s="47"/>
      <c r="S335" s="47"/>
      <c r="T335" s="48"/>
      <c r="U335" s="49">
        <v>20</v>
      </c>
      <c r="V335" s="50" t="s">
        <v>133</v>
      </c>
    </row>
    <row r="336" s="17" customFormat="1" customHeight="1" outlineLevel="1" spans="1:22">
      <c r="A336" s="44">
        <v>1303012</v>
      </c>
      <c r="B336" s="44">
        <v>1303</v>
      </c>
      <c r="C336" s="44" t="s">
        <v>775</v>
      </c>
      <c r="D336" s="44"/>
      <c r="E336" s="31">
        <v>15</v>
      </c>
      <c r="F336" s="44">
        <v>12</v>
      </c>
      <c r="G336" s="46"/>
      <c r="H336" s="16"/>
      <c r="I336" s="46"/>
      <c r="J336" s="46"/>
      <c r="K336" s="44" t="s">
        <v>758</v>
      </c>
      <c r="L336" s="46">
        <v>3800</v>
      </c>
      <c r="M336" s="46"/>
      <c r="N336" s="46" t="s">
        <v>739</v>
      </c>
      <c r="O336" s="16"/>
      <c r="P336" s="16"/>
      <c r="Q336" s="16"/>
      <c r="R336" s="47"/>
      <c r="S336" s="47"/>
      <c r="T336" s="48"/>
      <c r="U336" s="49">
        <v>22</v>
      </c>
      <c r="V336" s="50" t="s">
        <v>135</v>
      </c>
    </row>
    <row r="337" s="17" customFormat="1" customHeight="1" outlineLevel="1" spans="1:22">
      <c r="A337" s="44">
        <v>1303013</v>
      </c>
      <c r="B337" s="44">
        <v>1303</v>
      </c>
      <c r="C337" s="44" t="s">
        <v>775</v>
      </c>
      <c r="D337" s="44"/>
      <c r="E337" s="31">
        <v>15</v>
      </c>
      <c r="F337" s="44">
        <v>13</v>
      </c>
      <c r="G337" s="46"/>
      <c r="H337" s="16"/>
      <c r="I337" s="46"/>
      <c r="J337" s="46"/>
      <c r="K337" s="44" t="s">
        <v>760</v>
      </c>
      <c r="L337" s="46">
        <v>4000</v>
      </c>
      <c r="M337" s="46"/>
      <c r="N337" s="46" t="s">
        <v>739</v>
      </c>
      <c r="O337" s="16"/>
      <c r="P337" s="16"/>
      <c r="Q337" s="16"/>
      <c r="R337" s="47"/>
      <c r="S337" s="47"/>
      <c r="T337" s="48"/>
      <c r="U337" s="49">
        <v>24</v>
      </c>
      <c r="V337" s="50" t="s">
        <v>137</v>
      </c>
    </row>
    <row r="338" s="17" customFormat="1" customHeight="1" outlineLevel="1" spans="1:22">
      <c r="A338" s="44">
        <v>1303014</v>
      </c>
      <c r="B338" s="44">
        <v>1303</v>
      </c>
      <c r="C338" s="44" t="s">
        <v>775</v>
      </c>
      <c r="D338" s="44"/>
      <c r="E338" s="31">
        <v>15</v>
      </c>
      <c r="F338" s="44">
        <v>14</v>
      </c>
      <c r="G338" s="46"/>
      <c r="H338" s="16"/>
      <c r="I338" s="46"/>
      <c r="J338" s="46"/>
      <c r="K338" s="44" t="s">
        <v>762</v>
      </c>
      <c r="L338" s="46">
        <v>4400</v>
      </c>
      <c r="M338" s="46"/>
      <c r="N338" s="46" t="s">
        <v>739</v>
      </c>
      <c r="O338" s="16"/>
      <c r="P338" s="16"/>
      <c r="Q338" s="16"/>
      <c r="R338" s="47"/>
      <c r="S338" s="47"/>
      <c r="T338" s="48"/>
      <c r="U338" s="49">
        <v>26</v>
      </c>
      <c r="V338" s="50" t="s">
        <v>140</v>
      </c>
    </row>
    <row r="339" s="17" customFormat="1" customHeight="1" outlineLevel="1" spans="1:22">
      <c r="A339" s="44">
        <v>1303015</v>
      </c>
      <c r="B339" s="44">
        <v>1303</v>
      </c>
      <c r="C339" s="44" t="s">
        <v>775</v>
      </c>
      <c r="D339" s="44"/>
      <c r="E339" s="45">
        <v>23</v>
      </c>
      <c r="F339" s="44">
        <v>15</v>
      </c>
      <c r="G339" s="46"/>
      <c r="H339" s="16"/>
      <c r="I339" s="46"/>
      <c r="J339" s="46"/>
      <c r="K339" s="44" t="s">
        <v>763</v>
      </c>
      <c r="L339" s="46">
        <v>4600</v>
      </c>
      <c r="M339" s="46"/>
      <c r="N339" s="46" t="s">
        <v>739</v>
      </c>
      <c r="O339" s="16"/>
      <c r="P339" s="16"/>
      <c r="Q339" s="16"/>
      <c r="R339" s="47"/>
      <c r="S339" s="47"/>
      <c r="T339" s="48" t="s">
        <v>774</v>
      </c>
      <c r="U339" s="49">
        <v>28</v>
      </c>
      <c r="V339" s="50" t="s">
        <v>142</v>
      </c>
    </row>
    <row r="340" s="17" customFormat="1" customHeight="1" outlineLevel="1" spans="1:22">
      <c r="A340" s="44">
        <v>1303016</v>
      </c>
      <c r="B340" s="44">
        <v>1303</v>
      </c>
      <c r="C340" s="44" t="s">
        <v>775</v>
      </c>
      <c r="D340" s="44"/>
      <c r="E340" s="31">
        <v>23</v>
      </c>
      <c r="F340" s="44">
        <v>16</v>
      </c>
      <c r="G340" s="46"/>
      <c r="H340" s="16"/>
      <c r="I340" s="46"/>
      <c r="J340" s="46"/>
      <c r="K340" s="44" t="s">
        <v>764</v>
      </c>
      <c r="L340" s="46">
        <v>5000</v>
      </c>
      <c r="M340" s="46"/>
      <c r="N340" s="46" t="s">
        <v>739</v>
      </c>
      <c r="O340" s="16"/>
      <c r="P340" s="16"/>
      <c r="Q340" s="16"/>
      <c r="R340" s="47"/>
      <c r="S340" s="47"/>
      <c r="T340" s="48"/>
      <c r="U340" s="49">
        <v>30</v>
      </c>
      <c r="V340" s="50" t="s">
        <v>144</v>
      </c>
    </row>
    <row r="341" s="17" customFormat="1" customHeight="1" outlineLevel="1" spans="1:22">
      <c r="A341" s="44">
        <v>1303017</v>
      </c>
      <c r="B341" s="44">
        <v>1303</v>
      </c>
      <c r="C341" s="44" t="s">
        <v>775</v>
      </c>
      <c r="D341" s="44"/>
      <c r="E341" s="31">
        <v>23</v>
      </c>
      <c r="F341" s="44">
        <v>17</v>
      </c>
      <c r="G341" s="46"/>
      <c r="H341" s="16"/>
      <c r="I341" s="46"/>
      <c r="J341" s="46"/>
      <c r="K341" s="44" t="s">
        <v>765</v>
      </c>
      <c r="L341" s="46">
        <v>5200</v>
      </c>
      <c r="M341" s="46"/>
      <c r="N341" s="46" t="s">
        <v>739</v>
      </c>
      <c r="O341" s="16"/>
      <c r="P341" s="16"/>
      <c r="Q341" s="16"/>
      <c r="R341" s="47"/>
      <c r="S341" s="47"/>
      <c r="T341" s="48"/>
      <c r="U341" s="49">
        <v>32</v>
      </c>
      <c r="V341" s="50" t="s">
        <v>146</v>
      </c>
    </row>
    <row r="342" s="17" customFormat="1" customHeight="1" outlineLevel="1" spans="1:22">
      <c r="A342" s="44">
        <v>1303018</v>
      </c>
      <c r="B342" s="44">
        <v>1303</v>
      </c>
      <c r="C342" s="44" t="s">
        <v>775</v>
      </c>
      <c r="D342" s="44"/>
      <c r="E342" s="31">
        <v>23</v>
      </c>
      <c r="F342" s="44">
        <v>18</v>
      </c>
      <c r="G342" s="46"/>
      <c r="H342" s="16"/>
      <c r="I342" s="46"/>
      <c r="J342" s="46"/>
      <c r="K342" s="44" t="s">
        <v>766</v>
      </c>
      <c r="L342" s="46">
        <v>5600</v>
      </c>
      <c r="M342" s="46"/>
      <c r="N342" s="46" t="s">
        <v>739</v>
      </c>
      <c r="O342" s="16"/>
      <c r="P342" s="16"/>
      <c r="Q342" s="16"/>
      <c r="R342" s="47"/>
      <c r="S342" s="47"/>
      <c r="T342" s="48"/>
      <c r="U342" s="49">
        <v>34</v>
      </c>
      <c r="V342" s="50" t="s">
        <v>148</v>
      </c>
    </row>
    <row r="343" s="17" customFormat="1" customHeight="1" outlineLevel="1" spans="1:22">
      <c r="A343" s="44">
        <v>1303019</v>
      </c>
      <c r="B343" s="44">
        <v>1303</v>
      </c>
      <c r="C343" s="44" t="s">
        <v>775</v>
      </c>
      <c r="D343" s="44"/>
      <c r="E343" s="31">
        <v>23</v>
      </c>
      <c r="F343" s="44">
        <v>19</v>
      </c>
      <c r="G343" s="46"/>
      <c r="H343" s="16"/>
      <c r="I343" s="46"/>
      <c r="J343" s="46"/>
      <c r="K343" s="44" t="s">
        <v>767</v>
      </c>
      <c r="L343" s="46">
        <v>5800</v>
      </c>
      <c r="M343" s="46"/>
      <c r="N343" s="46" t="s">
        <v>739</v>
      </c>
      <c r="O343" s="16"/>
      <c r="P343" s="16"/>
      <c r="Q343" s="16"/>
      <c r="R343" s="47"/>
      <c r="S343" s="47"/>
      <c r="T343" s="48"/>
      <c r="U343" s="49">
        <v>36</v>
      </c>
      <c r="V343" s="50" t="s">
        <v>150</v>
      </c>
    </row>
    <row r="344" s="17" customFormat="1" customHeight="1" outlineLevel="1" spans="1:22">
      <c r="A344" s="44">
        <v>1303020</v>
      </c>
      <c r="B344" s="44">
        <v>1303</v>
      </c>
      <c r="C344" s="44" t="s">
        <v>775</v>
      </c>
      <c r="D344" s="44"/>
      <c r="E344" s="45">
        <v>31</v>
      </c>
      <c r="F344" s="44">
        <v>20</v>
      </c>
      <c r="G344" s="46"/>
      <c r="H344" s="16"/>
      <c r="I344" s="46"/>
      <c r="J344" s="46"/>
      <c r="K344" s="44" t="s">
        <v>768</v>
      </c>
      <c r="L344" s="46">
        <v>6200</v>
      </c>
      <c r="M344" s="46"/>
      <c r="N344" s="46" t="s">
        <v>739</v>
      </c>
      <c r="O344" s="16"/>
      <c r="P344" s="16"/>
      <c r="Q344" s="16"/>
      <c r="R344" s="47"/>
      <c r="S344" s="47"/>
      <c r="T344" s="48"/>
      <c r="U344" s="49">
        <v>38</v>
      </c>
      <c r="V344" s="50" t="s">
        <v>152</v>
      </c>
    </row>
    <row r="345" s="16" customFormat="1" customHeight="1" outlineLevel="1" spans="1:22">
      <c r="A345" s="44">
        <v>1303021</v>
      </c>
      <c r="B345" s="44">
        <v>1303</v>
      </c>
      <c r="C345" s="44" t="s">
        <v>775</v>
      </c>
      <c r="D345" s="44"/>
      <c r="E345" s="31">
        <v>31</v>
      </c>
      <c r="F345" s="44">
        <v>21</v>
      </c>
      <c r="G345" s="46"/>
      <c r="H345" s="16"/>
      <c r="I345" s="46"/>
      <c r="J345" s="46"/>
      <c r="K345" s="44" t="s">
        <v>738</v>
      </c>
      <c r="L345" s="46">
        <v>6400</v>
      </c>
      <c r="M345" s="46"/>
      <c r="N345" s="46" t="s">
        <v>739</v>
      </c>
      <c r="O345" s="16"/>
      <c r="P345" s="16"/>
      <c r="Q345" s="16"/>
      <c r="R345" s="47"/>
      <c r="S345" s="47"/>
      <c r="T345" s="48"/>
      <c r="U345" s="49">
        <v>40</v>
      </c>
      <c r="V345" s="50" t="s">
        <v>107</v>
      </c>
    </row>
    <row r="346" s="16" customFormat="1" customHeight="1" outlineLevel="1" spans="1:22">
      <c r="A346" s="44">
        <v>1303022</v>
      </c>
      <c r="B346" s="44">
        <v>1303</v>
      </c>
      <c r="C346" s="44" t="s">
        <v>775</v>
      </c>
      <c r="D346" s="44"/>
      <c r="E346" s="31">
        <v>31</v>
      </c>
      <c r="F346" s="44">
        <v>22</v>
      </c>
      <c r="G346" s="46"/>
      <c r="H346" s="16"/>
      <c r="I346" s="46"/>
      <c r="J346" s="46"/>
      <c r="K346" s="44" t="s">
        <v>743</v>
      </c>
      <c r="L346" s="46">
        <v>6800</v>
      </c>
      <c r="M346" s="46"/>
      <c r="N346" s="46" t="s">
        <v>739</v>
      </c>
      <c r="O346" s="16"/>
      <c r="P346" s="16"/>
      <c r="Q346" s="16"/>
      <c r="R346" s="47"/>
      <c r="S346" s="47"/>
      <c r="T346" s="48"/>
      <c r="U346" s="49">
        <v>42</v>
      </c>
      <c r="V346" s="50" t="s">
        <v>111</v>
      </c>
    </row>
    <row r="347" s="16" customFormat="1" customHeight="1" outlineLevel="1" spans="1:22">
      <c r="A347" s="44">
        <v>1303023</v>
      </c>
      <c r="B347" s="44">
        <v>1303</v>
      </c>
      <c r="C347" s="44" t="s">
        <v>775</v>
      </c>
      <c r="D347" s="44"/>
      <c r="E347" s="31">
        <v>31</v>
      </c>
      <c r="F347" s="44">
        <v>23</v>
      </c>
      <c r="G347" s="46"/>
      <c r="H347" s="16"/>
      <c r="I347" s="46"/>
      <c r="J347" s="46"/>
      <c r="K347" s="44" t="s">
        <v>745</v>
      </c>
      <c r="L347" s="46">
        <v>7000</v>
      </c>
      <c r="M347" s="46"/>
      <c r="N347" s="46" t="s">
        <v>739</v>
      </c>
      <c r="O347" s="16"/>
      <c r="P347" s="16"/>
      <c r="Q347" s="16"/>
      <c r="R347" s="47"/>
      <c r="S347" s="47"/>
      <c r="T347" s="48"/>
      <c r="U347" s="49">
        <v>44</v>
      </c>
      <c r="V347" s="50" t="s">
        <v>113</v>
      </c>
    </row>
    <row r="348" s="16" customFormat="1" customHeight="1" outlineLevel="1" spans="1:22">
      <c r="A348" s="44">
        <v>1303024</v>
      </c>
      <c r="B348" s="44">
        <v>1303</v>
      </c>
      <c r="C348" s="44" t="s">
        <v>775</v>
      </c>
      <c r="D348" s="44"/>
      <c r="E348" s="31">
        <v>31</v>
      </c>
      <c r="F348" s="44">
        <v>24</v>
      </c>
      <c r="G348" s="46"/>
      <c r="H348" s="16"/>
      <c r="I348" s="46"/>
      <c r="J348" s="46"/>
      <c r="K348" s="44" t="s">
        <v>746</v>
      </c>
      <c r="L348" s="46">
        <v>7400</v>
      </c>
      <c r="M348" s="46"/>
      <c r="N348" s="46" t="s">
        <v>739</v>
      </c>
      <c r="O348" s="16"/>
      <c r="P348" s="16"/>
      <c r="Q348" s="16"/>
      <c r="R348" s="47"/>
      <c r="S348" s="47"/>
      <c r="T348" s="48"/>
      <c r="U348" s="49">
        <v>46</v>
      </c>
      <c r="V348" s="50" t="s">
        <v>117</v>
      </c>
    </row>
    <row r="349" s="16" customFormat="1" customHeight="1" outlineLevel="1" spans="1:22">
      <c r="A349" s="44">
        <v>1303025</v>
      </c>
      <c r="B349" s="44">
        <v>1303</v>
      </c>
      <c r="C349" s="44" t="s">
        <v>775</v>
      </c>
      <c r="D349" s="44"/>
      <c r="E349" s="45">
        <v>38</v>
      </c>
      <c r="F349" s="44">
        <v>25</v>
      </c>
      <c r="G349" s="46"/>
      <c r="H349" s="16"/>
      <c r="I349" s="46"/>
      <c r="J349" s="46"/>
      <c r="K349" s="44" t="s">
        <v>747</v>
      </c>
      <c r="L349" s="46">
        <v>7600</v>
      </c>
      <c r="M349" s="46"/>
      <c r="N349" s="46" t="s">
        <v>739</v>
      </c>
      <c r="O349" s="16"/>
      <c r="P349" s="16"/>
      <c r="Q349" s="16"/>
      <c r="R349" s="47"/>
      <c r="S349" s="47"/>
      <c r="T349" s="48"/>
      <c r="U349" s="49">
        <v>48</v>
      </c>
      <c r="V349" s="50" t="s">
        <v>119</v>
      </c>
    </row>
    <row r="350" s="16" customFormat="1" customHeight="1" outlineLevel="1" spans="1:22">
      <c r="A350" s="44">
        <v>1303026</v>
      </c>
      <c r="B350" s="44">
        <v>1303</v>
      </c>
      <c r="C350" s="44" t="s">
        <v>775</v>
      </c>
      <c r="D350" s="44"/>
      <c r="E350" s="31">
        <v>38</v>
      </c>
      <c r="F350" s="44">
        <v>26</v>
      </c>
      <c r="G350" s="46"/>
      <c r="H350" s="16"/>
      <c r="I350" s="46"/>
      <c r="J350" s="46"/>
      <c r="K350" s="44" t="s">
        <v>748</v>
      </c>
      <c r="L350" s="46">
        <v>8000</v>
      </c>
      <c r="M350" s="46"/>
      <c r="N350" s="46" t="s">
        <v>739</v>
      </c>
      <c r="O350" s="16"/>
      <c r="P350" s="16"/>
      <c r="Q350" s="16"/>
      <c r="R350" s="47"/>
      <c r="S350" s="47"/>
      <c r="T350" s="48"/>
      <c r="U350" s="49">
        <v>50</v>
      </c>
      <c r="V350" s="50" t="s">
        <v>121</v>
      </c>
    </row>
    <row r="351" s="16" customFormat="1" customHeight="1" outlineLevel="1" spans="1:22">
      <c r="A351" s="44">
        <v>1303027</v>
      </c>
      <c r="B351" s="44">
        <v>1303</v>
      </c>
      <c r="C351" s="44" t="s">
        <v>775</v>
      </c>
      <c r="D351" s="44"/>
      <c r="E351" s="31">
        <v>38</v>
      </c>
      <c r="F351" s="44">
        <v>27</v>
      </c>
      <c r="G351" s="46"/>
      <c r="H351" s="16"/>
      <c r="I351" s="46"/>
      <c r="J351" s="46"/>
      <c r="K351" s="44" t="s">
        <v>749</v>
      </c>
      <c r="L351" s="46">
        <v>8200</v>
      </c>
      <c r="M351" s="46"/>
      <c r="N351" s="46" t="s">
        <v>739</v>
      </c>
      <c r="O351" s="16"/>
      <c r="P351" s="16"/>
      <c r="Q351" s="16"/>
      <c r="R351" s="47"/>
      <c r="S351" s="47"/>
      <c r="T351" s="48"/>
      <c r="U351" s="49">
        <v>52</v>
      </c>
      <c r="V351" s="50" t="s">
        <v>123</v>
      </c>
    </row>
    <row r="352" s="16" customFormat="1" customHeight="1" outlineLevel="1" spans="1:22">
      <c r="A352" s="44">
        <v>1303028</v>
      </c>
      <c r="B352" s="44">
        <v>1303</v>
      </c>
      <c r="C352" s="44" t="s">
        <v>775</v>
      </c>
      <c r="D352" s="44"/>
      <c r="E352" s="31">
        <v>38</v>
      </c>
      <c r="F352" s="44">
        <v>28</v>
      </c>
      <c r="G352" s="46"/>
      <c r="H352" s="16"/>
      <c r="I352" s="46"/>
      <c r="J352" s="46"/>
      <c r="K352" s="44" t="s">
        <v>750</v>
      </c>
      <c r="L352" s="46">
        <v>8600</v>
      </c>
      <c r="M352" s="46"/>
      <c r="N352" s="46" t="s">
        <v>739</v>
      </c>
      <c r="O352" s="16"/>
      <c r="P352" s="16"/>
      <c r="Q352" s="16"/>
      <c r="R352" s="47"/>
      <c r="S352" s="47"/>
      <c r="T352" s="16"/>
      <c r="U352" s="49">
        <v>54</v>
      </c>
      <c r="V352" s="50" t="s">
        <v>126</v>
      </c>
    </row>
    <row r="353" s="16" customFormat="1" customHeight="1" outlineLevel="1" spans="1:22">
      <c r="A353" s="44">
        <v>1303029</v>
      </c>
      <c r="B353" s="44">
        <v>1303</v>
      </c>
      <c r="C353" s="44" t="s">
        <v>775</v>
      </c>
      <c r="D353" s="44"/>
      <c r="E353" s="31">
        <v>38</v>
      </c>
      <c r="F353" s="44">
        <v>29</v>
      </c>
      <c r="G353" s="46"/>
      <c r="H353" s="16"/>
      <c r="I353" s="46"/>
      <c r="J353" s="46"/>
      <c r="K353" s="44" t="s">
        <v>752</v>
      </c>
      <c r="L353" s="46">
        <v>8800</v>
      </c>
      <c r="M353" s="46"/>
      <c r="N353" s="46" t="s">
        <v>739</v>
      </c>
      <c r="O353" s="16"/>
      <c r="P353" s="16"/>
      <c r="Q353" s="16"/>
      <c r="R353" s="47"/>
      <c r="S353" s="47"/>
      <c r="T353" s="48"/>
      <c r="U353" s="49">
        <v>56</v>
      </c>
      <c r="V353" s="50" t="s">
        <v>128</v>
      </c>
    </row>
    <row r="354" s="16" customFormat="1" customHeight="1" outlineLevel="1" spans="1:22">
      <c r="A354" s="44">
        <v>1303030</v>
      </c>
      <c r="B354" s="44">
        <v>1303</v>
      </c>
      <c r="C354" s="44" t="s">
        <v>775</v>
      </c>
      <c r="D354" s="44"/>
      <c r="E354" s="45">
        <v>46</v>
      </c>
      <c r="F354" s="44">
        <v>30</v>
      </c>
      <c r="G354" s="46"/>
      <c r="H354" s="16"/>
      <c r="I354" s="46"/>
      <c r="J354" s="46"/>
      <c r="K354" s="44" t="s">
        <v>754</v>
      </c>
      <c r="L354" s="46">
        <v>9200</v>
      </c>
      <c r="M354" s="46"/>
      <c r="N354" s="46" t="s">
        <v>739</v>
      </c>
      <c r="O354" s="16"/>
      <c r="P354" s="16"/>
      <c r="Q354" s="16"/>
      <c r="R354" s="47"/>
      <c r="S354" s="47"/>
      <c r="T354" s="48"/>
      <c r="U354" s="49">
        <v>58</v>
      </c>
      <c r="V354" s="50" t="s">
        <v>130</v>
      </c>
    </row>
    <row r="355" s="17" customFormat="1" customHeight="1" outlineLevel="1" spans="1:22">
      <c r="A355" s="44">
        <v>1303031</v>
      </c>
      <c r="B355" s="44">
        <v>1303</v>
      </c>
      <c r="C355" s="44" t="s">
        <v>775</v>
      </c>
      <c r="D355" s="44"/>
      <c r="E355" s="31">
        <v>46</v>
      </c>
      <c r="F355" s="44">
        <v>31</v>
      </c>
      <c r="G355" s="46"/>
      <c r="H355" s="16"/>
      <c r="I355" s="46"/>
      <c r="J355" s="46"/>
      <c r="K355" s="44" t="s">
        <v>756</v>
      </c>
      <c r="L355" s="46">
        <v>9400</v>
      </c>
      <c r="M355" s="46"/>
      <c r="N355" s="46" t="s">
        <v>739</v>
      </c>
      <c r="O355" s="16"/>
      <c r="P355" s="16"/>
      <c r="Q355" s="16"/>
      <c r="R355" s="47"/>
      <c r="S355" s="47"/>
      <c r="T355" s="48"/>
      <c r="U355" s="49">
        <v>60</v>
      </c>
      <c r="V355" s="50" t="s">
        <v>133</v>
      </c>
    </row>
    <row r="356" s="17" customFormat="1" customHeight="1" outlineLevel="1" spans="1:22">
      <c r="A356" s="44">
        <v>1303032</v>
      </c>
      <c r="B356" s="44">
        <v>1303</v>
      </c>
      <c r="C356" s="44" t="s">
        <v>775</v>
      </c>
      <c r="D356" s="44"/>
      <c r="E356" s="31">
        <v>46</v>
      </c>
      <c r="F356" s="44">
        <v>32</v>
      </c>
      <c r="G356" s="46"/>
      <c r="H356" s="16"/>
      <c r="I356" s="46"/>
      <c r="J356" s="46"/>
      <c r="K356" s="44" t="s">
        <v>758</v>
      </c>
      <c r="L356" s="46">
        <v>9800</v>
      </c>
      <c r="M356" s="46"/>
      <c r="N356" s="46" t="s">
        <v>739</v>
      </c>
      <c r="O356" s="16"/>
      <c r="P356" s="16"/>
      <c r="Q356" s="16"/>
      <c r="R356" s="47"/>
      <c r="S356" s="47"/>
      <c r="T356" s="48"/>
      <c r="U356" s="49">
        <v>62</v>
      </c>
      <c r="V356" s="50" t="s">
        <v>135</v>
      </c>
    </row>
    <row r="357" s="17" customFormat="1" customHeight="1" outlineLevel="1" spans="1:22">
      <c r="A357" s="44">
        <v>1303033</v>
      </c>
      <c r="B357" s="44">
        <v>1303</v>
      </c>
      <c r="C357" s="44" t="s">
        <v>775</v>
      </c>
      <c r="D357" s="44"/>
      <c r="E357" s="31">
        <v>46</v>
      </c>
      <c r="F357" s="44">
        <v>33</v>
      </c>
      <c r="G357" s="46"/>
      <c r="H357" s="16"/>
      <c r="I357" s="46"/>
      <c r="J357" s="46"/>
      <c r="K357" s="44" t="s">
        <v>760</v>
      </c>
      <c r="L357" s="46">
        <v>10000</v>
      </c>
      <c r="M357" s="46"/>
      <c r="N357" s="46" t="s">
        <v>739</v>
      </c>
      <c r="O357" s="16"/>
      <c r="P357" s="16"/>
      <c r="Q357" s="16"/>
      <c r="R357" s="47"/>
      <c r="S357" s="47"/>
      <c r="T357" s="48"/>
      <c r="U357" s="49">
        <v>64</v>
      </c>
      <c r="V357" s="50" t="s">
        <v>137</v>
      </c>
    </row>
    <row r="358" s="17" customFormat="1" customHeight="1" outlineLevel="1" spans="1:22">
      <c r="A358" s="44">
        <v>1303034</v>
      </c>
      <c r="B358" s="44">
        <v>1303</v>
      </c>
      <c r="C358" s="44" t="s">
        <v>775</v>
      </c>
      <c r="D358" s="44"/>
      <c r="E358" s="31">
        <v>46</v>
      </c>
      <c r="F358" s="44">
        <v>34</v>
      </c>
      <c r="G358" s="46"/>
      <c r="H358" s="16"/>
      <c r="I358" s="46"/>
      <c r="J358" s="46"/>
      <c r="K358" s="44" t="s">
        <v>762</v>
      </c>
      <c r="L358" s="46">
        <v>10400</v>
      </c>
      <c r="M358" s="46"/>
      <c r="N358" s="46" t="s">
        <v>739</v>
      </c>
      <c r="O358" s="16"/>
      <c r="P358" s="16"/>
      <c r="Q358" s="16"/>
      <c r="R358" s="47"/>
      <c r="S358" s="47"/>
      <c r="T358" s="48"/>
      <c r="U358" s="49">
        <v>66</v>
      </c>
      <c r="V358" s="50" t="s">
        <v>140</v>
      </c>
    </row>
    <row r="359" s="17" customFormat="1" customHeight="1" outlineLevel="1" spans="1:22">
      <c r="A359" s="44">
        <v>1303035</v>
      </c>
      <c r="B359" s="44">
        <v>1303</v>
      </c>
      <c r="C359" s="44" t="s">
        <v>775</v>
      </c>
      <c r="D359" s="44"/>
      <c r="E359" s="45">
        <v>53</v>
      </c>
      <c r="F359" s="44">
        <v>35</v>
      </c>
      <c r="G359" s="46"/>
      <c r="H359" s="16"/>
      <c r="I359" s="46"/>
      <c r="J359" s="46"/>
      <c r="K359" s="44" t="s">
        <v>763</v>
      </c>
      <c r="L359" s="46">
        <v>10600</v>
      </c>
      <c r="M359" s="46"/>
      <c r="N359" s="46" t="s">
        <v>739</v>
      </c>
      <c r="O359" s="16"/>
      <c r="P359" s="16"/>
      <c r="Q359" s="16"/>
      <c r="R359" s="47"/>
      <c r="S359" s="47"/>
      <c r="T359" s="48" t="s">
        <v>774</v>
      </c>
      <c r="U359" s="49">
        <v>68</v>
      </c>
      <c r="V359" s="50" t="s">
        <v>142</v>
      </c>
    </row>
    <row r="360" s="17" customFormat="1" customHeight="1" outlineLevel="1" spans="1:22">
      <c r="A360" s="44">
        <v>1303036</v>
      </c>
      <c r="B360" s="44">
        <v>1303</v>
      </c>
      <c r="C360" s="44" t="s">
        <v>775</v>
      </c>
      <c r="D360" s="44"/>
      <c r="E360" s="31">
        <v>53</v>
      </c>
      <c r="F360" s="44">
        <v>36</v>
      </c>
      <c r="G360" s="46"/>
      <c r="H360" s="16"/>
      <c r="I360" s="46"/>
      <c r="J360" s="46"/>
      <c r="K360" s="44" t="s">
        <v>764</v>
      </c>
      <c r="L360" s="46">
        <v>11000</v>
      </c>
      <c r="M360" s="46"/>
      <c r="N360" s="46" t="s">
        <v>739</v>
      </c>
      <c r="O360" s="16"/>
      <c r="P360" s="16"/>
      <c r="Q360" s="16"/>
      <c r="R360" s="47"/>
      <c r="S360" s="47"/>
      <c r="T360" s="48" t="s">
        <v>774</v>
      </c>
      <c r="U360" s="49">
        <v>70</v>
      </c>
      <c r="V360" s="50" t="s">
        <v>144</v>
      </c>
    </row>
    <row r="361" s="17" customFormat="1" customHeight="1" outlineLevel="1" spans="1:22">
      <c r="A361" s="44">
        <v>1303037</v>
      </c>
      <c r="B361" s="44">
        <v>1303</v>
      </c>
      <c r="C361" s="44" t="s">
        <v>775</v>
      </c>
      <c r="D361" s="44"/>
      <c r="E361" s="31">
        <v>53</v>
      </c>
      <c r="F361" s="44">
        <v>37</v>
      </c>
      <c r="G361" s="46"/>
      <c r="H361" s="16"/>
      <c r="I361" s="46"/>
      <c r="J361" s="46"/>
      <c r="K361" s="44" t="s">
        <v>765</v>
      </c>
      <c r="L361" s="46">
        <v>11200</v>
      </c>
      <c r="M361" s="46"/>
      <c r="N361" s="46" t="s">
        <v>739</v>
      </c>
      <c r="O361" s="16"/>
      <c r="P361" s="16"/>
      <c r="Q361" s="16"/>
      <c r="R361" s="47"/>
      <c r="S361" s="47"/>
      <c r="T361" s="48" t="s">
        <v>774</v>
      </c>
      <c r="U361" s="49">
        <v>72</v>
      </c>
      <c r="V361" s="50" t="s">
        <v>146</v>
      </c>
    </row>
    <row r="362" s="17" customFormat="1" customHeight="1" outlineLevel="1" spans="1:22">
      <c r="A362" s="44">
        <v>1303038</v>
      </c>
      <c r="B362" s="44">
        <v>1303</v>
      </c>
      <c r="C362" s="44" t="s">
        <v>775</v>
      </c>
      <c r="D362" s="44"/>
      <c r="E362" s="31">
        <v>53</v>
      </c>
      <c r="F362" s="44">
        <v>38</v>
      </c>
      <c r="G362" s="46"/>
      <c r="H362" s="16"/>
      <c r="I362" s="46"/>
      <c r="J362" s="46"/>
      <c r="K362" s="44" t="s">
        <v>766</v>
      </c>
      <c r="L362" s="46">
        <v>11600</v>
      </c>
      <c r="M362" s="46"/>
      <c r="N362" s="46" t="s">
        <v>739</v>
      </c>
      <c r="O362" s="16"/>
      <c r="P362" s="16"/>
      <c r="Q362" s="16"/>
      <c r="R362" s="47"/>
      <c r="S362" s="47"/>
      <c r="T362" s="48" t="s">
        <v>774</v>
      </c>
      <c r="U362" s="49">
        <v>74</v>
      </c>
      <c r="V362" s="50" t="s">
        <v>148</v>
      </c>
    </row>
    <row r="363" s="17" customFormat="1" customHeight="1" outlineLevel="1" spans="1:22">
      <c r="A363" s="44">
        <v>1303039</v>
      </c>
      <c r="B363" s="44">
        <v>1303</v>
      </c>
      <c r="C363" s="44" t="s">
        <v>775</v>
      </c>
      <c r="D363" s="44"/>
      <c r="E363" s="31">
        <v>53</v>
      </c>
      <c r="F363" s="44">
        <v>39</v>
      </c>
      <c r="G363" s="46"/>
      <c r="H363" s="16"/>
      <c r="I363" s="46"/>
      <c r="J363" s="46"/>
      <c r="K363" s="44" t="s">
        <v>767</v>
      </c>
      <c r="L363" s="46">
        <v>11800</v>
      </c>
      <c r="M363" s="46"/>
      <c r="N363" s="46" t="s">
        <v>739</v>
      </c>
      <c r="O363" s="16"/>
      <c r="P363" s="16"/>
      <c r="Q363" s="16"/>
      <c r="R363" s="47"/>
      <c r="S363" s="47"/>
      <c r="T363" s="48" t="s">
        <v>774</v>
      </c>
      <c r="U363" s="49">
        <v>76</v>
      </c>
      <c r="V363" s="50" t="s">
        <v>150</v>
      </c>
    </row>
    <row r="364" s="17" customFormat="1" customHeight="1" spans="1:22">
      <c r="A364" s="44">
        <v>1303040</v>
      </c>
      <c r="B364" s="44">
        <v>1303</v>
      </c>
      <c r="C364" s="44" t="s">
        <v>775</v>
      </c>
      <c r="D364" s="44"/>
      <c r="E364" s="45">
        <v>60</v>
      </c>
      <c r="F364" s="44">
        <v>40</v>
      </c>
      <c r="G364" s="46"/>
      <c r="H364" s="16"/>
      <c r="I364" s="46"/>
      <c r="J364" s="46"/>
      <c r="K364" s="44" t="s">
        <v>768</v>
      </c>
      <c r="L364" s="46">
        <v>12200</v>
      </c>
      <c r="M364" s="46"/>
      <c r="N364" s="46" t="s">
        <v>739</v>
      </c>
      <c r="O364" s="16"/>
      <c r="P364" s="16"/>
      <c r="Q364" s="16"/>
      <c r="R364" s="47"/>
      <c r="S364" s="47"/>
      <c r="T364" s="48" t="s">
        <v>774</v>
      </c>
      <c r="U364" s="49">
        <v>78</v>
      </c>
      <c r="V364" s="50" t="s">
        <v>152</v>
      </c>
    </row>
    <row r="365" customHeight="1" spans="1:22">
      <c r="A365" s="31">
        <v>1304001</v>
      </c>
      <c r="B365" s="31">
        <v>1304</v>
      </c>
      <c r="C365" s="31" t="s">
        <v>777</v>
      </c>
      <c r="D365" s="31"/>
      <c r="E365" s="44">
        <v>1</v>
      </c>
      <c r="F365" s="31">
        <v>1</v>
      </c>
      <c r="K365" s="31" t="s">
        <v>738</v>
      </c>
      <c r="L365" s="18">
        <v>50</v>
      </c>
      <c r="M365" s="18"/>
      <c r="N365" s="18" t="s">
        <v>739</v>
      </c>
      <c r="T365" s="7" t="s">
        <v>778</v>
      </c>
      <c r="U365" s="34">
        <v>1</v>
      </c>
      <c r="V365" s="35" t="s">
        <v>107</v>
      </c>
    </row>
    <row r="366" customHeight="1" outlineLevel="1" spans="1:22">
      <c r="A366" s="31">
        <v>1304002</v>
      </c>
      <c r="B366" s="31">
        <v>1304</v>
      </c>
      <c r="C366" s="31" t="s">
        <v>777</v>
      </c>
      <c r="D366" s="31"/>
      <c r="E366" s="44">
        <v>1</v>
      </c>
      <c r="F366" s="31">
        <v>2</v>
      </c>
      <c r="K366" s="31" t="s">
        <v>743</v>
      </c>
      <c r="L366" s="18">
        <v>500</v>
      </c>
      <c r="M366" s="18"/>
      <c r="N366" s="18" t="s">
        <v>739</v>
      </c>
      <c r="T366" s="7">
        <v>1304254</v>
      </c>
      <c r="U366" s="34">
        <v>2</v>
      </c>
      <c r="V366" s="35" t="s">
        <v>111</v>
      </c>
    </row>
    <row r="367" customHeight="1" outlineLevel="1" spans="1:22">
      <c r="A367" s="31">
        <v>1304003</v>
      </c>
      <c r="B367" s="31">
        <v>1304</v>
      </c>
      <c r="C367" s="31" t="s">
        <v>777</v>
      </c>
      <c r="D367" s="31"/>
      <c r="E367" s="44">
        <v>1</v>
      </c>
      <c r="F367" s="31">
        <v>3</v>
      </c>
      <c r="K367" s="31" t="s">
        <v>745</v>
      </c>
      <c r="L367" s="18">
        <v>900</v>
      </c>
      <c r="M367" s="18"/>
      <c r="N367" s="18" t="s">
        <v>739</v>
      </c>
      <c r="T367" s="7">
        <v>1304255</v>
      </c>
      <c r="U367" s="34">
        <v>4</v>
      </c>
      <c r="V367" s="35" t="s">
        <v>113</v>
      </c>
    </row>
    <row r="368" customHeight="1" outlineLevel="1" spans="1:22">
      <c r="A368" s="31">
        <v>1304004</v>
      </c>
      <c r="B368" s="31">
        <v>1304</v>
      </c>
      <c r="C368" s="31" t="s">
        <v>777</v>
      </c>
      <c r="D368" s="31"/>
      <c r="E368" s="44">
        <v>1</v>
      </c>
      <c r="F368" s="31">
        <v>4</v>
      </c>
      <c r="K368" s="31" t="s">
        <v>746</v>
      </c>
      <c r="L368" s="18">
        <v>1300</v>
      </c>
      <c r="M368" s="18"/>
      <c r="N368" s="18" t="s">
        <v>739</v>
      </c>
      <c r="T368" s="7">
        <v>1304256</v>
      </c>
      <c r="U368" s="34">
        <v>6</v>
      </c>
      <c r="V368" s="35" t="s">
        <v>117</v>
      </c>
    </row>
    <row r="369" customHeight="1" outlineLevel="1" spans="1:22">
      <c r="A369" s="31">
        <v>1304005</v>
      </c>
      <c r="B369" s="31">
        <v>1304</v>
      </c>
      <c r="C369" s="31" t="s">
        <v>777</v>
      </c>
      <c r="D369" s="31"/>
      <c r="E369" s="44">
        <v>1</v>
      </c>
      <c r="F369" s="31">
        <v>5</v>
      </c>
      <c r="K369" s="31" t="s">
        <v>747</v>
      </c>
      <c r="L369" s="18">
        <v>1700</v>
      </c>
      <c r="M369" s="18"/>
      <c r="N369" s="18" t="s">
        <v>739</v>
      </c>
      <c r="T369" s="7">
        <v>1304257</v>
      </c>
      <c r="U369" s="34">
        <v>8</v>
      </c>
      <c r="V369" s="35" t="s">
        <v>119</v>
      </c>
    </row>
    <row r="370" customHeight="1" outlineLevel="1" spans="1:22">
      <c r="A370" s="31">
        <v>1304006</v>
      </c>
      <c r="B370" s="31">
        <v>1304</v>
      </c>
      <c r="C370" s="31" t="s">
        <v>777</v>
      </c>
      <c r="D370" s="31"/>
      <c r="E370" s="45">
        <v>10</v>
      </c>
      <c r="F370" s="31">
        <v>6</v>
      </c>
      <c r="K370" s="31" t="s">
        <v>748</v>
      </c>
      <c r="L370" s="18">
        <v>2100</v>
      </c>
      <c r="M370" s="18"/>
      <c r="N370" s="18" t="s">
        <v>739</v>
      </c>
      <c r="T370" s="7">
        <v>1304258</v>
      </c>
      <c r="U370" s="34">
        <v>10</v>
      </c>
      <c r="V370" s="35" t="s">
        <v>121</v>
      </c>
    </row>
    <row r="371" customHeight="1" outlineLevel="1" spans="1:22">
      <c r="A371" s="31">
        <v>1304007</v>
      </c>
      <c r="B371" s="31">
        <v>1304</v>
      </c>
      <c r="C371" s="31" t="s">
        <v>777</v>
      </c>
      <c r="D371" s="31"/>
      <c r="E371" s="31">
        <v>10</v>
      </c>
      <c r="F371" s="31">
        <v>7</v>
      </c>
      <c r="K371" s="31" t="s">
        <v>749</v>
      </c>
      <c r="L371" s="18">
        <v>2500</v>
      </c>
      <c r="M371" s="18"/>
      <c r="N371" s="18" t="s">
        <v>739</v>
      </c>
      <c r="U371" s="34">
        <v>12</v>
      </c>
      <c r="V371" s="35" t="s">
        <v>123</v>
      </c>
    </row>
    <row r="372" customHeight="1" outlineLevel="1" spans="1:22">
      <c r="A372" s="31">
        <v>1304008</v>
      </c>
      <c r="B372" s="31">
        <v>1304</v>
      </c>
      <c r="C372" s="31" t="s">
        <v>777</v>
      </c>
      <c r="D372" s="31"/>
      <c r="E372" s="31">
        <v>10</v>
      </c>
      <c r="F372" s="31">
        <v>8</v>
      </c>
      <c r="K372" s="31" t="s">
        <v>750</v>
      </c>
      <c r="L372" s="18">
        <v>2900</v>
      </c>
      <c r="M372" s="18"/>
      <c r="N372" s="18" t="s">
        <v>739</v>
      </c>
      <c r="U372" s="34">
        <v>14</v>
      </c>
      <c r="V372" s="35" t="s">
        <v>126</v>
      </c>
    </row>
    <row r="373" customHeight="1" outlineLevel="1" spans="1:22">
      <c r="A373" s="31">
        <v>1304009</v>
      </c>
      <c r="B373" s="31">
        <v>1304</v>
      </c>
      <c r="C373" s="31" t="s">
        <v>777</v>
      </c>
      <c r="D373" s="31"/>
      <c r="E373" s="31">
        <v>10</v>
      </c>
      <c r="F373" s="31">
        <v>9</v>
      </c>
      <c r="K373" s="31" t="s">
        <v>752</v>
      </c>
      <c r="L373" s="18">
        <v>3300</v>
      </c>
      <c r="M373" s="18"/>
      <c r="N373" s="18" t="s">
        <v>739</v>
      </c>
      <c r="U373" s="34">
        <v>16</v>
      </c>
      <c r="V373" s="35" t="s">
        <v>128</v>
      </c>
    </row>
    <row r="374" customHeight="1" outlineLevel="1" spans="1:22">
      <c r="A374" s="31">
        <v>1304010</v>
      </c>
      <c r="B374" s="31">
        <v>1304</v>
      </c>
      <c r="C374" s="31" t="s">
        <v>777</v>
      </c>
      <c r="D374" s="31"/>
      <c r="E374" s="31">
        <v>10</v>
      </c>
      <c r="F374" s="31">
        <v>10</v>
      </c>
      <c r="K374" s="31" t="s">
        <v>754</v>
      </c>
      <c r="L374" s="18">
        <v>3700</v>
      </c>
      <c r="M374" s="18"/>
      <c r="N374" s="18" t="s">
        <v>739</v>
      </c>
      <c r="U374" s="34">
        <v>18</v>
      </c>
      <c r="V374" s="35" t="s">
        <v>130</v>
      </c>
    </row>
    <row r="375" customHeight="1" outlineLevel="1" spans="1:22">
      <c r="A375" s="31">
        <v>1304011</v>
      </c>
      <c r="B375" s="31">
        <v>1304</v>
      </c>
      <c r="C375" s="31" t="s">
        <v>777</v>
      </c>
      <c r="D375" s="31"/>
      <c r="E375" s="45">
        <v>17</v>
      </c>
      <c r="F375" s="31">
        <v>11</v>
      </c>
      <c r="K375" s="31" t="s">
        <v>756</v>
      </c>
      <c r="L375" s="18">
        <v>4100</v>
      </c>
      <c r="M375" s="18"/>
      <c r="N375" s="18" t="s">
        <v>739</v>
      </c>
      <c r="T375" s="7" t="s">
        <v>774</v>
      </c>
      <c r="U375" s="34">
        <v>20</v>
      </c>
      <c r="V375" s="35" t="s">
        <v>133</v>
      </c>
    </row>
    <row r="376" customHeight="1" outlineLevel="1" spans="1:22">
      <c r="A376" s="31">
        <v>1304012</v>
      </c>
      <c r="B376" s="31">
        <v>1304</v>
      </c>
      <c r="C376" s="31" t="s">
        <v>777</v>
      </c>
      <c r="D376" s="31"/>
      <c r="E376" s="31">
        <v>17</v>
      </c>
      <c r="F376" s="31">
        <v>12</v>
      </c>
      <c r="K376" s="31" t="s">
        <v>758</v>
      </c>
      <c r="L376" s="18">
        <v>4500</v>
      </c>
      <c r="M376" s="18"/>
      <c r="N376" s="18" t="s">
        <v>739</v>
      </c>
      <c r="T376" s="7" t="s">
        <v>774</v>
      </c>
      <c r="U376" s="34">
        <v>22</v>
      </c>
      <c r="V376" s="35" t="s">
        <v>135</v>
      </c>
    </row>
    <row r="377" customHeight="1" outlineLevel="1" spans="1:22">
      <c r="A377" s="31">
        <v>1304013</v>
      </c>
      <c r="B377" s="31">
        <v>1304</v>
      </c>
      <c r="C377" s="31" t="s">
        <v>777</v>
      </c>
      <c r="D377" s="31"/>
      <c r="E377" s="31">
        <v>17</v>
      </c>
      <c r="F377" s="31">
        <v>13</v>
      </c>
      <c r="K377" s="31" t="s">
        <v>760</v>
      </c>
      <c r="L377" s="18">
        <v>4900</v>
      </c>
      <c r="M377" s="18"/>
      <c r="N377" s="18" t="s">
        <v>739</v>
      </c>
      <c r="T377" s="7" t="s">
        <v>774</v>
      </c>
      <c r="U377" s="34">
        <v>24</v>
      </c>
      <c r="V377" s="35" t="s">
        <v>137</v>
      </c>
    </row>
    <row r="378" customHeight="1" outlineLevel="1" spans="1:22">
      <c r="A378" s="31">
        <v>1304014</v>
      </c>
      <c r="B378" s="31">
        <v>1304</v>
      </c>
      <c r="C378" s="31" t="s">
        <v>777</v>
      </c>
      <c r="D378" s="31"/>
      <c r="E378" s="31">
        <v>17</v>
      </c>
      <c r="F378" s="31">
        <v>14</v>
      </c>
      <c r="K378" s="31" t="s">
        <v>762</v>
      </c>
      <c r="L378" s="18">
        <v>5300</v>
      </c>
      <c r="M378" s="18"/>
      <c r="N378" s="18" t="s">
        <v>739</v>
      </c>
      <c r="T378" s="7" t="s">
        <v>774</v>
      </c>
      <c r="U378" s="34">
        <v>26</v>
      </c>
      <c r="V378" s="35" t="s">
        <v>140</v>
      </c>
    </row>
    <row r="379" customHeight="1" outlineLevel="1" spans="1:22">
      <c r="A379" s="31">
        <v>1304015</v>
      </c>
      <c r="B379" s="31">
        <v>1304</v>
      </c>
      <c r="C379" s="31" t="s">
        <v>777</v>
      </c>
      <c r="D379" s="31"/>
      <c r="E379" s="31">
        <v>17</v>
      </c>
      <c r="F379" s="31">
        <v>15</v>
      </c>
      <c r="K379" s="31" t="s">
        <v>763</v>
      </c>
      <c r="L379" s="18">
        <v>5700</v>
      </c>
      <c r="M379" s="18"/>
      <c r="N379" s="18" t="s">
        <v>739</v>
      </c>
      <c r="T379" s="7" t="s">
        <v>774</v>
      </c>
      <c r="U379" s="34">
        <v>28</v>
      </c>
      <c r="V379" s="35" t="s">
        <v>142</v>
      </c>
    </row>
    <row r="380" customHeight="1" outlineLevel="1" spans="1:22">
      <c r="A380" s="31">
        <v>1304016</v>
      </c>
      <c r="B380" s="31">
        <v>1304</v>
      </c>
      <c r="C380" s="31" t="s">
        <v>777</v>
      </c>
      <c r="D380" s="31"/>
      <c r="E380" s="45">
        <v>25</v>
      </c>
      <c r="F380" s="31">
        <v>16</v>
      </c>
      <c r="K380" s="31" t="s">
        <v>764</v>
      </c>
      <c r="L380" s="18">
        <v>6000</v>
      </c>
      <c r="M380" s="18"/>
      <c r="N380" s="18" t="s">
        <v>739</v>
      </c>
      <c r="T380" s="7" t="s">
        <v>774</v>
      </c>
      <c r="U380" s="34">
        <v>30</v>
      </c>
      <c r="V380" s="35" t="s">
        <v>144</v>
      </c>
    </row>
    <row r="381" customHeight="1" outlineLevel="1" spans="1:22">
      <c r="A381" s="31">
        <v>1304017</v>
      </c>
      <c r="B381" s="31">
        <v>1304</v>
      </c>
      <c r="C381" s="31" t="s">
        <v>777</v>
      </c>
      <c r="D381" s="31"/>
      <c r="E381" s="31">
        <v>25</v>
      </c>
      <c r="F381" s="31">
        <v>17</v>
      </c>
      <c r="K381" s="31" t="s">
        <v>765</v>
      </c>
      <c r="L381" s="18">
        <v>6300</v>
      </c>
      <c r="M381" s="18"/>
      <c r="N381" s="18" t="s">
        <v>739</v>
      </c>
      <c r="T381" s="7" t="s">
        <v>774</v>
      </c>
      <c r="U381" s="34">
        <v>32</v>
      </c>
      <c r="V381" s="35" t="s">
        <v>146</v>
      </c>
    </row>
    <row r="382" customHeight="1" outlineLevel="1" spans="1:22">
      <c r="A382" s="31">
        <v>1304018</v>
      </c>
      <c r="B382" s="31">
        <v>1304</v>
      </c>
      <c r="C382" s="31" t="s">
        <v>777</v>
      </c>
      <c r="D382" s="31"/>
      <c r="E382" s="31">
        <v>25</v>
      </c>
      <c r="F382" s="31">
        <v>18</v>
      </c>
      <c r="K382" s="31" t="s">
        <v>766</v>
      </c>
      <c r="L382" s="18">
        <v>6600</v>
      </c>
      <c r="M382" s="18"/>
      <c r="N382" s="18" t="s">
        <v>739</v>
      </c>
      <c r="U382" s="34">
        <v>34</v>
      </c>
      <c r="V382" s="35" t="s">
        <v>148</v>
      </c>
    </row>
    <row r="383" customHeight="1" outlineLevel="1" spans="1:22">
      <c r="A383" s="31">
        <v>1304019</v>
      </c>
      <c r="B383" s="31">
        <v>1304</v>
      </c>
      <c r="C383" s="31" t="s">
        <v>777</v>
      </c>
      <c r="D383" s="31"/>
      <c r="E383" s="31">
        <v>25</v>
      </c>
      <c r="F383" s="31">
        <v>19</v>
      </c>
      <c r="K383" s="31" t="s">
        <v>767</v>
      </c>
      <c r="L383" s="18">
        <v>6900</v>
      </c>
      <c r="M383" s="18"/>
      <c r="N383" s="18" t="s">
        <v>739</v>
      </c>
      <c r="U383" s="34">
        <v>36</v>
      </c>
      <c r="V383" s="35" t="s">
        <v>150</v>
      </c>
    </row>
    <row r="384" customHeight="1" outlineLevel="1" spans="1:22">
      <c r="A384" s="31">
        <v>1304020</v>
      </c>
      <c r="B384" s="31">
        <v>1304</v>
      </c>
      <c r="C384" s="31" t="s">
        <v>777</v>
      </c>
      <c r="D384" s="31"/>
      <c r="E384" s="31">
        <v>25</v>
      </c>
      <c r="F384" s="31">
        <v>20</v>
      </c>
      <c r="K384" s="31" t="s">
        <v>768</v>
      </c>
      <c r="L384" s="18">
        <v>7200</v>
      </c>
      <c r="M384" s="18"/>
      <c r="N384" s="18" t="s">
        <v>739</v>
      </c>
      <c r="U384" s="34">
        <v>38</v>
      </c>
      <c r="V384" s="35" t="s">
        <v>152</v>
      </c>
    </row>
    <row r="385" customHeight="1" outlineLevel="1" spans="1:22">
      <c r="A385" s="31">
        <v>1304021</v>
      </c>
      <c r="B385" s="31">
        <v>1304</v>
      </c>
      <c r="C385" s="31" t="s">
        <v>777</v>
      </c>
      <c r="D385" s="31"/>
      <c r="E385" s="45">
        <v>33</v>
      </c>
      <c r="F385" s="31">
        <v>21</v>
      </c>
      <c r="K385" s="31" t="s">
        <v>738</v>
      </c>
      <c r="L385" s="18">
        <v>7500</v>
      </c>
      <c r="M385" s="18"/>
      <c r="N385" s="18" t="s">
        <v>739</v>
      </c>
      <c r="U385" s="34">
        <v>40</v>
      </c>
      <c r="V385" s="35" t="s">
        <v>107</v>
      </c>
    </row>
    <row r="386" customHeight="1" outlineLevel="1" spans="1:22">
      <c r="A386" s="31">
        <v>1304022</v>
      </c>
      <c r="B386" s="31">
        <v>1304</v>
      </c>
      <c r="C386" s="31" t="s">
        <v>777</v>
      </c>
      <c r="D386" s="31"/>
      <c r="E386" s="31">
        <v>33</v>
      </c>
      <c r="F386" s="31">
        <v>22</v>
      </c>
      <c r="K386" s="31" t="s">
        <v>743</v>
      </c>
      <c r="L386" s="18">
        <v>7800</v>
      </c>
      <c r="M386" s="18"/>
      <c r="N386" s="18" t="s">
        <v>739</v>
      </c>
      <c r="U386" s="34">
        <v>42</v>
      </c>
      <c r="V386" s="35" t="s">
        <v>111</v>
      </c>
    </row>
    <row r="387" customHeight="1" outlineLevel="1" spans="1:22">
      <c r="A387" s="31">
        <v>1304023</v>
      </c>
      <c r="B387" s="31">
        <v>1304</v>
      </c>
      <c r="C387" s="31" t="s">
        <v>777</v>
      </c>
      <c r="D387" s="31"/>
      <c r="E387" s="31">
        <v>33</v>
      </c>
      <c r="F387" s="31">
        <v>23</v>
      </c>
      <c r="K387" s="31" t="s">
        <v>745</v>
      </c>
      <c r="L387" s="18">
        <v>8100</v>
      </c>
      <c r="M387" s="18"/>
      <c r="N387" s="18" t="s">
        <v>739</v>
      </c>
      <c r="U387" s="34">
        <v>44</v>
      </c>
      <c r="V387" s="35" t="s">
        <v>113</v>
      </c>
    </row>
    <row r="388" customHeight="1" outlineLevel="1" spans="1:22">
      <c r="A388" s="31">
        <v>1304024</v>
      </c>
      <c r="B388" s="31">
        <v>1304</v>
      </c>
      <c r="C388" s="31" t="s">
        <v>777</v>
      </c>
      <c r="D388" s="31"/>
      <c r="E388" s="31">
        <v>33</v>
      </c>
      <c r="F388" s="31">
        <v>24</v>
      </c>
      <c r="K388" s="31" t="s">
        <v>746</v>
      </c>
      <c r="L388" s="18">
        <v>8400</v>
      </c>
      <c r="M388" s="18"/>
      <c r="N388" s="18" t="s">
        <v>739</v>
      </c>
      <c r="U388" s="34">
        <v>46</v>
      </c>
      <c r="V388" s="35" t="s">
        <v>117</v>
      </c>
    </row>
    <row r="389" customHeight="1" outlineLevel="1" spans="1:22">
      <c r="A389" s="31">
        <v>1304025</v>
      </c>
      <c r="B389" s="31">
        <v>1304</v>
      </c>
      <c r="C389" s="31" t="s">
        <v>777</v>
      </c>
      <c r="D389" s="31"/>
      <c r="E389" s="31">
        <v>33</v>
      </c>
      <c r="F389" s="31">
        <v>25</v>
      </c>
      <c r="K389" s="31" t="s">
        <v>747</v>
      </c>
      <c r="L389" s="18">
        <v>8700</v>
      </c>
      <c r="M389" s="18"/>
      <c r="N389" s="18" t="s">
        <v>739</v>
      </c>
      <c r="U389" s="34">
        <v>48</v>
      </c>
      <c r="V389" s="35" t="s">
        <v>119</v>
      </c>
    </row>
    <row r="390" customHeight="1" outlineLevel="1" spans="1:22">
      <c r="A390" s="31">
        <v>1304026</v>
      </c>
      <c r="B390" s="31">
        <v>1304</v>
      </c>
      <c r="C390" s="31" t="s">
        <v>777</v>
      </c>
      <c r="D390" s="31"/>
      <c r="E390" s="45">
        <v>40</v>
      </c>
      <c r="F390" s="31">
        <v>26</v>
      </c>
      <c r="K390" s="31" t="s">
        <v>748</v>
      </c>
      <c r="L390" s="18">
        <v>9000</v>
      </c>
      <c r="M390" s="18"/>
      <c r="N390" s="18" t="s">
        <v>739</v>
      </c>
      <c r="U390" s="34">
        <v>50</v>
      </c>
      <c r="V390" s="35" t="s">
        <v>121</v>
      </c>
    </row>
    <row r="391" customHeight="1" outlineLevel="1" spans="1:22">
      <c r="A391" s="31">
        <v>1304027</v>
      </c>
      <c r="B391" s="31">
        <v>1304</v>
      </c>
      <c r="C391" s="31" t="s">
        <v>777</v>
      </c>
      <c r="D391" s="31"/>
      <c r="E391" s="31">
        <v>40</v>
      </c>
      <c r="F391" s="31">
        <v>27</v>
      </c>
      <c r="K391" s="31" t="s">
        <v>749</v>
      </c>
      <c r="L391" s="18">
        <v>9300</v>
      </c>
      <c r="M391" s="18"/>
      <c r="N391" s="18" t="s">
        <v>739</v>
      </c>
      <c r="U391" s="34">
        <v>52</v>
      </c>
      <c r="V391" s="35" t="s">
        <v>123</v>
      </c>
    </row>
    <row r="392" customHeight="1" outlineLevel="1" spans="1:22">
      <c r="A392" s="31">
        <v>1304028</v>
      </c>
      <c r="B392" s="31">
        <v>1304</v>
      </c>
      <c r="C392" s="31" t="s">
        <v>777</v>
      </c>
      <c r="D392" s="31"/>
      <c r="E392" s="31">
        <v>40</v>
      </c>
      <c r="F392" s="31">
        <v>28</v>
      </c>
      <c r="K392" s="31" t="s">
        <v>750</v>
      </c>
      <c r="L392" s="18">
        <v>9650</v>
      </c>
      <c r="M392" s="18"/>
      <c r="N392" s="18" t="s">
        <v>739</v>
      </c>
      <c r="U392" s="34">
        <v>54</v>
      </c>
      <c r="V392" s="35" t="s">
        <v>126</v>
      </c>
    </row>
    <row r="393" customHeight="1" outlineLevel="1" spans="1:22">
      <c r="A393" s="31">
        <v>1304029</v>
      </c>
      <c r="B393" s="31">
        <v>1304</v>
      </c>
      <c r="C393" s="31" t="s">
        <v>777</v>
      </c>
      <c r="D393" s="31"/>
      <c r="E393" s="31">
        <v>40</v>
      </c>
      <c r="F393" s="31">
        <v>29</v>
      </c>
      <c r="K393" s="31" t="s">
        <v>752</v>
      </c>
      <c r="L393" s="18">
        <v>10000</v>
      </c>
      <c r="M393" s="18"/>
      <c r="N393" s="18" t="s">
        <v>739</v>
      </c>
      <c r="U393" s="34">
        <v>56</v>
      </c>
      <c r="V393" s="35" t="s">
        <v>128</v>
      </c>
    </row>
    <row r="394" customHeight="1" outlineLevel="1" spans="1:22">
      <c r="A394" s="31">
        <v>1304030</v>
      </c>
      <c r="B394" s="31">
        <v>1304</v>
      </c>
      <c r="C394" s="31" t="s">
        <v>777</v>
      </c>
      <c r="D394" s="31"/>
      <c r="E394" s="31">
        <v>40</v>
      </c>
      <c r="F394" s="31">
        <v>30</v>
      </c>
      <c r="K394" s="31" t="s">
        <v>754</v>
      </c>
      <c r="L394" s="18">
        <v>10350</v>
      </c>
      <c r="M394" s="18"/>
      <c r="N394" s="18" t="s">
        <v>739</v>
      </c>
      <c r="U394" s="34">
        <v>58</v>
      </c>
      <c r="V394" s="35" t="s">
        <v>130</v>
      </c>
    </row>
    <row r="395" customHeight="1" outlineLevel="1" spans="1:22">
      <c r="A395" s="31">
        <v>1304031</v>
      </c>
      <c r="B395" s="31">
        <v>1304</v>
      </c>
      <c r="C395" s="31" t="s">
        <v>777</v>
      </c>
      <c r="D395" s="31"/>
      <c r="E395" s="45">
        <v>48</v>
      </c>
      <c r="F395" s="31">
        <v>31</v>
      </c>
      <c r="K395" s="31" t="s">
        <v>756</v>
      </c>
      <c r="L395" s="18">
        <v>10700</v>
      </c>
      <c r="M395" s="18"/>
      <c r="N395" s="18" t="s">
        <v>739</v>
      </c>
      <c r="T395" s="7" t="s">
        <v>774</v>
      </c>
      <c r="U395" s="34">
        <v>60</v>
      </c>
      <c r="V395" s="35" t="s">
        <v>133</v>
      </c>
    </row>
    <row r="396" customHeight="1" outlineLevel="1" spans="1:22">
      <c r="A396" s="31">
        <v>1304032</v>
      </c>
      <c r="B396" s="31">
        <v>1304</v>
      </c>
      <c r="C396" s="31" t="s">
        <v>777</v>
      </c>
      <c r="D396" s="31"/>
      <c r="E396" s="31">
        <v>48</v>
      </c>
      <c r="F396" s="31">
        <v>32</v>
      </c>
      <c r="K396" s="31" t="s">
        <v>758</v>
      </c>
      <c r="L396" s="18">
        <v>11050</v>
      </c>
      <c r="M396" s="18"/>
      <c r="N396" s="18" t="s">
        <v>739</v>
      </c>
      <c r="T396" s="7" t="s">
        <v>774</v>
      </c>
      <c r="U396" s="34">
        <v>62</v>
      </c>
      <c r="V396" s="35" t="s">
        <v>135</v>
      </c>
    </row>
    <row r="397" customHeight="1" outlineLevel="1" spans="1:22">
      <c r="A397" s="31">
        <v>1304033</v>
      </c>
      <c r="B397" s="31">
        <v>1304</v>
      </c>
      <c r="C397" s="31" t="s">
        <v>777</v>
      </c>
      <c r="D397" s="31"/>
      <c r="E397" s="31">
        <v>48</v>
      </c>
      <c r="F397" s="31">
        <v>33</v>
      </c>
      <c r="K397" s="31" t="s">
        <v>760</v>
      </c>
      <c r="L397" s="18">
        <v>11400</v>
      </c>
      <c r="M397" s="18"/>
      <c r="N397" s="18" t="s">
        <v>739</v>
      </c>
      <c r="T397" s="7" t="s">
        <v>774</v>
      </c>
      <c r="U397" s="34">
        <v>64</v>
      </c>
      <c r="V397" s="35" t="s">
        <v>137</v>
      </c>
    </row>
    <row r="398" customHeight="1" outlineLevel="1" spans="1:22">
      <c r="A398" s="31">
        <v>1304034</v>
      </c>
      <c r="B398" s="31">
        <v>1304</v>
      </c>
      <c r="C398" s="31" t="s">
        <v>777</v>
      </c>
      <c r="D398" s="31"/>
      <c r="E398" s="31">
        <v>48</v>
      </c>
      <c r="F398" s="31">
        <v>34</v>
      </c>
      <c r="K398" s="31" t="s">
        <v>762</v>
      </c>
      <c r="L398" s="18">
        <v>11750</v>
      </c>
      <c r="M398" s="18"/>
      <c r="N398" s="18" t="s">
        <v>739</v>
      </c>
      <c r="T398" s="7" t="s">
        <v>774</v>
      </c>
      <c r="U398" s="34">
        <v>66</v>
      </c>
      <c r="V398" s="35" t="s">
        <v>140</v>
      </c>
    </row>
    <row r="399" customHeight="1" outlineLevel="1" spans="1:22">
      <c r="A399" s="31">
        <v>1304035</v>
      </c>
      <c r="B399" s="31">
        <v>1304</v>
      </c>
      <c r="C399" s="31" t="s">
        <v>777</v>
      </c>
      <c r="D399" s="31"/>
      <c r="E399" s="31">
        <v>48</v>
      </c>
      <c r="F399" s="31">
        <v>35</v>
      </c>
      <c r="K399" s="31" t="s">
        <v>763</v>
      </c>
      <c r="L399" s="18">
        <v>12100</v>
      </c>
      <c r="M399" s="18"/>
      <c r="N399" s="18" t="s">
        <v>739</v>
      </c>
      <c r="T399" s="7" t="s">
        <v>774</v>
      </c>
      <c r="U399" s="34">
        <v>68</v>
      </c>
      <c r="V399" s="35" t="s">
        <v>142</v>
      </c>
    </row>
    <row r="400" customHeight="1" outlineLevel="1" spans="1:22">
      <c r="A400" s="31">
        <v>1304036</v>
      </c>
      <c r="B400" s="31">
        <v>1304</v>
      </c>
      <c r="C400" s="31" t="s">
        <v>777</v>
      </c>
      <c r="D400" s="31"/>
      <c r="E400" s="45">
        <v>55</v>
      </c>
      <c r="F400" s="31">
        <v>36</v>
      </c>
      <c r="K400" s="31" t="s">
        <v>764</v>
      </c>
      <c r="L400" s="18">
        <v>12450</v>
      </c>
      <c r="M400" s="18"/>
      <c r="N400" s="18" t="s">
        <v>739</v>
      </c>
      <c r="T400" s="7" t="s">
        <v>774</v>
      </c>
      <c r="U400" s="34">
        <v>70</v>
      </c>
      <c r="V400" s="35" t="s">
        <v>144</v>
      </c>
    </row>
    <row r="401" customHeight="1" outlineLevel="1" spans="1:22">
      <c r="A401" s="31">
        <v>1304037</v>
      </c>
      <c r="B401" s="31">
        <v>1304</v>
      </c>
      <c r="C401" s="31" t="s">
        <v>777</v>
      </c>
      <c r="D401" s="31"/>
      <c r="E401" s="31">
        <v>55</v>
      </c>
      <c r="F401" s="31">
        <v>37</v>
      </c>
      <c r="K401" s="31" t="s">
        <v>765</v>
      </c>
      <c r="L401" s="18">
        <v>12800</v>
      </c>
      <c r="M401" s="18"/>
      <c r="N401" s="18" t="s">
        <v>739</v>
      </c>
      <c r="T401" s="7" t="s">
        <v>774</v>
      </c>
      <c r="U401" s="34">
        <v>72</v>
      </c>
      <c r="V401" s="35" t="s">
        <v>146</v>
      </c>
    </row>
    <row r="402" customHeight="1" outlineLevel="1" spans="1:22">
      <c r="A402" s="31">
        <v>1304038</v>
      </c>
      <c r="B402" s="31">
        <v>1304</v>
      </c>
      <c r="C402" s="31" t="s">
        <v>777</v>
      </c>
      <c r="D402" s="31"/>
      <c r="E402" s="31">
        <v>55</v>
      </c>
      <c r="F402" s="31">
        <v>38</v>
      </c>
      <c r="K402" s="31" t="s">
        <v>766</v>
      </c>
      <c r="L402" s="18">
        <v>13150</v>
      </c>
      <c r="M402" s="18"/>
      <c r="N402" s="18" t="s">
        <v>739</v>
      </c>
      <c r="T402" s="7" t="s">
        <v>774</v>
      </c>
      <c r="U402" s="34">
        <v>74</v>
      </c>
      <c r="V402" s="35" t="s">
        <v>148</v>
      </c>
    </row>
    <row r="403" customHeight="1" outlineLevel="1" spans="1:22">
      <c r="A403" s="31">
        <v>1304039</v>
      </c>
      <c r="B403" s="31">
        <v>1304</v>
      </c>
      <c r="C403" s="31" t="s">
        <v>777</v>
      </c>
      <c r="D403" s="31"/>
      <c r="E403" s="31">
        <v>55</v>
      </c>
      <c r="F403" s="31">
        <v>39</v>
      </c>
      <c r="K403" s="31" t="s">
        <v>767</v>
      </c>
      <c r="L403" s="18">
        <v>13500</v>
      </c>
      <c r="M403" s="18"/>
      <c r="N403" s="18" t="s">
        <v>739</v>
      </c>
      <c r="T403" s="7" t="s">
        <v>774</v>
      </c>
      <c r="U403" s="34">
        <v>76</v>
      </c>
      <c r="V403" s="35" t="s">
        <v>150</v>
      </c>
    </row>
    <row r="404" customHeight="1" spans="1:22">
      <c r="A404" s="31">
        <v>1304040</v>
      </c>
      <c r="B404" s="31">
        <v>1304</v>
      </c>
      <c r="C404" s="31" t="s">
        <v>777</v>
      </c>
      <c r="D404" s="31"/>
      <c r="E404" s="31">
        <v>55</v>
      </c>
      <c r="F404" s="31">
        <v>40</v>
      </c>
      <c r="K404" s="31" t="s">
        <v>768</v>
      </c>
      <c r="L404" s="18">
        <v>13850</v>
      </c>
      <c r="M404" s="18"/>
      <c r="N404" s="18" t="s">
        <v>739</v>
      </c>
      <c r="T404" s="7" t="s">
        <v>774</v>
      </c>
      <c r="U404" s="34">
        <v>78</v>
      </c>
      <c r="V404" s="35" t="s">
        <v>152</v>
      </c>
    </row>
  </sheetData>
  <autoFilter xmlns:etc="http://www.wps.cn/officeDocument/2017/etCustomData" ref="E1:E404" etc:filterBottomFollowUsedRange="0">
    <extLst/>
  </autoFilter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49"/>
  <sheetViews>
    <sheetView workbookViewId="0">
      <selection activeCell="C23" sqref="C23"/>
    </sheetView>
  </sheetViews>
  <sheetFormatPr defaultColWidth="9" defaultRowHeight="13.5"/>
  <cols>
    <col min="1" max="1" width="10.75" customWidth="1"/>
    <col min="3" max="3" width="13.625" customWidth="1"/>
  </cols>
  <sheetData>
    <row r="1" spans="1:73">
      <c r="A1" t="s">
        <v>779</v>
      </c>
      <c r="C1" t="s">
        <v>780</v>
      </c>
    </row>
    <row r="2" spans="1:73">
      <c r="A2">
        <v>1990000</v>
      </c>
      <c r="C2">
        <v>1000</v>
      </c>
      <c r="D2">
        <v>2000</v>
      </c>
      <c r="E2">
        <v>3000</v>
      </c>
      <c r="F2">
        <v>4000</v>
      </c>
      <c r="G2">
        <v>5000</v>
      </c>
      <c r="H2">
        <v>6000</v>
      </c>
      <c r="I2">
        <v>7000</v>
      </c>
      <c r="J2">
        <v>8000</v>
      </c>
      <c r="K2">
        <v>9000</v>
      </c>
      <c r="L2">
        <v>10000</v>
      </c>
      <c r="M2">
        <v>11000</v>
      </c>
      <c r="N2">
        <v>12000</v>
      </c>
      <c r="O2">
        <v>13000</v>
      </c>
      <c r="P2">
        <v>14000</v>
      </c>
      <c r="Q2">
        <v>15000</v>
      </c>
      <c r="R2">
        <v>16000</v>
      </c>
      <c r="S2">
        <v>17000</v>
      </c>
      <c r="T2">
        <v>18000</v>
      </c>
      <c r="U2">
        <v>19000</v>
      </c>
      <c r="V2">
        <v>20000</v>
      </c>
      <c r="W2">
        <v>21000</v>
      </c>
      <c r="X2">
        <v>22000</v>
      </c>
      <c r="Y2">
        <v>23000</v>
      </c>
      <c r="Z2">
        <v>24000</v>
      </c>
      <c r="AA2">
        <v>25000</v>
      </c>
      <c r="AB2">
        <v>26000</v>
      </c>
      <c r="AC2">
        <v>27000</v>
      </c>
      <c r="AD2">
        <v>28000</v>
      </c>
      <c r="AE2">
        <v>29000</v>
      </c>
      <c r="AF2">
        <v>30000</v>
      </c>
      <c r="AG2">
        <v>31000</v>
      </c>
      <c r="AH2">
        <v>32000</v>
      </c>
      <c r="AI2">
        <v>33000</v>
      </c>
      <c r="AJ2">
        <v>34000</v>
      </c>
      <c r="AK2">
        <v>35000</v>
      </c>
      <c r="AL2">
        <v>36000</v>
      </c>
      <c r="AM2">
        <v>37000</v>
      </c>
      <c r="AN2">
        <v>38000</v>
      </c>
      <c r="AO2">
        <v>39000</v>
      </c>
      <c r="AP2">
        <v>40000</v>
      </c>
      <c r="AQ2">
        <v>41000</v>
      </c>
      <c r="AR2">
        <v>42000</v>
      </c>
      <c r="AS2">
        <v>43000</v>
      </c>
      <c r="AT2">
        <v>44000</v>
      </c>
      <c r="AU2">
        <v>45000</v>
      </c>
      <c r="AV2">
        <v>46000</v>
      </c>
      <c r="AW2">
        <v>47000</v>
      </c>
      <c r="AX2">
        <v>48000</v>
      </c>
      <c r="AY2">
        <v>49000</v>
      </c>
      <c r="AZ2">
        <v>50000</v>
      </c>
      <c r="BA2">
        <v>51000</v>
      </c>
      <c r="BB2">
        <v>52000</v>
      </c>
      <c r="BC2">
        <v>53000</v>
      </c>
      <c r="BD2">
        <v>54000</v>
      </c>
      <c r="BE2">
        <v>55000</v>
      </c>
      <c r="BF2">
        <v>56000</v>
      </c>
      <c r="BG2">
        <v>57000</v>
      </c>
      <c r="BH2">
        <v>58000</v>
      </c>
      <c r="BI2">
        <v>59000</v>
      </c>
      <c r="BJ2">
        <v>60000</v>
      </c>
      <c r="BK2">
        <v>61000</v>
      </c>
      <c r="BL2">
        <v>62000</v>
      </c>
      <c r="BM2">
        <v>63000</v>
      </c>
      <c r="BN2">
        <v>64000</v>
      </c>
      <c r="BO2">
        <v>65000</v>
      </c>
      <c r="BP2">
        <v>66000</v>
      </c>
      <c r="BQ2">
        <v>67000</v>
      </c>
      <c r="BR2">
        <v>68000</v>
      </c>
      <c r="BS2">
        <v>69000</v>
      </c>
      <c r="BT2">
        <v>70000</v>
      </c>
      <c r="BU2">
        <v>71000</v>
      </c>
    </row>
    <row r="3" spans="1:73">
      <c r="C3">
        <v>1100</v>
      </c>
      <c r="D3">
        <v>2200</v>
      </c>
      <c r="E3">
        <v>3300</v>
      </c>
      <c r="F3">
        <v>4400</v>
      </c>
      <c r="G3">
        <v>5500</v>
      </c>
      <c r="H3">
        <v>6600</v>
      </c>
      <c r="I3">
        <v>7700</v>
      </c>
      <c r="J3">
        <v>8800</v>
      </c>
      <c r="K3">
        <v>9900</v>
      </c>
      <c r="L3">
        <v>11000</v>
      </c>
      <c r="M3">
        <v>12100</v>
      </c>
      <c r="N3">
        <v>13200</v>
      </c>
      <c r="O3">
        <v>14300</v>
      </c>
      <c r="P3">
        <v>15400</v>
      </c>
      <c r="Q3">
        <v>16500</v>
      </c>
      <c r="R3">
        <v>17600</v>
      </c>
      <c r="S3">
        <v>18700</v>
      </c>
      <c r="T3">
        <v>19800</v>
      </c>
      <c r="U3">
        <v>20900</v>
      </c>
      <c r="V3">
        <v>22000</v>
      </c>
      <c r="W3">
        <v>23100</v>
      </c>
      <c r="X3">
        <v>24200</v>
      </c>
      <c r="Y3">
        <v>25300</v>
      </c>
      <c r="Z3">
        <v>26400</v>
      </c>
      <c r="AA3">
        <v>27500</v>
      </c>
      <c r="AB3">
        <v>28600</v>
      </c>
      <c r="AC3">
        <v>29700</v>
      </c>
      <c r="AD3">
        <v>30800</v>
      </c>
      <c r="AE3">
        <v>31900</v>
      </c>
      <c r="AF3">
        <v>33000</v>
      </c>
      <c r="AG3">
        <v>34100</v>
      </c>
      <c r="AH3">
        <v>35200</v>
      </c>
      <c r="AI3">
        <v>36300</v>
      </c>
      <c r="AJ3">
        <v>37400</v>
      </c>
      <c r="AK3">
        <v>38500</v>
      </c>
      <c r="AL3">
        <v>39600</v>
      </c>
      <c r="AM3">
        <v>40700</v>
      </c>
      <c r="AN3">
        <v>41800</v>
      </c>
      <c r="AO3">
        <v>42900</v>
      </c>
      <c r="AP3">
        <v>44000</v>
      </c>
      <c r="AQ3">
        <v>45100</v>
      </c>
      <c r="AR3">
        <v>46200</v>
      </c>
      <c r="AS3">
        <v>47300</v>
      </c>
      <c r="AT3">
        <v>48400</v>
      </c>
      <c r="AU3">
        <v>49500</v>
      </c>
      <c r="AV3">
        <v>50600</v>
      </c>
      <c r="AW3">
        <v>51700</v>
      </c>
      <c r="AX3">
        <v>52800</v>
      </c>
      <c r="AY3">
        <v>53900</v>
      </c>
      <c r="AZ3">
        <v>55000</v>
      </c>
      <c r="BA3">
        <v>56100</v>
      </c>
      <c r="BB3">
        <v>57200</v>
      </c>
      <c r="BC3">
        <v>58300</v>
      </c>
      <c r="BD3">
        <v>59400</v>
      </c>
      <c r="BE3">
        <v>60500</v>
      </c>
      <c r="BF3">
        <v>61600</v>
      </c>
      <c r="BG3">
        <v>62700</v>
      </c>
      <c r="BH3">
        <v>63800</v>
      </c>
      <c r="BI3">
        <v>64900</v>
      </c>
      <c r="BJ3">
        <v>66000</v>
      </c>
      <c r="BK3">
        <v>67100</v>
      </c>
      <c r="BL3">
        <v>68200</v>
      </c>
      <c r="BM3">
        <v>69300</v>
      </c>
      <c r="BN3">
        <v>70400</v>
      </c>
      <c r="BO3">
        <v>71500</v>
      </c>
      <c r="BP3">
        <v>72600</v>
      </c>
      <c r="BQ3">
        <v>73700</v>
      </c>
      <c r="BR3">
        <v>74800</v>
      </c>
      <c r="BS3">
        <v>75900</v>
      </c>
      <c r="BT3">
        <v>77000</v>
      </c>
      <c r="BU3">
        <v>78100</v>
      </c>
    </row>
    <row r="4" spans="1:73">
      <c r="C4">
        <v>1200</v>
      </c>
      <c r="D4">
        <v>2400</v>
      </c>
      <c r="E4">
        <v>3600</v>
      </c>
      <c r="F4">
        <v>4800</v>
      </c>
      <c r="G4">
        <v>6000</v>
      </c>
      <c r="H4">
        <v>7200</v>
      </c>
      <c r="I4">
        <v>8400</v>
      </c>
      <c r="J4">
        <v>9600</v>
      </c>
      <c r="K4">
        <v>10800</v>
      </c>
      <c r="L4">
        <v>12000</v>
      </c>
      <c r="M4">
        <v>13200</v>
      </c>
      <c r="N4">
        <v>14400</v>
      </c>
      <c r="O4">
        <v>15600</v>
      </c>
      <c r="P4">
        <v>16800</v>
      </c>
      <c r="Q4">
        <v>18000</v>
      </c>
      <c r="R4">
        <v>19200</v>
      </c>
      <c r="S4">
        <v>20400</v>
      </c>
      <c r="T4">
        <v>21600</v>
      </c>
      <c r="U4">
        <v>22800</v>
      </c>
      <c r="V4">
        <v>24000</v>
      </c>
      <c r="W4">
        <v>25200</v>
      </c>
      <c r="X4">
        <v>26400</v>
      </c>
      <c r="Y4">
        <v>27600</v>
      </c>
      <c r="Z4">
        <v>28800</v>
      </c>
      <c r="AA4">
        <v>30000</v>
      </c>
      <c r="AB4">
        <v>31200</v>
      </c>
      <c r="AC4">
        <v>32400</v>
      </c>
      <c r="AD4">
        <v>33600</v>
      </c>
      <c r="AE4">
        <v>34800</v>
      </c>
      <c r="AF4">
        <v>36000</v>
      </c>
      <c r="AG4">
        <v>37200</v>
      </c>
      <c r="AH4">
        <v>38400</v>
      </c>
      <c r="AI4">
        <v>39600</v>
      </c>
      <c r="AJ4">
        <v>40800</v>
      </c>
      <c r="AK4">
        <v>42000</v>
      </c>
      <c r="AL4">
        <v>43200</v>
      </c>
      <c r="AM4">
        <v>44400</v>
      </c>
      <c r="AN4">
        <v>45600</v>
      </c>
      <c r="AO4">
        <v>46800</v>
      </c>
      <c r="AP4">
        <v>48000</v>
      </c>
      <c r="AQ4">
        <v>49200</v>
      </c>
      <c r="AR4">
        <v>50400</v>
      </c>
      <c r="AS4">
        <v>51600</v>
      </c>
      <c r="AT4">
        <v>52800</v>
      </c>
      <c r="AU4">
        <v>54000</v>
      </c>
      <c r="AV4">
        <v>55200</v>
      </c>
      <c r="AW4">
        <v>56400</v>
      </c>
      <c r="AX4">
        <v>57600</v>
      </c>
      <c r="AY4">
        <v>58800</v>
      </c>
      <c r="AZ4">
        <v>60000</v>
      </c>
      <c r="BA4">
        <v>61200</v>
      </c>
      <c r="BB4">
        <v>62400</v>
      </c>
      <c r="BC4">
        <v>63600</v>
      </c>
      <c r="BD4">
        <v>64800</v>
      </c>
      <c r="BE4">
        <v>66000</v>
      </c>
      <c r="BF4">
        <v>67200</v>
      </c>
      <c r="BG4">
        <v>68400</v>
      </c>
      <c r="BH4">
        <v>69600</v>
      </c>
      <c r="BI4">
        <v>70800</v>
      </c>
      <c r="BJ4">
        <v>72000</v>
      </c>
      <c r="BK4">
        <v>73200</v>
      </c>
      <c r="BL4">
        <v>74400</v>
      </c>
      <c r="BM4">
        <v>75600</v>
      </c>
      <c r="BN4">
        <v>76800</v>
      </c>
      <c r="BO4">
        <v>78000</v>
      </c>
      <c r="BP4">
        <v>79200</v>
      </c>
      <c r="BQ4">
        <v>80400</v>
      </c>
      <c r="BR4">
        <v>81600</v>
      </c>
      <c r="BS4">
        <v>82800</v>
      </c>
      <c r="BT4">
        <v>84000</v>
      </c>
      <c r="BU4">
        <v>85200</v>
      </c>
    </row>
    <row r="5" spans="1:73">
      <c r="C5">
        <v>1300</v>
      </c>
      <c r="D5">
        <v>2600</v>
      </c>
      <c r="E5">
        <v>3900</v>
      </c>
      <c r="F5">
        <v>5200</v>
      </c>
      <c r="G5">
        <v>6500</v>
      </c>
      <c r="H5">
        <v>7800</v>
      </c>
      <c r="I5">
        <v>9100</v>
      </c>
      <c r="J5">
        <v>10400</v>
      </c>
      <c r="K5">
        <v>11700</v>
      </c>
      <c r="L5">
        <v>13000</v>
      </c>
      <c r="M5">
        <v>14300</v>
      </c>
      <c r="N5">
        <v>15600</v>
      </c>
      <c r="O5">
        <v>16900</v>
      </c>
      <c r="P5">
        <v>18200</v>
      </c>
      <c r="Q5">
        <v>19500</v>
      </c>
      <c r="R5">
        <v>20800</v>
      </c>
      <c r="S5">
        <v>22100</v>
      </c>
      <c r="T5">
        <v>23400</v>
      </c>
      <c r="U5">
        <v>24700</v>
      </c>
      <c r="V5">
        <v>26000</v>
      </c>
      <c r="W5">
        <v>27300</v>
      </c>
      <c r="X5">
        <v>28600</v>
      </c>
      <c r="Y5">
        <v>29900</v>
      </c>
      <c r="Z5">
        <v>31200</v>
      </c>
      <c r="AA5">
        <v>32500</v>
      </c>
      <c r="AB5">
        <v>33800</v>
      </c>
      <c r="AC5">
        <v>35100</v>
      </c>
      <c r="AD5">
        <v>36400</v>
      </c>
      <c r="AE5">
        <v>37700</v>
      </c>
      <c r="AF5">
        <v>39000</v>
      </c>
      <c r="AG5">
        <v>40300</v>
      </c>
      <c r="AH5">
        <v>41600</v>
      </c>
      <c r="AI5">
        <v>42900</v>
      </c>
      <c r="AJ5">
        <v>44200</v>
      </c>
      <c r="AK5">
        <v>45500</v>
      </c>
      <c r="AL5">
        <v>46800</v>
      </c>
      <c r="AM5">
        <v>48100</v>
      </c>
      <c r="AN5">
        <v>49400</v>
      </c>
      <c r="AO5">
        <v>50700</v>
      </c>
      <c r="AP5">
        <v>52000</v>
      </c>
      <c r="AQ5">
        <v>53300</v>
      </c>
      <c r="AR5">
        <v>54600</v>
      </c>
      <c r="AS5">
        <v>55900</v>
      </c>
      <c r="AT5">
        <v>57200</v>
      </c>
      <c r="AU5">
        <v>58500</v>
      </c>
      <c r="AV5">
        <v>59800</v>
      </c>
      <c r="AW5">
        <v>61100</v>
      </c>
      <c r="AX5">
        <v>62400</v>
      </c>
      <c r="AY5">
        <v>63700</v>
      </c>
      <c r="AZ5">
        <v>65000</v>
      </c>
      <c r="BA5">
        <v>66300</v>
      </c>
      <c r="BB5">
        <v>67600</v>
      </c>
      <c r="BC5">
        <v>68900</v>
      </c>
      <c r="BD5">
        <v>70200</v>
      </c>
      <c r="BE5">
        <v>71500</v>
      </c>
      <c r="BF5">
        <v>72800</v>
      </c>
      <c r="BG5">
        <v>74100</v>
      </c>
      <c r="BH5">
        <v>75400</v>
      </c>
      <c r="BI5">
        <v>76700</v>
      </c>
      <c r="BJ5">
        <v>78000</v>
      </c>
      <c r="BK5">
        <v>79300</v>
      </c>
      <c r="BL5">
        <v>80600</v>
      </c>
      <c r="BM5">
        <v>81900</v>
      </c>
      <c r="BN5">
        <v>83200</v>
      </c>
      <c r="BO5">
        <v>84500</v>
      </c>
      <c r="BP5">
        <v>85800</v>
      </c>
      <c r="BQ5">
        <v>87100</v>
      </c>
      <c r="BR5">
        <v>88400</v>
      </c>
      <c r="BS5">
        <v>89700</v>
      </c>
      <c r="BT5">
        <v>91000</v>
      </c>
      <c r="BU5">
        <v>92300</v>
      </c>
    </row>
    <row r="6" spans="1:73">
      <c r="C6">
        <v>1400</v>
      </c>
      <c r="D6">
        <v>2800</v>
      </c>
      <c r="E6">
        <v>4200</v>
      </c>
      <c r="F6">
        <v>5600</v>
      </c>
      <c r="G6">
        <v>7000</v>
      </c>
      <c r="H6">
        <v>8400</v>
      </c>
      <c r="I6">
        <v>9800</v>
      </c>
      <c r="J6">
        <v>11200</v>
      </c>
      <c r="K6">
        <v>12600</v>
      </c>
      <c r="L6">
        <v>14000</v>
      </c>
      <c r="M6">
        <v>15400</v>
      </c>
      <c r="N6">
        <v>16800</v>
      </c>
      <c r="O6">
        <v>18200</v>
      </c>
      <c r="P6">
        <v>19600</v>
      </c>
      <c r="Q6">
        <v>21000</v>
      </c>
      <c r="R6">
        <v>22400</v>
      </c>
      <c r="S6">
        <v>23800</v>
      </c>
      <c r="T6">
        <v>25200</v>
      </c>
      <c r="U6">
        <v>26600</v>
      </c>
      <c r="V6">
        <v>28000</v>
      </c>
      <c r="W6">
        <v>29400</v>
      </c>
      <c r="X6">
        <v>30800</v>
      </c>
      <c r="Y6">
        <v>32200</v>
      </c>
      <c r="Z6">
        <v>33600</v>
      </c>
      <c r="AA6">
        <v>35000</v>
      </c>
      <c r="AB6">
        <v>36400</v>
      </c>
      <c r="AC6">
        <v>37800</v>
      </c>
      <c r="AD6">
        <v>39200</v>
      </c>
      <c r="AE6">
        <v>40600</v>
      </c>
      <c r="AF6">
        <v>42000</v>
      </c>
      <c r="AG6">
        <v>43400</v>
      </c>
      <c r="AH6">
        <v>44800</v>
      </c>
      <c r="AI6">
        <v>46200</v>
      </c>
      <c r="AJ6">
        <v>47600</v>
      </c>
      <c r="AK6">
        <v>49000</v>
      </c>
      <c r="AL6">
        <v>50400</v>
      </c>
      <c r="AM6">
        <v>51800</v>
      </c>
      <c r="AN6">
        <v>53200</v>
      </c>
      <c r="AO6">
        <v>54600</v>
      </c>
      <c r="AP6">
        <v>56000</v>
      </c>
      <c r="AQ6">
        <v>57400</v>
      </c>
      <c r="AR6">
        <v>58800</v>
      </c>
      <c r="AS6">
        <v>60200</v>
      </c>
      <c r="AT6">
        <v>61600</v>
      </c>
      <c r="AU6">
        <v>63000</v>
      </c>
      <c r="AV6">
        <v>64400</v>
      </c>
      <c r="AW6">
        <v>65800</v>
      </c>
      <c r="AX6">
        <v>67200</v>
      </c>
      <c r="AY6">
        <v>68600</v>
      </c>
      <c r="AZ6">
        <v>70000</v>
      </c>
      <c r="BA6">
        <v>71400</v>
      </c>
      <c r="BB6">
        <v>72800</v>
      </c>
      <c r="BC6">
        <v>74200</v>
      </c>
      <c r="BD6">
        <v>75600</v>
      </c>
      <c r="BE6">
        <v>77000</v>
      </c>
      <c r="BF6">
        <v>78400</v>
      </c>
      <c r="BG6">
        <v>79800</v>
      </c>
      <c r="BH6">
        <v>81200</v>
      </c>
      <c r="BI6">
        <v>82600</v>
      </c>
      <c r="BJ6">
        <v>84000</v>
      </c>
      <c r="BK6">
        <v>85400</v>
      </c>
      <c r="BL6">
        <v>86800</v>
      </c>
      <c r="BM6">
        <v>88200</v>
      </c>
      <c r="BN6">
        <v>89600</v>
      </c>
      <c r="BO6">
        <v>91000</v>
      </c>
      <c r="BP6">
        <v>92400</v>
      </c>
      <c r="BQ6">
        <v>93800</v>
      </c>
      <c r="BR6">
        <v>95200</v>
      </c>
      <c r="BS6">
        <v>96600</v>
      </c>
      <c r="BT6">
        <v>98000</v>
      </c>
      <c r="BU6">
        <v>99400</v>
      </c>
    </row>
    <row r="7" spans="1:73">
      <c r="C7">
        <v>1500</v>
      </c>
      <c r="D7">
        <v>3000</v>
      </c>
      <c r="E7">
        <v>4500</v>
      </c>
      <c r="F7">
        <v>6000</v>
      </c>
      <c r="G7">
        <v>7500</v>
      </c>
      <c r="H7">
        <v>9000</v>
      </c>
      <c r="I7">
        <v>10500</v>
      </c>
      <c r="J7">
        <v>12000</v>
      </c>
      <c r="K7">
        <v>13500</v>
      </c>
      <c r="L7">
        <v>15000</v>
      </c>
      <c r="M7">
        <v>16500</v>
      </c>
      <c r="N7">
        <v>18000</v>
      </c>
      <c r="O7">
        <v>19500</v>
      </c>
      <c r="P7">
        <v>21000</v>
      </c>
      <c r="Q7">
        <v>22500</v>
      </c>
      <c r="R7">
        <v>24000</v>
      </c>
      <c r="S7">
        <v>25500</v>
      </c>
      <c r="T7">
        <v>27000</v>
      </c>
      <c r="U7">
        <v>28500</v>
      </c>
      <c r="V7">
        <v>30000</v>
      </c>
      <c r="W7">
        <v>31500</v>
      </c>
      <c r="X7">
        <v>33000</v>
      </c>
      <c r="Y7">
        <v>34500</v>
      </c>
      <c r="Z7">
        <v>36000</v>
      </c>
      <c r="AA7">
        <v>37500</v>
      </c>
      <c r="AB7">
        <v>39000</v>
      </c>
      <c r="AC7">
        <v>40500</v>
      </c>
      <c r="AD7">
        <v>42000</v>
      </c>
      <c r="AE7">
        <v>43500</v>
      </c>
      <c r="AF7">
        <v>45000</v>
      </c>
      <c r="AG7">
        <v>46500</v>
      </c>
      <c r="AH7">
        <v>48000</v>
      </c>
      <c r="AI7">
        <v>49500</v>
      </c>
      <c r="AJ7">
        <v>51000</v>
      </c>
      <c r="AK7">
        <v>52500</v>
      </c>
      <c r="AL7">
        <v>54000</v>
      </c>
      <c r="AM7">
        <v>55500</v>
      </c>
      <c r="AN7">
        <v>57000</v>
      </c>
      <c r="AO7">
        <v>58500</v>
      </c>
      <c r="AP7">
        <v>60000</v>
      </c>
      <c r="AQ7">
        <v>61500</v>
      </c>
      <c r="AR7">
        <v>63000</v>
      </c>
      <c r="AS7">
        <v>64500</v>
      </c>
      <c r="AT7">
        <v>66000</v>
      </c>
      <c r="AU7">
        <v>67500</v>
      </c>
      <c r="AV7">
        <v>69000</v>
      </c>
      <c r="AW7">
        <v>70500</v>
      </c>
      <c r="AX7">
        <v>72000</v>
      </c>
      <c r="AY7">
        <v>73500</v>
      </c>
      <c r="AZ7">
        <v>75000</v>
      </c>
      <c r="BA7">
        <v>76500</v>
      </c>
      <c r="BB7">
        <v>78000</v>
      </c>
      <c r="BC7">
        <v>79500</v>
      </c>
      <c r="BD7">
        <v>81000</v>
      </c>
      <c r="BE7">
        <v>82500</v>
      </c>
      <c r="BF7">
        <v>84000</v>
      </c>
      <c r="BG7">
        <v>85500</v>
      </c>
      <c r="BH7">
        <v>87000</v>
      </c>
      <c r="BI7">
        <v>88500</v>
      </c>
      <c r="BJ7">
        <v>90000</v>
      </c>
      <c r="BK7">
        <v>91500</v>
      </c>
      <c r="BL7">
        <v>93000</v>
      </c>
      <c r="BM7">
        <v>94500</v>
      </c>
      <c r="BN7">
        <v>96000</v>
      </c>
      <c r="BO7">
        <v>97500</v>
      </c>
      <c r="BP7">
        <v>99000</v>
      </c>
      <c r="BQ7">
        <v>100500</v>
      </c>
      <c r="BR7">
        <v>102000</v>
      </c>
      <c r="BS7">
        <v>103500</v>
      </c>
      <c r="BT7">
        <v>105000</v>
      </c>
      <c r="BU7">
        <v>106500</v>
      </c>
    </row>
    <row r="8" spans="1:73">
      <c r="C8">
        <v>1600</v>
      </c>
      <c r="D8">
        <v>3200</v>
      </c>
      <c r="E8">
        <v>4800</v>
      </c>
      <c r="F8">
        <v>6400</v>
      </c>
      <c r="G8">
        <v>8000</v>
      </c>
      <c r="H8">
        <v>9600</v>
      </c>
      <c r="I8">
        <v>11200</v>
      </c>
      <c r="J8">
        <v>12800</v>
      </c>
      <c r="K8">
        <v>14400</v>
      </c>
      <c r="L8">
        <v>16000</v>
      </c>
      <c r="M8">
        <v>17600</v>
      </c>
      <c r="N8">
        <v>19200</v>
      </c>
      <c r="O8">
        <v>20800</v>
      </c>
      <c r="P8">
        <v>22400</v>
      </c>
      <c r="Q8">
        <v>24000</v>
      </c>
      <c r="R8">
        <v>25600</v>
      </c>
      <c r="S8">
        <v>27200</v>
      </c>
      <c r="T8">
        <v>28800</v>
      </c>
      <c r="U8">
        <v>30400</v>
      </c>
      <c r="V8">
        <v>32000</v>
      </c>
      <c r="W8">
        <v>33600</v>
      </c>
      <c r="X8">
        <v>35200</v>
      </c>
      <c r="Y8">
        <v>36800</v>
      </c>
      <c r="Z8">
        <v>38400</v>
      </c>
      <c r="AA8">
        <v>40000</v>
      </c>
      <c r="AB8">
        <v>41600</v>
      </c>
      <c r="AC8">
        <v>43200</v>
      </c>
      <c r="AD8">
        <v>44800</v>
      </c>
      <c r="AE8">
        <v>46400</v>
      </c>
      <c r="AF8">
        <v>48000</v>
      </c>
      <c r="AG8">
        <v>49600</v>
      </c>
      <c r="AH8">
        <v>51200</v>
      </c>
      <c r="AI8">
        <v>52800</v>
      </c>
      <c r="AJ8">
        <v>54400</v>
      </c>
      <c r="AK8">
        <v>56000</v>
      </c>
      <c r="AL8">
        <v>57600</v>
      </c>
      <c r="AM8">
        <v>59200</v>
      </c>
      <c r="AN8">
        <v>60800</v>
      </c>
      <c r="AO8">
        <v>62400</v>
      </c>
      <c r="AP8">
        <v>64000</v>
      </c>
      <c r="AQ8">
        <v>65600</v>
      </c>
      <c r="AR8">
        <v>67200</v>
      </c>
      <c r="AS8">
        <v>68800</v>
      </c>
      <c r="AT8">
        <v>70400</v>
      </c>
      <c r="AU8">
        <v>72000</v>
      </c>
      <c r="AV8">
        <v>73600</v>
      </c>
      <c r="AW8">
        <v>75200</v>
      </c>
      <c r="AX8">
        <v>76800</v>
      </c>
      <c r="AY8">
        <v>78400</v>
      </c>
      <c r="AZ8">
        <v>80000</v>
      </c>
      <c r="BA8">
        <v>81600</v>
      </c>
      <c r="BB8">
        <v>83200</v>
      </c>
      <c r="BC8">
        <v>84800</v>
      </c>
      <c r="BD8">
        <v>86400</v>
      </c>
      <c r="BE8">
        <v>88000</v>
      </c>
      <c r="BF8">
        <v>89600</v>
      </c>
      <c r="BG8">
        <v>91200</v>
      </c>
      <c r="BH8">
        <v>92800</v>
      </c>
      <c r="BI8">
        <v>94400</v>
      </c>
      <c r="BJ8">
        <v>96000</v>
      </c>
      <c r="BK8">
        <v>97600</v>
      </c>
      <c r="BL8">
        <v>99200</v>
      </c>
      <c r="BM8">
        <v>100800</v>
      </c>
      <c r="BN8">
        <v>102400</v>
      </c>
      <c r="BO8">
        <v>104000</v>
      </c>
      <c r="BP8">
        <v>105600</v>
      </c>
      <c r="BQ8">
        <v>107200</v>
      </c>
      <c r="BR8">
        <v>108800</v>
      </c>
      <c r="BS8">
        <v>110400</v>
      </c>
      <c r="BT8">
        <v>112000</v>
      </c>
      <c r="BU8">
        <v>113600</v>
      </c>
    </row>
    <row r="9" spans="1:73">
      <c r="C9">
        <v>1700</v>
      </c>
      <c r="D9">
        <v>3400</v>
      </c>
      <c r="E9">
        <v>5100</v>
      </c>
      <c r="F9">
        <v>6800</v>
      </c>
      <c r="G9">
        <v>8500</v>
      </c>
      <c r="H9">
        <v>10200</v>
      </c>
      <c r="I9">
        <v>11900</v>
      </c>
      <c r="J9">
        <v>13600</v>
      </c>
      <c r="K9">
        <v>15300</v>
      </c>
      <c r="L9">
        <v>17000</v>
      </c>
      <c r="M9">
        <v>18700</v>
      </c>
      <c r="N9">
        <v>20400</v>
      </c>
      <c r="O9">
        <v>22100</v>
      </c>
      <c r="P9">
        <v>23800</v>
      </c>
      <c r="Q9">
        <v>25500</v>
      </c>
      <c r="R9">
        <v>27200</v>
      </c>
      <c r="S9">
        <v>28900</v>
      </c>
      <c r="T9">
        <v>30600</v>
      </c>
      <c r="U9">
        <v>32300</v>
      </c>
      <c r="V9">
        <v>34000</v>
      </c>
      <c r="W9">
        <v>35700</v>
      </c>
      <c r="X9">
        <v>37400</v>
      </c>
      <c r="Y9">
        <v>39100</v>
      </c>
      <c r="Z9">
        <v>40800</v>
      </c>
      <c r="AA9">
        <v>42500</v>
      </c>
      <c r="AB9">
        <v>44200</v>
      </c>
      <c r="AC9">
        <v>45900</v>
      </c>
      <c r="AD9">
        <v>47600</v>
      </c>
      <c r="AE9">
        <v>49300</v>
      </c>
      <c r="AF9">
        <v>51000</v>
      </c>
      <c r="AG9">
        <v>52700</v>
      </c>
      <c r="AH9">
        <v>54400</v>
      </c>
      <c r="AI9">
        <v>56100</v>
      </c>
      <c r="AJ9">
        <v>57800</v>
      </c>
      <c r="AK9">
        <v>59500</v>
      </c>
      <c r="AL9">
        <v>61200</v>
      </c>
      <c r="AM9">
        <v>62900</v>
      </c>
      <c r="AN9">
        <v>64600</v>
      </c>
      <c r="AO9">
        <v>66300</v>
      </c>
      <c r="AP9">
        <v>68000</v>
      </c>
      <c r="AQ9">
        <v>69700</v>
      </c>
      <c r="AR9">
        <v>71400</v>
      </c>
      <c r="AS9">
        <v>73100</v>
      </c>
      <c r="AT9">
        <v>74800</v>
      </c>
      <c r="AU9">
        <v>76500</v>
      </c>
      <c r="AV9">
        <v>78200</v>
      </c>
      <c r="AW9">
        <v>79900</v>
      </c>
      <c r="AX9">
        <v>81600</v>
      </c>
      <c r="AY9">
        <v>83300</v>
      </c>
      <c r="AZ9">
        <v>85000</v>
      </c>
      <c r="BA9">
        <v>86700</v>
      </c>
      <c r="BB9">
        <v>88400</v>
      </c>
      <c r="BC9">
        <v>90100</v>
      </c>
      <c r="BD9">
        <v>91800</v>
      </c>
      <c r="BE9">
        <v>93500</v>
      </c>
      <c r="BF9">
        <v>95200</v>
      </c>
      <c r="BG9">
        <v>96900</v>
      </c>
      <c r="BH9">
        <v>98600</v>
      </c>
      <c r="BI9">
        <v>100300</v>
      </c>
      <c r="BJ9">
        <v>102000</v>
      </c>
      <c r="BK9">
        <v>103700</v>
      </c>
      <c r="BL9">
        <v>105400</v>
      </c>
      <c r="BM9">
        <v>107100</v>
      </c>
      <c r="BN9">
        <v>108800</v>
      </c>
      <c r="BO9">
        <v>110500</v>
      </c>
      <c r="BP9">
        <v>112200</v>
      </c>
      <c r="BQ9">
        <v>113900</v>
      </c>
      <c r="BR9">
        <v>115600</v>
      </c>
      <c r="BS9">
        <v>117300</v>
      </c>
      <c r="BT9">
        <v>119000</v>
      </c>
      <c r="BU9">
        <v>120700</v>
      </c>
    </row>
    <row r="10" spans="1:73">
      <c r="C10">
        <v>1800</v>
      </c>
      <c r="D10">
        <v>3600</v>
      </c>
      <c r="E10">
        <v>5400</v>
      </c>
      <c r="F10">
        <v>7200</v>
      </c>
      <c r="G10">
        <v>9000</v>
      </c>
      <c r="H10">
        <v>10800</v>
      </c>
      <c r="I10">
        <v>12600</v>
      </c>
      <c r="J10">
        <v>14400</v>
      </c>
      <c r="K10">
        <v>16200</v>
      </c>
      <c r="L10">
        <v>18000</v>
      </c>
      <c r="M10">
        <v>19800</v>
      </c>
      <c r="N10">
        <v>21600</v>
      </c>
      <c r="O10">
        <v>23400</v>
      </c>
      <c r="P10">
        <v>25200</v>
      </c>
      <c r="Q10">
        <v>27000</v>
      </c>
      <c r="R10">
        <v>28800</v>
      </c>
      <c r="S10">
        <v>30600</v>
      </c>
      <c r="T10">
        <v>32400</v>
      </c>
      <c r="U10">
        <v>34200</v>
      </c>
      <c r="V10">
        <v>36000</v>
      </c>
      <c r="W10">
        <v>37800</v>
      </c>
      <c r="X10">
        <v>39600</v>
      </c>
      <c r="Y10">
        <v>41400</v>
      </c>
      <c r="Z10">
        <v>43200</v>
      </c>
      <c r="AA10">
        <v>45000</v>
      </c>
      <c r="AB10">
        <v>46800</v>
      </c>
      <c r="AC10">
        <v>48600</v>
      </c>
      <c r="AD10">
        <v>50400</v>
      </c>
      <c r="AE10">
        <v>52200</v>
      </c>
      <c r="AF10">
        <v>54000</v>
      </c>
      <c r="AG10">
        <v>55800</v>
      </c>
      <c r="AH10">
        <v>57600</v>
      </c>
      <c r="AI10">
        <v>59400</v>
      </c>
      <c r="AJ10">
        <v>61200</v>
      </c>
      <c r="AK10">
        <v>63000</v>
      </c>
      <c r="AL10">
        <v>64800</v>
      </c>
      <c r="AM10">
        <v>66600</v>
      </c>
      <c r="AN10">
        <v>68400</v>
      </c>
      <c r="AO10">
        <v>70200</v>
      </c>
      <c r="AP10">
        <v>72000</v>
      </c>
      <c r="AQ10">
        <v>73800</v>
      </c>
      <c r="AR10">
        <v>75600</v>
      </c>
      <c r="AS10">
        <v>77400</v>
      </c>
      <c r="AT10">
        <v>79200</v>
      </c>
      <c r="AU10">
        <v>81000</v>
      </c>
      <c r="AV10">
        <v>82800</v>
      </c>
      <c r="AW10">
        <v>84600</v>
      </c>
      <c r="AX10">
        <v>86400</v>
      </c>
      <c r="AY10">
        <v>88200</v>
      </c>
      <c r="AZ10">
        <v>90000</v>
      </c>
      <c r="BA10">
        <v>91800</v>
      </c>
      <c r="BB10">
        <v>93600</v>
      </c>
      <c r="BC10">
        <v>95400</v>
      </c>
      <c r="BD10">
        <v>97200</v>
      </c>
      <c r="BE10">
        <v>99000</v>
      </c>
      <c r="BF10">
        <v>100800</v>
      </c>
      <c r="BG10">
        <v>102600</v>
      </c>
      <c r="BH10">
        <v>104400</v>
      </c>
      <c r="BI10">
        <v>106200</v>
      </c>
      <c r="BJ10">
        <v>108000</v>
      </c>
      <c r="BK10">
        <v>109800</v>
      </c>
      <c r="BL10">
        <v>111600</v>
      </c>
      <c r="BM10">
        <v>113400</v>
      </c>
      <c r="BN10">
        <v>115200</v>
      </c>
      <c r="BO10">
        <v>117000</v>
      </c>
      <c r="BP10">
        <v>118800</v>
      </c>
      <c r="BQ10">
        <v>120600</v>
      </c>
      <c r="BR10">
        <v>122400</v>
      </c>
      <c r="BS10">
        <v>124200</v>
      </c>
      <c r="BT10">
        <v>126000</v>
      </c>
      <c r="BU10">
        <v>127800</v>
      </c>
    </row>
    <row r="11" spans="1:73">
      <c r="B11" t="s">
        <v>781</v>
      </c>
      <c r="C11">
        <f>SUM(C2:C10)</f>
        <v>12600</v>
      </c>
    </row>
    <row r="13" spans="1:73">
      <c r="C13" t="str">
        <f>_xlfn.TEXTJOIN("_",TRUE,$A$2,C2)</f>
        <v>1990000_1000</v>
      </c>
      <c r="D13" t="str">
        <f t="shared" ref="C13:BN13" si="0">_xlfn.TEXTJOIN("_",TRUE,$A$2,D2)</f>
        <v>1990000_2000</v>
      </c>
      <c r="E13" t="str">
        <f t="shared" si="0"/>
        <v>1990000_3000</v>
      </c>
      <c r="F13" t="str">
        <f t="shared" si="0"/>
        <v>1990000_4000</v>
      </c>
      <c r="G13" t="str">
        <f t="shared" si="0"/>
        <v>1990000_5000</v>
      </c>
      <c r="H13" t="str">
        <f t="shared" si="0"/>
        <v>1990000_6000</v>
      </c>
      <c r="I13" t="str">
        <f t="shared" si="0"/>
        <v>1990000_7000</v>
      </c>
      <c r="J13" t="str">
        <f t="shared" si="0"/>
        <v>1990000_8000</v>
      </c>
      <c r="K13" t="str">
        <f t="shared" si="0"/>
        <v>1990000_9000</v>
      </c>
      <c r="L13" t="str">
        <f t="shared" si="0"/>
        <v>1990000_10000</v>
      </c>
      <c r="M13" t="str">
        <f t="shared" si="0"/>
        <v>1990000_11000</v>
      </c>
      <c r="N13" t="str">
        <f t="shared" si="0"/>
        <v>1990000_12000</v>
      </c>
      <c r="O13" t="str">
        <f t="shared" si="0"/>
        <v>1990000_13000</v>
      </c>
      <c r="P13" t="str">
        <f t="shared" si="0"/>
        <v>1990000_14000</v>
      </c>
      <c r="Q13" t="str">
        <f t="shared" si="0"/>
        <v>1990000_15000</v>
      </c>
      <c r="R13" t="str">
        <f t="shared" si="0"/>
        <v>1990000_16000</v>
      </c>
      <c r="S13" t="str">
        <f t="shared" si="0"/>
        <v>1990000_17000</v>
      </c>
      <c r="T13" t="str">
        <f t="shared" si="0"/>
        <v>1990000_18000</v>
      </c>
      <c r="U13" t="str">
        <f t="shared" si="0"/>
        <v>1990000_19000</v>
      </c>
      <c r="V13" t="str">
        <f t="shared" si="0"/>
        <v>1990000_20000</v>
      </c>
      <c r="W13" t="str">
        <f t="shared" si="0"/>
        <v>1990000_21000</v>
      </c>
      <c r="X13" t="str">
        <f t="shared" si="0"/>
        <v>1990000_22000</v>
      </c>
      <c r="Y13" t="str">
        <f t="shared" si="0"/>
        <v>1990000_23000</v>
      </c>
      <c r="Z13" t="str">
        <f t="shared" si="0"/>
        <v>1990000_24000</v>
      </c>
      <c r="AA13" t="str">
        <f t="shared" si="0"/>
        <v>1990000_25000</v>
      </c>
      <c r="AB13" t="str">
        <f t="shared" si="0"/>
        <v>1990000_26000</v>
      </c>
      <c r="AC13" t="str">
        <f t="shared" si="0"/>
        <v>1990000_27000</v>
      </c>
      <c r="AD13" t="str">
        <f t="shared" si="0"/>
        <v>1990000_28000</v>
      </c>
      <c r="AE13" t="str">
        <f t="shared" si="0"/>
        <v>1990000_29000</v>
      </c>
      <c r="AF13" t="str">
        <f t="shared" si="0"/>
        <v>1990000_30000</v>
      </c>
      <c r="AG13" t="str">
        <f t="shared" si="0"/>
        <v>1990000_31000</v>
      </c>
      <c r="AH13" t="str">
        <f t="shared" si="0"/>
        <v>1990000_32000</v>
      </c>
      <c r="AI13" t="str">
        <f t="shared" si="0"/>
        <v>1990000_33000</v>
      </c>
      <c r="AJ13" t="str">
        <f t="shared" si="0"/>
        <v>1990000_34000</v>
      </c>
      <c r="AK13" t="str">
        <f t="shared" si="0"/>
        <v>1990000_35000</v>
      </c>
      <c r="AL13" t="str">
        <f t="shared" si="0"/>
        <v>1990000_36000</v>
      </c>
      <c r="AM13" t="str">
        <f t="shared" si="0"/>
        <v>1990000_37000</v>
      </c>
      <c r="AN13" t="str">
        <f t="shared" si="0"/>
        <v>1990000_38000</v>
      </c>
      <c r="AO13" t="str">
        <f t="shared" si="0"/>
        <v>1990000_39000</v>
      </c>
      <c r="AP13" t="str">
        <f t="shared" si="0"/>
        <v>1990000_40000</v>
      </c>
      <c r="AQ13" t="str">
        <f t="shared" si="0"/>
        <v>1990000_41000</v>
      </c>
      <c r="AR13" t="str">
        <f t="shared" si="0"/>
        <v>1990000_42000</v>
      </c>
      <c r="AS13" t="str">
        <f t="shared" si="0"/>
        <v>1990000_43000</v>
      </c>
      <c r="AT13" t="str">
        <f t="shared" si="0"/>
        <v>1990000_44000</v>
      </c>
      <c r="AU13" t="str">
        <f t="shared" si="0"/>
        <v>1990000_45000</v>
      </c>
      <c r="AV13" t="str">
        <f t="shared" si="0"/>
        <v>1990000_46000</v>
      </c>
      <c r="AW13" t="str">
        <f t="shared" si="0"/>
        <v>1990000_47000</v>
      </c>
      <c r="AX13" t="str">
        <f t="shared" si="0"/>
        <v>1990000_48000</v>
      </c>
      <c r="AY13" t="str">
        <f t="shared" si="0"/>
        <v>1990000_49000</v>
      </c>
      <c r="AZ13" t="str">
        <f t="shared" si="0"/>
        <v>1990000_50000</v>
      </c>
      <c r="BA13" t="str">
        <f t="shared" si="0"/>
        <v>1990000_51000</v>
      </c>
      <c r="BB13" t="str">
        <f t="shared" si="0"/>
        <v>1990000_52000</v>
      </c>
      <c r="BC13" t="str">
        <f t="shared" si="0"/>
        <v>1990000_53000</v>
      </c>
      <c r="BD13" t="str">
        <f t="shared" si="0"/>
        <v>1990000_54000</v>
      </c>
      <c r="BE13" t="str">
        <f t="shared" si="0"/>
        <v>1990000_55000</v>
      </c>
      <c r="BF13" t="str">
        <f t="shared" si="0"/>
        <v>1990000_56000</v>
      </c>
      <c r="BG13" t="str">
        <f t="shared" si="0"/>
        <v>1990000_57000</v>
      </c>
      <c r="BH13" t="str">
        <f t="shared" si="0"/>
        <v>1990000_58000</v>
      </c>
      <c r="BI13" t="str">
        <f t="shared" si="0"/>
        <v>1990000_59000</v>
      </c>
      <c r="BJ13" t="str">
        <f t="shared" si="0"/>
        <v>1990000_60000</v>
      </c>
      <c r="BK13" t="str">
        <f t="shared" si="0"/>
        <v>1990000_61000</v>
      </c>
      <c r="BL13" t="str">
        <f t="shared" si="0"/>
        <v>1990000_62000</v>
      </c>
      <c r="BM13" t="str">
        <f t="shared" si="0"/>
        <v>1990000_63000</v>
      </c>
      <c r="BN13" t="str">
        <f t="shared" si="0"/>
        <v>1990000_64000</v>
      </c>
      <c r="BO13" t="str">
        <f t="shared" ref="BO13:BU13" si="1">_xlfn.TEXTJOIN("_",TRUE,$A$2,BO2)</f>
        <v>1990000_65000</v>
      </c>
      <c r="BP13" t="str">
        <f t="shared" si="1"/>
        <v>1990000_66000</v>
      </c>
      <c r="BQ13" t="str">
        <f t="shared" si="1"/>
        <v>1990000_67000</v>
      </c>
      <c r="BR13" t="str">
        <f t="shared" si="1"/>
        <v>1990000_68000</v>
      </c>
      <c r="BS13" t="str">
        <f t="shared" si="1"/>
        <v>1990000_69000</v>
      </c>
      <c r="BT13" t="str">
        <f t="shared" si="1"/>
        <v>1990000_70000</v>
      </c>
      <c r="BU13" t="str">
        <f t="shared" si="1"/>
        <v>1990000_71000</v>
      </c>
    </row>
    <row r="14" spans="1:73">
      <c r="C14" t="str">
        <f t="shared" ref="C14:BN14" si="2">_xlfn.TEXTJOIN("_",TRUE,$A$2,C3)</f>
        <v>1990000_1100</v>
      </c>
      <c r="D14" t="str">
        <f t="shared" si="2"/>
        <v>1990000_2200</v>
      </c>
      <c r="E14" t="str">
        <f t="shared" si="2"/>
        <v>1990000_3300</v>
      </c>
      <c r="F14" t="str">
        <f t="shared" si="2"/>
        <v>1990000_4400</v>
      </c>
      <c r="G14" t="str">
        <f t="shared" si="2"/>
        <v>1990000_5500</v>
      </c>
      <c r="H14" t="str">
        <f t="shared" si="2"/>
        <v>1990000_6600</v>
      </c>
      <c r="I14" t="str">
        <f t="shared" si="2"/>
        <v>1990000_7700</v>
      </c>
      <c r="J14" t="str">
        <f t="shared" si="2"/>
        <v>1990000_8800</v>
      </c>
      <c r="K14" t="str">
        <f t="shared" si="2"/>
        <v>1990000_9900</v>
      </c>
      <c r="L14" t="str">
        <f t="shared" si="2"/>
        <v>1990000_11000</v>
      </c>
      <c r="M14" t="str">
        <f t="shared" si="2"/>
        <v>1990000_12100</v>
      </c>
      <c r="N14" t="str">
        <f t="shared" si="2"/>
        <v>1990000_13200</v>
      </c>
      <c r="O14" t="str">
        <f t="shared" si="2"/>
        <v>1990000_14300</v>
      </c>
      <c r="P14" t="str">
        <f t="shared" si="2"/>
        <v>1990000_15400</v>
      </c>
      <c r="Q14" t="str">
        <f t="shared" si="2"/>
        <v>1990000_16500</v>
      </c>
      <c r="R14" t="str">
        <f t="shared" si="2"/>
        <v>1990000_17600</v>
      </c>
      <c r="S14" t="str">
        <f t="shared" si="2"/>
        <v>1990000_18700</v>
      </c>
      <c r="T14" t="str">
        <f t="shared" si="2"/>
        <v>1990000_19800</v>
      </c>
      <c r="U14" t="str">
        <f t="shared" si="2"/>
        <v>1990000_20900</v>
      </c>
      <c r="V14" t="str">
        <f t="shared" si="2"/>
        <v>1990000_22000</v>
      </c>
      <c r="W14" t="str">
        <f t="shared" si="2"/>
        <v>1990000_23100</v>
      </c>
      <c r="X14" t="str">
        <f t="shared" si="2"/>
        <v>1990000_24200</v>
      </c>
      <c r="Y14" t="str">
        <f t="shared" si="2"/>
        <v>1990000_25300</v>
      </c>
      <c r="Z14" t="str">
        <f t="shared" si="2"/>
        <v>1990000_26400</v>
      </c>
      <c r="AA14" t="str">
        <f t="shared" si="2"/>
        <v>1990000_27500</v>
      </c>
      <c r="AB14" t="str">
        <f t="shared" si="2"/>
        <v>1990000_28600</v>
      </c>
      <c r="AC14" t="str">
        <f t="shared" si="2"/>
        <v>1990000_29700</v>
      </c>
      <c r="AD14" t="str">
        <f t="shared" si="2"/>
        <v>1990000_30800</v>
      </c>
      <c r="AE14" t="str">
        <f t="shared" si="2"/>
        <v>1990000_31900</v>
      </c>
      <c r="AF14" t="str">
        <f t="shared" si="2"/>
        <v>1990000_33000</v>
      </c>
      <c r="AG14" t="str">
        <f t="shared" si="2"/>
        <v>1990000_34100</v>
      </c>
      <c r="AH14" t="str">
        <f t="shared" si="2"/>
        <v>1990000_35200</v>
      </c>
      <c r="AI14" t="str">
        <f t="shared" si="2"/>
        <v>1990000_36300</v>
      </c>
      <c r="AJ14" t="str">
        <f t="shared" si="2"/>
        <v>1990000_37400</v>
      </c>
      <c r="AK14" t="str">
        <f t="shared" si="2"/>
        <v>1990000_38500</v>
      </c>
      <c r="AL14" t="str">
        <f t="shared" si="2"/>
        <v>1990000_39600</v>
      </c>
      <c r="AM14" t="str">
        <f t="shared" si="2"/>
        <v>1990000_40700</v>
      </c>
      <c r="AN14" t="str">
        <f t="shared" si="2"/>
        <v>1990000_41800</v>
      </c>
      <c r="AO14" t="str">
        <f t="shared" si="2"/>
        <v>1990000_42900</v>
      </c>
      <c r="AP14" t="str">
        <f t="shared" si="2"/>
        <v>1990000_44000</v>
      </c>
      <c r="AQ14" t="str">
        <f t="shared" si="2"/>
        <v>1990000_45100</v>
      </c>
      <c r="AR14" t="str">
        <f t="shared" si="2"/>
        <v>1990000_46200</v>
      </c>
      <c r="AS14" t="str">
        <f t="shared" si="2"/>
        <v>1990000_47300</v>
      </c>
      <c r="AT14" t="str">
        <f t="shared" si="2"/>
        <v>1990000_48400</v>
      </c>
      <c r="AU14" t="str">
        <f t="shared" si="2"/>
        <v>1990000_49500</v>
      </c>
      <c r="AV14" t="str">
        <f t="shared" si="2"/>
        <v>1990000_50600</v>
      </c>
      <c r="AW14" t="str">
        <f t="shared" si="2"/>
        <v>1990000_51700</v>
      </c>
      <c r="AX14" t="str">
        <f t="shared" si="2"/>
        <v>1990000_52800</v>
      </c>
      <c r="AY14" t="str">
        <f t="shared" si="2"/>
        <v>1990000_53900</v>
      </c>
      <c r="AZ14" t="str">
        <f t="shared" si="2"/>
        <v>1990000_55000</v>
      </c>
      <c r="BA14" t="str">
        <f t="shared" si="2"/>
        <v>1990000_56100</v>
      </c>
      <c r="BB14" t="str">
        <f t="shared" si="2"/>
        <v>1990000_57200</v>
      </c>
      <c r="BC14" t="str">
        <f t="shared" si="2"/>
        <v>1990000_58300</v>
      </c>
      <c r="BD14" t="str">
        <f t="shared" si="2"/>
        <v>1990000_59400</v>
      </c>
      <c r="BE14" t="str">
        <f t="shared" si="2"/>
        <v>1990000_60500</v>
      </c>
      <c r="BF14" t="str">
        <f t="shared" si="2"/>
        <v>1990000_61600</v>
      </c>
      <c r="BG14" t="str">
        <f t="shared" si="2"/>
        <v>1990000_62700</v>
      </c>
      <c r="BH14" t="str">
        <f t="shared" si="2"/>
        <v>1990000_63800</v>
      </c>
      <c r="BI14" t="str">
        <f t="shared" si="2"/>
        <v>1990000_64900</v>
      </c>
      <c r="BJ14" t="str">
        <f t="shared" si="2"/>
        <v>1990000_66000</v>
      </c>
      <c r="BK14" t="str">
        <f t="shared" si="2"/>
        <v>1990000_67100</v>
      </c>
      <c r="BL14" t="str">
        <f t="shared" si="2"/>
        <v>1990000_68200</v>
      </c>
      <c r="BM14" t="str">
        <f t="shared" si="2"/>
        <v>1990000_69300</v>
      </c>
      <c r="BN14" t="str">
        <f t="shared" si="2"/>
        <v>1990000_70400</v>
      </c>
      <c r="BO14" t="str">
        <f t="shared" ref="BO14:BU14" si="3">_xlfn.TEXTJOIN("_",TRUE,$A$2,BO3)</f>
        <v>1990000_71500</v>
      </c>
      <c r="BP14" t="str">
        <f t="shared" si="3"/>
        <v>1990000_72600</v>
      </c>
      <c r="BQ14" t="str">
        <f t="shared" si="3"/>
        <v>1990000_73700</v>
      </c>
      <c r="BR14" t="str">
        <f t="shared" si="3"/>
        <v>1990000_74800</v>
      </c>
      <c r="BS14" t="str">
        <f t="shared" si="3"/>
        <v>1990000_75900</v>
      </c>
      <c r="BT14" t="str">
        <f t="shared" si="3"/>
        <v>1990000_77000</v>
      </c>
      <c r="BU14" t="str">
        <f t="shared" si="3"/>
        <v>1990000_78100</v>
      </c>
    </row>
    <row r="15" spans="1:73">
      <c r="C15" t="str">
        <f t="shared" ref="C15:BN15" si="4">_xlfn.TEXTJOIN("_",TRUE,$A$2,C4)</f>
        <v>1990000_1200</v>
      </c>
      <c r="D15" t="str">
        <f t="shared" si="4"/>
        <v>1990000_2400</v>
      </c>
      <c r="E15" t="str">
        <f t="shared" si="4"/>
        <v>1990000_3600</v>
      </c>
      <c r="F15" t="str">
        <f t="shared" si="4"/>
        <v>1990000_4800</v>
      </c>
      <c r="G15" t="str">
        <f t="shared" si="4"/>
        <v>1990000_6000</v>
      </c>
      <c r="H15" t="str">
        <f t="shared" si="4"/>
        <v>1990000_7200</v>
      </c>
      <c r="I15" t="str">
        <f t="shared" si="4"/>
        <v>1990000_8400</v>
      </c>
      <c r="J15" t="str">
        <f t="shared" si="4"/>
        <v>1990000_9600</v>
      </c>
      <c r="K15" t="str">
        <f t="shared" si="4"/>
        <v>1990000_10800</v>
      </c>
      <c r="L15" t="str">
        <f t="shared" si="4"/>
        <v>1990000_12000</v>
      </c>
      <c r="M15" t="str">
        <f t="shared" si="4"/>
        <v>1990000_13200</v>
      </c>
      <c r="N15" t="str">
        <f t="shared" si="4"/>
        <v>1990000_14400</v>
      </c>
      <c r="O15" t="str">
        <f t="shared" si="4"/>
        <v>1990000_15600</v>
      </c>
      <c r="P15" t="str">
        <f t="shared" si="4"/>
        <v>1990000_16800</v>
      </c>
      <c r="Q15" t="str">
        <f t="shared" si="4"/>
        <v>1990000_18000</v>
      </c>
      <c r="R15" t="str">
        <f t="shared" si="4"/>
        <v>1990000_19200</v>
      </c>
      <c r="S15" t="str">
        <f t="shared" si="4"/>
        <v>1990000_20400</v>
      </c>
      <c r="T15" t="str">
        <f t="shared" si="4"/>
        <v>1990000_21600</v>
      </c>
      <c r="U15" t="str">
        <f t="shared" si="4"/>
        <v>1990000_22800</v>
      </c>
      <c r="V15" t="str">
        <f t="shared" si="4"/>
        <v>1990000_24000</v>
      </c>
      <c r="W15" t="str">
        <f t="shared" si="4"/>
        <v>1990000_25200</v>
      </c>
      <c r="X15" t="str">
        <f t="shared" si="4"/>
        <v>1990000_26400</v>
      </c>
      <c r="Y15" t="str">
        <f t="shared" si="4"/>
        <v>1990000_27600</v>
      </c>
      <c r="Z15" t="str">
        <f t="shared" si="4"/>
        <v>1990000_28800</v>
      </c>
      <c r="AA15" t="str">
        <f t="shared" si="4"/>
        <v>1990000_30000</v>
      </c>
      <c r="AB15" t="str">
        <f t="shared" si="4"/>
        <v>1990000_31200</v>
      </c>
      <c r="AC15" t="str">
        <f t="shared" si="4"/>
        <v>1990000_32400</v>
      </c>
      <c r="AD15" t="str">
        <f t="shared" si="4"/>
        <v>1990000_33600</v>
      </c>
      <c r="AE15" t="str">
        <f t="shared" si="4"/>
        <v>1990000_34800</v>
      </c>
      <c r="AF15" t="str">
        <f t="shared" si="4"/>
        <v>1990000_36000</v>
      </c>
      <c r="AG15" t="str">
        <f t="shared" si="4"/>
        <v>1990000_37200</v>
      </c>
      <c r="AH15" t="str">
        <f t="shared" si="4"/>
        <v>1990000_38400</v>
      </c>
      <c r="AI15" t="str">
        <f t="shared" si="4"/>
        <v>1990000_39600</v>
      </c>
      <c r="AJ15" t="str">
        <f t="shared" si="4"/>
        <v>1990000_40800</v>
      </c>
      <c r="AK15" t="str">
        <f t="shared" si="4"/>
        <v>1990000_42000</v>
      </c>
      <c r="AL15" t="str">
        <f t="shared" si="4"/>
        <v>1990000_43200</v>
      </c>
      <c r="AM15" t="str">
        <f t="shared" si="4"/>
        <v>1990000_44400</v>
      </c>
      <c r="AN15" t="str">
        <f t="shared" si="4"/>
        <v>1990000_45600</v>
      </c>
      <c r="AO15" t="str">
        <f t="shared" si="4"/>
        <v>1990000_46800</v>
      </c>
      <c r="AP15" t="str">
        <f t="shared" si="4"/>
        <v>1990000_48000</v>
      </c>
      <c r="AQ15" t="str">
        <f t="shared" si="4"/>
        <v>1990000_49200</v>
      </c>
      <c r="AR15" t="str">
        <f t="shared" si="4"/>
        <v>1990000_50400</v>
      </c>
      <c r="AS15" t="str">
        <f t="shared" si="4"/>
        <v>1990000_51600</v>
      </c>
      <c r="AT15" t="str">
        <f t="shared" si="4"/>
        <v>1990000_52800</v>
      </c>
      <c r="AU15" t="str">
        <f t="shared" si="4"/>
        <v>1990000_54000</v>
      </c>
      <c r="AV15" t="str">
        <f t="shared" si="4"/>
        <v>1990000_55200</v>
      </c>
      <c r="AW15" t="str">
        <f t="shared" si="4"/>
        <v>1990000_56400</v>
      </c>
      <c r="AX15" t="str">
        <f t="shared" si="4"/>
        <v>1990000_57600</v>
      </c>
      <c r="AY15" t="str">
        <f t="shared" si="4"/>
        <v>1990000_58800</v>
      </c>
      <c r="AZ15" t="str">
        <f t="shared" si="4"/>
        <v>1990000_60000</v>
      </c>
      <c r="BA15" t="str">
        <f t="shared" si="4"/>
        <v>1990000_61200</v>
      </c>
      <c r="BB15" t="str">
        <f t="shared" si="4"/>
        <v>1990000_62400</v>
      </c>
      <c r="BC15" t="str">
        <f t="shared" si="4"/>
        <v>1990000_63600</v>
      </c>
      <c r="BD15" t="str">
        <f t="shared" si="4"/>
        <v>1990000_64800</v>
      </c>
      <c r="BE15" t="str">
        <f t="shared" si="4"/>
        <v>1990000_66000</v>
      </c>
      <c r="BF15" t="str">
        <f t="shared" si="4"/>
        <v>1990000_67200</v>
      </c>
      <c r="BG15" t="str">
        <f t="shared" si="4"/>
        <v>1990000_68400</v>
      </c>
      <c r="BH15" t="str">
        <f t="shared" si="4"/>
        <v>1990000_69600</v>
      </c>
      <c r="BI15" t="str">
        <f t="shared" si="4"/>
        <v>1990000_70800</v>
      </c>
      <c r="BJ15" t="str">
        <f t="shared" si="4"/>
        <v>1990000_72000</v>
      </c>
      <c r="BK15" t="str">
        <f t="shared" si="4"/>
        <v>1990000_73200</v>
      </c>
      <c r="BL15" t="str">
        <f t="shared" si="4"/>
        <v>1990000_74400</v>
      </c>
      <c r="BM15" t="str">
        <f t="shared" si="4"/>
        <v>1990000_75600</v>
      </c>
      <c r="BN15" t="str">
        <f t="shared" si="4"/>
        <v>1990000_76800</v>
      </c>
      <c r="BO15" t="str">
        <f t="shared" ref="BO15:BU15" si="5">_xlfn.TEXTJOIN("_",TRUE,$A$2,BO4)</f>
        <v>1990000_78000</v>
      </c>
      <c r="BP15" t="str">
        <f t="shared" si="5"/>
        <v>1990000_79200</v>
      </c>
      <c r="BQ15" t="str">
        <f t="shared" si="5"/>
        <v>1990000_80400</v>
      </c>
      <c r="BR15" t="str">
        <f t="shared" si="5"/>
        <v>1990000_81600</v>
      </c>
      <c r="BS15" t="str">
        <f t="shared" si="5"/>
        <v>1990000_82800</v>
      </c>
      <c r="BT15" t="str">
        <f t="shared" si="5"/>
        <v>1990000_84000</v>
      </c>
      <c r="BU15" t="str">
        <f t="shared" si="5"/>
        <v>1990000_85200</v>
      </c>
    </row>
    <row r="16" spans="1:73">
      <c r="C16" t="str">
        <f t="shared" ref="C16:BN16" si="6">_xlfn.TEXTJOIN("_",TRUE,$A$2,C5)</f>
        <v>1990000_1300</v>
      </c>
      <c r="D16" t="str">
        <f t="shared" si="6"/>
        <v>1990000_2600</v>
      </c>
      <c r="E16" t="str">
        <f t="shared" si="6"/>
        <v>1990000_3900</v>
      </c>
      <c r="F16" t="str">
        <f t="shared" si="6"/>
        <v>1990000_5200</v>
      </c>
      <c r="G16" t="str">
        <f t="shared" si="6"/>
        <v>1990000_6500</v>
      </c>
      <c r="H16" t="str">
        <f t="shared" si="6"/>
        <v>1990000_7800</v>
      </c>
      <c r="I16" t="str">
        <f t="shared" si="6"/>
        <v>1990000_9100</v>
      </c>
      <c r="J16" t="str">
        <f t="shared" si="6"/>
        <v>1990000_10400</v>
      </c>
      <c r="K16" t="str">
        <f t="shared" si="6"/>
        <v>1990000_11700</v>
      </c>
      <c r="L16" t="str">
        <f t="shared" si="6"/>
        <v>1990000_13000</v>
      </c>
      <c r="M16" t="str">
        <f t="shared" si="6"/>
        <v>1990000_14300</v>
      </c>
      <c r="N16" t="str">
        <f t="shared" si="6"/>
        <v>1990000_15600</v>
      </c>
      <c r="O16" t="str">
        <f t="shared" si="6"/>
        <v>1990000_16900</v>
      </c>
      <c r="P16" t="str">
        <f t="shared" si="6"/>
        <v>1990000_18200</v>
      </c>
      <c r="Q16" t="str">
        <f t="shared" si="6"/>
        <v>1990000_19500</v>
      </c>
      <c r="R16" t="str">
        <f t="shared" si="6"/>
        <v>1990000_20800</v>
      </c>
      <c r="S16" t="str">
        <f t="shared" si="6"/>
        <v>1990000_22100</v>
      </c>
      <c r="T16" t="str">
        <f t="shared" si="6"/>
        <v>1990000_23400</v>
      </c>
      <c r="U16" t="str">
        <f t="shared" si="6"/>
        <v>1990000_24700</v>
      </c>
      <c r="V16" t="str">
        <f t="shared" si="6"/>
        <v>1990000_26000</v>
      </c>
      <c r="W16" t="str">
        <f t="shared" si="6"/>
        <v>1990000_27300</v>
      </c>
      <c r="X16" t="str">
        <f t="shared" si="6"/>
        <v>1990000_28600</v>
      </c>
      <c r="Y16" t="str">
        <f t="shared" si="6"/>
        <v>1990000_29900</v>
      </c>
      <c r="Z16" t="str">
        <f t="shared" si="6"/>
        <v>1990000_31200</v>
      </c>
      <c r="AA16" t="str">
        <f t="shared" si="6"/>
        <v>1990000_32500</v>
      </c>
      <c r="AB16" t="str">
        <f t="shared" si="6"/>
        <v>1990000_33800</v>
      </c>
      <c r="AC16" t="str">
        <f t="shared" si="6"/>
        <v>1990000_35100</v>
      </c>
      <c r="AD16" t="str">
        <f t="shared" si="6"/>
        <v>1990000_36400</v>
      </c>
      <c r="AE16" t="str">
        <f t="shared" si="6"/>
        <v>1990000_37700</v>
      </c>
      <c r="AF16" t="str">
        <f t="shared" si="6"/>
        <v>1990000_39000</v>
      </c>
      <c r="AG16" t="str">
        <f t="shared" si="6"/>
        <v>1990000_40300</v>
      </c>
      <c r="AH16" t="str">
        <f t="shared" si="6"/>
        <v>1990000_41600</v>
      </c>
      <c r="AI16" t="str">
        <f t="shared" si="6"/>
        <v>1990000_42900</v>
      </c>
      <c r="AJ16" t="str">
        <f t="shared" si="6"/>
        <v>1990000_44200</v>
      </c>
      <c r="AK16" t="str">
        <f t="shared" si="6"/>
        <v>1990000_45500</v>
      </c>
      <c r="AL16" t="str">
        <f t="shared" si="6"/>
        <v>1990000_46800</v>
      </c>
      <c r="AM16" t="str">
        <f t="shared" si="6"/>
        <v>1990000_48100</v>
      </c>
      <c r="AN16" t="str">
        <f t="shared" si="6"/>
        <v>1990000_49400</v>
      </c>
      <c r="AO16" t="str">
        <f t="shared" si="6"/>
        <v>1990000_50700</v>
      </c>
      <c r="AP16" t="str">
        <f t="shared" si="6"/>
        <v>1990000_52000</v>
      </c>
      <c r="AQ16" t="str">
        <f t="shared" si="6"/>
        <v>1990000_53300</v>
      </c>
      <c r="AR16" t="str">
        <f t="shared" si="6"/>
        <v>1990000_54600</v>
      </c>
      <c r="AS16" t="str">
        <f t="shared" si="6"/>
        <v>1990000_55900</v>
      </c>
      <c r="AT16" t="str">
        <f t="shared" si="6"/>
        <v>1990000_57200</v>
      </c>
      <c r="AU16" t="str">
        <f t="shared" si="6"/>
        <v>1990000_58500</v>
      </c>
      <c r="AV16" t="str">
        <f t="shared" si="6"/>
        <v>1990000_59800</v>
      </c>
      <c r="AW16" t="str">
        <f t="shared" si="6"/>
        <v>1990000_61100</v>
      </c>
      <c r="AX16" t="str">
        <f t="shared" si="6"/>
        <v>1990000_62400</v>
      </c>
      <c r="AY16" t="str">
        <f t="shared" si="6"/>
        <v>1990000_63700</v>
      </c>
      <c r="AZ16" t="str">
        <f t="shared" si="6"/>
        <v>1990000_65000</v>
      </c>
      <c r="BA16" t="str">
        <f t="shared" si="6"/>
        <v>1990000_66300</v>
      </c>
      <c r="BB16" t="str">
        <f t="shared" si="6"/>
        <v>1990000_67600</v>
      </c>
      <c r="BC16" t="str">
        <f t="shared" si="6"/>
        <v>1990000_68900</v>
      </c>
      <c r="BD16" t="str">
        <f t="shared" si="6"/>
        <v>1990000_70200</v>
      </c>
      <c r="BE16" t="str">
        <f t="shared" si="6"/>
        <v>1990000_71500</v>
      </c>
      <c r="BF16" t="str">
        <f t="shared" si="6"/>
        <v>1990000_72800</v>
      </c>
      <c r="BG16" t="str">
        <f t="shared" si="6"/>
        <v>1990000_74100</v>
      </c>
      <c r="BH16" t="str">
        <f t="shared" si="6"/>
        <v>1990000_75400</v>
      </c>
      <c r="BI16" t="str">
        <f t="shared" si="6"/>
        <v>1990000_76700</v>
      </c>
      <c r="BJ16" t="str">
        <f t="shared" si="6"/>
        <v>1990000_78000</v>
      </c>
      <c r="BK16" t="str">
        <f t="shared" si="6"/>
        <v>1990000_79300</v>
      </c>
      <c r="BL16" t="str">
        <f t="shared" si="6"/>
        <v>1990000_80600</v>
      </c>
      <c r="BM16" t="str">
        <f t="shared" si="6"/>
        <v>1990000_81900</v>
      </c>
      <c r="BN16" t="str">
        <f t="shared" si="6"/>
        <v>1990000_83200</v>
      </c>
      <c r="BO16" t="str">
        <f t="shared" ref="BO16:BU16" si="7">_xlfn.TEXTJOIN("_",TRUE,$A$2,BO5)</f>
        <v>1990000_84500</v>
      </c>
      <c r="BP16" t="str">
        <f t="shared" si="7"/>
        <v>1990000_85800</v>
      </c>
      <c r="BQ16" t="str">
        <f t="shared" si="7"/>
        <v>1990000_87100</v>
      </c>
      <c r="BR16" t="str">
        <f t="shared" si="7"/>
        <v>1990000_88400</v>
      </c>
      <c r="BS16" t="str">
        <f t="shared" si="7"/>
        <v>1990000_89700</v>
      </c>
      <c r="BT16" t="str">
        <f t="shared" si="7"/>
        <v>1990000_91000</v>
      </c>
      <c r="BU16" t="str">
        <f t="shared" si="7"/>
        <v>1990000_92300</v>
      </c>
    </row>
    <row r="17" spans="3:74">
      <c r="C17" t="str">
        <f t="shared" ref="C17:BN17" si="8">_xlfn.TEXTJOIN("_",TRUE,$A$2,C6)</f>
        <v>1990000_1400</v>
      </c>
      <c r="D17" t="str">
        <f t="shared" si="8"/>
        <v>1990000_2800</v>
      </c>
      <c r="E17" t="str">
        <f t="shared" si="8"/>
        <v>1990000_4200</v>
      </c>
      <c r="F17" t="str">
        <f t="shared" si="8"/>
        <v>1990000_5600</v>
      </c>
      <c r="G17" t="str">
        <f t="shared" si="8"/>
        <v>1990000_7000</v>
      </c>
      <c r="H17" t="str">
        <f t="shared" si="8"/>
        <v>1990000_8400</v>
      </c>
      <c r="I17" t="str">
        <f t="shared" si="8"/>
        <v>1990000_9800</v>
      </c>
      <c r="J17" t="str">
        <f t="shared" si="8"/>
        <v>1990000_11200</v>
      </c>
      <c r="K17" t="str">
        <f t="shared" si="8"/>
        <v>1990000_12600</v>
      </c>
      <c r="L17" t="str">
        <f t="shared" si="8"/>
        <v>1990000_14000</v>
      </c>
      <c r="M17" t="str">
        <f t="shared" si="8"/>
        <v>1990000_15400</v>
      </c>
      <c r="N17" t="str">
        <f t="shared" si="8"/>
        <v>1990000_16800</v>
      </c>
      <c r="O17" t="str">
        <f t="shared" si="8"/>
        <v>1990000_18200</v>
      </c>
      <c r="P17" t="str">
        <f t="shared" si="8"/>
        <v>1990000_19600</v>
      </c>
      <c r="Q17" t="str">
        <f t="shared" si="8"/>
        <v>1990000_21000</v>
      </c>
      <c r="R17" t="str">
        <f t="shared" si="8"/>
        <v>1990000_22400</v>
      </c>
      <c r="S17" t="str">
        <f t="shared" si="8"/>
        <v>1990000_23800</v>
      </c>
      <c r="T17" t="str">
        <f t="shared" si="8"/>
        <v>1990000_25200</v>
      </c>
      <c r="U17" t="str">
        <f t="shared" si="8"/>
        <v>1990000_26600</v>
      </c>
      <c r="V17" t="str">
        <f t="shared" si="8"/>
        <v>1990000_28000</v>
      </c>
      <c r="W17" t="str">
        <f t="shared" si="8"/>
        <v>1990000_29400</v>
      </c>
      <c r="X17" t="str">
        <f t="shared" si="8"/>
        <v>1990000_30800</v>
      </c>
      <c r="Y17" t="str">
        <f t="shared" si="8"/>
        <v>1990000_32200</v>
      </c>
      <c r="Z17" t="str">
        <f t="shared" si="8"/>
        <v>1990000_33600</v>
      </c>
      <c r="AA17" t="str">
        <f t="shared" si="8"/>
        <v>1990000_35000</v>
      </c>
      <c r="AB17" t="str">
        <f t="shared" si="8"/>
        <v>1990000_36400</v>
      </c>
      <c r="AC17" t="str">
        <f t="shared" si="8"/>
        <v>1990000_37800</v>
      </c>
      <c r="AD17" t="str">
        <f t="shared" si="8"/>
        <v>1990000_39200</v>
      </c>
      <c r="AE17" t="str">
        <f t="shared" si="8"/>
        <v>1990000_40600</v>
      </c>
      <c r="AF17" t="str">
        <f t="shared" si="8"/>
        <v>1990000_42000</v>
      </c>
      <c r="AG17" t="str">
        <f t="shared" si="8"/>
        <v>1990000_43400</v>
      </c>
      <c r="AH17" t="str">
        <f t="shared" si="8"/>
        <v>1990000_44800</v>
      </c>
      <c r="AI17" t="str">
        <f t="shared" si="8"/>
        <v>1990000_46200</v>
      </c>
      <c r="AJ17" t="str">
        <f t="shared" si="8"/>
        <v>1990000_47600</v>
      </c>
      <c r="AK17" t="str">
        <f t="shared" si="8"/>
        <v>1990000_49000</v>
      </c>
      <c r="AL17" t="str">
        <f t="shared" si="8"/>
        <v>1990000_50400</v>
      </c>
      <c r="AM17" t="str">
        <f t="shared" si="8"/>
        <v>1990000_51800</v>
      </c>
      <c r="AN17" t="str">
        <f t="shared" si="8"/>
        <v>1990000_53200</v>
      </c>
      <c r="AO17" t="str">
        <f t="shared" si="8"/>
        <v>1990000_54600</v>
      </c>
      <c r="AP17" t="str">
        <f t="shared" si="8"/>
        <v>1990000_56000</v>
      </c>
      <c r="AQ17" t="str">
        <f t="shared" si="8"/>
        <v>1990000_57400</v>
      </c>
      <c r="AR17" t="str">
        <f t="shared" si="8"/>
        <v>1990000_58800</v>
      </c>
      <c r="AS17" t="str">
        <f t="shared" si="8"/>
        <v>1990000_60200</v>
      </c>
      <c r="AT17" t="str">
        <f t="shared" si="8"/>
        <v>1990000_61600</v>
      </c>
      <c r="AU17" t="str">
        <f t="shared" si="8"/>
        <v>1990000_63000</v>
      </c>
      <c r="AV17" t="str">
        <f t="shared" si="8"/>
        <v>1990000_64400</v>
      </c>
      <c r="AW17" t="str">
        <f t="shared" si="8"/>
        <v>1990000_65800</v>
      </c>
      <c r="AX17" t="str">
        <f t="shared" si="8"/>
        <v>1990000_67200</v>
      </c>
      <c r="AY17" t="str">
        <f t="shared" si="8"/>
        <v>1990000_68600</v>
      </c>
      <c r="AZ17" t="str">
        <f t="shared" si="8"/>
        <v>1990000_70000</v>
      </c>
      <c r="BA17" t="str">
        <f t="shared" si="8"/>
        <v>1990000_71400</v>
      </c>
      <c r="BB17" t="str">
        <f t="shared" si="8"/>
        <v>1990000_72800</v>
      </c>
      <c r="BC17" t="str">
        <f t="shared" si="8"/>
        <v>1990000_74200</v>
      </c>
      <c r="BD17" t="str">
        <f t="shared" si="8"/>
        <v>1990000_75600</v>
      </c>
      <c r="BE17" t="str">
        <f t="shared" si="8"/>
        <v>1990000_77000</v>
      </c>
      <c r="BF17" t="str">
        <f t="shared" si="8"/>
        <v>1990000_78400</v>
      </c>
      <c r="BG17" t="str">
        <f t="shared" si="8"/>
        <v>1990000_79800</v>
      </c>
      <c r="BH17" t="str">
        <f t="shared" si="8"/>
        <v>1990000_81200</v>
      </c>
      <c r="BI17" t="str">
        <f t="shared" si="8"/>
        <v>1990000_82600</v>
      </c>
      <c r="BJ17" t="str">
        <f t="shared" si="8"/>
        <v>1990000_84000</v>
      </c>
      <c r="BK17" t="str">
        <f t="shared" si="8"/>
        <v>1990000_85400</v>
      </c>
      <c r="BL17" t="str">
        <f t="shared" si="8"/>
        <v>1990000_86800</v>
      </c>
      <c r="BM17" t="str">
        <f t="shared" si="8"/>
        <v>1990000_88200</v>
      </c>
      <c r="BN17" t="str">
        <f t="shared" si="8"/>
        <v>1990000_89600</v>
      </c>
      <c r="BO17" t="str">
        <f t="shared" ref="BO17:BU17" si="9">_xlfn.TEXTJOIN("_",TRUE,$A$2,BO6)</f>
        <v>1990000_91000</v>
      </c>
      <c r="BP17" t="str">
        <f t="shared" si="9"/>
        <v>1990000_92400</v>
      </c>
      <c r="BQ17" t="str">
        <f t="shared" si="9"/>
        <v>1990000_93800</v>
      </c>
      <c r="BR17" t="str">
        <f t="shared" si="9"/>
        <v>1990000_95200</v>
      </c>
      <c r="BS17" t="str">
        <f t="shared" si="9"/>
        <v>1990000_96600</v>
      </c>
      <c r="BT17" t="str">
        <f t="shared" si="9"/>
        <v>1990000_98000</v>
      </c>
      <c r="BU17" t="str">
        <f t="shared" si="9"/>
        <v>1990000_99400</v>
      </c>
    </row>
    <row r="18" spans="3:74">
      <c r="C18" t="str">
        <f t="shared" ref="C18:BN18" si="10">_xlfn.TEXTJOIN("_",TRUE,$A$2,C7)</f>
        <v>1990000_1500</v>
      </c>
      <c r="D18" t="str">
        <f t="shared" si="10"/>
        <v>1990000_3000</v>
      </c>
      <c r="E18" t="str">
        <f t="shared" si="10"/>
        <v>1990000_4500</v>
      </c>
      <c r="F18" t="str">
        <f t="shared" si="10"/>
        <v>1990000_6000</v>
      </c>
      <c r="G18" t="str">
        <f t="shared" si="10"/>
        <v>1990000_7500</v>
      </c>
      <c r="H18" t="str">
        <f t="shared" si="10"/>
        <v>1990000_9000</v>
      </c>
      <c r="I18" t="str">
        <f t="shared" si="10"/>
        <v>1990000_10500</v>
      </c>
      <c r="J18" t="str">
        <f t="shared" si="10"/>
        <v>1990000_12000</v>
      </c>
      <c r="K18" t="str">
        <f t="shared" si="10"/>
        <v>1990000_13500</v>
      </c>
      <c r="L18" t="str">
        <f t="shared" si="10"/>
        <v>1990000_15000</v>
      </c>
      <c r="M18" t="str">
        <f t="shared" si="10"/>
        <v>1990000_16500</v>
      </c>
      <c r="N18" t="str">
        <f t="shared" si="10"/>
        <v>1990000_18000</v>
      </c>
      <c r="O18" t="str">
        <f t="shared" si="10"/>
        <v>1990000_19500</v>
      </c>
      <c r="P18" t="str">
        <f t="shared" si="10"/>
        <v>1990000_21000</v>
      </c>
      <c r="Q18" t="str">
        <f t="shared" si="10"/>
        <v>1990000_22500</v>
      </c>
      <c r="R18" t="str">
        <f t="shared" si="10"/>
        <v>1990000_24000</v>
      </c>
      <c r="S18" t="str">
        <f t="shared" si="10"/>
        <v>1990000_25500</v>
      </c>
      <c r="T18" t="str">
        <f t="shared" si="10"/>
        <v>1990000_27000</v>
      </c>
      <c r="U18" t="str">
        <f t="shared" si="10"/>
        <v>1990000_28500</v>
      </c>
      <c r="V18" t="str">
        <f t="shared" si="10"/>
        <v>1990000_30000</v>
      </c>
      <c r="W18" t="str">
        <f t="shared" si="10"/>
        <v>1990000_31500</v>
      </c>
      <c r="X18" t="str">
        <f t="shared" si="10"/>
        <v>1990000_33000</v>
      </c>
      <c r="Y18" t="str">
        <f t="shared" si="10"/>
        <v>1990000_34500</v>
      </c>
      <c r="Z18" t="str">
        <f t="shared" si="10"/>
        <v>1990000_36000</v>
      </c>
      <c r="AA18" t="str">
        <f t="shared" si="10"/>
        <v>1990000_37500</v>
      </c>
      <c r="AB18" t="str">
        <f t="shared" si="10"/>
        <v>1990000_39000</v>
      </c>
      <c r="AC18" t="str">
        <f t="shared" si="10"/>
        <v>1990000_40500</v>
      </c>
      <c r="AD18" t="str">
        <f t="shared" si="10"/>
        <v>1990000_42000</v>
      </c>
      <c r="AE18" t="str">
        <f t="shared" si="10"/>
        <v>1990000_43500</v>
      </c>
      <c r="AF18" t="str">
        <f t="shared" si="10"/>
        <v>1990000_45000</v>
      </c>
      <c r="AG18" t="str">
        <f t="shared" si="10"/>
        <v>1990000_46500</v>
      </c>
      <c r="AH18" t="str">
        <f t="shared" si="10"/>
        <v>1990000_48000</v>
      </c>
      <c r="AI18" t="str">
        <f t="shared" si="10"/>
        <v>1990000_49500</v>
      </c>
      <c r="AJ18" t="str">
        <f t="shared" si="10"/>
        <v>1990000_51000</v>
      </c>
      <c r="AK18" t="str">
        <f t="shared" si="10"/>
        <v>1990000_52500</v>
      </c>
      <c r="AL18" t="str">
        <f t="shared" si="10"/>
        <v>1990000_54000</v>
      </c>
      <c r="AM18" t="str">
        <f t="shared" si="10"/>
        <v>1990000_55500</v>
      </c>
      <c r="AN18" t="str">
        <f t="shared" si="10"/>
        <v>1990000_57000</v>
      </c>
      <c r="AO18" t="str">
        <f t="shared" si="10"/>
        <v>1990000_58500</v>
      </c>
      <c r="AP18" t="str">
        <f t="shared" si="10"/>
        <v>1990000_60000</v>
      </c>
      <c r="AQ18" t="str">
        <f t="shared" si="10"/>
        <v>1990000_61500</v>
      </c>
      <c r="AR18" t="str">
        <f t="shared" si="10"/>
        <v>1990000_63000</v>
      </c>
      <c r="AS18" t="str">
        <f t="shared" si="10"/>
        <v>1990000_64500</v>
      </c>
      <c r="AT18" t="str">
        <f t="shared" si="10"/>
        <v>1990000_66000</v>
      </c>
      <c r="AU18" t="str">
        <f t="shared" si="10"/>
        <v>1990000_67500</v>
      </c>
      <c r="AV18" t="str">
        <f t="shared" si="10"/>
        <v>1990000_69000</v>
      </c>
      <c r="AW18" t="str">
        <f t="shared" si="10"/>
        <v>1990000_70500</v>
      </c>
      <c r="AX18" t="str">
        <f t="shared" si="10"/>
        <v>1990000_72000</v>
      </c>
      <c r="AY18" t="str">
        <f t="shared" si="10"/>
        <v>1990000_73500</v>
      </c>
      <c r="AZ18" t="str">
        <f t="shared" si="10"/>
        <v>1990000_75000</v>
      </c>
      <c r="BA18" t="str">
        <f t="shared" si="10"/>
        <v>1990000_76500</v>
      </c>
      <c r="BB18" t="str">
        <f t="shared" si="10"/>
        <v>1990000_78000</v>
      </c>
      <c r="BC18" t="str">
        <f t="shared" si="10"/>
        <v>1990000_79500</v>
      </c>
      <c r="BD18" t="str">
        <f t="shared" si="10"/>
        <v>1990000_81000</v>
      </c>
      <c r="BE18" t="str">
        <f t="shared" si="10"/>
        <v>1990000_82500</v>
      </c>
      <c r="BF18" t="str">
        <f t="shared" si="10"/>
        <v>1990000_84000</v>
      </c>
      <c r="BG18" t="str">
        <f t="shared" si="10"/>
        <v>1990000_85500</v>
      </c>
      <c r="BH18" t="str">
        <f t="shared" si="10"/>
        <v>1990000_87000</v>
      </c>
      <c r="BI18" t="str">
        <f t="shared" si="10"/>
        <v>1990000_88500</v>
      </c>
      <c r="BJ18" t="str">
        <f t="shared" si="10"/>
        <v>1990000_90000</v>
      </c>
      <c r="BK18" t="str">
        <f t="shared" si="10"/>
        <v>1990000_91500</v>
      </c>
      <c r="BL18" t="str">
        <f t="shared" si="10"/>
        <v>1990000_93000</v>
      </c>
      <c r="BM18" t="str">
        <f t="shared" si="10"/>
        <v>1990000_94500</v>
      </c>
      <c r="BN18" t="str">
        <f t="shared" si="10"/>
        <v>1990000_96000</v>
      </c>
      <c r="BO18" t="str">
        <f t="shared" ref="BO18:BU18" si="11">_xlfn.TEXTJOIN("_",TRUE,$A$2,BO7)</f>
        <v>1990000_97500</v>
      </c>
      <c r="BP18" t="str">
        <f t="shared" si="11"/>
        <v>1990000_99000</v>
      </c>
      <c r="BQ18" t="str">
        <f t="shared" si="11"/>
        <v>1990000_100500</v>
      </c>
      <c r="BR18" t="str">
        <f t="shared" si="11"/>
        <v>1990000_102000</v>
      </c>
      <c r="BS18" t="str">
        <f t="shared" si="11"/>
        <v>1990000_103500</v>
      </c>
      <c r="BT18" t="str">
        <f t="shared" si="11"/>
        <v>1990000_105000</v>
      </c>
      <c r="BU18" t="str">
        <f t="shared" si="11"/>
        <v>1990000_106500</v>
      </c>
    </row>
    <row r="19" spans="3:74">
      <c r="C19" t="str">
        <f t="shared" ref="C19:BN19" si="12">_xlfn.TEXTJOIN("_",TRUE,$A$2,C8)</f>
        <v>1990000_1600</v>
      </c>
      <c r="D19" t="str">
        <f t="shared" si="12"/>
        <v>1990000_3200</v>
      </c>
      <c r="E19" t="str">
        <f t="shared" si="12"/>
        <v>1990000_4800</v>
      </c>
      <c r="F19" t="str">
        <f t="shared" si="12"/>
        <v>1990000_6400</v>
      </c>
      <c r="G19" t="str">
        <f t="shared" si="12"/>
        <v>1990000_8000</v>
      </c>
      <c r="H19" t="str">
        <f t="shared" si="12"/>
        <v>1990000_9600</v>
      </c>
      <c r="I19" t="str">
        <f t="shared" si="12"/>
        <v>1990000_11200</v>
      </c>
      <c r="J19" t="str">
        <f t="shared" si="12"/>
        <v>1990000_12800</v>
      </c>
      <c r="K19" t="str">
        <f t="shared" si="12"/>
        <v>1990000_14400</v>
      </c>
      <c r="L19" t="str">
        <f t="shared" si="12"/>
        <v>1990000_16000</v>
      </c>
      <c r="M19" t="str">
        <f t="shared" si="12"/>
        <v>1990000_17600</v>
      </c>
      <c r="N19" t="str">
        <f t="shared" si="12"/>
        <v>1990000_19200</v>
      </c>
      <c r="O19" t="str">
        <f t="shared" si="12"/>
        <v>1990000_20800</v>
      </c>
      <c r="P19" t="str">
        <f t="shared" si="12"/>
        <v>1990000_22400</v>
      </c>
      <c r="Q19" t="str">
        <f t="shared" si="12"/>
        <v>1990000_24000</v>
      </c>
      <c r="R19" t="str">
        <f t="shared" si="12"/>
        <v>1990000_25600</v>
      </c>
      <c r="S19" t="str">
        <f t="shared" si="12"/>
        <v>1990000_27200</v>
      </c>
      <c r="T19" t="str">
        <f t="shared" si="12"/>
        <v>1990000_28800</v>
      </c>
      <c r="U19" t="str">
        <f t="shared" si="12"/>
        <v>1990000_30400</v>
      </c>
      <c r="V19" t="str">
        <f t="shared" si="12"/>
        <v>1990000_32000</v>
      </c>
      <c r="W19" t="str">
        <f t="shared" si="12"/>
        <v>1990000_33600</v>
      </c>
      <c r="X19" t="str">
        <f t="shared" si="12"/>
        <v>1990000_35200</v>
      </c>
      <c r="Y19" t="str">
        <f t="shared" si="12"/>
        <v>1990000_36800</v>
      </c>
      <c r="Z19" t="str">
        <f t="shared" si="12"/>
        <v>1990000_38400</v>
      </c>
      <c r="AA19" t="str">
        <f t="shared" si="12"/>
        <v>1990000_40000</v>
      </c>
      <c r="AB19" t="str">
        <f t="shared" si="12"/>
        <v>1990000_41600</v>
      </c>
      <c r="AC19" t="str">
        <f t="shared" si="12"/>
        <v>1990000_43200</v>
      </c>
      <c r="AD19" t="str">
        <f t="shared" si="12"/>
        <v>1990000_44800</v>
      </c>
      <c r="AE19" t="str">
        <f t="shared" si="12"/>
        <v>1990000_46400</v>
      </c>
      <c r="AF19" t="str">
        <f t="shared" si="12"/>
        <v>1990000_48000</v>
      </c>
      <c r="AG19" t="str">
        <f t="shared" si="12"/>
        <v>1990000_49600</v>
      </c>
      <c r="AH19" t="str">
        <f t="shared" si="12"/>
        <v>1990000_51200</v>
      </c>
      <c r="AI19" t="str">
        <f t="shared" si="12"/>
        <v>1990000_52800</v>
      </c>
      <c r="AJ19" t="str">
        <f t="shared" si="12"/>
        <v>1990000_54400</v>
      </c>
      <c r="AK19" t="str">
        <f t="shared" si="12"/>
        <v>1990000_56000</v>
      </c>
      <c r="AL19" t="str">
        <f t="shared" si="12"/>
        <v>1990000_57600</v>
      </c>
      <c r="AM19" t="str">
        <f t="shared" si="12"/>
        <v>1990000_59200</v>
      </c>
      <c r="AN19" t="str">
        <f t="shared" si="12"/>
        <v>1990000_60800</v>
      </c>
      <c r="AO19" t="str">
        <f t="shared" si="12"/>
        <v>1990000_62400</v>
      </c>
      <c r="AP19" t="str">
        <f t="shared" si="12"/>
        <v>1990000_64000</v>
      </c>
      <c r="AQ19" t="str">
        <f t="shared" si="12"/>
        <v>1990000_65600</v>
      </c>
      <c r="AR19" t="str">
        <f t="shared" si="12"/>
        <v>1990000_67200</v>
      </c>
      <c r="AS19" t="str">
        <f t="shared" si="12"/>
        <v>1990000_68800</v>
      </c>
      <c r="AT19" t="str">
        <f t="shared" si="12"/>
        <v>1990000_70400</v>
      </c>
      <c r="AU19" t="str">
        <f t="shared" si="12"/>
        <v>1990000_72000</v>
      </c>
      <c r="AV19" t="str">
        <f t="shared" si="12"/>
        <v>1990000_73600</v>
      </c>
      <c r="AW19" t="str">
        <f t="shared" si="12"/>
        <v>1990000_75200</v>
      </c>
      <c r="AX19" t="str">
        <f t="shared" si="12"/>
        <v>1990000_76800</v>
      </c>
      <c r="AY19" t="str">
        <f t="shared" si="12"/>
        <v>1990000_78400</v>
      </c>
      <c r="AZ19" t="str">
        <f t="shared" si="12"/>
        <v>1990000_80000</v>
      </c>
      <c r="BA19" t="str">
        <f t="shared" si="12"/>
        <v>1990000_81600</v>
      </c>
      <c r="BB19" t="str">
        <f t="shared" si="12"/>
        <v>1990000_83200</v>
      </c>
      <c r="BC19" t="str">
        <f t="shared" si="12"/>
        <v>1990000_84800</v>
      </c>
      <c r="BD19" t="str">
        <f t="shared" si="12"/>
        <v>1990000_86400</v>
      </c>
      <c r="BE19" t="str">
        <f t="shared" si="12"/>
        <v>1990000_88000</v>
      </c>
      <c r="BF19" t="str">
        <f t="shared" si="12"/>
        <v>1990000_89600</v>
      </c>
      <c r="BG19" t="str">
        <f t="shared" si="12"/>
        <v>1990000_91200</v>
      </c>
      <c r="BH19" t="str">
        <f t="shared" si="12"/>
        <v>1990000_92800</v>
      </c>
      <c r="BI19" t="str">
        <f t="shared" si="12"/>
        <v>1990000_94400</v>
      </c>
      <c r="BJ19" t="str">
        <f t="shared" si="12"/>
        <v>1990000_96000</v>
      </c>
      <c r="BK19" t="str">
        <f t="shared" si="12"/>
        <v>1990000_97600</v>
      </c>
      <c r="BL19" t="str">
        <f t="shared" si="12"/>
        <v>1990000_99200</v>
      </c>
      <c r="BM19" t="str">
        <f t="shared" si="12"/>
        <v>1990000_100800</v>
      </c>
      <c r="BN19" t="str">
        <f t="shared" si="12"/>
        <v>1990000_102400</v>
      </c>
      <c r="BO19" t="str">
        <f t="shared" ref="BO19:BU19" si="13">_xlfn.TEXTJOIN("_",TRUE,$A$2,BO8)</f>
        <v>1990000_104000</v>
      </c>
      <c r="BP19" t="str">
        <f t="shared" si="13"/>
        <v>1990000_105600</v>
      </c>
      <c r="BQ19" t="str">
        <f t="shared" si="13"/>
        <v>1990000_107200</v>
      </c>
      <c r="BR19" t="str">
        <f t="shared" si="13"/>
        <v>1990000_108800</v>
      </c>
      <c r="BS19" t="str">
        <f t="shared" si="13"/>
        <v>1990000_110400</v>
      </c>
      <c r="BT19" t="str">
        <f t="shared" si="13"/>
        <v>1990000_112000</v>
      </c>
      <c r="BU19" t="str">
        <f t="shared" si="13"/>
        <v>1990000_113600</v>
      </c>
    </row>
    <row r="20" spans="3:74">
      <c r="C20" t="str">
        <f t="shared" ref="C20:BN20" si="14">_xlfn.TEXTJOIN("_",TRUE,$A$2,C9)</f>
        <v>1990000_1700</v>
      </c>
      <c r="D20" t="str">
        <f t="shared" si="14"/>
        <v>1990000_3400</v>
      </c>
      <c r="E20" t="str">
        <f t="shared" si="14"/>
        <v>1990000_5100</v>
      </c>
      <c r="F20" t="str">
        <f t="shared" si="14"/>
        <v>1990000_6800</v>
      </c>
      <c r="G20" t="str">
        <f t="shared" si="14"/>
        <v>1990000_8500</v>
      </c>
      <c r="H20" t="str">
        <f t="shared" si="14"/>
        <v>1990000_10200</v>
      </c>
      <c r="I20" t="str">
        <f t="shared" si="14"/>
        <v>1990000_11900</v>
      </c>
      <c r="J20" t="str">
        <f t="shared" si="14"/>
        <v>1990000_13600</v>
      </c>
      <c r="K20" t="str">
        <f t="shared" si="14"/>
        <v>1990000_15300</v>
      </c>
      <c r="L20" t="str">
        <f t="shared" si="14"/>
        <v>1990000_17000</v>
      </c>
      <c r="M20" t="str">
        <f t="shared" si="14"/>
        <v>1990000_18700</v>
      </c>
      <c r="N20" t="str">
        <f t="shared" si="14"/>
        <v>1990000_20400</v>
      </c>
      <c r="O20" t="str">
        <f t="shared" si="14"/>
        <v>1990000_22100</v>
      </c>
      <c r="P20" t="str">
        <f t="shared" si="14"/>
        <v>1990000_23800</v>
      </c>
      <c r="Q20" t="str">
        <f t="shared" si="14"/>
        <v>1990000_25500</v>
      </c>
      <c r="R20" t="str">
        <f t="shared" si="14"/>
        <v>1990000_27200</v>
      </c>
      <c r="S20" t="str">
        <f t="shared" si="14"/>
        <v>1990000_28900</v>
      </c>
      <c r="T20" t="str">
        <f t="shared" si="14"/>
        <v>1990000_30600</v>
      </c>
      <c r="U20" t="str">
        <f t="shared" si="14"/>
        <v>1990000_32300</v>
      </c>
      <c r="V20" t="str">
        <f t="shared" si="14"/>
        <v>1990000_34000</v>
      </c>
      <c r="W20" t="str">
        <f t="shared" si="14"/>
        <v>1990000_35700</v>
      </c>
      <c r="X20" t="str">
        <f t="shared" si="14"/>
        <v>1990000_37400</v>
      </c>
      <c r="Y20" t="str">
        <f t="shared" si="14"/>
        <v>1990000_39100</v>
      </c>
      <c r="Z20" t="str">
        <f t="shared" si="14"/>
        <v>1990000_40800</v>
      </c>
      <c r="AA20" t="str">
        <f t="shared" si="14"/>
        <v>1990000_42500</v>
      </c>
      <c r="AB20" t="str">
        <f t="shared" si="14"/>
        <v>1990000_44200</v>
      </c>
      <c r="AC20" t="str">
        <f t="shared" si="14"/>
        <v>1990000_45900</v>
      </c>
      <c r="AD20" t="str">
        <f t="shared" si="14"/>
        <v>1990000_47600</v>
      </c>
      <c r="AE20" t="str">
        <f t="shared" si="14"/>
        <v>1990000_49300</v>
      </c>
      <c r="AF20" t="str">
        <f t="shared" si="14"/>
        <v>1990000_51000</v>
      </c>
      <c r="AG20" t="str">
        <f t="shared" si="14"/>
        <v>1990000_52700</v>
      </c>
      <c r="AH20" t="str">
        <f t="shared" si="14"/>
        <v>1990000_54400</v>
      </c>
      <c r="AI20" t="str">
        <f t="shared" si="14"/>
        <v>1990000_56100</v>
      </c>
      <c r="AJ20" t="str">
        <f t="shared" si="14"/>
        <v>1990000_57800</v>
      </c>
      <c r="AK20" t="str">
        <f t="shared" si="14"/>
        <v>1990000_59500</v>
      </c>
      <c r="AL20" t="str">
        <f t="shared" si="14"/>
        <v>1990000_61200</v>
      </c>
      <c r="AM20" t="str">
        <f t="shared" si="14"/>
        <v>1990000_62900</v>
      </c>
      <c r="AN20" t="str">
        <f t="shared" si="14"/>
        <v>1990000_64600</v>
      </c>
      <c r="AO20" t="str">
        <f t="shared" si="14"/>
        <v>1990000_66300</v>
      </c>
      <c r="AP20" t="str">
        <f t="shared" si="14"/>
        <v>1990000_68000</v>
      </c>
      <c r="AQ20" t="str">
        <f t="shared" si="14"/>
        <v>1990000_69700</v>
      </c>
      <c r="AR20" t="str">
        <f t="shared" si="14"/>
        <v>1990000_71400</v>
      </c>
      <c r="AS20" t="str">
        <f t="shared" si="14"/>
        <v>1990000_73100</v>
      </c>
      <c r="AT20" t="str">
        <f t="shared" si="14"/>
        <v>1990000_74800</v>
      </c>
      <c r="AU20" t="str">
        <f t="shared" si="14"/>
        <v>1990000_76500</v>
      </c>
      <c r="AV20" t="str">
        <f t="shared" si="14"/>
        <v>1990000_78200</v>
      </c>
      <c r="AW20" t="str">
        <f t="shared" si="14"/>
        <v>1990000_79900</v>
      </c>
      <c r="AX20" t="str">
        <f t="shared" si="14"/>
        <v>1990000_81600</v>
      </c>
      <c r="AY20" t="str">
        <f t="shared" si="14"/>
        <v>1990000_83300</v>
      </c>
      <c r="AZ20" t="str">
        <f t="shared" si="14"/>
        <v>1990000_85000</v>
      </c>
      <c r="BA20" t="str">
        <f t="shared" si="14"/>
        <v>1990000_86700</v>
      </c>
      <c r="BB20" t="str">
        <f t="shared" si="14"/>
        <v>1990000_88400</v>
      </c>
      <c r="BC20" t="str">
        <f t="shared" si="14"/>
        <v>1990000_90100</v>
      </c>
      <c r="BD20" t="str">
        <f t="shared" si="14"/>
        <v>1990000_91800</v>
      </c>
      <c r="BE20" t="str">
        <f t="shared" si="14"/>
        <v>1990000_93500</v>
      </c>
      <c r="BF20" t="str">
        <f t="shared" si="14"/>
        <v>1990000_95200</v>
      </c>
      <c r="BG20" t="str">
        <f t="shared" si="14"/>
        <v>1990000_96900</v>
      </c>
      <c r="BH20" t="str">
        <f t="shared" si="14"/>
        <v>1990000_98600</v>
      </c>
      <c r="BI20" t="str">
        <f t="shared" si="14"/>
        <v>1990000_100300</v>
      </c>
      <c r="BJ20" t="str">
        <f t="shared" si="14"/>
        <v>1990000_102000</v>
      </c>
      <c r="BK20" t="str">
        <f t="shared" si="14"/>
        <v>1990000_103700</v>
      </c>
      <c r="BL20" t="str">
        <f t="shared" si="14"/>
        <v>1990000_105400</v>
      </c>
      <c r="BM20" t="str">
        <f t="shared" si="14"/>
        <v>1990000_107100</v>
      </c>
      <c r="BN20" t="str">
        <f t="shared" si="14"/>
        <v>1990000_108800</v>
      </c>
      <c r="BO20" t="str">
        <f t="shared" ref="BO20:BU20" si="15">_xlfn.TEXTJOIN("_",TRUE,$A$2,BO9)</f>
        <v>1990000_110500</v>
      </c>
      <c r="BP20" t="str">
        <f t="shared" si="15"/>
        <v>1990000_112200</v>
      </c>
      <c r="BQ20" t="str">
        <f t="shared" si="15"/>
        <v>1990000_113900</v>
      </c>
      <c r="BR20" t="str">
        <f t="shared" si="15"/>
        <v>1990000_115600</v>
      </c>
      <c r="BS20" t="str">
        <f t="shared" si="15"/>
        <v>1990000_117300</v>
      </c>
      <c r="BT20" t="str">
        <f t="shared" si="15"/>
        <v>1990000_119000</v>
      </c>
      <c r="BU20" t="str">
        <f t="shared" si="15"/>
        <v>1990000_120700</v>
      </c>
    </row>
    <row r="21" spans="3:74">
      <c r="C21" t="str">
        <f t="shared" ref="C21:BN21" si="16">_xlfn.TEXTJOIN("_",TRUE,$A$2,C10)</f>
        <v>1990000_1800</v>
      </c>
      <c r="D21" t="str">
        <f t="shared" si="16"/>
        <v>1990000_3600</v>
      </c>
      <c r="E21" t="str">
        <f t="shared" si="16"/>
        <v>1990000_5400</v>
      </c>
      <c r="F21" t="str">
        <f t="shared" si="16"/>
        <v>1990000_7200</v>
      </c>
      <c r="G21" t="str">
        <f t="shared" si="16"/>
        <v>1990000_9000</v>
      </c>
      <c r="H21" t="str">
        <f t="shared" si="16"/>
        <v>1990000_10800</v>
      </c>
      <c r="I21" t="str">
        <f t="shared" si="16"/>
        <v>1990000_12600</v>
      </c>
      <c r="J21" t="str">
        <f t="shared" si="16"/>
        <v>1990000_14400</v>
      </c>
      <c r="K21" t="str">
        <f t="shared" si="16"/>
        <v>1990000_16200</v>
      </c>
      <c r="L21" t="str">
        <f t="shared" si="16"/>
        <v>1990000_18000</v>
      </c>
      <c r="M21" t="str">
        <f t="shared" si="16"/>
        <v>1990000_19800</v>
      </c>
      <c r="N21" t="str">
        <f t="shared" si="16"/>
        <v>1990000_21600</v>
      </c>
      <c r="O21" t="str">
        <f t="shared" si="16"/>
        <v>1990000_23400</v>
      </c>
      <c r="P21" t="str">
        <f t="shared" si="16"/>
        <v>1990000_25200</v>
      </c>
      <c r="Q21" t="str">
        <f t="shared" si="16"/>
        <v>1990000_27000</v>
      </c>
      <c r="R21" t="str">
        <f t="shared" si="16"/>
        <v>1990000_28800</v>
      </c>
      <c r="S21" t="str">
        <f t="shared" si="16"/>
        <v>1990000_30600</v>
      </c>
      <c r="T21" t="str">
        <f t="shared" si="16"/>
        <v>1990000_32400</v>
      </c>
      <c r="U21" t="str">
        <f t="shared" si="16"/>
        <v>1990000_34200</v>
      </c>
      <c r="V21" t="str">
        <f t="shared" si="16"/>
        <v>1990000_36000</v>
      </c>
      <c r="W21" t="str">
        <f t="shared" si="16"/>
        <v>1990000_37800</v>
      </c>
      <c r="X21" t="str">
        <f t="shared" si="16"/>
        <v>1990000_39600</v>
      </c>
      <c r="Y21" t="str">
        <f t="shared" si="16"/>
        <v>1990000_41400</v>
      </c>
      <c r="Z21" t="str">
        <f t="shared" si="16"/>
        <v>1990000_43200</v>
      </c>
      <c r="AA21" t="str">
        <f t="shared" si="16"/>
        <v>1990000_45000</v>
      </c>
      <c r="AB21" t="str">
        <f t="shared" si="16"/>
        <v>1990000_46800</v>
      </c>
      <c r="AC21" t="str">
        <f t="shared" si="16"/>
        <v>1990000_48600</v>
      </c>
      <c r="AD21" t="str">
        <f t="shared" si="16"/>
        <v>1990000_50400</v>
      </c>
      <c r="AE21" t="str">
        <f t="shared" si="16"/>
        <v>1990000_52200</v>
      </c>
      <c r="AF21" t="str">
        <f t="shared" si="16"/>
        <v>1990000_54000</v>
      </c>
      <c r="AG21" t="str">
        <f t="shared" si="16"/>
        <v>1990000_55800</v>
      </c>
      <c r="AH21" t="str">
        <f t="shared" si="16"/>
        <v>1990000_57600</v>
      </c>
      <c r="AI21" t="str">
        <f t="shared" si="16"/>
        <v>1990000_59400</v>
      </c>
      <c r="AJ21" t="str">
        <f t="shared" si="16"/>
        <v>1990000_61200</v>
      </c>
      <c r="AK21" t="str">
        <f t="shared" si="16"/>
        <v>1990000_63000</v>
      </c>
      <c r="AL21" t="str">
        <f t="shared" si="16"/>
        <v>1990000_64800</v>
      </c>
      <c r="AM21" t="str">
        <f t="shared" si="16"/>
        <v>1990000_66600</v>
      </c>
      <c r="AN21" t="str">
        <f t="shared" si="16"/>
        <v>1990000_68400</v>
      </c>
      <c r="AO21" t="str">
        <f t="shared" si="16"/>
        <v>1990000_70200</v>
      </c>
      <c r="AP21" t="str">
        <f t="shared" si="16"/>
        <v>1990000_72000</v>
      </c>
      <c r="AQ21" t="str">
        <f t="shared" si="16"/>
        <v>1990000_73800</v>
      </c>
      <c r="AR21" t="str">
        <f t="shared" si="16"/>
        <v>1990000_75600</v>
      </c>
      <c r="AS21" t="str">
        <f t="shared" si="16"/>
        <v>1990000_77400</v>
      </c>
      <c r="AT21" t="str">
        <f t="shared" si="16"/>
        <v>1990000_79200</v>
      </c>
      <c r="AU21" t="str">
        <f t="shared" si="16"/>
        <v>1990000_81000</v>
      </c>
      <c r="AV21" t="str">
        <f t="shared" si="16"/>
        <v>1990000_82800</v>
      </c>
      <c r="AW21" t="str">
        <f t="shared" si="16"/>
        <v>1990000_84600</v>
      </c>
      <c r="AX21" t="str">
        <f t="shared" si="16"/>
        <v>1990000_86400</v>
      </c>
      <c r="AY21" t="str">
        <f t="shared" si="16"/>
        <v>1990000_88200</v>
      </c>
      <c r="AZ21" t="str">
        <f t="shared" si="16"/>
        <v>1990000_90000</v>
      </c>
      <c r="BA21" t="str">
        <f t="shared" si="16"/>
        <v>1990000_91800</v>
      </c>
      <c r="BB21" t="str">
        <f t="shared" si="16"/>
        <v>1990000_93600</v>
      </c>
      <c r="BC21" t="str">
        <f t="shared" si="16"/>
        <v>1990000_95400</v>
      </c>
      <c r="BD21" t="str">
        <f t="shared" si="16"/>
        <v>1990000_97200</v>
      </c>
      <c r="BE21" t="str">
        <f t="shared" si="16"/>
        <v>1990000_99000</v>
      </c>
      <c r="BF21" t="str">
        <f t="shared" si="16"/>
        <v>1990000_100800</v>
      </c>
      <c r="BG21" t="str">
        <f t="shared" si="16"/>
        <v>1990000_102600</v>
      </c>
      <c r="BH21" t="str">
        <f t="shared" si="16"/>
        <v>1990000_104400</v>
      </c>
      <c r="BI21" t="str">
        <f t="shared" si="16"/>
        <v>1990000_106200</v>
      </c>
      <c r="BJ21" t="str">
        <f t="shared" si="16"/>
        <v>1990000_108000</v>
      </c>
      <c r="BK21" t="str">
        <f t="shared" si="16"/>
        <v>1990000_109800</v>
      </c>
      <c r="BL21" t="str">
        <f t="shared" si="16"/>
        <v>1990000_111600</v>
      </c>
      <c r="BM21" t="str">
        <f t="shared" si="16"/>
        <v>1990000_113400</v>
      </c>
      <c r="BN21" t="str">
        <f t="shared" si="16"/>
        <v>1990000_115200</v>
      </c>
      <c r="BO21" t="str">
        <f t="shared" ref="BO21:BU21" si="17">_xlfn.TEXTJOIN("_",TRUE,$A$2,BO10)</f>
        <v>1990000_117000</v>
      </c>
      <c r="BP21" t="str">
        <f t="shared" si="17"/>
        <v>1990000_118800</v>
      </c>
      <c r="BQ21" t="str">
        <f t="shared" si="17"/>
        <v>1990000_120600</v>
      </c>
      <c r="BR21" t="str">
        <f t="shared" si="17"/>
        <v>1990000_122400</v>
      </c>
      <c r="BS21" t="str">
        <f t="shared" si="17"/>
        <v>1990000_124200</v>
      </c>
      <c r="BT21" t="str">
        <f t="shared" si="17"/>
        <v>1990000_126000</v>
      </c>
      <c r="BU21" t="str">
        <f t="shared" si="17"/>
        <v>1990000_127800</v>
      </c>
    </row>
    <row r="23" spans="3:74">
      <c r="C23" t="str">
        <f>_xlfn.TEXTJOIN(",",TRUE,C13:C21)</f>
        <v>1990000_1000,1990000_1100,1990000_1200,1990000_1300,1990000_1400,1990000_1500,1990000_1600,1990000_1700,1990000_1800</v>
      </c>
      <c r="D23" t="str">
        <f t="shared" ref="C23:AW23" si="18">_xlfn.TEXTJOIN(",",TRUE,D13:D21)</f>
        <v>1990000_2000,1990000_2200,1990000_2400,1990000_2600,1990000_2800,1990000_3000,1990000_3200,1990000_3400,1990000_3600</v>
      </c>
      <c r="E23" t="str">
        <f t="shared" si="18"/>
        <v>1990000_3000,1990000_3300,1990000_3600,1990000_3900,1990000_4200,1990000_4500,1990000_4800,1990000_5100,1990000_5400</v>
      </c>
      <c r="F23" t="str">
        <f t="shared" si="18"/>
        <v>1990000_4000,1990000_4400,1990000_4800,1990000_5200,1990000_5600,1990000_6000,1990000_6400,1990000_6800,1990000_7200</v>
      </c>
      <c r="G23" t="str">
        <f t="shared" si="18"/>
        <v>1990000_5000,1990000_5500,1990000_6000,1990000_6500,1990000_7000,1990000_7500,1990000_8000,1990000_8500,1990000_9000</v>
      </c>
      <c r="H23" t="str">
        <f t="shared" si="18"/>
        <v>1990000_6000,1990000_6600,1990000_7200,1990000_7800,1990000_8400,1990000_9000,1990000_9600,1990000_10200,1990000_10800</v>
      </c>
      <c r="I23" t="str">
        <f t="shared" si="18"/>
        <v>1990000_7000,1990000_7700,1990000_8400,1990000_9100,1990000_9800,1990000_10500,1990000_11200,1990000_11900,1990000_12600</v>
      </c>
      <c r="J23" t="str">
        <f t="shared" si="18"/>
        <v>1990000_8000,1990000_8800,1990000_9600,1990000_10400,1990000_11200,1990000_12000,1990000_12800,1990000_13600,1990000_14400</v>
      </c>
      <c r="K23" t="str">
        <f t="shared" si="18"/>
        <v>1990000_9000,1990000_9900,1990000_10800,1990000_11700,1990000_12600,1990000_13500,1990000_14400,1990000_15300,1990000_16200</v>
      </c>
      <c r="L23" t="str">
        <f t="shared" si="18"/>
        <v>1990000_10000,1990000_11000,1990000_12000,1990000_13000,1990000_14000,1990000_15000,1990000_16000,1990000_17000,1990000_18000</v>
      </c>
      <c r="M23" t="str">
        <f t="shared" si="18"/>
        <v>1990000_11000,1990000_12100,1990000_13200,1990000_14300,1990000_15400,1990000_16500,1990000_17600,1990000_18700,1990000_19800</v>
      </c>
      <c r="N23" t="str">
        <f t="shared" si="18"/>
        <v>1990000_12000,1990000_13200,1990000_14400,1990000_15600,1990000_16800,1990000_18000,1990000_19200,1990000_20400,1990000_21600</v>
      </c>
      <c r="O23" t="str">
        <f t="shared" si="18"/>
        <v>1990000_13000,1990000_14300,1990000_15600,1990000_16900,1990000_18200,1990000_19500,1990000_20800,1990000_22100,1990000_23400</v>
      </c>
      <c r="P23" t="str">
        <f t="shared" si="18"/>
        <v>1990000_14000,1990000_15400,1990000_16800,1990000_18200,1990000_19600,1990000_21000,1990000_22400,1990000_23800,1990000_25200</v>
      </c>
      <c r="Q23" t="str">
        <f t="shared" si="18"/>
        <v>1990000_15000,1990000_16500,1990000_18000,1990000_19500,1990000_21000,1990000_22500,1990000_24000,1990000_25500,1990000_27000</v>
      </c>
      <c r="R23" t="str">
        <f t="shared" si="18"/>
        <v>1990000_16000,1990000_17600,1990000_19200,1990000_20800,1990000_22400,1990000_24000,1990000_25600,1990000_27200,1990000_28800</v>
      </c>
      <c r="S23" t="str">
        <f t="shared" si="18"/>
        <v>1990000_17000,1990000_18700,1990000_20400,1990000_22100,1990000_23800,1990000_25500,1990000_27200,1990000_28900,1990000_30600</v>
      </c>
      <c r="T23" t="str">
        <f t="shared" si="18"/>
        <v>1990000_18000,1990000_19800,1990000_21600,1990000_23400,1990000_25200,1990000_27000,1990000_28800,1990000_30600,1990000_32400</v>
      </c>
      <c r="U23" t="str">
        <f t="shared" si="18"/>
        <v>1990000_19000,1990000_20900,1990000_22800,1990000_24700,1990000_26600,1990000_28500,1990000_30400,1990000_32300,1990000_34200</v>
      </c>
      <c r="V23" t="str">
        <f t="shared" si="18"/>
        <v>1990000_20000,1990000_22000,1990000_24000,1990000_26000,1990000_28000,1990000_30000,1990000_32000,1990000_34000,1990000_36000</v>
      </c>
      <c r="W23" t="str">
        <f t="shared" si="18"/>
        <v>1990000_21000,1990000_23100,1990000_25200,1990000_27300,1990000_29400,1990000_31500,1990000_33600,1990000_35700,1990000_37800</v>
      </c>
      <c r="X23" t="str">
        <f t="shared" si="18"/>
        <v>1990000_22000,1990000_24200,1990000_26400,1990000_28600,1990000_30800,1990000_33000,1990000_35200,1990000_37400,1990000_39600</v>
      </c>
      <c r="Y23" t="str">
        <f t="shared" si="18"/>
        <v>1990000_23000,1990000_25300,1990000_27600,1990000_29900,1990000_32200,1990000_34500,1990000_36800,1990000_39100,1990000_41400</v>
      </c>
      <c r="Z23" t="str">
        <f t="shared" si="18"/>
        <v>1990000_24000,1990000_26400,1990000_28800,1990000_31200,1990000_33600,1990000_36000,1990000_38400,1990000_40800,1990000_43200</v>
      </c>
      <c r="AA23" t="str">
        <f t="shared" si="18"/>
        <v>1990000_25000,1990000_27500,1990000_30000,1990000_32500,1990000_35000,1990000_37500,1990000_40000,1990000_42500,1990000_45000</v>
      </c>
      <c r="AB23" t="str">
        <f t="shared" si="18"/>
        <v>1990000_26000,1990000_28600,1990000_31200,1990000_33800,1990000_36400,1990000_39000,1990000_41600,1990000_44200,1990000_46800</v>
      </c>
      <c r="AC23" t="str">
        <f t="shared" si="18"/>
        <v>1990000_27000,1990000_29700,1990000_32400,1990000_35100,1990000_37800,1990000_40500,1990000_43200,1990000_45900,1990000_48600</v>
      </c>
      <c r="AD23" t="str">
        <f t="shared" si="18"/>
        <v>1990000_28000,1990000_30800,1990000_33600,1990000_36400,1990000_39200,1990000_42000,1990000_44800,1990000_47600,1990000_50400</v>
      </c>
      <c r="AE23" t="str">
        <f t="shared" si="18"/>
        <v>1990000_29000,1990000_31900,1990000_34800,1990000_37700,1990000_40600,1990000_43500,1990000_46400,1990000_49300,1990000_52200</v>
      </c>
      <c r="AF23" t="str">
        <f t="shared" si="18"/>
        <v>1990000_30000,1990000_33000,1990000_36000,1990000_39000,1990000_42000,1990000_45000,1990000_48000,1990000_51000,1990000_54000</v>
      </c>
      <c r="AG23" t="str">
        <f t="shared" si="18"/>
        <v>1990000_31000,1990000_34100,1990000_37200,1990000_40300,1990000_43400,1990000_46500,1990000_49600,1990000_52700,1990000_55800</v>
      </c>
      <c r="AH23" t="str">
        <f t="shared" si="18"/>
        <v>1990000_32000,1990000_35200,1990000_38400,1990000_41600,1990000_44800,1990000_48000,1990000_51200,1990000_54400,1990000_57600</v>
      </c>
      <c r="AI23" t="str">
        <f t="shared" si="18"/>
        <v>1990000_33000,1990000_36300,1990000_39600,1990000_42900,1990000_46200,1990000_49500,1990000_52800,1990000_56100,1990000_59400</v>
      </c>
      <c r="AJ23" t="str">
        <f t="shared" si="18"/>
        <v>1990000_34000,1990000_37400,1990000_40800,1990000_44200,1990000_47600,1990000_51000,1990000_54400,1990000_57800,1990000_61200</v>
      </c>
      <c r="AK23" t="str">
        <f t="shared" si="18"/>
        <v>1990000_35000,1990000_38500,1990000_42000,1990000_45500,1990000_49000,1990000_52500,1990000_56000,1990000_59500,1990000_63000</v>
      </c>
      <c r="AL23" t="str">
        <f t="shared" si="18"/>
        <v>1990000_36000,1990000_39600,1990000_43200,1990000_46800,1990000_50400,1990000_54000,1990000_57600,1990000_61200,1990000_64800</v>
      </c>
      <c r="AM23" t="str">
        <f t="shared" si="18"/>
        <v>1990000_37000,1990000_40700,1990000_44400,1990000_48100,1990000_51800,1990000_55500,1990000_59200,1990000_62900,1990000_66600</v>
      </c>
      <c r="AN23" t="str">
        <f t="shared" si="18"/>
        <v>1990000_38000,1990000_41800,1990000_45600,1990000_49400,1990000_53200,1990000_57000,1990000_60800,1990000_64600,1990000_68400</v>
      </c>
      <c r="AO23" t="str">
        <f t="shared" si="18"/>
        <v>1990000_39000,1990000_42900,1990000_46800,1990000_50700,1990000_54600,1990000_58500,1990000_62400,1990000_66300,1990000_70200</v>
      </c>
      <c r="AP23" t="str">
        <f t="shared" si="18"/>
        <v>1990000_40000,1990000_44000,1990000_48000,1990000_52000,1990000_56000,1990000_60000,1990000_64000,1990000_68000,1990000_72000</v>
      </c>
      <c r="AQ23" t="str">
        <f t="shared" si="18"/>
        <v>1990000_41000,1990000_45100,1990000_49200,1990000_53300,1990000_57400,1990000_61500,1990000_65600,1990000_69700,1990000_73800</v>
      </c>
      <c r="AR23" t="str">
        <f t="shared" si="18"/>
        <v>1990000_42000,1990000_46200,1990000_50400,1990000_54600,1990000_58800,1990000_63000,1990000_67200,1990000_71400,1990000_75600</v>
      </c>
      <c r="AS23" t="str">
        <f t="shared" si="18"/>
        <v>1990000_43000,1990000_47300,1990000_51600,1990000_55900,1990000_60200,1990000_64500,1990000_68800,1990000_73100,1990000_77400</v>
      </c>
      <c r="AT23" t="str">
        <f t="shared" si="18"/>
        <v>1990000_44000,1990000_48400,1990000_52800,1990000_57200,1990000_61600,1990000_66000,1990000_70400,1990000_74800,1990000_79200</v>
      </c>
      <c r="AU23" t="str">
        <f t="shared" si="18"/>
        <v>1990000_45000,1990000_49500,1990000_54000,1990000_58500,1990000_63000,1990000_67500,1990000_72000,1990000_76500,1990000_81000</v>
      </c>
      <c r="AV23" t="str">
        <f t="shared" si="18"/>
        <v>1990000_46000,1990000_50600,1990000_55200,1990000_59800,1990000_64400,1990000_69000,1990000_73600,1990000_78200,1990000_82800</v>
      </c>
      <c r="AW23" t="str">
        <f t="shared" si="18"/>
        <v>1990000_47000,1990000_51700,1990000_56400,1990000_61100,1990000_65800,1990000_70500,1990000_75200,1990000_79900,1990000_84600</v>
      </c>
      <c r="AX23" t="str">
        <f t="shared" ref="AX23:BN23" si="19">_xlfn.TEXTJOIN(",",TRUE,AX13:AX21)</f>
        <v>1990000_48000,1990000_52800,1990000_57600,1990000_62400,1990000_67200,1990000_72000,1990000_76800,1990000_81600,1990000_86400</v>
      </c>
      <c r="AY23" t="str">
        <f t="shared" si="19"/>
        <v>1990000_49000,1990000_53900,1990000_58800,1990000_63700,1990000_68600,1990000_73500,1990000_78400,1990000_83300,1990000_88200</v>
      </c>
      <c r="AZ23" t="str">
        <f t="shared" si="19"/>
        <v>1990000_50000,1990000_55000,1990000_60000,1990000_65000,1990000_70000,1990000_75000,1990000_80000,1990000_85000,1990000_90000</v>
      </c>
      <c r="BA23" t="str">
        <f t="shared" si="19"/>
        <v>1990000_51000,1990000_56100,1990000_61200,1990000_66300,1990000_71400,1990000_76500,1990000_81600,1990000_86700,1990000_91800</v>
      </c>
      <c r="BB23" t="str">
        <f t="shared" si="19"/>
        <v>1990000_52000,1990000_57200,1990000_62400,1990000_67600,1990000_72800,1990000_78000,1990000_83200,1990000_88400,1990000_93600</v>
      </c>
      <c r="BC23" t="str">
        <f t="shared" si="19"/>
        <v>1990000_53000,1990000_58300,1990000_63600,1990000_68900,1990000_74200,1990000_79500,1990000_84800,1990000_90100,1990000_95400</v>
      </c>
      <c r="BD23" t="str">
        <f t="shared" si="19"/>
        <v>1990000_54000,1990000_59400,1990000_64800,1990000_70200,1990000_75600,1990000_81000,1990000_86400,1990000_91800,1990000_97200</v>
      </c>
      <c r="BE23" t="str">
        <f t="shared" si="19"/>
        <v>1990000_55000,1990000_60500,1990000_66000,1990000_71500,1990000_77000,1990000_82500,1990000_88000,1990000_93500,1990000_99000</v>
      </c>
      <c r="BF23" t="str">
        <f t="shared" si="19"/>
        <v>1990000_56000,1990000_61600,1990000_67200,1990000_72800,1990000_78400,1990000_84000,1990000_89600,1990000_95200,1990000_100800</v>
      </c>
      <c r="BG23" t="str">
        <f t="shared" si="19"/>
        <v>1990000_57000,1990000_62700,1990000_68400,1990000_74100,1990000_79800,1990000_85500,1990000_91200,1990000_96900,1990000_102600</v>
      </c>
      <c r="BH23" t="str">
        <f t="shared" si="19"/>
        <v>1990000_58000,1990000_63800,1990000_69600,1990000_75400,1990000_81200,1990000_87000,1990000_92800,1990000_98600,1990000_104400</v>
      </c>
      <c r="BI23" t="str">
        <f t="shared" si="19"/>
        <v>1990000_59000,1990000_64900,1990000_70800,1990000_76700,1990000_82600,1990000_88500,1990000_94400,1990000_100300,1990000_106200</v>
      </c>
      <c r="BJ23" t="str">
        <f t="shared" si="19"/>
        <v>1990000_60000,1990000_66000,1990000_72000,1990000_78000,1990000_84000,1990000_90000,1990000_96000,1990000_102000,1990000_108000</v>
      </c>
      <c r="BK23" t="str">
        <f t="shared" si="19"/>
        <v>1990000_61000,1990000_67100,1990000_73200,1990000_79300,1990000_85400,1990000_91500,1990000_97600,1990000_103700,1990000_109800</v>
      </c>
      <c r="BL23" t="str">
        <f t="shared" si="19"/>
        <v>1990000_62000,1990000_68200,1990000_74400,1990000_80600,1990000_86800,1990000_93000,1990000_99200,1990000_105400,1990000_111600</v>
      </c>
      <c r="BM23" t="str">
        <f t="shared" si="19"/>
        <v>1990000_63000,1990000_69300,1990000_75600,1990000_81900,1990000_88200,1990000_94500,1990000_100800,1990000_107100,1990000_113400</v>
      </c>
      <c r="BN23" t="str">
        <f t="shared" si="19"/>
        <v>1990000_64000,1990000_70400,1990000_76800,1990000_83200,1990000_89600,1990000_96000,1990000_102400,1990000_108800,1990000_115200</v>
      </c>
      <c r="BO23" t="str">
        <f t="shared" ref="BO23:BV23" si="20">_xlfn.TEXTJOIN(",",TRUE,BO13:BO21)</f>
        <v>1990000_65000,1990000_71500,1990000_78000,1990000_84500,1990000_91000,1990000_97500,1990000_104000,1990000_110500,1990000_117000</v>
      </c>
      <c r="BP23" t="str">
        <f t="shared" si="20"/>
        <v>1990000_66000,1990000_72600,1990000_79200,1990000_85800,1990000_92400,1990000_99000,1990000_105600,1990000_112200,1990000_118800</v>
      </c>
      <c r="BQ23" t="str">
        <f t="shared" si="20"/>
        <v>1990000_67000,1990000_73700,1990000_80400,1990000_87100,1990000_93800,1990000_100500,1990000_107200,1990000_113900,1990000_120600</v>
      </c>
      <c r="BR23" t="str">
        <f t="shared" si="20"/>
        <v>1990000_68000,1990000_74800,1990000_81600,1990000_88400,1990000_95200,1990000_102000,1990000_108800,1990000_115600,1990000_122400</v>
      </c>
      <c r="BS23" t="str">
        <f t="shared" si="20"/>
        <v>1990000_69000,1990000_75900,1990000_82800,1990000_89700,1990000_96600,1990000_103500,1990000_110400,1990000_117300,1990000_124200</v>
      </c>
      <c r="BT23" t="str">
        <f t="shared" si="20"/>
        <v>1990000_70000,1990000_77000,1990000_84000,1990000_91000,1990000_98000,1990000_105000,1990000_112000,1990000_119000,1990000_126000</v>
      </c>
      <c r="BU23" t="str">
        <f t="shared" si="20"/>
        <v>1990000_71000,1990000_78100,1990000_85200,1990000_92300,1990000_99400,1990000_106500,1990000_113600,1990000_120700,1990000_127800</v>
      </c>
      <c r="BV23" t="str">
        <f t="shared" si="20"/>
        <v/>
      </c>
    </row>
    <row r="27" spans="3:74">
      <c r="C27" t="s">
        <v>782</v>
      </c>
    </row>
    <row r="28" spans="3:74">
      <c r="C28">
        <v>2000</v>
      </c>
      <c r="D28">
        <v>4000</v>
      </c>
      <c r="E28">
        <v>6000</v>
      </c>
      <c r="F28">
        <v>8000</v>
      </c>
      <c r="G28">
        <v>10000</v>
      </c>
      <c r="H28">
        <v>12000</v>
      </c>
      <c r="I28">
        <v>14000</v>
      </c>
      <c r="J28">
        <v>16000</v>
      </c>
      <c r="K28">
        <v>18000</v>
      </c>
      <c r="L28">
        <v>20000</v>
      </c>
      <c r="M28">
        <v>22000</v>
      </c>
      <c r="N28">
        <v>24000</v>
      </c>
      <c r="O28">
        <v>26000</v>
      </c>
      <c r="P28">
        <v>28000</v>
      </c>
      <c r="Q28">
        <v>30000</v>
      </c>
      <c r="R28">
        <v>32000</v>
      </c>
      <c r="S28">
        <v>34000</v>
      </c>
      <c r="T28">
        <v>36000</v>
      </c>
      <c r="U28">
        <v>38000</v>
      </c>
      <c r="V28">
        <v>40000</v>
      </c>
      <c r="W28">
        <v>42000</v>
      </c>
      <c r="X28">
        <v>44000</v>
      </c>
      <c r="Y28">
        <v>46000</v>
      </c>
      <c r="Z28">
        <v>48000</v>
      </c>
      <c r="AA28">
        <v>50000</v>
      </c>
      <c r="AB28">
        <v>52000</v>
      </c>
      <c r="AC28">
        <v>54000</v>
      </c>
      <c r="AD28">
        <v>56000</v>
      </c>
      <c r="AE28">
        <v>58000</v>
      </c>
      <c r="AF28">
        <v>60000</v>
      </c>
      <c r="AG28">
        <v>62000</v>
      </c>
      <c r="AH28">
        <v>64000</v>
      </c>
      <c r="AI28">
        <v>66000</v>
      </c>
      <c r="AJ28">
        <v>68000</v>
      </c>
      <c r="AK28">
        <v>70000</v>
      </c>
      <c r="AL28">
        <v>72000</v>
      </c>
      <c r="AM28">
        <v>74000</v>
      </c>
      <c r="AN28">
        <v>76000</v>
      </c>
      <c r="AO28">
        <v>78000</v>
      </c>
      <c r="AP28">
        <v>80000</v>
      </c>
      <c r="AQ28">
        <v>82000</v>
      </c>
      <c r="AR28">
        <v>84000</v>
      </c>
      <c r="AS28">
        <v>86000</v>
      </c>
      <c r="AT28">
        <v>88000</v>
      </c>
      <c r="AU28">
        <v>90000</v>
      </c>
      <c r="AV28">
        <v>92000</v>
      </c>
      <c r="AW28">
        <v>94000</v>
      </c>
      <c r="AX28">
        <v>96000</v>
      </c>
      <c r="AY28">
        <v>98000</v>
      </c>
      <c r="AZ28">
        <v>100000</v>
      </c>
      <c r="BA28">
        <v>102000</v>
      </c>
      <c r="BB28">
        <v>104000</v>
      </c>
      <c r="BC28">
        <v>106000</v>
      </c>
      <c r="BD28">
        <v>108000</v>
      </c>
      <c r="BE28">
        <v>110000</v>
      </c>
      <c r="BF28">
        <v>112000</v>
      </c>
      <c r="BG28">
        <v>114000</v>
      </c>
      <c r="BH28">
        <v>116000</v>
      </c>
      <c r="BI28">
        <v>118000</v>
      </c>
      <c r="BJ28">
        <v>120000</v>
      </c>
      <c r="BK28">
        <v>122000</v>
      </c>
      <c r="BL28">
        <v>124000</v>
      </c>
    </row>
    <row r="29" spans="3:74">
      <c r="C29">
        <v>2200</v>
      </c>
      <c r="D29">
        <v>4400</v>
      </c>
      <c r="E29">
        <v>6600</v>
      </c>
      <c r="F29">
        <v>8800</v>
      </c>
      <c r="G29">
        <v>11000</v>
      </c>
      <c r="H29">
        <v>13200</v>
      </c>
      <c r="I29">
        <v>15400</v>
      </c>
      <c r="J29">
        <v>17600</v>
      </c>
      <c r="K29">
        <v>19800</v>
      </c>
      <c r="L29">
        <v>22000</v>
      </c>
      <c r="M29">
        <v>24200</v>
      </c>
      <c r="N29">
        <v>26400</v>
      </c>
      <c r="O29">
        <v>28600</v>
      </c>
      <c r="P29">
        <v>30800</v>
      </c>
      <c r="Q29">
        <v>33000</v>
      </c>
      <c r="R29">
        <v>35200</v>
      </c>
      <c r="S29">
        <v>37400</v>
      </c>
      <c r="T29">
        <v>39600</v>
      </c>
      <c r="U29">
        <v>41800</v>
      </c>
      <c r="V29">
        <v>44000</v>
      </c>
      <c r="W29">
        <v>46200</v>
      </c>
      <c r="X29">
        <v>48400</v>
      </c>
      <c r="Y29">
        <v>50600</v>
      </c>
      <c r="Z29">
        <v>52800</v>
      </c>
      <c r="AA29">
        <v>55000</v>
      </c>
      <c r="AB29">
        <v>57200</v>
      </c>
      <c r="AC29">
        <v>59400</v>
      </c>
      <c r="AD29">
        <v>61600</v>
      </c>
      <c r="AE29">
        <v>63800</v>
      </c>
      <c r="AF29">
        <v>66000</v>
      </c>
      <c r="AG29">
        <v>68200</v>
      </c>
      <c r="AH29">
        <v>70400</v>
      </c>
      <c r="AI29">
        <v>72600</v>
      </c>
      <c r="AJ29">
        <v>74800</v>
      </c>
      <c r="AK29">
        <v>77000</v>
      </c>
      <c r="AL29">
        <v>79200</v>
      </c>
      <c r="AM29">
        <v>81400</v>
      </c>
      <c r="AN29">
        <v>83600</v>
      </c>
      <c r="AO29">
        <v>85800</v>
      </c>
      <c r="AP29">
        <v>88000</v>
      </c>
      <c r="AQ29">
        <v>90200</v>
      </c>
      <c r="AR29">
        <v>92400</v>
      </c>
      <c r="AS29">
        <v>94600</v>
      </c>
      <c r="AT29">
        <v>96800</v>
      </c>
      <c r="AU29">
        <v>99000</v>
      </c>
      <c r="AV29">
        <v>101200</v>
      </c>
      <c r="AW29">
        <v>103400</v>
      </c>
      <c r="AX29">
        <v>105600</v>
      </c>
      <c r="AY29">
        <v>107800</v>
      </c>
      <c r="AZ29">
        <v>110000</v>
      </c>
      <c r="BA29">
        <v>112200</v>
      </c>
      <c r="BB29">
        <v>114400</v>
      </c>
      <c r="BC29">
        <v>116600</v>
      </c>
      <c r="BD29">
        <v>118800</v>
      </c>
      <c r="BE29">
        <v>121000</v>
      </c>
      <c r="BF29">
        <v>123200</v>
      </c>
      <c r="BG29">
        <v>125400</v>
      </c>
      <c r="BH29">
        <v>127600</v>
      </c>
      <c r="BI29">
        <v>129800</v>
      </c>
      <c r="BJ29">
        <v>132000</v>
      </c>
      <c r="BK29">
        <v>134200</v>
      </c>
      <c r="BL29">
        <v>136400</v>
      </c>
    </row>
    <row r="30" spans="3:74">
      <c r="C30">
        <v>2400</v>
      </c>
      <c r="D30">
        <v>4800</v>
      </c>
      <c r="E30">
        <v>7200</v>
      </c>
      <c r="F30">
        <v>9600</v>
      </c>
      <c r="G30">
        <v>12000</v>
      </c>
      <c r="H30">
        <v>14400</v>
      </c>
      <c r="I30">
        <v>16800</v>
      </c>
      <c r="J30">
        <v>19200</v>
      </c>
      <c r="K30">
        <v>21600</v>
      </c>
      <c r="L30">
        <v>24000</v>
      </c>
      <c r="M30">
        <v>26400</v>
      </c>
      <c r="N30">
        <v>28800</v>
      </c>
      <c r="O30">
        <v>31200</v>
      </c>
      <c r="P30">
        <v>33600</v>
      </c>
      <c r="Q30">
        <v>36000</v>
      </c>
      <c r="R30">
        <v>38400</v>
      </c>
      <c r="S30">
        <v>40800</v>
      </c>
      <c r="T30">
        <v>43200</v>
      </c>
      <c r="U30">
        <v>45600</v>
      </c>
      <c r="V30">
        <v>48000</v>
      </c>
      <c r="W30">
        <v>50400</v>
      </c>
      <c r="X30">
        <v>52800</v>
      </c>
      <c r="Y30">
        <v>55200</v>
      </c>
      <c r="Z30">
        <v>57600</v>
      </c>
      <c r="AA30">
        <v>60000</v>
      </c>
      <c r="AB30">
        <v>62400</v>
      </c>
      <c r="AC30">
        <v>64800</v>
      </c>
      <c r="AD30">
        <v>67200</v>
      </c>
      <c r="AE30">
        <v>69600</v>
      </c>
      <c r="AF30">
        <v>72000</v>
      </c>
      <c r="AG30">
        <v>74400</v>
      </c>
      <c r="AH30">
        <v>76800</v>
      </c>
      <c r="AI30">
        <v>79200</v>
      </c>
      <c r="AJ30">
        <v>81600</v>
      </c>
      <c r="AK30">
        <v>84000</v>
      </c>
      <c r="AL30">
        <v>86400</v>
      </c>
      <c r="AM30">
        <v>88800</v>
      </c>
      <c r="AN30">
        <v>91200</v>
      </c>
      <c r="AO30">
        <v>93600</v>
      </c>
      <c r="AP30">
        <v>96000</v>
      </c>
      <c r="AQ30">
        <v>98400</v>
      </c>
      <c r="AR30">
        <v>100800</v>
      </c>
      <c r="AS30">
        <v>103200</v>
      </c>
      <c r="AT30">
        <v>105600</v>
      </c>
      <c r="AU30">
        <v>108000</v>
      </c>
      <c r="AV30">
        <v>110400</v>
      </c>
      <c r="AW30">
        <v>112800</v>
      </c>
      <c r="AX30">
        <v>115200</v>
      </c>
      <c r="AY30">
        <v>117600</v>
      </c>
      <c r="AZ30">
        <v>120000</v>
      </c>
      <c r="BA30">
        <v>122400</v>
      </c>
      <c r="BB30">
        <v>124800</v>
      </c>
      <c r="BC30">
        <v>127200</v>
      </c>
      <c r="BD30">
        <v>129600</v>
      </c>
      <c r="BE30">
        <v>132000</v>
      </c>
      <c r="BF30">
        <v>134400</v>
      </c>
      <c r="BG30">
        <v>136800</v>
      </c>
      <c r="BH30">
        <v>139200</v>
      </c>
      <c r="BI30">
        <v>141600</v>
      </c>
      <c r="BJ30">
        <v>144000</v>
      </c>
      <c r="BK30">
        <v>146400</v>
      </c>
      <c r="BL30">
        <v>148800</v>
      </c>
    </row>
    <row r="31" spans="3:74">
      <c r="C31">
        <v>2600</v>
      </c>
      <c r="D31">
        <v>5200</v>
      </c>
      <c r="E31">
        <v>7800</v>
      </c>
      <c r="F31">
        <v>10400</v>
      </c>
      <c r="G31">
        <v>13000</v>
      </c>
      <c r="H31">
        <v>15600</v>
      </c>
      <c r="I31">
        <v>18200</v>
      </c>
      <c r="J31">
        <v>20800</v>
      </c>
      <c r="K31">
        <v>23400</v>
      </c>
      <c r="L31">
        <v>26000</v>
      </c>
      <c r="M31">
        <v>28600</v>
      </c>
      <c r="N31">
        <v>31200</v>
      </c>
      <c r="O31">
        <v>33800</v>
      </c>
      <c r="P31">
        <v>36400</v>
      </c>
      <c r="Q31">
        <v>39000</v>
      </c>
      <c r="R31">
        <v>41600</v>
      </c>
      <c r="S31">
        <v>44200</v>
      </c>
      <c r="T31">
        <v>46800</v>
      </c>
      <c r="U31">
        <v>49400</v>
      </c>
      <c r="V31">
        <v>52000</v>
      </c>
      <c r="W31">
        <v>54600</v>
      </c>
      <c r="X31">
        <v>57200</v>
      </c>
      <c r="Y31">
        <v>59800</v>
      </c>
      <c r="Z31">
        <v>62400</v>
      </c>
      <c r="AA31">
        <v>65000</v>
      </c>
      <c r="AB31">
        <v>67600</v>
      </c>
      <c r="AC31">
        <v>70200</v>
      </c>
      <c r="AD31">
        <v>72800</v>
      </c>
      <c r="AE31">
        <v>75400</v>
      </c>
      <c r="AF31">
        <v>78000</v>
      </c>
      <c r="AG31">
        <v>80600</v>
      </c>
      <c r="AH31">
        <v>83200</v>
      </c>
      <c r="AI31">
        <v>85800</v>
      </c>
      <c r="AJ31">
        <v>88400</v>
      </c>
      <c r="AK31">
        <v>91000</v>
      </c>
      <c r="AL31">
        <v>93600</v>
      </c>
      <c r="AM31">
        <v>96200</v>
      </c>
      <c r="AN31">
        <v>98800</v>
      </c>
      <c r="AO31">
        <v>101400</v>
      </c>
      <c r="AP31">
        <v>104000</v>
      </c>
      <c r="AQ31">
        <v>106600</v>
      </c>
      <c r="AR31">
        <v>109200</v>
      </c>
      <c r="AS31">
        <v>111800</v>
      </c>
      <c r="AT31">
        <v>114400</v>
      </c>
      <c r="AU31">
        <v>117000</v>
      </c>
      <c r="AV31">
        <v>119600</v>
      </c>
      <c r="AW31">
        <v>122200</v>
      </c>
      <c r="AX31">
        <v>124800</v>
      </c>
      <c r="AY31">
        <v>127400</v>
      </c>
      <c r="AZ31">
        <v>130000</v>
      </c>
      <c r="BA31">
        <v>132600</v>
      </c>
      <c r="BB31">
        <v>135200</v>
      </c>
      <c r="BC31">
        <v>137800</v>
      </c>
      <c r="BD31">
        <v>140400</v>
      </c>
      <c r="BE31">
        <v>143000</v>
      </c>
      <c r="BF31">
        <v>145600</v>
      </c>
      <c r="BG31">
        <v>148200</v>
      </c>
      <c r="BH31">
        <v>150800</v>
      </c>
      <c r="BI31">
        <v>153400</v>
      </c>
      <c r="BJ31">
        <v>156000</v>
      </c>
      <c r="BK31">
        <v>158600</v>
      </c>
      <c r="BL31">
        <v>161200</v>
      </c>
    </row>
    <row r="32" spans="3:74">
      <c r="C32">
        <v>2800</v>
      </c>
      <c r="D32">
        <v>5600</v>
      </c>
      <c r="E32">
        <v>8400</v>
      </c>
      <c r="F32">
        <v>11200</v>
      </c>
      <c r="G32">
        <v>14000</v>
      </c>
      <c r="H32">
        <v>16800</v>
      </c>
      <c r="I32">
        <v>19600</v>
      </c>
      <c r="J32">
        <v>22400</v>
      </c>
      <c r="K32">
        <v>25200</v>
      </c>
      <c r="L32">
        <v>28000</v>
      </c>
      <c r="M32">
        <v>30800</v>
      </c>
      <c r="N32">
        <v>33600</v>
      </c>
      <c r="O32">
        <v>36400</v>
      </c>
      <c r="P32">
        <v>39200</v>
      </c>
      <c r="Q32">
        <v>42000</v>
      </c>
      <c r="R32">
        <v>44800</v>
      </c>
      <c r="S32">
        <v>47600</v>
      </c>
      <c r="T32">
        <v>50400</v>
      </c>
      <c r="U32">
        <v>53200</v>
      </c>
      <c r="V32">
        <v>56000</v>
      </c>
      <c r="W32">
        <v>58800</v>
      </c>
      <c r="X32">
        <v>61600</v>
      </c>
      <c r="Y32">
        <v>64400</v>
      </c>
      <c r="Z32">
        <v>67200</v>
      </c>
      <c r="AA32">
        <v>70000</v>
      </c>
      <c r="AB32">
        <v>72800</v>
      </c>
      <c r="AC32">
        <v>75600</v>
      </c>
      <c r="AD32">
        <v>78400</v>
      </c>
      <c r="AE32">
        <v>81200</v>
      </c>
      <c r="AF32">
        <v>84000</v>
      </c>
      <c r="AG32">
        <v>86800</v>
      </c>
      <c r="AH32">
        <v>89600</v>
      </c>
      <c r="AI32">
        <v>92400</v>
      </c>
      <c r="AJ32">
        <v>95200</v>
      </c>
      <c r="AK32">
        <v>98000</v>
      </c>
      <c r="AL32">
        <v>100800</v>
      </c>
      <c r="AM32">
        <v>103600</v>
      </c>
      <c r="AN32">
        <v>106400</v>
      </c>
      <c r="AO32">
        <v>109200</v>
      </c>
      <c r="AP32">
        <v>112000</v>
      </c>
      <c r="AQ32">
        <v>114800</v>
      </c>
      <c r="AR32">
        <v>117600</v>
      </c>
      <c r="AS32">
        <v>120400</v>
      </c>
      <c r="AT32">
        <v>123200</v>
      </c>
      <c r="AU32">
        <v>126000</v>
      </c>
      <c r="AV32">
        <v>128800</v>
      </c>
      <c r="AW32">
        <v>131600</v>
      </c>
      <c r="AX32">
        <v>134400</v>
      </c>
      <c r="AY32">
        <v>137200</v>
      </c>
      <c r="AZ32">
        <v>140000</v>
      </c>
      <c r="BA32">
        <v>142800</v>
      </c>
      <c r="BB32">
        <v>145600</v>
      </c>
      <c r="BC32">
        <v>148400</v>
      </c>
      <c r="BD32">
        <v>151200</v>
      </c>
      <c r="BE32">
        <v>154000</v>
      </c>
      <c r="BF32">
        <v>156800</v>
      </c>
      <c r="BG32">
        <v>159600</v>
      </c>
      <c r="BH32">
        <v>162400</v>
      </c>
      <c r="BI32">
        <v>165200</v>
      </c>
      <c r="BJ32">
        <v>168000</v>
      </c>
      <c r="BK32">
        <v>170800</v>
      </c>
      <c r="BL32">
        <v>173600</v>
      </c>
    </row>
    <row r="33" spans="3:64">
      <c r="C33">
        <v>3000</v>
      </c>
      <c r="D33">
        <v>6000</v>
      </c>
      <c r="E33">
        <v>9000</v>
      </c>
      <c r="F33">
        <v>12000</v>
      </c>
      <c r="G33">
        <v>15000</v>
      </c>
      <c r="H33">
        <v>18000</v>
      </c>
      <c r="I33">
        <v>21000</v>
      </c>
      <c r="J33">
        <v>24000</v>
      </c>
      <c r="K33">
        <v>27000</v>
      </c>
      <c r="L33">
        <v>30000</v>
      </c>
      <c r="M33">
        <v>33000</v>
      </c>
      <c r="N33">
        <v>36000</v>
      </c>
      <c r="O33">
        <v>39000</v>
      </c>
      <c r="P33">
        <v>42000</v>
      </c>
      <c r="Q33">
        <v>45000</v>
      </c>
      <c r="R33">
        <v>48000</v>
      </c>
      <c r="S33">
        <v>51000</v>
      </c>
      <c r="T33">
        <v>54000</v>
      </c>
      <c r="U33">
        <v>57000</v>
      </c>
      <c r="V33">
        <v>60000</v>
      </c>
      <c r="W33">
        <v>63000</v>
      </c>
      <c r="X33">
        <v>66000</v>
      </c>
      <c r="Y33">
        <v>69000</v>
      </c>
      <c r="Z33">
        <v>72000</v>
      </c>
      <c r="AA33">
        <v>75000</v>
      </c>
      <c r="AB33">
        <v>78000</v>
      </c>
      <c r="AC33">
        <v>81000</v>
      </c>
      <c r="AD33">
        <v>84000</v>
      </c>
      <c r="AE33">
        <v>87000</v>
      </c>
      <c r="AF33">
        <v>90000</v>
      </c>
      <c r="AG33">
        <v>93000</v>
      </c>
      <c r="AH33">
        <v>96000</v>
      </c>
      <c r="AI33">
        <v>99000</v>
      </c>
      <c r="AJ33">
        <v>102000</v>
      </c>
      <c r="AK33">
        <v>105000</v>
      </c>
      <c r="AL33">
        <v>108000</v>
      </c>
      <c r="AM33">
        <v>111000</v>
      </c>
      <c r="AN33">
        <v>114000</v>
      </c>
      <c r="AO33">
        <v>117000</v>
      </c>
      <c r="AP33">
        <v>120000</v>
      </c>
      <c r="AQ33">
        <v>123000</v>
      </c>
      <c r="AR33">
        <v>126000</v>
      </c>
      <c r="AS33">
        <v>129000</v>
      </c>
      <c r="AT33">
        <v>132000</v>
      </c>
      <c r="AU33">
        <v>135000</v>
      </c>
      <c r="AV33">
        <v>138000</v>
      </c>
      <c r="AW33">
        <v>141000</v>
      </c>
      <c r="AX33">
        <v>144000</v>
      </c>
      <c r="AY33">
        <v>147000</v>
      </c>
      <c r="AZ33">
        <v>150000</v>
      </c>
      <c r="BA33">
        <v>153000</v>
      </c>
      <c r="BB33">
        <v>156000</v>
      </c>
      <c r="BC33">
        <v>159000</v>
      </c>
      <c r="BD33">
        <v>162000</v>
      </c>
      <c r="BE33">
        <v>165000</v>
      </c>
      <c r="BF33">
        <v>168000</v>
      </c>
      <c r="BG33">
        <v>171000</v>
      </c>
      <c r="BH33">
        <v>174000</v>
      </c>
      <c r="BI33">
        <v>177000</v>
      </c>
      <c r="BJ33">
        <v>180000</v>
      </c>
      <c r="BK33">
        <v>183000</v>
      </c>
      <c r="BL33">
        <v>186000</v>
      </c>
    </row>
    <row r="34" spans="3:64">
      <c r="C34">
        <v>3200</v>
      </c>
      <c r="D34">
        <v>6400</v>
      </c>
      <c r="E34">
        <v>9600</v>
      </c>
      <c r="F34">
        <v>12800</v>
      </c>
      <c r="G34">
        <v>16000</v>
      </c>
      <c r="H34">
        <v>19200</v>
      </c>
      <c r="I34">
        <v>22400</v>
      </c>
      <c r="J34">
        <v>25600</v>
      </c>
      <c r="K34">
        <v>28800</v>
      </c>
      <c r="L34">
        <v>32000</v>
      </c>
      <c r="M34">
        <v>35200</v>
      </c>
      <c r="N34">
        <v>38400</v>
      </c>
      <c r="O34">
        <v>41600</v>
      </c>
      <c r="P34">
        <v>44800</v>
      </c>
      <c r="Q34">
        <v>48000</v>
      </c>
      <c r="R34">
        <v>51200</v>
      </c>
      <c r="S34">
        <v>54400</v>
      </c>
      <c r="T34">
        <v>57600</v>
      </c>
      <c r="U34">
        <v>60800</v>
      </c>
      <c r="V34">
        <v>64000</v>
      </c>
      <c r="W34">
        <v>67200</v>
      </c>
      <c r="X34">
        <v>70400</v>
      </c>
      <c r="Y34">
        <v>73600</v>
      </c>
      <c r="Z34">
        <v>76800</v>
      </c>
      <c r="AA34">
        <v>80000</v>
      </c>
      <c r="AB34">
        <v>83200</v>
      </c>
      <c r="AC34">
        <v>86400</v>
      </c>
      <c r="AD34">
        <v>89600</v>
      </c>
      <c r="AE34">
        <v>92800</v>
      </c>
      <c r="AF34">
        <v>96000</v>
      </c>
      <c r="AG34">
        <v>99200</v>
      </c>
      <c r="AH34">
        <v>102400</v>
      </c>
      <c r="AI34">
        <v>105600</v>
      </c>
      <c r="AJ34">
        <v>108800</v>
      </c>
      <c r="AK34">
        <v>112000</v>
      </c>
      <c r="AL34">
        <v>115200</v>
      </c>
      <c r="AM34">
        <v>118400</v>
      </c>
      <c r="AN34">
        <v>121600</v>
      </c>
      <c r="AO34">
        <v>124800</v>
      </c>
      <c r="AP34">
        <v>128000</v>
      </c>
      <c r="AQ34">
        <v>131200</v>
      </c>
      <c r="AR34">
        <v>134400</v>
      </c>
      <c r="AS34">
        <v>137600</v>
      </c>
      <c r="AT34">
        <v>140800</v>
      </c>
      <c r="AU34">
        <v>144000</v>
      </c>
      <c r="AV34">
        <v>147200</v>
      </c>
      <c r="AW34">
        <v>150400</v>
      </c>
      <c r="AX34">
        <v>153600</v>
      </c>
      <c r="AY34">
        <v>156800</v>
      </c>
      <c r="AZ34">
        <v>160000</v>
      </c>
      <c r="BA34">
        <v>163200</v>
      </c>
      <c r="BB34">
        <v>166400</v>
      </c>
      <c r="BC34">
        <v>169600</v>
      </c>
      <c r="BD34">
        <v>172800</v>
      </c>
      <c r="BE34">
        <v>176000</v>
      </c>
      <c r="BF34">
        <v>179200</v>
      </c>
      <c r="BG34">
        <v>182400</v>
      </c>
      <c r="BH34">
        <v>185600</v>
      </c>
      <c r="BI34">
        <v>188800</v>
      </c>
      <c r="BJ34">
        <v>192000</v>
      </c>
      <c r="BK34">
        <v>195200</v>
      </c>
      <c r="BL34">
        <v>198400</v>
      </c>
    </row>
    <row r="35" spans="3:64">
      <c r="C35">
        <v>3400</v>
      </c>
      <c r="D35">
        <v>6800</v>
      </c>
      <c r="E35">
        <v>10200</v>
      </c>
      <c r="F35">
        <v>13600</v>
      </c>
      <c r="G35">
        <v>17000</v>
      </c>
      <c r="H35">
        <v>20400</v>
      </c>
      <c r="I35">
        <v>23800</v>
      </c>
      <c r="J35">
        <v>27200</v>
      </c>
      <c r="K35">
        <v>30600</v>
      </c>
      <c r="L35">
        <v>34000</v>
      </c>
      <c r="M35">
        <v>37400</v>
      </c>
      <c r="N35">
        <v>40800</v>
      </c>
      <c r="O35">
        <v>44200</v>
      </c>
      <c r="P35">
        <v>47600</v>
      </c>
      <c r="Q35">
        <v>51000</v>
      </c>
      <c r="R35">
        <v>54400</v>
      </c>
      <c r="S35">
        <v>57800</v>
      </c>
      <c r="T35">
        <v>61200</v>
      </c>
      <c r="U35">
        <v>64600</v>
      </c>
      <c r="V35">
        <v>68000</v>
      </c>
      <c r="W35">
        <v>71400</v>
      </c>
      <c r="X35">
        <v>74800</v>
      </c>
      <c r="Y35">
        <v>78200</v>
      </c>
      <c r="Z35">
        <v>81600</v>
      </c>
      <c r="AA35">
        <v>85000</v>
      </c>
      <c r="AB35">
        <v>88400</v>
      </c>
      <c r="AC35">
        <v>91800</v>
      </c>
      <c r="AD35">
        <v>95200</v>
      </c>
      <c r="AE35">
        <v>98600</v>
      </c>
      <c r="AF35">
        <v>102000</v>
      </c>
      <c r="AG35">
        <v>105400</v>
      </c>
      <c r="AH35">
        <v>108800</v>
      </c>
      <c r="AI35">
        <v>112200</v>
      </c>
      <c r="AJ35">
        <v>115600</v>
      </c>
      <c r="AK35">
        <v>119000</v>
      </c>
      <c r="AL35">
        <v>122400</v>
      </c>
      <c r="AM35">
        <v>125800</v>
      </c>
      <c r="AN35">
        <v>129200</v>
      </c>
      <c r="AO35">
        <v>132600</v>
      </c>
      <c r="AP35">
        <v>136000</v>
      </c>
      <c r="AQ35">
        <v>139400</v>
      </c>
      <c r="AR35">
        <v>142800</v>
      </c>
      <c r="AS35">
        <v>146200</v>
      </c>
      <c r="AT35">
        <v>149600</v>
      </c>
      <c r="AU35">
        <v>153000</v>
      </c>
      <c r="AV35">
        <v>156400</v>
      </c>
      <c r="AW35">
        <v>159800</v>
      </c>
      <c r="AX35">
        <v>163200</v>
      </c>
      <c r="AY35">
        <v>166600</v>
      </c>
      <c r="AZ35">
        <v>170000</v>
      </c>
      <c r="BA35">
        <v>173400</v>
      </c>
      <c r="BB35">
        <v>176800</v>
      </c>
      <c r="BC35">
        <v>180200</v>
      </c>
      <c r="BD35">
        <v>183600</v>
      </c>
      <c r="BE35">
        <v>187000</v>
      </c>
      <c r="BF35">
        <v>190400</v>
      </c>
      <c r="BG35">
        <v>193800</v>
      </c>
      <c r="BH35">
        <v>197200</v>
      </c>
      <c r="BI35">
        <v>200600</v>
      </c>
      <c r="BJ35">
        <v>204000</v>
      </c>
      <c r="BK35">
        <v>207400</v>
      </c>
      <c r="BL35">
        <v>210800</v>
      </c>
    </row>
    <row r="36" spans="3:64">
      <c r="C36">
        <v>3600</v>
      </c>
      <c r="D36">
        <v>7200</v>
      </c>
      <c r="E36">
        <v>10800</v>
      </c>
      <c r="F36">
        <v>14400</v>
      </c>
      <c r="G36">
        <v>18000</v>
      </c>
      <c r="H36">
        <v>21600</v>
      </c>
      <c r="I36">
        <v>25200</v>
      </c>
      <c r="J36">
        <v>28800</v>
      </c>
      <c r="K36">
        <v>32400</v>
      </c>
      <c r="L36">
        <v>36000</v>
      </c>
      <c r="M36">
        <v>39600</v>
      </c>
      <c r="N36">
        <v>43200</v>
      </c>
      <c r="O36">
        <v>46800</v>
      </c>
      <c r="P36">
        <v>50400</v>
      </c>
      <c r="Q36">
        <v>54000</v>
      </c>
      <c r="R36">
        <v>57600</v>
      </c>
      <c r="S36">
        <v>61200</v>
      </c>
      <c r="T36">
        <v>64800</v>
      </c>
      <c r="U36">
        <v>68400</v>
      </c>
      <c r="V36">
        <v>72000</v>
      </c>
      <c r="W36">
        <v>75600</v>
      </c>
      <c r="X36">
        <v>79200</v>
      </c>
      <c r="Y36">
        <v>82800</v>
      </c>
      <c r="Z36">
        <v>86400</v>
      </c>
      <c r="AA36">
        <v>90000</v>
      </c>
      <c r="AB36">
        <v>93600</v>
      </c>
      <c r="AC36">
        <v>97200</v>
      </c>
      <c r="AD36">
        <v>100800</v>
      </c>
      <c r="AE36">
        <v>104400</v>
      </c>
      <c r="AF36">
        <v>108000</v>
      </c>
      <c r="AG36">
        <v>111600</v>
      </c>
      <c r="AH36">
        <v>115200</v>
      </c>
      <c r="AI36">
        <v>118800</v>
      </c>
      <c r="AJ36">
        <v>122400</v>
      </c>
      <c r="AK36">
        <v>126000</v>
      </c>
      <c r="AL36">
        <v>129600</v>
      </c>
      <c r="AM36">
        <v>133200</v>
      </c>
      <c r="AN36">
        <v>136800</v>
      </c>
      <c r="AO36">
        <v>140400</v>
      </c>
      <c r="AP36">
        <v>144000</v>
      </c>
      <c r="AQ36">
        <v>147600</v>
      </c>
      <c r="AR36">
        <v>151200</v>
      </c>
      <c r="AS36">
        <v>154800</v>
      </c>
      <c r="AT36">
        <v>158400</v>
      </c>
      <c r="AU36">
        <v>162000</v>
      </c>
      <c r="AV36">
        <v>165600</v>
      </c>
      <c r="AW36">
        <v>169200</v>
      </c>
      <c r="AX36">
        <v>172800</v>
      </c>
      <c r="AY36">
        <v>176400</v>
      </c>
      <c r="AZ36">
        <v>180000</v>
      </c>
      <c r="BA36">
        <v>183600</v>
      </c>
      <c r="BB36">
        <v>187200</v>
      </c>
      <c r="BC36">
        <v>190800</v>
      </c>
      <c r="BD36">
        <v>194400</v>
      </c>
      <c r="BE36">
        <v>198000</v>
      </c>
      <c r="BF36">
        <v>201600</v>
      </c>
      <c r="BG36">
        <v>205200</v>
      </c>
      <c r="BH36">
        <v>208800</v>
      </c>
      <c r="BI36">
        <v>212400</v>
      </c>
      <c r="BJ36">
        <v>216000</v>
      </c>
      <c r="BK36">
        <v>219600</v>
      </c>
      <c r="BL36">
        <v>223200</v>
      </c>
    </row>
    <row r="39" spans="3:64">
      <c r="C39" t="str">
        <f t="shared" ref="C39:BL39" si="21">_xlfn.TEXTJOIN("_",TRUE,$A$2,C28)</f>
        <v>1990000_2000</v>
      </c>
      <c r="D39" t="str">
        <f t="shared" si="21"/>
        <v>1990000_4000</v>
      </c>
      <c r="E39" t="str">
        <f t="shared" si="21"/>
        <v>1990000_6000</v>
      </c>
      <c r="F39" t="str">
        <f t="shared" si="21"/>
        <v>1990000_8000</v>
      </c>
      <c r="G39" t="str">
        <f t="shared" si="21"/>
        <v>1990000_10000</v>
      </c>
      <c r="H39" t="str">
        <f t="shared" si="21"/>
        <v>1990000_12000</v>
      </c>
      <c r="I39" t="str">
        <f t="shared" si="21"/>
        <v>1990000_14000</v>
      </c>
      <c r="J39" t="str">
        <f t="shared" si="21"/>
        <v>1990000_16000</v>
      </c>
      <c r="K39" t="str">
        <f t="shared" si="21"/>
        <v>1990000_18000</v>
      </c>
      <c r="L39" t="str">
        <f t="shared" si="21"/>
        <v>1990000_20000</v>
      </c>
      <c r="M39" t="str">
        <f t="shared" si="21"/>
        <v>1990000_22000</v>
      </c>
      <c r="N39" t="str">
        <f t="shared" si="21"/>
        <v>1990000_24000</v>
      </c>
      <c r="O39" t="str">
        <f t="shared" si="21"/>
        <v>1990000_26000</v>
      </c>
      <c r="P39" t="str">
        <f t="shared" si="21"/>
        <v>1990000_28000</v>
      </c>
      <c r="Q39" t="str">
        <f t="shared" si="21"/>
        <v>1990000_30000</v>
      </c>
      <c r="R39" t="str">
        <f t="shared" si="21"/>
        <v>1990000_32000</v>
      </c>
      <c r="S39" t="str">
        <f t="shared" si="21"/>
        <v>1990000_34000</v>
      </c>
      <c r="T39" t="str">
        <f t="shared" si="21"/>
        <v>1990000_36000</v>
      </c>
      <c r="U39" t="str">
        <f t="shared" si="21"/>
        <v>1990000_38000</v>
      </c>
      <c r="V39" t="str">
        <f t="shared" si="21"/>
        <v>1990000_40000</v>
      </c>
      <c r="W39" t="str">
        <f t="shared" si="21"/>
        <v>1990000_42000</v>
      </c>
      <c r="X39" t="str">
        <f t="shared" si="21"/>
        <v>1990000_44000</v>
      </c>
      <c r="Y39" t="str">
        <f t="shared" si="21"/>
        <v>1990000_46000</v>
      </c>
      <c r="Z39" t="str">
        <f t="shared" si="21"/>
        <v>1990000_48000</v>
      </c>
      <c r="AA39" t="str">
        <f t="shared" si="21"/>
        <v>1990000_50000</v>
      </c>
      <c r="AB39" t="str">
        <f t="shared" si="21"/>
        <v>1990000_52000</v>
      </c>
      <c r="AC39" t="str">
        <f t="shared" si="21"/>
        <v>1990000_54000</v>
      </c>
      <c r="AD39" t="str">
        <f t="shared" si="21"/>
        <v>1990000_56000</v>
      </c>
      <c r="AE39" t="str">
        <f t="shared" si="21"/>
        <v>1990000_58000</v>
      </c>
      <c r="AF39" t="str">
        <f t="shared" si="21"/>
        <v>1990000_60000</v>
      </c>
      <c r="AG39" t="str">
        <f t="shared" si="21"/>
        <v>1990000_62000</v>
      </c>
      <c r="AH39" t="str">
        <f t="shared" si="21"/>
        <v>1990000_64000</v>
      </c>
      <c r="AI39" t="str">
        <f t="shared" si="21"/>
        <v>1990000_66000</v>
      </c>
      <c r="AJ39" t="str">
        <f t="shared" si="21"/>
        <v>1990000_68000</v>
      </c>
      <c r="AK39" t="str">
        <f t="shared" si="21"/>
        <v>1990000_70000</v>
      </c>
      <c r="AL39" t="str">
        <f t="shared" si="21"/>
        <v>1990000_72000</v>
      </c>
      <c r="AM39" t="str">
        <f t="shared" si="21"/>
        <v>1990000_74000</v>
      </c>
      <c r="AN39" t="str">
        <f t="shared" si="21"/>
        <v>1990000_76000</v>
      </c>
      <c r="AO39" t="str">
        <f t="shared" si="21"/>
        <v>1990000_78000</v>
      </c>
      <c r="AP39" t="str">
        <f t="shared" si="21"/>
        <v>1990000_80000</v>
      </c>
      <c r="AQ39" t="str">
        <f t="shared" si="21"/>
        <v>1990000_82000</v>
      </c>
      <c r="AR39" t="str">
        <f t="shared" si="21"/>
        <v>1990000_84000</v>
      </c>
      <c r="AS39" t="str">
        <f t="shared" si="21"/>
        <v>1990000_86000</v>
      </c>
      <c r="AT39" t="str">
        <f t="shared" si="21"/>
        <v>1990000_88000</v>
      </c>
      <c r="AU39" t="str">
        <f t="shared" si="21"/>
        <v>1990000_90000</v>
      </c>
      <c r="AV39" t="str">
        <f t="shared" si="21"/>
        <v>1990000_92000</v>
      </c>
      <c r="AW39" t="str">
        <f t="shared" si="21"/>
        <v>1990000_94000</v>
      </c>
      <c r="AX39" t="str">
        <f t="shared" si="21"/>
        <v>1990000_96000</v>
      </c>
      <c r="AY39" t="str">
        <f t="shared" si="21"/>
        <v>1990000_98000</v>
      </c>
      <c r="AZ39" t="str">
        <f t="shared" si="21"/>
        <v>1990000_100000</v>
      </c>
      <c r="BA39" t="str">
        <f t="shared" si="21"/>
        <v>1990000_102000</v>
      </c>
      <c r="BB39" t="str">
        <f t="shared" si="21"/>
        <v>1990000_104000</v>
      </c>
      <c r="BC39" t="str">
        <f t="shared" si="21"/>
        <v>1990000_106000</v>
      </c>
      <c r="BD39" t="str">
        <f t="shared" si="21"/>
        <v>1990000_108000</v>
      </c>
      <c r="BE39" t="str">
        <f t="shared" si="21"/>
        <v>1990000_110000</v>
      </c>
      <c r="BF39" t="str">
        <f t="shared" si="21"/>
        <v>1990000_112000</v>
      </c>
      <c r="BG39" t="str">
        <f t="shared" si="21"/>
        <v>1990000_114000</v>
      </c>
      <c r="BH39" t="str">
        <f t="shared" si="21"/>
        <v>1990000_116000</v>
      </c>
      <c r="BI39" t="str">
        <f t="shared" si="21"/>
        <v>1990000_118000</v>
      </c>
      <c r="BJ39" t="str">
        <f t="shared" si="21"/>
        <v>1990000_120000</v>
      </c>
      <c r="BK39" t="str">
        <f t="shared" si="21"/>
        <v>1990000_122000</v>
      </c>
      <c r="BL39" t="str">
        <f t="shared" si="21"/>
        <v>1990000_124000</v>
      </c>
    </row>
    <row r="40" spans="3:64">
      <c r="C40" t="str">
        <f t="shared" ref="C40:BL40" si="22">_xlfn.TEXTJOIN("_",TRUE,$A$2,C29)</f>
        <v>1990000_2200</v>
      </c>
      <c r="D40" t="str">
        <f t="shared" si="22"/>
        <v>1990000_4400</v>
      </c>
      <c r="E40" t="str">
        <f t="shared" si="22"/>
        <v>1990000_6600</v>
      </c>
      <c r="F40" t="str">
        <f t="shared" si="22"/>
        <v>1990000_8800</v>
      </c>
      <c r="G40" t="str">
        <f t="shared" si="22"/>
        <v>1990000_11000</v>
      </c>
      <c r="H40" t="str">
        <f t="shared" si="22"/>
        <v>1990000_13200</v>
      </c>
      <c r="I40" t="str">
        <f t="shared" si="22"/>
        <v>1990000_15400</v>
      </c>
      <c r="J40" t="str">
        <f t="shared" si="22"/>
        <v>1990000_17600</v>
      </c>
      <c r="K40" t="str">
        <f t="shared" si="22"/>
        <v>1990000_19800</v>
      </c>
      <c r="L40" t="str">
        <f t="shared" si="22"/>
        <v>1990000_22000</v>
      </c>
      <c r="M40" t="str">
        <f t="shared" si="22"/>
        <v>1990000_24200</v>
      </c>
      <c r="N40" t="str">
        <f t="shared" si="22"/>
        <v>1990000_26400</v>
      </c>
      <c r="O40" t="str">
        <f t="shared" si="22"/>
        <v>1990000_28600</v>
      </c>
      <c r="P40" t="str">
        <f t="shared" si="22"/>
        <v>1990000_30800</v>
      </c>
      <c r="Q40" t="str">
        <f t="shared" si="22"/>
        <v>1990000_33000</v>
      </c>
      <c r="R40" t="str">
        <f t="shared" si="22"/>
        <v>1990000_35200</v>
      </c>
      <c r="S40" t="str">
        <f t="shared" si="22"/>
        <v>1990000_37400</v>
      </c>
      <c r="T40" t="str">
        <f t="shared" si="22"/>
        <v>1990000_39600</v>
      </c>
      <c r="U40" t="str">
        <f t="shared" si="22"/>
        <v>1990000_41800</v>
      </c>
      <c r="V40" t="str">
        <f t="shared" si="22"/>
        <v>1990000_44000</v>
      </c>
      <c r="W40" t="str">
        <f t="shared" si="22"/>
        <v>1990000_46200</v>
      </c>
      <c r="X40" t="str">
        <f t="shared" si="22"/>
        <v>1990000_48400</v>
      </c>
      <c r="Y40" t="str">
        <f t="shared" si="22"/>
        <v>1990000_50600</v>
      </c>
      <c r="Z40" t="str">
        <f t="shared" si="22"/>
        <v>1990000_52800</v>
      </c>
      <c r="AA40" t="str">
        <f t="shared" si="22"/>
        <v>1990000_55000</v>
      </c>
      <c r="AB40" t="str">
        <f t="shared" si="22"/>
        <v>1990000_57200</v>
      </c>
      <c r="AC40" t="str">
        <f t="shared" si="22"/>
        <v>1990000_59400</v>
      </c>
      <c r="AD40" t="str">
        <f t="shared" si="22"/>
        <v>1990000_61600</v>
      </c>
      <c r="AE40" t="str">
        <f t="shared" si="22"/>
        <v>1990000_63800</v>
      </c>
      <c r="AF40" t="str">
        <f t="shared" si="22"/>
        <v>1990000_66000</v>
      </c>
      <c r="AG40" t="str">
        <f t="shared" si="22"/>
        <v>1990000_68200</v>
      </c>
      <c r="AH40" t="str">
        <f t="shared" si="22"/>
        <v>1990000_70400</v>
      </c>
      <c r="AI40" t="str">
        <f t="shared" si="22"/>
        <v>1990000_72600</v>
      </c>
      <c r="AJ40" t="str">
        <f t="shared" si="22"/>
        <v>1990000_74800</v>
      </c>
      <c r="AK40" t="str">
        <f t="shared" si="22"/>
        <v>1990000_77000</v>
      </c>
      <c r="AL40" t="str">
        <f t="shared" si="22"/>
        <v>1990000_79200</v>
      </c>
      <c r="AM40" t="str">
        <f t="shared" si="22"/>
        <v>1990000_81400</v>
      </c>
      <c r="AN40" t="str">
        <f t="shared" si="22"/>
        <v>1990000_83600</v>
      </c>
      <c r="AO40" t="str">
        <f t="shared" si="22"/>
        <v>1990000_85800</v>
      </c>
      <c r="AP40" t="str">
        <f t="shared" si="22"/>
        <v>1990000_88000</v>
      </c>
      <c r="AQ40" t="str">
        <f t="shared" si="22"/>
        <v>1990000_90200</v>
      </c>
      <c r="AR40" t="str">
        <f t="shared" si="22"/>
        <v>1990000_92400</v>
      </c>
      <c r="AS40" t="str">
        <f t="shared" si="22"/>
        <v>1990000_94600</v>
      </c>
      <c r="AT40" t="str">
        <f t="shared" si="22"/>
        <v>1990000_96800</v>
      </c>
      <c r="AU40" t="str">
        <f t="shared" si="22"/>
        <v>1990000_99000</v>
      </c>
      <c r="AV40" t="str">
        <f t="shared" si="22"/>
        <v>1990000_101200</v>
      </c>
      <c r="AW40" t="str">
        <f t="shared" si="22"/>
        <v>1990000_103400</v>
      </c>
      <c r="AX40" t="str">
        <f t="shared" si="22"/>
        <v>1990000_105600</v>
      </c>
      <c r="AY40" t="str">
        <f t="shared" si="22"/>
        <v>1990000_107800</v>
      </c>
      <c r="AZ40" t="str">
        <f t="shared" si="22"/>
        <v>1990000_110000</v>
      </c>
      <c r="BA40" t="str">
        <f t="shared" si="22"/>
        <v>1990000_112200</v>
      </c>
      <c r="BB40" t="str">
        <f t="shared" si="22"/>
        <v>1990000_114400</v>
      </c>
      <c r="BC40" t="str">
        <f t="shared" si="22"/>
        <v>1990000_116600</v>
      </c>
      <c r="BD40" t="str">
        <f t="shared" si="22"/>
        <v>1990000_118800</v>
      </c>
      <c r="BE40" t="str">
        <f t="shared" si="22"/>
        <v>1990000_121000</v>
      </c>
      <c r="BF40" t="str">
        <f t="shared" si="22"/>
        <v>1990000_123200</v>
      </c>
      <c r="BG40" t="str">
        <f t="shared" si="22"/>
        <v>1990000_125400</v>
      </c>
      <c r="BH40" t="str">
        <f t="shared" si="22"/>
        <v>1990000_127600</v>
      </c>
      <c r="BI40" t="str">
        <f t="shared" si="22"/>
        <v>1990000_129800</v>
      </c>
      <c r="BJ40" t="str">
        <f t="shared" si="22"/>
        <v>1990000_132000</v>
      </c>
      <c r="BK40" t="str">
        <f t="shared" si="22"/>
        <v>1990000_134200</v>
      </c>
      <c r="BL40" t="str">
        <f t="shared" si="22"/>
        <v>1990000_136400</v>
      </c>
    </row>
    <row r="41" spans="3:64">
      <c r="C41" t="str">
        <f t="shared" ref="C41:BL41" si="23">_xlfn.TEXTJOIN("_",TRUE,$A$2,C30)</f>
        <v>1990000_2400</v>
      </c>
      <c r="D41" t="str">
        <f t="shared" si="23"/>
        <v>1990000_4800</v>
      </c>
      <c r="E41" t="str">
        <f t="shared" si="23"/>
        <v>1990000_7200</v>
      </c>
      <c r="F41" t="str">
        <f t="shared" si="23"/>
        <v>1990000_9600</v>
      </c>
      <c r="G41" t="str">
        <f t="shared" si="23"/>
        <v>1990000_12000</v>
      </c>
      <c r="H41" t="str">
        <f t="shared" si="23"/>
        <v>1990000_14400</v>
      </c>
      <c r="I41" t="str">
        <f t="shared" si="23"/>
        <v>1990000_16800</v>
      </c>
      <c r="J41" t="str">
        <f t="shared" si="23"/>
        <v>1990000_19200</v>
      </c>
      <c r="K41" t="str">
        <f t="shared" si="23"/>
        <v>1990000_21600</v>
      </c>
      <c r="L41" t="str">
        <f t="shared" si="23"/>
        <v>1990000_24000</v>
      </c>
      <c r="M41" t="str">
        <f t="shared" si="23"/>
        <v>1990000_26400</v>
      </c>
      <c r="N41" t="str">
        <f t="shared" si="23"/>
        <v>1990000_28800</v>
      </c>
      <c r="O41" t="str">
        <f t="shared" si="23"/>
        <v>1990000_31200</v>
      </c>
      <c r="P41" t="str">
        <f t="shared" si="23"/>
        <v>1990000_33600</v>
      </c>
      <c r="Q41" t="str">
        <f t="shared" si="23"/>
        <v>1990000_36000</v>
      </c>
      <c r="R41" t="str">
        <f t="shared" si="23"/>
        <v>1990000_38400</v>
      </c>
      <c r="S41" t="str">
        <f t="shared" si="23"/>
        <v>1990000_40800</v>
      </c>
      <c r="T41" t="str">
        <f t="shared" si="23"/>
        <v>1990000_43200</v>
      </c>
      <c r="U41" t="str">
        <f t="shared" si="23"/>
        <v>1990000_45600</v>
      </c>
      <c r="V41" t="str">
        <f t="shared" si="23"/>
        <v>1990000_48000</v>
      </c>
      <c r="W41" t="str">
        <f t="shared" si="23"/>
        <v>1990000_50400</v>
      </c>
      <c r="X41" t="str">
        <f t="shared" si="23"/>
        <v>1990000_52800</v>
      </c>
      <c r="Y41" t="str">
        <f t="shared" si="23"/>
        <v>1990000_55200</v>
      </c>
      <c r="Z41" t="str">
        <f t="shared" si="23"/>
        <v>1990000_57600</v>
      </c>
      <c r="AA41" t="str">
        <f t="shared" si="23"/>
        <v>1990000_60000</v>
      </c>
      <c r="AB41" t="str">
        <f t="shared" si="23"/>
        <v>1990000_62400</v>
      </c>
      <c r="AC41" t="str">
        <f t="shared" si="23"/>
        <v>1990000_64800</v>
      </c>
      <c r="AD41" t="str">
        <f t="shared" si="23"/>
        <v>1990000_67200</v>
      </c>
      <c r="AE41" t="str">
        <f t="shared" si="23"/>
        <v>1990000_69600</v>
      </c>
      <c r="AF41" t="str">
        <f t="shared" si="23"/>
        <v>1990000_72000</v>
      </c>
      <c r="AG41" t="str">
        <f t="shared" si="23"/>
        <v>1990000_74400</v>
      </c>
      <c r="AH41" t="str">
        <f t="shared" si="23"/>
        <v>1990000_76800</v>
      </c>
      <c r="AI41" t="str">
        <f t="shared" si="23"/>
        <v>1990000_79200</v>
      </c>
      <c r="AJ41" t="str">
        <f t="shared" si="23"/>
        <v>1990000_81600</v>
      </c>
      <c r="AK41" t="str">
        <f t="shared" si="23"/>
        <v>1990000_84000</v>
      </c>
      <c r="AL41" t="str">
        <f t="shared" si="23"/>
        <v>1990000_86400</v>
      </c>
      <c r="AM41" t="str">
        <f t="shared" si="23"/>
        <v>1990000_88800</v>
      </c>
      <c r="AN41" t="str">
        <f t="shared" si="23"/>
        <v>1990000_91200</v>
      </c>
      <c r="AO41" t="str">
        <f t="shared" si="23"/>
        <v>1990000_93600</v>
      </c>
      <c r="AP41" t="str">
        <f t="shared" si="23"/>
        <v>1990000_96000</v>
      </c>
      <c r="AQ41" t="str">
        <f t="shared" si="23"/>
        <v>1990000_98400</v>
      </c>
      <c r="AR41" t="str">
        <f t="shared" si="23"/>
        <v>1990000_100800</v>
      </c>
      <c r="AS41" t="str">
        <f t="shared" si="23"/>
        <v>1990000_103200</v>
      </c>
      <c r="AT41" t="str">
        <f t="shared" si="23"/>
        <v>1990000_105600</v>
      </c>
      <c r="AU41" t="str">
        <f t="shared" si="23"/>
        <v>1990000_108000</v>
      </c>
      <c r="AV41" t="str">
        <f t="shared" si="23"/>
        <v>1990000_110400</v>
      </c>
      <c r="AW41" t="str">
        <f t="shared" si="23"/>
        <v>1990000_112800</v>
      </c>
      <c r="AX41" t="str">
        <f t="shared" si="23"/>
        <v>1990000_115200</v>
      </c>
      <c r="AY41" t="str">
        <f t="shared" si="23"/>
        <v>1990000_117600</v>
      </c>
      <c r="AZ41" t="str">
        <f t="shared" si="23"/>
        <v>1990000_120000</v>
      </c>
      <c r="BA41" t="str">
        <f t="shared" si="23"/>
        <v>1990000_122400</v>
      </c>
      <c r="BB41" t="str">
        <f t="shared" si="23"/>
        <v>1990000_124800</v>
      </c>
      <c r="BC41" t="str">
        <f t="shared" si="23"/>
        <v>1990000_127200</v>
      </c>
      <c r="BD41" t="str">
        <f t="shared" si="23"/>
        <v>1990000_129600</v>
      </c>
      <c r="BE41" t="str">
        <f t="shared" si="23"/>
        <v>1990000_132000</v>
      </c>
      <c r="BF41" t="str">
        <f t="shared" si="23"/>
        <v>1990000_134400</v>
      </c>
      <c r="BG41" t="str">
        <f t="shared" si="23"/>
        <v>1990000_136800</v>
      </c>
      <c r="BH41" t="str">
        <f t="shared" si="23"/>
        <v>1990000_139200</v>
      </c>
      <c r="BI41" t="str">
        <f t="shared" si="23"/>
        <v>1990000_141600</v>
      </c>
      <c r="BJ41" t="str">
        <f t="shared" si="23"/>
        <v>1990000_144000</v>
      </c>
      <c r="BK41" t="str">
        <f t="shared" si="23"/>
        <v>1990000_146400</v>
      </c>
      <c r="BL41" t="str">
        <f t="shared" si="23"/>
        <v>1990000_148800</v>
      </c>
    </row>
    <row r="42" spans="3:64">
      <c r="C42" t="str">
        <f t="shared" ref="C42:BL42" si="24">_xlfn.TEXTJOIN("_",TRUE,$A$2,C31)</f>
        <v>1990000_2600</v>
      </c>
      <c r="D42" t="str">
        <f t="shared" si="24"/>
        <v>1990000_5200</v>
      </c>
      <c r="E42" t="str">
        <f t="shared" si="24"/>
        <v>1990000_7800</v>
      </c>
      <c r="F42" t="str">
        <f t="shared" si="24"/>
        <v>1990000_10400</v>
      </c>
      <c r="G42" t="str">
        <f t="shared" si="24"/>
        <v>1990000_13000</v>
      </c>
      <c r="H42" t="str">
        <f t="shared" si="24"/>
        <v>1990000_15600</v>
      </c>
      <c r="I42" t="str">
        <f t="shared" si="24"/>
        <v>1990000_18200</v>
      </c>
      <c r="J42" t="str">
        <f t="shared" si="24"/>
        <v>1990000_20800</v>
      </c>
      <c r="K42" t="str">
        <f t="shared" si="24"/>
        <v>1990000_23400</v>
      </c>
      <c r="L42" t="str">
        <f t="shared" si="24"/>
        <v>1990000_26000</v>
      </c>
      <c r="M42" t="str">
        <f t="shared" si="24"/>
        <v>1990000_28600</v>
      </c>
      <c r="N42" t="str">
        <f t="shared" si="24"/>
        <v>1990000_31200</v>
      </c>
      <c r="O42" t="str">
        <f t="shared" si="24"/>
        <v>1990000_33800</v>
      </c>
      <c r="P42" t="str">
        <f t="shared" si="24"/>
        <v>1990000_36400</v>
      </c>
      <c r="Q42" t="str">
        <f t="shared" si="24"/>
        <v>1990000_39000</v>
      </c>
      <c r="R42" t="str">
        <f t="shared" si="24"/>
        <v>1990000_41600</v>
      </c>
      <c r="S42" t="str">
        <f t="shared" si="24"/>
        <v>1990000_44200</v>
      </c>
      <c r="T42" t="str">
        <f t="shared" si="24"/>
        <v>1990000_46800</v>
      </c>
      <c r="U42" t="str">
        <f t="shared" si="24"/>
        <v>1990000_49400</v>
      </c>
      <c r="V42" t="str">
        <f t="shared" si="24"/>
        <v>1990000_52000</v>
      </c>
      <c r="W42" t="str">
        <f t="shared" si="24"/>
        <v>1990000_54600</v>
      </c>
      <c r="X42" t="str">
        <f t="shared" si="24"/>
        <v>1990000_57200</v>
      </c>
      <c r="Y42" t="str">
        <f t="shared" si="24"/>
        <v>1990000_59800</v>
      </c>
      <c r="Z42" t="str">
        <f t="shared" si="24"/>
        <v>1990000_62400</v>
      </c>
      <c r="AA42" t="str">
        <f t="shared" si="24"/>
        <v>1990000_65000</v>
      </c>
      <c r="AB42" t="str">
        <f t="shared" si="24"/>
        <v>1990000_67600</v>
      </c>
      <c r="AC42" t="str">
        <f t="shared" si="24"/>
        <v>1990000_70200</v>
      </c>
      <c r="AD42" t="str">
        <f t="shared" si="24"/>
        <v>1990000_72800</v>
      </c>
      <c r="AE42" t="str">
        <f t="shared" si="24"/>
        <v>1990000_75400</v>
      </c>
      <c r="AF42" t="str">
        <f t="shared" si="24"/>
        <v>1990000_78000</v>
      </c>
      <c r="AG42" t="str">
        <f t="shared" si="24"/>
        <v>1990000_80600</v>
      </c>
      <c r="AH42" t="str">
        <f t="shared" si="24"/>
        <v>1990000_83200</v>
      </c>
      <c r="AI42" t="str">
        <f t="shared" si="24"/>
        <v>1990000_85800</v>
      </c>
      <c r="AJ42" t="str">
        <f t="shared" si="24"/>
        <v>1990000_88400</v>
      </c>
      <c r="AK42" t="str">
        <f t="shared" si="24"/>
        <v>1990000_91000</v>
      </c>
      <c r="AL42" t="str">
        <f t="shared" si="24"/>
        <v>1990000_93600</v>
      </c>
      <c r="AM42" t="str">
        <f t="shared" si="24"/>
        <v>1990000_96200</v>
      </c>
      <c r="AN42" t="str">
        <f t="shared" si="24"/>
        <v>1990000_98800</v>
      </c>
      <c r="AO42" t="str">
        <f t="shared" si="24"/>
        <v>1990000_101400</v>
      </c>
      <c r="AP42" t="str">
        <f t="shared" si="24"/>
        <v>1990000_104000</v>
      </c>
      <c r="AQ42" t="str">
        <f t="shared" si="24"/>
        <v>1990000_106600</v>
      </c>
      <c r="AR42" t="str">
        <f t="shared" si="24"/>
        <v>1990000_109200</v>
      </c>
      <c r="AS42" t="str">
        <f t="shared" si="24"/>
        <v>1990000_111800</v>
      </c>
      <c r="AT42" t="str">
        <f t="shared" si="24"/>
        <v>1990000_114400</v>
      </c>
      <c r="AU42" t="str">
        <f t="shared" si="24"/>
        <v>1990000_117000</v>
      </c>
      <c r="AV42" t="str">
        <f t="shared" si="24"/>
        <v>1990000_119600</v>
      </c>
      <c r="AW42" t="str">
        <f t="shared" si="24"/>
        <v>1990000_122200</v>
      </c>
      <c r="AX42" t="str">
        <f t="shared" si="24"/>
        <v>1990000_124800</v>
      </c>
      <c r="AY42" t="str">
        <f t="shared" si="24"/>
        <v>1990000_127400</v>
      </c>
      <c r="AZ42" t="str">
        <f t="shared" si="24"/>
        <v>1990000_130000</v>
      </c>
      <c r="BA42" t="str">
        <f t="shared" si="24"/>
        <v>1990000_132600</v>
      </c>
      <c r="BB42" t="str">
        <f t="shared" si="24"/>
        <v>1990000_135200</v>
      </c>
      <c r="BC42" t="str">
        <f t="shared" si="24"/>
        <v>1990000_137800</v>
      </c>
      <c r="BD42" t="str">
        <f t="shared" si="24"/>
        <v>1990000_140400</v>
      </c>
      <c r="BE42" t="str">
        <f t="shared" si="24"/>
        <v>1990000_143000</v>
      </c>
      <c r="BF42" t="str">
        <f t="shared" si="24"/>
        <v>1990000_145600</v>
      </c>
      <c r="BG42" t="str">
        <f t="shared" si="24"/>
        <v>1990000_148200</v>
      </c>
      <c r="BH42" t="str">
        <f t="shared" si="24"/>
        <v>1990000_150800</v>
      </c>
      <c r="BI42" t="str">
        <f t="shared" si="24"/>
        <v>1990000_153400</v>
      </c>
      <c r="BJ42" t="str">
        <f t="shared" si="24"/>
        <v>1990000_156000</v>
      </c>
      <c r="BK42" t="str">
        <f t="shared" si="24"/>
        <v>1990000_158600</v>
      </c>
      <c r="BL42" t="str">
        <f t="shared" si="24"/>
        <v>1990000_161200</v>
      </c>
    </row>
    <row r="43" spans="3:64">
      <c r="C43" t="str">
        <f t="shared" ref="C43:BL43" si="25">_xlfn.TEXTJOIN("_",TRUE,$A$2,C32)</f>
        <v>1990000_2800</v>
      </c>
      <c r="D43" t="str">
        <f t="shared" si="25"/>
        <v>1990000_5600</v>
      </c>
      <c r="E43" t="str">
        <f t="shared" si="25"/>
        <v>1990000_8400</v>
      </c>
      <c r="F43" t="str">
        <f t="shared" si="25"/>
        <v>1990000_11200</v>
      </c>
      <c r="G43" t="str">
        <f t="shared" si="25"/>
        <v>1990000_14000</v>
      </c>
      <c r="H43" t="str">
        <f t="shared" si="25"/>
        <v>1990000_16800</v>
      </c>
      <c r="I43" t="str">
        <f t="shared" si="25"/>
        <v>1990000_19600</v>
      </c>
      <c r="J43" t="str">
        <f t="shared" si="25"/>
        <v>1990000_22400</v>
      </c>
      <c r="K43" t="str">
        <f t="shared" si="25"/>
        <v>1990000_25200</v>
      </c>
      <c r="L43" t="str">
        <f t="shared" si="25"/>
        <v>1990000_28000</v>
      </c>
      <c r="M43" t="str">
        <f t="shared" si="25"/>
        <v>1990000_30800</v>
      </c>
      <c r="N43" t="str">
        <f t="shared" si="25"/>
        <v>1990000_33600</v>
      </c>
      <c r="O43" t="str">
        <f t="shared" si="25"/>
        <v>1990000_36400</v>
      </c>
      <c r="P43" t="str">
        <f t="shared" si="25"/>
        <v>1990000_39200</v>
      </c>
      <c r="Q43" t="str">
        <f t="shared" si="25"/>
        <v>1990000_42000</v>
      </c>
      <c r="R43" t="str">
        <f t="shared" si="25"/>
        <v>1990000_44800</v>
      </c>
      <c r="S43" t="str">
        <f t="shared" si="25"/>
        <v>1990000_47600</v>
      </c>
      <c r="T43" t="str">
        <f t="shared" si="25"/>
        <v>1990000_50400</v>
      </c>
      <c r="U43" t="str">
        <f t="shared" si="25"/>
        <v>1990000_53200</v>
      </c>
      <c r="V43" t="str">
        <f t="shared" si="25"/>
        <v>1990000_56000</v>
      </c>
      <c r="W43" t="str">
        <f t="shared" si="25"/>
        <v>1990000_58800</v>
      </c>
      <c r="X43" t="str">
        <f t="shared" si="25"/>
        <v>1990000_61600</v>
      </c>
      <c r="Y43" t="str">
        <f t="shared" si="25"/>
        <v>1990000_64400</v>
      </c>
      <c r="Z43" t="str">
        <f t="shared" si="25"/>
        <v>1990000_67200</v>
      </c>
      <c r="AA43" t="str">
        <f t="shared" si="25"/>
        <v>1990000_70000</v>
      </c>
      <c r="AB43" t="str">
        <f t="shared" si="25"/>
        <v>1990000_72800</v>
      </c>
      <c r="AC43" t="str">
        <f t="shared" si="25"/>
        <v>1990000_75600</v>
      </c>
      <c r="AD43" t="str">
        <f t="shared" si="25"/>
        <v>1990000_78400</v>
      </c>
      <c r="AE43" t="str">
        <f t="shared" si="25"/>
        <v>1990000_81200</v>
      </c>
      <c r="AF43" t="str">
        <f t="shared" si="25"/>
        <v>1990000_84000</v>
      </c>
      <c r="AG43" t="str">
        <f t="shared" si="25"/>
        <v>1990000_86800</v>
      </c>
      <c r="AH43" t="str">
        <f t="shared" si="25"/>
        <v>1990000_89600</v>
      </c>
      <c r="AI43" t="str">
        <f t="shared" si="25"/>
        <v>1990000_92400</v>
      </c>
      <c r="AJ43" t="str">
        <f t="shared" si="25"/>
        <v>1990000_95200</v>
      </c>
      <c r="AK43" t="str">
        <f t="shared" si="25"/>
        <v>1990000_98000</v>
      </c>
      <c r="AL43" t="str">
        <f t="shared" si="25"/>
        <v>1990000_100800</v>
      </c>
      <c r="AM43" t="str">
        <f t="shared" si="25"/>
        <v>1990000_103600</v>
      </c>
      <c r="AN43" t="str">
        <f t="shared" si="25"/>
        <v>1990000_106400</v>
      </c>
      <c r="AO43" t="str">
        <f t="shared" si="25"/>
        <v>1990000_109200</v>
      </c>
      <c r="AP43" t="str">
        <f t="shared" si="25"/>
        <v>1990000_112000</v>
      </c>
      <c r="AQ43" t="str">
        <f t="shared" si="25"/>
        <v>1990000_114800</v>
      </c>
      <c r="AR43" t="str">
        <f t="shared" si="25"/>
        <v>1990000_117600</v>
      </c>
      <c r="AS43" t="str">
        <f t="shared" si="25"/>
        <v>1990000_120400</v>
      </c>
      <c r="AT43" t="str">
        <f t="shared" si="25"/>
        <v>1990000_123200</v>
      </c>
      <c r="AU43" t="str">
        <f t="shared" si="25"/>
        <v>1990000_126000</v>
      </c>
      <c r="AV43" t="str">
        <f t="shared" si="25"/>
        <v>1990000_128800</v>
      </c>
      <c r="AW43" t="str">
        <f t="shared" si="25"/>
        <v>1990000_131600</v>
      </c>
      <c r="AX43" t="str">
        <f t="shared" si="25"/>
        <v>1990000_134400</v>
      </c>
      <c r="AY43" t="str">
        <f t="shared" si="25"/>
        <v>1990000_137200</v>
      </c>
      <c r="AZ43" t="str">
        <f t="shared" si="25"/>
        <v>1990000_140000</v>
      </c>
      <c r="BA43" t="str">
        <f t="shared" si="25"/>
        <v>1990000_142800</v>
      </c>
      <c r="BB43" t="str">
        <f t="shared" si="25"/>
        <v>1990000_145600</v>
      </c>
      <c r="BC43" t="str">
        <f t="shared" si="25"/>
        <v>1990000_148400</v>
      </c>
      <c r="BD43" t="str">
        <f t="shared" si="25"/>
        <v>1990000_151200</v>
      </c>
      <c r="BE43" t="str">
        <f t="shared" si="25"/>
        <v>1990000_154000</v>
      </c>
      <c r="BF43" t="str">
        <f t="shared" si="25"/>
        <v>1990000_156800</v>
      </c>
      <c r="BG43" t="str">
        <f t="shared" si="25"/>
        <v>1990000_159600</v>
      </c>
      <c r="BH43" t="str">
        <f t="shared" si="25"/>
        <v>1990000_162400</v>
      </c>
      <c r="BI43" t="str">
        <f t="shared" si="25"/>
        <v>1990000_165200</v>
      </c>
      <c r="BJ43" t="str">
        <f t="shared" si="25"/>
        <v>1990000_168000</v>
      </c>
      <c r="BK43" t="str">
        <f t="shared" si="25"/>
        <v>1990000_170800</v>
      </c>
      <c r="BL43" t="str">
        <f t="shared" si="25"/>
        <v>1990000_173600</v>
      </c>
    </row>
    <row r="44" spans="3:64">
      <c r="C44" t="str">
        <f t="shared" ref="C44:BL44" si="26">_xlfn.TEXTJOIN("_",TRUE,$A$2,C33)</f>
        <v>1990000_3000</v>
      </c>
      <c r="D44" t="str">
        <f t="shared" si="26"/>
        <v>1990000_6000</v>
      </c>
      <c r="E44" t="str">
        <f t="shared" si="26"/>
        <v>1990000_9000</v>
      </c>
      <c r="F44" t="str">
        <f t="shared" si="26"/>
        <v>1990000_12000</v>
      </c>
      <c r="G44" t="str">
        <f t="shared" si="26"/>
        <v>1990000_15000</v>
      </c>
      <c r="H44" t="str">
        <f t="shared" si="26"/>
        <v>1990000_18000</v>
      </c>
      <c r="I44" t="str">
        <f t="shared" si="26"/>
        <v>1990000_21000</v>
      </c>
      <c r="J44" t="str">
        <f t="shared" si="26"/>
        <v>1990000_24000</v>
      </c>
      <c r="K44" t="str">
        <f t="shared" si="26"/>
        <v>1990000_27000</v>
      </c>
      <c r="L44" t="str">
        <f t="shared" si="26"/>
        <v>1990000_30000</v>
      </c>
      <c r="M44" t="str">
        <f t="shared" si="26"/>
        <v>1990000_33000</v>
      </c>
      <c r="N44" t="str">
        <f t="shared" si="26"/>
        <v>1990000_36000</v>
      </c>
      <c r="O44" t="str">
        <f t="shared" si="26"/>
        <v>1990000_39000</v>
      </c>
      <c r="P44" t="str">
        <f t="shared" si="26"/>
        <v>1990000_42000</v>
      </c>
      <c r="Q44" t="str">
        <f t="shared" si="26"/>
        <v>1990000_45000</v>
      </c>
      <c r="R44" t="str">
        <f t="shared" si="26"/>
        <v>1990000_48000</v>
      </c>
      <c r="S44" t="str">
        <f t="shared" si="26"/>
        <v>1990000_51000</v>
      </c>
      <c r="T44" t="str">
        <f t="shared" si="26"/>
        <v>1990000_54000</v>
      </c>
      <c r="U44" t="str">
        <f t="shared" si="26"/>
        <v>1990000_57000</v>
      </c>
      <c r="V44" t="str">
        <f t="shared" si="26"/>
        <v>1990000_60000</v>
      </c>
      <c r="W44" t="str">
        <f t="shared" si="26"/>
        <v>1990000_63000</v>
      </c>
      <c r="X44" t="str">
        <f t="shared" si="26"/>
        <v>1990000_66000</v>
      </c>
      <c r="Y44" t="str">
        <f t="shared" si="26"/>
        <v>1990000_69000</v>
      </c>
      <c r="Z44" t="str">
        <f t="shared" si="26"/>
        <v>1990000_72000</v>
      </c>
      <c r="AA44" t="str">
        <f t="shared" si="26"/>
        <v>1990000_75000</v>
      </c>
      <c r="AB44" t="str">
        <f t="shared" si="26"/>
        <v>1990000_78000</v>
      </c>
      <c r="AC44" t="str">
        <f t="shared" si="26"/>
        <v>1990000_81000</v>
      </c>
      <c r="AD44" t="str">
        <f t="shared" si="26"/>
        <v>1990000_84000</v>
      </c>
      <c r="AE44" t="str">
        <f t="shared" si="26"/>
        <v>1990000_87000</v>
      </c>
      <c r="AF44" t="str">
        <f t="shared" si="26"/>
        <v>1990000_90000</v>
      </c>
      <c r="AG44" t="str">
        <f t="shared" si="26"/>
        <v>1990000_93000</v>
      </c>
      <c r="AH44" t="str">
        <f t="shared" si="26"/>
        <v>1990000_96000</v>
      </c>
      <c r="AI44" t="str">
        <f t="shared" si="26"/>
        <v>1990000_99000</v>
      </c>
      <c r="AJ44" t="str">
        <f t="shared" si="26"/>
        <v>1990000_102000</v>
      </c>
      <c r="AK44" t="str">
        <f t="shared" si="26"/>
        <v>1990000_105000</v>
      </c>
      <c r="AL44" t="str">
        <f t="shared" si="26"/>
        <v>1990000_108000</v>
      </c>
      <c r="AM44" t="str">
        <f t="shared" si="26"/>
        <v>1990000_111000</v>
      </c>
      <c r="AN44" t="str">
        <f t="shared" si="26"/>
        <v>1990000_114000</v>
      </c>
      <c r="AO44" t="str">
        <f t="shared" si="26"/>
        <v>1990000_117000</v>
      </c>
      <c r="AP44" t="str">
        <f t="shared" si="26"/>
        <v>1990000_120000</v>
      </c>
      <c r="AQ44" t="str">
        <f t="shared" si="26"/>
        <v>1990000_123000</v>
      </c>
      <c r="AR44" t="str">
        <f t="shared" si="26"/>
        <v>1990000_126000</v>
      </c>
      <c r="AS44" t="str">
        <f t="shared" si="26"/>
        <v>1990000_129000</v>
      </c>
      <c r="AT44" t="str">
        <f t="shared" si="26"/>
        <v>1990000_132000</v>
      </c>
      <c r="AU44" t="str">
        <f t="shared" si="26"/>
        <v>1990000_135000</v>
      </c>
      <c r="AV44" t="str">
        <f t="shared" si="26"/>
        <v>1990000_138000</v>
      </c>
      <c r="AW44" t="str">
        <f t="shared" si="26"/>
        <v>1990000_141000</v>
      </c>
      <c r="AX44" t="str">
        <f t="shared" si="26"/>
        <v>1990000_144000</v>
      </c>
      <c r="AY44" t="str">
        <f t="shared" si="26"/>
        <v>1990000_147000</v>
      </c>
      <c r="AZ44" t="str">
        <f t="shared" si="26"/>
        <v>1990000_150000</v>
      </c>
      <c r="BA44" t="str">
        <f t="shared" si="26"/>
        <v>1990000_153000</v>
      </c>
      <c r="BB44" t="str">
        <f t="shared" si="26"/>
        <v>1990000_156000</v>
      </c>
      <c r="BC44" t="str">
        <f t="shared" si="26"/>
        <v>1990000_159000</v>
      </c>
      <c r="BD44" t="str">
        <f t="shared" si="26"/>
        <v>1990000_162000</v>
      </c>
      <c r="BE44" t="str">
        <f t="shared" si="26"/>
        <v>1990000_165000</v>
      </c>
      <c r="BF44" t="str">
        <f t="shared" si="26"/>
        <v>1990000_168000</v>
      </c>
      <c r="BG44" t="str">
        <f t="shared" si="26"/>
        <v>1990000_171000</v>
      </c>
      <c r="BH44" t="str">
        <f t="shared" si="26"/>
        <v>1990000_174000</v>
      </c>
      <c r="BI44" t="str">
        <f t="shared" si="26"/>
        <v>1990000_177000</v>
      </c>
      <c r="BJ44" t="str">
        <f t="shared" si="26"/>
        <v>1990000_180000</v>
      </c>
      <c r="BK44" t="str">
        <f t="shared" si="26"/>
        <v>1990000_183000</v>
      </c>
      <c r="BL44" t="str">
        <f t="shared" si="26"/>
        <v>1990000_186000</v>
      </c>
    </row>
    <row r="45" spans="3:64">
      <c r="C45" t="str">
        <f t="shared" ref="C45:BL45" si="27">_xlfn.TEXTJOIN("_",TRUE,$A$2,C34)</f>
        <v>1990000_3200</v>
      </c>
      <c r="D45" t="str">
        <f t="shared" si="27"/>
        <v>1990000_6400</v>
      </c>
      <c r="E45" t="str">
        <f t="shared" si="27"/>
        <v>1990000_9600</v>
      </c>
      <c r="F45" t="str">
        <f t="shared" si="27"/>
        <v>1990000_12800</v>
      </c>
      <c r="G45" t="str">
        <f t="shared" si="27"/>
        <v>1990000_16000</v>
      </c>
      <c r="H45" t="str">
        <f t="shared" si="27"/>
        <v>1990000_19200</v>
      </c>
      <c r="I45" t="str">
        <f t="shared" si="27"/>
        <v>1990000_22400</v>
      </c>
      <c r="J45" t="str">
        <f t="shared" si="27"/>
        <v>1990000_25600</v>
      </c>
      <c r="K45" t="str">
        <f t="shared" si="27"/>
        <v>1990000_28800</v>
      </c>
      <c r="L45" t="str">
        <f t="shared" si="27"/>
        <v>1990000_32000</v>
      </c>
      <c r="M45" t="str">
        <f t="shared" si="27"/>
        <v>1990000_35200</v>
      </c>
      <c r="N45" t="str">
        <f t="shared" si="27"/>
        <v>1990000_38400</v>
      </c>
      <c r="O45" t="str">
        <f t="shared" si="27"/>
        <v>1990000_41600</v>
      </c>
      <c r="P45" t="str">
        <f t="shared" si="27"/>
        <v>1990000_44800</v>
      </c>
      <c r="Q45" t="str">
        <f t="shared" si="27"/>
        <v>1990000_48000</v>
      </c>
      <c r="R45" t="str">
        <f t="shared" si="27"/>
        <v>1990000_51200</v>
      </c>
      <c r="S45" t="str">
        <f t="shared" si="27"/>
        <v>1990000_54400</v>
      </c>
      <c r="T45" t="str">
        <f t="shared" si="27"/>
        <v>1990000_57600</v>
      </c>
      <c r="U45" t="str">
        <f t="shared" si="27"/>
        <v>1990000_60800</v>
      </c>
      <c r="V45" t="str">
        <f t="shared" si="27"/>
        <v>1990000_64000</v>
      </c>
      <c r="W45" t="str">
        <f t="shared" si="27"/>
        <v>1990000_67200</v>
      </c>
      <c r="X45" t="str">
        <f t="shared" si="27"/>
        <v>1990000_70400</v>
      </c>
      <c r="Y45" t="str">
        <f t="shared" si="27"/>
        <v>1990000_73600</v>
      </c>
      <c r="Z45" t="str">
        <f t="shared" si="27"/>
        <v>1990000_76800</v>
      </c>
      <c r="AA45" t="str">
        <f t="shared" si="27"/>
        <v>1990000_80000</v>
      </c>
      <c r="AB45" t="str">
        <f t="shared" si="27"/>
        <v>1990000_83200</v>
      </c>
      <c r="AC45" t="str">
        <f t="shared" si="27"/>
        <v>1990000_86400</v>
      </c>
      <c r="AD45" t="str">
        <f t="shared" si="27"/>
        <v>1990000_89600</v>
      </c>
      <c r="AE45" t="str">
        <f t="shared" si="27"/>
        <v>1990000_92800</v>
      </c>
      <c r="AF45" t="str">
        <f t="shared" si="27"/>
        <v>1990000_96000</v>
      </c>
      <c r="AG45" t="str">
        <f t="shared" si="27"/>
        <v>1990000_99200</v>
      </c>
      <c r="AH45" t="str">
        <f t="shared" si="27"/>
        <v>1990000_102400</v>
      </c>
      <c r="AI45" t="str">
        <f t="shared" si="27"/>
        <v>1990000_105600</v>
      </c>
      <c r="AJ45" t="str">
        <f t="shared" si="27"/>
        <v>1990000_108800</v>
      </c>
      <c r="AK45" t="str">
        <f t="shared" si="27"/>
        <v>1990000_112000</v>
      </c>
      <c r="AL45" t="str">
        <f t="shared" si="27"/>
        <v>1990000_115200</v>
      </c>
      <c r="AM45" t="str">
        <f t="shared" si="27"/>
        <v>1990000_118400</v>
      </c>
      <c r="AN45" t="str">
        <f t="shared" si="27"/>
        <v>1990000_121600</v>
      </c>
      <c r="AO45" t="str">
        <f t="shared" si="27"/>
        <v>1990000_124800</v>
      </c>
      <c r="AP45" t="str">
        <f t="shared" si="27"/>
        <v>1990000_128000</v>
      </c>
      <c r="AQ45" t="str">
        <f t="shared" si="27"/>
        <v>1990000_131200</v>
      </c>
      <c r="AR45" t="str">
        <f t="shared" si="27"/>
        <v>1990000_134400</v>
      </c>
      <c r="AS45" t="str">
        <f t="shared" si="27"/>
        <v>1990000_137600</v>
      </c>
      <c r="AT45" t="str">
        <f t="shared" si="27"/>
        <v>1990000_140800</v>
      </c>
      <c r="AU45" t="str">
        <f t="shared" si="27"/>
        <v>1990000_144000</v>
      </c>
      <c r="AV45" t="str">
        <f t="shared" si="27"/>
        <v>1990000_147200</v>
      </c>
      <c r="AW45" t="str">
        <f t="shared" si="27"/>
        <v>1990000_150400</v>
      </c>
      <c r="AX45" t="str">
        <f t="shared" si="27"/>
        <v>1990000_153600</v>
      </c>
      <c r="AY45" t="str">
        <f t="shared" si="27"/>
        <v>1990000_156800</v>
      </c>
      <c r="AZ45" t="str">
        <f t="shared" si="27"/>
        <v>1990000_160000</v>
      </c>
      <c r="BA45" t="str">
        <f t="shared" si="27"/>
        <v>1990000_163200</v>
      </c>
      <c r="BB45" t="str">
        <f t="shared" si="27"/>
        <v>1990000_166400</v>
      </c>
      <c r="BC45" t="str">
        <f t="shared" si="27"/>
        <v>1990000_169600</v>
      </c>
      <c r="BD45" t="str">
        <f t="shared" si="27"/>
        <v>1990000_172800</v>
      </c>
      <c r="BE45" t="str">
        <f t="shared" si="27"/>
        <v>1990000_176000</v>
      </c>
      <c r="BF45" t="str">
        <f t="shared" si="27"/>
        <v>1990000_179200</v>
      </c>
      <c r="BG45" t="str">
        <f t="shared" si="27"/>
        <v>1990000_182400</v>
      </c>
      <c r="BH45" t="str">
        <f t="shared" si="27"/>
        <v>1990000_185600</v>
      </c>
      <c r="BI45" t="str">
        <f t="shared" si="27"/>
        <v>1990000_188800</v>
      </c>
      <c r="BJ45" t="str">
        <f t="shared" si="27"/>
        <v>1990000_192000</v>
      </c>
      <c r="BK45" t="str">
        <f t="shared" si="27"/>
        <v>1990000_195200</v>
      </c>
      <c r="BL45" t="str">
        <f t="shared" si="27"/>
        <v>1990000_198400</v>
      </c>
    </row>
    <row r="46" spans="3:64">
      <c r="C46" t="str">
        <f t="shared" ref="C46:BL46" si="28">_xlfn.TEXTJOIN("_",TRUE,$A$2,C35)</f>
        <v>1990000_3400</v>
      </c>
      <c r="D46" t="str">
        <f t="shared" si="28"/>
        <v>1990000_6800</v>
      </c>
      <c r="E46" t="str">
        <f t="shared" si="28"/>
        <v>1990000_10200</v>
      </c>
      <c r="F46" t="str">
        <f t="shared" si="28"/>
        <v>1990000_13600</v>
      </c>
      <c r="G46" t="str">
        <f t="shared" si="28"/>
        <v>1990000_17000</v>
      </c>
      <c r="H46" t="str">
        <f t="shared" si="28"/>
        <v>1990000_20400</v>
      </c>
      <c r="I46" t="str">
        <f t="shared" si="28"/>
        <v>1990000_23800</v>
      </c>
      <c r="J46" t="str">
        <f t="shared" si="28"/>
        <v>1990000_27200</v>
      </c>
      <c r="K46" t="str">
        <f t="shared" si="28"/>
        <v>1990000_30600</v>
      </c>
      <c r="L46" t="str">
        <f t="shared" si="28"/>
        <v>1990000_34000</v>
      </c>
      <c r="M46" t="str">
        <f t="shared" si="28"/>
        <v>1990000_37400</v>
      </c>
      <c r="N46" t="str">
        <f t="shared" si="28"/>
        <v>1990000_40800</v>
      </c>
      <c r="O46" t="str">
        <f t="shared" si="28"/>
        <v>1990000_44200</v>
      </c>
      <c r="P46" t="str">
        <f t="shared" si="28"/>
        <v>1990000_47600</v>
      </c>
      <c r="Q46" t="str">
        <f t="shared" si="28"/>
        <v>1990000_51000</v>
      </c>
      <c r="R46" t="str">
        <f t="shared" si="28"/>
        <v>1990000_54400</v>
      </c>
      <c r="S46" t="str">
        <f t="shared" si="28"/>
        <v>1990000_57800</v>
      </c>
      <c r="T46" t="str">
        <f t="shared" si="28"/>
        <v>1990000_61200</v>
      </c>
      <c r="U46" t="str">
        <f t="shared" si="28"/>
        <v>1990000_64600</v>
      </c>
      <c r="V46" t="str">
        <f t="shared" si="28"/>
        <v>1990000_68000</v>
      </c>
      <c r="W46" t="str">
        <f t="shared" si="28"/>
        <v>1990000_71400</v>
      </c>
      <c r="X46" t="str">
        <f t="shared" si="28"/>
        <v>1990000_74800</v>
      </c>
      <c r="Y46" t="str">
        <f t="shared" si="28"/>
        <v>1990000_78200</v>
      </c>
      <c r="Z46" t="str">
        <f t="shared" si="28"/>
        <v>1990000_81600</v>
      </c>
      <c r="AA46" t="str">
        <f t="shared" si="28"/>
        <v>1990000_85000</v>
      </c>
      <c r="AB46" t="str">
        <f t="shared" si="28"/>
        <v>1990000_88400</v>
      </c>
      <c r="AC46" t="str">
        <f t="shared" si="28"/>
        <v>1990000_91800</v>
      </c>
      <c r="AD46" t="str">
        <f t="shared" si="28"/>
        <v>1990000_95200</v>
      </c>
      <c r="AE46" t="str">
        <f t="shared" si="28"/>
        <v>1990000_98600</v>
      </c>
      <c r="AF46" t="str">
        <f t="shared" si="28"/>
        <v>1990000_102000</v>
      </c>
      <c r="AG46" t="str">
        <f t="shared" si="28"/>
        <v>1990000_105400</v>
      </c>
      <c r="AH46" t="str">
        <f t="shared" si="28"/>
        <v>1990000_108800</v>
      </c>
      <c r="AI46" t="str">
        <f t="shared" si="28"/>
        <v>1990000_112200</v>
      </c>
      <c r="AJ46" t="str">
        <f t="shared" si="28"/>
        <v>1990000_115600</v>
      </c>
      <c r="AK46" t="str">
        <f t="shared" si="28"/>
        <v>1990000_119000</v>
      </c>
      <c r="AL46" t="str">
        <f t="shared" si="28"/>
        <v>1990000_122400</v>
      </c>
      <c r="AM46" t="str">
        <f t="shared" si="28"/>
        <v>1990000_125800</v>
      </c>
      <c r="AN46" t="str">
        <f t="shared" si="28"/>
        <v>1990000_129200</v>
      </c>
      <c r="AO46" t="str">
        <f t="shared" si="28"/>
        <v>1990000_132600</v>
      </c>
      <c r="AP46" t="str">
        <f t="shared" si="28"/>
        <v>1990000_136000</v>
      </c>
      <c r="AQ46" t="str">
        <f t="shared" si="28"/>
        <v>1990000_139400</v>
      </c>
      <c r="AR46" t="str">
        <f t="shared" si="28"/>
        <v>1990000_142800</v>
      </c>
      <c r="AS46" t="str">
        <f t="shared" si="28"/>
        <v>1990000_146200</v>
      </c>
      <c r="AT46" t="str">
        <f t="shared" si="28"/>
        <v>1990000_149600</v>
      </c>
      <c r="AU46" t="str">
        <f t="shared" si="28"/>
        <v>1990000_153000</v>
      </c>
      <c r="AV46" t="str">
        <f t="shared" si="28"/>
        <v>1990000_156400</v>
      </c>
      <c r="AW46" t="str">
        <f t="shared" si="28"/>
        <v>1990000_159800</v>
      </c>
      <c r="AX46" t="str">
        <f t="shared" si="28"/>
        <v>1990000_163200</v>
      </c>
      <c r="AY46" t="str">
        <f t="shared" si="28"/>
        <v>1990000_166600</v>
      </c>
      <c r="AZ46" t="str">
        <f t="shared" si="28"/>
        <v>1990000_170000</v>
      </c>
      <c r="BA46" t="str">
        <f t="shared" si="28"/>
        <v>1990000_173400</v>
      </c>
      <c r="BB46" t="str">
        <f t="shared" si="28"/>
        <v>1990000_176800</v>
      </c>
      <c r="BC46" t="str">
        <f t="shared" si="28"/>
        <v>1990000_180200</v>
      </c>
      <c r="BD46" t="str">
        <f t="shared" si="28"/>
        <v>1990000_183600</v>
      </c>
      <c r="BE46" t="str">
        <f t="shared" si="28"/>
        <v>1990000_187000</v>
      </c>
      <c r="BF46" t="str">
        <f t="shared" si="28"/>
        <v>1990000_190400</v>
      </c>
      <c r="BG46" t="str">
        <f t="shared" si="28"/>
        <v>1990000_193800</v>
      </c>
      <c r="BH46" t="str">
        <f t="shared" si="28"/>
        <v>1990000_197200</v>
      </c>
      <c r="BI46" t="str">
        <f t="shared" si="28"/>
        <v>1990000_200600</v>
      </c>
      <c r="BJ46" t="str">
        <f t="shared" si="28"/>
        <v>1990000_204000</v>
      </c>
      <c r="BK46" t="str">
        <f t="shared" si="28"/>
        <v>1990000_207400</v>
      </c>
      <c r="BL46" t="str">
        <f t="shared" si="28"/>
        <v>1990000_210800</v>
      </c>
    </row>
    <row r="47" spans="3:64">
      <c r="C47" t="str">
        <f t="shared" ref="C47:BL47" si="29">_xlfn.TEXTJOIN("_",TRUE,$A$2,C36)</f>
        <v>1990000_3600</v>
      </c>
      <c r="D47" t="str">
        <f t="shared" si="29"/>
        <v>1990000_7200</v>
      </c>
      <c r="E47" t="str">
        <f t="shared" si="29"/>
        <v>1990000_10800</v>
      </c>
      <c r="F47" t="str">
        <f t="shared" si="29"/>
        <v>1990000_14400</v>
      </c>
      <c r="G47" t="str">
        <f t="shared" si="29"/>
        <v>1990000_18000</v>
      </c>
      <c r="H47" t="str">
        <f t="shared" si="29"/>
        <v>1990000_21600</v>
      </c>
      <c r="I47" t="str">
        <f t="shared" si="29"/>
        <v>1990000_25200</v>
      </c>
      <c r="J47" t="str">
        <f t="shared" si="29"/>
        <v>1990000_28800</v>
      </c>
      <c r="K47" t="str">
        <f t="shared" si="29"/>
        <v>1990000_32400</v>
      </c>
      <c r="L47" t="str">
        <f t="shared" si="29"/>
        <v>1990000_36000</v>
      </c>
      <c r="M47" t="str">
        <f t="shared" si="29"/>
        <v>1990000_39600</v>
      </c>
      <c r="N47" t="str">
        <f t="shared" si="29"/>
        <v>1990000_43200</v>
      </c>
      <c r="O47" t="str">
        <f t="shared" si="29"/>
        <v>1990000_46800</v>
      </c>
      <c r="P47" t="str">
        <f t="shared" si="29"/>
        <v>1990000_50400</v>
      </c>
      <c r="Q47" t="str">
        <f t="shared" si="29"/>
        <v>1990000_54000</v>
      </c>
      <c r="R47" t="str">
        <f t="shared" si="29"/>
        <v>1990000_57600</v>
      </c>
      <c r="S47" t="str">
        <f t="shared" si="29"/>
        <v>1990000_61200</v>
      </c>
      <c r="T47" t="str">
        <f t="shared" si="29"/>
        <v>1990000_64800</v>
      </c>
      <c r="U47" t="str">
        <f t="shared" si="29"/>
        <v>1990000_68400</v>
      </c>
      <c r="V47" t="str">
        <f t="shared" si="29"/>
        <v>1990000_72000</v>
      </c>
      <c r="W47" t="str">
        <f t="shared" si="29"/>
        <v>1990000_75600</v>
      </c>
      <c r="X47" t="str">
        <f t="shared" si="29"/>
        <v>1990000_79200</v>
      </c>
      <c r="Y47" t="str">
        <f t="shared" si="29"/>
        <v>1990000_82800</v>
      </c>
      <c r="Z47" t="str">
        <f t="shared" si="29"/>
        <v>1990000_86400</v>
      </c>
      <c r="AA47" t="str">
        <f t="shared" si="29"/>
        <v>1990000_90000</v>
      </c>
      <c r="AB47" t="str">
        <f t="shared" si="29"/>
        <v>1990000_93600</v>
      </c>
      <c r="AC47" t="str">
        <f t="shared" si="29"/>
        <v>1990000_97200</v>
      </c>
      <c r="AD47" t="str">
        <f t="shared" si="29"/>
        <v>1990000_100800</v>
      </c>
      <c r="AE47" t="str">
        <f t="shared" si="29"/>
        <v>1990000_104400</v>
      </c>
      <c r="AF47" t="str">
        <f t="shared" si="29"/>
        <v>1990000_108000</v>
      </c>
      <c r="AG47" t="str">
        <f t="shared" si="29"/>
        <v>1990000_111600</v>
      </c>
      <c r="AH47" t="str">
        <f t="shared" si="29"/>
        <v>1990000_115200</v>
      </c>
      <c r="AI47" t="str">
        <f t="shared" si="29"/>
        <v>1990000_118800</v>
      </c>
      <c r="AJ47" t="str">
        <f t="shared" si="29"/>
        <v>1990000_122400</v>
      </c>
      <c r="AK47" t="str">
        <f t="shared" si="29"/>
        <v>1990000_126000</v>
      </c>
      <c r="AL47" t="str">
        <f t="shared" si="29"/>
        <v>1990000_129600</v>
      </c>
      <c r="AM47" t="str">
        <f t="shared" si="29"/>
        <v>1990000_133200</v>
      </c>
      <c r="AN47" t="str">
        <f t="shared" si="29"/>
        <v>1990000_136800</v>
      </c>
      <c r="AO47" t="str">
        <f t="shared" si="29"/>
        <v>1990000_140400</v>
      </c>
      <c r="AP47" t="str">
        <f t="shared" si="29"/>
        <v>1990000_144000</v>
      </c>
      <c r="AQ47" t="str">
        <f t="shared" si="29"/>
        <v>1990000_147600</v>
      </c>
      <c r="AR47" t="str">
        <f t="shared" si="29"/>
        <v>1990000_151200</v>
      </c>
      <c r="AS47" t="str">
        <f t="shared" si="29"/>
        <v>1990000_154800</v>
      </c>
      <c r="AT47" t="str">
        <f t="shared" si="29"/>
        <v>1990000_158400</v>
      </c>
      <c r="AU47" t="str">
        <f t="shared" si="29"/>
        <v>1990000_162000</v>
      </c>
      <c r="AV47" t="str">
        <f t="shared" si="29"/>
        <v>1990000_165600</v>
      </c>
      <c r="AW47" t="str">
        <f t="shared" si="29"/>
        <v>1990000_169200</v>
      </c>
      <c r="AX47" t="str">
        <f t="shared" si="29"/>
        <v>1990000_172800</v>
      </c>
      <c r="AY47" t="str">
        <f t="shared" si="29"/>
        <v>1990000_176400</v>
      </c>
      <c r="AZ47" t="str">
        <f t="shared" si="29"/>
        <v>1990000_180000</v>
      </c>
      <c r="BA47" t="str">
        <f t="shared" si="29"/>
        <v>1990000_183600</v>
      </c>
      <c r="BB47" t="str">
        <f t="shared" si="29"/>
        <v>1990000_187200</v>
      </c>
      <c r="BC47" t="str">
        <f t="shared" si="29"/>
        <v>1990000_190800</v>
      </c>
      <c r="BD47" t="str">
        <f t="shared" si="29"/>
        <v>1990000_194400</v>
      </c>
      <c r="BE47" t="str">
        <f t="shared" si="29"/>
        <v>1990000_198000</v>
      </c>
      <c r="BF47" t="str">
        <f t="shared" si="29"/>
        <v>1990000_201600</v>
      </c>
      <c r="BG47" t="str">
        <f t="shared" si="29"/>
        <v>1990000_205200</v>
      </c>
      <c r="BH47" t="str">
        <f t="shared" si="29"/>
        <v>1990000_208800</v>
      </c>
      <c r="BI47" t="str">
        <f t="shared" si="29"/>
        <v>1990000_212400</v>
      </c>
      <c r="BJ47" t="str">
        <f t="shared" si="29"/>
        <v>1990000_216000</v>
      </c>
      <c r="BK47" t="str">
        <f t="shared" si="29"/>
        <v>1990000_219600</v>
      </c>
      <c r="BL47" t="str">
        <f t="shared" si="29"/>
        <v>1990000_223200</v>
      </c>
    </row>
    <row r="49" spans="3:64">
      <c r="C49" t="str">
        <f t="shared" ref="C49:AI49" si="30">_xlfn.TEXTJOIN(",",TRUE,C39:C47)</f>
        <v>1990000_2000,1990000_2200,1990000_2400,1990000_2600,1990000_2800,1990000_3000,1990000_3200,1990000_3400,1990000_3600</v>
      </c>
      <c r="D49" t="str">
        <f t="shared" si="30"/>
        <v>1990000_4000,1990000_4400,1990000_4800,1990000_5200,1990000_5600,1990000_6000,1990000_6400,1990000_6800,1990000_7200</v>
      </c>
      <c r="E49" t="str">
        <f t="shared" si="30"/>
        <v>1990000_6000,1990000_6600,1990000_7200,1990000_7800,1990000_8400,1990000_9000,1990000_9600,1990000_10200,1990000_10800</v>
      </c>
      <c r="F49" t="str">
        <f t="shared" si="30"/>
        <v>1990000_8000,1990000_8800,1990000_9600,1990000_10400,1990000_11200,1990000_12000,1990000_12800,1990000_13600,1990000_14400</v>
      </c>
      <c r="G49" t="str">
        <f t="shared" si="30"/>
        <v>1990000_10000,1990000_11000,1990000_12000,1990000_13000,1990000_14000,1990000_15000,1990000_16000,1990000_17000,1990000_18000</v>
      </c>
      <c r="H49" t="str">
        <f t="shared" si="30"/>
        <v>1990000_12000,1990000_13200,1990000_14400,1990000_15600,1990000_16800,1990000_18000,1990000_19200,1990000_20400,1990000_21600</v>
      </c>
      <c r="I49" t="str">
        <f t="shared" si="30"/>
        <v>1990000_14000,1990000_15400,1990000_16800,1990000_18200,1990000_19600,1990000_21000,1990000_22400,1990000_23800,1990000_25200</v>
      </c>
      <c r="J49" t="str">
        <f t="shared" si="30"/>
        <v>1990000_16000,1990000_17600,1990000_19200,1990000_20800,1990000_22400,1990000_24000,1990000_25600,1990000_27200,1990000_28800</v>
      </c>
      <c r="K49" t="str">
        <f t="shared" si="30"/>
        <v>1990000_18000,1990000_19800,1990000_21600,1990000_23400,1990000_25200,1990000_27000,1990000_28800,1990000_30600,1990000_32400</v>
      </c>
      <c r="L49" t="str">
        <f t="shared" si="30"/>
        <v>1990000_20000,1990000_22000,1990000_24000,1990000_26000,1990000_28000,1990000_30000,1990000_32000,1990000_34000,1990000_36000</v>
      </c>
      <c r="M49" t="str">
        <f t="shared" si="30"/>
        <v>1990000_22000,1990000_24200,1990000_26400,1990000_28600,1990000_30800,1990000_33000,1990000_35200,1990000_37400,1990000_39600</v>
      </c>
      <c r="N49" t="str">
        <f t="shared" si="30"/>
        <v>1990000_24000,1990000_26400,1990000_28800,1990000_31200,1990000_33600,1990000_36000,1990000_38400,1990000_40800,1990000_43200</v>
      </c>
      <c r="O49" t="str">
        <f t="shared" si="30"/>
        <v>1990000_26000,1990000_28600,1990000_31200,1990000_33800,1990000_36400,1990000_39000,1990000_41600,1990000_44200,1990000_46800</v>
      </c>
      <c r="P49" t="str">
        <f t="shared" si="30"/>
        <v>1990000_28000,1990000_30800,1990000_33600,1990000_36400,1990000_39200,1990000_42000,1990000_44800,1990000_47600,1990000_50400</v>
      </c>
      <c r="Q49" t="str">
        <f t="shared" si="30"/>
        <v>1990000_30000,1990000_33000,1990000_36000,1990000_39000,1990000_42000,1990000_45000,1990000_48000,1990000_51000,1990000_54000</v>
      </c>
      <c r="R49" t="str">
        <f t="shared" si="30"/>
        <v>1990000_32000,1990000_35200,1990000_38400,1990000_41600,1990000_44800,1990000_48000,1990000_51200,1990000_54400,1990000_57600</v>
      </c>
      <c r="S49" t="str">
        <f t="shared" si="30"/>
        <v>1990000_34000,1990000_37400,1990000_40800,1990000_44200,1990000_47600,1990000_51000,1990000_54400,1990000_57800,1990000_61200</v>
      </c>
      <c r="T49" t="str">
        <f t="shared" si="30"/>
        <v>1990000_36000,1990000_39600,1990000_43200,1990000_46800,1990000_50400,1990000_54000,1990000_57600,1990000_61200,1990000_64800</v>
      </c>
      <c r="U49" t="str">
        <f t="shared" si="30"/>
        <v>1990000_38000,1990000_41800,1990000_45600,1990000_49400,1990000_53200,1990000_57000,1990000_60800,1990000_64600,1990000_68400</v>
      </c>
      <c r="V49" t="str">
        <f t="shared" si="30"/>
        <v>1990000_40000,1990000_44000,1990000_48000,1990000_52000,1990000_56000,1990000_60000,1990000_64000,1990000_68000,1990000_72000</v>
      </c>
      <c r="W49" t="str">
        <f t="shared" si="30"/>
        <v>1990000_42000,1990000_46200,1990000_50400,1990000_54600,1990000_58800,1990000_63000,1990000_67200,1990000_71400,1990000_75600</v>
      </c>
      <c r="X49" t="str">
        <f t="shared" si="30"/>
        <v>1990000_44000,1990000_48400,1990000_52800,1990000_57200,1990000_61600,1990000_66000,1990000_70400,1990000_74800,1990000_79200</v>
      </c>
      <c r="Y49" t="str">
        <f t="shared" si="30"/>
        <v>1990000_46000,1990000_50600,1990000_55200,1990000_59800,1990000_64400,1990000_69000,1990000_73600,1990000_78200,1990000_82800</v>
      </c>
      <c r="Z49" t="str">
        <f t="shared" si="30"/>
        <v>1990000_48000,1990000_52800,1990000_57600,1990000_62400,1990000_67200,1990000_72000,1990000_76800,1990000_81600,1990000_86400</v>
      </c>
      <c r="AA49" t="str">
        <f t="shared" si="30"/>
        <v>1990000_50000,1990000_55000,1990000_60000,1990000_65000,1990000_70000,1990000_75000,1990000_80000,1990000_85000,1990000_90000</v>
      </c>
      <c r="AB49" t="str">
        <f t="shared" si="30"/>
        <v>1990000_52000,1990000_57200,1990000_62400,1990000_67600,1990000_72800,1990000_78000,1990000_83200,1990000_88400,1990000_93600</v>
      </c>
      <c r="AC49" t="str">
        <f t="shared" si="30"/>
        <v>1990000_54000,1990000_59400,1990000_64800,1990000_70200,1990000_75600,1990000_81000,1990000_86400,1990000_91800,1990000_97200</v>
      </c>
      <c r="AD49" t="str">
        <f t="shared" si="30"/>
        <v>1990000_56000,1990000_61600,1990000_67200,1990000_72800,1990000_78400,1990000_84000,1990000_89600,1990000_95200,1990000_100800</v>
      </c>
      <c r="AE49" t="str">
        <f t="shared" si="30"/>
        <v>1990000_58000,1990000_63800,1990000_69600,1990000_75400,1990000_81200,1990000_87000,1990000_92800,1990000_98600,1990000_104400</v>
      </c>
      <c r="AF49" t="str">
        <f t="shared" si="30"/>
        <v>1990000_60000,1990000_66000,1990000_72000,1990000_78000,1990000_84000,1990000_90000,1990000_96000,1990000_102000,1990000_108000</v>
      </c>
      <c r="AG49" t="str">
        <f t="shared" si="30"/>
        <v>1990000_62000,1990000_68200,1990000_74400,1990000_80600,1990000_86800,1990000_93000,1990000_99200,1990000_105400,1990000_111600</v>
      </c>
      <c r="AH49" t="str">
        <f t="shared" si="30"/>
        <v>1990000_64000,1990000_70400,1990000_76800,1990000_83200,1990000_89600,1990000_96000,1990000_102400,1990000_108800,1990000_115200</v>
      </c>
      <c r="AI49" t="str">
        <f t="shared" si="30"/>
        <v>1990000_66000,1990000_72600,1990000_79200,1990000_85800,1990000_92400,1990000_99000,1990000_105600,1990000_112200,1990000_118800</v>
      </c>
      <c r="AJ49" t="str">
        <f t="shared" ref="AJ49:BL49" si="31">_xlfn.TEXTJOIN(",",TRUE,AJ39:AJ47)</f>
        <v>1990000_68000,1990000_74800,1990000_81600,1990000_88400,1990000_95200,1990000_102000,1990000_108800,1990000_115600,1990000_122400</v>
      </c>
      <c r="AK49" t="str">
        <f t="shared" si="31"/>
        <v>1990000_70000,1990000_77000,1990000_84000,1990000_91000,1990000_98000,1990000_105000,1990000_112000,1990000_119000,1990000_126000</v>
      </c>
      <c r="AL49" t="str">
        <f t="shared" si="31"/>
        <v>1990000_72000,1990000_79200,1990000_86400,1990000_93600,1990000_100800,1990000_108000,1990000_115200,1990000_122400,1990000_129600</v>
      </c>
      <c r="AM49" t="str">
        <f t="shared" si="31"/>
        <v>1990000_74000,1990000_81400,1990000_88800,1990000_96200,1990000_103600,1990000_111000,1990000_118400,1990000_125800,1990000_133200</v>
      </c>
      <c r="AN49" t="str">
        <f t="shared" si="31"/>
        <v>1990000_76000,1990000_83600,1990000_91200,1990000_98800,1990000_106400,1990000_114000,1990000_121600,1990000_129200,1990000_136800</v>
      </c>
      <c r="AO49" t="str">
        <f t="shared" si="31"/>
        <v>1990000_78000,1990000_85800,1990000_93600,1990000_101400,1990000_109200,1990000_117000,1990000_124800,1990000_132600,1990000_140400</v>
      </c>
      <c r="AP49" t="str">
        <f t="shared" si="31"/>
        <v>1990000_80000,1990000_88000,1990000_96000,1990000_104000,1990000_112000,1990000_120000,1990000_128000,1990000_136000,1990000_144000</v>
      </c>
      <c r="AQ49" t="str">
        <f t="shared" si="31"/>
        <v>1990000_82000,1990000_90200,1990000_98400,1990000_106600,1990000_114800,1990000_123000,1990000_131200,1990000_139400,1990000_147600</v>
      </c>
      <c r="AR49" t="str">
        <f t="shared" si="31"/>
        <v>1990000_84000,1990000_92400,1990000_100800,1990000_109200,1990000_117600,1990000_126000,1990000_134400,1990000_142800,1990000_151200</v>
      </c>
      <c r="AS49" t="str">
        <f t="shared" si="31"/>
        <v>1990000_86000,1990000_94600,1990000_103200,1990000_111800,1990000_120400,1990000_129000,1990000_137600,1990000_146200,1990000_154800</v>
      </c>
      <c r="AT49" t="str">
        <f t="shared" si="31"/>
        <v>1990000_88000,1990000_96800,1990000_105600,1990000_114400,1990000_123200,1990000_132000,1990000_140800,1990000_149600,1990000_158400</v>
      </c>
      <c r="AU49" t="str">
        <f t="shared" si="31"/>
        <v>1990000_90000,1990000_99000,1990000_108000,1990000_117000,1990000_126000,1990000_135000,1990000_144000,1990000_153000,1990000_162000</v>
      </c>
      <c r="AV49" t="str">
        <f t="shared" si="31"/>
        <v>1990000_92000,1990000_101200,1990000_110400,1990000_119600,1990000_128800,1990000_138000,1990000_147200,1990000_156400,1990000_165600</v>
      </c>
      <c r="AW49" t="str">
        <f t="shared" si="31"/>
        <v>1990000_94000,1990000_103400,1990000_112800,1990000_122200,1990000_131600,1990000_141000,1990000_150400,1990000_159800,1990000_169200</v>
      </c>
      <c r="AX49" t="str">
        <f t="shared" si="31"/>
        <v>1990000_96000,1990000_105600,1990000_115200,1990000_124800,1990000_134400,1990000_144000,1990000_153600,1990000_163200,1990000_172800</v>
      </c>
      <c r="AY49" t="str">
        <f t="shared" si="31"/>
        <v>1990000_98000,1990000_107800,1990000_117600,1990000_127400,1990000_137200,1990000_147000,1990000_156800,1990000_166600,1990000_176400</v>
      </c>
      <c r="AZ49" t="str">
        <f t="shared" si="31"/>
        <v>1990000_100000,1990000_110000,1990000_120000,1990000_130000,1990000_140000,1990000_150000,1990000_160000,1990000_170000,1990000_180000</v>
      </c>
      <c r="BA49" t="str">
        <f t="shared" si="31"/>
        <v>1990000_102000,1990000_112200,1990000_122400,1990000_132600,1990000_142800,1990000_153000,1990000_163200,1990000_173400,1990000_183600</v>
      </c>
      <c r="BB49" t="str">
        <f t="shared" si="31"/>
        <v>1990000_104000,1990000_114400,1990000_124800,1990000_135200,1990000_145600,1990000_156000,1990000_166400,1990000_176800,1990000_187200</v>
      </c>
      <c r="BC49" t="str">
        <f t="shared" si="31"/>
        <v>1990000_106000,1990000_116600,1990000_127200,1990000_137800,1990000_148400,1990000_159000,1990000_169600,1990000_180200,1990000_190800</v>
      </c>
      <c r="BD49" t="str">
        <f t="shared" si="31"/>
        <v>1990000_108000,1990000_118800,1990000_129600,1990000_140400,1990000_151200,1990000_162000,1990000_172800,1990000_183600,1990000_194400</v>
      </c>
      <c r="BE49" t="str">
        <f t="shared" si="31"/>
        <v>1990000_110000,1990000_121000,1990000_132000,1990000_143000,1990000_154000,1990000_165000,1990000_176000,1990000_187000,1990000_198000</v>
      </c>
      <c r="BF49" t="str">
        <f t="shared" si="31"/>
        <v>1990000_112000,1990000_123200,1990000_134400,1990000_145600,1990000_156800,1990000_168000,1990000_179200,1990000_190400,1990000_201600</v>
      </c>
      <c r="BG49" t="str">
        <f t="shared" si="31"/>
        <v>1990000_114000,1990000_125400,1990000_136800,1990000_148200,1990000_159600,1990000_171000,1990000_182400,1990000_193800,1990000_205200</v>
      </c>
      <c r="BH49" t="str">
        <f t="shared" si="31"/>
        <v>1990000_116000,1990000_127600,1990000_139200,1990000_150800,1990000_162400,1990000_174000,1990000_185600,1990000_197200,1990000_208800</v>
      </c>
      <c r="BI49" t="str">
        <f t="shared" si="31"/>
        <v>1990000_118000,1990000_129800,1990000_141600,1990000_153400,1990000_165200,1990000_177000,1990000_188800,1990000_200600,1990000_212400</v>
      </c>
      <c r="BJ49" t="str">
        <f t="shared" si="31"/>
        <v>1990000_120000,1990000_132000,1990000_144000,1990000_156000,1990000_168000,1990000_180000,1990000_192000,1990000_204000,1990000_216000</v>
      </c>
      <c r="BK49" t="str">
        <f t="shared" si="31"/>
        <v>1990000_122000,1990000_134200,1990000_146400,1990000_158600,1990000_170800,1990000_183000,1990000_195200,1990000_207400,1990000_219600</v>
      </c>
      <c r="BL49" t="str">
        <f t="shared" si="31"/>
        <v>1990000_124000,1990000_136400,1990000_148800,1990000_161200,1990000_173600,1990000_186000,1990000_198400,1990000_210800,1990000_223200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V123"/>
  <sheetViews>
    <sheetView topLeftCell="A37" workbookViewId="0">
      <selection activeCell="T23" sqref="T23"/>
    </sheetView>
  </sheetViews>
  <sheetFormatPr defaultColWidth="9" defaultRowHeight="13.5"/>
  <cols>
    <col min="7" max="8" width="9.25"/>
    <col min="9" max="9" width="9.375"/>
    <col min="10" max="10" width="11" customWidth="1"/>
    <col min="11" max="13" width="9.375"/>
    <col min="14" max="14" width="9.25"/>
    <col min="19" max="19" width="9.25"/>
    <col min="20" max="22" width="9.375"/>
  </cols>
  <sheetData>
    <row r="5" spans="1:15">
      <c r="A5" t="str">
        <f>_xlfn.TEXTJOIN("_",TRUE,A6:A15)</f>
        <v>1101251_1101252_1101253_1101254_1101255_1101256_1101257_1101258_1101259_1101260</v>
      </c>
      <c r="B5" t="str">
        <f>_xlfn.TEXTJOIN("_",TRUE,B6:B15)</f>
        <v>1101261_1101262_1101263_1101264_1101265_1101266_1101267_1101268_1101269_1101270</v>
      </c>
      <c r="C5" t="str">
        <f>_xlfn.TEXTJOIN("_",TRUE,C6:C11)</f>
        <v>1101271_1101272_1101273_1101274_1101275_1101276</v>
      </c>
      <c r="O5">
        <v>1101274</v>
      </c>
    </row>
    <row r="6" spans="1:15">
      <c r="A6">
        <v>1101251</v>
      </c>
      <c r="B6">
        <v>1101261</v>
      </c>
      <c r="C6">
        <v>1101271</v>
      </c>
      <c r="G6" t="str">
        <f>_xlfn.TEXTJOIN("_",TRUE,G7:G9)</f>
        <v>1101107_1101108_1101109</v>
      </c>
      <c r="J6" t="str">
        <f>_xlfn.TEXTJOIN("_",TRUE,J7:J9)</f>
        <v>11011071_11011081_11011091</v>
      </c>
      <c r="O6">
        <v>1101275</v>
      </c>
    </row>
    <row r="7" ht="16.5" spans="1:15">
      <c r="A7">
        <v>1101252</v>
      </c>
      <c r="B7">
        <v>1101262</v>
      </c>
      <c r="C7">
        <v>1101272</v>
      </c>
      <c r="G7">
        <v>1101107</v>
      </c>
      <c r="J7" s="6">
        <v>11011071</v>
      </c>
      <c r="O7">
        <v>1101276</v>
      </c>
    </row>
    <row r="8" ht="16.5" spans="1:15">
      <c r="A8">
        <v>1101253</v>
      </c>
      <c r="B8">
        <v>1101263</v>
      </c>
      <c r="C8">
        <v>1101273</v>
      </c>
      <c r="G8">
        <v>1101108</v>
      </c>
      <c r="J8" s="6">
        <v>11011081</v>
      </c>
      <c r="O8">
        <v>1101256</v>
      </c>
    </row>
    <row r="9" ht="16.5" spans="1:15">
      <c r="A9">
        <v>1101254</v>
      </c>
      <c r="B9">
        <v>1101264</v>
      </c>
      <c r="C9">
        <v>1101274</v>
      </c>
      <c r="G9">
        <v>1101109</v>
      </c>
      <c r="J9" s="6">
        <v>11011091</v>
      </c>
      <c r="O9">
        <v>1101261</v>
      </c>
    </row>
    <row r="10" spans="1:15">
      <c r="A10">
        <v>1101255</v>
      </c>
      <c r="B10">
        <v>1101265</v>
      </c>
      <c r="C10">
        <v>1101275</v>
      </c>
      <c r="O10">
        <v>1101263</v>
      </c>
    </row>
    <row r="11" spans="1:15">
      <c r="A11">
        <v>1101256</v>
      </c>
      <c r="B11">
        <v>1101266</v>
      </c>
      <c r="C11">
        <v>1101276</v>
      </c>
      <c r="O11">
        <v>1101266</v>
      </c>
    </row>
    <row r="12" spans="1:15">
      <c r="A12">
        <v>1101257</v>
      </c>
      <c r="B12">
        <v>1101267</v>
      </c>
      <c r="O12">
        <v>1101269</v>
      </c>
    </row>
    <row r="13" spans="1:15">
      <c r="A13">
        <v>1101258</v>
      </c>
      <c r="B13">
        <v>1101268</v>
      </c>
    </row>
    <row r="14" spans="1:15">
      <c r="A14">
        <v>1101259</v>
      </c>
      <c r="B14">
        <v>1101269</v>
      </c>
    </row>
    <row r="15" spans="1:15">
      <c r="A15">
        <v>1101260</v>
      </c>
      <c r="B15">
        <v>1101270</v>
      </c>
      <c r="G15" t="str">
        <f>_xlfn.TEXTJOIN("_",TRUE,G16:G18)</f>
        <v>1101110_1101111_1101112</v>
      </c>
      <c r="J15" t="str">
        <f>_xlfn.TEXTJOIN("_",TRUE,J16:J18)</f>
        <v>11011101_11011111_11011121</v>
      </c>
    </row>
    <row r="16" ht="16.5" spans="1:15">
      <c r="G16">
        <v>1101110</v>
      </c>
      <c r="J16" s="6">
        <v>11011101</v>
      </c>
    </row>
    <row r="17" ht="16.5" spans="7:20">
      <c r="G17">
        <v>1101111</v>
      </c>
      <c r="J17" s="6">
        <v>11011111</v>
      </c>
    </row>
    <row r="18" ht="16.5" spans="7:20">
      <c r="G18">
        <v>1101112</v>
      </c>
      <c r="J18" s="6">
        <v>11011121</v>
      </c>
    </row>
    <row r="20" spans="7:20">
      <c r="R20">
        <v>1</v>
      </c>
    </row>
    <row r="23" spans="7:20">
      <c r="O23" t="str">
        <f>_xlfn.TEXTJOIN("_",TRUE,O24:O35)</f>
        <v>1102101_1102102_1102103_1102104_1102105_1102106_1102113_1102114_1102115_1102116_1102117_1102118</v>
      </c>
      <c r="P23" t="str">
        <f>_xlfn.TEXTJOIN("_",TRUE,P24:P29)</f>
        <v>1102107_1102108_1102109_1102110</v>
      </c>
      <c r="Q23" t="str">
        <f>_xlfn.TEXTJOIN("_",TRUE,Q24:Q29)</f>
        <v>1102111_1102112</v>
      </c>
      <c r="T23" t="str">
        <f>_xlfn.TEXTJOIN("_",TRUE,T24:T35)</f>
        <v>11021011_11021021_11021031_11021041_11021051_11021061_11021131_11021141_11021151_11021161_11021171_11021181</v>
      </c>
    </row>
    <row r="24" spans="7:20">
      <c r="G24" t="str">
        <f>_xlfn.TEXTJOIN("_",TRUE,G25:G29)</f>
        <v>1102266_1102267_1102268_1102269_1102270</v>
      </c>
      <c r="H24" t="str">
        <f>_xlfn.TEXTJOIN("_",TRUE,H25:H30)</f>
        <v>1102271_1102272_1102273_1102274_1102275_1102276</v>
      </c>
      <c r="O24">
        <v>1102101</v>
      </c>
      <c r="P24">
        <v>1102107</v>
      </c>
      <c r="Q24">
        <v>1102111</v>
      </c>
      <c r="T24">
        <f>O24*10+$R$20</f>
        <v>11021011</v>
      </c>
    </row>
    <row r="25" ht="16.5" spans="7:20">
      <c r="G25" s="7">
        <v>1102266</v>
      </c>
      <c r="H25" s="7">
        <v>1102271</v>
      </c>
      <c r="O25">
        <v>1102102</v>
      </c>
      <c r="P25">
        <v>1102108</v>
      </c>
      <c r="Q25">
        <v>1102112</v>
      </c>
      <c r="T25">
        <f t="shared" ref="T25:T35" si="0">O25*10+$R$20</f>
        <v>11021021</v>
      </c>
    </row>
    <row r="26" ht="16.5" spans="7:20">
      <c r="G26" s="7">
        <v>1102267</v>
      </c>
      <c r="H26" s="7">
        <v>1102272</v>
      </c>
      <c r="O26">
        <v>1102103</v>
      </c>
      <c r="P26">
        <v>1102109</v>
      </c>
      <c r="T26">
        <f t="shared" si="0"/>
        <v>11021031</v>
      </c>
    </row>
    <row r="27" ht="16.5" spans="7:20">
      <c r="G27" s="7">
        <v>1102268</v>
      </c>
      <c r="H27" s="7">
        <v>1102273</v>
      </c>
      <c r="O27">
        <v>1102104</v>
      </c>
      <c r="P27">
        <v>1102110</v>
      </c>
      <c r="T27">
        <f t="shared" si="0"/>
        <v>11021041</v>
      </c>
    </row>
    <row r="28" ht="16.5" spans="7:20">
      <c r="G28" s="7">
        <v>1102269</v>
      </c>
      <c r="H28" s="7">
        <v>1102274</v>
      </c>
      <c r="O28">
        <v>1102105</v>
      </c>
      <c r="T28">
        <f t="shared" si="0"/>
        <v>11021051</v>
      </c>
    </row>
    <row r="29" ht="16.5" spans="7:20">
      <c r="G29" s="7">
        <v>1102270</v>
      </c>
      <c r="H29" s="7">
        <v>1102275</v>
      </c>
      <c r="O29">
        <v>1102106</v>
      </c>
      <c r="T29">
        <f t="shared" si="0"/>
        <v>11021061</v>
      </c>
    </row>
    <row r="30" ht="16.5" spans="7:20">
      <c r="H30" s="7">
        <v>1102276</v>
      </c>
      <c r="O30">
        <v>1102113</v>
      </c>
      <c r="T30">
        <f t="shared" si="0"/>
        <v>11021131</v>
      </c>
    </row>
    <row r="31" spans="7:20">
      <c r="O31">
        <v>1102114</v>
      </c>
      <c r="T31">
        <f t="shared" si="0"/>
        <v>11021141</v>
      </c>
    </row>
    <row r="32" spans="7:20">
      <c r="O32">
        <v>1102115</v>
      </c>
      <c r="T32">
        <f t="shared" si="0"/>
        <v>11021151</v>
      </c>
    </row>
    <row r="33" spans="7:20">
      <c r="G33" t="str">
        <f>_xlfn.TEXTJOIN("_",TRUE,G34:G38)</f>
        <v>1103266_1103267_1103268_1103269_1103270</v>
      </c>
      <c r="H33" t="str">
        <f>_xlfn.TEXTJOIN("_",TRUE,H34:H38)</f>
        <v>1103271_1103272_1103273_1103274_1103275</v>
      </c>
      <c r="O33">
        <v>1102116</v>
      </c>
      <c r="T33">
        <f t="shared" si="0"/>
        <v>11021161</v>
      </c>
    </row>
    <row r="34" ht="16.5" spans="7:20">
      <c r="G34" s="8">
        <v>1103266</v>
      </c>
      <c r="H34" s="9">
        <v>1103271</v>
      </c>
      <c r="O34">
        <v>1102117</v>
      </c>
      <c r="T34">
        <f t="shared" si="0"/>
        <v>11021171</v>
      </c>
    </row>
    <row r="35" ht="16.5" spans="7:20">
      <c r="G35" s="8">
        <v>1103267</v>
      </c>
      <c r="H35" s="9">
        <v>1103272</v>
      </c>
      <c r="O35">
        <v>1102118</v>
      </c>
      <c r="T35">
        <f t="shared" si="0"/>
        <v>11021181</v>
      </c>
    </row>
    <row r="36" ht="16.5" spans="7:20">
      <c r="G36" s="8">
        <v>1103268</v>
      </c>
      <c r="H36" s="9">
        <v>1103273</v>
      </c>
    </row>
    <row r="37" ht="16.5" spans="7:20">
      <c r="G37" s="9">
        <v>1103269</v>
      </c>
      <c r="H37" s="9">
        <v>1103274</v>
      </c>
    </row>
    <row r="38" ht="16.5" spans="7:20">
      <c r="G38" s="9">
        <v>1103270</v>
      </c>
      <c r="H38" s="9">
        <v>1103275</v>
      </c>
    </row>
    <row r="40" spans="7:20">
      <c r="G40" t="str">
        <f>_xlfn.TEXTJOIN("_",TRUE,G41:G45)</f>
        <v>1104263_1104264_1104265_1104266_1104267</v>
      </c>
      <c r="H40" t="str">
        <f>_xlfn.TEXTJOIN("_",TRUE,H41:H45)</f>
        <v>1104268_1104269_1104270_1104271_1104272</v>
      </c>
    </row>
    <row r="41" ht="16.5" spans="7:20">
      <c r="G41" s="7">
        <v>1104263</v>
      </c>
      <c r="H41" s="7">
        <v>1104268</v>
      </c>
    </row>
    <row r="42" ht="16.5" spans="7:20">
      <c r="G42" s="7">
        <v>1104264</v>
      </c>
      <c r="H42" s="7">
        <v>1104269</v>
      </c>
    </row>
    <row r="43" ht="16.5" spans="7:20">
      <c r="G43" s="7">
        <v>1104265</v>
      </c>
      <c r="H43" s="7">
        <v>1104270</v>
      </c>
    </row>
    <row r="44" ht="16.5" spans="7:20">
      <c r="G44" s="7">
        <v>1104266</v>
      </c>
      <c r="H44" s="7">
        <v>1104271</v>
      </c>
    </row>
    <row r="45" ht="16.5" spans="7:20">
      <c r="G45" s="7">
        <v>1104267</v>
      </c>
      <c r="H45" s="7">
        <v>1104272</v>
      </c>
    </row>
    <row r="47" spans="7:20">
      <c r="G47" t="str">
        <f>_xlfn.TEXTJOIN("_",TRUE,G48:G52)</f>
        <v>1105266_1105267_1105268_1105269</v>
      </c>
      <c r="H47" t="str">
        <f>_xlfn.TEXTJOIN("_",TRUE,H48:H52)</f>
        <v>1105270_1105271_1105272_1105273_1105274</v>
      </c>
    </row>
    <row r="48" ht="16.5" spans="7:20">
      <c r="G48" s="8">
        <v>1105266</v>
      </c>
      <c r="H48" s="9">
        <v>1105270</v>
      </c>
    </row>
    <row r="49" ht="16.5" spans="6:19">
      <c r="G49" s="8">
        <v>1105267</v>
      </c>
      <c r="H49" s="9">
        <v>1105271</v>
      </c>
    </row>
    <row r="50" ht="16.5" spans="6:19">
      <c r="G50" s="8">
        <v>1105268</v>
      </c>
      <c r="H50" s="9">
        <v>1105272</v>
      </c>
    </row>
    <row r="51" ht="16.5" spans="6:19">
      <c r="G51" s="9">
        <v>1105269</v>
      </c>
      <c r="H51" s="9">
        <v>1105273</v>
      </c>
    </row>
    <row r="52" ht="16.5" spans="6:19">
      <c r="H52" s="9">
        <v>1105274</v>
      </c>
    </row>
    <row r="54" spans="6:19">
      <c r="G54" t="str">
        <f>_xlfn.TEXTJOIN("_",TRUE,G55:G59)</f>
        <v>1106261_1106262_1106263_1106264_1106265</v>
      </c>
      <c r="H54" t="str">
        <f>_xlfn.TEXTJOIN("_",TRUE,H55:H60)</f>
        <v>1106266_1106267_1106268_1106269_1106270_1106271</v>
      </c>
    </row>
    <row r="55" ht="16.5" spans="6:19">
      <c r="G55" s="7">
        <v>1106261</v>
      </c>
      <c r="H55" s="7">
        <v>1106266</v>
      </c>
    </row>
    <row r="56" ht="16.5" spans="6:19">
      <c r="G56" s="7">
        <v>1106262</v>
      </c>
      <c r="H56" s="7">
        <v>1106267</v>
      </c>
    </row>
    <row r="57" ht="16.5" spans="6:19">
      <c r="G57" s="7">
        <v>1106263</v>
      </c>
      <c r="H57" s="7">
        <v>1106268</v>
      </c>
    </row>
    <row r="58" ht="16.5" spans="6:19">
      <c r="G58" s="7">
        <v>1106264</v>
      </c>
      <c r="H58" s="7">
        <v>1106269</v>
      </c>
    </row>
    <row r="59" ht="16.5" spans="6:19">
      <c r="G59" s="7">
        <v>1106265</v>
      </c>
      <c r="H59" s="7">
        <v>1106270</v>
      </c>
    </row>
    <row r="60" ht="16.5" spans="6:19">
      <c r="H60" s="7">
        <v>1106271</v>
      </c>
    </row>
    <row r="62" spans="6:19">
      <c r="F62" t="str">
        <f t="shared" ref="F62:H62" si="1">_xlfn.TEXTJOIN("_",TRUE,F63:F67)</f>
        <v>1107101_1107102_1107103_1107104_1107105</v>
      </c>
      <c r="G62" t="str">
        <f t="shared" si="1"/>
        <v>1107106_1107107_1107108</v>
      </c>
      <c r="H62" t="str">
        <f t="shared" si="1"/>
        <v>1107109_1107110_1107111_1107112</v>
      </c>
      <c r="K62" t="str">
        <f t="shared" ref="K62:M62" si="2">_xlfn.TEXTJOIN("_",TRUE,K63:K67)</f>
        <v>11071011_11071021_11071031_11071041_11071051</v>
      </c>
      <c r="L62" t="str">
        <f t="shared" si="2"/>
        <v>11071061_11071071_11071081</v>
      </c>
      <c r="M62" t="str">
        <f t="shared" si="2"/>
        <v>11071091_11071101_11071111_11071121</v>
      </c>
      <c r="R62" t="str">
        <f>_xlfn.TEXTJOIN("_",TRUE,R63:R67)</f>
        <v>1107259_1107260_1107261_1107262_1107263</v>
      </c>
      <c r="S62" t="str">
        <f>_xlfn.TEXTJOIN("_",TRUE,S63:S67)</f>
        <v>1107264_1107265_1107266_1107267_1107268</v>
      </c>
    </row>
    <row r="63" ht="16.5" spans="6:19">
      <c r="F63">
        <v>1107101</v>
      </c>
      <c r="G63">
        <v>1107106</v>
      </c>
      <c r="H63">
        <v>1107109</v>
      </c>
      <c r="K63">
        <f>F63*10+1</f>
        <v>11071011</v>
      </c>
      <c r="L63">
        <f>G63*10+1</f>
        <v>11071061</v>
      </c>
      <c r="M63">
        <f>H63*10+1</f>
        <v>11071091</v>
      </c>
      <c r="R63" s="8">
        <v>1107259</v>
      </c>
      <c r="S63" s="8">
        <v>1107264</v>
      </c>
    </row>
    <row r="64" ht="16.5" spans="6:19">
      <c r="F64">
        <v>1107102</v>
      </c>
      <c r="G64">
        <v>1107107</v>
      </c>
      <c r="H64">
        <v>1107110</v>
      </c>
      <c r="K64">
        <f t="shared" ref="K64:K69" si="3">F64*10+1</f>
        <v>11071021</v>
      </c>
      <c r="L64">
        <f>G64*10+1</f>
        <v>11071071</v>
      </c>
      <c r="M64">
        <f>H64*10+1</f>
        <v>11071101</v>
      </c>
      <c r="R64" s="8">
        <v>1107260</v>
      </c>
      <c r="S64" s="8">
        <v>1107265</v>
      </c>
    </row>
    <row r="65" ht="16.5" spans="6:19">
      <c r="F65">
        <v>1107103</v>
      </c>
      <c r="G65">
        <v>1107108</v>
      </c>
      <c r="H65">
        <v>1107111</v>
      </c>
      <c r="K65">
        <f t="shared" si="3"/>
        <v>11071031</v>
      </c>
      <c r="L65">
        <f>G65*10+1</f>
        <v>11071081</v>
      </c>
      <c r="M65">
        <f>H65*10+1</f>
        <v>11071111</v>
      </c>
      <c r="R65" s="8">
        <v>1107261</v>
      </c>
      <c r="S65" s="8">
        <v>1107266</v>
      </c>
    </row>
    <row r="66" ht="16.5" spans="6:19">
      <c r="F66">
        <v>1107104</v>
      </c>
      <c r="H66">
        <v>1107112</v>
      </c>
      <c r="K66">
        <f t="shared" si="3"/>
        <v>11071041</v>
      </c>
      <c r="M66">
        <f>H66*10+1</f>
        <v>11071121</v>
      </c>
      <c r="R66" s="8">
        <v>1107262</v>
      </c>
      <c r="S66" s="8">
        <v>1107267</v>
      </c>
    </row>
    <row r="67" ht="16.5" spans="6:19">
      <c r="F67">
        <v>1107105</v>
      </c>
      <c r="K67">
        <f t="shared" si="3"/>
        <v>11071051</v>
      </c>
      <c r="R67" s="8">
        <v>1107263</v>
      </c>
      <c r="S67" s="8">
        <v>1107268</v>
      </c>
    </row>
    <row r="69" spans="6:19">
      <c r="F69" t="str">
        <f t="shared" ref="F69:H69" si="4">_xlfn.TEXTJOIN("_",TRUE,F70:F74)</f>
        <v>1108101_1108102_1108103_1108104_1108105</v>
      </c>
      <c r="G69" t="str">
        <f t="shared" si="4"/>
        <v>1108106_1108107_1108108</v>
      </c>
      <c r="H69" t="str">
        <f t="shared" si="4"/>
        <v>1108109_1108110</v>
      </c>
      <c r="K69" t="str">
        <f t="shared" ref="K69:M69" si="5">_xlfn.TEXTJOIN("_",TRUE,K70:K74)</f>
        <v>11081011_11081021_11081031_11081041_11081051</v>
      </c>
      <c r="L69" t="str">
        <f t="shared" si="5"/>
        <v>11081061_11081071_11081081</v>
      </c>
      <c r="M69" t="str">
        <f t="shared" si="5"/>
        <v>11081091_11081101</v>
      </c>
      <c r="R69" t="str">
        <f>_xlfn.TEXTJOIN("_",TRUE,R70:R74)</f>
        <v>1108261_1108262_1108263_1108264_1108265</v>
      </c>
      <c r="S69" t="str">
        <f>_xlfn.TEXTJOIN("_",TRUE,S70:S74)</f>
        <v>1108266_1108267_1108268_1108269</v>
      </c>
    </row>
    <row r="70" ht="16.5" spans="6:19">
      <c r="F70">
        <v>1108101</v>
      </c>
      <c r="G70">
        <v>1108106</v>
      </c>
      <c r="H70">
        <v>1108109</v>
      </c>
      <c r="K70">
        <f>F70*10+1</f>
        <v>11081011</v>
      </c>
      <c r="L70">
        <f>G70*10+1</f>
        <v>11081061</v>
      </c>
      <c r="M70">
        <f>H70*10+1</f>
        <v>11081091</v>
      </c>
      <c r="R70" s="7">
        <v>1108261</v>
      </c>
      <c r="S70" s="7">
        <v>1108266</v>
      </c>
    </row>
    <row r="71" ht="16.5" spans="6:19">
      <c r="F71">
        <v>1108102</v>
      </c>
      <c r="G71">
        <v>1108107</v>
      </c>
      <c r="H71">
        <v>1108110</v>
      </c>
      <c r="K71">
        <f>F71*10+1</f>
        <v>11081021</v>
      </c>
      <c r="L71">
        <f>G71*10+1</f>
        <v>11081071</v>
      </c>
      <c r="M71">
        <f>H71*10+1</f>
        <v>11081101</v>
      </c>
      <c r="R71" s="7">
        <v>1108262</v>
      </c>
      <c r="S71" s="7">
        <v>1108267</v>
      </c>
    </row>
    <row r="72" ht="16.5" spans="6:19">
      <c r="F72">
        <v>1108103</v>
      </c>
      <c r="G72">
        <v>1108108</v>
      </c>
      <c r="K72">
        <f>F72*10+1</f>
        <v>11081031</v>
      </c>
      <c r="L72">
        <f>G72*10+1</f>
        <v>11081081</v>
      </c>
      <c r="R72" s="7">
        <v>1108263</v>
      </c>
      <c r="S72" s="7">
        <v>1108268</v>
      </c>
    </row>
    <row r="73" ht="16.5" spans="6:19">
      <c r="F73">
        <v>1108104</v>
      </c>
      <c r="K73">
        <f>F73*10+1</f>
        <v>11081041</v>
      </c>
      <c r="R73" s="7">
        <v>1108264</v>
      </c>
      <c r="S73" s="7">
        <v>1108269</v>
      </c>
    </row>
    <row r="74" ht="16.5" spans="6:19">
      <c r="F74">
        <v>1108105</v>
      </c>
      <c r="K74">
        <f>F74*10+1</f>
        <v>11081051</v>
      </c>
      <c r="R74" s="7">
        <v>1108265</v>
      </c>
    </row>
    <row r="79" spans="6:19">
      <c r="R79" t="str">
        <f>_xlfn.TEXTJOIN("_",TRUE,R80:R84)</f>
        <v>1110261_1110262_1110263_1110264_1110265</v>
      </c>
      <c r="S79" t="str">
        <f>_xlfn.TEXTJOIN("_",TRUE,S80:S84)</f>
        <v>1110266_1110267_1110268_1110269_1110270</v>
      </c>
    </row>
    <row r="80" ht="16.5" spans="6:19">
      <c r="R80" s="7">
        <v>1110261</v>
      </c>
      <c r="S80" s="7">
        <v>1110266</v>
      </c>
    </row>
    <row r="81" ht="16.5" spans="6:19">
      <c r="R81" s="7">
        <v>1110262</v>
      </c>
      <c r="S81" s="7">
        <v>1110267</v>
      </c>
    </row>
    <row r="82" ht="16.5" spans="6:19">
      <c r="R82" s="7">
        <v>1110263</v>
      </c>
      <c r="S82" s="7">
        <v>1110268</v>
      </c>
    </row>
    <row r="83" ht="16.5" spans="6:19">
      <c r="F83" t="str">
        <f>_xlfn.TEXTJOIN("_",TRUE,F84:F115)</f>
        <v>1202101_1202103_1202105_1202107_1202109_1202111_1202113_1202115_1202117_1202119_1202121_1202123_1202125_1202127_1202129_1202131</v>
      </c>
      <c r="I83" t="str">
        <f>_xlfn.TEXTJOIN("_",TRUE,I84:I115)</f>
        <v>12021011_12021012_12021031_12021032_12021051_12021052_12021071_12021072_12021091_12021092_12021111_12021112_12021131_12021132_12021151_12021152_12021171_12021172_12021191_12021192_12021211_12021212_12021231_12021232_12021251_12021252_12021271_12021272_12021291_12021292_12021311_12021312</v>
      </c>
      <c r="K83" t="str">
        <f t="shared" ref="K83:N83" si="6">_xlfn.TEXTJOIN("_",TRUE,K84:K115)</f>
        <v>12021011_1_12021031_1_12021051_1_12021071_1_12021091_1_12021111_1_12021131_1_12021151_1_12021171_1_12021191_1_12021211_1_12021231_1_12021251_1_12021271_1_12021291_1_12021311_1</v>
      </c>
      <c r="M83" t="str">
        <f t="shared" si="6"/>
        <v>1202271_1202272_1202273_1202274_1202275_1202276_1202277_1202278_1202279_1202280_1202282_1202283_1202284_1202285_1202286_1202287_1202288_1202289_1202290</v>
      </c>
      <c r="N83" t="str">
        <f t="shared" si="6"/>
        <v>1202291_1202292_1202293_1202294_1202295_1202296_1202297_1202298_1202299_1202300_1202301_1202302_1202303_1202304_1202305_1202306_1202307</v>
      </c>
      <c r="R83" s="7">
        <v>1110264</v>
      </c>
      <c r="S83" s="7">
        <v>1110269</v>
      </c>
    </row>
    <row r="84" ht="16.5" spans="6:19">
      <c r="F84">
        <v>1202101</v>
      </c>
      <c r="I84">
        <v>12021011</v>
      </c>
      <c r="K84">
        <f>F84*10+1</f>
        <v>12021011</v>
      </c>
      <c r="M84" s="7">
        <v>1202271</v>
      </c>
      <c r="N84" s="7">
        <v>1202291</v>
      </c>
      <c r="R84" s="7">
        <v>1110265</v>
      </c>
      <c r="S84" s="7">
        <v>1110270</v>
      </c>
    </row>
    <row r="85" ht="16.5" spans="6:19">
      <c r="I85">
        <v>12021012</v>
      </c>
      <c r="K85">
        <f t="shared" ref="K85:K115" si="7">F85*10+1</f>
        <v>1</v>
      </c>
      <c r="M85" s="7">
        <v>1202272</v>
      </c>
      <c r="N85" s="7">
        <v>1202292</v>
      </c>
    </row>
    <row r="86" ht="16.5" spans="6:19">
      <c r="F86">
        <v>1202103</v>
      </c>
      <c r="I86">
        <v>12021031</v>
      </c>
      <c r="K86">
        <f t="shared" si="7"/>
        <v>12021031</v>
      </c>
      <c r="M86" s="7">
        <v>1202273</v>
      </c>
      <c r="N86" s="7">
        <v>1202293</v>
      </c>
    </row>
    <row r="87" ht="16.5" spans="6:19">
      <c r="I87">
        <v>12021032</v>
      </c>
      <c r="K87">
        <f t="shared" si="7"/>
        <v>1</v>
      </c>
      <c r="M87" s="7">
        <v>1202274</v>
      </c>
      <c r="N87" s="7">
        <v>1202294</v>
      </c>
      <c r="R87" t="str">
        <f>_xlfn.TEXTJOIN("_",TRUE,R88:R92)</f>
        <v>1111261_1111262_1111263_1111264_1111265</v>
      </c>
      <c r="S87" t="str">
        <f>_xlfn.TEXTJOIN("_",TRUE,S88:S93)</f>
        <v>1111266_1111267_1111268_1111269_1111270_1111271</v>
      </c>
    </row>
    <row r="88" ht="16.5" spans="6:19">
      <c r="F88">
        <v>1202105</v>
      </c>
      <c r="I88">
        <v>12021051</v>
      </c>
      <c r="K88">
        <f t="shared" si="7"/>
        <v>12021051</v>
      </c>
      <c r="M88" s="7">
        <v>1202275</v>
      </c>
      <c r="N88" s="7">
        <v>1202295</v>
      </c>
      <c r="R88" s="8">
        <v>1111261</v>
      </c>
      <c r="S88" s="8">
        <v>1111266</v>
      </c>
    </row>
    <row r="89" ht="16.5" spans="6:19">
      <c r="I89">
        <v>12021052</v>
      </c>
      <c r="K89">
        <f t="shared" si="7"/>
        <v>1</v>
      </c>
      <c r="M89" s="7">
        <v>1202276</v>
      </c>
      <c r="N89" s="7">
        <v>1202296</v>
      </c>
      <c r="R89" s="8">
        <v>1111262</v>
      </c>
      <c r="S89" s="8">
        <v>1111267</v>
      </c>
    </row>
    <row r="90" ht="16.5" spans="6:19">
      <c r="F90">
        <v>1202107</v>
      </c>
      <c r="I90">
        <v>12021071</v>
      </c>
      <c r="K90">
        <f t="shared" si="7"/>
        <v>12021071</v>
      </c>
      <c r="M90" s="7">
        <v>1202277</v>
      </c>
      <c r="N90" s="7">
        <v>1202297</v>
      </c>
      <c r="R90" s="8">
        <v>1111263</v>
      </c>
      <c r="S90" s="8">
        <v>1111268</v>
      </c>
    </row>
    <row r="91" ht="16.5" spans="6:19">
      <c r="I91">
        <v>12021072</v>
      </c>
      <c r="K91">
        <f t="shared" si="7"/>
        <v>1</v>
      </c>
      <c r="M91" s="7">
        <v>1202278</v>
      </c>
      <c r="N91" s="7">
        <v>1202298</v>
      </c>
      <c r="R91" s="8">
        <v>1111264</v>
      </c>
      <c r="S91" s="9">
        <v>1111269</v>
      </c>
    </row>
    <row r="92" ht="16.5" spans="6:19">
      <c r="F92">
        <v>1202109</v>
      </c>
      <c r="I92">
        <v>12021091</v>
      </c>
      <c r="K92">
        <f t="shared" si="7"/>
        <v>12021091</v>
      </c>
      <c r="M92" s="7">
        <v>1202279</v>
      </c>
      <c r="N92" s="7">
        <v>1202299</v>
      </c>
      <c r="R92" s="8">
        <v>1111265</v>
      </c>
      <c r="S92" s="9">
        <v>1111270</v>
      </c>
    </row>
    <row r="93" ht="16.5" spans="6:19">
      <c r="I93">
        <v>12021092</v>
      </c>
      <c r="K93">
        <f t="shared" si="7"/>
        <v>1</v>
      </c>
      <c r="M93" s="7">
        <v>1202280</v>
      </c>
      <c r="N93" s="7">
        <v>1202300</v>
      </c>
      <c r="S93" s="8">
        <v>1111271</v>
      </c>
    </row>
    <row r="94" ht="16.5" spans="6:19">
      <c r="F94">
        <v>1202111</v>
      </c>
      <c r="I94">
        <v>12021111</v>
      </c>
      <c r="K94">
        <f t="shared" si="7"/>
        <v>12021111</v>
      </c>
      <c r="M94" s="7">
        <v>1202282</v>
      </c>
      <c r="N94" s="7">
        <v>1202301</v>
      </c>
    </row>
    <row r="95" ht="16.5" spans="6:19">
      <c r="I95">
        <v>12021112</v>
      </c>
      <c r="K95">
        <f t="shared" si="7"/>
        <v>1</v>
      </c>
      <c r="M95" s="7">
        <v>1202283</v>
      </c>
      <c r="N95" s="7">
        <v>1202302</v>
      </c>
    </row>
    <row r="96" ht="16.5" spans="6:19">
      <c r="F96">
        <v>1202113</v>
      </c>
      <c r="I96">
        <v>12021131</v>
      </c>
      <c r="K96">
        <f t="shared" si="7"/>
        <v>12021131</v>
      </c>
      <c r="M96" s="7">
        <v>1202284</v>
      </c>
      <c r="N96" s="7">
        <v>1202303</v>
      </c>
      <c r="R96" t="str">
        <f>_xlfn.TEXTJOIN("_",TRUE,R97:R101)</f>
        <v>1112261_1112262_1112263_1112264_1112265</v>
      </c>
      <c r="S96" t="str">
        <f>_xlfn.TEXTJOIN("_",TRUE,S97:S101)</f>
        <v>1112266_1112267_1112268_1112269</v>
      </c>
    </row>
    <row r="97" ht="16.5" spans="6:22">
      <c r="I97">
        <v>12021132</v>
      </c>
      <c r="K97">
        <f t="shared" si="7"/>
        <v>1</v>
      </c>
      <c r="M97" s="7">
        <v>1202285</v>
      </c>
      <c r="N97" s="7">
        <v>1202304</v>
      </c>
      <c r="R97" s="7">
        <v>1112261</v>
      </c>
      <c r="S97" s="7">
        <v>1112266</v>
      </c>
    </row>
    <row r="98" ht="16.5" spans="6:22">
      <c r="F98">
        <v>1202115</v>
      </c>
      <c r="I98">
        <v>12021151</v>
      </c>
      <c r="K98">
        <f t="shared" si="7"/>
        <v>12021151</v>
      </c>
      <c r="M98" s="10">
        <v>1202286</v>
      </c>
      <c r="N98" s="7">
        <v>1202305</v>
      </c>
      <c r="R98" s="7">
        <v>1112262</v>
      </c>
      <c r="S98" s="7">
        <v>1112267</v>
      </c>
    </row>
    <row r="99" ht="16.5" spans="6:22">
      <c r="I99">
        <v>12021152</v>
      </c>
      <c r="K99">
        <f t="shared" si="7"/>
        <v>1</v>
      </c>
      <c r="M99" s="7">
        <v>1202287</v>
      </c>
      <c r="N99" s="7">
        <v>1202306</v>
      </c>
      <c r="R99" s="7">
        <v>1112263</v>
      </c>
      <c r="S99" s="7">
        <v>1112268</v>
      </c>
    </row>
    <row r="100" ht="16.5" spans="6:22">
      <c r="F100">
        <v>1202117</v>
      </c>
      <c r="I100">
        <v>12021171</v>
      </c>
      <c r="K100">
        <f t="shared" si="7"/>
        <v>12021171</v>
      </c>
      <c r="M100" s="7">
        <v>1202288</v>
      </c>
      <c r="N100" s="7">
        <v>1202307</v>
      </c>
      <c r="R100" s="7">
        <v>1112264</v>
      </c>
      <c r="S100" s="7">
        <v>1112269</v>
      </c>
    </row>
    <row r="101" ht="16.5" spans="6:22">
      <c r="I101">
        <v>12021172</v>
      </c>
      <c r="K101">
        <f t="shared" si="7"/>
        <v>1</v>
      </c>
      <c r="M101" s="7">
        <v>1202289</v>
      </c>
      <c r="R101" s="7">
        <v>1112265</v>
      </c>
    </row>
    <row r="102" ht="16.5" spans="6:22">
      <c r="F102">
        <v>1202119</v>
      </c>
      <c r="I102">
        <v>12021191</v>
      </c>
      <c r="K102">
        <f t="shared" si="7"/>
        <v>12021191</v>
      </c>
      <c r="M102" s="7">
        <v>1202290</v>
      </c>
    </row>
    <row r="103" spans="6:22">
      <c r="I103">
        <v>12021192</v>
      </c>
      <c r="K103">
        <f t="shared" si="7"/>
        <v>1</v>
      </c>
    </row>
    <row r="104" spans="6:22">
      <c r="F104">
        <v>1202121</v>
      </c>
      <c r="I104">
        <v>12021211</v>
      </c>
      <c r="K104">
        <f t="shared" si="7"/>
        <v>12021211</v>
      </c>
    </row>
    <row r="105" spans="6:22">
      <c r="I105">
        <v>12021212</v>
      </c>
      <c r="K105">
        <f t="shared" si="7"/>
        <v>1</v>
      </c>
    </row>
    <row r="106" spans="6:22">
      <c r="F106">
        <v>1202123</v>
      </c>
      <c r="I106">
        <v>12021231</v>
      </c>
      <c r="K106">
        <f t="shared" si="7"/>
        <v>12021231</v>
      </c>
    </row>
    <row r="107" spans="6:22">
      <c r="I107">
        <v>12021232</v>
      </c>
      <c r="K107">
        <f t="shared" si="7"/>
        <v>1</v>
      </c>
    </row>
    <row r="108" spans="6:22">
      <c r="F108">
        <v>1202125</v>
      </c>
      <c r="I108">
        <v>12021251</v>
      </c>
      <c r="K108">
        <f t="shared" si="7"/>
        <v>12021251</v>
      </c>
    </row>
    <row r="109" spans="6:22">
      <c r="I109">
        <v>12021252</v>
      </c>
      <c r="K109">
        <f t="shared" si="7"/>
        <v>1</v>
      </c>
    </row>
    <row r="110" spans="6:22">
      <c r="F110">
        <v>1202127</v>
      </c>
      <c r="I110">
        <v>12021271</v>
      </c>
      <c r="K110">
        <f t="shared" si="7"/>
        <v>12021271</v>
      </c>
    </row>
    <row r="111" spans="6:22">
      <c r="I111">
        <v>12021272</v>
      </c>
      <c r="K111">
        <f t="shared" si="7"/>
        <v>1</v>
      </c>
    </row>
    <row r="112" spans="6:22">
      <c r="F112">
        <v>1202129</v>
      </c>
      <c r="I112">
        <v>12021291</v>
      </c>
      <c r="K112">
        <f t="shared" si="7"/>
        <v>12021291</v>
      </c>
      <c r="P112" t="str">
        <f t="shared" ref="P112:R112" si="8">_xlfn.TEXTJOIN("_",TRUE,P113:P117)</f>
        <v>1111109_1111110_1111106_1111107_1111108</v>
      </c>
      <c r="Q112" t="str">
        <f t="shared" si="8"/>
        <v>1111103_1111104_1111105</v>
      </c>
      <c r="R112" t="str">
        <f t="shared" si="8"/>
        <v>1111102_1111101</v>
      </c>
      <c r="T112" t="str">
        <f t="shared" ref="T112:V112" si="9">_xlfn.TEXTJOIN("_",TRUE,T113:T117)</f>
        <v>11111091_11111101_11111061_11111071_11111081</v>
      </c>
      <c r="U112" t="str">
        <f t="shared" si="9"/>
        <v>11111031_11111041_11111051</v>
      </c>
      <c r="V112" t="str">
        <f t="shared" si="9"/>
        <v>11111021_11111011</v>
      </c>
    </row>
    <row r="113" spans="6:22">
      <c r="I113">
        <v>12021292</v>
      </c>
      <c r="K113">
        <f t="shared" si="7"/>
        <v>1</v>
      </c>
      <c r="P113">
        <v>1111109</v>
      </c>
      <c r="Q113">
        <v>1111103</v>
      </c>
      <c r="R113">
        <v>1111102</v>
      </c>
      <c r="T113">
        <f>P113*10+1</f>
        <v>11111091</v>
      </c>
      <c r="U113">
        <f>Q113*10+1</f>
        <v>11111031</v>
      </c>
      <c r="V113">
        <f>R113*10+1</f>
        <v>11111021</v>
      </c>
    </row>
    <row r="114" spans="6:22">
      <c r="F114">
        <v>1202131</v>
      </c>
      <c r="I114">
        <v>12021311</v>
      </c>
      <c r="K114">
        <f t="shared" si="7"/>
        <v>12021311</v>
      </c>
      <c r="P114">
        <v>1111110</v>
      </c>
      <c r="Q114">
        <v>1111104</v>
      </c>
      <c r="R114">
        <v>1111101</v>
      </c>
      <c r="T114">
        <f>P114*10+1</f>
        <v>11111101</v>
      </c>
      <c r="U114">
        <f>Q114*10+1</f>
        <v>11111041</v>
      </c>
      <c r="V114">
        <f>R114*10+1</f>
        <v>11111011</v>
      </c>
    </row>
    <row r="115" spans="6:22">
      <c r="I115">
        <v>12021312</v>
      </c>
      <c r="K115">
        <f t="shared" si="7"/>
        <v>1</v>
      </c>
      <c r="P115">
        <v>1111106</v>
      </c>
      <c r="Q115">
        <v>1111105</v>
      </c>
      <c r="T115">
        <f>P115*10+1</f>
        <v>11111061</v>
      </c>
      <c r="U115">
        <f>Q115*10+1</f>
        <v>11111051</v>
      </c>
    </row>
    <row r="116" spans="6:22">
      <c r="P116">
        <v>1111107</v>
      </c>
      <c r="T116">
        <f>P116*10+1</f>
        <v>11111071</v>
      </c>
    </row>
    <row r="117" spans="6:22">
      <c r="P117">
        <v>1111108</v>
      </c>
      <c r="T117">
        <f>P117*10+1</f>
        <v>11111081</v>
      </c>
    </row>
    <row r="118" spans="6:22">
      <c r="F118" t="str">
        <f t="shared" ref="F118:H118" si="10">_xlfn.TEXTJOIN("_",TRUE,F119:F123)</f>
        <v>1301251_1301252_1301253_1301254_1301255</v>
      </c>
      <c r="G118" t="str">
        <f t="shared" si="10"/>
        <v>1301256_1301257_1301258</v>
      </c>
      <c r="H118" t="str">
        <f t="shared" si="10"/>
        <v>1301259_1301260</v>
      </c>
    </row>
    <row r="119" ht="16.5" spans="6:22">
      <c r="F119" s="8">
        <v>1301251</v>
      </c>
      <c r="G119">
        <v>1301256</v>
      </c>
      <c r="H119">
        <v>1301259</v>
      </c>
    </row>
    <row r="120" ht="16.5" spans="6:22">
      <c r="F120" s="8">
        <v>1301252</v>
      </c>
      <c r="G120">
        <v>1301257</v>
      </c>
      <c r="H120">
        <v>1301260</v>
      </c>
    </row>
    <row r="121" spans="6:22">
      <c r="F121">
        <v>1301253</v>
      </c>
      <c r="G121">
        <v>1301258</v>
      </c>
    </row>
    <row r="122" spans="6:22">
      <c r="F122">
        <v>1301254</v>
      </c>
    </row>
    <row r="123" spans="6:22">
      <c r="F123">
        <v>1301255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V360"/>
  <sheetViews>
    <sheetView topLeftCell="B313" workbookViewId="0">
      <selection activeCell="K329" sqref="K329"/>
    </sheetView>
  </sheetViews>
  <sheetFormatPr defaultColWidth="9" defaultRowHeight="13.5"/>
  <cols>
    <col min="3" max="8" width="9.375"/>
    <col min="13" max="13" width="12.625"/>
    <col min="16" max="18" width="9.375"/>
  </cols>
  <sheetData>
    <row r="2" spans="1:22">
      <c r="E2" t="str">
        <f>_xlfn.TEXTJOIN("_",TRUE,E3:E11)</f>
        <v>1101274_1101275_1101276_1101256_1101261_1101263_1101266_1101269_1101257</v>
      </c>
      <c r="M2" t="str">
        <f>_xlfn.TEXTJOIN("_",TRUE,M3:M12)</f>
        <v>1102275_1102276_1102272_1102252_1102254_1102258_1102260_1102262_1102266_1102256</v>
      </c>
      <c r="U2" t="str">
        <f>_xlfn.TEXTJOIN("_",TRUE,U3:U12)</f>
        <v>1103269_1103272_1103254_1103258_1103260_1103259_1103261_1103264_1103255</v>
      </c>
    </row>
    <row r="3" spans="1:22">
      <c r="A3">
        <v>1101251</v>
      </c>
      <c r="B3">
        <v>1101261</v>
      </c>
      <c r="C3">
        <v>1101271</v>
      </c>
      <c r="E3">
        <v>1101274</v>
      </c>
      <c r="F3">
        <v>1101268</v>
      </c>
      <c r="J3">
        <v>1102251</v>
      </c>
      <c r="K3">
        <v>1102264</v>
      </c>
      <c r="M3">
        <v>1102275</v>
      </c>
      <c r="N3">
        <v>1102264</v>
      </c>
      <c r="R3">
        <v>1103251</v>
      </c>
      <c r="S3">
        <v>1103263</v>
      </c>
      <c r="U3">
        <v>1103269</v>
      </c>
      <c r="V3">
        <v>1103263</v>
      </c>
    </row>
    <row r="4" spans="1:22">
      <c r="A4">
        <v>1101252</v>
      </c>
      <c r="B4">
        <v>1101262</v>
      </c>
      <c r="C4">
        <v>1101272</v>
      </c>
      <c r="E4">
        <v>1101275</v>
      </c>
      <c r="F4">
        <v>1101267</v>
      </c>
      <c r="J4">
        <v>1102252</v>
      </c>
      <c r="K4">
        <v>1102265</v>
      </c>
      <c r="M4">
        <v>1102276</v>
      </c>
      <c r="N4">
        <v>1102263</v>
      </c>
      <c r="R4">
        <v>1103252</v>
      </c>
      <c r="S4">
        <v>1103264</v>
      </c>
      <c r="U4">
        <v>1103272</v>
      </c>
      <c r="V4">
        <v>1103256</v>
      </c>
    </row>
    <row r="5" spans="1:22">
      <c r="A5">
        <v>1101253</v>
      </c>
      <c r="B5">
        <v>1101263</v>
      </c>
      <c r="C5">
        <v>1101273</v>
      </c>
      <c r="E5">
        <v>1101276</v>
      </c>
      <c r="F5">
        <v>1101259</v>
      </c>
      <c r="J5">
        <v>1102253</v>
      </c>
      <c r="K5">
        <v>1102266</v>
      </c>
      <c r="M5">
        <v>1102272</v>
      </c>
      <c r="N5">
        <v>1102257</v>
      </c>
      <c r="R5">
        <v>1103253</v>
      </c>
      <c r="S5">
        <v>1103265</v>
      </c>
      <c r="U5">
        <v>1103254</v>
      </c>
      <c r="V5">
        <v>1103257</v>
      </c>
    </row>
    <row r="6" spans="1:22">
      <c r="A6">
        <v>1101254</v>
      </c>
      <c r="B6">
        <v>1101264</v>
      </c>
      <c r="C6">
        <v>1101274</v>
      </c>
      <c r="E6">
        <v>1101256</v>
      </c>
      <c r="F6">
        <v>1101258</v>
      </c>
      <c r="J6">
        <v>1102254</v>
      </c>
      <c r="K6">
        <v>1102267</v>
      </c>
      <c r="M6">
        <v>1102252</v>
      </c>
      <c r="N6">
        <v>1102255</v>
      </c>
      <c r="R6">
        <v>1103254</v>
      </c>
      <c r="S6">
        <v>1103266</v>
      </c>
      <c r="U6">
        <v>1103258</v>
      </c>
      <c r="V6">
        <v>1103262</v>
      </c>
    </row>
    <row r="7" spans="1:22">
      <c r="A7">
        <v>1101255</v>
      </c>
      <c r="B7">
        <v>1101265</v>
      </c>
      <c r="C7">
        <v>1101275</v>
      </c>
      <c r="E7">
        <v>1101261</v>
      </c>
      <c r="F7">
        <v>1101262</v>
      </c>
      <c r="J7">
        <v>1102255</v>
      </c>
      <c r="K7">
        <v>1102268</v>
      </c>
      <c r="M7">
        <v>1102254</v>
      </c>
      <c r="N7">
        <v>1102259</v>
      </c>
      <c r="R7">
        <v>1103255</v>
      </c>
      <c r="S7">
        <v>1103267</v>
      </c>
      <c r="U7">
        <v>1103260</v>
      </c>
      <c r="V7">
        <v>1103251</v>
      </c>
    </row>
    <row r="8" spans="1:22">
      <c r="A8">
        <v>1101256</v>
      </c>
      <c r="B8">
        <v>1101266</v>
      </c>
      <c r="C8">
        <v>1101276</v>
      </c>
      <c r="E8">
        <v>1101263</v>
      </c>
      <c r="F8">
        <v>1101265</v>
      </c>
      <c r="J8">
        <v>1102256</v>
      </c>
      <c r="K8">
        <v>1102269</v>
      </c>
      <c r="M8">
        <v>1102258</v>
      </c>
      <c r="N8">
        <v>1102261</v>
      </c>
      <c r="R8">
        <v>1103256</v>
      </c>
      <c r="S8">
        <v>1103268</v>
      </c>
      <c r="U8">
        <v>1103259</v>
      </c>
      <c r="V8">
        <v>1103252</v>
      </c>
    </row>
    <row r="9" spans="1:22">
      <c r="A9">
        <v>1101257</v>
      </c>
      <c r="B9">
        <v>1101267</v>
      </c>
      <c r="E9">
        <v>1101266</v>
      </c>
      <c r="F9">
        <v>1101254</v>
      </c>
      <c r="J9">
        <v>1102257</v>
      </c>
      <c r="K9">
        <v>1102270</v>
      </c>
      <c r="M9">
        <v>1102260</v>
      </c>
      <c r="N9">
        <v>1102251</v>
      </c>
      <c r="R9">
        <v>1103257</v>
      </c>
      <c r="S9">
        <v>1103269</v>
      </c>
      <c r="U9">
        <v>1103261</v>
      </c>
      <c r="V9">
        <v>1103253</v>
      </c>
    </row>
    <row r="10" spans="1:22">
      <c r="A10">
        <v>1101258</v>
      </c>
      <c r="B10">
        <v>1101268</v>
      </c>
      <c r="E10">
        <v>1101269</v>
      </c>
      <c r="F10">
        <v>1101253</v>
      </c>
      <c r="J10">
        <v>1102258</v>
      </c>
      <c r="K10">
        <v>1102271</v>
      </c>
      <c r="M10">
        <v>1102262</v>
      </c>
      <c r="N10">
        <v>1102253</v>
      </c>
      <c r="R10">
        <v>1103258</v>
      </c>
      <c r="S10">
        <v>1103270</v>
      </c>
      <c r="U10">
        <v>1103264</v>
      </c>
      <c r="V10">
        <v>1103273</v>
      </c>
    </row>
    <row r="11" spans="1:22">
      <c r="A11">
        <v>1101259</v>
      </c>
      <c r="B11">
        <v>1101269</v>
      </c>
      <c r="E11">
        <v>1101257</v>
      </c>
      <c r="F11">
        <v>1101251</v>
      </c>
      <c r="J11">
        <v>1102259</v>
      </c>
      <c r="K11">
        <v>1102272</v>
      </c>
      <c r="M11">
        <v>1102266</v>
      </c>
      <c r="N11">
        <v>1102269</v>
      </c>
      <c r="R11">
        <v>1103259</v>
      </c>
      <c r="S11">
        <v>1103271</v>
      </c>
      <c r="U11">
        <v>1103255</v>
      </c>
      <c r="V11">
        <v>1103274</v>
      </c>
    </row>
    <row r="12" spans="1:22">
      <c r="A12">
        <v>1101260</v>
      </c>
      <c r="B12">
        <v>1101270</v>
      </c>
      <c r="F12">
        <v>1101252</v>
      </c>
      <c r="J12">
        <v>1102260</v>
      </c>
      <c r="K12">
        <v>1102273</v>
      </c>
      <c r="M12">
        <v>1102256</v>
      </c>
      <c r="N12">
        <v>1102268</v>
      </c>
      <c r="R12">
        <v>1103260</v>
      </c>
      <c r="S12">
        <v>1103272</v>
      </c>
      <c r="V12">
        <v>1103275</v>
      </c>
    </row>
    <row r="13" spans="1:22">
      <c r="F13">
        <v>1101255</v>
      </c>
      <c r="J13">
        <v>1102261</v>
      </c>
      <c r="K13">
        <v>1102274</v>
      </c>
      <c r="N13">
        <v>1102267</v>
      </c>
      <c r="R13">
        <v>1103261</v>
      </c>
      <c r="S13">
        <v>1103273</v>
      </c>
      <c r="V13">
        <v>1103268</v>
      </c>
    </row>
    <row r="14" spans="1:22">
      <c r="F14">
        <v>1101260</v>
      </c>
      <c r="J14">
        <v>1102262</v>
      </c>
      <c r="K14">
        <v>1102275</v>
      </c>
      <c r="N14">
        <v>1102274</v>
      </c>
      <c r="R14">
        <v>1103262</v>
      </c>
      <c r="S14">
        <v>1103274</v>
      </c>
      <c r="V14">
        <v>1103270</v>
      </c>
    </row>
    <row r="15" spans="1:22">
      <c r="F15">
        <v>1101264</v>
      </c>
      <c r="J15">
        <v>1102263</v>
      </c>
      <c r="K15">
        <v>1102276</v>
      </c>
      <c r="N15">
        <v>1102265</v>
      </c>
      <c r="S15">
        <v>1103275</v>
      </c>
      <c r="V15">
        <v>1103265</v>
      </c>
    </row>
    <row r="16" spans="1:22">
      <c r="F16">
        <v>1101270</v>
      </c>
      <c r="N16">
        <v>1102273</v>
      </c>
      <c r="V16">
        <v>1103266</v>
      </c>
    </row>
    <row r="17" spans="1:22">
      <c r="F17">
        <v>1101271</v>
      </c>
      <c r="N17">
        <v>1102270</v>
      </c>
      <c r="V17">
        <v>1103267</v>
      </c>
    </row>
    <row r="18" spans="1:22">
      <c r="F18">
        <v>1101272</v>
      </c>
      <c r="N18">
        <v>1102271</v>
      </c>
      <c r="V18">
        <v>1103271</v>
      </c>
    </row>
    <row r="19" spans="1:22">
      <c r="F19">
        <v>1101273</v>
      </c>
    </row>
    <row r="24" spans="1:22">
      <c r="E24" t="str">
        <f>_xlfn.TEXTJOIN("_",TRUE,E25:E33)</f>
        <v>1104266_1104269_1104254_1104257_1104258_1104260_1104255</v>
      </c>
      <c r="M24" t="str">
        <f>_xlfn.TEXTJOIN("_",TRUE,M25:M33)</f>
        <v>1105268_1105271_1105254_1105255_1105258_1105259_1105260_1105261</v>
      </c>
      <c r="U24" t="str">
        <f>_xlfn.TEXTJOIN("_",TRUE,U25:U33)</f>
        <v>1106266_1106268_1106257_1106258_1106259_1106260_1106262_1106264</v>
      </c>
    </row>
    <row r="25" spans="1:22">
      <c r="A25">
        <v>1104251</v>
      </c>
      <c r="B25">
        <v>1104261</v>
      </c>
      <c r="E25">
        <v>1104266</v>
      </c>
      <c r="F25">
        <v>1104256</v>
      </c>
      <c r="J25">
        <v>1105251</v>
      </c>
      <c r="K25">
        <v>1105263</v>
      </c>
      <c r="M25">
        <v>1105268</v>
      </c>
      <c r="N25">
        <v>1105263</v>
      </c>
      <c r="R25">
        <v>1106251</v>
      </c>
      <c r="S25">
        <v>1106262</v>
      </c>
      <c r="U25">
        <v>1106266</v>
      </c>
      <c r="V25">
        <v>1106263</v>
      </c>
    </row>
    <row r="26" spans="1:22">
      <c r="A26">
        <v>1104252</v>
      </c>
      <c r="B26">
        <v>1104262</v>
      </c>
      <c r="E26">
        <v>1104269</v>
      </c>
      <c r="F26">
        <v>1104259</v>
      </c>
      <c r="J26">
        <v>1105252</v>
      </c>
      <c r="K26">
        <v>1105264</v>
      </c>
      <c r="M26">
        <v>1105271</v>
      </c>
      <c r="N26">
        <v>1105256</v>
      </c>
      <c r="R26">
        <v>1106252</v>
      </c>
      <c r="S26">
        <v>1106263</v>
      </c>
      <c r="U26">
        <v>1106268</v>
      </c>
      <c r="V26">
        <v>1106261</v>
      </c>
    </row>
    <row r="27" spans="1:22">
      <c r="A27">
        <v>1104253</v>
      </c>
      <c r="B27">
        <v>1104263</v>
      </c>
      <c r="E27">
        <v>1104254</v>
      </c>
      <c r="F27">
        <v>1104261</v>
      </c>
      <c r="J27">
        <v>1105253</v>
      </c>
      <c r="K27">
        <v>1105265</v>
      </c>
      <c r="M27">
        <v>1105254</v>
      </c>
      <c r="N27">
        <v>1105257</v>
      </c>
      <c r="R27">
        <v>1106253</v>
      </c>
      <c r="S27">
        <v>1106264</v>
      </c>
      <c r="U27">
        <v>1106257</v>
      </c>
      <c r="V27">
        <v>1106254</v>
      </c>
    </row>
    <row r="28" spans="1:22">
      <c r="A28">
        <v>1104254</v>
      </c>
      <c r="B28">
        <v>1104264</v>
      </c>
      <c r="E28">
        <v>1104257</v>
      </c>
      <c r="F28">
        <v>1104251</v>
      </c>
      <c r="J28">
        <v>1105254</v>
      </c>
      <c r="K28">
        <v>1105266</v>
      </c>
      <c r="M28">
        <v>1105255</v>
      </c>
      <c r="N28">
        <v>1105262</v>
      </c>
      <c r="R28">
        <v>1106254</v>
      </c>
      <c r="S28">
        <v>1106265</v>
      </c>
      <c r="U28">
        <v>1106258</v>
      </c>
      <c r="V28">
        <v>1106253</v>
      </c>
    </row>
    <row r="29" spans="1:22">
      <c r="A29">
        <v>1104255</v>
      </c>
      <c r="B29">
        <v>1104265</v>
      </c>
      <c r="E29">
        <v>1104258</v>
      </c>
      <c r="F29">
        <v>1104252</v>
      </c>
      <c r="J29">
        <v>1105255</v>
      </c>
      <c r="K29">
        <v>1105267</v>
      </c>
      <c r="M29">
        <v>1105258</v>
      </c>
      <c r="N29">
        <v>1105251</v>
      </c>
      <c r="R29">
        <v>1106255</v>
      </c>
      <c r="S29">
        <v>1106266</v>
      </c>
      <c r="U29">
        <v>1106259</v>
      </c>
      <c r="V29">
        <v>1106251</v>
      </c>
    </row>
    <row r="30" spans="1:22">
      <c r="A30">
        <v>1104256</v>
      </c>
      <c r="B30">
        <v>1104266</v>
      </c>
      <c r="E30">
        <v>1104260</v>
      </c>
      <c r="F30">
        <v>1104253</v>
      </c>
      <c r="J30">
        <v>1105256</v>
      </c>
      <c r="K30">
        <v>1105268</v>
      </c>
      <c r="M30">
        <v>1105259</v>
      </c>
      <c r="N30">
        <v>1105252</v>
      </c>
      <c r="R30">
        <v>1106256</v>
      </c>
      <c r="S30">
        <v>1106267</v>
      </c>
      <c r="U30">
        <v>1106260</v>
      </c>
      <c r="V30">
        <v>1106252</v>
      </c>
    </row>
    <row r="31" spans="1:22">
      <c r="A31">
        <v>1104257</v>
      </c>
      <c r="B31">
        <v>1104267</v>
      </c>
      <c r="E31">
        <v>1104255</v>
      </c>
      <c r="F31">
        <v>1104270</v>
      </c>
      <c r="J31">
        <v>1105257</v>
      </c>
      <c r="K31">
        <v>1105269</v>
      </c>
      <c r="M31">
        <v>1105260</v>
      </c>
      <c r="N31">
        <v>1105253</v>
      </c>
      <c r="R31">
        <v>1106257</v>
      </c>
      <c r="S31">
        <v>1106268</v>
      </c>
      <c r="U31">
        <v>1106262</v>
      </c>
    </row>
    <row r="32" spans="1:22">
      <c r="A32">
        <v>1104258</v>
      </c>
      <c r="B32">
        <v>1104268</v>
      </c>
      <c r="F32">
        <v>1104271</v>
      </c>
      <c r="J32">
        <v>1105258</v>
      </c>
      <c r="K32">
        <v>1105270</v>
      </c>
      <c r="M32">
        <v>1105261</v>
      </c>
      <c r="N32">
        <v>1105272</v>
      </c>
      <c r="R32">
        <v>1106258</v>
      </c>
      <c r="S32">
        <v>1106269</v>
      </c>
      <c r="U32">
        <v>1106264</v>
      </c>
      <c r="V32">
        <v>1106256</v>
      </c>
    </row>
    <row r="33" spans="1:22">
      <c r="A33">
        <v>1104259</v>
      </c>
      <c r="B33">
        <v>1104269</v>
      </c>
      <c r="F33">
        <v>1104272</v>
      </c>
      <c r="J33">
        <v>1105259</v>
      </c>
      <c r="K33">
        <v>1105271</v>
      </c>
      <c r="N33">
        <v>1105273</v>
      </c>
      <c r="R33">
        <v>1106259</v>
      </c>
      <c r="S33">
        <v>1106270</v>
      </c>
      <c r="V33">
        <v>1106265</v>
      </c>
    </row>
    <row r="34" spans="1:22">
      <c r="A34">
        <v>1104260</v>
      </c>
      <c r="B34">
        <v>1104270</v>
      </c>
      <c r="F34">
        <v>1104265</v>
      </c>
      <c r="J34">
        <v>1105260</v>
      </c>
      <c r="K34">
        <v>1105272</v>
      </c>
      <c r="N34">
        <v>1105274</v>
      </c>
      <c r="R34">
        <v>1106260</v>
      </c>
      <c r="S34">
        <v>1106271</v>
      </c>
      <c r="V34">
        <v>1106267</v>
      </c>
    </row>
    <row r="35" spans="1:22">
      <c r="B35">
        <v>1104271</v>
      </c>
      <c r="F35">
        <v>1104267</v>
      </c>
      <c r="J35">
        <v>1105261</v>
      </c>
      <c r="K35">
        <v>1105273</v>
      </c>
      <c r="N35">
        <v>1105267</v>
      </c>
      <c r="R35">
        <v>1106261</v>
      </c>
      <c r="V35">
        <v>1106269</v>
      </c>
    </row>
    <row r="36" spans="1:22">
      <c r="B36">
        <v>1104272</v>
      </c>
      <c r="F36">
        <v>1104262</v>
      </c>
      <c r="J36">
        <v>1105262</v>
      </c>
      <c r="K36">
        <v>1105274</v>
      </c>
      <c r="N36">
        <v>1105269</v>
      </c>
      <c r="V36">
        <v>1106270</v>
      </c>
    </row>
    <row r="37" spans="1:22">
      <c r="F37">
        <v>1104263</v>
      </c>
      <c r="N37">
        <v>1105264</v>
      </c>
      <c r="V37">
        <v>1106271</v>
      </c>
    </row>
    <row r="38" spans="1:22">
      <c r="F38">
        <v>1104264</v>
      </c>
      <c r="N38">
        <v>1105265</v>
      </c>
    </row>
    <row r="39" spans="1:22">
      <c r="F39">
        <v>1104268</v>
      </c>
      <c r="N39">
        <v>1105266</v>
      </c>
    </row>
    <row r="40" spans="1:22">
      <c r="N40">
        <v>1105270</v>
      </c>
    </row>
    <row r="45" spans="1:22">
      <c r="E45" t="str">
        <f>_xlfn.TEXTJOIN("_",TRUE,E46:E54)</f>
        <v>1107267_1107268_1107259_1107253_1107261</v>
      </c>
      <c r="M45" t="str">
        <f>_xlfn.TEXTJOIN("_",TRUE,M46:M54)</f>
        <v>1108268_1108269_1108261_1108262</v>
      </c>
      <c r="U45" t="str">
        <f>_xlfn.TEXTJOIN("_",TRUE,U46:U54)</f>
        <v>1109268_1109269_1109261_1109262</v>
      </c>
    </row>
    <row r="46" spans="1:22">
      <c r="A46">
        <v>1107251</v>
      </c>
      <c r="B46">
        <v>1107259</v>
      </c>
      <c r="E46">
        <v>1107267</v>
      </c>
      <c r="F46">
        <v>1107258</v>
      </c>
      <c r="J46">
        <v>1108251</v>
      </c>
      <c r="K46">
        <v>1108261</v>
      </c>
      <c r="M46">
        <v>1108268</v>
      </c>
      <c r="N46">
        <v>1108263</v>
      </c>
      <c r="R46">
        <v>1109251</v>
      </c>
      <c r="S46">
        <v>1109260</v>
      </c>
      <c r="U46">
        <v>1109268</v>
      </c>
      <c r="V46">
        <v>1109263</v>
      </c>
    </row>
    <row r="47" spans="1:22">
      <c r="A47">
        <v>1107252</v>
      </c>
      <c r="B47">
        <v>1107260</v>
      </c>
      <c r="E47">
        <v>1107268</v>
      </c>
      <c r="F47">
        <v>1107262</v>
      </c>
      <c r="J47">
        <v>1108252</v>
      </c>
      <c r="K47">
        <v>1108262</v>
      </c>
      <c r="M47">
        <v>1108269</v>
      </c>
      <c r="N47">
        <v>1108255</v>
      </c>
      <c r="R47">
        <v>1109252</v>
      </c>
      <c r="S47">
        <v>1109261</v>
      </c>
      <c r="U47">
        <v>1109269</v>
      </c>
      <c r="V47">
        <v>1109255</v>
      </c>
    </row>
    <row r="48" spans="1:22">
      <c r="A48">
        <v>1107253</v>
      </c>
      <c r="B48">
        <v>1107261</v>
      </c>
      <c r="E48">
        <v>1107259</v>
      </c>
      <c r="F48">
        <v>1107263</v>
      </c>
      <c r="J48">
        <v>1108253</v>
      </c>
      <c r="K48">
        <v>1108263</v>
      </c>
      <c r="M48">
        <v>1108261</v>
      </c>
      <c r="N48">
        <v>1108264</v>
      </c>
      <c r="R48">
        <v>1109253</v>
      </c>
      <c r="S48">
        <v>1109262</v>
      </c>
      <c r="U48">
        <v>1109261</v>
      </c>
      <c r="V48">
        <v>1109264</v>
      </c>
    </row>
    <row r="49" spans="1:22">
      <c r="A49">
        <v>1107254</v>
      </c>
      <c r="B49">
        <v>1107262</v>
      </c>
      <c r="E49">
        <v>1107253</v>
      </c>
      <c r="F49">
        <v>1107260</v>
      </c>
      <c r="J49">
        <v>1108254</v>
      </c>
      <c r="K49">
        <v>1108264</v>
      </c>
      <c r="M49">
        <v>1108262</v>
      </c>
      <c r="N49">
        <v>1108253</v>
      </c>
      <c r="R49">
        <v>1109254</v>
      </c>
      <c r="S49">
        <v>1109263</v>
      </c>
      <c r="U49">
        <v>1109262</v>
      </c>
      <c r="V49">
        <v>1109253</v>
      </c>
    </row>
    <row r="50" spans="1:22">
      <c r="A50">
        <v>1107255</v>
      </c>
      <c r="B50">
        <v>1107263</v>
      </c>
      <c r="E50">
        <v>1107261</v>
      </c>
      <c r="F50">
        <v>1107252</v>
      </c>
      <c r="J50">
        <v>1108255</v>
      </c>
      <c r="K50">
        <v>1108265</v>
      </c>
      <c r="N50">
        <v>1108254</v>
      </c>
      <c r="R50">
        <v>1109255</v>
      </c>
      <c r="S50">
        <v>1109264</v>
      </c>
      <c r="V50">
        <v>1109254</v>
      </c>
    </row>
    <row r="51" spans="1:22">
      <c r="A51">
        <v>1107256</v>
      </c>
      <c r="B51">
        <v>1107264</v>
      </c>
      <c r="F51">
        <v>1107255</v>
      </c>
      <c r="J51">
        <v>1108256</v>
      </c>
      <c r="K51">
        <v>1108266</v>
      </c>
      <c r="N51">
        <v>1108257</v>
      </c>
      <c r="R51">
        <v>1109256</v>
      </c>
      <c r="S51">
        <v>1109265</v>
      </c>
      <c r="V51">
        <v>1109257</v>
      </c>
    </row>
    <row r="52" spans="1:22">
      <c r="A52">
        <v>1107257</v>
      </c>
      <c r="B52">
        <v>1107265</v>
      </c>
      <c r="F52">
        <v>1107254</v>
      </c>
      <c r="J52">
        <v>1108257</v>
      </c>
      <c r="K52">
        <v>1108267</v>
      </c>
      <c r="N52">
        <v>1108256</v>
      </c>
      <c r="R52">
        <v>1109257</v>
      </c>
      <c r="S52">
        <v>1109266</v>
      </c>
      <c r="V52">
        <v>1109256</v>
      </c>
    </row>
    <row r="53" spans="1:22">
      <c r="A53">
        <v>1107258</v>
      </c>
      <c r="B53">
        <v>1107266</v>
      </c>
      <c r="F53">
        <v>1107256</v>
      </c>
      <c r="J53">
        <v>1108258</v>
      </c>
      <c r="K53">
        <v>1108268</v>
      </c>
      <c r="N53">
        <v>1108258</v>
      </c>
      <c r="R53">
        <v>1109258</v>
      </c>
      <c r="S53">
        <v>1109267</v>
      </c>
      <c r="V53">
        <v>1109258</v>
      </c>
    </row>
    <row r="54" spans="1:22">
      <c r="B54">
        <v>1107267</v>
      </c>
      <c r="F54">
        <v>1107257</v>
      </c>
      <c r="J54">
        <v>1108259</v>
      </c>
      <c r="K54">
        <v>1108269</v>
      </c>
      <c r="N54">
        <v>1108259</v>
      </c>
      <c r="R54">
        <v>1109259</v>
      </c>
      <c r="S54">
        <v>1109268</v>
      </c>
      <c r="V54">
        <v>1109259</v>
      </c>
    </row>
    <row r="55" spans="1:22">
      <c r="B55">
        <v>1107268</v>
      </c>
      <c r="F55">
        <v>1107251</v>
      </c>
      <c r="J55">
        <v>1108260</v>
      </c>
      <c r="N55">
        <v>1108260</v>
      </c>
      <c r="S55">
        <v>1109269</v>
      </c>
      <c r="V55">
        <v>1109260</v>
      </c>
    </row>
    <row r="56" spans="1:22">
      <c r="F56">
        <v>1107264</v>
      </c>
      <c r="N56">
        <v>1108252</v>
      </c>
      <c r="V56">
        <v>1109252</v>
      </c>
    </row>
    <row r="57" spans="1:22">
      <c r="F57">
        <v>1107265</v>
      </c>
      <c r="N57">
        <v>1108251</v>
      </c>
      <c r="V57">
        <v>1109251</v>
      </c>
    </row>
    <row r="58" spans="1:22">
      <c r="F58">
        <v>1107266</v>
      </c>
      <c r="N58">
        <v>1108265</v>
      </c>
      <c r="V58">
        <v>1109265</v>
      </c>
    </row>
    <row r="59" spans="1:22">
      <c r="N59">
        <v>1108266</v>
      </c>
      <c r="V59">
        <v>1109266</v>
      </c>
    </row>
    <row r="60" spans="1:22">
      <c r="N60">
        <v>1108267</v>
      </c>
      <c r="V60">
        <v>1109267</v>
      </c>
    </row>
    <row r="64" spans="1:22">
      <c r="E64" t="str">
        <f>_xlfn.TEXTJOIN("_",TRUE,E65:E73)</f>
        <v>1110268_1110269_1110259_1110253_1110261</v>
      </c>
      <c r="M64" t="str">
        <f>_xlfn.TEXTJOIN("_",TRUE,M65:M73)</f>
        <v>1111251_1111271_1111267_1111265_1111264_1111263_1111256_1111260</v>
      </c>
      <c r="U64" t="str">
        <f>_xlfn.TEXTJOIN("_",TRUE,U65:U73)</f>
        <v>1112268_1112269_1112261_1112260_1112257</v>
      </c>
    </row>
    <row r="65" spans="1:22">
      <c r="A65">
        <v>1110251</v>
      </c>
      <c r="B65">
        <v>1110260</v>
      </c>
      <c r="E65">
        <v>1110268</v>
      </c>
      <c r="F65">
        <v>1110255</v>
      </c>
      <c r="J65">
        <v>1111251</v>
      </c>
      <c r="K65">
        <v>1111262</v>
      </c>
      <c r="M65">
        <v>1111251</v>
      </c>
      <c r="N65">
        <v>1111261</v>
      </c>
      <c r="R65">
        <v>1112251</v>
      </c>
      <c r="S65">
        <v>1112260</v>
      </c>
      <c r="U65">
        <v>1112268</v>
      </c>
      <c r="V65">
        <v>1112264</v>
      </c>
    </row>
    <row r="66" spans="1:22">
      <c r="A66">
        <v>1110252</v>
      </c>
      <c r="B66">
        <v>1110261</v>
      </c>
      <c r="E66">
        <v>1110269</v>
      </c>
      <c r="F66">
        <v>1110263</v>
      </c>
      <c r="J66">
        <v>1111252</v>
      </c>
      <c r="K66">
        <v>1111263</v>
      </c>
      <c r="M66">
        <v>1111271</v>
      </c>
      <c r="N66">
        <v>1111255</v>
      </c>
      <c r="R66">
        <v>1112252</v>
      </c>
      <c r="S66">
        <v>1112261</v>
      </c>
      <c r="U66">
        <v>1112269</v>
      </c>
      <c r="V66">
        <v>1112255</v>
      </c>
    </row>
    <row r="67" spans="1:22">
      <c r="A67">
        <v>1110253</v>
      </c>
      <c r="B67">
        <v>1110262</v>
      </c>
      <c r="E67">
        <v>1110259</v>
      </c>
      <c r="F67">
        <v>1110257</v>
      </c>
      <c r="J67">
        <v>1111253</v>
      </c>
      <c r="K67">
        <v>1111264</v>
      </c>
      <c r="M67">
        <v>1111267</v>
      </c>
      <c r="N67">
        <v>1111257</v>
      </c>
      <c r="R67">
        <v>1112253</v>
      </c>
      <c r="S67">
        <v>1112262</v>
      </c>
      <c r="U67">
        <v>1112261</v>
      </c>
      <c r="V67">
        <v>1112254</v>
      </c>
    </row>
    <row r="68" spans="1:22">
      <c r="A68">
        <v>1110254</v>
      </c>
      <c r="B68">
        <v>1110263</v>
      </c>
      <c r="E68">
        <v>1110253</v>
      </c>
      <c r="F68">
        <v>1110252</v>
      </c>
      <c r="J68">
        <v>1111254</v>
      </c>
      <c r="K68">
        <v>1111265</v>
      </c>
      <c r="M68">
        <v>1111265</v>
      </c>
      <c r="N68">
        <v>1111266</v>
      </c>
      <c r="R68">
        <v>1112254</v>
      </c>
      <c r="S68">
        <v>1112263</v>
      </c>
      <c r="U68">
        <v>1112260</v>
      </c>
      <c r="V68">
        <v>1112263</v>
      </c>
    </row>
    <row r="69" spans="1:22">
      <c r="A69">
        <v>1110255</v>
      </c>
      <c r="B69">
        <v>1110264</v>
      </c>
      <c r="E69">
        <v>1110261</v>
      </c>
      <c r="F69">
        <v>1110262</v>
      </c>
      <c r="J69">
        <v>1111255</v>
      </c>
      <c r="K69">
        <v>1111266</v>
      </c>
      <c r="M69">
        <v>1111264</v>
      </c>
      <c r="N69">
        <v>1111254</v>
      </c>
      <c r="R69">
        <v>1112255</v>
      </c>
      <c r="S69">
        <v>1112264</v>
      </c>
      <c r="U69">
        <v>1112257</v>
      </c>
      <c r="V69">
        <v>1112262</v>
      </c>
    </row>
    <row r="70" spans="1:22">
      <c r="A70">
        <v>1110256</v>
      </c>
      <c r="B70">
        <v>1110265</v>
      </c>
      <c r="F70">
        <v>1110260</v>
      </c>
      <c r="J70">
        <v>1111256</v>
      </c>
      <c r="K70">
        <v>1111267</v>
      </c>
      <c r="M70">
        <v>1111263</v>
      </c>
      <c r="N70">
        <v>1111268</v>
      </c>
      <c r="R70">
        <v>1112256</v>
      </c>
      <c r="S70">
        <v>1112265</v>
      </c>
      <c r="V70">
        <v>1112256</v>
      </c>
    </row>
    <row r="71" spans="1:22">
      <c r="A71">
        <v>1110257</v>
      </c>
      <c r="B71">
        <v>1110266</v>
      </c>
      <c r="F71">
        <v>1110254</v>
      </c>
      <c r="J71">
        <v>1111257</v>
      </c>
      <c r="K71">
        <v>1111268</v>
      </c>
      <c r="M71">
        <v>1111256</v>
      </c>
      <c r="N71">
        <v>1111262</v>
      </c>
      <c r="R71">
        <v>1112257</v>
      </c>
      <c r="S71">
        <v>1112266</v>
      </c>
      <c r="V71">
        <v>1112258</v>
      </c>
    </row>
    <row r="72" spans="1:22">
      <c r="A72">
        <v>1110258</v>
      </c>
      <c r="B72">
        <v>1110267</v>
      </c>
      <c r="F72">
        <v>1110256</v>
      </c>
      <c r="J72">
        <v>1111258</v>
      </c>
      <c r="K72">
        <v>1111269</v>
      </c>
      <c r="M72">
        <v>1111260</v>
      </c>
      <c r="N72">
        <v>1111259</v>
      </c>
      <c r="R72">
        <v>1112258</v>
      </c>
      <c r="S72">
        <v>1112267</v>
      </c>
      <c r="V72">
        <v>1112259</v>
      </c>
    </row>
    <row r="73" spans="1:22">
      <c r="A73">
        <v>1110259</v>
      </c>
      <c r="B73">
        <v>1110268</v>
      </c>
      <c r="F73">
        <v>1110258</v>
      </c>
      <c r="J73">
        <v>1111259</v>
      </c>
      <c r="K73">
        <v>1111270</v>
      </c>
      <c r="N73">
        <v>1111258</v>
      </c>
      <c r="R73">
        <v>1112259</v>
      </c>
      <c r="S73">
        <v>1112268</v>
      </c>
      <c r="V73">
        <v>1112253</v>
      </c>
    </row>
    <row r="74" spans="1:22">
      <c r="B74">
        <v>1110269</v>
      </c>
      <c r="F74">
        <v>1110270</v>
      </c>
      <c r="J74">
        <v>1111260</v>
      </c>
      <c r="K74">
        <v>1111271</v>
      </c>
      <c r="N74">
        <v>1111270</v>
      </c>
      <c r="S74">
        <v>1112269</v>
      </c>
      <c r="V74">
        <v>1112252</v>
      </c>
    </row>
    <row r="75" spans="1:22">
      <c r="B75">
        <v>1110270</v>
      </c>
      <c r="F75">
        <v>1110251</v>
      </c>
      <c r="J75">
        <v>1111261</v>
      </c>
      <c r="N75">
        <v>1111269</v>
      </c>
      <c r="V75">
        <v>1112251</v>
      </c>
    </row>
    <row r="76" spans="1:22">
      <c r="F76">
        <v>1110264</v>
      </c>
      <c r="N76">
        <v>1111252</v>
      </c>
      <c r="V76">
        <v>1112265</v>
      </c>
    </row>
    <row r="77" spans="1:22">
      <c r="F77">
        <v>1110265</v>
      </c>
      <c r="N77">
        <v>1111253</v>
      </c>
      <c r="V77">
        <v>1112266</v>
      </c>
    </row>
    <row r="78" spans="1:22">
      <c r="F78">
        <v>1110266</v>
      </c>
      <c r="V78">
        <v>1112267</v>
      </c>
    </row>
    <row r="79" spans="1:22">
      <c r="F79">
        <v>1110267</v>
      </c>
    </row>
    <row r="85" spans="1:14">
      <c r="E85" t="str">
        <f t="shared" ref="E85:M85" si="0">_xlfn.TEXTJOIN("_",TRUE,E86:E99)</f>
        <v>1202293_1202307_1202299_1202291_1202282_1202274_1202270_1202261_1202258_1202251_1202253_1202267_1202268_1202265</v>
      </c>
      <c r="F85" t="str">
        <f t="shared" si="0"/>
        <v>1202306_1202298_1202292_1202281</v>
      </c>
      <c r="H85" t="str">
        <f t="shared" si="0"/>
        <v>1202300_1202259</v>
      </c>
      <c r="I85" t="str">
        <f t="shared" si="0"/>
        <v>1202286_1202284</v>
      </c>
      <c r="J85" t="str">
        <f t="shared" si="0"/>
        <v>1202302_1202303_1202304_1202305</v>
      </c>
      <c r="K85" t="str">
        <f t="shared" si="0"/>
        <v>1202294_1202295_1202296_1202297</v>
      </c>
      <c r="L85" t="str">
        <f t="shared" si="0"/>
        <v>1202287_1202288_1202289_1202290</v>
      </c>
      <c r="M85" t="str">
        <f t="shared" si="0"/>
        <v>1202277_1202278_1202279_1202280</v>
      </c>
    </row>
    <row r="86" spans="1:14">
      <c r="A86">
        <v>1202251</v>
      </c>
      <c r="B86">
        <v>1202269</v>
      </c>
      <c r="C86">
        <v>1202289</v>
      </c>
      <c r="E86">
        <v>1202293</v>
      </c>
      <c r="F86">
        <v>1202306</v>
      </c>
      <c r="G86">
        <v>1202255</v>
      </c>
      <c r="H86">
        <v>1202300</v>
      </c>
      <c r="I86">
        <v>1202286</v>
      </c>
      <c r="J86">
        <v>1202302</v>
      </c>
      <c r="K86">
        <v>1202294</v>
      </c>
      <c r="L86">
        <v>1202287</v>
      </c>
      <c r="M86">
        <v>1202277</v>
      </c>
      <c r="N86">
        <v>1202254</v>
      </c>
    </row>
    <row r="87" spans="1:14">
      <c r="A87">
        <v>1202252</v>
      </c>
      <c r="B87">
        <v>1202270</v>
      </c>
      <c r="C87">
        <v>1202290</v>
      </c>
      <c r="E87">
        <v>1202307</v>
      </c>
      <c r="F87">
        <v>1202298</v>
      </c>
      <c r="G87">
        <v>1202271</v>
      </c>
      <c r="H87">
        <v>1202259</v>
      </c>
      <c r="I87">
        <v>1202284</v>
      </c>
      <c r="J87">
        <v>1202303</v>
      </c>
      <c r="K87">
        <v>1202295</v>
      </c>
      <c r="L87">
        <v>1202288</v>
      </c>
      <c r="M87">
        <v>1202278</v>
      </c>
      <c r="N87">
        <v>1202262</v>
      </c>
    </row>
    <row r="88" spans="1:14">
      <c r="A88">
        <v>1202253</v>
      </c>
      <c r="B88">
        <v>1202271</v>
      </c>
      <c r="C88">
        <v>1202291</v>
      </c>
      <c r="E88">
        <v>1202299</v>
      </c>
      <c r="F88">
        <v>1202292</v>
      </c>
      <c r="G88">
        <v>1202252</v>
      </c>
      <c r="J88">
        <v>1202304</v>
      </c>
      <c r="K88">
        <v>1202296</v>
      </c>
      <c r="L88">
        <v>1202289</v>
      </c>
      <c r="M88">
        <v>1202279</v>
      </c>
      <c r="N88">
        <v>1202269</v>
      </c>
    </row>
    <row r="89" spans="1:14">
      <c r="A89">
        <v>1202254</v>
      </c>
      <c r="B89">
        <v>1202272</v>
      </c>
      <c r="C89">
        <v>1202292</v>
      </c>
      <c r="E89">
        <v>1202291</v>
      </c>
      <c r="F89">
        <v>1202281</v>
      </c>
      <c r="G89">
        <v>1202260</v>
      </c>
      <c r="J89">
        <v>1202305</v>
      </c>
      <c r="K89">
        <v>1202297</v>
      </c>
      <c r="L89">
        <v>1202290</v>
      </c>
      <c r="M89">
        <v>1202280</v>
      </c>
      <c r="N89">
        <v>1202276</v>
      </c>
    </row>
    <row r="90" spans="1:14">
      <c r="A90">
        <v>1202255</v>
      </c>
      <c r="B90">
        <v>1202273</v>
      </c>
      <c r="C90">
        <v>1202293</v>
      </c>
      <c r="E90">
        <v>1202282</v>
      </c>
      <c r="G90">
        <v>1202275</v>
      </c>
      <c r="N90">
        <v>1202283</v>
      </c>
    </row>
    <row r="91" spans="1:14">
      <c r="A91">
        <v>1202256</v>
      </c>
      <c r="B91">
        <v>1202274</v>
      </c>
      <c r="C91">
        <v>1202294</v>
      </c>
      <c r="E91">
        <v>1202274</v>
      </c>
      <c r="N91">
        <v>1202285</v>
      </c>
    </row>
    <row r="92" spans="1:14">
      <c r="A92">
        <v>1202257</v>
      </c>
      <c r="B92">
        <v>1202275</v>
      </c>
      <c r="C92">
        <v>1202295</v>
      </c>
      <c r="E92">
        <v>1202270</v>
      </c>
      <c r="N92">
        <v>1202301</v>
      </c>
    </row>
    <row r="93" spans="1:14">
      <c r="A93">
        <v>1202258</v>
      </c>
      <c r="B93">
        <v>1202276</v>
      </c>
      <c r="C93">
        <v>1202296</v>
      </c>
      <c r="E93">
        <v>1202261</v>
      </c>
      <c r="N93">
        <v>1202263</v>
      </c>
    </row>
    <row r="94" spans="1:14">
      <c r="A94">
        <v>1202259</v>
      </c>
      <c r="B94">
        <v>1202277</v>
      </c>
      <c r="C94">
        <v>1202297</v>
      </c>
      <c r="E94">
        <v>1202258</v>
      </c>
      <c r="N94">
        <v>1202264</v>
      </c>
    </row>
    <row r="95" spans="1:14">
      <c r="A95">
        <v>1202260</v>
      </c>
      <c r="B95">
        <v>1202278</v>
      </c>
      <c r="C95">
        <v>1202298</v>
      </c>
      <c r="E95">
        <v>1202251</v>
      </c>
      <c r="N95">
        <v>1202266</v>
      </c>
    </row>
    <row r="96" spans="1:14">
      <c r="A96">
        <v>1202261</v>
      </c>
      <c r="B96">
        <v>1202279</v>
      </c>
      <c r="C96">
        <v>1202299</v>
      </c>
      <c r="E96">
        <v>1202253</v>
      </c>
    </row>
    <row r="97" spans="1:17">
      <c r="A97">
        <v>1202262</v>
      </c>
      <c r="B97">
        <v>1202280</v>
      </c>
      <c r="C97">
        <v>1202300</v>
      </c>
      <c r="E97">
        <v>1202267</v>
      </c>
    </row>
    <row r="98" spans="1:17">
      <c r="A98">
        <v>1202263</v>
      </c>
      <c r="B98">
        <v>1202281</v>
      </c>
      <c r="C98">
        <v>1202301</v>
      </c>
      <c r="E98">
        <v>1202268</v>
      </c>
    </row>
    <row r="99" spans="1:17">
      <c r="A99">
        <v>1202264</v>
      </c>
      <c r="B99">
        <v>1202282</v>
      </c>
      <c r="C99">
        <v>1202302</v>
      </c>
      <c r="E99">
        <v>1202265</v>
      </c>
    </row>
    <row r="100" spans="1:17">
      <c r="A100">
        <v>1202265</v>
      </c>
      <c r="B100">
        <v>1202283</v>
      </c>
      <c r="C100">
        <v>1202303</v>
      </c>
    </row>
    <row r="101" spans="1:17">
      <c r="A101">
        <v>1202266</v>
      </c>
      <c r="B101">
        <v>1202284</v>
      </c>
      <c r="C101">
        <v>1202304</v>
      </c>
    </row>
    <row r="102" spans="1:17">
      <c r="A102">
        <v>1202267</v>
      </c>
      <c r="B102">
        <v>1202285</v>
      </c>
      <c r="C102">
        <v>1202305</v>
      </c>
    </row>
    <row r="103" spans="1:17">
      <c r="A103">
        <v>1202268</v>
      </c>
      <c r="B103">
        <v>1202286</v>
      </c>
      <c r="C103">
        <v>1202306</v>
      </c>
    </row>
    <row r="104" spans="1:17">
      <c r="B104">
        <v>1202287</v>
      </c>
      <c r="C104">
        <v>1202307</v>
      </c>
    </row>
    <row r="105" spans="1:17">
      <c r="B105">
        <v>1202288</v>
      </c>
    </row>
    <row r="111" spans="1:17">
      <c r="C111" t="str">
        <f>_xlfn.TEXTJOIN("_",TRUE,C112:C125)</f>
        <v>1301260_1301258</v>
      </c>
      <c r="J111" t="str">
        <f>_xlfn.TEXTJOIN("_",TRUE,J112:J125)</f>
        <v>1303256_1303257_1303259_1303260</v>
      </c>
      <c r="P111" t="str">
        <f>_xlfn.TEXTJOIN("_",TRUE,P112:P125)</f>
        <v>1304251_1304252_1304253</v>
      </c>
    </row>
    <row r="112" spans="1:17">
      <c r="A112">
        <v>1301251</v>
      </c>
      <c r="C112">
        <v>1301260</v>
      </c>
      <c r="D112">
        <v>1301251</v>
      </c>
      <c r="H112">
        <v>1303251</v>
      </c>
      <c r="J112">
        <v>1303256</v>
      </c>
      <c r="K112">
        <v>1303253</v>
      </c>
      <c r="N112">
        <v>1304251</v>
      </c>
      <c r="P112">
        <v>1304251</v>
      </c>
      <c r="Q112">
        <v>1304254</v>
      </c>
    </row>
    <row r="113" spans="1:17">
      <c r="A113">
        <v>1301252</v>
      </c>
      <c r="C113">
        <v>1301258</v>
      </c>
      <c r="D113">
        <v>1301252</v>
      </c>
      <c r="H113">
        <v>1303252</v>
      </c>
      <c r="J113">
        <v>1303257</v>
      </c>
      <c r="K113">
        <v>1303254</v>
      </c>
      <c r="N113">
        <v>1304252</v>
      </c>
      <c r="P113">
        <v>1304252</v>
      </c>
      <c r="Q113">
        <v>1304255</v>
      </c>
    </row>
    <row r="114" spans="1:17">
      <c r="A114">
        <v>1301253</v>
      </c>
      <c r="D114">
        <v>1301253</v>
      </c>
      <c r="H114">
        <v>1303253</v>
      </c>
      <c r="J114">
        <v>1303259</v>
      </c>
      <c r="K114">
        <v>1303255</v>
      </c>
      <c r="N114">
        <v>1304253</v>
      </c>
      <c r="P114">
        <v>1304253</v>
      </c>
      <c r="Q114">
        <v>1304256</v>
      </c>
    </row>
    <row r="115" spans="1:17">
      <c r="A115">
        <v>1301254</v>
      </c>
      <c r="D115">
        <v>1301254</v>
      </c>
      <c r="H115">
        <v>1303254</v>
      </c>
      <c r="J115">
        <v>1303260</v>
      </c>
      <c r="K115">
        <v>1303251</v>
      </c>
      <c r="N115">
        <v>1304254</v>
      </c>
      <c r="Q115">
        <v>1304257</v>
      </c>
    </row>
    <row r="116" spans="1:17">
      <c r="A116">
        <v>1301255</v>
      </c>
      <c r="D116">
        <v>1301255</v>
      </c>
      <c r="H116">
        <v>1303255</v>
      </c>
      <c r="K116">
        <v>1303252</v>
      </c>
      <c r="N116">
        <v>1304255</v>
      </c>
      <c r="Q116">
        <v>1304258</v>
      </c>
    </row>
    <row r="117" spans="1:17">
      <c r="A117">
        <v>1301256</v>
      </c>
      <c r="D117">
        <v>1301256</v>
      </c>
      <c r="H117">
        <v>1303256</v>
      </c>
      <c r="K117">
        <v>1303258</v>
      </c>
      <c r="N117">
        <v>1304256</v>
      </c>
    </row>
    <row r="118" spans="1:17">
      <c r="A118">
        <v>1301257</v>
      </c>
      <c r="D118">
        <v>1301257</v>
      </c>
      <c r="H118">
        <v>1303257</v>
      </c>
      <c r="N118">
        <v>1304257</v>
      </c>
    </row>
    <row r="119" spans="1:17">
      <c r="A119">
        <v>1301258</v>
      </c>
      <c r="D119">
        <v>1301259</v>
      </c>
      <c r="H119">
        <v>1303258</v>
      </c>
      <c r="N119">
        <v>1304258</v>
      </c>
    </row>
    <row r="120" spans="1:17">
      <c r="A120">
        <v>1301259</v>
      </c>
      <c r="H120">
        <v>1303259</v>
      </c>
    </row>
    <row r="121" spans="1:17">
      <c r="A121">
        <v>1301260</v>
      </c>
      <c r="H121">
        <v>1303260</v>
      </c>
    </row>
    <row r="129" spans="1:6">
      <c r="D129" t="str">
        <f>_xlfn.TEXTJOIN("_",TRUE,D130:D145)</f>
        <v>1102251_1102252_1102253_1102254_1102255_1102256_1102257_1102258_1102296_1102280_1102269_1102270_1102271_1102260_1102262_1102286</v>
      </c>
      <c r="E129" t="str">
        <f>_xlfn.TEXTJOIN("_",TRUE,E130:E145)</f>
        <v>1102259_1102261_1102263_1102264_1102265_1102266_1102267_1102268_1102276_1102277_1102278_1102272_1102273_1102274_1102275_1102279</v>
      </c>
      <c r="F129" t="str">
        <f>_xlfn.TEXTJOIN("_",TRUE,F130:F145)</f>
        <v>1102287_1102288_1102289_1102290_1102282_1102283_1102284_1102285_1102281_1102291_1102292_1102293_1102294_1102295</v>
      </c>
    </row>
    <row r="130" spans="1:6">
      <c r="A130">
        <v>1102251</v>
      </c>
      <c r="B130">
        <v>1102272</v>
      </c>
      <c r="D130">
        <v>1102251</v>
      </c>
      <c r="E130">
        <v>1102259</v>
      </c>
      <c r="F130">
        <v>1102287</v>
      </c>
    </row>
    <row r="131" spans="1:6">
      <c r="A131">
        <v>1102252</v>
      </c>
      <c r="B131">
        <v>1102273</v>
      </c>
      <c r="D131">
        <v>1102252</v>
      </c>
      <c r="E131">
        <v>1102261</v>
      </c>
      <c r="F131">
        <v>1102288</v>
      </c>
    </row>
    <row r="132" spans="1:6">
      <c r="A132">
        <v>1102253</v>
      </c>
      <c r="B132">
        <v>1102274</v>
      </c>
      <c r="D132">
        <v>1102253</v>
      </c>
      <c r="E132">
        <v>1102263</v>
      </c>
      <c r="F132">
        <v>1102289</v>
      </c>
    </row>
    <row r="133" spans="1:6">
      <c r="A133">
        <v>1102254</v>
      </c>
      <c r="B133">
        <v>1102275</v>
      </c>
      <c r="D133">
        <v>1102254</v>
      </c>
      <c r="E133">
        <v>1102264</v>
      </c>
      <c r="F133">
        <v>1102290</v>
      </c>
    </row>
    <row r="134" spans="1:6">
      <c r="A134">
        <v>1102255</v>
      </c>
      <c r="B134">
        <v>1102276</v>
      </c>
      <c r="D134">
        <v>1102255</v>
      </c>
      <c r="E134">
        <v>1102265</v>
      </c>
      <c r="F134">
        <v>1102282</v>
      </c>
    </row>
    <row r="135" spans="1:6">
      <c r="A135">
        <v>1102256</v>
      </c>
      <c r="B135">
        <v>1102277</v>
      </c>
      <c r="D135">
        <v>1102256</v>
      </c>
      <c r="E135">
        <v>1102266</v>
      </c>
      <c r="F135">
        <v>1102283</v>
      </c>
    </row>
    <row r="136" spans="1:6">
      <c r="A136">
        <v>1102257</v>
      </c>
      <c r="B136">
        <v>1102278</v>
      </c>
      <c r="D136">
        <v>1102257</v>
      </c>
      <c r="E136">
        <v>1102267</v>
      </c>
      <c r="F136">
        <v>1102284</v>
      </c>
    </row>
    <row r="137" spans="1:6">
      <c r="A137">
        <v>1102258</v>
      </c>
      <c r="B137">
        <v>1102279</v>
      </c>
      <c r="D137">
        <v>1102258</v>
      </c>
      <c r="E137">
        <v>1102268</v>
      </c>
      <c r="F137">
        <v>1102285</v>
      </c>
    </row>
    <row r="138" spans="1:6">
      <c r="A138">
        <v>1102259</v>
      </c>
      <c r="B138">
        <v>1102280</v>
      </c>
      <c r="D138">
        <v>1102296</v>
      </c>
      <c r="E138">
        <v>1102276</v>
      </c>
      <c r="F138">
        <v>1102281</v>
      </c>
    </row>
    <row r="139" spans="1:6">
      <c r="A139">
        <v>1102260</v>
      </c>
      <c r="B139">
        <v>1102281</v>
      </c>
      <c r="D139">
        <v>1102280</v>
      </c>
      <c r="E139">
        <v>1102277</v>
      </c>
      <c r="F139">
        <v>1102291</v>
      </c>
    </row>
    <row r="140" spans="1:6">
      <c r="A140">
        <v>1102261</v>
      </c>
      <c r="B140">
        <v>1102282</v>
      </c>
      <c r="D140">
        <v>1102269</v>
      </c>
      <c r="E140">
        <v>1102278</v>
      </c>
      <c r="F140">
        <v>1102292</v>
      </c>
    </row>
    <row r="141" spans="1:6">
      <c r="A141">
        <v>1102262</v>
      </c>
      <c r="B141">
        <v>1102283</v>
      </c>
      <c r="D141">
        <v>1102270</v>
      </c>
      <c r="E141">
        <v>1102272</v>
      </c>
      <c r="F141">
        <v>1102293</v>
      </c>
    </row>
    <row r="142" spans="1:6">
      <c r="A142">
        <v>1102263</v>
      </c>
      <c r="B142">
        <v>1102284</v>
      </c>
      <c r="D142">
        <v>1102271</v>
      </c>
      <c r="E142">
        <v>1102273</v>
      </c>
      <c r="F142">
        <v>1102294</v>
      </c>
    </row>
    <row r="143" spans="1:6">
      <c r="A143">
        <v>1102264</v>
      </c>
      <c r="B143">
        <v>1102285</v>
      </c>
      <c r="D143">
        <v>1102260</v>
      </c>
      <c r="E143">
        <v>1102274</v>
      </c>
      <c r="F143">
        <v>1102295</v>
      </c>
    </row>
    <row r="144" spans="1:6">
      <c r="A144">
        <v>1102265</v>
      </c>
      <c r="B144">
        <v>1102286</v>
      </c>
      <c r="D144">
        <v>1102262</v>
      </c>
      <c r="E144">
        <v>1102275</v>
      </c>
    </row>
    <row r="145" spans="1:12">
      <c r="A145">
        <v>1102266</v>
      </c>
      <c r="B145">
        <v>1102287</v>
      </c>
      <c r="D145">
        <v>1102286</v>
      </c>
      <c r="E145">
        <v>1102279</v>
      </c>
    </row>
    <row r="146" spans="1:12">
      <c r="A146">
        <v>1102267</v>
      </c>
      <c r="B146">
        <v>1102288</v>
      </c>
    </row>
    <row r="147" spans="1:12">
      <c r="A147">
        <v>1102268</v>
      </c>
      <c r="B147">
        <v>1102289</v>
      </c>
    </row>
    <row r="148" spans="1:12">
      <c r="A148">
        <v>1102269</v>
      </c>
      <c r="B148">
        <v>1102290</v>
      </c>
    </row>
    <row r="149" spans="1:12">
      <c r="A149">
        <v>1102270</v>
      </c>
      <c r="B149">
        <v>1102291</v>
      </c>
    </row>
    <row r="150" spans="1:12">
      <c r="A150">
        <v>1102271</v>
      </c>
      <c r="B150">
        <v>1102292</v>
      </c>
    </row>
    <row r="151" spans="1:12">
      <c r="B151">
        <v>1102293</v>
      </c>
    </row>
    <row r="152" spans="1:12">
      <c r="B152">
        <v>1102294</v>
      </c>
    </row>
    <row r="153" spans="1:12">
      <c r="B153">
        <v>1102295</v>
      </c>
    </row>
    <row r="154" spans="1:12">
      <c r="B154">
        <v>1102296</v>
      </c>
    </row>
    <row r="159" spans="1:12">
      <c r="B159" t="str">
        <f>_xlfn.TEXTJOIN("_",TRUE,B160:B175)</f>
        <v>1102101_1102102_1102104_1102105_1102109_1102110_1102111_1102113_1102114_1102116_1102117</v>
      </c>
      <c r="C159" t="str">
        <f>_xlfn.TEXTJOIN("_",TRUE,C160:C175)</f>
        <v>11021011_11021021_11021041_11021051_11021091_11021101_11021111_11021131_11021141_11021161_11021171</v>
      </c>
      <c r="H159" t="str">
        <f>_xlfn.TEXTJOIN("_",TRUE,H160:H196)</f>
        <v>1102251_1102252_1102253_1102254_1102255_1102256_1102257_1102258_1102259_1102260_1102261_1102263_1102264_1102265_1102266_1102267_1102268_1102271_1102274_1102275_1102276_1102277_1102278_1102279_1102280_1102281_1102282_1102283_1102284_1102285_1102286_1102293_1102295_1102296_1102297_1102298_1102299</v>
      </c>
      <c r="J159" t="str">
        <f t="shared" ref="J159:L159" si="1">_xlfn.TEXTJOIN("_",TRUE,J160:J175)</f>
        <v>1102272_1102273</v>
      </c>
      <c r="K159" t="str">
        <f t="shared" si="1"/>
        <v>1102262</v>
      </c>
      <c r="L159" t="str">
        <f t="shared" si="1"/>
        <v>1102287_1102288_1102289_1102290_1102291_1102292_1102294</v>
      </c>
    </row>
    <row r="160" spans="1:12">
      <c r="A160">
        <v>1102101</v>
      </c>
      <c r="B160">
        <v>1102101</v>
      </c>
      <c r="C160">
        <f>B160*10+1</f>
        <v>11021011</v>
      </c>
      <c r="E160">
        <v>1102251</v>
      </c>
      <c r="F160">
        <v>1102275</v>
      </c>
      <c r="H160">
        <v>1102251</v>
      </c>
      <c r="J160">
        <v>1102272</v>
      </c>
      <c r="K160">
        <v>1102262</v>
      </c>
      <c r="L160">
        <v>1102287</v>
      </c>
    </row>
    <row r="161" spans="1:12">
      <c r="A161">
        <v>1102102</v>
      </c>
      <c r="B161">
        <v>1102102</v>
      </c>
      <c r="C161">
        <f>B161*10+1</f>
        <v>11021021</v>
      </c>
      <c r="E161">
        <v>1102252</v>
      </c>
      <c r="F161">
        <v>1102276</v>
      </c>
      <c r="H161">
        <v>1102252</v>
      </c>
      <c r="J161">
        <v>1102273</v>
      </c>
      <c r="L161">
        <v>1102288</v>
      </c>
    </row>
    <row r="162" spans="1:12">
      <c r="A162">
        <v>1102103</v>
      </c>
      <c r="B162">
        <v>1102104</v>
      </c>
      <c r="C162">
        <f t="shared" ref="C162:C170" si="2">B162*10+1</f>
        <v>11021041</v>
      </c>
      <c r="E162">
        <v>1102253</v>
      </c>
      <c r="F162">
        <v>1102277</v>
      </c>
      <c r="H162">
        <v>1102253</v>
      </c>
      <c r="L162">
        <v>1102289</v>
      </c>
    </row>
    <row r="163" spans="1:12">
      <c r="A163">
        <v>1102104</v>
      </c>
      <c r="B163">
        <v>1102105</v>
      </c>
      <c r="C163">
        <f t="shared" si="2"/>
        <v>11021051</v>
      </c>
      <c r="E163">
        <v>1102254</v>
      </c>
      <c r="F163">
        <v>1102278</v>
      </c>
      <c r="H163">
        <v>1102254</v>
      </c>
      <c r="L163">
        <v>1102290</v>
      </c>
    </row>
    <row r="164" spans="1:12">
      <c r="A164">
        <v>1102105</v>
      </c>
      <c r="B164">
        <v>1102109</v>
      </c>
      <c r="C164">
        <f t="shared" si="2"/>
        <v>11021091</v>
      </c>
      <c r="E164">
        <v>1102255</v>
      </c>
      <c r="F164">
        <v>1102279</v>
      </c>
      <c r="H164">
        <v>1102255</v>
      </c>
      <c r="L164">
        <v>1102291</v>
      </c>
    </row>
    <row r="165" spans="1:12">
      <c r="A165">
        <v>1102106</v>
      </c>
      <c r="B165">
        <v>1102110</v>
      </c>
      <c r="C165">
        <f t="shared" si="2"/>
        <v>11021101</v>
      </c>
      <c r="E165">
        <v>1102256</v>
      </c>
      <c r="F165">
        <v>1102280</v>
      </c>
      <c r="H165">
        <v>1102256</v>
      </c>
      <c r="L165">
        <v>1102292</v>
      </c>
    </row>
    <row r="166" spans="1:12">
      <c r="A166">
        <v>1102107</v>
      </c>
      <c r="B166">
        <v>1102111</v>
      </c>
      <c r="C166">
        <f t="shared" si="2"/>
        <v>11021111</v>
      </c>
      <c r="E166">
        <v>1102257</v>
      </c>
      <c r="F166">
        <v>1102281</v>
      </c>
      <c r="H166">
        <v>1102257</v>
      </c>
      <c r="L166">
        <v>1102294</v>
      </c>
    </row>
    <row r="167" spans="1:12">
      <c r="A167">
        <v>1102108</v>
      </c>
      <c r="B167">
        <v>1102113</v>
      </c>
      <c r="C167">
        <f t="shared" si="2"/>
        <v>11021131</v>
      </c>
      <c r="E167">
        <v>1102258</v>
      </c>
      <c r="F167">
        <v>1102282</v>
      </c>
      <c r="H167">
        <v>1102258</v>
      </c>
    </row>
    <row r="168" spans="1:12">
      <c r="A168">
        <v>1102109</v>
      </c>
      <c r="B168">
        <v>1102114</v>
      </c>
      <c r="C168">
        <f t="shared" si="2"/>
        <v>11021141</v>
      </c>
      <c r="E168">
        <v>1102259</v>
      </c>
      <c r="F168">
        <v>1102283</v>
      </c>
      <c r="H168">
        <v>1102259</v>
      </c>
    </row>
    <row r="169" spans="1:12">
      <c r="A169">
        <v>1102110</v>
      </c>
      <c r="B169">
        <v>1102116</v>
      </c>
      <c r="C169">
        <f t="shared" si="2"/>
        <v>11021161</v>
      </c>
      <c r="E169">
        <v>1102260</v>
      </c>
      <c r="F169">
        <v>1102284</v>
      </c>
      <c r="H169">
        <v>1102260</v>
      </c>
    </row>
    <row r="170" spans="1:12">
      <c r="A170">
        <v>1102111</v>
      </c>
      <c r="B170">
        <v>1102117</v>
      </c>
      <c r="C170">
        <f t="shared" si="2"/>
        <v>11021171</v>
      </c>
      <c r="E170">
        <v>1102261</v>
      </c>
      <c r="F170">
        <v>1102285</v>
      </c>
      <c r="H170">
        <v>1102261</v>
      </c>
    </row>
    <row r="171" spans="1:12">
      <c r="A171">
        <v>1102112</v>
      </c>
      <c r="E171">
        <v>1102262</v>
      </c>
      <c r="F171">
        <v>1102286</v>
      </c>
      <c r="H171">
        <v>1102263</v>
      </c>
    </row>
    <row r="172" spans="1:12">
      <c r="A172">
        <v>1102113</v>
      </c>
      <c r="E172">
        <v>1102263</v>
      </c>
      <c r="F172">
        <v>1102287</v>
      </c>
      <c r="H172">
        <v>1102264</v>
      </c>
    </row>
    <row r="173" spans="1:12">
      <c r="A173">
        <v>1102114</v>
      </c>
      <c r="E173">
        <v>1102264</v>
      </c>
      <c r="F173">
        <v>1102288</v>
      </c>
      <c r="H173">
        <v>1102265</v>
      </c>
    </row>
    <row r="174" spans="1:12">
      <c r="A174">
        <v>1102115</v>
      </c>
      <c r="E174">
        <v>1102265</v>
      </c>
      <c r="F174">
        <v>1102289</v>
      </c>
      <c r="H174">
        <v>1102266</v>
      </c>
    </row>
    <row r="175" spans="1:12">
      <c r="A175">
        <v>1102116</v>
      </c>
      <c r="E175">
        <v>1102266</v>
      </c>
      <c r="F175">
        <v>1102290</v>
      </c>
      <c r="H175">
        <v>1102267</v>
      </c>
    </row>
    <row r="176" spans="1:12">
      <c r="A176">
        <v>1102117</v>
      </c>
      <c r="E176">
        <v>1102267</v>
      </c>
      <c r="F176">
        <v>1102291</v>
      </c>
      <c r="H176">
        <v>1102268</v>
      </c>
    </row>
    <row r="177" spans="1:8">
      <c r="A177">
        <v>1102118</v>
      </c>
      <c r="E177">
        <v>1102268</v>
      </c>
      <c r="F177">
        <v>1102292</v>
      </c>
      <c r="H177">
        <v>1102271</v>
      </c>
    </row>
    <row r="178" spans="1:8">
      <c r="B178" t="str">
        <f>_xlfn.TEXTJOIN("_",TRUE,B179:B194)</f>
        <v>1102103_1102115_1102107_1102108_1102112_1101106_1101101_1101107_1101109_1101113_1101114_1101115_1101116_1101101_1101111_1101112_1101111_1101112_1102107_1102108_1102112</v>
      </c>
      <c r="C178" t="str">
        <f>_xlfn.TEXTJOIN("_",TRUE,C179:C194)</f>
        <v>11021031_11021151_11021071_11021081_11021121_11011061_11011011_11011071_11011091_11011131_11011141_11011151_11011161_11011011_11011111_11011121_11011111_11011121_11021071_11021081_11021121</v>
      </c>
      <c r="E178">
        <v>1102269</v>
      </c>
      <c r="F178">
        <v>1102293</v>
      </c>
      <c r="H178">
        <v>1102274</v>
      </c>
    </row>
    <row r="179" spans="1:8">
      <c r="B179">
        <v>1102103</v>
      </c>
      <c r="C179">
        <f t="shared" ref="C179:C184" si="3">B179*10+1</f>
        <v>11021031</v>
      </c>
      <c r="E179">
        <v>1102270</v>
      </c>
      <c r="F179">
        <v>1102294</v>
      </c>
      <c r="H179">
        <v>1102275</v>
      </c>
    </row>
    <row r="180" spans="1:8">
      <c r="B180">
        <v>1102115</v>
      </c>
      <c r="C180">
        <f t="shared" si="3"/>
        <v>11021151</v>
      </c>
      <c r="E180">
        <v>1102271</v>
      </c>
      <c r="F180">
        <v>1102295</v>
      </c>
      <c r="H180">
        <v>1102276</v>
      </c>
    </row>
    <row r="181" spans="1:8">
      <c r="E181">
        <v>1102272</v>
      </c>
      <c r="F181">
        <v>1102296</v>
      </c>
      <c r="H181">
        <v>1102277</v>
      </c>
    </row>
    <row r="182" spans="1:8">
      <c r="B182" t="str">
        <f>_xlfn.TEXTJOIN("_",TRUE,B183:B198)</f>
        <v>1102107_1102108_1102112_1101106_1101101_1101107_1101109_1101113_1101114_1101115_1101116_1101101_1101111_1101112_1101111_1101112</v>
      </c>
      <c r="C182" t="str">
        <f>_xlfn.TEXTJOIN("_",TRUE,C183:C198)</f>
        <v>11021071_11021081_11021121_11011061_11011011_11011071_11011091_11011131_11011141_11011151_11011161_11011011_11011111_11011121_11011111_11011121</v>
      </c>
      <c r="E182">
        <v>1102273</v>
      </c>
      <c r="F182">
        <v>1102297</v>
      </c>
      <c r="H182">
        <v>1102278</v>
      </c>
    </row>
    <row r="183" spans="1:8">
      <c r="B183">
        <v>1102107</v>
      </c>
      <c r="C183">
        <f t="shared" si="3"/>
        <v>11021071</v>
      </c>
      <c r="E183">
        <v>1102274</v>
      </c>
      <c r="F183">
        <v>1102298</v>
      </c>
      <c r="H183">
        <v>1102279</v>
      </c>
    </row>
    <row r="184" spans="1:8">
      <c r="B184">
        <v>1102108</v>
      </c>
      <c r="C184">
        <f t="shared" si="3"/>
        <v>11021081</v>
      </c>
      <c r="F184">
        <v>1102299</v>
      </c>
      <c r="H184">
        <v>1102280</v>
      </c>
    </row>
    <row r="185" spans="1:8">
      <c r="H185">
        <v>1102281</v>
      </c>
    </row>
    <row r="186" spans="1:8">
      <c r="H186">
        <v>1102282</v>
      </c>
    </row>
    <row r="187" spans="1:8">
      <c r="B187">
        <v>1102112</v>
      </c>
      <c r="C187">
        <f>B187*10+1</f>
        <v>11021121</v>
      </c>
      <c r="H187">
        <v>1102283</v>
      </c>
    </row>
    <row r="188" spans="1:8">
      <c r="H188">
        <v>1102284</v>
      </c>
    </row>
    <row r="189" spans="1:8">
      <c r="H189">
        <v>1102285</v>
      </c>
    </row>
    <row r="190" spans="1:8">
      <c r="H190">
        <v>1102286</v>
      </c>
    </row>
    <row r="191" spans="1:8">
      <c r="H191">
        <v>1102293</v>
      </c>
    </row>
    <row r="192" spans="1:8">
      <c r="H192">
        <v>1102295</v>
      </c>
    </row>
    <row r="193" spans="1:14">
      <c r="H193">
        <v>1102296</v>
      </c>
    </row>
    <row r="194" spans="1:14">
      <c r="H194">
        <v>1102297</v>
      </c>
    </row>
    <row r="195" spans="1:14">
      <c r="H195">
        <v>1102298</v>
      </c>
    </row>
    <row r="196" spans="1:14">
      <c r="H196">
        <v>1102299</v>
      </c>
    </row>
    <row r="198" spans="1:14">
      <c r="B198" t="str">
        <f>_xlfn.TEXTJOIN("_",TRUE,B199:B214)</f>
        <v>1101106_1101101_1101107_1101109_1101113_1101114_1101115_1101116_1101101_1101111_1101112_1101111_1101112</v>
      </c>
      <c r="C198" t="str">
        <f>_xlfn.TEXTJOIN("_",TRUE,C199:C214)</f>
        <v>11011061_11011011_11011071_11011091_11011131_11011141_11011151_11011161_11011011_11011111_11011121_11011111_11011121</v>
      </c>
      <c r="H198" t="str">
        <f>_xlfn.TEXTJOIN("_",TRUE,H199:H239)</f>
        <v>1101251_1101252_1101253_1101254_1101255_1101256_1101257_1101258_1101259_1101260_1101261_1101262_1101264_1101266_1101267_1101268_1101269_1101270_1101271_1101272_1101273_1101274_1101275_1101276_1101277_1101281_1101282_1101283_1101284_1101285_1101286_1101288_1101289_1101290_1101291_1101292_1101293_1101294_1101295_1101296_1101297</v>
      </c>
      <c r="J198" t="str">
        <f>_xlfn.TEXTJOIN("_",TRUE,J199:J239)</f>
        <v>1101263_1101265</v>
      </c>
      <c r="K198" t="str">
        <f>_xlfn.TEXTJOIN("_",TRUE,K199:K239)</f>
        <v>1101278</v>
      </c>
      <c r="L198" t="str">
        <f>_xlfn.TEXTJOIN("_",TRUE,L199:L239)</f>
        <v>1101279</v>
      </c>
      <c r="M198" t="str">
        <f>_xlfn.TEXTJOIN("_",TRUE,M199:M239)</f>
        <v>1101280</v>
      </c>
      <c r="N198" t="str">
        <f>_xlfn.TEXTJOIN("_",TRUE,N199:N239)</f>
        <v>1101287</v>
      </c>
    </row>
    <row r="199" spans="1:14">
      <c r="A199">
        <v>1101101</v>
      </c>
      <c r="B199">
        <v>1101106</v>
      </c>
      <c r="C199">
        <f>B199*10+1</f>
        <v>11011061</v>
      </c>
      <c r="E199">
        <v>1101251</v>
      </c>
      <c r="F199">
        <v>1101271</v>
      </c>
      <c r="H199">
        <v>1101251</v>
      </c>
      <c r="J199">
        <v>1101263</v>
      </c>
      <c r="K199">
        <v>1101278</v>
      </c>
      <c r="L199">
        <v>1101279</v>
      </c>
      <c r="M199">
        <v>1101280</v>
      </c>
      <c r="N199">
        <v>1101287</v>
      </c>
    </row>
    <row r="200" spans="1:14">
      <c r="A200">
        <v>1101102</v>
      </c>
      <c r="B200">
        <v>1101101</v>
      </c>
      <c r="C200">
        <f t="shared" ref="C200:C207" si="4">B200*10+1</f>
        <v>11011011</v>
      </c>
      <c r="E200">
        <v>1101252</v>
      </c>
      <c r="F200">
        <v>1101272</v>
      </c>
      <c r="H200">
        <v>1101252</v>
      </c>
      <c r="J200">
        <v>1101265</v>
      </c>
    </row>
    <row r="201" spans="1:14">
      <c r="A201">
        <v>1101103</v>
      </c>
      <c r="B201">
        <v>1101107</v>
      </c>
      <c r="C201">
        <f t="shared" si="4"/>
        <v>11011071</v>
      </c>
      <c r="E201">
        <v>1101253</v>
      </c>
      <c r="F201">
        <v>1101273</v>
      </c>
      <c r="H201">
        <v>1101253</v>
      </c>
    </row>
    <row r="202" spans="1:14">
      <c r="A202">
        <v>1101104</v>
      </c>
      <c r="B202">
        <v>1101109</v>
      </c>
      <c r="C202">
        <f t="shared" si="4"/>
        <v>11011091</v>
      </c>
      <c r="E202">
        <v>1101254</v>
      </c>
      <c r="F202">
        <v>1101274</v>
      </c>
      <c r="H202">
        <v>1101254</v>
      </c>
    </row>
    <row r="203" spans="1:14">
      <c r="A203">
        <v>1101105</v>
      </c>
      <c r="B203">
        <v>1101113</v>
      </c>
      <c r="C203">
        <f t="shared" si="4"/>
        <v>11011131</v>
      </c>
      <c r="E203">
        <v>1101255</v>
      </c>
      <c r="F203">
        <v>1101275</v>
      </c>
      <c r="H203">
        <v>1101255</v>
      </c>
    </row>
    <row r="204" spans="1:14">
      <c r="A204">
        <v>1101106</v>
      </c>
      <c r="B204">
        <v>1101114</v>
      </c>
      <c r="C204">
        <f t="shared" si="4"/>
        <v>11011141</v>
      </c>
      <c r="E204">
        <v>1101256</v>
      </c>
      <c r="F204">
        <v>1101276</v>
      </c>
      <c r="H204">
        <v>1101256</v>
      </c>
    </row>
    <row r="205" spans="1:14">
      <c r="A205">
        <v>1101107</v>
      </c>
      <c r="B205">
        <v>1101115</v>
      </c>
      <c r="C205">
        <f t="shared" si="4"/>
        <v>11011151</v>
      </c>
      <c r="E205">
        <v>1101257</v>
      </c>
      <c r="F205">
        <v>1101277</v>
      </c>
      <c r="H205">
        <v>1101257</v>
      </c>
    </row>
    <row r="206" spans="1:14">
      <c r="A206">
        <v>1101108</v>
      </c>
      <c r="B206">
        <v>1101116</v>
      </c>
      <c r="C206">
        <f t="shared" si="4"/>
        <v>11011161</v>
      </c>
      <c r="E206">
        <v>1101258</v>
      </c>
      <c r="F206">
        <v>1101278</v>
      </c>
      <c r="H206">
        <v>1101258</v>
      </c>
    </row>
    <row r="207" spans="1:14">
      <c r="A207">
        <v>1101109</v>
      </c>
      <c r="B207">
        <v>1101101</v>
      </c>
      <c r="C207">
        <f t="shared" si="4"/>
        <v>11011011</v>
      </c>
      <c r="E207">
        <v>1101259</v>
      </c>
      <c r="F207">
        <v>1101279</v>
      </c>
      <c r="H207">
        <v>1101259</v>
      </c>
    </row>
    <row r="208" spans="1:14">
      <c r="A208">
        <v>1101110</v>
      </c>
      <c r="E208">
        <v>1101260</v>
      </c>
      <c r="F208">
        <v>1101280</v>
      </c>
      <c r="H208">
        <v>1101260</v>
      </c>
    </row>
    <row r="209" spans="1:8">
      <c r="A209">
        <v>1101111</v>
      </c>
      <c r="E209">
        <v>1101261</v>
      </c>
      <c r="F209">
        <v>1101281</v>
      </c>
      <c r="H209">
        <v>1101261</v>
      </c>
    </row>
    <row r="210" spans="1:8">
      <c r="A210">
        <v>1101112</v>
      </c>
      <c r="E210">
        <v>1101262</v>
      </c>
      <c r="F210">
        <v>1101282</v>
      </c>
      <c r="H210">
        <v>1101262</v>
      </c>
    </row>
    <row r="211" spans="1:8">
      <c r="A211">
        <v>1101113</v>
      </c>
      <c r="E211">
        <v>1101263</v>
      </c>
      <c r="F211">
        <v>1101283</v>
      </c>
      <c r="H211">
        <v>1101264</v>
      </c>
    </row>
    <row r="212" spans="1:8">
      <c r="A212">
        <v>1101114</v>
      </c>
      <c r="B212" t="str">
        <f>_xlfn.TEXTJOIN("_",TRUE,B213:B217)</f>
        <v>1101111_1101112</v>
      </c>
      <c r="C212" t="str">
        <f>_xlfn.TEXTJOIN("_",TRUE,C213:C217)</f>
        <v>11011111_11011121</v>
      </c>
      <c r="E212">
        <v>1101264</v>
      </c>
      <c r="F212">
        <v>1101284</v>
      </c>
      <c r="H212">
        <v>1101266</v>
      </c>
    </row>
    <row r="213" spans="1:8">
      <c r="A213">
        <v>1101115</v>
      </c>
      <c r="B213">
        <v>1101111</v>
      </c>
      <c r="C213">
        <f>B213*10+1</f>
        <v>11011111</v>
      </c>
      <c r="E213">
        <v>1101265</v>
      </c>
      <c r="F213">
        <v>1101285</v>
      </c>
      <c r="H213">
        <v>1101267</v>
      </c>
    </row>
    <row r="214" spans="1:8">
      <c r="A214">
        <v>1101116</v>
      </c>
      <c r="B214">
        <v>1101112</v>
      </c>
      <c r="C214">
        <f>B214*10+1</f>
        <v>11011121</v>
      </c>
      <c r="E214">
        <v>1101266</v>
      </c>
      <c r="F214">
        <v>1101286</v>
      </c>
      <c r="H214">
        <v>1101268</v>
      </c>
    </row>
    <row r="215" spans="1:8">
      <c r="E215">
        <v>1101267</v>
      </c>
      <c r="F215">
        <v>1101287</v>
      </c>
      <c r="H215">
        <v>1101269</v>
      </c>
    </row>
    <row r="216" spans="1:8">
      <c r="E216">
        <v>1101268</v>
      </c>
      <c r="F216">
        <v>1101288</v>
      </c>
      <c r="H216">
        <v>1101270</v>
      </c>
    </row>
    <row r="217" spans="1:8">
      <c r="E217">
        <v>1101269</v>
      </c>
      <c r="F217">
        <v>1101289</v>
      </c>
      <c r="H217">
        <v>1101271</v>
      </c>
    </row>
    <row r="218" spans="1:8">
      <c r="E218">
        <v>1101270</v>
      </c>
      <c r="F218">
        <v>1101290</v>
      </c>
      <c r="H218">
        <v>1101272</v>
      </c>
    </row>
    <row r="219" spans="1:8">
      <c r="B219" t="str">
        <f>_xlfn.TEXTJOIN("_",TRUE,B220:B224)</f>
        <v>1101108_1101110</v>
      </c>
      <c r="C219" t="str">
        <f>_xlfn.TEXTJOIN("_",TRUE,C220:C224)</f>
        <v>11011081_11011101</v>
      </c>
      <c r="F219">
        <v>1101291</v>
      </c>
      <c r="H219">
        <v>1101273</v>
      </c>
    </row>
    <row r="220" spans="1:8">
      <c r="B220">
        <v>1101108</v>
      </c>
      <c r="C220">
        <f>B220*10+1</f>
        <v>11011081</v>
      </c>
      <c r="F220">
        <v>1101292</v>
      </c>
      <c r="H220">
        <v>1101274</v>
      </c>
    </row>
    <row r="221" spans="1:8">
      <c r="B221">
        <v>1101110</v>
      </c>
      <c r="C221">
        <f>B221*10+1</f>
        <v>11011101</v>
      </c>
      <c r="F221">
        <v>1101293</v>
      </c>
      <c r="H221">
        <v>1101275</v>
      </c>
    </row>
    <row r="222" spans="1:8">
      <c r="F222">
        <v>1101294</v>
      </c>
      <c r="H222">
        <v>1101276</v>
      </c>
    </row>
    <row r="223" spans="1:8">
      <c r="F223">
        <v>1101295</v>
      </c>
      <c r="H223">
        <v>1101277</v>
      </c>
    </row>
    <row r="224" spans="1:8">
      <c r="F224">
        <v>1101296</v>
      </c>
      <c r="H224">
        <v>1101281</v>
      </c>
    </row>
    <row r="225" spans="2:8">
      <c r="F225">
        <v>1101297</v>
      </c>
      <c r="H225">
        <v>1101282</v>
      </c>
    </row>
    <row r="226" spans="2:8">
      <c r="B226">
        <v>1101105</v>
      </c>
      <c r="C226">
        <f>B226*10+1</f>
        <v>11011051</v>
      </c>
      <c r="H226">
        <v>1101283</v>
      </c>
    </row>
    <row r="227" spans="2:8">
      <c r="H227">
        <v>1101284</v>
      </c>
    </row>
    <row r="228" spans="2:8">
      <c r="H228">
        <v>1101285</v>
      </c>
    </row>
    <row r="229" spans="2:8">
      <c r="H229">
        <v>1101286</v>
      </c>
    </row>
    <row r="230" spans="2:8">
      <c r="B230">
        <v>1101103</v>
      </c>
      <c r="C230">
        <f>B230*10+1</f>
        <v>11011031</v>
      </c>
      <c r="H230">
        <v>1101288</v>
      </c>
    </row>
    <row r="231" spans="2:8">
      <c r="H231">
        <v>1101289</v>
      </c>
    </row>
    <row r="232" spans="2:8">
      <c r="H232">
        <v>1101290</v>
      </c>
    </row>
    <row r="233" spans="2:8">
      <c r="H233">
        <v>1101291</v>
      </c>
    </row>
    <row r="234" spans="2:8">
      <c r="B234">
        <v>1101102</v>
      </c>
      <c r="C234">
        <f>B234*10+1</f>
        <v>11011021</v>
      </c>
      <c r="H234">
        <v>1101292</v>
      </c>
    </row>
    <row r="235" spans="2:8">
      <c r="H235">
        <v>1101293</v>
      </c>
    </row>
    <row r="236" spans="2:8">
      <c r="H236">
        <v>1101294</v>
      </c>
    </row>
    <row r="237" spans="2:8">
      <c r="H237">
        <v>1101295</v>
      </c>
    </row>
    <row r="238" spans="2:8">
      <c r="H238">
        <v>1101296</v>
      </c>
    </row>
    <row r="239" spans="2:8">
      <c r="H239">
        <v>1101297</v>
      </c>
    </row>
    <row r="242" spans="5:10">
      <c r="H242" t="str">
        <f t="shared" ref="H242:J242" si="5">_xlfn.TEXTJOIN("_",TRUE,H243:H258)</f>
        <v>1301251_1301252_1301253_1301254_1301257_1301259_1301260_1301263_1301264</v>
      </c>
      <c r="I242" t="str">
        <f t="shared" si="5"/>
        <v>1301258_1301261</v>
      </c>
      <c r="J242" t="str">
        <f t="shared" si="5"/>
        <v>1301262_1301255_1301256</v>
      </c>
    </row>
    <row r="243" spans="5:10">
      <c r="E243">
        <v>1301251</v>
      </c>
      <c r="H243">
        <v>1301251</v>
      </c>
      <c r="I243">
        <v>1301258</v>
      </c>
      <c r="J243">
        <v>1301262</v>
      </c>
    </row>
    <row r="244" spans="5:10">
      <c r="E244">
        <v>1301252</v>
      </c>
      <c r="H244">
        <v>1301252</v>
      </c>
      <c r="I244">
        <v>1301261</v>
      </c>
      <c r="J244">
        <v>1301255</v>
      </c>
    </row>
    <row r="245" spans="5:10">
      <c r="E245">
        <v>1301253</v>
      </c>
      <c r="H245">
        <v>1301253</v>
      </c>
      <c r="J245">
        <v>1301256</v>
      </c>
    </row>
    <row r="246" spans="5:10">
      <c r="E246">
        <v>1301254</v>
      </c>
      <c r="H246">
        <v>1301254</v>
      </c>
    </row>
    <row r="247" spans="5:10">
      <c r="E247">
        <v>1301255</v>
      </c>
      <c r="H247">
        <v>1301257</v>
      </c>
    </row>
    <row r="248" spans="5:10">
      <c r="E248">
        <v>1301256</v>
      </c>
      <c r="H248">
        <v>1301259</v>
      </c>
    </row>
    <row r="249" spans="5:10">
      <c r="E249">
        <v>1301257</v>
      </c>
      <c r="H249">
        <v>1301260</v>
      </c>
    </row>
    <row r="250" spans="5:10">
      <c r="E250">
        <v>1301258</v>
      </c>
      <c r="H250">
        <v>1301263</v>
      </c>
    </row>
    <row r="251" spans="5:10">
      <c r="E251">
        <v>1301259</v>
      </c>
      <c r="H251">
        <v>1301264</v>
      </c>
    </row>
    <row r="252" spans="5:10">
      <c r="E252">
        <v>1301260</v>
      </c>
    </row>
    <row r="253" spans="5:10">
      <c r="E253">
        <v>1301261</v>
      </c>
    </row>
    <row r="254" spans="5:10">
      <c r="E254">
        <v>1301262</v>
      </c>
    </row>
    <row r="255" spans="5:10">
      <c r="E255">
        <v>1301263</v>
      </c>
    </row>
    <row r="256" spans="5:10">
      <c r="E256">
        <v>1301264</v>
      </c>
    </row>
    <row r="259" spans="1:17">
      <c r="A259">
        <v>10</v>
      </c>
      <c r="B259">
        <v>1</v>
      </c>
    </row>
    <row r="261" spans="1:17">
      <c r="B261" t="str">
        <f>_xlfn.TEXTJOIN("_",TRUE,B262:B277)</f>
        <v>1110101_1110102_1110103_1110104_1110105_1110106_1110107_1110108_1110112_1110113_1110114</v>
      </c>
      <c r="C261" t="str">
        <f>_xlfn.TEXTJOIN("_",TRUE,C262:C277)</f>
        <v>1110115_1110116_1110117_1110109_1110110_1110111_1110118_1110119_1110120</v>
      </c>
      <c r="J261" t="str">
        <f>_xlfn.TEXTJOIN("_",TRUE,J262:J280)</f>
        <v>1110251_1110252_1110255_1110257_1110259_1110260_1110261_1110262_1110263_1110265_1110266_1110267_1110269_1110270_1110271_1110274_1110275_1110276_1110277</v>
      </c>
      <c r="L261" t="str">
        <f>_xlfn.TEXTJOIN("_",TRUE,L262:L280)</f>
        <v>1110254_1110258</v>
      </c>
    </row>
    <row r="262" spans="1:17">
      <c r="A262">
        <v>1110101</v>
      </c>
      <c r="B262">
        <v>1110101</v>
      </c>
      <c r="C262">
        <v>1110115</v>
      </c>
      <c r="D262">
        <f>C262*$A$259+$B$259</f>
        <v>11101151</v>
      </c>
      <c r="H262">
        <v>1110251</v>
      </c>
      <c r="J262">
        <v>1110251</v>
      </c>
      <c r="K262">
        <v>1110253</v>
      </c>
      <c r="L262">
        <v>1110254</v>
      </c>
      <c r="M262">
        <v>1110256</v>
      </c>
      <c r="N262">
        <v>1110273</v>
      </c>
      <c r="O262">
        <v>1110264</v>
      </c>
      <c r="P262">
        <v>1110268</v>
      </c>
      <c r="Q262">
        <v>1110272</v>
      </c>
    </row>
    <row r="263" spans="1:17">
      <c r="A263">
        <v>1110102</v>
      </c>
      <c r="B263">
        <v>1110102</v>
      </c>
      <c r="C263">
        <v>1110116</v>
      </c>
      <c r="D263">
        <f t="shared" ref="D263:D270" si="6">C263*$A$259+$B$259</f>
        <v>11101161</v>
      </c>
      <c r="H263">
        <v>1110252</v>
      </c>
      <c r="J263">
        <v>1110252</v>
      </c>
      <c r="L263">
        <v>1110258</v>
      </c>
    </row>
    <row r="264" spans="1:17">
      <c r="A264">
        <v>1110103</v>
      </c>
      <c r="B264">
        <v>1110103</v>
      </c>
      <c r="C264">
        <v>1110117</v>
      </c>
      <c r="D264">
        <f t="shared" si="6"/>
        <v>11101171</v>
      </c>
      <c r="H264">
        <v>1110253</v>
      </c>
      <c r="J264">
        <v>1110255</v>
      </c>
    </row>
    <row r="265" spans="1:17">
      <c r="A265">
        <v>1110104</v>
      </c>
      <c r="B265">
        <v>1110104</v>
      </c>
      <c r="C265">
        <v>1110109</v>
      </c>
      <c r="D265">
        <f t="shared" si="6"/>
        <v>11101091</v>
      </c>
      <c r="H265">
        <v>1110254</v>
      </c>
      <c r="J265">
        <v>1110257</v>
      </c>
    </row>
    <row r="266" spans="1:17">
      <c r="A266">
        <v>1110105</v>
      </c>
      <c r="B266">
        <v>1110105</v>
      </c>
      <c r="C266">
        <v>1110110</v>
      </c>
      <c r="D266">
        <f t="shared" si="6"/>
        <v>11101101</v>
      </c>
      <c r="H266">
        <v>1110255</v>
      </c>
      <c r="J266">
        <v>1110259</v>
      </c>
    </row>
    <row r="267" spans="1:17">
      <c r="A267">
        <v>1110106</v>
      </c>
      <c r="B267">
        <v>1110106</v>
      </c>
      <c r="C267">
        <v>1110111</v>
      </c>
      <c r="D267">
        <f t="shared" si="6"/>
        <v>11101111</v>
      </c>
      <c r="H267">
        <v>1110256</v>
      </c>
      <c r="J267">
        <v>1110260</v>
      </c>
    </row>
    <row r="268" spans="1:17">
      <c r="A268">
        <v>1110107</v>
      </c>
      <c r="B268">
        <v>1110107</v>
      </c>
      <c r="C268">
        <v>1110118</v>
      </c>
      <c r="D268">
        <f t="shared" si="6"/>
        <v>11101181</v>
      </c>
      <c r="H268">
        <v>1110257</v>
      </c>
      <c r="J268">
        <v>1110261</v>
      </c>
    </row>
    <row r="269" spans="1:17">
      <c r="A269">
        <v>1110108</v>
      </c>
      <c r="B269">
        <v>1110108</v>
      </c>
      <c r="C269">
        <v>1110119</v>
      </c>
      <c r="D269">
        <f t="shared" si="6"/>
        <v>11101191</v>
      </c>
      <c r="H269">
        <v>1110258</v>
      </c>
      <c r="J269">
        <v>1110262</v>
      </c>
      <c r="P269">
        <v>10</v>
      </c>
      <c r="Q269">
        <v>1</v>
      </c>
    </row>
    <row r="270" spans="1:17">
      <c r="A270">
        <v>1110109</v>
      </c>
      <c r="B270">
        <v>1110112</v>
      </c>
      <c r="C270">
        <v>1110120</v>
      </c>
      <c r="D270">
        <f t="shared" si="6"/>
        <v>11101201</v>
      </c>
      <c r="H270">
        <v>1110259</v>
      </c>
      <c r="J270">
        <v>1110263</v>
      </c>
    </row>
    <row r="271" spans="1:17">
      <c r="A271">
        <v>1110110</v>
      </c>
      <c r="B271">
        <v>1110113</v>
      </c>
      <c r="H271">
        <v>1110260</v>
      </c>
      <c r="J271">
        <v>1110265</v>
      </c>
    </row>
    <row r="272" spans="1:17">
      <c r="A272">
        <v>1110111</v>
      </c>
      <c r="B272">
        <v>1110114</v>
      </c>
      <c r="H272">
        <v>1110261</v>
      </c>
      <c r="J272">
        <v>1110266</v>
      </c>
    </row>
    <row r="273" spans="1:18">
      <c r="A273">
        <v>1110112</v>
      </c>
      <c r="H273">
        <v>1110262</v>
      </c>
      <c r="J273">
        <v>1110267</v>
      </c>
    </row>
    <row r="274" spans="1:18">
      <c r="A274">
        <v>1110113</v>
      </c>
      <c r="H274">
        <v>1110263</v>
      </c>
      <c r="J274">
        <v>1110269</v>
      </c>
      <c r="N274">
        <v>1101101</v>
      </c>
      <c r="P274" t="str">
        <f>_xlfn.TEXTJOIN("_",TRUE,P275:P281)</f>
        <v>1101106_1101101_1101107_1101109_1101113_1101114_1101115</v>
      </c>
      <c r="R274" t="str">
        <f>_xlfn.TEXTJOIN("_",TRUE,R275:R281)</f>
        <v>11011061_11011011_11011071_11011091_11011131_11011141_11011151</v>
      </c>
    </row>
    <row r="275" spans="1:18">
      <c r="A275">
        <v>1110114</v>
      </c>
      <c r="H275">
        <v>1110264</v>
      </c>
      <c r="J275">
        <v>1110270</v>
      </c>
      <c r="N275">
        <v>1101102</v>
      </c>
      <c r="P275">
        <v>1101106</v>
      </c>
      <c r="R275">
        <f>P275*$P$269+$Q$269</f>
        <v>11011061</v>
      </c>
    </row>
    <row r="276" spans="1:18">
      <c r="A276">
        <v>1110115</v>
      </c>
      <c r="H276">
        <v>1110265</v>
      </c>
      <c r="J276">
        <v>1110271</v>
      </c>
      <c r="N276">
        <v>1101103</v>
      </c>
      <c r="P276">
        <v>1101101</v>
      </c>
      <c r="R276">
        <f t="shared" ref="R276:R281" si="7">P276*$P$269+$Q$269</f>
        <v>11011011</v>
      </c>
    </row>
    <row r="277" spans="1:18">
      <c r="A277">
        <v>1110116</v>
      </c>
      <c r="H277">
        <v>1110266</v>
      </c>
      <c r="J277">
        <v>1110274</v>
      </c>
      <c r="N277">
        <v>1101104</v>
      </c>
      <c r="P277">
        <v>1101107</v>
      </c>
      <c r="R277">
        <f t="shared" si="7"/>
        <v>11011071</v>
      </c>
    </row>
    <row r="278" spans="1:18">
      <c r="A278">
        <v>1110117</v>
      </c>
      <c r="H278">
        <v>1110267</v>
      </c>
      <c r="J278">
        <v>1110275</v>
      </c>
      <c r="N278">
        <v>1101105</v>
      </c>
      <c r="P278">
        <v>1101109</v>
      </c>
      <c r="R278">
        <f t="shared" si="7"/>
        <v>11011091</v>
      </c>
    </row>
    <row r="279" spans="1:18">
      <c r="A279">
        <v>1110118</v>
      </c>
      <c r="H279">
        <v>1110268</v>
      </c>
      <c r="J279">
        <v>1110276</v>
      </c>
      <c r="N279">
        <v>1101106</v>
      </c>
      <c r="P279">
        <v>1101113</v>
      </c>
      <c r="R279">
        <f t="shared" si="7"/>
        <v>11011131</v>
      </c>
    </row>
    <row r="280" spans="1:18">
      <c r="A280">
        <v>1110119</v>
      </c>
      <c r="H280">
        <v>1110269</v>
      </c>
      <c r="J280">
        <v>1110277</v>
      </c>
      <c r="N280">
        <v>1101107</v>
      </c>
      <c r="P280">
        <v>1101114</v>
      </c>
      <c r="R280">
        <f t="shared" si="7"/>
        <v>11011141</v>
      </c>
    </row>
    <row r="281" spans="1:18">
      <c r="A281">
        <v>1110120</v>
      </c>
      <c r="H281">
        <v>1110270</v>
      </c>
      <c r="N281">
        <v>1101108</v>
      </c>
      <c r="P281">
        <v>1101115</v>
      </c>
      <c r="R281">
        <f t="shared" si="7"/>
        <v>11011151</v>
      </c>
    </row>
    <row r="282" spans="1:18">
      <c r="H282">
        <v>1110271</v>
      </c>
      <c r="N282">
        <v>1101109</v>
      </c>
    </row>
    <row r="283" spans="1:18">
      <c r="H283">
        <v>1110272</v>
      </c>
      <c r="N283">
        <v>1101110</v>
      </c>
    </row>
    <row r="284" spans="1:18">
      <c r="H284">
        <v>1110273</v>
      </c>
      <c r="N284">
        <v>1101111</v>
      </c>
    </row>
    <row r="285" spans="1:18">
      <c r="H285">
        <v>1110274</v>
      </c>
      <c r="N285">
        <v>1101112</v>
      </c>
      <c r="P285">
        <v>1101116</v>
      </c>
      <c r="R285">
        <f>P285*$P$269+$Q$269</f>
        <v>11011161</v>
      </c>
    </row>
    <row r="286" spans="1:18">
      <c r="H286">
        <v>1110275</v>
      </c>
      <c r="N286">
        <v>1101113</v>
      </c>
      <c r="P286">
        <v>1101104</v>
      </c>
      <c r="R286">
        <f t="shared" ref="R286:R293" si="8">P286*$P$269+$Q$269</f>
        <v>11011041</v>
      </c>
    </row>
    <row r="287" spans="1:18">
      <c r="H287">
        <v>1110276</v>
      </c>
      <c r="N287">
        <v>1101114</v>
      </c>
      <c r="P287">
        <v>1101111</v>
      </c>
      <c r="R287">
        <f t="shared" si="8"/>
        <v>11011111</v>
      </c>
    </row>
    <row r="288" spans="1:18">
      <c r="H288">
        <v>1110277</v>
      </c>
      <c r="N288">
        <v>1101115</v>
      </c>
      <c r="P288">
        <v>1101112</v>
      </c>
      <c r="R288">
        <f t="shared" si="8"/>
        <v>11011121</v>
      </c>
    </row>
    <row r="289" spans="12:18">
      <c r="N289">
        <v>1101116</v>
      </c>
      <c r="P289">
        <v>1101108</v>
      </c>
      <c r="R289">
        <f t="shared" si="8"/>
        <v>11011081</v>
      </c>
    </row>
    <row r="290" spans="12:18">
      <c r="P290">
        <v>1101110</v>
      </c>
      <c r="R290">
        <f t="shared" si="8"/>
        <v>11011101</v>
      </c>
    </row>
    <row r="291" spans="12:18">
      <c r="P291">
        <v>1101105</v>
      </c>
      <c r="R291">
        <f t="shared" si="8"/>
        <v>11011051</v>
      </c>
    </row>
    <row r="292" spans="12:18">
      <c r="P292">
        <v>1101103</v>
      </c>
      <c r="R292">
        <f t="shared" si="8"/>
        <v>11011031</v>
      </c>
    </row>
    <row r="293" spans="12:18">
      <c r="P293">
        <v>1101102</v>
      </c>
      <c r="R293">
        <f t="shared" si="8"/>
        <v>11011021</v>
      </c>
    </row>
    <row r="296" spans="12:18">
      <c r="M296">
        <v>10</v>
      </c>
      <c r="N296">
        <v>1</v>
      </c>
    </row>
    <row r="299" spans="12:18">
      <c r="M299" t="str">
        <f>_xlfn.TEXTJOIN("_",TRUE,M300:M306)</f>
        <v>1102101_1102102_1102104_1102105_1102109_1102110_1102111</v>
      </c>
      <c r="P299" t="str">
        <f>_xlfn.TEXTJOIN("_",TRUE,P300:P306)</f>
        <v>11021011_11021021_11021041_11021051_11021091_11021101_11021111</v>
      </c>
    </row>
    <row r="300" spans="12:18">
      <c r="L300">
        <v>1102101</v>
      </c>
      <c r="M300">
        <v>1102101</v>
      </c>
      <c r="N300">
        <v>1102113</v>
      </c>
      <c r="P300">
        <f>M300*$M$296+$N$296</f>
        <v>11021011</v>
      </c>
      <c r="Q300">
        <f>N300*$M$296+$N$296</f>
        <v>11021131</v>
      </c>
    </row>
    <row r="301" spans="12:18">
      <c r="L301">
        <v>1102102</v>
      </c>
      <c r="M301">
        <v>1102102</v>
      </c>
      <c r="N301">
        <v>1102114</v>
      </c>
      <c r="P301">
        <f t="shared" ref="P301:P306" si="9">M301*$M$296+$N$296</f>
        <v>11021021</v>
      </c>
      <c r="Q301">
        <f t="shared" ref="Q301:Q310" si="10">N301*$M$296+$N$296</f>
        <v>11021141</v>
      </c>
    </row>
    <row r="302" spans="12:18">
      <c r="L302">
        <v>1102103</v>
      </c>
      <c r="M302">
        <v>1102104</v>
      </c>
      <c r="N302">
        <v>1102116</v>
      </c>
      <c r="P302">
        <f t="shared" si="9"/>
        <v>11021041</v>
      </c>
      <c r="Q302">
        <f t="shared" si="10"/>
        <v>11021161</v>
      </c>
    </row>
    <row r="303" spans="12:18">
      <c r="L303">
        <v>1102104</v>
      </c>
      <c r="M303">
        <v>1102105</v>
      </c>
      <c r="N303">
        <v>1102117</v>
      </c>
      <c r="P303">
        <f t="shared" si="9"/>
        <v>11021051</v>
      </c>
      <c r="Q303">
        <f t="shared" si="10"/>
        <v>11021171</v>
      </c>
    </row>
    <row r="304" spans="12:18">
      <c r="L304">
        <v>1102105</v>
      </c>
      <c r="M304">
        <v>1102109</v>
      </c>
      <c r="N304">
        <v>1102103</v>
      </c>
      <c r="P304">
        <f t="shared" si="9"/>
        <v>11021091</v>
      </c>
      <c r="Q304">
        <f t="shared" si="10"/>
        <v>11021031</v>
      </c>
    </row>
    <row r="305" spans="12:17">
      <c r="L305">
        <v>1102106</v>
      </c>
      <c r="M305">
        <v>1102110</v>
      </c>
      <c r="N305">
        <v>1102115</v>
      </c>
      <c r="P305">
        <f t="shared" si="9"/>
        <v>11021101</v>
      </c>
      <c r="Q305">
        <f t="shared" si="10"/>
        <v>11021151</v>
      </c>
    </row>
    <row r="306" spans="12:17">
      <c r="L306">
        <v>1102107</v>
      </c>
      <c r="M306">
        <v>1102111</v>
      </c>
      <c r="N306">
        <v>1102106</v>
      </c>
      <c r="P306">
        <f t="shared" si="9"/>
        <v>11021111</v>
      </c>
      <c r="Q306">
        <f t="shared" si="10"/>
        <v>11021061</v>
      </c>
    </row>
    <row r="307" spans="12:17">
      <c r="L307">
        <v>1102108</v>
      </c>
      <c r="N307">
        <v>1102118</v>
      </c>
      <c r="Q307">
        <f t="shared" si="10"/>
        <v>11021181</v>
      </c>
    </row>
    <row r="308" spans="12:17">
      <c r="L308">
        <v>1102109</v>
      </c>
      <c r="N308">
        <v>1102107</v>
      </c>
      <c r="Q308">
        <f t="shared" si="10"/>
        <v>11021071</v>
      </c>
    </row>
    <row r="309" spans="12:17">
      <c r="L309">
        <v>1102110</v>
      </c>
      <c r="N309">
        <v>1102108</v>
      </c>
      <c r="Q309">
        <f t="shared" si="10"/>
        <v>11021081</v>
      </c>
    </row>
    <row r="310" spans="12:17">
      <c r="L310">
        <v>1102111</v>
      </c>
      <c r="N310">
        <v>1102112</v>
      </c>
      <c r="Q310">
        <f t="shared" si="10"/>
        <v>11021121</v>
      </c>
    </row>
    <row r="311" spans="12:17">
      <c r="L311">
        <v>1102112</v>
      </c>
    </row>
    <row r="312" spans="12:17">
      <c r="L312">
        <v>1102113</v>
      </c>
    </row>
    <row r="313" spans="12:17">
      <c r="L313">
        <v>1102114</v>
      </c>
    </row>
    <row r="314" spans="12:17">
      <c r="L314">
        <v>1102115</v>
      </c>
    </row>
    <row r="315" spans="12:17">
      <c r="L315">
        <v>1102116</v>
      </c>
    </row>
    <row r="316" spans="12:17">
      <c r="L316">
        <v>1102117</v>
      </c>
    </row>
    <row r="317" spans="12:17">
      <c r="L317">
        <v>1102118</v>
      </c>
    </row>
    <row r="326" ht="14.25" spans="10:19">
      <c r="J326" s="4"/>
      <c r="K326" s="4">
        <v>10</v>
      </c>
      <c r="L326" s="4"/>
      <c r="M326" s="4">
        <v>1</v>
      </c>
      <c r="N326" s="4"/>
      <c r="O326" s="4"/>
      <c r="P326" s="4"/>
      <c r="Q326" s="4"/>
      <c r="R326" s="4"/>
      <c r="S326" s="4"/>
    </row>
    <row r="327" ht="14.25" spans="10:19"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ht="14.25" spans="10:19"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ht="14.25" spans="10:19">
      <c r="J329" s="4"/>
      <c r="K329" s="5" t="str">
        <f>_xlfn.TEXTJOIN("_",TRUE,K330:K336)</f>
        <v>1107101_1107102_1107103_1107104_1107106_1107107_1107115</v>
      </c>
      <c r="L329" s="4"/>
      <c r="M329" s="5" t="str">
        <f>_xlfn.TEXTJOIN("_",TRUE,M330:M336)</f>
        <v>11071011_11071021_11071031_11071041_11071061_11071071_11071151</v>
      </c>
      <c r="N329" s="4"/>
      <c r="O329" s="4"/>
      <c r="P329" s="4"/>
      <c r="Q329" s="4"/>
      <c r="R329" s="4"/>
      <c r="S329" s="4"/>
    </row>
    <row r="330" ht="14.25" spans="10:19">
      <c r="J330" s="4">
        <v>1107101</v>
      </c>
      <c r="K330" s="4">
        <v>1107101</v>
      </c>
      <c r="L330" s="4"/>
      <c r="M330" s="4">
        <f>K330*$K$326+$M$326</f>
        <v>11071011</v>
      </c>
      <c r="N330" s="4"/>
      <c r="O330" s="4"/>
      <c r="P330" s="4"/>
      <c r="Q330" s="4"/>
      <c r="R330" s="5" t="str">
        <f>_xlfn.TEXTJOIN("_",TRUE,R331:R349)</f>
        <v>1107251_1107252_1107254_1107256_1107257_1107258_1107259_1107260_1107261_1107262_1107263_1107264_1107268_1107270_1107271_1107272_1107274_1107277_1107278</v>
      </c>
      <c r="S330" s="4"/>
    </row>
    <row r="331" ht="14.25" spans="10:19">
      <c r="J331" s="4">
        <v>1107102</v>
      </c>
      <c r="K331" s="4">
        <v>1107102</v>
      </c>
      <c r="L331" s="4"/>
      <c r="M331" s="4">
        <f t="shared" ref="M331:M348" si="11">K331*$K$326+$M$326</f>
        <v>11071021</v>
      </c>
      <c r="N331" s="4"/>
      <c r="O331" s="4"/>
      <c r="P331" s="4">
        <v>1107251</v>
      </c>
      <c r="Q331" s="4"/>
      <c r="R331" s="4">
        <v>1107251</v>
      </c>
      <c r="S331" s="4">
        <v>1107255</v>
      </c>
    </row>
    <row r="332" ht="14.25" spans="10:19">
      <c r="J332" s="4">
        <v>1107103</v>
      </c>
      <c r="K332" s="4">
        <v>1107103</v>
      </c>
      <c r="L332" s="4"/>
      <c r="M332" s="4">
        <f t="shared" si="11"/>
        <v>11071031</v>
      </c>
      <c r="N332" s="4"/>
      <c r="O332" s="4"/>
      <c r="P332" s="4">
        <v>1107252</v>
      </c>
      <c r="Q332" s="4"/>
      <c r="R332" s="4">
        <v>1107252</v>
      </c>
      <c r="S332" s="4">
        <v>1107253</v>
      </c>
    </row>
    <row r="333" ht="14.25" spans="10:19">
      <c r="J333" s="4">
        <v>1107104</v>
      </c>
      <c r="K333" s="4">
        <v>1107104</v>
      </c>
      <c r="L333" s="4"/>
      <c r="M333" s="4">
        <f t="shared" si="11"/>
        <v>11071041</v>
      </c>
      <c r="N333" s="4"/>
      <c r="O333" s="4"/>
      <c r="P333" s="4">
        <v>1107253</v>
      </c>
      <c r="Q333" s="4"/>
      <c r="R333" s="4">
        <v>1107254</v>
      </c>
      <c r="S333" s="4">
        <v>1107265</v>
      </c>
    </row>
    <row r="334" ht="14.25" spans="10:19">
      <c r="J334" s="4">
        <v>1107105</v>
      </c>
      <c r="K334" s="4">
        <v>1107106</v>
      </c>
      <c r="L334" s="4"/>
      <c r="M334" s="4">
        <f t="shared" si="11"/>
        <v>11071061</v>
      </c>
      <c r="N334" s="4"/>
      <c r="O334" s="4"/>
      <c r="P334" s="4">
        <v>1107254</v>
      </c>
      <c r="Q334" s="4"/>
      <c r="R334" s="4">
        <v>1107256</v>
      </c>
      <c r="S334" s="4">
        <v>1107267</v>
      </c>
    </row>
    <row r="335" ht="14.25" spans="10:19">
      <c r="J335" s="4">
        <v>1107106</v>
      </c>
      <c r="K335" s="4">
        <v>1107107</v>
      </c>
      <c r="L335" s="4"/>
      <c r="M335" s="4">
        <f t="shared" si="11"/>
        <v>11071071</v>
      </c>
      <c r="N335" s="4"/>
      <c r="O335" s="4"/>
      <c r="P335" s="4">
        <v>1107255</v>
      </c>
      <c r="Q335" s="4"/>
      <c r="R335" s="4">
        <v>1107257</v>
      </c>
      <c r="S335" s="4">
        <v>1107266</v>
      </c>
    </row>
    <row r="336" ht="14.25" spans="10:19">
      <c r="J336" s="4">
        <v>1107107</v>
      </c>
      <c r="K336" s="4">
        <v>1107115</v>
      </c>
      <c r="L336" s="4"/>
      <c r="M336" s="4">
        <f t="shared" si="11"/>
        <v>11071151</v>
      </c>
      <c r="N336" s="4"/>
      <c r="O336" s="4"/>
      <c r="P336" s="4">
        <v>1107256</v>
      </c>
      <c r="Q336" s="4"/>
      <c r="R336" s="4">
        <v>1107258</v>
      </c>
      <c r="S336" s="4">
        <v>1107269</v>
      </c>
    </row>
    <row r="337" ht="14.25" spans="10:19">
      <c r="J337" s="4">
        <v>1107108</v>
      </c>
      <c r="K337" s="4"/>
      <c r="L337" s="4"/>
      <c r="M337" s="4"/>
      <c r="N337" s="4"/>
      <c r="O337" s="4"/>
      <c r="P337" s="4">
        <v>1107257</v>
      </c>
      <c r="Q337" s="4"/>
      <c r="R337" s="4">
        <v>1107259</v>
      </c>
      <c r="S337" s="4">
        <v>1107273</v>
      </c>
    </row>
    <row r="338" ht="14.25" spans="10:19">
      <c r="J338" s="4">
        <v>1107109</v>
      </c>
      <c r="K338" s="4"/>
      <c r="L338" s="4"/>
      <c r="M338" s="4"/>
      <c r="N338" s="4"/>
      <c r="O338" s="4"/>
      <c r="P338" s="4">
        <v>1107258</v>
      </c>
      <c r="Q338" s="4"/>
      <c r="R338" s="4">
        <v>1107260</v>
      </c>
      <c r="S338" s="4">
        <v>1107275</v>
      </c>
    </row>
    <row r="339" ht="14.25" spans="10:19">
      <c r="J339" s="4">
        <v>1107110</v>
      </c>
      <c r="K339" s="4">
        <v>1107105</v>
      </c>
      <c r="L339" s="4"/>
      <c r="M339" s="4">
        <f t="shared" si="11"/>
        <v>11071051</v>
      </c>
      <c r="N339" s="4"/>
      <c r="O339" s="4"/>
      <c r="P339" s="4">
        <v>1107259</v>
      </c>
      <c r="Q339" s="4"/>
      <c r="R339" s="4">
        <v>1107261</v>
      </c>
      <c r="S339" s="4">
        <v>1107276</v>
      </c>
    </row>
    <row r="340" ht="14.25" spans="10:19">
      <c r="J340" s="4">
        <v>1107111</v>
      </c>
      <c r="K340" s="4">
        <v>1107109</v>
      </c>
      <c r="L340" s="4"/>
      <c r="M340" s="4">
        <f t="shared" si="11"/>
        <v>11071091</v>
      </c>
      <c r="N340" s="4"/>
      <c r="O340" s="4"/>
      <c r="P340" s="4">
        <v>1107260</v>
      </c>
      <c r="Q340" s="4"/>
      <c r="R340" s="4">
        <v>1107262</v>
      </c>
      <c r="S340" s="4"/>
    </row>
    <row r="341" ht="14.25" spans="10:19">
      <c r="J341" s="4">
        <v>1107112</v>
      </c>
      <c r="K341" s="4">
        <v>1107110</v>
      </c>
      <c r="L341" s="4"/>
      <c r="M341" s="4">
        <f t="shared" si="11"/>
        <v>11071101</v>
      </c>
      <c r="N341" s="4"/>
      <c r="O341" s="4"/>
      <c r="P341" s="4">
        <v>1107261</v>
      </c>
      <c r="Q341" s="4"/>
      <c r="R341" s="4">
        <v>1107263</v>
      </c>
      <c r="S341" s="4"/>
    </row>
    <row r="342" ht="14.25" spans="10:19">
      <c r="J342" s="4">
        <v>1107113</v>
      </c>
      <c r="K342" s="4">
        <v>1107111</v>
      </c>
      <c r="L342" s="4"/>
      <c r="M342" s="4">
        <f t="shared" si="11"/>
        <v>11071111</v>
      </c>
      <c r="N342" s="4"/>
      <c r="O342" s="4"/>
      <c r="P342" s="4">
        <v>1107262</v>
      </c>
      <c r="Q342" s="4"/>
      <c r="R342" s="4">
        <v>1107264</v>
      </c>
      <c r="S342" s="4"/>
    </row>
    <row r="343" ht="14.25" spans="10:19">
      <c r="J343" s="4">
        <v>1107114</v>
      </c>
      <c r="K343" s="4">
        <v>1107108</v>
      </c>
      <c r="L343" s="4"/>
      <c r="M343" s="4">
        <f t="shared" si="11"/>
        <v>11071081</v>
      </c>
      <c r="N343" s="4"/>
      <c r="O343" s="4"/>
      <c r="P343" s="4">
        <v>1107263</v>
      </c>
      <c r="Q343" s="4"/>
      <c r="R343" s="4">
        <v>1107268</v>
      </c>
      <c r="S343" s="4"/>
    </row>
    <row r="344" ht="14.25" spans="10:19">
      <c r="J344" s="4">
        <v>1107115</v>
      </c>
      <c r="K344" s="4">
        <v>1107112</v>
      </c>
      <c r="L344" s="4"/>
      <c r="M344" s="4">
        <f t="shared" si="11"/>
        <v>11071121</v>
      </c>
      <c r="N344" s="4"/>
      <c r="O344" s="4"/>
      <c r="P344" s="4">
        <v>1107264</v>
      </c>
      <c r="Q344" s="4"/>
      <c r="R344" s="4">
        <v>1107270</v>
      </c>
      <c r="S344" s="4"/>
    </row>
    <row r="345" ht="14.25" spans="10:19">
      <c r="J345" s="4">
        <v>1107116</v>
      </c>
      <c r="K345" s="4">
        <v>1107113</v>
      </c>
      <c r="L345" s="4"/>
      <c r="M345" s="4">
        <f t="shared" si="11"/>
        <v>11071131</v>
      </c>
      <c r="N345" s="4"/>
      <c r="O345" s="4"/>
      <c r="P345" s="4">
        <v>1107265</v>
      </c>
      <c r="Q345" s="4"/>
      <c r="R345" s="4">
        <v>1107271</v>
      </c>
      <c r="S345" s="4"/>
    </row>
    <row r="346" ht="14.25" spans="10:19">
      <c r="J346" s="4"/>
      <c r="K346" s="4">
        <v>1107114</v>
      </c>
      <c r="L346" s="4"/>
      <c r="M346" s="4">
        <f t="shared" si="11"/>
        <v>11071141</v>
      </c>
      <c r="N346" s="4"/>
      <c r="O346" s="4"/>
      <c r="P346" s="4">
        <v>1107266</v>
      </c>
      <c r="Q346" s="4"/>
      <c r="R346" s="4">
        <v>1107272</v>
      </c>
      <c r="S346" s="4"/>
    </row>
    <row r="347" ht="14.25" spans="10:19">
      <c r="J347" s="4"/>
      <c r="K347" s="4">
        <v>1107116</v>
      </c>
      <c r="L347" s="4"/>
      <c r="M347" s="4">
        <f t="shared" si="11"/>
        <v>11071161</v>
      </c>
      <c r="N347" s="4"/>
      <c r="O347" s="4"/>
      <c r="P347" s="4">
        <v>1107267</v>
      </c>
      <c r="Q347" s="4"/>
      <c r="R347" s="4">
        <v>1107274</v>
      </c>
      <c r="S347" s="4"/>
    </row>
    <row r="348" ht="14.25" spans="10:19">
      <c r="J348" s="4"/>
      <c r="K348" s="4"/>
      <c r="L348" s="4"/>
      <c r="M348" s="4"/>
      <c r="N348" s="4"/>
      <c r="O348" s="4"/>
      <c r="P348" s="4">
        <v>1107268</v>
      </c>
      <c r="Q348" s="4"/>
      <c r="R348" s="4">
        <v>1107277</v>
      </c>
      <c r="S348" s="4"/>
    </row>
    <row r="349" ht="14.25" spans="10:19">
      <c r="J349" s="4"/>
      <c r="K349" s="4"/>
      <c r="L349" s="4"/>
      <c r="M349" s="4"/>
      <c r="N349" s="4"/>
      <c r="O349" s="4"/>
      <c r="P349" s="4">
        <v>1107269</v>
      </c>
      <c r="Q349" s="4"/>
      <c r="R349" s="4">
        <v>1107278</v>
      </c>
      <c r="S349" s="4"/>
    </row>
    <row r="350" ht="14.25" spans="10:19">
      <c r="J350" s="4"/>
      <c r="K350" s="4"/>
      <c r="L350" s="4"/>
      <c r="M350" s="4"/>
      <c r="N350" s="4"/>
      <c r="O350" s="4"/>
      <c r="P350" s="4">
        <v>1107270</v>
      </c>
      <c r="Q350" s="4"/>
      <c r="R350" s="4"/>
      <c r="S350" s="4"/>
    </row>
    <row r="351" ht="14.25" spans="10:19">
      <c r="J351" s="4"/>
      <c r="K351" s="4"/>
      <c r="L351" s="4"/>
      <c r="M351" s="4"/>
      <c r="N351" s="4"/>
      <c r="O351" s="4"/>
      <c r="P351" s="4">
        <v>1107271</v>
      </c>
      <c r="Q351" s="4"/>
      <c r="R351" s="4"/>
      <c r="S351" s="4"/>
    </row>
    <row r="352" ht="14.25" spans="10:19">
      <c r="J352" s="4"/>
      <c r="K352" s="4"/>
      <c r="L352" s="4"/>
      <c r="M352" s="4"/>
      <c r="N352" s="4"/>
      <c r="O352" s="4"/>
      <c r="P352" s="4">
        <v>1107272</v>
      </c>
      <c r="Q352" s="4"/>
      <c r="R352" s="4"/>
      <c r="S352" s="4"/>
    </row>
    <row r="353" ht="14.25" spans="10:19">
      <c r="J353" s="4"/>
      <c r="K353" s="4"/>
      <c r="L353" s="4"/>
      <c r="M353" s="4"/>
      <c r="N353" s="4"/>
      <c r="O353" s="4"/>
      <c r="P353" s="4">
        <v>1107273</v>
      </c>
      <c r="Q353" s="4"/>
      <c r="R353" s="4"/>
      <c r="S353" s="4"/>
    </row>
    <row r="354" ht="14.25" spans="10:19">
      <c r="J354" s="4"/>
      <c r="K354" s="4"/>
      <c r="L354" s="4"/>
      <c r="M354" s="4"/>
      <c r="N354" s="4"/>
      <c r="O354" s="4"/>
      <c r="P354" s="4">
        <v>1107274</v>
      </c>
      <c r="Q354" s="4"/>
      <c r="R354" s="4"/>
      <c r="S354" s="4"/>
    </row>
    <row r="355" ht="14.25" spans="10:19">
      <c r="J355" s="4"/>
      <c r="K355" s="4"/>
      <c r="L355" s="4"/>
      <c r="M355" s="4"/>
      <c r="N355" s="4"/>
      <c r="O355" s="4"/>
      <c r="P355" s="4">
        <v>1107275</v>
      </c>
      <c r="Q355" s="4"/>
      <c r="R355" s="4"/>
      <c r="S355" s="4"/>
    </row>
    <row r="356" ht="14.25" spans="10:19">
      <c r="J356" s="4"/>
      <c r="K356" s="4"/>
      <c r="L356" s="4"/>
      <c r="M356" s="4"/>
      <c r="N356" s="4"/>
      <c r="O356" s="4"/>
      <c r="P356" s="4">
        <v>1107276</v>
      </c>
      <c r="Q356" s="4"/>
      <c r="R356" s="4"/>
      <c r="S356" s="4"/>
    </row>
    <row r="357" ht="14.25" spans="10:19">
      <c r="J357" s="4"/>
      <c r="K357" s="4"/>
      <c r="L357" s="4"/>
      <c r="M357" s="4"/>
      <c r="N357" s="4"/>
      <c r="O357" s="4"/>
      <c r="P357" s="4">
        <v>1107277</v>
      </c>
      <c r="Q357" s="4"/>
      <c r="R357" s="4"/>
      <c r="S357" s="4"/>
    </row>
    <row r="358" ht="14.25" spans="10:19">
      <c r="J358" s="4"/>
      <c r="K358" s="4"/>
      <c r="L358" s="4"/>
      <c r="M358" s="4"/>
      <c r="N358" s="4"/>
      <c r="O358" s="4"/>
      <c r="P358" s="4">
        <v>1107278</v>
      </c>
      <c r="Q358" s="4"/>
      <c r="R358" s="4"/>
      <c r="S358" s="4"/>
    </row>
    <row r="359" ht="14.25" spans="10:19"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ht="14.25" spans="10:19">
      <c r="J360" s="4"/>
      <c r="K360" s="4"/>
      <c r="L360" s="4"/>
      <c r="M360" s="4"/>
      <c r="N360" s="4"/>
      <c r="O360" s="4"/>
      <c r="P360" s="4"/>
      <c r="Q360" s="4"/>
      <c r="R360" s="4"/>
      <c r="S360" s="4"/>
    </row>
  </sheetData>
  <conditionalFormatting sqref="M2">
    <cfRule type="duplicateValues" dxfId="0" priority="72"/>
  </conditionalFormatting>
  <conditionalFormatting sqref="U2">
    <cfRule type="duplicateValues" dxfId="0" priority="71"/>
  </conditionalFormatting>
  <conditionalFormatting sqref="N3">
    <cfRule type="duplicateValues" dxfId="0" priority="148"/>
  </conditionalFormatting>
  <conditionalFormatting sqref="O3">
    <cfRule type="duplicateValues" dxfId="0" priority="157"/>
  </conditionalFormatting>
  <conditionalFormatting sqref="N4">
    <cfRule type="duplicateValues" dxfId="0" priority="147"/>
  </conditionalFormatting>
  <conditionalFormatting sqref="O4">
    <cfRule type="duplicateValues" dxfId="0" priority="156"/>
  </conditionalFormatting>
  <conditionalFormatting sqref="N8">
    <cfRule type="duplicateValues" dxfId="0" priority="145"/>
  </conditionalFormatting>
  <conditionalFormatting sqref="O8">
    <cfRule type="duplicateValues" dxfId="0" priority="154"/>
  </conditionalFormatting>
  <conditionalFormatting sqref="N9">
    <cfRule type="duplicateValues" dxfId="0" priority="144"/>
  </conditionalFormatting>
  <conditionalFormatting sqref="O9">
    <cfRule type="duplicateValues" dxfId="0" priority="153"/>
  </conditionalFormatting>
  <conditionalFormatting sqref="V9">
    <cfRule type="duplicateValues" dxfId="0" priority="136"/>
  </conditionalFormatting>
  <conditionalFormatting sqref="N10">
    <cfRule type="duplicateValues" dxfId="0" priority="143"/>
  </conditionalFormatting>
  <conditionalFormatting sqref="O10">
    <cfRule type="duplicateValues" dxfId="0" priority="152"/>
  </conditionalFormatting>
  <conditionalFormatting sqref="V10">
    <cfRule type="duplicateValues" dxfId="0" priority="135"/>
  </conditionalFormatting>
  <conditionalFormatting sqref="U11">
    <cfRule type="duplicateValues" dxfId="0" priority="131"/>
  </conditionalFormatting>
  <conditionalFormatting sqref="F12">
    <cfRule type="duplicateValues" dxfId="0" priority="163"/>
  </conditionalFormatting>
  <conditionalFormatting sqref="I12">
    <cfRule type="duplicateValues" dxfId="0" priority="171"/>
  </conditionalFormatting>
  <conditionalFormatting sqref="F17">
    <cfRule type="duplicateValues" dxfId="0" priority="160"/>
  </conditionalFormatting>
  <conditionalFormatting sqref="I17">
    <cfRule type="duplicateValues" dxfId="0" priority="168"/>
  </conditionalFormatting>
  <conditionalFormatting sqref="V18">
    <cfRule type="duplicateValues" dxfId="0" priority="89"/>
  </conditionalFormatting>
  <conditionalFormatting sqref="V19">
    <cfRule type="duplicateValues" dxfId="0" priority="132"/>
  </conditionalFormatting>
  <conditionalFormatting sqref="F20">
    <cfRule type="duplicateValues" dxfId="0" priority="159"/>
  </conditionalFormatting>
  <conditionalFormatting sqref="E24">
    <cfRule type="duplicateValues" dxfId="0" priority="70"/>
  </conditionalFormatting>
  <conditionalFormatting sqref="M24">
    <cfRule type="duplicateValues" dxfId="0" priority="69"/>
  </conditionalFormatting>
  <conditionalFormatting sqref="U24">
    <cfRule type="duplicateValues" dxfId="0" priority="68"/>
  </conditionalFormatting>
  <conditionalFormatting sqref="F28">
    <cfRule type="duplicateValues" dxfId="0" priority="128"/>
  </conditionalFormatting>
  <conditionalFormatting sqref="N28">
    <cfRule type="duplicateValues" dxfId="0" priority="121"/>
  </conditionalFormatting>
  <conditionalFormatting sqref="G29">
    <cfRule type="duplicateValues" dxfId="0" priority="104"/>
  </conditionalFormatting>
  <conditionalFormatting sqref="F30">
    <cfRule type="duplicateValues" dxfId="0" priority="101"/>
  </conditionalFormatting>
  <conditionalFormatting sqref="N35">
    <cfRule type="duplicateValues" dxfId="0" priority="111"/>
  </conditionalFormatting>
  <conditionalFormatting sqref="N36">
    <cfRule type="duplicateValues" dxfId="0" priority="110"/>
  </conditionalFormatting>
  <conditionalFormatting sqref="F39">
    <cfRule type="duplicateValues" dxfId="0" priority="94"/>
    <cfRule type="duplicateValues" dxfId="0" priority="93"/>
    <cfRule type="duplicateValues" dxfId="0" priority="92"/>
  </conditionalFormatting>
  <conditionalFormatting sqref="N40">
    <cfRule type="duplicateValues" dxfId="0" priority="107"/>
    <cfRule type="duplicateValues" dxfId="0" priority="106"/>
  </conditionalFormatting>
  <conditionalFormatting sqref="E45">
    <cfRule type="duplicateValues" dxfId="0" priority="67"/>
  </conditionalFormatting>
  <conditionalFormatting sqref="M45">
    <cfRule type="duplicateValues" dxfId="0" priority="66"/>
  </conditionalFormatting>
  <conditionalFormatting sqref="U45">
    <cfRule type="duplicateValues" dxfId="0" priority="65"/>
  </conditionalFormatting>
  <conditionalFormatting sqref="E64">
    <cfRule type="duplicateValues" dxfId="0" priority="64"/>
  </conditionalFormatting>
  <conditionalFormatting sqref="F64">
    <cfRule type="duplicateValues" dxfId="0" priority="81"/>
  </conditionalFormatting>
  <conditionalFormatting sqref="M64">
    <cfRule type="duplicateValues" dxfId="0" priority="63"/>
  </conditionalFormatting>
  <conditionalFormatting sqref="U64">
    <cfRule type="duplicateValues" dxfId="0" priority="62"/>
  </conditionalFormatting>
  <conditionalFormatting sqref="F65">
    <cfRule type="duplicateValues" dxfId="0" priority="80"/>
  </conditionalFormatting>
  <conditionalFormatting sqref="E85">
    <cfRule type="duplicateValues" dxfId="0" priority="61"/>
  </conditionalFormatting>
  <conditionalFormatting sqref="F85">
    <cfRule type="duplicateValues" dxfId="0" priority="60"/>
  </conditionalFormatting>
  <conditionalFormatting sqref="H85">
    <cfRule type="duplicateValues" dxfId="0" priority="59"/>
  </conditionalFormatting>
  <conditionalFormatting sqref="I85">
    <cfRule type="duplicateValues" dxfId="0" priority="58"/>
  </conditionalFormatting>
  <conditionalFormatting sqref="J85">
    <cfRule type="duplicateValues" dxfId="0" priority="57"/>
  </conditionalFormatting>
  <conditionalFormatting sqref="K85">
    <cfRule type="duplicateValues" dxfId="0" priority="56"/>
  </conditionalFormatting>
  <conditionalFormatting sqref="L85">
    <cfRule type="duplicateValues" dxfId="0" priority="55"/>
  </conditionalFormatting>
  <conditionalFormatting sqref="M85">
    <cfRule type="duplicateValues" dxfId="0" priority="54"/>
  </conditionalFormatting>
  <conditionalFormatting sqref="C111">
    <cfRule type="duplicateValues" dxfId="0" priority="53"/>
  </conditionalFormatting>
  <conditionalFormatting sqref="J111">
    <cfRule type="duplicateValues" dxfId="0" priority="52"/>
  </conditionalFormatting>
  <conditionalFormatting sqref="P111">
    <cfRule type="duplicateValues" dxfId="0" priority="51"/>
  </conditionalFormatting>
  <conditionalFormatting sqref="D129:F129">
    <cfRule type="duplicateValues" dxfId="0" priority="49"/>
  </conditionalFormatting>
  <conditionalFormatting sqref="B159">
    <cfRule type="duplicateValues" dxfId="0" priority="48"/>
  </conditionalFormatting>
  <conditionalFormatting sqref="C159">
    <cfRule type="duplicateValues" dxfId="0" priority="47"/>
  </conditionalFormatting>
  <conditionalFormatting sqref="H159">
    <cfRule type="duplicateValues" dxfId="0" priority="42"/>
  </conditionalFormatting>
  <conditionalFormatting sqref="J159">
    <cfRule type="duplicateValues" dxfId="0" priority="41"/>
  </conditionalFormatting>
  <conditionalFormatting sqref="K159">
    <cfRule type="duplicateValues" dxfId="0" priority="40"/>
  </conditionalFormatting>
  <conditionalFormatting sqref="L159">
    <cfRule type="duplicateValues" dxfId="0" priority="39"/>
  </conditionalFormatting>
  <conditionalFormatting sqref="B178:C178">
    <cfRule type="duplicateValues" dxfId="0" priority="45"/>
  </conditionalFormatting>
  <conditionalFormatting sqref="B182:C182">
    <cfRule type="duplicateValues" dxfId="0" priority="44"/>
  </conditionalFormatting>
  <conditionalFormatting sqref="B198">
    <cfRule type="duplicateValues" dxfId="0" priority="37"/>
  </conditionalFormatting>
  <conditionalFormatting sqref="C198">
    <cfRule type="duplicateValues" dxfId="0" priority="36"/>
  </conditionalFormatting>
  <conditionalFormatting sqref="H198">
    <cfRule type="duplicateValues" dxfId="0" priority="30"/>
  </conditionalFormatting>
  <conditionalFormatting sqref="J198:N198">
    <cfRule type="duplicateValues" dxfId="0" priority="29"/>
  </conditionalFormatting>
  <conditionalFormatting sqref="B212:C212">
    <cfRule type="duplicateValues" dxfId="0" priority="33"/>
  </conditionalFormatting>
  <conditionalFormatting sqref="B219:C219">
    <cfRule type="duplicateValues" dxfId="0" priority="32"/>
  </conditionalFormatting>
  <conditionalFormatting sqref="H242">
    <cfRule type="duplicateValues" dxfId="0" priority="27"/>
  </conditionalFormatting>
  <conditionalFormatting sqref="I242:J242">
    <cfRule type="duplicateValues" dxfId="0" priority="26"/>
  </conditionalFormatting>
  <conditionalFormatting sqref="B261">
    <cfRule type="duplicateValues" dxfId="0" priority="23"/>
  </conditionalFormatting>
  <conditionalFormatting sqref="C261">
    <cfRule type="duplicateValues" dxfId="0" priority="22"/>
  </conditionalFormatting>
  <conditionalFormatting sqref="D261">
    <cfRule type="duplicateValues" dxfId="0" priority="21"/>
  </conditionalFormatting>
  <conditionalFormatting sqref="E261">
    <cfRule type="duplicateValues" dxfId="0" priority="20"/>
  </conditionalFormatting>
  <conditionalFormatting sqref="F261">
    <cfRule type="duplicateValues" dxfId="0" priority="19"/>
  </conditionalFormatting>
  <conditionalFormatting sqref="G261">
    <cfRule type="duplicateValues" dxfId="0" priority="18"/>
  </conditionalFormatting>
  <conditionalFormatting sqref="J261">
    <cfRule type="duplicateValues" dxfId="0" priority="15"/>
  </conditionalFormatting>
  <conditionalFormatting sqref="L261">
    <cfRule type="duplicateValues" dxfId="0" priority="14"/>
  </conditionalFormatting>
  <conditionalFormatting sqref="P274">
    <cfRule type="duplicateValues" dxfId="0" priority="11"/>
  </conditionalFormatting>
  <conditionalFormatting sqref="R274">
    <cfRule type="duplicateValues" dxfId="0" priority="10"/>
  </conditionalFormatting>
  <conditionalFormatting sqref="M299">
    <cfRule type="duplicateValues" dxfId="0" priority="8"/>
  </conditionalFormatting>
  <conditionalFormatting sqref="P299">
    <cfRule type="duplicateValues" dxfId="0" priority="7"/>
  </conditionalFormatting>
  <conditionalFormatting sqref="K329">
    <cfRule type="duplicateValues" dxfId="0" priority="2"/>
  </conditionalFormatting>
  <conditionalFormatting sqref="M329">
    <cfRule type="duplicateValues" dxfId="0" priority="1"/>
  </conditionalFormatting>
  <conditionalFormatting sqref="R330">
    <cfRule type="duplicateValues" dxfId="0" priority="5"/>
  </conditionalFormatting>
  <conditionalFormatting sqref="C262:C270">
    <cfRule type="duplicateValues" dxfId="0" priority="17"/>
  </conditionalFormatting>
  <conditionalFormatting sqref="D262:D270">
    <cfRule type="duplicateValues" dxfId="0" priority="24"/>
  </conditionalFormatting>
  <conditionalFormatting sqref="E3:E13">
    <cfRule type="duplicateValues" dxfId="0" priority="166"/>
  </conditionalFormatting>
  <conditionalFormatting sqref="F3:F7">
    <cfRule type="duplicateValues" dxfId="0" priority="165"/>
  </conditionalFormatting>
  <conditionalFormatting sqref="F8:F11">
    <cfRule type="duplicateValues" dxfId="0" priority="164"/>
  </conditionalFormatting>
  <conditionalFormatting sqref="F13:F14">
    <cfRule type="duplicateValues" dxfId="0" priority="162"/>
  </conditionalFormatting>
  <conditionalFormatting sqref="F15:F16">
    <cfRule type="duplicateValues" dxfId="0" priority="161"/>
  </conditionalFormatting>
  <conditionalFormatting sqref="F18:F19">
    <cfRule type="duplicateValues" dxfId="0" priority="86"/>
  </conditionalFormatting>
  <conditionalFormatting sqref="F25:F27">
    <cfRule type="duplicateValues" dxfId="0" priority="129"/>
  </conditionalFormatting>
  <conditionalFormatting sqref="F30:F35">
    <cfRule type="duplicateValues" dxfId="0" priority="99"/>
  </conditionalFormatting>
  <conditionalFormatting sqref="F31:F35">
    <cfRule type="duplicateValues" dxfId="0" priority="100"/>
  </conditionalFormatting>
  <conditionalFormatting sqref="F36:F38">
    <cfRule type="duplicateValues" dxfId="0" priority="97"/>
    <cfRule type="duplicateValues" dxfId="0" priority="96"/>
    <cfRule type="duplicateValues" dxfId="0" priority="95"/>
  </conditionalFormatting>
  <conditionalFormatting sqref="G29:G34">
    <cfRule type="duplicateValues" dxfId="0" priority="102"/>
  </conditionalFormatting>
  <conditionalFormatting sqref="G30:G34">
    <cfRule type="duplicateValues" dxfId="0" priority="103"/>
  </conditionalFormatting>
  <conditionalFormatting sqref="I3:I7">
    <cfRule type="duplicateValues" dxfId="0" priority="173"/>
  </conditionalFormatting>
  <conditionalFormatting sqref="I8:I11">
    <cfRule type="duplicateValues" dxfId="0" priority="172"/>
  </conditionalFormatting>
  <conditionalFormatting sqref="I13:I14">
    <cfRule type="duplicateValues" dxfId="0" priority="170"/>
  </conditionalFormatting>
  <conditionalFormatting sqref="I15:I16">
    <cfRule type="duplicateValues" dxfId="0" priority="169"/>
  </conditionalFormatting>
  <conditionalFormatting sqref="I18:I20">
    <cfRule type="duplicateValues" dxfId="0" priority="167"/>
  </conditionalFormatting>
  <conditionalFormatting sqref="N5:N7">
    <cfRule type="duplicateValues" dxfId="0" priority="146"/>
  </conditionalFormatting>
  <conditionalFormatting sqref="N11:N12">
    <cfRule type="duplicateValues" dxfId="0" priority="142"/>
  </conditionalFormatting>
  <conditionalFormatting sqref="N13:N17">
    <cfRule type="duplicateValues" dxfId="0" priority="141"/>
  </conditionalFormatting>
  <conditionalFormatting sqref="N18:N19">
    <cfRule type="duplicateValues" dxfId="0" priority="140"/>
  </conditionalFormatting>
  <conditionalFormatting sqref="N25:N27">
    <cfRule type="duplicateValues" dxfId="0" priority="122"/>
  </conditionalFormatting>
  <conditionalFormatting sqref="N29:N31">
    <cfRule type="duplicateValues" dxfId="0" priority="113"/>
  </conditionalFormatting>
  <conditionalFormatting sqref="N32:N34">
    <cfRule type="duplicateValues" dxfId="0" priority="112"/>
  </conditionalFormatting>
  <conditionalFormatting sqref="N37:N39">
    <cfRule type="duplicateValues" dxfId="0" priority="109"/>
    <cfRule type="duplicateValues" dxfId="0" priority="108"/>
  </conditionalFormatting>
  <conditionalFormatting sqref="O5:O7">
    <cfRule type="duplicateValues" dxfId="0" priority="155"/>
  </conditionalFormatting>
  <conditionalFormatting sqref="O11:O12">
    <cfRule type="duplicateValues" dxfId="0" priority="151"/>
  </conditionalFormatting>
  <conditionalFormatting sqref="O13:O17">
    <cfRule type="duplicateValues" dxfId="0" priority="150"/>
  </conditionalFormatting>
  <conditionalFormatting sqref="O18:O19">
    <cfRule type="duplicateValues" dxfId="0" priority="149"/>
  </conditionalFormatting>
  <conditionalFormatting sqref="P285:P293">
    <cfRule type="duplicateValues" dxfId="0" priority="12"/>
  </conditionalFormatting>
  <conditionalFormatting sqref="V3:V5">
    <cfRule type="duplicateValues" dxfId="0" priority="138"/>
  </conditionalFormatting>
  <conditionalFormatting sqref="V6:V8">
    <cfRule type="duplicateValues" dxfId="0" priority="137"/>
  </conditionalFormatting>
  <conditionalFormatting sqref="V11:V14">
    <cfRule type="duplicateValues" dxfId="0" priority="134"/>
  </conditionalFormatting>
  <conditionalFormatting sqref="V15:V17">
    <cfRule type="duplicateValues" dxfId="0" priority="90"/>
  </conditionalFormatting>
  <conditionalFormatting sqref="V35:V37">
    <cfRule type="duplicateValues" dxfId="0" priority="115"/>
  </conditionalFormatting>
  <conditionalFormatting sqref="A2:H2 A3:D13 G3:H13">
    <cfRule type="duplicateValues" dxfId="0" priority="174"/>
  </conditionalFormatting>
  <conditionalFormatting sqref="J2:L2 N2 J3:N20">
    <cfRule type="duplicateValues" dxfId="0" priority="88"/>
  </conditionalFormatting>
  <conditionalFormatting sqref="A3:F20">
    <cfRule type="duplicateValues" dxfId="0" priority="87"/>
  </conditionalFormatting>
  <conditionalFormatting sqref="J3:M16">
    <cfRule type="duplicateValues" dxfId="0" priority="158"/>
  </conditionalFormatting>
  <conditionalFormatting sqref="R3:U10 R11:T11 R12:U16">
    <cfRule type="duplicateValues" dxfId="0" priority="139"/>
  </conditionalFormatting>
  <conditionalFormatting sqref="R3:V19">
    <cfRule type="duplicateValues" dxfId="0" priority="91"/>
  </conditionalFormatting>
  <conditionalFormatting sqref="A25:E37">
    <cfRule type="duplicateValues" dxfId="0" priority="130"/>
  </conditionalFormatting>
  <conditionalFormatting sqref="A25:F28 A29:E37">
    <cfRule type="duplicateValues" dxfId="0" priority="105"/>
  </conditionalFormatting>
  <conditionalFormatting sqref="A25:F35 A36:E37">
    <cfRule type="duplicateValues" dxfId="0" priority="98"/>
  </conditionalFormatting>
  <conditionalFormatting sqref="J25:M37">
    <cfRule type="duplicateValues" dxfId="0" priority="123"/>
  </conditionalFormatting>
  <conditionalFormatting sqref="J25:N36">
    <cfRule type="duplicateValues" dxfId="0" priority="114"/>
  </conditionalFormatting>
  <conditionalFormatting sqref="R25:V34 R35:U36">
    <cfRule type="duplicateValues" dxfId="0" priority="116"/>
  </conditionalFormatting>
  <conditionalFormatting sqref="A46:F58">
    <cfRule type="duplicateValues" dxfId="0" priority="85"/>
  </conditionalFormatting>
  <conditionalFormatting sqref="J46:N62">
    <cfRule type="duplicateValues" dxfId="0" priority="84"/>
  </conditionalFormatting>
  <conditionalFormatting sqref="R46:V62">
    <cfRule type="duplicateValues" dxfId="0" priority="83"/>
  </conditionalFormatting>
  <conditionalFormatting sqref="A65:E65 A66:F81">
    <cfRule type="duplicateValues" dxfId="0" priority="82"/>
  </conditionalFormatting>
  <conditionalFormatting sqref="A65:F80">
    <cfRule type="duplicateValues" dxfId="0" priority="79"/>
  </conditionalFormatting>
  <conditionalFormatting sqref="J65:N81">
    <cfRule type="duplicateValues" dxfId="0" priority="78"/>
  </conditionalFormatting>
  <conditionalFormatting sqref="R65:V82">
    <cfRule type="duplicateValues" dxfId="0" priority="77"/>
  </conditionalFormatting>
  <conditionalFormatting sqref="A86:Q105">
    <cfRule type="duplicateValues" dxfId="0" priority="75"/>
  </conditionalFormatting>
  <conditionalFormatting sqref="A86:G110 A111:B111 D111:G111 A112:G125">
    <cfRule type="duplicateValues" dxfId="0" priority="76"/>
  </conditionalFormatting>
  <conditionalFormatting sqref="H112:K123">
    <cfRule type="duplicateValues" dxfId="0" priority="74"/>
  </conditionalFormatting>
  <conditionalFormatting sqref="N112:Q122">
    <cfRule type="duplicateValues" dxfId="0" priority="73"/>
  </conditionalFormatting>
  <conditionalFormatting sqref="A130:I155">
    <cfRule type="duplicateValues" dxfId="0" priority="50"/>
  </conditionalFormatting>
  <conditionalFormatting sqref="A160:B177">
    <cfRule type="duplicateValues" dxfId="0" priority="46"/>
  </conditionalFormatting>
  <conditionalFormatting sqref="E160:H196">
    <cfRule type="duplicateValues" dxfId="0" priority="43"/>
  </conditionalFormatting>
  <conditionalFormatting sqref="A199:B211 A212 A213:B214">
    <cfRule type="duplicateValues" dxfId="0" priority="38"/>
  </conditionalFormatting>
  <conditionalFormatting sqref="E199:H237 H238:H239">
    <cfRule type="duplicateValues" dxfId="0" priority="31"/>
  </conditionalFormatting>
  <conditionalFormatting sqref="E243:H255 E256">
    <cfRule type="duplicateValues" dxfId="0" priority="28"/>
  </conditionalFormatting>
  <conditionalFormatting sqref="A262:B270 A271:C281">
    <cfRule type="duplicateValues" dxfId="0" priority="25"/>
  </conditionalFormatting>
  <conditionalFormatting sqref="H262:N289 N290:N292">
    <cfRule type="duplicateValues" dxfId="0" priority="16"/>
  </conditionalFormatting>
  <conditionalFormatting sqref="N274:O274 Q274 N275:Q284 N285:O289 Q285:Q289">
    <cfRule type="duplicateValues" dxfId="0" priority="13"/>
  </conditionalFormatting>
  <conditionalFormatting sqref="L300:N315 L316:L317">
    <cfRule type="duplicateValues" dxfId="0" priority="9"/>
  </conditionalFormatting>
  <conditionalFormatting sqref="J330:K346">
    <cfRule type="duplicateValues" dxfId="0" priority="4"/>
  </conditionalFormatting>
  <conditionalFormatting sqref="J330:K349">
    <cfRule type="duplicateValues" dxfId="0" priority="3"/>
  </conditionalFormatting>
  <conditionalFormatting sqref="P331:S358">
    <cfRule type="duplicateValues" dxfId="0" priority="6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1"/>
  <sheetViews>
    <sheetView zoomScale="80" zoomScaleNormal="80" topLeftCell="E1" workbookViewId="0">
      <selection activeCell="S26" sqref="S26"/>
    </sheetView>
  </sheetViews>
  <sheetFormatPr defaultColWidth="9" defaultRowHeight="13.5"/>
  <cols>
    <col min="1" max="1" width="10.75" customWidth="1"/>
    <col min="3" max="3" width="12.625"/>
    <col min="4" max="4" width="16.875" customWidth="1"/>
    <col min="5" max="5" width="12.625"/>
    <col min="6" max="6" width="17.125" customWidth="1"/>
    <col min="8" max="8" width="9.375"/>
    <col min="9" max="9" width="17.25" customWidth="1"/>
    <col min="11" max="11" width="12.625"/>
    <col min="15" max="15" width="21.375" customWidth="1"/>
    <col min="19" max="19" width="12.625"/>
    <col min="20" max="21" width="9.375"/>
    <col min="22" max="22" width="16"/>
    <col min="23" max="24" width="14.875"/>
    <col min="25" max="25" width="9.375"/>
    <col min="26" max="26" width="14.875"/>
    <col min="27" max="34" width="9.375"/>
    <col min="36" max="40" width="10.375"/>
    <col min="43" max="45" width="10.375"/>
  </cols>
  <sheetData>
    <row r="1" spans="1:45">
      <c r="N1">
        <v>1</v>
      </c>
      <c r="O1">
        <f>INT($K$30/$N$61*N1)</f>
        <v>168210</v>
      </c>
    </row>
    <row r="2" spans="1:45">
      <c r="N2">
        <v>2</v>
      </c>
      <c r="O2">
        <f t="shared" ref="O2:O33" si="0">INT($K$30/$N$61*N2)</f>
        <v>336421</v>
      </c>
      <c r="Q2">
        <v>1990000</v>
      </c>
    </row>
    <row r="3" spans="1:45">
      <c r="N3">
        <v>3</v>
      </c>
      <c r="O3">
        <f t="shared" si="0"/>
        <v>504632</v>
      </c>
    </row>
    <row r="4" spans="1:45">
      <c r="C4" s="2"/>
      <c r="E4" s="2"/>
      <c r="N4">
        <v>4</v>
      </c>
      <c r="O4">
        <f t="shared" si="0"/>
        <v>672843</v>
      </c>
    </row>
    <row r="5" spans="1:45">
      <c r="C5" s="2"/>
      <c r="N5">
        <v>5</v>
      </c>
      <c r="O5">
        <f t="shared" si="0"/>
        <v>841054</v>
      </c>
    </row>
    <row r="6" spans="1:45">
      <c r="A6">
        <v>1990000</v>
      </c>
      <c r="C6" s="2">
        <v>58742400</v>
      </c>
      <c r="N6">
        <v>6</v>
      </c>
      <c r="O6">
        <f t="shared" si="0"/>
        <v>1009265</v>
      </c>
      <c r="R6">
        <v>1</v>
      </c>
      <c r="S6">
        <f>INT($O$1/$R$15*R6)</f>
        <v>3738</v>
      </c>
      <c r="T6">
        <f>INT($O$2/$R$15*R6)</f>
        <v>7476</v>
      </c>
      <c r="U6">
        <f>INT($O$3/$R$15*R6)</f>
        <v>11214</v>
      </c>
      <c r="V6">
        <f>INT($O$4/$R$15*R6)</f>
        <v>14952</v>
      </c>
      <c r="W6">
        <f>INT($O$5/$R$15*R6)</f>
        <v>18690</v>
      </c>
      <c r="X6">
        <f>INT($O$6/$R$15*R6)</f>
        <v>22428</v>
      </c>
      <c r="Y6">
        <f>INT($O$7/$R$15*R6)</f>
        <v>26166</v>
      </c>
      <c r="Z6">
        <f>INT($O$8/$R$15*R6)</f>
        <v>29904</v>
      </c>
      <c r="AA6">
        <f>INT($O$9/$R$15*R6)</f>
        <v>33642</v>
      </c>
      <c r="AB6">
        <f>INT($O$10/$R$15*R6)</f>
        <v>37380</v>
      </c>
      <c r="AC6">
        <f>INT($O$11/$R$15*R6)</f>
        <v>41118</v>
      </c>
      <c r="AD6">
        <f>INT($O$12/$R$15*R6)</f>
        <v>44856</v>
      </c>
      <c r="AE6">
        <f>INT($O$13/$R$15*R6)</f>
        <v>48594</v>
      </c>
      <c r="AF6">
        <f>INT($O$14/$R$15*R6)</f>
        <v>52332</v>
      </c>
      <c r="AG6">
        <f>INT($O$15/$R$15*R6)</f>
        <v>56070</v>
      </c>
      <c r="AH6">
        <f>INT($O$16/$R$15*R6)</f>
        <v>59808</v>
      </c>
      <c r="AI6">
        <f>INT($O$17/$R$15*R6)</f>
        <v>63546</v>
      </c>
      <c r="AJ6">
        <f>INT($O$18/$R$15*R6)</f>
        <v>67284</v>
      </c>
      <c r="AK6">
        <f>INT($O$19/$R$15*R6)</f>
        <v>71022</v>
      </c>
      <c r="AL6">
        <f>INT($O$20/$R$15*R6)</f>
        <v>74760</v>
      </c>
      <c r="AM6">
        <f>INT($O$21/$R$15*R6)</f>
        <v>78498</v>
      </c>
      <c r="AN6">
        <f>INT($O$22/$R$15*R6)</f>
        <v>82236</v>
      </c>
      <c r="AO6">
        <f>INT($O$23/$R$15*R6)</f>
        <v>85974</v>
      </c>
      <c r="AP6">
        <f>INT($O$24/$R$15*R6)</f>
        <v>89712</v>
      </c>
      <c r="AQ6">
        <f>INT($O$25/$R$15*R6)</f>
        <v>93450</v>
      </c>
      <c r="AR6">
        <f>INT($O$26/$R$15*R6)</f>
        <v>97188</v>
      </c>
      <c r="AS6">
        <f>INT($O$27/$R$15*R6)</f>
        <v>100926</v>
      </c>
    </row>
    <row r="7" spans="1:45">
      <c r="C7" s="2"/>
      <c r="N7">
        <v>7</v>
      </c>
      <c r="O7">
        <f t="shared" si="0"/>
        <v>1177476</v>
      </c>
      <c r="R7">
        <v>2</v>
      </c>
      <c r="S7">
        <f t="shared" ref="S7:S14" si="1">INT($O$1/$R$15*R7)</f>
        <v>7476</v>
      </c>
      <c r="T7">
        <f t="shared" ref="T7:T14" si="2">INT($O$2/$R$15*R7)</f>
        <v>14952</v>
      </c>
      <c r="U7">
        <f t="shared" ref="U7:U14" si="3">INT($O$3/$R$15*R7)</f>
        <v>22428</v>
      </c>
      <c r="V7">
        <f t="shared" ref="V7:V14" si="4">INT($O$4/$R$15*R7)</f>
        <v>29904</v>
      </c>
      <c r="W7">
        <f t="shared" ref="W7:W14" si="5">INT($O$5/$R$15*R7)</f>
        <v>37380</v>
      </c>
      <c r="X7">
        <f t="shared" ref="X7:X14" si="6">INT($O$6/$R$15*R7)</f>
        <v>44856</v>
      </c>
      <c r="Y7">
        <f t="shared" ref="Y7:Y14" si="7">INT($O$7/$R$15*R7)</f>
        <v>52332</v>
      </c>
      <c r="Z7">
        <f t="shared" ref="Z7:Z14" si="8">INT($O$8/$R$15*R7)</f>
        <v>59808</v>
      </c>
      <c r="AA7">
        <f t="shared" ref="AA7:AA14" si="9">INT($O$9/$R$15*R7)</f>
        <v>67284</v>
      </c>
      <c r="AB7">
        <f t="shared" ref="AB7:AB14" si="10">INT($O$10/$R$15*R7)</f>
        <v>74760</v>
      </c>
      <c r="AC7">
        <f t="shared" ref="AC7:AC14" si="11">INT($O$11/$R$15*R7)</f>
        <v>82236</v>
      </c>
      <c r="AD7">
        <f t="shared" ref="AD7:AD14" si="12">INT($O$12/$R$15*R7)</f>
        <v>89712</v>
      </c>
      <c r="AE7">
        <f t="shared" ref="AE7:AE14" si="13">INT($O$13/$R$15*R7)</f>
        <v>97188</v>
      </c>
      <c r="AF7">
        <f t="shared" ref="AF7:AF14" si="14">INT($O$14/$R$15*R7)</f>
        <v>104664</v>
      </c>
      <c r="AG7">
        <f t="shared" ref="AG7:AG14" si="15">INT($O$15/$R$15*R7)</f>
        <v>112140</v>
      </c>
      <c r="AH7">
        <f t="shared" ref="AH7:AH14" si="16">INT($O$16/$R$15*R7)</f>
        <v>119616</v>
      </c>
      <c r="AI7">
        <f t="shared" ref="AI7:AI14" si="17">INT($O$17/$R$15*R7)</f>
        <v>127092</v>
      </c>
      <c r="AJ7">
        <f t="shared" ref="AJ7:AJ14" si="18">INT($O$18/$R$15*R7)</f>
        <v>134568</v>
      </c>
      <c r="AK7">
        <f t="shared" ref="AK7:AK14" si="19">INT($O$19/$R$15*R7)</f>
        <v>142044</v>
      </c>
      <c r="AL7">
        <f t="shared" ref="AL7:AL14" si="20">INT($O$20/$R$15*R7)</f>
        <v>149520</v>
      </c>
      <c r="AM7">
        <f t="shared" ref="AM7:AM14" si="21">INT($O$21/$R$15*R7)</f>
        <v>156996</v>
      </c>
      <c r="AN7">
        <f t="shared" ref="AN7:AN14" si="22">INT($O$22/$R$15*R7)</f>
        <v>164472</v>
      </c>
      <c r="AO7">
        <f t="shared" ref="AO7:AO14" si="23">INT($O$23/$R$15*R7)</f>
        <v>171948</v>
      </c>
      <c r="AP7">
        <f t="shared" ref="AP7:AP14" si="24">INT($O$24/$R$15*R7)</f>
        <v>179424</v>
      </c>
      <c r="AQ7">
        <f t="shared" ref="AQ7:AQ14" si="25">INT($O$25/$R$15*R7)</f>
        <v>186900</v>
      </c>
      <c r="AR7">
        <f t="shared" ref="AR7:AR14" si="26">INT($O$26/$R$15*R7)</f>
        <v>194377</v>
      </c>
      <c r="AS7">
        <f t="shared" ref="AS7:AS14" si="27">INT($O$27/$R$15*R7)</f>
        <v>201853</v>
      </c>
    </row>
    <row r="8" spans="1:45">
      <c r="C8" s="2"/>
      <c r="N8">
        <v>8</v>
      </c>
      <c r="O8">
        <f t="shared" si="0"/>
        <v>1345687</v>
      </c>
      <c r="R8">
        <v>3</v>
      </c>
      <c r="S8">
        <f t="shared" si="1"/>
        <v>11214</v>
      </c>
      <c r="T8">
        <f t="shared" si="2"/>
        <v>22428</v>
      </c>
      <c r="U8">
        <f t="shared" si="3"/>
        <v>33642</v>
      </c>
      <c r="V8">
        <f t="shared" si="4"/>
        <v>44856</v>
      </c>
      <c r="W8">
        <f t="shared" si="5"/>
        <v>56070</v>
      </c>
      <c r="X8">
        <f t="shared" si="6"/>
        <v>67284</v>
      </c>
      <c r="Y8">
        <f t="shared" si="7"/>
        <v>78498</v>
      </c>
      <c r="Z8">
        <f t="shared" si="8"/>
        <v>89712</v>
      </c>
      <c r="AA8">
        <f t="shared" si="9"/>
        <v>100926</v>
      </c>
      <c r="AB8">
        <f t="shared" si="10"/>
        <v>112140</v>
      </c>
      <c r="AC8">
        <f t="shared" si="11"/>
        <v>123354</v>
      </c>
      <c r="AD8">
        <f t="shared" si="12"/>
        <v>134568</v>
      </c>
      <c r="AE8">
        <f t="shared" si="13"/>
        <v>145782</v>
      </c>
      <c r="AF8">
        <f t="shared" si="14"/>
        <v>156996</v>
      </c>
      <c r="AG8">
        <f t="shared" si="15"/>
        <v>168210</v>
      </c>
      <c r="AH8">
        <f t="shared" si="16"/>
        <v>179424</v>
      </c>
      <c r="AI8">
        <f t="shared" si="17"/>
        <v>190639</v>
      </c>
      <c r="AJ8">
        <f t="shared" si="18"/>
        <v>201853</v>
      </c>
      <c r="AK8">
        <f t="shared" si="19"/>
        <v>213067</v>
      </c>
      <c r="AL8">
        <f t="shared" si="20"/>
        <v>224281</v>
      </c>
      <c r="AM8">
        <f t="shared" si="21"/>
        <v>235495</v>
      </c>
      <c r="AN8">
        <f t="shared" si="22"/>
        <v>246709</v>
      </c>
      <c r="AO8">
        <f t="shared" si="23"/>
        <v>257923</v>
      </c>
      <c r="AP8">
        <f t="shared" si="24"/>
        <v>269137</v>
      </c>
      <c r="AQ8">
        <f t="shared" si="25"/>
        <v>280351</v>
      </c>
      <c r="AR8">
        <f t="shared" si="26"/>
        <v>291565</v>
      </c>
      <c r="AS8">
        <f t="shared" si="27"/>
        <v>302779</v>
      </c>
    </row>
    <row r="9" spans="1:45">
      <c r="C9" s="2">
        <v>1</v>
      </c>
      <c r="D9">
        <f>INT($C$6/$C$12*C9)</f>
        <v>9790400</v>
      </c>
      <c r="K9">
        <v>196800</v>
      </c>
      <c r="N9">
        <v>9</v>
      </c>
      <c r="O9">
        <f t="shared" si="0"/>
        <v>1513897</v>
      </c>
      <c r="R9">
        <v>4</v>
      </c>
      <c r="S9">
        <f t="shared" si="1"/>
        <v>14952</v>
      </c>
      <c r="T9">
        <f t="shared" si="2"/>
        <v>29904</v>
      </c>
      <c r="U9">
        <f t="shared" si="3"/>
        <v>44856</v>
      </c>
      <c r="V9">
        <f t="shared" si="4"/>
        <v>59808</v>
      </c>
      <c r="W9">
        <f t="shared" si="5"/>
        <v>74760</v>
      </c>
      <c r="X9">
        <f t="shared" si="6"/>
        <v>89712</v>
      </c>
      <c r="Y9">
        <f t="shared" si="7"/>
        <v>104664</v>
      </c>
      <c r="Z9">
        <f t="shared" si="8"/>
        <v>119616</v>
      </c>
      <c r="AA9">
        <f t="shared" si="9"/>
        <v>134568</v>
      </c>
      <c r="AB9">
        <f t="shared" si="10"/>
        <v>149520</v>
      </c>
      <c r="AC9">
        <f t="shared" si="11"/>
        <v>164472</v>
      </c>
      <c r="AD9">
        <f t="shared" si="12"/>
        <v>179424</v>
      </c>
      <c r="AE9">
        <f t="shared" si="13"/>
        <v>194376</v>
      </c>
      <c r="AF9">
        <f t="shared" si="14"/>
        <v>209329</v>
      </c>
      <c r="AG9">
        <f t="shared" si="15"/>
        <v>224281</v>
      </c>
      <c r="AH9">
        <f t="shared" si="16"/>
        <v>239233</v>
      </c>
      <c r="AI9">
        <f t="shared" si="17"/>
        <v>254185</v>
      </c>
      <c r="AJ9">
        <f t="shared" si="18"/>
        <v>269137</v>
      </c>
      <c r="AK9">
        <f t="shared" si="19"/>
        <v>284089</v>
      </c>
      <c r="AL9">
        <f t="shared" si="20"/>
        <v>299041</v>
      </c>
      <c r="AM9">
        <f t="shared" si="21"/>
        <v>313993</v>
      </c>
      <c r="AN9">
        <f t="shared" si="22"/>
        <v>328945</v>
      </c>
      <c r="AO9">
        <f t="shared" si="23"/>
        <v>343897</v>
      </c>
      <c r="AP9">
        <f t="shared" si="24"/>
        <v>358849</v>
      </c>
      <c r="AQ9">
        <f t="shared" si="25"/>
        <v>373801</v>
      </c>
      <c r="AR9">
        <f t="shared" si="26"/>
        <v>388754</v>
      </c>
      <c r="AS9">
        <f t="shared" si="27"/>
        <v>403706</v>
      </c>
    </row>
    <row r="10" spans="1:45">
      <c r="C10" s="2">
        <v>2</v>
      </c>
      <c r="D10">
        <f>INT($C$6/$C$12*C10)</f>
        <v>19580800</v>
      </c>
      <c r="K10">
        <v>246000</v>
      </c>
      <c r="N10">
        <v>10</v>
      </c>
      <c r="O10">
        <f t="shared" si="0"/>
        <v>1682108</v>
      </c>
      <c r="R10">
        <v>5</v>
      </c>
      <c r="S10">
        <f t="shared" si="1"/>
        <v>18690</v>
      </c>
      <c r="T10">
        <f t="shared" si="2"/>
        <v>37380</v>
      </c>
      <c r="U10">
        <f t="shared" si="3"/>
        <v>56070</v>
      </c>
      <c r="V10">
        <f t="shared" si="4"/>
        <v>74760</v>
      </c>
      <c r="W10">
        <f t="shared" si="5"/>
        <v>93450</v>
      </c>
      <c r="X10">
        <f t="shared" si="6"/>
        <v>112140</v>
      </c>
      <c r="Y10">
        <f t="shared" si="7"/>
        <v>130830</v>
      </c>
      <c r="Z10">
        <f t="shared" si="8"/>
        <v>149520</v>
      </c>
      <c r="AA10">
        <f t="shared" si="9"/>
        <v>168210</v>
      </c>
      <c r="AB10">
        <f t="shared" si="10"/>
        <v>186900</v>
      </c>
      <c r="AC10">
        <f t="shared" si="11"/>
        <v>205591</v>
      </c>
      <c r="AD10">
        <f t="shared" si="12"/>
        <v>224281</v>
      </c>
      <c r="AE10">
        <f t="shared" si="13"/>
        <v>242971</v>
      </c>
      <c r="AF10">
        <f t="shared" si="14"/>
        <v>261661</v>
      </c>
      <c r="AG10">
        <f t="shared" si="15"/>
        <v>280351</v>
      </c>
      <c r="AH10">
        <f t="shared" si="16"/>
        <v>299041</v>
      </c>
      <c r="AI10">
        <f t="shared" si="17"/>
        <v>317731</v>
      </c>
      <c r="AJ10">
        <f t="shared" si="18"/>
        <v>336421</v>
      </c>
      <c r="AK10">
        <f t="shared" si="19"/>
        <v>355111</v>
      </c>
      <c r="AL10">
        <f t="shared" si="20"/>
        <v>373801</v>
      </c>
      <c r="AM10">
        <f t="shared" si="21"/>
        <v>392492</v>
      </c>
      <c r="AN10">
        <f t="shared" si="22"/>
        <v>411182</v>
      </c>
      <c r="AO10">
        <f t="shared" si="23"/>
        <v>429872</v>
      </c>
      <c r="AP10">
        <f t="shared" si="24"/>
        <v>448562</v>
      </c>
      <c r="AQ10">
        <f t="shared" si="25"/>
        <v>467252</v>
      </c>
      <c r="AR10">
        <f t="shared" si="26"/>
        <v>485942</v>
      </c>
      <c r="AS10">
        <f t="shared" si="27"/>
        <v>504632</v>
      </c>
    </row>
    <row r="11" spans="1:45">
      <c r="C11" s="2">
        <v>3</v>
      </c>
      <c r="D11">
        <f>INT($C$6/$C$12*C11)</f>
        <v>29371200</v>
      </c>
      <c r="K11">
        <v>388500</v>
      </c>
      <c r="N11">
        <v>11</v>
      </c>
      <c r="O11">
        <f t="shared" si="0"/>
        <v>1850319</v>
      </c>
      <c r="R11">
        <v>6</v>
      </c>
      <c r="S11">
        <f t="shared" si="1"/>
        <v>22428</v>
      </c>
      <c r="T11">
        <f t="shared" si="2"/>
        <v>44856</v>
      </c>
      <c r="U11">
        <f t="shared" si="3"/>
        <v>67284</v>
      </c>
      <c r="V11">
        <f t="shared" si="4"/>
        <v>89712</v>
      </c>
      <c r="W11">
        <f t="shared" si="5"/>
        <v>112140</v>
      </c>
      <c r="X11">
        <f t="shared" si="6"/>
        <v>134568</v>
      </c>
      <c r="Y11">
        <f t="shared" si="7"/>
        <v>156996</v>
      </c>
      <c r="Z11">
        <f t="shared" si="8"/>
        <v>179424</v>
      </c>
      <c r="AA11">
        <f t="shared" si="9"/>
        <v>201852</v>
      </c>
      <c r="AB11">
        <f t="shared" si="10"/>
        <v>224281</v>
      </c>
      <c r="AC11">
        <f t="shared" si="11"/>
        <v>246709</v>
      </c>
      <c r="AD11">
        <f t="shared" si="12"/>
        <v>269137</v>
      </c>
      <c r="AE11">
        <f t="shared" si="13"/>
        <v>291565</v>
      </c>
      <c r="AF11">
        <f t="shared" si="14"/>
        <v>313993</v>
      </c>
      <c r="AG11">
        <f t="shared" si="15"/>
        <v>336421</v>
      </c>
      <c r="AH11">
        <f t="shared" si="16"/>
        <v>358849</v>
      </c>
      <c r="AI11">
        <f t="shared" si="17"/>
        <v>381278</v>
      </c>
      <c r="AJ11">
        <f t="shared" si="18"/>
        <v>403706</v>
      </c>
      <c r="AK11">
        <f t="shared" si="19"/>
        <v>426134</v>
      </c>
      <c r="AL11">
        <f t="shared" si="20"/>
        <v>448562</v>
      </c>
      <c r="AM11">
        <f t="shared" si="21"/>
        <v>470990</v>
      </c>
      <c r="AN11">
        <f t="shared" si="22"/>
        <v>493418</v>
      </c>
      <c r="AO11">
        <f t="shared" si="23"/>
        <v>515846</v>
      </c>
      <c r="AP11">
        <f t="shared" si="24"/>
        <v>538274</v>
      </c>
      <c r="AQ11">
        <f t="shared" si="25"/>
        <v>560702</v>
      </c>
      <c r="AR11">
        <f t="shared" si="26"/>
        <v>583131</v>
      </c>
      <c r="AS11">
        <f t="shared" si="27"/>
        <v>605559</v>
      </c>
    </row>
    <row r="12" spans="1:45">
      <c r="C12" s="2">
        <f>SUM(C9:C11)</f>
        <v>6</v>
      </c>
      <c r="E12" s="2"/>
      <c r="K12">
        <v>777000</v>
      </c>
      <c r="N12">
        <v>12</v>
      </c>
      <c r="O12">
        <f t="shared" si="0"/>
        <v>2018530</v>
      </c>
      <c r="R12">
        <v>7</v>
      </c>
      <c r="S12">
        <f t="shared" si="1"/>
        <v>26166</v>
      </c>
      <c r="T12">
        <f t="shared" si="2"/>
        <v>52332</v>
      </c>
      <c r="U12">
        <f t="shared" si="3"/>
        <v>78498</v>
      </c>
      <c r="V12">
        <f t="shared" si="4"/>
        <v>104664</v>
      </c>
      <c r="W12">
        <f t="shared" si="5"/>
        <v>130830</v>
      </c>
      <c r="X12">
        <f t="shared" si="6"/>
        <v>156996</v>
      </c>
      <c r="Y12">
        <f t="shared" si="7"/>
        <v>183162</v>
      </c>
      <c r="Z12">
        <f t="shared" si="8"/>
        <v>209329</v>
      </c>
      <c r="AA12">
        <f t="shared" si="9"/>
        <v>235495</v>
      </c>
      <c r="AB12">
        <f t="shared" si="10"/>
        <v>261661</v>
      </c>
      <c r="AC12">
        <f t="shared" si="11"/>
        <v>287827</v>
      </c>
      <c r="AD12">
        <f t="shared" si="12"/>
        <v>313993</v>
      </c>
      <c r="AE12">
        <f t="shared" si="13"/>
        <v>340159</v>
      </c>
      <c r="AF12">
        <f t="shared" si="14"/>
        <v>366325</v>
      </c>
      <c r="AG12">
        <f t="shared" si="15"/>
        <v>392492</v>
      </c>
      <c r="AH12">
        <f t="shared" si="16"/>
        <v>418658</v>
      </c>
      <c r="AI12">
        <f t="shared" si="17"/>
        <v>444824</v>
      </c>
      <c r="AJ12">
        <f t="shared" si="18"/>
        <v>470990</v>
      </c>
      <c r="AK12">
        <f t="shared" si="19"/>
        <v>497156</v>
      </c>
      <c r="AL12">
        <f t="shared" si="20"/>
        <v>523322</v>
      </c>
      <c r="AM12">
        <f t="shared" si="21"/>
        <v>549488</v>
      </c>
      <c r="AN12">
        <f t="shared" si="22"/>
        <v>575654</v>
      </c>
      <c r="AO12">
        <f t="shared" si="23"/>
        <v>601821</v>
      </c>
      <c r="AP12">
        <f t="shared" si="24"/>
        <v>627987</v>
      </c>
      <c r="AQ12">
        <f t="shared" si="25"/>
        <v>654153</v>
      </c>
      <c r="AR12">
        <f t="shared" si="26"/>
        <v>680319</v>
      </c>
      <c r="AS12">
        <f t="shared" si="27"/>
        <v>706485</v>
      </c>
    </row>
    <row r="13" spans="1:45">
      <c r="C13" s="2"/>
      <c r="K13">
        <v>1144000</v>
      </c>
      <c r="N13">
        <v>13</v>
      </c>
      <c r="O13">
        <f t="shared" si="0"/>
        <v>2186741</v>
      </c>
      <c r="R13">
        <v>8</v>
      </c>
      <c r="S13">
        <f t="shared" si="1"/>
        <v>29904</v>
      </c>
      <c r="T13">
        <f t="shared" si="2"/>
        <v>59808</v>
      </c>
      <c r="U13">
        <f t="shared" si="3"/>
        <v>89712</v>
      </c>
      <c r="V13">
        <f t="shared" si="4"/>
        <v>119616</v>
      </c>
      <c r="W13">
        <f t="shared" si="5"/>
        <v>149520</v>
      </c>
      <c r="X13">
        <f t="shared" si="6"/>
        <v>179424</v>
      </c>
      <c r="Y13">
        <f t="shared" si="7"/>
        <v>209329</v>
      </c>
      <c r="Z13">
        <f t="shared" si="8"/>
        <v>239233</v>
      </c>
      <c r="AA13">
        <f t="shared" si="9"/>
        <v>269137</v>
      </c>
      <c r="AB13">
        <f t="shared" si="10"/>
        <v>299041</v>
      </c>
      <c r="AC13">
        <f t="shared" si="11"/>
        <v>328945</v>
      </c>
      <c r="AD13">
        <f t="shared" si="12"/>
        <v>358849</v>
      </c>
      <c r="AE13">
        <f t="shared" si="13"/>
        <v>388753</v>
      </c>
      <c r="AF13">
        <f t="shared" si="14"/>
        <v>418658</v>
      </c>
      <c r="AG13">
        <f t="shared" si="15"/>
        <v>448562</v>
      </c>
      <c r="AH13">
        <f t="shared" si="16"/>
        <v>478466</v>
      </c>
      <c r="AI13">
        <f t="shared" si="17"/>
        <v>508370</v>
      </c>
      <c r="AJ13">
        <f t="shared" si="18"/>
        <v>538274</v>
      </c>
      <c r="AK13">
        <f t="shared" si="19"/>
        <v>568178</v>
      </c>
      <c r="AL13">
        <f t="shared" si="20"/>
        <v>598083</v>
      </c>
      <c r="AM13">
        <f t="shared" si="21"/>
        <v>627987</v>
      </c>
      <c r="AN13">
        <f t="shared" si="22"/>
        <v>657891</v>
      </c>
      <c r="AO13">
        <f t="shared" si="23"/>
        <v>687795</v>
      </c>
      <c r="AP13">
        <f t="shared" si="24"/>
        <v>717699</v>
      </c>
      <c r="AQ13">
        <f t="shared" si="25"/>
        <v>747603</v>
      </c>
      <c r="AR13">
        <f t="shared" si="26"/>
        <v>777508</v>
      </c>
      <c r="AS13">
        <f t="shared" si="27"/>
        <v>807412</v>
      </c>
    </row>
    <row r="14" spans="1:45">
      <c r="C14" s="2"/>
      <c r="K14">
        <v>6480000</v>
      </c>
      <c r="N14">
        <v>14</v>
      </c>
      <c r="O14">
        <f t="shared" si="0"/>
        <v>2354952</v>
      </c>
      <c r="R14">
        <v>9</v>
      </c>
      <c r="S14">
        <f t="shared" si="1"/>
        <v>33642</v>
      </c>
      <c r="T14">
        <f t="shared" si="2"/>
        <v>67284</v>
      </c>
      <c r="U14">
        <f t="shared" si="3"/>
        <v>100926</v>
      </c>
      <c r="V14">
        <f t="shared" si="4"/>
        <v>134568</v>
      </c>
      <c r="W14">
        <f t="shared" si="5"/>
        <v>168210</v>
      </c>
      <c r="X14">
        <f t="shared" si="6"/>
        <v>201853</v>
      </c>
      <c r="Y14">
        <f t="shared" si="7"/>
        <v>235495</v>
      </c>
      <c r="Z14">
        <f t="shared" si="8"/>
        <v>269137</v>
      </c>
      <c r="AA14">
        <f t="shared" si="9"/>
        <v>302779</v>
      </c>
      <c r="AB14">
        <f t="shared" si="10"/>
        <v>336421</v>
      </c>
      <c r="AC14">
        <f t="shared" si="11"/>
        <v>370063</v>
      </c>
      <c r="AD14">
        <f t="shared" si="12"/>
        <v>403706</v>
      </c>
      <c r="AE14">
        <f t="shared" si="13"/>
        <v>437348</v>
      </c>
      <c r="AF14">
        <f t="shared" si="14"/>
        <v>470990</v>
      </c>
      <c r="AG14">
        <f t="shared" si="15"/>
        <v>504632</v>
      </c>
      <c r="AH14">
        <f t="shared" si="16"/>
        <v>538274</v>
      </c>
      <c r="AI14">
        <f t="shared" si="17"/>
        <v>571917</v>
      </c>
      <c r="AJ14">
        <f t="shared" si="18"/>
        <v>605559</v>
      </c>
      <c r="AK14">
        <f t="shared" si="19"/>
        <v>639201</v>
      </c>
      <c r="AL14">
        <f t="shared" si="20"/>
        <v>672843</v>
      </c>
      <c r="AM14">
        <f t="shared" si="21"/>
        <v>706485</v>
      </c>
      <c r="AN14">
        <f t="shared" si="22"/>
        <v>740127</v>
      </c>
      <c r="AO14">
        <f t="shared" si="23"/>
        <v>773770</v>
      </c>
      <c r="AP14">
        <f t="shared" si="24"/>
        <v>807412</v>
      </c>
      <c r="AQ14">
        <f t="shared" si="25"/>
        <v>841054</v>
      </c>
      <c r="AR14">
        <f t="shared" si="26"/>
        <v>874696</v>
      </c>
      <c r="AS14">
        <f t="shared" si="27"/>
        <v>908338</v>
      </c>
    </row>
    <row r="15" spans="1:45">
      <c r="C15" s="2"/>
      <c r="K15">
        <v>12236000</v>
      </c>
      <c r="N15">
        <v>15</v>
      </c>
      <c r="O15">
        <f t="shared" si="0"/>
        <v>2523163</v>
      </c>
      <c r="R15">
        <f>SUM(R6:R14)</f>
        <v>45</v>
      </c>
    </row>
    <row r="16" spans="1:45">
      <c r="C16" s="2">
        <v>1</v>
      </c>
      <c r="D16">
        <f>INT($D$9/$C$25*C16)</f>
        <v>217564</v>
      </c>
      <c r="E16">
        <f>INT($D$10/$C$25*C16)</f>
        <v>435128</v>
      </c>
      <c r="F16">
        <f>INT($D$11/$C$25*C16)</f>
        <v>652693</v>
      </c>
      <c r="K16">
        <v>13832000</v>
      </c>
      <c r="N16">
        <v>16</v>
      </c>
      <c r="O16">
        <f t="shared" si="0"/>
        <v>2691374</v>
      </c>
      <c r="S16" t="str">
        <f>_xlfn.TEXTJOIN("_",TRUE,$A$6,S6)</f>
        <v>1990000_3738</v>
      </c>
      <c r="T16" t="str">
        <f t="shared" ref="T16:AS16" si="28">_xlfn.TEXTJOIN("_",TRUE,$A$6,T6)</f>
        <v>1990000_7476</v>
      </c>
      <c r="U16" t="str">
        <f t="shared" si="28"/>
        <v>1990000_11214</v>
      </c>
      <c r="V16" t="str">
        <f t="shared" si="28"/>
        <v>1990000_14952</v>
      </c>
      <c r="W16" t="str">
        <f t="shared" si="28"/>
        <v>1990000_18690</v>
      </c>
      <c r="X16" t="str">
        <f t="shared" si="28"/>
        <v>1990000_22428</v>
      </c>
      <c r="Y16" t="str">
        <f t="shared" si="28"/>
        <v>1990000_26166</v>
      </c>
      <c r="Z16" t="str">
        <f t="shared" si="28"/>
        <v>1990000_29904</v>
      </c>
      <c r="AA16" t="str">
        <f t="shared" si="28"/>
        <v>1990000_33642</v>
      </c>
      <c r="AB16" t="str">
        <f t="shared" si="28"/>
        <v>1990000_37380</v>
      </c>
      <c r="AC16" t="str">
        <f t="shared" si="28"/>
        <v>1990000_41118</v>
      </c>
      <c r="AD16" t="str">
        <f t="shared" si="28"/>
        <v>1990000_44856</v>
      </c>
      <c r="AE16" t="str">
        <f t="shared" si="28"/>
        <v>1990000_48594</v>
      </c>
      <c r="AF16" t="str">
        <f t="shared" si="28"/>
        <v>1990000_52332</v>
      </c>
      <c r="AG16" t="str">
        <f t="shared" si="28"/>
        <v>1990000_56070</v>
      </c>
      <c r="AH16" t="str">
        <f t="shared" si="28"/>
        <v>1990000_59808</v>
      </c>
      <c r="AI16" t="str">
        <f t="shared" si="28"/>
        <v>1990000_63546</v>
      </c>
      <c r="AJ16" t="str">
        <f t="shared" si="28"/>
        <v>1990000_67284</v>
      </c>
      <c r="AK16" t="str">
        <f t="shared" si="28"/>
        <v>1990000_71022</v>
      </c>
      <c r="AL16" t="str">
        <f t="shared" si="28"/>
        <v>1990000_74760</v>
      </c>
      <c r="AM16" t="str">
        <f t="shared" si="28"/>
        <v>1990000_78498</v>
      </c>
      <c r="AN16" t="str">
        <f t="shared" si="28"/>
        <v>1990000_82236</v>
      </c>
      <c r="AO16" t="str">
        <f t="shared" si="28"/>
        <v>1990000_85974</v>
      </c>
      <c r="AP16" t="str">
        <f t="shared" si="28"/>
        <v>1990000_89712</v>
      </c>
      <c r="AQ16" t="str">
        <f t="shared" si="28"/>
        <v>1990000_93450</v>
      </c>
      <c r="AR16" t="str">
        <f t="shared" si="28"/>
        <v>1990000_97188</v>
      </c>
      <c r="AS16" t="str">
        <f t="shared" si="28"/>
        <v>1990000_100926</v>
      </c>
    </row>
    <row r="17" spans="3:45">
      <c r="C17" s="2">
        <v>2</v>
      </c>
      <c r="D17">
        <f t="shared" ref="D17:D25" si="29">INT($D$9/$C$25*C17)</f>
        <v>435128</v>
      </c>
      <c r="E17">
        <f t="shared" ref="E17:E24" si="30">INT($D$10/$C$25*C17)</f>
        <v>870257</v>
      </c>
      <c r="F17">
        <f t="shared" ref="F17:F24" si="31">INT($D$11/$C$25*C17)</f>
        <v>1305386</v>
      </c>
      <c r="K17">
        <v>13850400</v>
      </c>
      <c r="N17">
        <v>17</v>
      </c>
      <c r="O17">
        <f t="shared" si="0"/>
        <v>2859585</v>
      </c>
      <c r="S17" t="str">
        <f t="shared" ref="S17:S26" si="32">_xlfn.TEXTJOIN("_",TRUE,$A$6,S7)</f>
        <v>1990000_7476</v>
      </c>
      <c r="T17" t="str">
        <f t="shared" ref="T17:AS17" si="33">_xlfn.TEXTJOIN("_",TRUE,$A$6,T7)</f>
        <v>1990000_14952</v>
      </c>
      <c r="U17" t="str">
        <f t="shared" si="33"/>
        <v>1990000_22428</v>
      </c>
      <c r="V17" t="str">
        <f t="shared" si="33"/>
        <v>1990000_29904</v>
      </c>
      <c r="W17" t="str">
        <f t="shared" si="33"/>
        <v>1990000_37380</v>
      </c>
      <c r="X17" t="str">
        <f t="shared" si="33"/>
        <v>1990000_44856</v>
      </c>
      <c r="Y17" t="str">
        <f t="shared" si="33"/>
        <v>1990000_52332</v>
      </c>
      <c r="Z17" t="str">
        <f t="shared" si="33"/>
        <v>1990000_59808</v>
      </c>
      <c r="AA17" t="str">
        <f t="shared" si="33"/>
        <v>1990000_67284</v>
      </c>
      <c r="AB17" t="str">
        <f t="shared" si="33"/>
        <v>1990000_74760</v>
      </c>
      <c r="AC17" t="str">
        <f t="shared" si="33"/>
        <v>1990000_82236</v>
      </c>
      <c r="AD17" t="str">
        <f t="shared" si="33"/>
        <v>1990000_89712</v>
      </c>
      <c r="AE17" t="str">
        <f t="shared" si="33"/>
        <v>1990000_97188</v>
      </c>
      <c r="AF17" t="str">
        <f t="shared" si="33"/>
        <v>1990000_104664</v>
      </c>
      <c r="AG17" t="str">
        <f t="shared" si="33"/>
        <v>1990000_112140</v>
      </c>
      <c r="AH17" t="str">
        <f t="shared" si="33"/>
        <v>1990000_119616</v>
      </c>
      <c r="AI17" t="str">
        <f t="shared" si="33"/>
        <v>1990000_127092</v>
      </c>
      <c r="AJ17" t="str">
        <f t="shared" si="33"/>
        <v>1990000_134568</v>
      </c>
      <c r="AK17" t="str">
        <f t="shared" si="33"/>
        <v>1990000_142044</v>
      </c>
      <c r="AL17" t="str">
        <f t="shared" si="33"/>
        <v>1990000_149520</v>
      </c>
      <c r="AM17" t="str">
        <f t="shared" si="33"/>
        <v>1990000_156996</v>
      </c>
      <c r="AN17" t="str">
        <f t="shared" si="33"/>
        <v>1990000_164472</v>
      </c>
      <c r="AO17" t="str">
        <f t="shared" si="33"/>
        <v>1990000_171948</v>
      </c>
      <c r="AP17" t="str">
        <f t="shared" si="33"/>
        <v>1990000_179424</v>
      </c>
      <c r="AQ17" t="str">
        <f t="shared" si="33"/>
        <v>1990000_186900</v>
      </c>
      <c r="AR17" t="str">
        <f t="shared" si="33"/>
        <v>1990000_194377</v>
      </c>
      <c r="AS17" t="str">
        <f t="shared" si="33"/>
        <v>1990000_201853</v>
      </c>
    </row>
    <row r="18" spans="3:45">
      <c r="C18" s="2">
        <v>3</v>
      </c>
      <c r="D18">
        <f t="shared" si="29"/>
        <v>652693</v>
      </c>
      <c r="E18">
        <f t="shared" si="30"/>
        <v>1305386</v>
      </c>
      <c r="F18">
        <f t="shared" si="31"/>
        <v>1958080</v>
      </c>
      <c r="K18">
        <v>15283200</v>
      </c>
      <c r="N18">
        <v>18</v>
      </c>
      <c r="O18">
        <f t="shared" si="0"/>
        <v>3027795</v>
      </c>
      <c r="S18" t="str">
        <f t="shared" si="32"/>
        <v>1990000_11214</v>
      </c>
      <c r="T18" t="str">
        <f t="shared" ref="T18:AS18" si="34">_xlfn.TEXTJOIN("_",TRUE,$A$6,T8)</f>
        <v>1990000_22428</v>
      </c>
      <c r="U18" t="str">
        <f t="shared" si="34"/>
        <v>1990000_33642</v>
      </c>
      <c r="V18" t="str">
        <f t="shared" si="34"/>
        <v>1990000_44856</v>
      </c>
      <c r="W18" t="str">
        <f t="shared" si="34"/>
        <v>1990000_56070</v>
      </c>
      <c r="X18" t="str">
        <f t="shared" si="34"/>
        <v>1990000_67284</v>
      </c>
      <c r="Y18" t="str">
        <f t="shared" si="34"/>
        <v>1990000_78498</v>
      </c>
      <c r="Z18" t="str">
        <f t="shared" si="34"/>
        <v>1990000_89712</v>
      </c>
      <c r="AA18" t="str">
        <f t="shared" si="34"/>
        <v>1990000_100926</v>
      </c>
      <c r="AB18" t="str">
        <f t="shared" si="34"/>
        <v>1990000_112140</v>
      </c>
      <c r="AC18" t="str">
        <f t="shared" si="34"/>
        <v>1990000_123354</v>
      </c>
      <c r="AD18" t="str">
        <f t="shared" si="34"/>
        <v>1990000_134568</v>
      </c>
      <c r="AE18" t="str">
        <f t="shared" si="34"/>
        <v>1990000_145782</v>
      </c>
      <c r="AF18" t="str">
        <f t="shared" si="34"/>
        <v>1990000_156996</v>
      </c>
      <c r="AG18" t="str">
        <f t="shared" si="34"/>
        <v>1990000_168210</v>
      </c>
      <c r="AH18" t="str">
        <f t="shared" si="34"/>
        <v>1990000_179424</v>
      </c>
      <c r="AI18" t="str">
        <f t="shared" si="34"/>
        <v>1990000_190639</v>
      </c>
      <c r="AJ18" t="str">
        <f t="shared" si="34"/>
        <v>1990000_201853</v>
      </c>
      <c r="AK18" t="str">
        <f t="shared" si="34"/>
        <v>1990000_213067</v>
      </c>
      <c r="AL18" t="str">
        <f t="shared" si="34"/>
        <v>1990000_224281</v>
      </c>
      <c r="AM18" t="str">
        <f t="shared" si="34"/>
        <v>1990000_235495</v>
      </c>
      <c r="AN18" t="str">
        <f t="shared" si="34"/>
        <v>1990000_246709</v>
      </c>
      <c r="AO18" t="str">
        <f t="shared" si="34"/>
        <v>1990000_257923</v>
      </c>
      <c r="AP18" t="str">
        <f t="shared" si="34"/>
        <v>1990000_269137</v>
      </c>
      <c r="AQ18" t="str">
        <f t="shared" si="34"/>
        <v>1990000_280351</v>
      </c>
      <c r="AR18" t="str">
        <f t="shared" si="34"/>
        <v>1990000_291565</v>
      </c>
      <c r="AS18" t="str">
        <f t="shared" si="34"/>
        <v>1990000_302779</v>
      </c>
    </row>
    <row r="19" spans="3:45">
      <c r="C19" s="2">
        <v>4</v>
      </c>
      <c r="D19">
        <f t="shared" si="29"/>
        <v>870257</v>
      </c>
      <c r="E19">
        <f t="shared" si="30"/>
        <v>1740515</v>
      </c>
      <c r="F19">
        <f t="shared" si="31"/>
        <v>2610773</v>
      </c>
      <c r="K19">
        <v>22113000</v>
      </c>
      <c r="N19">
        <v>19</v>
      </c>
      <c r="O19">
        <f t="shared" si="0"/>
        <v>3196006</v>
      </c>
      <c r="R19" s="2"/>
      <c r="S19" t="str">
        <f t="shared" si="32"/>
        <v>1990000_14952</v>
      </c>
      <c r="T19" t="str">
        <f t="shared" ref="T19:AS19" si="35">_xlfn.TEXTJOIN("_",TRUE,$A$6,T9)</f>
        <v>1990000_29904</v>
      </c>
      <c r="U19" t="str">
        <f t="shared" si="35"/>
        <v>1990000_44856</v>
      </c>
      <c r="V19" t="str">
        <f t="shared" si="35"/>
        <v>1990000_59808</v>
      </c>
      <c r="W19" t="str">
        <f t="shared" si="35"/>
        <v>1990000_74760</v>
      </c>
      <c r="X19" t="str">
        <f t="shared" si="35"/>
        <v>1990000_89712</v>
      </c>
      <c r="Y19" t="str">
        <f t="shared" si="35"/>
        <v>1990000_104664</v>
      </c>
      <c r="Z19" t="str">
        <f t="shared" si="35"/>
        <v>1990000_119616</v>
      </c>
      <c r="AA19" t="str">
        <f t="shared" si="35"/>
        <v>1990000_134568</v>
      </c>
      <c r="AB19" t="str">
        <f t="shared" si="35"/>
        <v>1990000_149520</v>
      </c>
      <c r="AC19" t="str">
        <f t="shared" si="35"/>
        <v>1990000_164472</v>
      </c>
      <c r="AD19" t="str">
        <f t="shared" si="35"/>
        <v>1990000_179424</v>
      </c>
      <c r="AE19" t="str">
        <f t="shared" si="35"/>
        <v>1990000_194376</v>
      </c>
      <c r="AF19" t="str">
        <f t="shared" si="35"/>
        <v>1990000_209329</v>
      </c>
      <c r="AG19" t="str">
        <f t="shared" si="35"/>
        <v>1990000_224281</v>
      </c>
      <c r="AH19" t="str">
        <f t="shared" si="35"/>
        <v>1990000_239233</v>
      </c>
      <c r="AI19" t="str">
        <f t="shared" si="35"/>
        <v>1990000_254185</v>
      </c>
      <c r="AJ19" t="str">
        <f t="shared" si="35"/>
        <v>1990000_269137</v>
      </c>
      <c r="AK19" t="str">
        <f t="shared" si="35"/>
        <v>1990000_284089</v>
      </c>
      <c r="AL19" t="str">
        <f t="shared" si="35"/>
        <v>1990000_299041</v>
      </c>
      <c r="AM19" t="str">
        <f t="shared" si="35"/>
        <v>1990000_313993</v>
      </c>
      <c r="AN19" t="str">
        <f t="shared" si="35"/>
        <v>1990000_328945</v>
      </c>
      <c r="AO19" t="str">
        <f t="shared" si="35"/>
        <v>1990000_343897</v>
      </c>
      <c r="AP19" t="str">
        <f t="shared" si="35"/>
        <v>1990000_358849</v>
      </c>
      <c r="AQ19" t="str">
        <f t="shared" si="35"/>
        <v>1990000_373801</v>
      </c>
      <c r="AR19" t="str">
        <f t="shared" si="35"/>
        <v>1990000_388754</v>
      </c>
      <c r="AS19" t="str">
        <f t="shared" si="35"/>
        <v>1990000_403706</v>
      </c>
    </row>
    <row r="20" spans="3:45">
      <c r="C20" s="2">
        <v>5</v>
      </c>
      <c r="D20">
        <f t="shared" si="29"/>
        <v>1087822</v>
      </c>
      <c r="E20">
        <f t="shared" si="30"/>
        <v>2175644</v>
      </c>
      <c r="F20">
        <f t="shared" si="31"/>
        <v>3263466</v>
      </c>
      <c r="K20">
        <v>24008400</v>
      </c>
      <c r="N20">
        <v>20</v>
      </c>
      <c r="O20">
        <f t="shared" si="0"/>
        <v>3364217</v>
      </c>
      <c r="S20" t="str">
        <f t="shared" si="32"/>
        <v>1990000_18690</v>
      </c>
      <c r="T20" t="str">
        <f t="shared" ref="T20:AS20" si="36">_xlfn.TEXTJOIN("_",TRUE,$A$6,T10)</f>
        <v>1990000_37380</v>
      </c>
      <c r="U20" t="str">
        <f t="shared" si="36"/>
        <v>1990000_56070</v>
      </c>
      <c r="V20" t="str">
        <f t="shared" si="36"/>
        <v>1990000_74760</v>
      </c>
      <c r="W20" t="str">
        <f t="shared" si="36"/>
        <v>1990000_93450</v>
      </c>
      <c r="X20" t="str">
        <f t="shared" si="36"/>
        <v>1990000_112140</v>
      </c>
      <c r="Y20" t="str">
        <f t="shared" si="36"/>
        <v>1990000_130830</v>
      </c>
      <c r="Z20" t="str">
        <f t="shared" si="36"/>
        <v>1990000_149520</v>
      </c>
      <c r="AA20" t="str">
        <f t="shared" si="36"/>
        <v>1990000_168210</v>
      </c>
      <c r="AB20" t="str">
        <f t="shared" si="36"/>
        <v>1990000_186900</v>
      </c>
      <c r="AC20" t="str">
        <f t="shared" si="36"/>
        <v>1990000_205591</v>
      </c>
      <c r="AD20" t="str">
        <f t="shared" si="36"/>
        <v>1990000_224281</v>
      </c>
      <c r="AE20" t="str">
        <f t="shared" si="36"/>
        <v>1990000_242971</v>
      </c>
      <c r="AF20" t="str">
        <f t="shared" si="36"/>
        <v>1990000_261661</v>
      </c>
      <c r="AG20" t="str">
        <f t="shared" si="36"/>
        <v>1990000_280351</v>
      </c>
      <c r="AH20" t="str">
        <f t="shared" si="36"/>
        <v>1990000_299041</v>
      </c>
      <c r="AI20" t="str">
        <f t="shared" si="36"/>
        <v>1990000_317731</v>
      </c>
      <c r="AJ20" t="str">
        <f t="shared" si="36"/>
        <v>1990000_336421</v>
      </c>
      <c r="AK20" t="str">
        <f t="shared" si="36"/>
        <v>1990000_355111</v>
      </c>
      <c r="AL20" t="str">
        <f t="shared" si="36"/>
        <v>1990000_373801</v>
      </c>
      <c r="AM20" t="str">
        <f t="shared" si="36"/>
        <v>1990000_392492</v>
      </c>
      <c r="AN20" t="str">
        <f t="shared" si="36"/>
        <v>1990000_411182</v>
      </c>
      <c r="AO20" t="str">
        <f t="shared" si="36"/>
        <v>1990000_429872</v>
      </c>
      <c r="AP20" t="str">
        <f t="shared" si="36"/>
        <v>1990000_448562</v>
      </c>
      <c r="AQ20" t="str">
        <f t="shared" si="36"/>
        <v>1990000_467252</v>
      </c>
      <c r="AR20" t="str">
        <f t="shared" si="36"/>
        <v>1990000_485942</v>
      </c>
      <c r="AS20" t="str">
        <f t="shared" si="36"/>
        <v>1990000_504632</v>
      </c>
    </row>
    <row r="21" spans="3:45">
      <c r="C21" s="2">
        <v>6</v>
      </c>
      <c r="D21">
        <f t="shared" si="29"/>
        <v>1305386</v>
      </c>
      <c r="E21">
        <f t="shared" si="30"/>
        <v>2610773</v>
      </c>
      <c r="F21">
        <f t="shared" si="31"/>
        <v>3916160</v>
      </c>
      <c r="K21">
        <v>20368800</v>
      </c>
      <c r="N21">
        <v>21</v>
      </c>
      <c r="O21">
        <f t="shared" si="0"/>
        <v>3532428</v>
      </c>
      <c r="S21" t="str">
        <f t="shared" si="32"/>
        <v>1990000_22428</v>
      </c>
      <c r="T21" t="str">
        <f t="shared" ref="T21:AS21" si="37">_xlfn.TEXTJOIN("_",TRUE,$A$6,T11)</f>
        <v>1990000_44856</v>
      </c>
      <c r="U21" t="str">
        <f t="shared" si="37"/>
        <v>1990000_67284</v>
      </c>
      <c r="V21" t="str">
        <f t="shared" si="37"/>
        <v>1990000_89712</v>
      </c>
      <c r="W21" t="str">
        <f t="shared" si="37"/>
        <v>1990000_112140</v>
      </c>
      <c r="X21" t="str">
        <f t="shared" si="37"/>
        <v>1990000_134568</v>
      </c>
      <c r="Y21" t="str">
        <f t="shared" si="37"/>
        <v>1990000_156996</v>
      </c>
      <c r="Z21" t="str">
        <f t="shared" si="37"/>
        <v>1990000_179424</v>
      </c>
      <c r="AA21" t="str">
        <f t="shared" si="37"/>
        <v>1990000_201852</v>
      </c>
      <c r="AB21" t="str">
        <f t="shared" si="37"/>
        <v>1990000_224281</v>
      </c>
      <c r="AC21" t="str">
        <f t="shared" si="37"/>
        <v>1990000_246709</v>
      </c>
      <c r="AD21" t="str">
        <f t="shared" si="37"/>
        <v>1990000_269137</v>
      </c>
      <c r="AE21" t="str">
        <f t="shared" si="37"/>
        <v>1990000_291565</v>
      </c>
      <c r="AF21" t="str">
        <f t="shared" si="37"/>
        <v>1990000_313993</v>
      </c>
      <c r="AG21" t="str">
        <f t="shared" si="37"/>
        <v>1990000_336421</v>
      </c>
      <c r="AH21" t="str">
        <f t="shared" si="37"/>
        <v>1990000_358849</v>
      </c>
      <c r="AI21" t="str">
        <f t="shared" si="37"/>
        <v>1990000_381278</v>
      </c>
      <c r="AJ21" t="str">
        <f t="shared" si="37"/>
        <v>1990000_403706</v>
      </c>
      <c r="AK21" t="str">
        <f t="shared" si="37"/>
        <v>1990000_426134</v>
      </c>
      <c r="AL21" t="str">
        <f t="shared" si="37"/>
        <v>1990000_448562</v>
      </c>
      <c r="AM21" t="str">
        <f t="shared" si="37"/>
        <v>1990000_470990</v>
      </c>
      <c r="AN21" t="str">
        <f t="shared" si="37"/>
        <v>1990000_493418</v>
      </c>
      <c r="AO21" t="str">
        <f t="shared" si="37"/>
        <v>1990000_515846</v>
      </c>
      <c r="AP21" t="str">
        <f t="shared" si="37"/>
        <v>1990000_538274</v>
      </c>
      <c r="AQ21" t="str">
        <f t="shared" si="37"/>
        <v>1990000_560702</v>
      </c>
      <c r="AR21" t="str">
        <f t="shared" si="37"/>
        <v>1990000_583131</v>
      </c>
      <c r="AS21" t="str">
        <f t="shared" si="37"/>
        <v>1990000_605559</v>
      </c>
    </row>
    <row r="22" spans="3:45">
      <c r="C22" s="2">
        <v>7</v>
      </c>
      <c r="D22">
        <f t="shared" si="29"/>
        <v>1522951</v>
      </c>
      <c r="E22">
        <f t="shared" si="30"/>
        <v>3045902</v>
      </c>
      <c r="F22">
        <f t="shared" si="31"/>
        <v>4568853</v>
      </c>
      <c r="K22">
        <v>21859200</v>
      </c>
      <c r="N22">
        <v>22</v>
      </c>
      <c r="O22">
        <f t="shared" si="0"/>
        <v>3700639</v>
      </c>
      <c r="S22" t="str">
        <f t="shared" si="32"/>
        <v>1990000_26166</v>
      </c>
      <c r="T22" t="str">
        <f t="shared" ref="T22:AS22" si="38">_xlfn.TEXTJOIN("_",TRUE,$A$6,T12)</f>
        <v>1990000_52332</v>
      </c>
      <c r="U22" t="str">
        <f t="shared" si="38"/>
        <v>1990000_78498</v>
      </c>
      <c r="V22" t="str">
        <f t="shared" si="38"/>
        <v>1990000_104664</v>
      </c>
      <c r="W22" t="str">
        <f t="shared" si="38"/>
        <v>1990000_130830</v>
      </c>
      <c r="X22" t="str">
        <f t="shared" si="38"/>
        <v>1990000_156996</v>
      </c>
      <c r="Y22" t="str">
        <f t="shared" si="38"/>
        <v>1990000_183162</v>
      </c>
      <c r="Z22" t="str">
        <f t="shared" si="38"/>
        <v>1990000_209329</v>
      </c>
      <c r="AA22" t="str">
        <f t="shared" si="38"/>
        <v>1990000_235495</v>
      </c>
      <c r="AB22" t="str">
        <f t="shared" si="38"/>
        <v>1990000_261661</v>
      </c>
      <c r="AC22" t="str">
        <f t="shared" si="38"/>
        <v>1990000_287827</v>
      </c>
      <c r="AD22" t="str">
        <f t="shared" si="38"/>
        <v>1990000_313993</v>
      </c>
      <c r="AE22" t="str">
        <f t="shared" si="38"/>
        <v>1990000_340159</v>
      </c>
      <c r="AF22" t="str">
        <f t="shared" si="38"/>
        <v>1990000_366325</v>
      </c>
      <c r="AG22" t="str">
        <f t="shared" si="38"/>
        <v>1990000_392492</v>
      </c>
      <c r="AH22" t="str">
        <f t="shared" si="38"/>
        <v>1990000_418658</v>
      </c>
      <c r="AI22" t="str">
        <f t="shared" si="38"/>
        <v>1990000_444824</v>
      </c>
      <c r="AJ22" t="str">
        <f t="shared" si="38"/>
        <v>1990000_470990</v>
      </c>
      <c r="AK22" t="str">
        <f t="shared" si="38"/>
        <v>1990000_497156</v>
      </c>
      <c r="AL22" t="str">
        <f t="shared" si="38"/>
        <v>1990000_523322</v>
      </c>
      <c r="AM22" t="str">
        <f t="shared" si="38"/>
        <v>1990000_549488</v>
      </c>
      <c r="AN22" t="str">
        <f t="shared" si="38"/>
        <v>1990000_575654</v>
      </c>
      <c r="AO22" t="str">
        <f t="shared" si="38"/>
        <v>1990000_601821</v>
      </c>
      <c r="AP22" t="str">
        <f t="shared" si="38"/>
        <v>1990000_627987</v>
      </c>
      <c r="AQ22" t="str">
        <f t="shared" si="38"/>
        <v>1990000_654153</v>
      </c>
      <c r="AR22" t="str">
        <f t="shared" si="38"/>
        <v>1990000_680319</v>
      </c>
      <c r="AS22" t="str">
        <f t="shared" si="38"/>
        <v>1990000_706485</v>
      </c>
    </row>
    <row r="23" spans="3:45">
      <c r="C23" s="2">
        <v>8</v>
      </c>
      <c r="D23">
        <f t="shared" si="29"/>
        <v>1740515</v>
      </c>
      <c r="E23">
        <f t="shared" si="30"/>
        <v>3481031</v>
      </c>
      <c r="F23">
        <f t="shared" si="31"/>
        <v>5221546</v>
      </c>
      <c r="K23">
        <v>22428000</v>
      </c>
      <c r="N23">
        <v>23</v>
      </c>
      <c r="O23">
        <f t="shared" si="0"/>
        <v>3868850</v>
      </c>
      <c r="S23" t="str">
        <f t="shared" si="32"/>
        <v>1990000_29904</v>
      </c>
      <c r="T23" t="str">
        <f t="shared" ref="T23:AS23" si="39">_xlfn.TEXTJOIN("_",TRUE,$A$6,T13)</f>
        <v>1990000_59808</v>
      </c>
      <c r="U23" t="str">
        <f t="shared" si="39"/>
        <v>1990000_89712</v>
      </c>
      <c r="V23" t="str">
        <f t="shared" si="39"/>
        <v>1990000_119616</v>
      </c>
      <c r="W23" t="str">
        <f t="shared" si="39"/>
        <v>1990000_149520</v>
      </c>
      <c r="X23" t="str">
        <f t="shared" si="39"/>
        <v>1990000_179424</v>
      </c>
      <c r="Y23" t="str">
        <f t="shared" si="39"/>
        <v>1990000_209329</v>
      </c>
      <c r="Z23" t="str">
        <f t="shared" si="39"/>
        <v>1990000_239233</v>
      </c>
      <c r="AA23" t="str">
        <f t="shared" si="39"/>
        <v>1990000_269137</v>
      </c>
      <c r="AB23" t="str">
        <f t="shared" si="39"/>
        <v>1990000_299041</v>
      </c>
      <c r="AC23" t="str">
        <f t="shared" si="39"/>
        <v>1990000_328945</v>
      </c>
      <c r="AD23" t="str">
        <f t="shared" si="39"/>
        <v>1990000_358849</v>
      </c>
      <c r="AE23" t="str">
        <f t="shared" si="39"/>
        <v>1990000_388753</v>
      </c>
      <c r="AF23" t="str">
        <f t="shared" si="39"/>
        <v>1990000_418658</v>
      </c>
      <c r="AG23" t="str">
        <f t="shared" si="39"/>
        <v>1990000_448562</v>
      </c>
      <c r="AH23" t="str">
        <f t="shared" si="39"/>
        <v>1990000_478466</v>
      </c>
      <c r="AI23" t="str">
        <f t="shared" si="39"/>
        <v>1990000_508370</v>
      </c>
      <c r="AJ23" t="str">
        <f t="shared" si="39"/>
        <v>1990000_538274</v>
      </c>
      <c r="AK23" t="str">
        <f t="shared" si="39"/>
        <v>1990000_568178</v>
      </c>
      <c r="AL23" t="str">
        <f t="shared" si="39"/>
        <v>1990000_598083</v>
      </c>
      <c r="AM23" t="str">
        <f t="shared" si="39"/>
        <v>1990000_627987</v>
      </c>
      <c r="AN23" t="str">
        <f t="shared" si="39"/>
        <v>1990000_657891</v>
      </c>
      <c r="AO23" t="str">
        <f t="shared" si="39"/>
        <v>1990000_687795</v>
      </c>
      <c r="AP23" t="str">
        <f t="shared" si="39"/>
        <v>1990000_717699</v>
      </c>
      <c r="AQ23" t="str">
        <f t="shared" si="39"/>
        <v>1990000_747603</v>
      </c>
      <c r="AR23" t="str">
        <f t="shared" si="39"/>
        <v>1990000_777508</v>
      </c>
      <c r="AS23" t="str">
        <f t="shared" si="39"/>
        <v>1990000_807412</v>
      </c>
    </row>
    <row r="24" spans="3:45">
      <c r="C24" s="2">
        <v>9</v>
      </c>
      <c r="D24">
        <f t="shared" si="29"/>
        <v>1958080</v>
      </c>
      <c r="E24">
        <f t="shared" si="30"/>
        <v>3916160</v>
      </c>
      <c r="F24">
        <f t="shared" si="31"/>
        <v>5874240</v>
      </c>
      <c r="K24">
        <v>26479800</v>
      </c>
      <c r="N24">
        <v>24</v>
      </c>
      <c r="O24">
        <f t="shared" si="0"/>
        <v>4037061</v>
      </c>
      <c r="S24" t="str">
        <f t="shared" si="32"/>
        <v>1990000_33642</v>
      </c>
      <c r="T24" t="str">
        <f t="shared" ref="T24:AS24" si="40">_xlfn.TEXTJOIN("_",TRUE,$A$6,T14)</f>
        <v>1990000_67284</v>
      </c>
      <c r="U24" t="str">
        <f t="shared" si="40"/>
        <v>1990000_100926</v>
      </c>
      <c r="V24" t="str">
        <f t="shared" si="40"/>
        <v>1990000_134568</v>
      </c>
      <c r="W24" t="str">
        <f t="shared" si="40"/>
        <v>1990000_168210</v>
      </c>
      <c r="X24" t="str">
        <f t="shared" si="40"/>
        <v>1990000_201853</v>
      </c>
      <c r="Y24" t="str">
        <f t="shared" si="40"/>
        <v>1990000_235495</v>
      </c>
      <c r="Z24" t="str">
        <f t="shared" si="40"/>
        <v>1990000_269137</v>
      </c>
      <c r="AA24" t="str">
        <f t="shared" si="40"/>
        <v>1990000_302779</v>
      </c>
      <c r="AB24" t="str">
        <f t="shared" si="40"/>
        <v>1990000_336421</v>
      </c>
      <c r="AC24" t="str">
        <f t="shared" si="40"/>
        <v>1990000_370063</v>
      </c>
      <c r="AD24" t="str">
        <f t="shared" si="40"/>
        <v>1990000_403706</v>
      </c>
      <c r="AE24" t="str">
        <f t="shared" si="40"/>
        <v>1990000_437348</v>
      </c>
      <c r="AF24" t="str">
        <f t="shared" si="40"/>
        <v>1990000_470990</v>
      </c>
      <c r="AG24" t="str">
        <f t="shared" si="40"/>
        <v>1990000_504632</v>
      </c>
      <c r="AH24" t="str">
        <f t="shared" si="40"/>
        <v>1990000_538274</v>
      </c>
      <c r="AI24" t="str">
        <f t="shared" si="40"/>
        <v>1990000_571917</v>
      </c>
      <c r="AJ24" t="str">
        <f t="shared" si="40"/>
        <v>1990000_605559</v>
      </c>
      <c r="AK24" t="str">
        <f t="shared" si="40"/>
        <v>1990000_639201</v>
      </c>
      <c r="AL24" t="str">
        <f t="shared" si="40"/>
        <v>1990000_672843</v>
      </c>
      <c r="AM24" t="str">
        <f t="shared" si="40"/>
        <v>1990000_706485</v>
      </c>
      <c r="AN24" t="str">
        <f t="shared" si="40"/>
        <v>1990000_740127</v>
      </c>
      <c r="AO24" t="str">
        <f t="shared" si="40"/>
        <v>1990000_773770</v>
      </c>
      <c r="AP24" t="str">
        <f t="shared" si="40"/>
        <v>1990000_807412</v>
      </c>
      <c r="AQ24" t="str">
        <f t="shared" si="40"/>
        <v>1990000_841054</v>
      </c>
      <c r="AR24" t="str">
        <f t="shared" si="40"/>
        <v>1990000_874696</v>
      </c>
      <c r="AS24" t="str">
        <f t="shared" si="40"/>
        <v>1990000_908338</v>
      </c>
    </row>
    <row r="25" spans="3:45">
      <c r="C25" s="2">
        <f>SUM(C16:C24)</f>
        <v>45</v>
      </c>
      <c r="K25">
        <v>22050000</v>
      </c>
      <c r="N25">
        <v>25</v>
      </c>
      <c r="O25">
        <f t="shared" si="0"/>
        <v>4205272</v>
      </c>
    </row>
    <row r="26" spans="3:45">
      <c r="K26">
        <v>23320161.2903226</v>
      </c>
      <c r="N26">
        <v>26</v>
      </c>
      <c r="O26">
        <f t="shared" si="0"/>
        <v>4373483</v>
      </c>
      <c r="S26" t="str">
        <f>_xlfn.TEXTJOIN(",",TRUE,S16:S24)</f>
        <v>1990000_3738,1990000_7476,1990000_11214,1990000_14952,1990000_18690,1990000_22428,1990000_26166,1990000_29904,1990000_33642</v>
      </c>
      <c r="T26" t="str">
        <f t="shared" ref="T26:AS26" si="41">_xlfn.TEXTJOIN(",",TRUE,T16:T24)</f>
        <v>1990000_7476,1990000_14952,1990000_22428,1990000_29904,1990000_37380,1990000_44856,1990000_52332,1990000_59808,1990000_67284</v>
      </c>
      <c r="U26" t="str">
        <f t="shared" si="41"/>
        <v>1990000_11214,1990000_22428,1990000_33642,1990000_44856,1990000_56070,1990000_67284,1990000_78498,1990000_89712,1990000_100926</v>
      </c>
      <c r="V26" t="str">
        <f t="shared" si="41"/>
        <v>1990000_14952,1990000_29904,1990000_44856,1990000_59808,1990000_74760,1990000_89712,1990000_104664,1990000_119616,1990000_134568</v>
      </c>
      <c r="W26" t="str">
        <f t="shared" si="41"/>
        <v>1990000_18690,1990000_37380,1990000_56070,1990000_74760,1990000_93450,1990000_112140,1990000_130830,1990000_149520,1990000_168210</v>
      </c>
      <c r="X26" t="str">
        <f t="shared" si="41"/>
        <v>1990000_22428,1990000_44856,1990000_67284,1990000_89712,1990000_112140,1990000_134568,1990000_156996,1990000_179424,1990000_201853</v>
      </c>
      <c r="Y26" t="str">
        <f t="shared" si="41"/>
        <v>1990000_26166,1990000_52332,1990000_78498,1990000_104664,1990000_130830,1990000_156996,1990000_183162,1990000_209329,1990000_235495</v>
      </c>
      <c r="Z26" t="str">
        <f t="shared" si="41"/>
        <v>1990000_29904,1990000_59808,1990000_89712,1990000_119616,1990000_149520,1990000_179424,1990000_209329,1990000_239233,1990000_269137</v>
      </c>
      <c r="AA26" t="str">
        <f t="shared" si="41"/>
        <v>1990000_33642,1990000_67284,1990000_100926,1990000_134568,1990000_168210,1990000_201852,1990000_235495,1990000_269137,1990000_302779</v>
      </c>
      <c r="AB26" t="str">
        <f t="shared" si="41"/>
        <v>1990000_37380,1990000_74760,1990000_112140,1990000_149520,1990000_186900,1990000_224281,1990000_261661,1990000_299041,1990000_336421</v>
      </c>
      <c r="AC26" t="str">
        <f t="shared" si="41"/>
        <v>1990000_41118,1990000_82236,1990000_123354,1990000_164472,1990000_205591,1990000_246709,1990000_287827,1990000_328945,1990000_370063</v>
      </c>
      <c r="AD26" t="str">
        <f t="shared" si="41"/>
        <v>1990000_44856,1990000_89712,1990000_134568,1990000_179424,1990000_224281,1990000_269137,1990000_313993,1990000_358849,1990000_403706</v>
      </c>
      <c r="AE26" t="str">
        <f t="shared" si="41"/>
        <v>1990000_48594,1990000_97188,1990000_145782,1990000_194376,1990000_242971,1990000_291565,1990000_340159,1990000_388753,1990000_437348</v>
      </c>
      <c r="AF26" t="str">
        <f t="shared" si="41"/>
        <v>1990000_52332,1990000_104664,1990000_156996,1990000_209329,1990000_261661,1990000_313993,1990000_366325,1990000_418658,1990000_470990</v>
      </c>
      <c r="AG26" t="str">
        <f t="shared" si="41"/>
        <v>1990000_56070,1990000_112140,1990000_168210,1990000_224281,1990000_280351,1990000_336421,1990000_392492,1990000_448562,1990000_504632</v>
      </c>
      <c r="AH26" t="str">
        <f t="shared" si="41"/>
        <v>1990000_59808,1990000_119616,1990000_179424,1990000_239233,1990000_299041,1990000_358849,1990000_418658,1990000_478466,1990000_538274</v>
      </c>
      <c r="AI26" t="str">
        <f t="shared" si="41"/>
        <v>1990000_63546,1990000_127092,1990000_190639,1990000_254185,1990000_317731,1990000_381278,1990000_444824,1990000_508370,1990000_571917</v>
      </c>
      <c r="AJ26" t="str">
        <f t="shared" si="41"/>
        <v>1990000_67284,1990000_134568,1990000_201853,1990000_269137,1990000_336421,1990000_403706,1990000_470990,1990000_538274,1990000_605559</v>
      </c>
      <c r="AK26" t="str">
        <f t="shared" si="41"/>
        <v>1990000_71022,1990000_142044,1990000_213067,1990000_284089,1990000_355111,1990000_426134,1990000_497156,1990000_568178,1990000_639201</v>
      </c>
      <c r="AL26" t="str">
        <f t="shared" si="41"/>
        <v>1990000_74760,1990000_149520,1990000_224281,1990000_299041,1990000_373801,1990000_448562,1990000_523322,1990000_598083,1990000_672843</v>
      </c>
      <c r="AM26" t="str">
        <f t="shared" si="41"/>
        <v>1990000_78498,1990000_156996,1990000_235495,1990000_313993,1990000_392492,1990000_470990,1990000_549488,1990000_627987,1990000_706485</v>
      </c>
      <c r="AN26" t="str">
        <f t="shared" si="41"/>
        <v>1990000_82236,1990000_164472,1990000_246709,1990000_328945,1990000_411182,1990000_493418,1990000_575654,1990000_657891,1990000_740127</v>
      </c>
      <c r="AO26" t="str">
        <f t="shared" si="41"/>
        <v>1990000_85974,1990000_171948,1990000_257923,1990000_343897,1990000_429872,1990000_515846,1990000_601821,1990000_687795,1990000_773770</v>
      </c>
      <c r="AP26" t="str">
        <f t="shared" si="41"/>
        <v>1990000_89712,1990000_179424,1990000_269137,1990000_358849,1990000_448562,1990000_538274,1990000_627987,1990000_717699,1990000_807412</v>
      </c>
      <c r="AQ26" t="str">
        <f t="shared" si="41"/>
        <v>1990000_93450,1990000_186900,1990000_280351,1990000_373801,1990000_467252,1990000_560702,1990000_654153,1990000_747603,1990000_841054</v>
      </c>
      <c r="AR26" t="str">
        <f t="shared" si="41"/>
        <v>1990000_97188,1990000_194377,1990000_291565,1990000_388754,1990000_485942,1990000_583131,1990000_680319,1990000_777508,1990000_874696</v>
      </c>
      <c r="AS26" t="str">
        <f t="shared" si="41"/>
        <v>1990000_100926,1990000_201853,1990000_302779,1990000_403706,1990000_504632,1990000_605559,1990000_706485,1990000_807412,1990000_908338</v>
      </c>
    </row>
    <row r="27" spans="3:45">
      <c r="K27">
        <v>35417250</v>
      </c>
      <c r="N27">
        <v>27</v>
      </c>
      <c r="O27">
        <f t="shared" si="0"/>
        <v>4541693</v>
      </c>
    </row>
    <row r="28" spans="3:45">
      <c r="D28" t="str">
        <f>_xlfn.TEXTJOIN("_",TRUE,$A$6,D16)</f>
        <v>1990000_217564</v>
      </c>
      <c r="E28" t="str">
        <f>_xlfn.TEXTJOIN("_",TRUE,$A$6,E16)</f>
        <v>1990000_435128</v>
      </c>
      <c r="F28" t="str">
        <f>_xlfn.TEXTJOIN("_",TRUE,$A$6,F16)</f>
        <v>1990000_652693</v>
      </c>
      <c r="K28">
        <v>25347413.7931034</v>
      </c>
      <c r="N28">
        <v>28</v>
      </c>
      <c r="O28">
        <f t="shared" si="0"/>
        <v>4709904</v>
      </c>
    </row>
    <row r="29" spans="3:45">
      <c r="D29" t="str">
        <f t="shared" ref="D29:D36" si="42">_xlfn.TEXTJOIN("_",TRUE,$A$6,D17)</f>
        <v>1990000_435128</v>
      </c>
      <c r="E29" t="str">
        <f t="shared" ref="E29:E36" si="43">_xlfn.TEXTJOIN("_",TRUE,$A$6,E17)</f>
        <v>1990000_870257</v>
      </c>
      <c r="F29" t="str">
        <f t="shared" ref="F29:F36" si="44">_xlfn.TEXTJOIN("_",TRUE,$A$6,F17)</f>
        <v>1990000_1305386</v>
      </c>
      <c r="N29">
        <v>29</v>
      </c>
      <c r="O29">
        <f t="shared" si="0"/>
        <v>4878115</v>
      </c>
      <c r="S29">
        <f>INT(O28/$R$15*R6)</f>
        <v>104664</v>
      </c>
      <c r="T29">
        <f>INT(O29/$R$15*R6)</f>
        <v>108402</v>
      </c>
      <c r="U29">
        <f>INT($O$30/$R$15*R6)</f>
        <v>112140</v>
      </c>
      <c r="V29">
        <f>INT($O$31/$R$15*R6)</f>
        <v>115878</v>
      </c>
      <c r="W29">
        <f>INT(O32/$R$15*R6)</f>
        <v>119616</v>
      </c>
      <c r="X29">
        <f>INT($O$33/$R$15*R6)</f>
        <v>123354</v>
      </c>
      <c r="Y29">
        <f>INT($O$34/$R$15*R6)</f>
        <v>127092</v>
      </c>
      <c r="Z29">
        <f>INT($O$35/$R$15*R6)</f>
        <v>130830</v>
      </c>
      <c r="AA29">
        <f>INT($O$36/$R$15*R6)</f>
        <v>134568</v>
      </c>
      <c r="AB29">
        <f>INT($O$37/$R$15*R6)</f>
        <v>138306</v>
      </c>
      <c r="AC29">
        <f>INT($O$38/$R$15*R6)</f>
        <v>142044</v>
      </c>
      <c r="AD29">
        <f>INT($O$39/$R$15*R6)</f>
        <v>145782</v>
      </c>
      <c r="AE29">
        <f>INT($O$40/$R$15*R6)</f>
        <v>149520</v>
      </c>
      <c r="AF29">
        <f>INT($O$41/$R$15*R6)</f>
        <v>153258</v>
      </c>
      <c r="AG29">
        <f>INT($O$42/$R$15*R6)</f>
        <v>156996</v>
      </c>
      <c r="AH29">
        <f>INT($O$43/$R$15*R6)</f>
        <v>160734</v>
      </c>
      <c r="AI29">
        <f>INT($O$44/$R$15*R6)</f>
        <v>164472</v>
      </c>
      <c r="AJ29">
        <f>INT($O$45/$R$15*R6)</f>
        <v>168210</v>
      </c>
      <c r="AK29">
        <f>INT($O$46/$R$15*R6)</f>
        <v>171948</v>
      </c>
      <c r="AL29">
        <f>INT($O$47/$R$15*R6)</f>
        <v>175686</v>
      </c>
      <c r="AM29">
        <f>INT($O$48/$R$15*R6)</f>
        <v>179424</v>
      </c>
      <c r="AN29">
        <f>INT($O$49/$R$15*R6)</f>
        <v>183162</v>
      </c>
      <c r="AO29">
        <f>INT($O$50/$R$15*R6)</f>
        <v>186900</v>
      </c>
      <c r="AP29">
        <f>INT($O$51/$R$15*R6)</f>
        <v>190639</v>
      </c>
      <c r="AQ29">
        <f>INT($O$52/$R$15*R6)</f>
        <v>194377</v>
      </c>
    </row>
    <row r="30" spans="3:45">
      <c r="D30" t="str">
        <f t="shared" si="42"/>
        <v>1990000_652693</v>
      </c>
      <c r="E30" t="str">
        <f t="shared" si="43"/>
        <v>1990000_1305386</v>
      </c>
      <c r="F30" t="str">
        <f t="shared" si="44"/>
        <v>1990000_1958080</v>
      </c>
      <c r="K30">
        <f>INT(SUM(K9:K28))</f>
        <v>307825925</v>
      </c>
      <c r="N30">
        <v>30</v>
      </c>
      <c r="O30">
        <f t="shared" si="0"/>
        <v>5046326</v>
      </c>
      <c r="S30">
        <f t="shared" ref="S30:S37" si="45">INT(O29/$R$15*R7)</f>
        <v>216805</v>
      </c>
      <c r="T30">
        <f t="shared" ref="T30:T37" si="46">INT(O30/$R$15*R7)</f>
        <v>224281</v>
      </c>
      <c r="U30">
        <f t="shared" ref="U30:U37" si="47">INT($O$30/$R$15*R7)</f>
        <v>224281</v>
      </c>
      <c r="V30">
        <f t="shared" ref="V30:V37" si="48">INT($O$31/$R$15*R7)</f>
        <v>231757</v>
      </c>
      <c r="W30">
        <f t="shared" ref="W30:W37" si="49">INT(O33/$R$15*R7)</f>
        <v>246709</v>
      </c>
      <c r="X30">
        <f t="shared" ref="X30:X37" si="50">INT($O$33/$R$15*R7)</f>
        <v>246709</v>
      </c>
      <c r="Y30">
        <f t="shared" ref="Y30:Y37" si="51">INT($O$34/$R$15*R7)</f>
        <v>254185</v>
      </c>
      <c r="Z30">
        <f t="shared" ref="Z30:Z37" si="52">INT($O$35/$R$15*R7)</f>
        <v>261661</v>
      </c>
      <c r="AA30">
        <f t="shared" ref="AA30:AA37" si="53">INT($O$36/$R$15*R7)</f>
        <v>269137</v>
      </c>
      <c r="AB30">
        <f t="shared" ref="AB30:AB37" si="54">INT($O$37/$R$15*R7)</f>
        <v>276613</v>
      </c>
      <c r="AC30">
        <f t="shared" ref="AC30:AC37" si="55">INT($O$38/$R$15*R7)</f>
        <v>284089</v>
      </c>
      <c r="AD30">
        <f t="shared" ref="AD30:AD37" si="56">INT($O$39/$R$15*R7)</f>
        <v>291565</v>
      </c>
      <c r="AE30">
        <f t="shared" ref="AE30:AE37" si="57">INT($O$40/$R$15*R7)</f>
        <v>299041</v>
      </c>
      <c r="AF30">
        <f t="shared" ref="AF30:AF37" si="58">INT($O$41/$R$15*R7)</f>
        <v>306517</v>
      </c>
      <c r="AG30">
        <f t="shared" ref="AG30:AG37" si="59">INT($O$42/$R$15*R7)</f>
        <v>313993</v>
      </c>
      <c r="AH30">
        <f t="shared" ref="AH30:AH37" si="60">INT($O$43/$R$15*R7)</f>
        <v>321469</v>
      </c>
      <c r="AI30">
        <f t="shared" ref="AI30:AI37" si="61">INT($O$44/$R$15*R7)</f>
        <v>328945</v>
      </c>
      <c r="AJ30">
        <f t="shared" ref="AJ30:AJ37" si="62">INT($O$45/$R$15*R7)</f>
        <v>336421</v>
      </c>
      <c r="AK30">
        <f t="shared" ref="AK30:AK37" si="63">INT($O$46/$R$15*R7)</f>
        <v>343897</v>
      </c>
      <c r="AL30">
        <f t="shared" ref="AL30:AL37" si="64">INT($O$47/$R$15*R7)</f>
        <v>351373</v>
      </c>
      <c r="AM30">
        <f t="shared" ref="AM30:AM37" si="65">INT($O$48/$R$15*R7)</f>
        <v>358849</v>
      </c>
      <c r="AN30">
        <f t="shared" ref="AN30:AN37" si="66">INT($O$49/$R$15*R7)</f>
        <v>366325</v>
      </c>
      <c r="AO30">
        <f t="shared" ref="AO30:AO37" si="67">INT($O$50/$R$15*R7)</f>
        <v>373801</v>
      </c>
      <c r="AP30">
        <f t="shared" ref="AP30:AP37" si="68">INT($O$51/$R$15*R7)</f>
        <v>381278</v>
      </c>
      <c r="AQ30">
        <f t="shared" ref="AQ30:AQ37" si="69">INT($O$52/$R$15*R7)</f>
        <v>388754</v>
      </c>
    </row>
    <row r="31" spans="3:45">
      <c r="D31" t="str">
        <f t="shared" si="42"/>
        <v>1990000_870257</v>
      </c>
      <c r="E31" t="str">
        <f t="shared" si="43"/>
        <v>1990000_1740515</v>
      </c>
      <c r="F31" t="str">
        <f t="shared" si="44"/>
        <v>1990000_2610773</v>
      </c>
      <c r="N31">
        <v>31</v>
      </c>
      <c r="O31">
        <f t="shared" si="0"/>
        <v>5214537</v>
      </c>
      <c r="S31">
        <f t="shared" si="45"/>
        <v>336421</v>
      </c>
      <c r="T31">
        <f t="shared" si="46"/>
        <v>347635</v>
      </c>
      <c r="U31">
        <f t="shared" si="47"/>
        <v>336421</v>
      </c>
      <c r="V31">
        <f t="shared" si="48"/>
        <v>347635</v>
      </c>
      <c r="W31">
        <f t="shared" si="49"/>
        <v>381278</v>
      </c>
      <c r="X31">
        <f t="shared" si="50"/>
        <v>370063</v>
      </c>
      <c r="Y31">
        <f t="shared" si="51"/>
        <v>381278</v>
      </c>
      <c r="Z31">
        <f t="shared" si="52"/>
        <v>392492</v>
      </c>
      <c r="AA31">
        <f t="shared" si="53"/>
        <v>403706</v>
      </c>
      <c r="AB31">
        <f t="shared" si="54"/>
        <v>414920</v>
      </c>
      <c r="AC31">
        <f t="shared" si="55"/>
        <v>426134</v>
      </c>
      <c r="AD31">
        <f t="shared" si="56"/>
        <v>437348</v>
      </c>
      <c r="AE31">
        <f t="shared" si="57"/>
        <v>448562</v>
      </c>
      <c r="AF31">
        <f t="shared" si="58"/>
        <v>459776</v>
      </c>
      <c r="AG31">
        <f t="shared" si="59"/>
        <v>470990</v>
      </c>
      <c r="AH31">
        <f t="shared" si="60"/>
        <v>482204</v>
      </c>
      <c r="AI31">
        <f t="shared" si="61"/>
        <v>493418</v>
      </c>
      <c r="AJ31">
        <f t="shared" si="62"/>
        <v>504632</v>
      </c>
      <c r="AK31">
        <f t="shared" si="63"/>
        <v>515846</v>
      </c>
      <c r="AL31">
        <f t="shared" si="64"/>
        <v>527060</v>
      </c>
      <c r="AM31">
        <f t="shared" si="65"/>
        <v>538274</v>
      </c>
      <c r="AN31">
        <f t="shared" si="66"/>
        <v>549488</v>
      </c>
      <c r="AO31">
        <f t="shared" si="67"/>
        <v>560702</v>
      </c>
      <c r="AP31">
        <f t="shared" si="68"/>
        <v>571917</v>
      </c>
      <c r="AQ31">
        <f t="shared" si="69"/>
        <v>583131</v>
      </c>
    </row>
    <row r="32" spans="3:45">
      <c r="D32" t="str">
        <f t="shared" si="42"/>
        <v>1990000_1087822</v>
      </c>
      <c r="E32" t="str">
        <f t="shared" si="43"/>
        <v>1990000_2175644</v>
      </c>
      <c r="F32" t="str">
        <f t="shared" si="44"/>
        <v>1990000_3263466</v>
      </c>
      <c r="N32">
        <v>32</v>
      </c>
      <c r="O32">
        <f t="shared" si="0"/>
        <v>5382748</v>
      </c>
      <c r="S32">
        <f t="shared" si="45"/>
        <v>463514</v>
      </c>
      <c r="T32">
        <f t="shared" si="46"/>
        <v>478466</v>
      </c>
      <c r="U32">
        <f t="shared" si="47"/>
        <v>448562</v>
      </c>
      <c r="V32">
        <f t="shared" si="48"/>
        <v>463514</v>
      </c>
      <c r="W32">
        <f t="shared" si="49"/>
        <v>523322</v>
      </c>
      <c r="X32">
        <f t="shared" si="50"/>
        <v>493418</v>
      </c>
      <c r="Y32">
        <f t="shared" si="51"/>
        <v>508370</v>
      </c>
      <c r="Z32">
        <f t="shared" si="52"/>
        <v>523322</v>
      </c>
      <c r="AA32">
        <f t="shared" si="53"/>
        <v>538274</v>
      </c>
      <c r="AB32">
        <f t="shared" si="54"/>
        <v>553226</v>
      </c>
      <c r="AC32">
        <f t="shared" si="55"/>
        <v>568178</v>
      </c>
      <c r="AD32">
        <f t="shared" si="56"/>
        <v>583131</v>
      </c>
      <c r="AE32">
        <f t="shared" si="57"/>
        <v>598083</v>
      </c>
      <c r="AF32">
        <f t="shared" si="58"/>
        <v>613035</v>
      </c>
      <c r="AG32">
        <f t="shared" si="59"/>
        <v>627987</v>
      </c>
      <c r="AH32">
        <f t="shared" si="60"/>
        <v>642939</v>
      </c>
      <c r="AI32">
        <f t="shared" si="61"/>
        <v>657891</v>
      </c>
      <c r="AJ32">
        <f t="shared" si="62"/>
        <v>672843</v>
      </c>
      <c r="AK32">
        <f t="shared" si="63"/>
        <v>687795</v>
      </c>
      <c r="AL32">
        <f t="shared" si="64"/>
        <v>702747</v>
      </c>
      <c r="AM32">
        <f t="shared" si="65"/>
        <v>717699</v>
      </c>
      <c r="AN32">
        <f t="shared" si="66"/>
        <v>732651</v>
      </c>
      <c r="AO32">
        <f t="shared" si="67"/>
        <v>747603</v>
      </c>
      <c r="AP32">
        <f t="shared" si="68"/>
        <v>762556</v>
      </c>
      <c r="AQ32">
        <f t="shared" si="69"/>
        <v>777508</v>
      </c>
    </row>
    <row r="33" spans="4:43">
      <c r="D33" t="str">
        <f t="shared" si="42"/>
        <v>1990000_1305386</v>
      </c>
      <c r="E33" t="str">
        <f t="shared" si="43"/>
        <v>1990000_2610773</v>
      </c>
      <c r="F33" t="str">
        <f t="shared" si="44"/>
        <v>1990000_3916160</v>
      </c>
      <c r="N33">
        <v>33</v>
      </c>
      <c r="O33">
        <f t="shared" si="0"/>
        <v>5550959</v>
      </c>
      <c r="S33">
        <f t="shared" si="45"/>
        <v>598083</v>
      </c>
      <c r="T33">
        <f t="shared" si="46"/>
        <v>616773</v>
      </c>
      <c r="U33">
        <f t="shared" si="47"/>
        <v>560702</v>
      </c>
      <c r="V33">
        <f t="shared" si="48"/>
        <v>579393</v>
      </c>
      <c r="W33">
        <f t="shared" si="49"/>
        <v>672843</v>
      </c>
      <c r="X33">
        <f t="shared" si="50"/>
        <v>616773</v>
      </c>
      <c r="Y33">
        <f t="shared" si="51"/>
        <v>635463</v>
      </c>
      <c r="Z33">
        <f t="shared" si="52"/>
        <v>654153</v>
      </c>
      <c r="AA33">
        <f t="shared" si="53"/>
        <v>672843</v>
      </c>
      <c r="AB33">
        <f t="shared" si="54"/>
        <v>691533</v>
      </c>
      <c r="AC33">
        <f t="shared" si="55"/>
        <v>710223</v>
      </c>
      <c r="AD33">
        <f t="shared" si="56"/>
        <v>728913</v>
      </c>
      <c r="AE33">
        <f t="shared" si="57"/>
        <v>747603</v>
      </c>
      <c r="AF33">
        <f t="shared" si="58"/>
        <v>766294</v>
      </c>
      <c r="AG33">
        <f t="shared" si="59"/>
        <v>784984</v>
      </c>
      <c r="AH33">
        <f t="shared" si="60"/>
        <v>803674</v>
      </c>
      <c r="AI33">
        <f t="shared" si="61"/>
        <v>822364</v>
      </c>
      <c r="AJ33">
        <f t="shared" si="62"/>
        <v>841054</v>
      </c>
      <c r="AK33">
        <f t="shared" si="63"/>
        <v>859744</v>
      </c>
      <c r="AL33">
        <f t="shared" si="64"/>
        <v>878434</v>
      </c>
      <c r="AM33">
        <f t="shared" si="65"/>
        <v>897124</v>
      </c>
      <c r="AN33">
        <f t="shared" si="66"/>
        <v>915814</v>
      </c>
      <c r="AO33">
        <f t="shared" si="67"/>
        <v>934504</v>
      </c>
      <c r="AP33">
        <f t="shared" si="68"/>
        <v>953195</v>
      </c>
      <c r="AQ33">
        <f t="shared" si="69"/>
        <v>971885</v>
      </c>
    </row>
    <row r="34" spans="4:43">
      <c r="D34" t="str">
        <f t="shared" si="42"/>
        <v>1990000_1522951</v>
      </c>
      <c r="E34" t="str">
        <f t="shared" si="43"/>
        <v>1990000_3045902</v>
      </c>
      <c r="F34" t="str">
        <f t="shared" si="44"/>
        <v>1990000_4568853</v>
      </c>
      <c r="N34">
        <v>34</v>
      </c>
      <c r="O34">
        <f t="shared" ref="O34:O60" si="70">INT($K$30/$N$61*N34)</f>
        <v>5719170</v>
      </c>
      <c r="S34">
        <f t="shared" si="45"/>
        <v>740127</v>
      </c>
      <c r="T34">
        <f t="shared" si="46"/>
        <v>762556</v>
      </c>
      <c r="U34">
        <f t="shared" si="47"/>
        <v>672843</v>
      </c>
      <c r="V34">
        <f t="shared" si="48"/>
        <v>695271</v>
      </c>
      <c r="W34">
        <f t="shared" si="49"/>
        <v>829840</v>
      </c>
      <c r="X34">
        <f t="shared" si="50"/>
        <v>740127</v>
      </c>
      <c r="Y34">
        <f t="shared" si="51"/>
        <v>762556</v>
      </c>
      <c r="Z34">
        <f t="shared" si="52"/>
        <v>784984</v>
      </c>
      <c r="AA34">
        <f t="shared" si="53"/>
        <v>807412</v>
      </c>
      <c r="AB34">
        <f t="shared" si="54"/>
        <v>829840</v>
      </c>
      <c r="AC34">
        <f t="shared" si="55"/>
        <v>852268</v>
      </c>
      <c r="AD34">
        <f t="shared" si="56"/>
        <v>874696</v>
      </c>
      <c r="AE34">
        <f t="shared" si="57"/>
        <v>897124</v>
      </c>
      <c r="AF34">
        <f t="shared" si="58"/>
        <v>919552</v>
      </c>
      <c r="AG34">
        <f t="shared" si="59"/>
        <v>941980</v>
      </c>
      <c r="AH34">
        <f t="shared" si="60"/>
        <v>964409</v>
      </c>
      <c r="AI34">
        <f t="shared" si="61"/>
        <v>986837</v>
      </c>
      <c r="AJ34">
        <f t="shared" si="62"/>
        <v>1009265</v>
      </c>
      <c r="AK34">
        <f t="shared" si="63"/>
        <v>1031693</v>
      </c>
      <c r="AL34">
        <f t="shared" si="64"/>
        <v>1054121</v>
      </c>
      <c r="AM34">
        <f t="shared" si="65"/>
        <v>1076549</v>
      </c>
      <c r="AN34">
        <f t="shared" si="66"/>
        <v>1098977</v>
      </c>
      <c r="AO34">
        <f t="shared" si="67"/>
        <v>1121405</v>
      </c>
      <c r="AP34">
        <f t="shared" si="68"/>
        <v>1143834</v>
      </c>
      <c r="AQ34">
        <f t="shared" si="69"/>
        <v>1166262</v>
      </c>
    </row>
    <row r="35" spans="4:43">
      <c r="D35" t="str">
        <f t="shared" si="42"/>
        <v>1990000_1740515</v>
      </c>
      <c r="E35" t="str">
        <f t="shared" si="43"/>
        <v>1990000_3481031</v>
      </c>
      <c r="F35" t="str">
        <f t="shared" si="44"/>
        <v>1990000_5221546</v>
      </c>
      <c r="N35">
        <v>35</v>
      </c>
      <c r="O35">
        <f t="shared" si="70"/>
        <v>5887381</v>
      </c>
      <c r="S35">
        <f t="shared" si="45"/>
        <v>889648</v>
      </c>
      <c r="T35">
        <f t="shared" si="46"/>
        <v>915814</v>
      </c>
      <c r="U35">
        <f t="shared" si="47"/>
        <v>784984</v>
      </c>
      <c r="V35">
        <f t="shared" si="48"/>
        <v>811150</v>
      </c>
      <c r="W35">
        <f t="shared" si="49"/>
        <v>994313</v>
      </c>
      <c r="X35">
        <f t="shared" si="50"/>
        <v>863482</v>
      </c>
      <c r="Y35">
        <f t="shared" si="51"/>
        <v>889648</v>
      </c>
      <c r="Z35">
        <f t="shared" si="52"/>
        <v>915814</v>
      </c>
      <c r="AA35">
        <f t="shared" si="53"/>
        <v>941980</v>
      </c>
      <c r="AB35">
        <f t="shared" si="54"/>
        <v>968146</v>
      </c>
      <c r="AC35">
        <f t="shared" si="55"/>
        <v>994313</v>
      </c>
      <c r="AD35">
        <f t="shared" si="56"/>
        <v>1020479</v>
      </c>
      <c r="AE35">
        <f t="shared" si="57"/>
        <v>1046645</v>
      </c>
      <c r="AF35">
        <f t="shared" si="58"/>
        <v>1072811</v>
      </c>
      <c r="AG35">
        <f t="shared" si="59"/>
        <v>1098977</v>
      </c>
      <c r="AH35">
        <f t="shared" si="60"/>
        <v>1125143</v>
      </c>
      <c r="AI35">
        <f t="shared" si="61"/>
        <v>1151310</v>
      </c>
      <c r="AJ35">
        <f t="shared" si="62"/>
        <v>1177476</v>
      </c>
      <c r="AK35">
        <f t="shared" si="63"/>
        <v>1203642</v>
      </c>
      <c r="AL35">
        <f t="shared" si="64"/>
        <v>1229808</v>
      </c>
      <c r="AM35">
        <f t="shared" si="65"/>
        <v>1255974</v>
      </c>
      <c r="AN35">
        <f t="shared" si="66"/>
        <v>1282140</v>
      </c>
      <c r="AO35">
        <f t="shared" si="67"/>
        <v>1308306</v>
      </c>
      <c r="AP35">
        <f t="shared" si="68"/>
        <v>1334473</v>
      </c>
      <c r="AQ35">
        <f t="shared" si="69"/>
        <v>1360639</v>
      </c>
    </row>
    <row r="36" spans="4:43">
      <c r="D36" t="str">
        <f t="shared" si="42"/>
        <v>1990000_1958080</v>
      </c>
      <c r="E36" t="str">
        <f t="shared" si="43"/>
        <v>1990000_3916160</v>
      </c>
      <c r="F36" t="str">
        <f t="shared" si="44"/>
        <v>1990000_5874240</v>
      </c>
      <c r="N36">
        <v>36</v>
      </c>
      <c r="O36">
        <f t="shared" si="70"/>
        <v>6055591</v>
      </c>
      <c r="S36">
        <f t="shared" si="45"/>
        <v>1046645</v>
      </c>
      <c r="T36">
        <f t="shared" si="46"/>
        <v>1076549</v>
      </c>
      <c r="U36">
        <f t="shared" si="47"/>
        <v>897124</v>
      </c>
      <c r="V36">
        <f t="shared" si="48"/>
        <v>927028</v>
      </c>
      <c r="W36">
        <f t="shared" si="49"/>
        <v>1166262</v>
      </c>
      <c r="X36">
        <f t="shared" si="50"/>
        <v>986837</v>
      </c>
      <c r="Y36">
        <f t="shared" si="51"/>
        <v>1016741</v>
      </c>
      <c r="Z36">
        <f t="shared" si="52"/>
        <v>1046645</v>
      </c>
      <c r="AA36">
        <f t="shared" si="53"/>
        <v>1076549</v>
      </c>
      <c r="AB36">
        <f t="shared" si="54"/>
        <v>1106453</v>
      </c>
      <c r="AC36">
        <f t="shared" si="55"/>
        <v>1136357</v>
      </c>
      <c r="AD36">
        <f t="shared" si="56"/>
        <v>1166262</v>
      </c>
      <c r="AE36">
        <f t="shared" si="57"/>
        <v>1196166</v>
      </c>
      <c r="AF36">
        <f t="shared" si="58"/>
        <v>1226070</v>
      </c>
      <c r="AG36">
        <f t="shared" si="59"/>
        <v>1255974</v>
      </c>
      <c r="AH36">
        <f t="shared" si="60"/>
        <v>1285878</v>
      </c>
      <c r="AI36">
        <f t="shared" si="61"/>
        <v>1315782</v>
      </c>
      <c r="AJ36">
        <f t="shared" si="62"/>
        <v>1345686</v>
      </c>
      <c r="AK36">
        <f t="shared" si="63"/>
        <v>1375591</v>
      </c>
      <c r="AL36">
        <f t="shared" si="64"/>
        <v>1405495</v>
      </c>
      <c r="AM36">
        <f t="shared" si="65"/>
        <v>1435399</v>
      </c>
      <c r="AN36">
        <f t="shared" si="66"/>
        <v>1465303</v>
      </c>
      <c r="AO36">
        <f t="shared" si="67"/>
        <v>1495207</v>
      </c>
      <c r="AP36">
        <f t="shared" si="68"/>
        <v>1525112</v>
      </c>
      <c r="AQ36">
        <f t="shared" si="69"/>
        <v>1555016</v>
      </c>
    </row>
    <row r="37" spans="4:43">
      <c r="N37">
        <v>37</v>
      </c>
      <c r="O37">
        <f t="shared" si="70"/>
        <v>6223802</v>
      </c>
      <c r="S37">
        <f t="shared" si="45"/>
        <v>1211118</v>
      </c>
      <c r="T37">
        <f t="shared" si="46"/>
        <v>1244760</v>
      </c>
      <c r="U37">
        <f t="shared" si="47"/>
        <v>1009265</v>
      </c>
      <c r="V37">
        <f t="shared" si="48"/>
        <v>1042907</v>
      </c>
      <c r="W37">
        <f t="shared" si="49"/>
        <v>1345687</v>
      </c>
      <c r="X37">
        <f t="shared" si="50"/>
        <v>1110191</v>
      </c>
      <c r="Y37">
        <f t="shared" si="51"/>
        <v>1143834</v>
      </c>
      <c r="Z37">
        <f t="shared" si="52"/>
        <v>1177476</v>
      </c>
      <c r="AA37">
        <f t="shared" si="53"/>
        <v>1211118</v>
      </c>
      <c r="AB37">
        <f t="shared" si="54"/>
        <v>1244760</v>
      </c>
      <c r="AC37">
        <f t="shared" si="55"/>
        <v>1278402</v>
      </c>
      <c r="AD37">
        <f t="shared" si="56"/>
        <v>1312044</v>
      </c>
      <c r="AE37">
        <f t="shared" si="57"/>
        <v>1345687</v>
      </c>
      <c r="AF37">
        <f t="shared" si="58"/>
        <v>1379329</v>
      </c>
      <c r="AG37">
        <f t="shared" si="59"/>
        <v>1412971</v>
      </c>
      <c r="AH37">
        <f t="shared" si="60"/>
        <v>1446613</v>
      </c>
      <c r="AI37">
        <f t="shared" si="61"/>
        <v>1480255</v>
      </c>
      <c r="AJ37">
        <f t="shared" si="62"/>
        <v>1513897</v>
      </c>
      <c r="AK37">
        <f t="shared" si="63"/>
        <v>1547540</v>
      </c>
      <c r="AL37">
        <f t="shared" si="64"/>
        <v>1581182</v>
      </c>
      <c r="AM37">
        <f t="shared" si="65"/>
        <v>1614824</v>
      </c>
      <c r="AN37">
        <f t="shared" si="66"/>
        <v>1648466</v>
      </c>
      <c r="AO37">
        <f t="shared" si="67"/>
        <v>1682108</v>
      </c>
      <c r="AP37">
        <f t="shared" si="68"/>
        <v>1715751</v>
      </c>
      <c r="AQ37">
        <f t="shared" si="69"/>
        <v>1749393</v>
      </c>
    </row>
    <row r="38" spans="4:43">
      <c r="D38" t="str">
        <f>_xlfn.TEXTJOIN(",",TRUE,D28:D36)</f>
        <v>1990000_217564,1990000_435128,1990000_652693,1990000_870257,1990000_1087822,1990000_1305386,1990000_1522951,1990000_1740515,1990000_1958080</v>
      </c>
      <c r="E38" t="str">
        <f>_xlfn.TEXTJOIN(",",TRUE,E28:E36)</f>
        <v>1990000_435128,1990000_870257,1990000_1305386,1990000_1740515,1990000_2175644,1990000_2610773,1990000_3045902,1990000_3481031,1990000_3916160</v>
      </c>
      <c r="F38" t="str">
        <f>_xlfn.TEXTJOIN(",",TRUE,F28:F36)</f>
        <v>1990000_652693,1990000_1305386,1990000_1958080,1990000_2610773,1990000_3263466,1990000_3916160,1990000_4568853,1990000_5221546,1990000_5874240</v>
      </c>
      <c r="N38">
        <v>38</v>
      </c>
      <c r="O38">
        <f t="shared" si="70"/>
        <v>6392013</v>
      </c>
    </row>
    <row r="39" spans="4:43">
      <c r="N39">
        <v>39</v>
      </c>
      <c r="O39">
        <f t="shared" si="70"/>
        <v>6560224</v>
      </c>
      <c r="S39" t="str">
        <f>_xlfn.TEXTJOIN("_",TRUE,$A$6,S29)</f>
        <v>1990000_104664</v>
      </c>
      <c r="T39" t="str">
        <f t="shared" ref="T39:AQ39" si="71">_xlfn.TEXTJOIN("_",TRUE,$A$6,T29)</f>
        <v>1990000_108402</v>
      </c>
      <c r="U39" t="str">
        <f t="shared" si="71"/>
        <v>1990000_112140</v>
      </c>
      <c r="V39" t="str">
        <f t="shared" si="71"/>
        <v>1990000_115878</v>
      </c>
      <c r="W39" t="str">
        <f t="shared" si="71"/>
        <v>1990000_119616</v>
      </c>
      <c r="X39" t="str">
        <f t="shared" si="71"/>
        <v>1990000_123354</v>
      </c>
      <c r="Y39" t="str">
        <f t="shared" si="71"/>
        <v>1990000_127092</v>
      </c>
      <c r="Z39" t="str">
        <f t="shared" si="71"/>
        <v>1990000_130830</v>
      </c>
      <c r="AA39" t="str">
        <f t="shared" si="71"/>
        <v>1990000_134568</v>
      </c>
      <c r="AB39" t="str">
        <f t="shared" si="71"/>
        <v>1990000_138306</v>
      </c>
      <c r="AC39" t="str">
        <f t="shared" si="71"/>
        <v>1990000_142044</v>
      </c>
      <c r="AD39" t="str">
        <f t="shared" si="71"/>
        <v>1990000_145782</v>
      </c>
      <c r="AE39" t="str">
        <f t="shared" si="71"/>
        <v>1990000_149520</v>
      </c>
      <c r="AF39" t="str">
        <f t="shared" si="71"/>
        <v>1990000_153258</v>
      </c>
      <c r="AG39" t="str">
        <f t="shared" si="71"/>
        <v>1990000_156996</v>
      </c>
      <c r="AH39" t="str">
        <f t="shared" si="71"/>
        <v>1990000_160734</v>
      </c>
      <c r="AI39" t="str">
        <f t="shared" si="71"/>
        <v>1990000_164472</v>
      </c>
      <c r="AJ39" t="str">
        <f t="shared" si="71"/>
        <v>1990000_168210</v>
      </c>
      <c r="AK39" t="str">
        <f t="shared" si="71"/>
        <v>1990000_171948</v>
      </c>
      <c r="AL39" t="str">
        <f t="shared" si="71"/>
        <v>1990000_175686</v>
      </c>
      <c r="AM39" t="str">
        <f t="shared" si="71"/>
        <v>1990000_179424</v>
      </c>
      <c r="AN39" t="str">
        <f t="shared" si="71"/>
        <v>1990000_183162</v>
      </c>
      <c r="AO39" t="str">
        <f t="shared" si="71"/>
        <v>1990000_186900</v>
      </c>
      <c r="AP39" t="str">
        <f t="shared" si="71"/>
        <v>1990000_190639</v>
      </c>
      <c r="AQ39" t="str">
        <f t="shared" si="71"/>
        <v>1990000_194377</v>
      </c>
    </row>
    <row r="40" spans="4:43">
      <c r="N40">
        <v>40</v>
      </c>
      <c r="O40">
        <f t="shared" si="70"/>
        <v>6728435</v>
      </c>
      <c r="S40" t="str">
        <f t="shared" ref="S40:S47" si="72">_xlfn.TEXTJOIN("_",TRUE,$A$6,S30)</f>
        <v>1990000_216805</v>
      </c>
      <c r="T40" t="str">
        <f t="shared" ref="T40:AQ40" si="73">_xlfn.TEXTJOIN("_",TRUE,$A$6,T30)</f>
        <v>1990000_224281</v>
      </c>
      <c r="U40" t="str">
        <f t="shared" si="73"/>
        <v>1990000_224281</v>
      </c>
      <c r="V40" t="str">
        <f t="shared" si="73"/>
        <v>1990000_231757</v>
      </c>
      <c r="W40" t="str">
        <f t="shared" si="73"/>
        <v>1990000_246709</v>
      </c>
      <c r="X40" t="str">
        <f t="shared" si="73"/>
        <v>1990000_246709</v>
      </c>
      <c r="Y40" t="str">
        <f t="shared" si="73"/>
        <v>1990000_254185</v>
      </c>
      <c r="Z40" t="str">
        <f t="shared" si="73"/>
        <v>1990000_261661</v>
      </c>
      <c r="AA40" t="str">
        <f t="shared" si="73"/>
        <v>1990000_269137</v>
      </c>
      <c r="AB40" t="str">
        <f t="shared" si="73"/>
        <v>1990000_276613</v>
      </c>
      <c r="AC40" t="str">
        <f t="shared" si="73"/>
        <v>1990000_284089</v>
      </c>
      <c r="AD40" t="str">
        <f t="shared" si="73"/>
        <v>1990000_291565</v>
      </c>
      <c r="AE40" t="str">
        <f t="shared" si="73"/>
        <v>1990000_299041</v>
      </c>
      <c r="AF40" t="str">
        <f t="shared" si="73"/>
        <v>1990000_306517</v>
      </c>
      <c r="AG40" t="str">
        <f t="shared" si="73"/>
        <v>1990000_313993</v>
      </c>
      <c r="AH40" t="str">
        <f t="shared" si="73"/>
        <v>1990000_321469</v>
      </c>
      <c r="AI40" t="str">
        <f t="shared" si="73"/>
        <v>1990000_328945</v>
      </c>
      <c r="AJ40" t="str">
        <f t="shared" si="73"/>
        <v>1990000_336421</v>
      </c>
      <c r="AK40" t="str">
        <f t="shared" si="73"/>
        <v>1990000_343897</v>
      </c>
      <c r="AL40" t="str">
        <f t="shared" si="73"/>
        <v>1990000_351373</v>
      </c>
      <c r="AM40" t="str">
        <f t="shared" si="73"/>
        <v>1990000_358849</v>
      </c>
      <c r="AN40" t="str">
        <f t="shared" si="73"/>
        <v>1990000_366325</v>
      </c>
      <c r="AO40" t="str">
        <f t="shared" si="73"/>
        <v>1990000_373801</v>
      </c>
      <c r="AP40" t="str">
        <f t="shared" si="73"/>
        <v>1990000_381278</v>
      </c>
      <c r="AQ40" t="str">
        <f t="shared" si="73"/>
        <v>1990000_388754</v>
      </c>
    </row>
    <row r="41" spans="4:43">
      <c r="N41">
        <v>41</v>
      </c>
      <c r="O41">
        <f t="shared" si="70"/>
        <v>6896646</v>
      </c>
      <c r="S41" t="str">
        <f t="shared" si="72"/>
        <v>1990000_336421</v>
      </c>
      <c r="T41" t="str">
        <f t="shared" ref="T41:AQ41" si="74">_xlfn.TEXTJOIN("_",TRUE,$A$6,T31)</f>
        <v>1990000_347635</v>
      </c>
      <c r="U41" t="str">
        <f t="shared" si="74"/>
        <v>1990000_336421</v>
      </c>
      <c r="V41" t="str">
        <f t="shared" si="74"/>
        <v>1990000_347635</v>
      </c>
      <c r="W41" t="str">
        <f t="shared" si="74"/>
        <v>1990000_381278</v>
      </c>
      <c r="X41" t="str">
        <f t="shared" si="74"/>
        <v>1990000_370063</v>
      </c>
      <c r="Y41" t="str">
        <f t="shared" si="74"/>
        <v>1990000_381278</v>
      </c>
      <c r="Z41" t="str">
        <f t="shared" si="74"/>
        <v>1990000_392492</v>
      </c>
      <c r="AA41" t="str">
        <f t="shared" si="74"/>
        <v>1990000_403706</v>
      </c>
      <c r="AB41" t="str">
        <f t="shared" si="74"/>
        <v>1990000_414920</v>
      </c>
      <c r="AC41" t="str">
        <f t="shared" si="74"/>
        <v>1990000_426134</v>
      </c>
      <c r="AD41" t="str">
        <f t="shared" si="74"/>
        <v>1990000_437348</v>
      </c>
      <c r="AE41" t="str">
        <f t="shared" si="74"/>
        <v>1990000_448562</v>
      </c>
      <c r="AF41" t="str">
        <f t="shared" si="74"/>
        <v>1990000_459776</v>
      </c>
      <c r="AG41" t="str">
        <f t="shared" si="74"/>
        <v>1990000_470990</v>
      </c>
      <c r="AH41" t="str">
        <f t="shared" si="74"/>
        <v>1990000_482204</v>
      </c>
      <c r="AI41" t="str">
        <f t="shared" si="74"/>
        <v>1990000_493418</v>
      </c>
      <c r="AJ41" t="str">
        <f t="shared" si="74"/>
        <v>1990000_504632</v>
      </c>
      <c r="AK41" t="str">
        <f t="shared" si="74"/>
        <v>1990000_515846</v>
      </c>
      <c r="AL41" t="str">
        <f t="shared" si="74"/>
        <v>1990000_527060</v>
      </c>
      <c r="AM41" t="str">
        <f t="shared" si="74"/>
        <v>1990000_538274</v>
      </c>
      <c r="AN41" t="str">
        <f t="shared" si="74"/>
        <v>1990000_549488</v>
      </c>
      <c r="AO41" t="str">
        <f t="shared" si="74"/>
        <v>1990000_560702</v>
      </c>
      <c r="AP41" t="str">
        <f t="shared" si="74"/>
        <v>1990000_571917</v>
      </c>
      <c r="AQ41" t="str">
        <f t="shared" si="74"/>
        <v>1990000_583131</v>
      </c>
    </row>
    <row r="42" spans="4:43">
      <c r="N42">
        <v>42</v>
      </c>
      <c r="O42">
        <f t="shared" si="70"/>
        <v>7064857</v>
      </c>
      <c r="S42" t="str">
        <f t="shared" si="72"/>
        <v>1990000_463514</v>
      </c>
      <c r="T42" t="str">
        <f t="shared" ref="T42:AQ42" si="75">_xlfn.TEXTJOIN("_",TRUE,$A$6,T32)</f>
        <v>1990000_478466</v>
      </c>
      <c r="U42" t="str">
        <f t="shared" si="75"/>
        <v>1990000_448562</v>
      </c>
      <c r="V42" t="str">
        <f t="shared" si="75"/>
        <v>1990000_463514</v>
      </c>
      <c r="W42" t="str">
        <f t="shared" si="75"/>
        <v>1990000_523322</v>
      </c>
      <c r="X42" t="str">
        <f t="shared" si="75"/>
        <v>1990000_493418</v>
      </c>
      <c r="Y42" t="str">
        <f t="shared" si="75"/>
        <v>1990000_508370</v>
      </c>
      <c r="Z42" t="str">
        <f t="shared" si="75"/>
        <v>1990000_523322</v>
      </c>
      <c r="AA42" t="str">
        <f t="shared" si="75"/>
        <v>1990000_538274</v>
      </c>
      <c r="AB42" t="str">
        <f t="shared" si="75"/>
        <v>1990000_553226</v>
      </c>
      <c r="AC42" t="str">
        <f t="shared" si="75"/>
        <v>1990000_568178</v>
      </c>
      <c r="AD42" t="str">
        <f t="shared" si="75"/>
        <v>1990000_583131</v>
      </c>
      <c r="AE42" t="str">
        <f t="shared" si="75"/>
        <v>1990000_598083</v>
      </c>
      <c r="AF42" t="str">
        <f t="shared" si="75"/>
        <v>1990000_613035</v>
      </c>
      <c r="AG42" t="str">
        <f t="shared" si="75"/>
        <v>1990000_627987</v>
      </c>
      <c r="AH42" t="str">
        <f t="shared" si="75"/>
        <v>1990000_642939</v>
      </c>
      <c r="AI42" t="str">
        <f t="shared" si="75"/>
        <v>1990000_657891</v>
      </c>
      <c r="AJ42" t="str">
        <f t="shared" si="75"/>
        <v>1990000_672843</v>
      </c>
      <c r="AK42" t="str">
        <f t="shared" si="75"/>
        <v>1990000_687795</v>
      </c>
      <c r="AL42" t="str">
        <f t="shared" si="75"/>
        <v>1990000_702747</v>
      </c>
      <c r="AM42" t="str">
        <f t="shared" si="75"/>
        <v>1990000_717699</v>
      </c>
      <c r="AN42" t="str">
        <f t="shared" si="75"/>
        <v>1990000_732651</v>
      </c>
      <c r="AO42" t="str">
        <f t="shared" si="75"/>
        <v>1990000_747603</v>
      </c>
      <c r="AP42" t="str">
        <f t="shared" si="75"/>
        <v>1990000_762556</v>
      </c>
      <c r="AQ42" t="str">
        <f t="shared" si="75"/>
        <v>1990000_777508</v>
      </c>
    </row>
    <row r="43" spans="4:43">
      <c r="N43">
        <v>43</v>
      </c>
      <c r="O43">
        <f t="shared" si="70"/>
        <v>7233068</v>
      </c>
      <c r="S43" t="str">
        <f t="shared" si="72"/>
        <v>1990000_598083</v>
      </c>
      <c r="T43" t="str">
        <f t="shared" ref="T43:AQ43" si="76">_xlfn.TEXTJOIN("_",TRUE,$A$6,T33)</f>
        <v>1990000_616773</v>
      </c>
      <c r="U43" t="str">
        <f t="shared" si="76"/>
        <v>1990000_560702</v>
      </c>
      <c r="V43" t="str">
        <f t="shared" si="76"/>
        <v>1990000_579393</v>
      </c>
      <c r="W43" t="str">
        <f t="shared" si="76"/>
        <v>1990000_672843</v>
      </c>
      <c r="X43" t="str">
        <f t="shared" si="76"/>
        <v>1990000_616773</v>
      </c>
      <c r="Y43" t="str">
        <f t="shared" si="76"/>
        <v>1990000_635463</v>
      </c>
      <c r="Z43" t="str">
        <f t="shared" si="76"/>
        <v>1990000_654153</v>
      </c>
      <c r="AA43" t="str">
        <f t="shared" si="76"/>
        <v>1990000_672843</v>
      </c>
      <c r="AB43" t="str">
        <f t="shared" si="76"/>
        <v>1990000_691533</v>
      </c>
      <c r="AC43" t="str">
        <f t="shared" si="76"/>
        <v>1990000_710223</v>
      </c>
      <c r="AD43" t="str">
        <f t="shared" si="76"/>
        <v>1990000_728913</v>
      </c>
      <c r="AE43" t="str">
        <f t="shared" si="76"/>
        <v>1990000_747603</v>
      </c>
      <c r="AF43" t="str">
        <f t="shared" si="76"/>
        <v>1990000_766294</v>
      </c>
      <c r="AG43" t="str">
        <f t="shared" si="76"/>
        <v>1990000_784984</v>
      </c>
      <c r="AH43" t="str">
        <f t="shared" si="76"/>
        <v>1990000_803674</v>
      </c>
      <c r="AI43" t="str">
        <f t="shared" si="76"/>
        <v>1990000_822364</v>
      </c>
      <c r="AJ43" t="str">
        <f t="shared" si="76"/>
        <v>1990000_841054</v>
      </c>
      <c r="AK43" t="str">
        <f t="shared" si="76"/>
        <v>1990000_859744</v>
      </c>
      <c r="AL43" t="str">
        <f t="shared" si="76"/>
        <v>1990000_878434</v>
      </c>
      <c r="AM43" t="str">
        <f t="shared" si="76"/>
        <v>1990000_897124</v>
      </c>
      <c r="AN43" t="str">
        <f t="shared" si="76"/>
        <v>1990000_915814</v>
      </c>
      <c r="AO43" t="str">
        <f t="shared" si="76"/>
        <v>1990000_934504</v>
      </c>
      <c r="AP43" t="str">
        <f t="shared" si="76"/>
        <v>1990000_953195</v>
      </c>
      <c r="AQ43" t="str">
        <f t="shared" si="76"/>
        <v>1990000_971885</v>
      </c>
    </row>
    <row r="44" spans="4:43">
      <c r="N44">
        <v>44</v>
      </c>
      <c r="O44">
        <f t="shared" si="70"/>
        <v>7401279</v>
      </c>
      <c r="S44" t="str">
        <f t="shared" si="72"/>
        <v>1990000_740127</v>
      </c>
      <c r="T44" t="str">
        <f t="shared" ref="T44:AQ44" si="77">_xlfn.TEXTJOIN("_",TRUE,$A$6,T34)</f>
        <v>1990000_762556</v>
      </c>
      <c r="U44" t="str">
        <f t="shared" si="77"/>
        <v>1990000_672843</v>
      </c>
      <c r="V44" t="str">
        <f t="shared" si="77"/>
        <v>1990000_695271</v>
      </c>
      <c r="W44" t="str">
        <f t="shared" si="77"/>
        <v>1990000_829840</v>
      </c>
      <c r="X44" t="str">
        <f t="shared" si="77"/>
        <v>1990000_740127</v>
      </c>
      <c r="Y44" t="str">
        <f t="shared" si="77"/>
        <v>1990000_762556</v>
      </c>
      <c r="Z44" t="str">
        <f t="shared" si="77"/>
        <v>1990000_784984</v>
      </c>
      <c r="AA44" t="str">
        <f t="shared" si="77"/>
        <v>1990000_807412</v>
      </c>
      <c r="AB44" t="str">
        <f t="shared" si="77"/>
        <v>1990000_829840</v>
      </c>
      <c r="AC44" t="str">
        <f t="shared" si="77"/>
        <v>1990000_852268</v>
      </c>
      <c r="AD44" t="str">
        <f t="shared" si="77"/>
        <v>1990000_874696</v>
      </c>
      <c r="AE44" t="str">
        <f t="shared" si="77"/>
        <v>1990000_897124</v>
      </c>
      <c r="AF44" t="str">
        <f t="shared" si="77"/>
        <v>1990000_919552</v>
      </c>
      <c r="AG44" t="str">
        <f t="shared" si="77"/>
        <v>1990000_941980</v>
      </c>
      <c r="AH44" t="str">
        <f t="shared" si="77"/>
        <v>1990000_964409</v>
      </c>
      <c r="AI44" t="str">
        <f t="shared" si="77"/>
        <v>1990000_986837</v>
      </c>
      <c r="AJ44" t="str">
        <f t="shared" si="77"/>
        <v>1990000_1009265</v>
      </c>
      <c r="AK44" t="str">
        <f t="shared" si="77"/>
        <v>1990000_1031693</v>
      </c>
      <c r="AL44" t="str">
        <f t="shared" si="77"/>
        <v>1990000_1054121</v>
      </c>
      <c r="AM44" t="str">
        <f t="shared" si="77"/>
        <v>1990000_1076549</v>
      </c>
      <c r="AN44" t="str">
        <f t="shared" si="77"/>
        <v>1990000_1098977</v>
      </c>
      <c r="AO44" t="str">
        <f t="shared" si="77"/>
        <v>1990000_1121405</v>
      </c>
      <c r="AP44" t="str">
        <f t="shared" si="77"/>
        <v>1990000_1143834</v>
      </c>
      <c r="AQ44" t="str">
        <f t="shared" si="77"/>
        <v>1990000_1166262</v>
      </c>
    </row>
    <row r="45" spans="4:43">
      <c r="N45">
        <v>45</v>
      </c>
      <c r="O45">
        <f t="shared" si="70"/>
        <v>7569489</v>
      </c>
      <c r="S45" t="str">
        <f t="shared" si="72"/>
        <v>1990000_889648</v>
      </c>
      <c r="T45" t="str">
        <f t="shared" ref="T45:AQ45" si="78">_xlfn.TEXTJOIN("_",TRUE,$A$6,T35)</f>
        <v>1990000_915814</v>
      </c>
      <c r="U45" t="str">
        <f t="shared" si="78"/>
        <v>1990000_784984</v>
      </c>
      <c r="V45" t="str">
        <f t="shared" si="78"/>
        <v>1990000_811150</v>
      </c>
      <c r="W45" t="str">
        <f t="shared" si="78"/>
        <v>1990000_994313</v>
      </c>
      <c r="X45" t="str">
        <f t="shared" si="78"/>
        <v>1990000_863482</v>
      </c>
      <c r="Y45" t="str">
        <f t="shared" si="78"/>
        <v>1990000_889648</v>
      </c>
      <c r="Z45" t="str">
        <f t="shared" si="78"/>
        <v>1990000_915814</v>
      </c>
      <c r="AA45" t="str">
        <f t="shared" si="78"/>
        <v>1990000_941980</v>
      </c>
      <c r="AB45" t="str">
        <f t="shared" si="78"/>
        <v>1990000_968146</v>
      </c>
      <c r="AC45" t="str">
        <f t="shared" si="78"/>
        <v>1990000_994313</v>
      </c>
      <c r="AD45" t="str">
        <f t="shared" si="78"/>
        <v>1990000_1020479</v>
      </c>
      <c r="AE45" t="str">
        <f t="shared" si="78"/>
        <v>1990000_1046645</v>
      </c>
      <c r="AF45" t="str">
        <f t="shared" si="78"/>
        <v>1990000_1072811</v>
      </c>
      <c r="AG45" t="str">
        <f t="shared" si="78"/>
        <v>1990000_1098977</v>
      </c>
      <c r="AH45" t="str">
        <f t="shared" si="78"/>
        <v>1990000_1125143</v>
      </c>
      <c r="AI45" t="str">
        <f t="shared" si="78"/>
        <v>1990000_1151310</v>
      </c>
      <c r="AJ45" t="str">
        <f t="shared" si="78"/>
        <v>1990000_1177476</v>
      </c>
      <c r="AK45" t="str">
        <f t="shared" si="78"/>
        <v>1990000_1203642</v>
      </c>
      <c r="AL45" t="str">
        <f t="shared" si="78"/>
        <v>1990000_1229808</v>
      </c>
      <c r="AM45" t="str">
        <f t="shared" si="78"/>
        <v>1990000_1255974</v>
      </c>
      <c r="AN45" t="str">
        <f t="shared" si="78"/>
        <v>1990000_1282140</v>
      </c>
      <c r="AO45" t="str">
        <f t="shared" si="78"/>
        <v>1990000_1308306</v>
      </c>
      <c r="AP45" t="str">
        <f t="shared" si="78"/>
        <v>1990000_1334473</v>
      </c>
      <c r="AQ45" t="str">
        <f t="shared" si="78"/>
        <v>1990000_1360639</v>
      </c>
    </row>
    <row r="46" spans="4:43">
      <c r="N46">
        <v>46</v>
      </c>
      <c r="O46">
        <f t="shared" si="70"/>
        <v>7737700</v>
      </c>
      <c r="S46" t="str">
        <f t="shared" si="72"/>
        <v>1990000_1046645</v>
      </c>
      <c r="T46" t="str">
        <f t="shared" ref="T46:AQ46" si="79">_xlfn.TEXTJOIN("_",TRUE,$A$6,T36)</f>
        <v>1990000_1076549</v>
      </c>
      <c r="U46" t="str">
        <f t="shared" si="79"/>
        <v>1990000_897124</v>
      </c>
      <c r="V46" t="str">
        <f t="shared" si="79"/>
        <v>1990000_927028</v>
      </c>
      <c r="W46" t="str">
        <f t="shared" si="79"/>
        <v>1990000_1166262</v>
      </c>
      <c r="X46" t="str">
        <f t="shared" si="79"/>
        <v>1990000_986837</v>
      </c>
      <c r="Y46" t="str">
        <f t="shared" si="79"/>
        <v>1990000_1016741</v>
      </c>
      <c r="Z46" t="str">
        <f t="shared" si="79"/>
        <v>1990000_1046645</v>
      </c>
      <c r="AA46" t="str">
        <f t="shared" si="79"/>
        <v>1990000_1076549</v>
      </c>
      <c r="AB46" t="str">
        <f t="shared" si="79"/>
        <v>1990000_1106453</v>
      </c>
      <c r="AC46" t="str">
        <f t="shared" si="79"/>
        <v>1990000_1136357</v>
      </c>
      <c r="AD46" t="str">
        <f t="shared" si="79"/>
        <v>1990000_1166262</v>
      </c>
      <c r="AE46" t="str">
        <f t="shared" si="79"/>
        <v>1990000_1196166</v>
      </c>
      <c r="AF46" t="str">
        <f t="shared" si="79"/>
        <v>1990000_1226070</v>
      </c>
      <c r="AG46" t="str">
        <f t="shared" si="79"/>
        <v>1990000_1255974</v>
      </c>
      <c r="AH46" t="str">
        <f t="shared" si="79"/>
        <v>1990000_1285878</v>
      </c>
      <c r="AI46" t="str">
        <f t="shared" si="79"/>
        <v>1990000_1315782</v>
      </c>
      <c r="AJ46" t="str">
        <f t="shared" si="79"/>
        <v>1990000_1345686</v>
      </c>
      <c r="AK46" t="str">
        <f t="shared" si="79"/>
        <v>1990000_1375591</v>
      </c>
      <c r="AL46" t="str">
        <f t="shared" si="79"/>
        <v>1990000_1405495</v>
      </c>
      <c r="AM46" t="str">
        <f t="shared" si="79"/>
        <v>1990000_1435399</v>
      </c>
      <c r="AN46" t="str">
        <f t="shared" si="79"/>
        <v>1990000_1465303</v>
      </c>
      <c r="AO46" t="str">
        <f t="shared" si="79"/>
        <v>1990000_1495207</v>
      </c>
      <c r="AP46" t="str">
        <f t="shared" si="79"/>
        <v>1990000_1525112</v>
      </c>
      <c r="AQ46" t="str">
        <f t="shared" si="79"/>
        <v>1990000_1555016</v>
      </c>
    </row>
    <row r="47" spans="4:43">
      <c r="N47">
        <v>47</v>
      </c>
      <c r="O47">
        <f t="shared" si="70"/>
        <v>7905911</v>
      </c>
      <c r="S47" t="str">
        <f t="shared" si="72"/>
        <v>1990000_1211118</v>
      </c>
      <c r="T47" t="str">
        <f t="shared" ref="T47:AQ47" si="80">_xlfn.TEXTJOIN("_",TRUE,$A$6,T37)</f>
        <v>1990000_1244760</v>
      </c>
      <c r="U47" t="str">
        <f t="shared" si="80"/>
        <v>1990000_1009265</v>
      </c>
      <c r="V47" t="str">
        <f t="shared" si="80"/>
        <v>1990000_1042907</v>
      </c>
      <c r="W47" t="str">
        <f t="shared" si="80"/>
        <v>1990000_1345687</v>
      </c>
      <c r="X47" t="str">
        <f t="shared" si="80"/>
        <v>1990000_1110191</v>
      </c>
      <c r="Y47" t="str">
        <f t="shared" si="80"/>
        <v>1990000_1143834</v>
      </c>
      <c r="Z47" t="str">
        <f t="shared" si="80"/>
        <v>1990000_1177476</v>
      </c>
      <c r="AA47" t="str">
        <f t="shared" si="80"/>
        <v>1990000_1211118</v>
      </c>
      <c r="AB47" t="str">
        <f t="shared" si="80"/>
        <v>1990000_1244760</v>
      </c>
      <c r="AC47" t="str">
        <f t="shared" si="80"/>
        <v>1990000_1278402</v>
      </c>
      <c r="AD47" t="str">
        <f t="shared" si="80"/>
        <v>1990000_1312044</v>
      </c>
      <c r="AE47" t="str">
        <f t="shared" si="80"/>
        <v>1990000_1345687</v>
      </c>
      <c r="AF47" t="str">
        <f t="shared" si="80"/>
        <v>1990000_1379329</v>
      </c>
      <c r="AG47" t="str">
        <f t="shared" si="80"/>
        <v>1990000_1412971</v>
      </c>
      <c r="AH47" t="str">
        <f t="shared" si="80"/>
        <v>1990000_1446613</v>
      </c>
      <c r="AI47" t="str">
        <f t="shared" si="80"/>
        <v>1990000_1480255</v>
      </c>
      <c r="AJ47" t="str">
        <f t="shared" si="80"/>
        <v>1990000_1513897</v>
      </c>
      <c r="AK47" t="str">
        <f t="shared" si="80"/>
        <v>1990000_1547540</v>
      </c>
      <c r="AL47" t="str">
        <f t="shared" si="80"/>
        <v>1990000_1581182</v>
      </c>
      <c r="AM47" t="str">
        <f t="shared" si="80"/>
        <v>1990000_1614824</v>
      </c>
      <c r="AN47" t="str">
        <f t="shared" si="80"/>
        <v>1990000_1648466</v>
      </c>
      <c r="AO47" t="str">
        <f t="shared" si="80"/>
        <v>1990000_1682108</v>
      </c>
      <c r="AP47" t="str">
        <f t="shared" si="80"/>
        <v>1990000_1715751</v>
      </c>
      <c r="AQ47" t="str">
        <f t="shared" si="80"/>
        <v>1990000_1749393</v>
      </c>
    </row>
    <row r="48" spans="4:43">
      <c r="N48">
        <v>48</v>
      </c>
      <c r="O48">
        <f t="shared" si="70"/>
        <v>8074122</v>
      </c>
    </row>
    <row r="49" spans="14:43">
      <c r="N49">
        <v>49</v>
      </c>
      <c r="O49">
        <f t="shared" si="70"/>
        <v>8242333</v>
      </c>
      <c r="S49" t="str">
        <f>_xlfn.TEXTJOIN(",",TRUE,S39:S47)</f>
        <v>1990000_104664,1990000_216805,1990000_336421,1990000_463514,1990000_598083,1990000_740127,1990000_889648,1990000_1046645,1990000_1211118</v>
      </c>
      <c r="T49" t="str">
        <f t="shared" ref="T49:AQ49" si="81">_xlfn.TEXTJOIN(",",TRUE,T39:T47)</f>
        <v>1990000_108402,1990000_224281,1990000_347635,1990000_478466,1990000_616773,1990000_762556,1990000_915814,1990000_1076549,1990000_1244760</v>
      </c>
      <c r="U49" t="str">
        <f t="shared" si="81"/>
        <v>1990000_112140,1990000_224281,1990000_336421,1990000_448562,1990000_560702,1990000_672843,1990000_784984,1990000_897124,1990000_1009265</v>
      </c>
      <c r="V49" t="str">
        <f t="shared" si="81"/>
        <v>1990000_115878,1990000_231757,1990000_347635,1990000_463514,1990000_579393,1990000_695271,1990000_811150,1990000_927028,1990000_1042907</v>
      </c>
      <c r="W49" t="str">
        <f t="shared" si="81"/>
        <v>1990000_119616,1990000_246709,1990000_381278,1990000_523322,1990000_672843,1990000_829840,1990000_994313,1990000_1166262,1990000_1345687</v>
      </c>
      <c r="X49" t="str">
        <f t="shared" si="81"/>
        <v>1990000_123354,1990000_246709,1990000_370063,1990000_493418,1990000_616773,1990000_740127,1990000_863482,1990000_986837,1990000_1110191</v>
      </c>
      <c r="Y49" t="str">
        <f t="shared" si="81"/>
        <v>1990000_127092,1990000_254185,1990000_381278,1990000_508370,1990000_635463,1990000_762556,1990000_889648,1990000_1016741,1990000_1143834</v>
      </c>
      <c r="Z49" t="str">
        <f t="shared" si="81"/>
        <v>1990000_130830,1990000_261661,1990000_392492,1990000_523322,1990000_654153,1990000_784984,1990000_915814,1990000_1046645,1990000_1177476</v>
      </c>
      <c r="AA49" t="str">
        <f t="shared" si="81"/>
        <v>1990000_134568,1990000_269137,1990000_403706,1990000_538274,1990000_672843,1990000_807412,1990000_941980,1990000_1076549,1990000_1211118</v>
      </c>
      <c r="AB49" t="str">
        <f t="shared" si="81"/>
        <v>1990000_138306,1990000_276613,1990000_414920,1990000_553226,1990000_691533,1990000_829840,1990000_968146,1990000_1106453,1990000_1244760</v>
      </c>
      <c r="AC49" t="str">
        <f t="shared" si="81"/>
        <v>1990000_142044,1990000_284089,1990000_426134,1990000_568178,1990000_710223,1990000_852268,1990000_994313,1990000_1136357,1990000_1278402</v>
      </c>
      <c r="AD49" t="str">
        <f t="shared" si="81"/>
        <v>1990000_145782,1990000_291565,1990000_437348,1990000_583131,1990000_728913,1990000_874696,1990000_1020479,1990000_1166262,1990000_1312044</v>
      </c>
      <c r="AE49" t="str">
        <f t="shared" si="81"/>
        <v>1990000_149520,1990000_299041,1990000_448562,1990000_598083,1990000_747603,1990000_897124,1990000_1046645,1990000_1196166,1990000_1345687</v>
      </c>
      <c r="AF49" t="str">
        <f t="shared" si="81"/>
        <v>1990000_153258,1990000_306517,1990000_459776,1990000_613035,1990000_766294,1990000_919552,1990000_1072811,1990000_1226070,1990000_1379329</v>
      </c>
      <c r="AG49" t="str">
        <f t="shared" si="81"/>
        <v>1990000_156996,1990000_313993,1990000_470990,1990000_627987,1990000_784984,1990000_941980,1990000_1098977,1990000_1255974,1990000_1412971</v>
      </c>
      <c r="AH49" t="str">
        <f t="shared" si="81"/>
        <v>1990000_160734,1990000_321469,1990000_482204,1990000_642939,1990000_803674,1990000_964409,1990000_1125143,1990000_1285878,1990000_1446613</v>
      </c>
      <c r="AI49" t="str">
        <f t="shared" si="81"/>
        <v>1990000_164472,1990000_328945,1990000_493418,1990000_657891,1990000_822364,1990000_986837,1990000_1151310,1990000_1315782,1990000_1480255</v>
      </c>
      <c r="AJ49" t="str">
        <f t="shared" si="81"/>
        <v>1990000_168210,1990000_336421,1990000_504632,1990000_672843,1990000_841054,1990000_1009265,1990000_1177476,1990000_1345686,1990000_1513897</v>
      </c>
      <c r="AK49" t="str">
        <f t="shared" si="81"/>
        <v>1990000_171948,1990000_343897,1990000_515846,1990000_687795,1990000_859744,1990000_1031693,1990000_1203642,1990000_1375591,1990000_1547540</v>
      </c>
      <c r="AL49" t="str">
        <f t="shared" si="81"/>
        <v>1990000_175686,1990000_351373,1990000_527060,1990000_702747,1990000_878434,1990000_1054121,1990000_1229808,1990000_1405495,1990000_1581182</v>
      </c>
      <c r="AM49" t="str">
        <f t="shared" si="81"/>
        <v>1990000_179424,1990000_358849,1990000_538274,1990000_717699,1990000_897124,1990000_1076549,1990000_1255974,1990000_1435399,1990000_1614824</v>
      </c>
      <c r="AN49" t="str">
        <f t="shared" si="81"/>
        <v>1990000_183162,1990000_366325,1990000_549488,1990000_732651,1990000_915814,1990000_1098977,1990000_1282140,1990000_1465303,1990000_1648466</v>
      </c>
      <c r="AO49" t="str">
        <f t="shared" si="81"/>
        <v>1990000_186900,1990000_373801,1990000_560702,1990000_747603,1990000_934504,1990000_1121405,1990000_1308306,1990000_1495207,1990000_1682108</v>
      </c>
      <c r="AP49" t="str">
        <f t="shared" si="81"/>
        <v>1990000_190639,1990000_381278,1990000_571917,1990000_762556,1990000_953195,1990000_1143834,1990000_1334473,1990000_1525112,1990000_1715751</v>
      </c>
      <c r="AQ49" t="str">
        <f t="shared" si="81"/>
        <v>1990000_194377,1990000_388754,1990000_583131,1990000_777508,1990000_971885,1990000_1166262,1990000_1360639,1990000_1555016,1990000_1749393</v>
      </c>
    </row>
    <row r="50" spans="14:43">
      <c r="N50">
        <v>50</v>
      </c>
      <c r="O50">
        <f t="shared" si="70"/>
        <v>8410544</v>
      </c>
    </row>
    <row r="51" spans="14:43">
      <c r="N51">
        <v>51</v>
      </c>
      <c r="O51">
        <f t="shared" si="70"/>
        <v>8578755</v>
      </c>
    </row>
    <row r="52" spans="14:43">
      <c r="N52">
        <v>52</v>
      </c>
      <c r="O52">
        <f t="shared" si="70"/>
        <v>8746966</v>
      </c>
      <c r="S52">
        <f>INT($O$53/$R$15*R6)</f>
        <v>198115</v>
      </c>
      <c r="T52">
        <f>INT($O$54/$R$15*R6)</f>
        <v>201853</v>
      </c>
      <c r="U52">
        <f>INT($O$55/$R$15*R6)</f>
        <v>205591</v>
      </c>
      <c r="V52">
        <f>INT($O$56/$R$15*R6)</f>
        <v>209329</v>
      </c>
      <c r="W52">
        <f>INT($O$57/$R$15*R6)</f>
        <v>213067</v>
      </c>
      <c r="X52">
        <f>INT($O$58/$R$15*R6)</f>
        <v>216805</v>
      </c>
      <c r="Y52">
        <f>INT($O$59/$R$15*R6)</f>
        <v>220543</v>
      </c>
      <c r="Z52">
        <f>INT($O$60/$R$15*R6)</f>
        <v>224281</v>
      </c>
    </row>
    <row r="53" spans="14:43">
      <c r="N53">
        <v>53</v>
      </c>
      <c r="O53">
        <f t="shared" si="70"/>
        <v>8915177</v>
      </c>
      <c r="S53">
        <f t="shared" ref="S53:S60" si="82">INT($O$53/$R$15*R7)</f>
        <v>396230</v>
      </c>
      <c r="T53">
        <f t="shared" ref="T53:T60" si="83">INT($O$54/$R$15*R7)</f>
        <v>403706</v>
      </c>
      <c r="U53">
        <f t="shared" ref="U53:U60" si="84">INT($O$55/$R$15*R7)</f>
        <v>411182</v>
      </c>
      <c r="V53">
        <f t="shared" ref="V53:V60" si="85">INT($O$56/$R$15*R7)</f>
        <v>418658</v>
      </c>
      <c r="W53">
        <f t="shared" ref="W53:W60" si="86">INT($O$57/$R$15*R7)</f>
        <v>426134</v>
      </c>
      <c r="X53">
        <f t="shared" ref="X53:X60" si="87">INT($O$58/$R$15*R7)</f>
        <v>433610</v>
      </c>
      <c r="Y53">
        <f t="shared" ref="Y53:Y60" si="88">INT($O$59/$R$15*R7)</f>
        <v>441086</v>
      </c>
      <c r="Z53">
        <f t="shared" ref="Z53:Z60" si="89">INT($O$60/$R$15*R7)</f>
        <v>448562</v>
      </c>
    </row>
    <row r="54" spans="14:43">
      <c r="N54">
        <v>54</v>
      </c>
      <c r="O54">
        <f t="shared" si="70"/>
        <v>9083387</v>
      </c>
      <c r="S54">
        <f t="shared" si="82"/>
        <v>594345</v>
      </c>
      <c r="T54">
        <f t="shared" si="83"/>
        <v>605559</v>
      </c>
      <c r="U54">
        <f t="shared" si="84"/>
        <v>616773</v>
      </c>
      <c r="V54">
        <f t="shared" si="85"/>
        <v>627987</v>
      </c>
      <c r="W54">
        <f t="shared" si="86"/>
        <v>639201</v>
      </c>
      <c r="X54">
        <f t="shared" si="87"/>
        <v>650415</v>
      </c>
      <c r="Y54">
        <f t="shared" si="88"/>
        <v>661629</v>
      </c>
      <c r="Z54">
        <f t="shared" si="89"/>
        <v>672843</v>
      </c>
    </row>
    <row r="55" spans="14:43">
      <c r="N55">
        <v>55</v>
      </c>
      <c r="O55">
        <f t="shared" si="70"/>
        <v>9251598</v>
      </c>
      <c r="S55">
        <f t="shared" si="82"/>
        <v>792460</v>
      </c>
      <c r="T55">
        <f t="shared" si="83"/>
        <v>807412</v>
      </c>
      <c r="U55">
        <f t="shared" si="84"/>
        <v>822364</v>
      </c>
      <c r="V55">
        <f t="shared" si="85"/>
        <v>837316</v>
      </c>
      <c r="W55">
        <f t="shared" si="86"/>
        <v>852268</v>
      </c>
      <c r="X55">
        <f t="shared" si="87"/>
        <v>867220</v>
      </c>
      <c r="Y55">
        <f t="shared" si="88"/>
        <v>882172</v>
      </c>
      <c r="Z55">
        <f t="shared" si="89"/>
        <v>897124</v>
      </c>
    </row>
    <row r="56" spans="14:43">
      <c r="N56">
        <v>56</v>
      </c>
      <c r="O56">
        <f t="shared" si="70"/>
        <v>9419809</v>
      </c>
      <c r="S56">
        <f t="shared" si="82"/>
        <v>990575</v>
      </c>
      <c r="T56">
        <f t="shared" si="83"/>
        <v>1009265</v>
      </c>
      <c r="U56">
        <f t="shared" si="84"/>
        <v>1027955</v>
      </c>
      <c r="V56">
        <f t="shared" si="85"/>
        <v>1046645</v>
      </c>
      <c r="W56">
        <f t="shared" si="86"/>
        <v>1065335</v>
      </c>
      <c r="X56">
        <f t="shared" si="87"/>
        <v>1084025</v>
      </c>
      <c r="Y56">
        <f t="shared" si="88"/>
        <v>1102715</v>
      </c>
      <c r="Z56">
        <f t="shared" si="89"/>
        <v>1121405</v>
      </c>
    </row>
    <row r="57" spans="14:43">
      <c r="N57">
        <v>57</v>
      </c>
      <c r="O57">
        <f t="shared" si="70"/>
        <v>9588020</v>
      </c>
      <c r="S57">
        <f t="shared" si="82"/>
        <v>1188690</v>
      </c>
      <c r="T57">
        <f t="shared" si="83"/>
        <v>1211118</v>
      </c>
      <c r="U57">
        <f t="shared" si="84"/>
        <v>1233546</v>
      </c>
      <c r="V57">
        <f t="shared" si="85"/>
        <v>1255974</v>
      </c>
      <c r="W57">
        <f t="shared" si="86"/>
        <v>1278402</v>
      </c>
      <c r="X57">
        <f t="shared" si="87"/>
        <v>1300830</v>
      </c>
      <c r="Y57">
        <f t="shared" si="88"/>
        <v>1323258</v>
      </c>
      <c r="Z57">
        <f t="shared" si="89"/>
        <v>1345687</v>
      </c>
    </row>
    <row r="58" spans="14:43">
      <c r="N58">
        <v>58</v>
      </c>
      <c r="O58">
        <f t="shared" si="70"/>
        <v>9756231</v>
      </c>
      <c r="S58">
        <f t="shared" si="82"/>
        <v>1386805</v>
      </c>
      <c r="T58">
        <f t="shared" si="83"/>
        <v>1412971</v>
      </c>
      <c r="U58">
        <f t="shared" si="84"/>
        <v>1439137</v>
      </c>
      <c r="V58" s="3">
        <f t="shared" si="85"/>
        <v>1465303</v>
      </c>
      <c r="W58" s="3">
        <f t="shared" si="86"/>
        <v>1491469</v>
      </c>
      <c r="X58" s="3">
        <f t="shared" si="87"/>
        <v>1517635</v>
      </c>
      <c r="Y58">
        <f t="shared" si="88"/>
        <v>1543802</v>
      </c>
      <c r="Z58" s="3">
        <f t="shared" si="89"/>
        <v>1569968</v>
      </c>
    </row>
    <row r="59" spans="14:43">
      <c r="N59">
        <v>59</v>
      </c>
      <c r="O59">
        <f t="shared" si="70"/>
        <v>9924442</v>
      </c>
      <c r="S59">
        <f t="shared" si="82"/>
        <v>1584920</v>
      </c>
      <c r="T59">
        <f t="shared" si="83"/>
        <v>1614824</v>
      </c>
      <c r="U59">
        <f t="shared" si="84"/>
        <v>1644728</v>
      </c>
      <c r="V59">
        <f t="shared" si="85"/>
        <v>1674632</v>
      </c>
      <c r="W59">
        <f t="shared" si="86"/>
        <v>1704536</v>
      </c>
      <c r="X59">
        <f t="shared" si="87"/>
        <v>1734441</v>
      </c>
      <c r="Y59">
        <f t="shared" si="88"/>
        <v>1764345</v>
      </c>
      <c r="Z59">
        <f t="shared" si="89"/>
        <v>1794249</v>
      </c>
    </row>
    <row r="60" spans="14:43">
      <c r="N60">
        <v>60</v>
      </c>
      <c r="O60">
        <f t="shared" si="70"/>
        <v>10092653</v>
      </c>
      <c r="S60">
        <f t="shared" si="82"/>
        <v>1783035</v>
      </c>
      <c r="T60">
        <f t="shared" si="83"/>
        <v>1816677</v>
      </c>
      <c r="U60">
        <f t="shared" si="84"/>
        <v>1850319</v>
      </c>
      <c r="V60">
        <f t="shared" si="85"/>
        <v>1883961</v>
      </c>
      <c r="W60">
        <f t="shared" si="86"/>
        <v>1917604</v>
      </c>
      <c r="X60">
        <f t="shared" si="87"/>
        <v>1951246</v>
      </c>
      <c r="Y60">
        <f t="shared" si="88"/>
        <v>1984888</v>
      </c>
      <c r="Z60">
        <f t="shared" si="89"/>
        <v>2018530</v>
      </c>
    </row>
    <row r="61" spans="14:43">
      <c r="N61">
        <f>SUM(N1:N60)</f>
        <v>1830</v>
      </c>
      <c r="S61" t="str">
        <f>_xlfn.TEXTJOIN("_",TRUE,$A$6,S52)</f>
        <v>1990000_198115</v>
      </c>
      <c r="T61" t="str">
        <f t="shared" ref="T61:Z61" si="90">_xlfn.TEXTJOIN("_",TRUE,$A$6,T52)</f>
        <v>1990000_201853</v>
      </c>
      <c r="U61" t="str">
        <f t="shared" si="90"/>
        <v>1990000_205591</v>
      </c>
      <c r="V61" t="str">
        <f t="shared" si="90"/>
        <v>1990000_209329</v>
      </c>
      <c r="W61" t="str">
        <f t="shared" si="90"/>
        <v>1990000_213067</v>
      </c>
      <c r="X61" t="str">
        <f t="shared" si="90"/>
        <v>1990000_216805</v>
      </c>
      <c r="Y61" t="str">
        <f t="shared" si="90"/>
        <v>1990000_220543</v>
      </c>
      <c r="Z61" t="str">
        <f t="shared" si="90"/>
        <v>1990000_224281</v>
      </c>
    </row>
    <row r="62" spans="14:43">
      <c r="S62" t="str">
        <f t="shared" ref="S62:S69" si="91">_xlfn.TEXTJOIN("_",TRUE,$A$6,S53)</f>
        <v>1990000_396230</v>
      </c>
      <c r="T62" t="str">
        <f t="shared" ref="T62:Z62" si="92">_xlfn.TEXTJOIN("_",TRUE,$A$6,T53)</f>
        <v>1990000_403706</v>
      </c>
      <c r="U62" t="str">
        <f t="shared" si="92"/>
        <v>1990000_411182</v>
      </c>
      <c r="V62" t="str">
        <f t="shared" si="92"/>
        <v>1990000_418658</v>
      </c>
      <c r="W62" t="str">
        <f t="shared" si="92"/>
        <v>1990000_426134</v>
      </c>
      <c r="X62" t="str">
        <f t="shared" si="92"/>
        <v>1990000_433610</v>
      </c>
      <c r="Y62" t="str">
        <f t="shared" si="92"/>
        <v>1990000_441086</v>
      </c>
      <c r="Z62" t="str">
        <f t="shared" si="92"/>
        <v>1990000_448562</v>
      </c>
    </row>
    <row r="63" spans="14:43">
      <c r="S63" t="str">
        <f t="shared" si="91"/>
        <v>1990000_594345</v>
      </c>
      <c r="T63" t="str">
        <f t="shared" ref="T63:Z63" si="93">_xlfn.TEXTJOIN("_",TRUE,$A$6,T54)</f>
        <v>1990000_605559</v>
      </c>
      <c r="U63" t="str">
        <f t="shared" si="93"/>
        <v>1990000_616773</v>
      </c>
      <c r="V63" t="str">
        <f t="shared" si="93"/>
        <v>1990000_627987</v>
      </c>
      <c r="W63" t="str">
        <f t="shared" si="93"/>
        <v>1990000_639201</v>
      </c>
      <c r="X63" t="str">
        <f t="shared" si="93"/>
        <v>1990000_650415</v>
      </c>
      <c r="Y63" t="str">
        <f t="shared" si="93"/>
        <v>1990000_661629</v>
      </c>
      <c r="Z63" t="str">
        <f t="shared" si="93"/>
        <v>1990000_672843</v>
      </c>
    </row>
    <row r="64" spans="14:43">
      <c r="S64" t="str">
        <f t="shared" si="91"/>
        <v>1990000_792460</v>
      </c>
      <c r="T64" t="str">
        <f t="shared" ref="T64:Z64" si="94">_xlfn.TEXTJOIN("_",TRUE,$A$6,T55)</f>
        <v>1990000_807412</v>
      </c>
      <c r="U64" t="str">
        <f t="shared" si="94"/>
        <v>1990000_822364</v>
      </c>
      <c r="V64" t="str">
        <f t="shared" si="94"/>
        <v>1990000_837316</v>
      </c>
      <c r="W64" t="str">
        <f t="shared" si="94"/>
        <v>1990000_852268</v>
      </c>
      <c r="X64" t="str">
        <f t="shared" si="94"/>
        <v>1990000_867220</v>
      </c>
      <c r="Y64" t="str">
        <f t="shared" si="94"/>
        <v>1990000_882172</v>
      </c>
      <c r="Z64" t="str">
        <f t="shared" si="94"/>
        <v>1990000_897124</v>
      </c>
    </row>
    <row r="65" spans="19:26">
      <c r="S65" t="str">
        <f t="shared" si="91"/>
        <v>1990000_990575</v>
      </c>
      <c r="T65" t="str">
        <f t="shared" ref="T65:Z65" si="95">_xlfn.TEXTJOIN("_",TRUE,$A$6,T56)</f>
        <v>1990000_1009265</v>
      </c>
      <c r="U65" t="str">
        <f t="shared" si="95"/>
        <v>1990000_1027955</v>
      </c>
      <c r="V65" t="str">
        <f t="shared" si="95"/>
        <v>1990000_1046645</v>
      </c>
      <c r="W65" t="str">
        <f t="shared" si="95"/>
        <v>1990000_1065335</v>
      </c>
      <c r="X65" t="str">
        <f t="shared" si="95"/>
        <v>1990000_1084025</v>
      </c>
      <c r="Y65" t="str">
        <f t="shared" si="95"/>
        <v>1990000_1102715</v>
      </c>
      <c r="Z65" t="str">
        <f t="shared" si="95"/>
        <v>1990000_1121405</v>
      </c>
    </row>
    <row r="66" spans="19:26">
      <c r="S66" t="str">
        <f t="shared" si="91"/>
        <v>1990000_1188690</v>
      </c>
      <c r="T66" t="str">
        <f t="shared" ref="T66:Z66" si="96">_xlfn.TEXTJOIN("_",TRUE,$A$6,T57)</f>
        <v>1990000_1211118</v>
      </c>
      <c r="U66" t="str">
        <f t="shared" si="96"/>
        <v>1990000_1233546</v>
      </c>
      <c r="V66" t="str">
        <f t="shared" si="96"/>
        <v>1990000_1255974</v>
      </c>
      <c r="W66" t="str">
        <f t="shared" si="96"/>
        <v>1990000_1278402</v>
      </c>
      <c r="X66" t="str">
        <f t="shared" si="96"/>
        <v>1990000_1300830</v>
      </c>
      <c r="Y66" t="str">
        <f t="shared" si="96"/>
        <v>1990000_1323258</v>
      </c>
      <c r="Z66" t="str">
        <f t="shared" si="96"/>
        <v>1990000_1345687</v>
      </c>
    </row>
    <row r="67" spans="19:26">
      <c r="S67" t="str">
        <f t="shared" si="91"/>
        <v>1990000_1386805</v>
      </c>
      <c r="T67" t="str">
        <f t="shared" ref="T67:Z67" si="97">_xlfn.TEXTJOIN("_",TRUE,$A$6,T58)</f>
        <v>1990000_1412971</v>
      </c>
      <c r="U67" t="str">
        <f t="shared" si="97"/>
        <v>1990000_1439137</v>
      </c>
      <c r="V67" t="str">
        <f t="shared" si="97"/>
        <v>1990000_1465303</v>
      </c>
      <c r="W67" t="str">
        <f t="shared" si="97"/>
        <v>1990000_1491469</v>
      </c>
      <c r="X67" t="str">
        <f t="shared" si="97"/>
        <v>1990000_1517635</v>
      </c>
      <c r="Y67" t="str">
        <f t="shared" si="97"/>
        <v>1990000_1543802</v>
      </c>
      <c r="Z67" t="str">
        <f t="shared" si="97"/>
        <v>1990000_1569968</v>
      </c>
    </row>
    <row r="68" spans="19:26">
      <c r="S68" t="str">
        <f t="shared" si="91"/>
        <v>1990000_1584920</v>
      </c>
      <c r="T68" t="str">
        <f t="shared" ref="T68:Z68" si="98">_xlfn.TEXTJOIN("_",TRUE,$A$6,T59)</f>
        <v>1990000_1614824</v>
      </c>
      <c r="U68" t="str">
        <f t="shared" si="98"/>
        <v>1990000_1644728</v>
      </c>
      <c r="V68" t="str">
        <f t="shared" si="98"/>
        <v>1990000_1674632</v>
      </c>
      <c r="W68" t="str">
        <f t="shared" si="98"/>
        <v>1990000_1704536</v>
      </c>
      <c r="X68" t="str">
        <f t="shared" si="98"/>
        <v>1990000_1734441</v>
      </c>
      <c r="Y68" t="str">
        <f t="shared" si="98"/>
        <v>1990000_1764345</v>
      </c>
      <c r="Z68" t="str">
        <f t="shared" si="98"/>
        <v>1990000_1794249</v>
      </c>
    </row>
    <row r="69" spans="19:26">
      <c r="S69" t="str">
        <f t="shared" si="91"/>
        <v>1990000_1783035</v>
      </c>
      <c r="T69" t="str">
        <f t="shared" ref="T69:Z69" si="99">_xlfn.TEXTJOIN("_",TRUE,$A$6,T60)</f>
        <v>1990000_1816677</v>
      </c>
      <c r="U69" t="str">
        <f t="shared" si="99"/>
        <v>1990000_1850319</v>
      </c>
      <c r="V69" t="str">
        <f t="shared" si="99"/>
        <v>1990000_1883961</v>
      </c>
      <c r="W69" t="str">
        <f t="shared" si="99"/>
        <v>1990000_1917604</v>
      </c>
      <c r="X69" t="str">
        <f t="shared" si="99"/>
        <v>1990000_1951246</v>
      </c>
      <c r="Y69" t="str">
        <f t="shared" si="99"/>
        <v>1990000_1984888</v>
      </c>
      <c r="Z69" t="str">
        <f t="shared" si="99"/>
        <v>1990000_2018530</v>
      </c>
    </row>
    <row r="71" spans="19:26">
      <c r="S71" t="str">
        <f>_xlfn.TEXTJOIN(",",TRUE,S61:S69)</f>
        <v>1990000_198115,1990000_396230,1990000_594345,1990000_792460,1990000_990575,1990000_1188690,1990000_1386805,1990000_1584920,1990000_1783035</v>
      </c>
      <c r="T71" t="str">
        <f>_xlfn.TEXTJOIN(",",TRUE,T61:T69)</f>
        <v>1990000_201853,1990000_403706,1990000_605559,1990000_807412,1990000_1009265,1990000_1211118,1990000_1412971,1990000_1614824,1990000_1816677</v>
      </c>
      <c r="U71" t="str">
        <f t="shared" ref="T71:Z71" si="100">_xlfn.TEXTJOIN(",",TRUE,U61:U69)</f>
        <v>1990000_205591,1990000_411182,1990000_616773,1990000_822364,1990000_1027955,1990000_1233546,1990000_1439137,1990000_1644728,1990000_1850319</v>
      </c>
      <c r="V71" t="str">
        <f t="shared" si="100"/>
        <v>1990000_209329,1990000_418658,1990000_627987,1990000_837316,1990000_1046645,1990000_1255974,1990000_1465303,1990000_1674632,1990000_1883961</v>
      </c>
      <c r="W71" t="str">
        <f t="shared" si="100"/>
        <v>1990000_213067,1990000_426134,1990000_639201,1990000_852268,1990000_1065335,1990000_1278402,1990000_1491469,1990000_1704536,1990000_1917604</v>
      </c>
      <c r="X71" t="str">
        <f t="shared" si="100"/>
        <v>1990000_216805,1990000_433610,1990000_650415,1990000_867220,1990000_1084025,1990000_1300830,1990000_1517635,1990000_1734441,1990000_1951246</v>
      </c>
      <c r="Y71" t="str">
        <f t="shared" si="100"/>
        <v>1990000_220543,1990000_441086,1990000_661629,1990000_882172,1990000_1102715,1990000_1323258,1990000_1543802,1990000_1764345,1990000_1984888</v>
      </c>
      <c r="Z71" t="str">
        <f t="shared" si="100"/>
        <v>1990000_224281,1990000_448562,1990000_672843,1990000_897124,1990000_1121405,1990000_1345687,1990000_1569968,1990000_1794249,1990000_2018530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1"/>
  <sheetViews>
    <sheetView workbookViewId="0">
      <selection activeCell="G29" sqref="G29"/>
    </sheetView>
  </sheetViews>
  <sheetFormatPr defaultColWidth="9" defaultRowHeight="13.5"/>
  <sheetData>
    <row r="1" spans="1:27">
      <c r="A1" t="s">
        <v>783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  <c r="K1" t="s">
        <v>793</v>
      </c>
      <c r="L1" t="s">
        <v>794</v>
      </c>
      <c r="M1" t="s">
        <v>795</v>
      </c>
      <c r="N1" t="s">
        <v>796</v>
      </c>
      <c r="O1" t="s">
        <v>797</v>
      </c>
      <c r="P1" t="s">
        <v>798</v>
      </c>
      <c r="Q1" t="s">
        <v>799</v>
      </c>
      <c r="R1" t="s">
        <v>800</v>
      </c>
      <c r="S1" t="s">
        <v>801</v>
      </c>
      <c r="T1" t="s">
        <v>802</v>
      </c>
      <c r="U1" t="s">
        <v>803</v>
      </c>
      <c r="V1" t="s">
        <v>804</v>
      </c>
      <c r="W1" t="s">
        <v>805</v>
      </c>
      <c r="X1" t="s">
        <v>806</v>
      </c>
      <c r="Y1" t="s">
        <v>807</v>
      </c>
      <c r="Z1" t="s">
        <v>808</v>
      </c>
      <c r="AA1" t="s">
        <v>809</v>
      </c>
    </row>
    <row r="2" spans="1:27">
      <c r="A2" t="s">
        <v>810</v>
      </c>
      <c r="B2" t="s">
        <v>811</v>
      </c>
      <c r="C2" t="s">
        <v>812</v>
      </c>
      <c r="D2" t="s">
        <v>813</v>
      </c>
      <c r="E2" t="s">
        <v>814</v>
      </c>
      <c r="F2" t="s">
        <v>815</v>
      </c>
      <c r="G2" t="s">
        <v>816</v>
      </c>
      <c r="H2" t="s">
        <v>817</v>
      </c>
      <c r="I2" t="s">
        <v>818</v>
      </c>
      <c r="J2" t="s">
        <v>819</v>
      </c>
      <c r="K2" t="s">
        <v>820</v>
      </c>
      <c r="L2" t="s">
        <v>821</v>
      </c>
      <c r="M2" t="s">
        <v>822</v>
      </c>
      <c r="N2" t="s">
        <v>823</v>
      </c>
      <c r="O2" t="s">
        <v>824</v>
      </c>
      <c r="P2" t="s">
        <v>825</v>
      </c>
      <c r="Q2" t="s">
        <v>826</v>
      </c>
      <c r="R2" t="s">
        <v>827</v>
      </c>
      <c r="S2" t="s">
        <v>828</v>
      </c>
      <c r="T2" t="s">
        <v>829</v>
      </c>
      <c r="U2" t="s">
        <v>830</v>
      </c>
      <c r="V2" t="s">
        <v>831</v>
      </c>
      <c r="W2" t="s">
        <v>832</v>
      </c>
      <c r="X2" t="s">
        <v>833</v>
      </c>
      <c r="Y2" t="s">
        <v>834</v>
      </c>
    </row>
    <row r="3" spans="1:27">
      <c r="A3" t="s">
        <v>835</v>
      </c>
      <c r="B3" t="s">
        <v>836</v>
      </c>
      <c r="C3" t="s">
        <v>837</v>
      </c>
      <c r="D3" t="s">
        <v>838</v>
      </c>
      <c r="E3" t="s">
        <v>839</v>
      </c>
      <c r="F3" t="s">
        <v>840</v>
      </c>
      <c r="G3" t="s">
        <v>841</v>
      </c>
      <c r="H3" t="s">
        <v>842</v>
      </c>
    </row>
    <row r="12" spans="1:27">
      <c r="I12" t="s">
        <v>783</v>
      </c>
    </row>
    <row r="13" spans="1:27">
      <c r="I13" t="s">
        <v>784</v>
      </c>
    </row>
    <row r="14" spans="1:27">
      <c r="I14" t="s">
        <v>785</v>
      </c>
    </row>
    <row r="15" spans="1:27">
      <c r="I15" t="s">
        <v>786</v>
      </c>
    </row>
    <row r="16" spans="1:27">
      <c r="I16" t="s">
        <v>787</v>
      </c>
    </row>
    <row r="17" spans="9:9">
      <c r="I17" t="s">
        <v>788</v>
      </c>
    </row>
    <row r="18" spans="9:9">
      <c r="I18" t="s">
        <v>789</v>
      </c>
    </row>
    <row r="19" spans="9:9">
      <c r="I19" t="s">
        <v>790</v>
      </c>
    </row>
    <row r="20" spans="9:9">
      <c r="I20" t="s">
        <v>791</v>
      </c>
    </row>
    <row r="21" spans="9:9">
      <c r="I21" t="s">
        <v>792</v>
      </c>
    </row>
    <row r="22" spans="9:9">
      <c r="I22" t="s">
        <v>793</v>
      </c>
    </row>
    <row r="23" spans="9:9">
      <c r="I23" t="s">
        <v>794</v>
      </c>
    </row>
    <row r="24" spans="9:9">
      <c r="I24" t="s">
        <v>795</v>
      </c>
    </row>
    <row r="25" spans="9:9">
      <c r="I25" t="s">
        <v>796</v>
      </c>
    </row>
    <row r="26" spans="9:9">
      <c r="I26" t="s">
        <v>797</v>
      </c>
    </row>
    <row r="27" spans="9:9">
      <c r="I27" t="s">
        <v>798</v>
      </c>
    </row>
    <row r="28" spans="9:9">
      <c r="I28" t="s">
        <v>799</v>
      </c>
    </row>
    <row r="29" spans="9:9">
      <c r="I29" t="s">
        <v>800</v>
      </c>
    </row>
    <row r="30" spans="9:9">
      <c r="I30" t="s">
        <v>801</v>
      </c>
    </row>
    <row r="31" spans="9:9">
      <c r="I31" t="s">
        <v>802</v>
      </c>
    </row>
    <row r="32" spans="9:9">
      <c r="I32" t="s">
        <v>803</v>
      </c>
    </row>
    <row r="33" spans="9:9">
      <c r="I33" t="s">
        <v>804</v>
      </c>
    </row>
    <row r="34" spans="9:9">
      <c r="I34" t="s">
        <v>805</v>
      </c>
    </row>
    <row r="35" spans="9:9">
      <c r="I35" t="s">
        <v>806</v>
      </c>
    </row>
    <row r="36" spans="9:9">
      <c r="I36" t="s">
        <v>807</v>
      </c>
    </row>
    <row r="37" spans="9:9">
      <c r="I37" t="s">
        <v>808</v>
      </c>
    </row>
    <row r="38" spans="9:9">
      <c r="I38" t="s">
        <v>809</v>
      </c>
    </row>
    <row r="39" spans="9:9">
      <c r="I39" t="s">
        <v>810</v>
      </c>
    </row>
    <row r="40" spans="9:9">
      <c r="I40" t="s">
        <v>811</v>
      </c>
    </row>
    <row r="41" spans="9:9">
      <c r="I41" t="s">
        <v>812</v>
      </c>
    </row>
    <row r="42" spans="9:9">
      <c r="I42" t="s">
        <v>813</v>
      </c>
    </row>
    <row r="43" spans="9:9">
      <c r="I43" t="s">
        <v>814</v>
      </c>
    </row>
    <row r="44" spans="9:9">
      <c r="I44" t="s">
        <v>815</v>
      </c>
    </row>
    <row r="45" spans="9:9">
      <c r="I45" t="s">
        <v>816</v>
      </c>
    </row>
    <row r="46" spans="9:9">
      <c r="I46" t="s">
        <v>817</v>
      </c>
    </row>
    <row r="47" spans="9:9">
      <c r="I47" t="s">
        <v>818</v>
      </c>
    </row>
    <row r="48" spans="9:9">
      <c r="I48" t="s">
        <v>819</v>
      </c>
    </row>
    <row r="49" spans="9:9">
      <c r="I49" t="s">
        <v>820</v>
      </c>
    </row>
    <row r="50" spans="9:9">
      <c r="I50" t="s">
        <v>821</v>
      </c>
    </row>
    <row r="51" spans="9:9">
      <c r="I51" t="s">
        <v>822</v>
      </c>
    </row>
    <row r="52" spans="9:9">
      <c r="I52" t="s">
        <v>823</v>
      </c>
    </row>
    <row r="53" spans="9:9">
      <c r="I53" t="s">
        <v>824</v>
      </c>
    </row>
    <row r="54" spans="9:9">
      <c r="I54" t="s">
        <v>825</v>
      </c>
    </row>
    <row r="55" spans="9:9">
      <c r="I55" t="s">
        <v>826</v>
      </c>
    </row>
    <row r="56" spans="9:9">
      <c r="I56" t="s">
        <v>827</v>
      </c>
    </row>
    <row r="57" spans="9:9">
      <c r="I57" t="s">
        <v>828</v>
      </c>
    </row>
    <row r="58" spans="9:9">
      <c r="I58" t="s">
        <v>829</v>
      </c>
    </row>
    <row r="59" spans="9:9">
      <c r="I59" t="s">
        <v>830</v>
      </c>
    </row>
    <row r="60" spans="9:9">
      <c r="I60" t="s">
        <v>831</v>
      </c>
    </row>
    <row r="61" spans="9:9">
      <c r="I61" t="s">
        <v>832</v>
      </c>
    </row>
    <row r="62" spans="9:9">
      <c r="I62" t="s">
        <v>833</v>
      </c>
    </row>
    <row r="63" spans="9:9">
      <c r="I63" t="s">
        <v>834</v>
      </c>
    </row>
    <row r="64" spans="9:9">
      <c r="I64" t="s">
        <v>835</v>
      </c>
    </row>
    <row r="65" spans="9:9">
      <c r="I65" t="s">
        <v>836</v>
      </c>
    </row>
    <row r="66" spans="9:9">
      <c r="I66" t="s">
        <v>837</v>
      </c>
    </row>
    <row r="67" spans="9:9">
      <c r="I67" t="s">
        <v>838</v>
      </c>
    </row>
    <row r="68" spans="9:9">
      <c r="I68" t="s">
        <v>839</v>
      </c>
    </row>
    <row r="69" spans="9:9">
      <c r="I69" t="s">
        <v>840</v>
      </c>
    </row>
    <row r="70" spans="9:9">
      <c r="I70" t="s">
        <v>841</v>
      </c>
    </row>
    <row r="71" spans="9:9">
      <c r="I71" t="s">
        <v>842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6"/>
  <sheetViews>
    <sheetView workbookViewId="0">
      <selection activeCell="D9" sqref="D9:E16"/>
    </sheetView>
  </sheetViews>
  <sheetFormatPr defaultColWidth="9" defaultRowHeight="13.5" outlineLevelCol="4"/>
  <cols>
    <col min="2" max="2" width="10" customWidth="1"/>
    <col min="3" max="3" width="10.5" customWidth="1"/>
  </cols>
  <sheetData>
    <row r="1" spans="2:5">
      <c r="B1" t="s">
        <v>48</v>
      </c>
      <c r="C1" t="s">
        <v>843</v>
      </c>
      <c r="D1" s="1" t="s">
        <v>844</v>
      </c>
      <c r="E1" s="1" t="s">
        <v>845</v>
      </c>
    </row>
    <row r="2" spans="2:5">
      <c r="C2" s="1">
        <v>1</v>
      </c>
      <c r="D2">
        <v>-14.25</v>
      </c>
      <c r="E2">
        <v>-0.14</v>
      </c>
    </row>
    <row r="3" spans="2:5">
      <c r="C3" s="1">
        <v>2</v>
      </c>
      <c r="D3">
        <v>-16.59</v>
      </c>
      <c r="E3">
        <v>1.66</v>
      </c>
    </row>
    <row r="4" spans="2:5">
      <c r="C4" s="1">
        <v>3</v>
      </c>
      <c r="D4">
        <v>-17.62</v>
      </c>
      <c r="E4">
        <v>1.86</v>
      </c>
    </row>
    <row r="5" spans="2:5">
      <c r="C5" s="1">
        <v>4</v>
      </c>
      <c r="D5">
        <v>-20.31</v>
      </c>
      <c r="E5">
        <v>0.56</v>
      </c>
    </row>
    <row r="6" spans="2:5">
      <c r="C6" s="1">
        <v>5</v>
      </c>
      <c r="D6">
        <v>-21.54</v>
      </c>
      <c r="E6">
        <v>0.1</v>
      </c>
    </row>
    <row r="7" spans="2:5">
      <c r="C7" s="1">
        <v>6</v>
      </c>
      <c r="D7">
        <v>-24.48</v>
      </c>
      <c r="E7">
        <v>-1.37</v>
      </c>
    </row>
    <row r="8" spans="2:5">
      <c r="C8" s="1">
        <v>7</v>
      </c>
      <c r="D8">
        <v>-25.18</v>
      </c>
      <c r="E8">
        <v>-1.67</v>
      </c>
    </row>
    <row r="9" spans="2:5">
      <c r="C9" s="1">
        <v>8</v>
      </c>
      <c r="D9">
        <v>-25.73</v>
      </c>
      <c r="E9">
        <v>-2.9</v>
      </c>
    </row>
    <row r="10" spans="2:5">
      <c r="C10" s="1">
        <v>9</v>
      </c>
      <c r="D10">
        <v>-22.67</v>
      </c>
      <c r="E10">
        <v>-3.84</v>
      </c>
    </row>
    <row r="11" spans="2:5">
      <c r="C11" s="1">
        <v>10</v>
      </c>
      <c r="D11">
        <v>-19.76</v>
      </c>
      <c r="E11">
        <v>-2.25</v>
      </c>
    </row>
    <row r="12" spans="2:5">
      <c r="C12" s="1">
        <v>11</v>
      </c>
      <c r="D12">
        <v>-18.7</v>
      </c>
      <c r="E12">
        <v>-1.7</v>
      </c>
    </row>
    <row r="13" spans="2:5">
      <c r="C13" s="1">
        <v>12</v>
      </c>
      <c r="D13">
        <v>-15.85</v>
      </c>
      <c r="E13">
        <v>-0.3</v>
      </c>
    </row>
    <row r="14" spans="2:5">
      <c r="C14" s="1">
        <v>13</v>
      </c>
      <c r="D14">
        <v>-20.27</v>
      </c>
      <c r="E14">
        <v>-0.42</v>
      </c>
    </row>
    <row r="15" spans="2:5">
      <c r="C15" s="1">
        <v>14</v>
      </c>
      <c r="D15">
        <v>-23.84</v>
      </c>
      <c r="E15">
        <v>-2.36</v>
      </c>
    </row>
    <row r="16" spans="2:5">
      <c r="C16" s="1">
        <v>15</v>
      </c>
      <c r="D16">
        <v>-23.5</v>
      </c>
      <c r="E16">
        <v>-4.93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BuildingUpgradeTable</vt:lpstr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2026-05-26T08:58:00Z</dcterms:created>
  <dcterms:modified xsi:type="dcterms:W3CDTF">2026-09-15T07:52:08Z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883EC4244DD04EF1B05470AF6E610802_13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