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<sst xmlns="http://schemas.openxmlformats.org/spreadsheetml/2006/main" count="1933" uniqueCount="857">
  <si>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</si>
  <si>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</si>
  <si>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</si>
  <si>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</si>
  <si>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</si>
  <si>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</si>
  <si>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</si>
  <si>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</si>
  <si>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</si>
  <si>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</si>
  <si>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</si>
  <si>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</si>
  <si>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</si>
  <si>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</si>
  <si>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</si>
  <si>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</si>
  <si>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</si>
  <si>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</si>
  <si>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</si>
  <si>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</si>
  <si>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</si>
  <si>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</si>
  <si>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</si>
  <si>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</si>
  <si>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</si>
  <si>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</si>
  <si>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</si>
  <si>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</si>
  <si>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</si>
  <si>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</si>
  <si>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</si>
  <si>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</si>
  <si>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</si>
  <si>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</si>
  <si>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</si>
  <si>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</si>
  <si>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</si>
  <si>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</si>
  <si>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</si>
  <si>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</si>
  <si>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</si>
  <si>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</si>
  <si>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</si>
  <si>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</si>
  <si>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</si>
  <si>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</si>
  <si>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</si>
  <si>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1022505_200</t>
  </si>
  <si>
    <t>1101106_1101101_1101107_1101109_1101113_1101114_1101115_1101116_1101101</t>
  </si>
  <si>
    <t>11011061_11011011_11011071_11011091_11011131_11011141_11011151_11011161_11011011</t>
  </si>
  <si>
    <t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t>
  </si>
  <si>
    <t>1990000_706,1990000_1412,1990000_2118,1990000_2824,1990000_3530,1990000_4236,1990000_4942,1990000_5648,1990000_6354</t>
  </si>
  <si>
    <t>1101407_1101408_1101409</t>
  </si>
  <si>
    <t>1024081_10</t>
  </si>
  <si>
    <t>1101111_1101112</t>
  </si>
  <si>
    <t>11011111_11011121</t>
  </si>
  <si>
    <t>1101263_1101265</t>
  </si>
  <si>
    <t>1990000_1412,1990000_2824,1990000_4236,1990000_5648,1990000_7060,1990000_8472,1990000_9885,1990000_11297,1990000_12709</t>
  </si>
  <si>
    <t>1101410_1101411_1101412</t>
  </si>
  <si>
    <t>1024081_15</t>
  </si>
  <si>
    <t>1101108_1101110</t>
  </si>
  <si>
    <t>11011081_11011101</t>
  </si>
  <si>
    <t>1990000_2118,1990000_4236,1990000_6354,1990000_8472,1990000_10591,1990000_12709,1990000_14827,1990000_16945,1990000_19064</t>
  </si>
  <si>
    <t>1024081_20</t>
  </si>
  <si>
    <t>10390001_1</t>
  </si>
  <si>
    <t>1990000_2824,1990000_5648,1990000_8472,1990000_11297,1990000_14121,1990000_16945,1990000_19770,1990000_22594,1990000_25418</t>
  </si>
  <si>
    <t>1024081_25</t>
  </si>
  <si>
    <t>1990000_3530,1990000_7060,1990000_10591,1990000_14121,1990000_17651,1990000_21182,1990000_24712,1990000_28243,1990000_31773</t>
  </si>
  <si>
    <t>1024081_30</t>
  </si>
  <si>
    <t>1990000_4236,1990000_8472,1990000_12709,1990000_16945,1990000_21182,1990000_25418,1990000_29655,1990000_33891,1990000_38128</t>
  </si>
  <si>
    <t>1024081_35</t>
  </si>
  <si>
    <t>1990000_4942,1990000_9885,1990000_14827,1990000_19770,1990000_24712,1990000_29655,1990000_34597,1990000_39540,1990000_44483</t>
  </si>
  <si>
    <t>1024081_40</t>
  </si>
  <si>
    <t>10390001_2</t>
  </si>
  <si>
    <t>1990000_5648,1990000_11297,1990000_16945,1990000_22594,1990000_28243,1990000_33891,1990000_39540,1990000_45188,1990000_50837</t>
  </si>
  <si>
    <t>1024081_45</t>
  </si>
  <si>
    <t>1990000_6354,1990000_12709,1990000_19064,1990000_25418,1990000_31773,1990000_38128,1990000_44482,1990000_50837,1990000_57192</t>
  </si>
  <si>
    <t>1024081_50</t>
  </si>
  <si>
    <t>1990000_7060,1990000_14121,1990000_21182,1990000_28243,1990000_35303,1990000_42364,1990000_49425,1990000_56486,1990000_63547</t>
  </si>
  <si>
    <t>1024081_55</t>
  </si>
  <si>
    <t>10390001_3</t>
  </si>
  <si>
    <t>1990000_8472,1990000_16945,1990000_25418,1990000_33891,1990000_42364,1990000_50837,1990000_59310,1990000_67783,1990000_76256</t>
  </si>
  <si>
    <t>1024081_60</t>
  </si>
  <si>
    <t>1990000_9885,1990000_19770,1990000_29655,1990000_39540,1990000_49425,1990000_59310,1990000_69195,1990000_79080,1990000_88966</t>
  </si>
  <si>
    <t>1024081_65</t>
  </si>
  <si>
    <t>1990000_11297,1990000_22594,1990000_33891,1990000_45189,1990000_56486,1990000_67783,1990000_79080,1990000_90378,1990000_101675</t>
  </si>
  <si>
    <t>1024081_70</t>
  </si>
  <si>
    <t>1990000_12709,1990000_25418,1990000_38128,1990000_50837,1990000_63547,1990000_76256,1990000_88965,1990000_101675,1990000_114384</t>
  </si>
  <si>
    <t>1024081_75</t>
  </si>
  <si>
    <t>1990000_14121,1990000_28243,1990000_42364,1990000_56486,1990000_70607,1990000_84729,1990000_98851,1990000_112972,1990000_127094</t>
  </si>
  <si>
    <t>1024081_80</t>
  </si>
  <si>
    <t>1990000_15533,1990000_31067,1990000_46601,1990000_62134,1990000_77668,1990000_93202,1990000_108736,1990000_124269,1990000_139803</t>
  </si>
  <si>
    <t>1024081_85</t>
  </si>
  <si>
    <t>1990000_16945,1990000_33891,1990000_50837,1990000_67783,1990000_84729,1990000_101675,1990000_118621,1990000_135567,1990000_152513</t>
  </si>
  <si>
    <t>1024081_90</t>
  </si>
  <si>
    <t>1990000_18358,1990000_36716,1990000_55074,1990000_73432,1990000_91790,1990000_110148,1990000_128506,1990000_146864,1990000_165222</t>
  </si>
  <si>
    <t>1024081_95</t>
  </si>
  <si>
    <t>1990000_19770,1990000_39540,1990000_59310,1990000_79080,1990000_98851,1990000_118621,1990000_138391,1990000_158161,1990000_177932</t>
  </si>
  <si>
    <t>1024081_100</t>
  </si>
  <si>
    <t>1990000_21182,1990000_42364,1990000_63547,1990000_84729,1990000_105911,1990000_127094,1990000_148276,1990000_169459,1990000_190641</t>
  </si>
  <si>
    <t>贵宾厅</t>
  </si>
  <si>
    <t>象财神</t>
  </si>
  <si>
    <t>1102401_1102402_1102403_1102404_1102405_1102406</t>
  </si>
  <si>
    <t>1024083_5</t>
  </si>
  <si>
    <t>1022505_400</t>
  </si>
  <si>
    <t>1102101_1102102_1102104_1102105_1102109_1102110_1102111_1102113_1102114_1102116_1102117</t>
  </si>
  <si>
    <t>11021011_11021021_11021041_11021051_11021091_11021101_11021111_11021131_11021141_11021161_11021171</t>
  </si>
  <si>
    <t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t>
  </si>
  <si>
    <t>1990000_1767,1990000_3535,1990000_5303,1990000_7070,1990000_8838,1990000_10606,1990000_12373,1990000_14141,1990000_15909</t>
  </si>
  <si>
    <t>1102407_1102408_1102409</t>
  </si>
  <si>
    <t>1024083_10</t>
  </si>
  <si>
    <t>1102103_1102115</t>
  </si>
  <si>
    <t>11021031_11021151</t>
  </si>
  <si>
    <t>1102272_1102273</t>
  </si>
  <si>
    <t>1990000_3535,1990000_7070,1990000_10606,1990000_14141,1990000_17677,1990000_21212,1990000_24747,1990000_28283,1990000_31818</t>
  </si>
  <si>
    <t>1102410_1102411_1102412</t>
  </si>
  <si>
    <t>1024083_15</t>
  </si>
  <si>
    <t>1102107_1102108</t>
  </si>
  <si>
    <t>11021071_11021081</t>
  </si>
  <si>
    <t>1990000_5303,1990000_10606,1990000_15909,1990000_21212,1990000_26515,1990000_31818,1990000_37121,1990000_42425,1990000_47728</t>
  </si>
  <si>
    <t>1024083_20</t>
  </si>
  <si>
    <t>10270001_1</t>
  </si>
  <si>
    <t>1102287_1102288_1102289_1102290_1102291_1102292_1102294</t>
  </si>
  <si>
    <t>1990000_7070,1990000_14141,1990000_21212,1990000_28283,1990000_35354,1990000_42425,1990000_49495,1990000_56566,1990000_63637</t>
  </si>
  <si>
    <t>1024083_25</t>
  </si>
  <si>
    <t>1990000_8838,1990000_17677,1990000_26515,1990000_35354,1990000_44192,1990000_53031,1990000_61869,1990000_70708,1990000_79547</t>
  </si>
  <si>
    <t>1024083_30</t>
  </si>
  <si>
    <t>1990000_10606,1990000_21212,1990000_31818,1990000_42425,1990000_53031,1990000_63637,1990000_74244,1990000_84850,1990000_95456</t>
  </si>
  <si>
    <t>1024083_35</t>
  </si>
  <si>
    <t>1990000_12374,1990000_24748,1990000_37122,1990000_49496,1990000_61870,1990000_74244,1990000_86618,1990000_98992,1990000_111366</t>
  </si>
  <si>
    <t>1024083_40</t>
  </si>
  <si>
    <t>10270001_2</t>
  </si>
  <si>
    <t>1990000_14141,1990000_28283,1990000_42425,1990000_56566,1990000_70708,1990000_84850,1990000_98991,1990000_113133,1990000_127275</t>
  </si>
  <si>
    <t>1024083_45</t>
  </si>
  <si>
    <t>1990000_15909,1990000_31818,1990000_47728,1990000_63637,1990000_79547,1990000_95456,1990000_111365,1990000_127275,1990000_143184</t>
  </si>
  <si>
    <t>1024083_50</t>
  </si>
  <si>
    <t>1990000_17677,1990000_35354,1990000_53031,1990000_70708,1990000_88385,1990000_106062,1990000_123739,1990000_141417,1990000_159094</t>
  </si>
  <si>
    <t>1024083_55</t>
  </si>
  <si>
    <t>10270001_3</t>
  </si>
  <si>
    <t>1990000_21212,1990000_42425,1990000_63637,1990000_84850,1990000_106062,1990000_127275,1990000_148488,1990000_169700,1990000_190913</t>
  </si>
  <si>
    <t>1024083_60</t>
  </si>
  <si>
    <t>1990000_24748,1990000_49496,1990000_74244,1990000_98992,1990000_123740,1990000_148488,1990000_173236,1990000_197984,1990000_222732</t>
  </si>
  <si>
    <t>1024083_65</t>
  </si>
  <si>
    <t>1990000_28283,1990000_56566,1990000_84850,1990000_113133,1990000_141417,1990000_169700,1990000_197983,1990000_226267,1990000_254550</t>
  </si>
  <si>
    <t>1024083_70</t>
  </si>
  <si>
    <t>10270001_4</t>
  </si>
  <si>
    <t>1990000_31818,1990000_63637,1990000_95456,1990000_127275,1990000_159094,1990000_190913,1990000_222732,1990000_254550,1990000_286369</t>
  </si>
  <si>
    <t>1024083_75</t>
  </si>
  <si>
    <t>1990000_35354,1990000_70708,1990000_106062,1990000_141417,1990000_176771,1990000_212125,1990000_247480,1990000_282834,1990000_318188</t>
  </si>
  <si>
    <t>1024083_80</t>
  </si>
  <si>
    <t>1990000_38889,1990000_77779,1990000_116669,1990000_155558,1990000_194448,1990000_233338,1990000_272227,1990000_311117,1990000_350007</t>
  </si>
  <si>
    <t>1024083_85</t>
  </si>
  <si>
    <t>1990000_42425,1990000_84850,1990000_127275,1990000_169700,1990000_212125,1990000_254550,1990000_296976,1990000_339401,1990000_381826</t>
  </si>
  <si>
    <t>1024083_90</t>
  </si>
  <si>
    <t>1990000_45960,1990000_91921,1990000_137881,1990000_183842,1990000_229802,1990000_275763,1990000_321724,1990000_367684,1990000_413645</t>
  </si>
  <si>
    <t>1024083_95</t>
  </si>
  <si>
    <t>1990000_49496,1990000_98992,1990000_148488,1990000_197984,1990000_247480,1990000_296976,1990000_346472,1990000_395968,1990000_445464</t>
  </si>
  <si>
    <t>1024083_100</t>
  </si>
  <si>
    <t>1990000_53031,1990000_106062,1990000_159094,1990000_212125,1990000_265157,1990000_318188,1990000_371220,1990000_424251,1990000_477283</t>
  </si>
  <si>
    <t>辉煌厅</t>
  </si>
  <si>
    <t>超级明星</t>
  </si>
  <si>
    <t>1103401_1103402_1103403_1103404_1103405_1103406</t>
  </si>
  <si>
    <t>1024024_5</t>
  </si>
  <si>
    <t>1022505_2200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</si>
  <si>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</si>
  <si>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</si>
  <si>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</si>
  <si>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</si>
  <si>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</si>
  <si>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</si>
  <si>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</si>
  <si>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</si>
  <si>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</si>
  <si>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</si>
  <si>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</si>
  <si>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</si>
  <si>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</si>
  <si>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</si>
  <si>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</si>
  <si>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10030001_1</t>
  </si>
  <si>
    <t>1990000_1040950,1990000_2081900,1990000_3122850,1990000_4163800,1990000_5204750,1990000_6245700,1990000_7286650,1990000_8327600,1990000_9368550</t>
  </si>
  <si>
    <t>1024024_25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</si>
  <si>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</si>
  <si>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</si>
  <si>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</si>
  <si>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</si>
  <si>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1990000_1821662,1990000_3643325,1990000_5464987,1990000_7286650,1990000_9108312,1990000_10929975,1990000_12751637,1990000_14573300,1990000_16394962</t>
  </si>
  <si>
    <t>1024024_40</t>
  </si>
  <si>
    <t>10030001_2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</si>
  <si>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</si>
  <si>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</si>
  <si>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</si>
  <si>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</si>
  <si>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1990000_2602375,1990000_5204750,1990000_7807125,1990000_10409500,1990000_13011875,1990000_15614250,1990000_18216625,1990000_20819000,1990000_23421375</t>
  </si>
  <si>
    <t>1024024_55</t>
  </si>
  <si>
    <t>10030001_3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</si>
  <si>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</si>
  <si>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</si>
  <si>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</si>
  <si>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</si>
  <si>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1990000_3383087,1990000_6766175,1990000_10149262,1990000_13532350,1990000_16915437,1990000_20298525,1990000_23681613,1990000_27064700,1990000_30447788</t>
  </si>
  <si>
    <t>1024024_70</t>
  </si>
  <si>
    <t>10030001_4</t>
  </si>
  <si>
    <t>1990000_3643325,1990000_7286650,1990000_10929975,1990000_14573300,1990000_18216625,1990000_21859950,1990000_25503275,1990000_29146600,1990000_32789925</t>
  </si>
  <si>
    <t>1024024_75</t>
  </si>
  <si>
    <t>1990000_3903562,1990000_7807125,1990000_11710687,1990000_15614250,1990000_19517813,1990000_23421375,1990000_27324938,1990000_31228500,1990000_35132063</t>
  </si>
  <si>
    <t>1024024_80</t>
  </si>
  <si>
    <t>10030001_5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</si>
  <si>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</si>
  <si>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</si>
  <si>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</si>
  <si>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</si>
  <si>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10030001_6</t>
  </si>
  <si>
    <t>1990000_4684275,1990000_9368550,1990000_14052825,1990000_18737100,1990000_23421375,1990000_28105650,1990000_32789925,1990000_37474200,1990000_42158476</t>
  </si>
  <si>
    <t>1024024_95</t>
  </si>
  <si>
    <t>1990000_4944512,1990000_9889025,1990000_14833537,1990000_19778050,1990000_24722563,1990000_29667075,1990000_34611588,1990000_39556100,1990000_44500613</t>
  </si>
  <si>
    <t>1024024_100</t>
  </si>
  <si>
    <t>1990000_5204750,1990000_10409500,1990000_15614250,1990000_20819000,1990000_26023750,1990000_31228500,1990000_36433250,1990000_41638001,1990000_46842751</t>
  </si>
  <si>
    <t>鸿运厅</t>
  </si>
  <si>
    <t>财神来了</t>
  </si>
  <si>
    <t>1104401_1104402_1104403_1104404_1104405_1104406</t>
  </si>
  <si>
    <t>1024040_5</t>
  </si>
  <si>
    <t>1022505_2000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</si>
  <si>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</si>
  <si>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</si>
  <si>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</si>
  <si>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</si>
  <si>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</si>
  <si>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</si>
  <si>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</si>
  <si>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</si>
  <si>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</si>
  <si>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</si>
  <si>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</si>
  <si>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</si>
  <si>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</si>
  <si>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</si>
  <si>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</si>
  <si>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10120001_1</t>
  </si>
  <si>
    <t>1990000_503732,1990000_1007465,1990000_1511198,1990000_2014931,1990000_2518664,1990000_3022397,1990000_3526130,1990000_4029863,1990000_4533596</t>
  </si>
  <si>
    <t>1024040_25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</si>
  <si>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</si>
  <si>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</si>
  <si>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</si>
  <si>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</si>
  <si>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1990000_881532,1990000_1763065,1990000_2644597,1990000_3526130,1990000_4407663,1990000_5289195,1990000_6170728,1990000_7052260,1990000_7933793</t>
  </si>
  <si>
    <t>1024040_40</t>
  </si>
  <si>
    <t>10120001_2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</si>
  <si>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</si>
  <si>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</si>
  <si>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</si>
  <si>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</si>
  <si>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1990000_1259332,1990000_2518664,1990000_3777996,1990000_5037329,1990000_6296661,1990000_7555993,1990000_8815326,1990000_10074658,1990000_11333990</t>
  </si>
  <si>
    <t>1024040_55</t>
  </si>
  <si>
    <t>10120001_3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</si>
  <si>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</si>
  <si>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</si>
  <si>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</si>
  <si>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</si>
  <si>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</si>
  <si>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</si>
  <si>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10120001_4</t>
  </si>
  <si>
    <t>1990000_1763065,1990000_3526130,1990000_5289195,1990000_7052260,1990000_8815326,1990000_10578391,1990000_12341456,1990000_14104521,1990000_15867587</t>
  </si>
  <si>
    <t>1024040_75</t>
  </si>
  <si>
    <t>1990000_1888998,1990000_3777996,1990000_5666995,1990000_7555993,1990000_9444992,1990000_11333990,1990000_13222989,1990000_15111987,1990000_17000986</t>
  </si>
  <si>
    <t>1024040_80</t>
  </si>
  <si>
    <t>10120001_5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</si>
  <si>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</si>
  <si>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</si>
  <si>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</si>
  <si>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</si>
  <si>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10120001_6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</si>
  <si>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</si>
  <si>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</si>
  <si>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</si>
  <si>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</si>
  <si>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1990000_2518664,1990000_5037329,1990000_7555993,1990000_10074658,1990000_12593323,1990000_15111987,1990000_17630652,1990000_20149316,1990000_22667981</t>
  </si>
  <si>
    <t>尊享厅</t>
  </si>
  <si>
    <t>寒冰王座</t>
  </si>
  <si>
    <t>1105401_1105402_1105403_1105404_1105405_1105406</t>
  </si>
  <si>
    <t>1024077_5</t>
  </si>
  <si>
    <t>1022505_1800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</si>
  <si>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</si>
  <si>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</si>
  <si>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</si>
  <si>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</si>
  <si>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</si>
  <si>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</si>
  <si>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</si>
  <si>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</si>
  <si>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</si>
  <si>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</si>
  <si>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</si>
  <si>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</si>
  <si>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</si>
  <si>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</si>
  <si>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</si>
  <si>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10250001_1</t>
  </si>
  <si>
    <t>1990000_248728,1990000_497457,1990000_746185,1990000_994914,1990000_1243643,1990000_1492371,1990000_1741100,1990000_1989829,1990000_2238557</t>
  </si>
  <si>
    <t>1024077_25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</si>
  <si>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</si>
  <si>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</si>
  <si>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</si>
  <si>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</si>
  <si>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</si>
  <si>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</si>
  <si>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10250001_2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</si>
  <si>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</si>
  <si>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</si>
  <si>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</si>
  <si>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</si>
  <si>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1990000_621821,1990000_1243643,1990000_1865464,1990000_2487286,1990000_3109108,1990000_3730929,1990000_4352751,1990000_4974573,1990000_5596394</t>
  </si>
  <si>
    <t>1024077_55</t>
  </si>
  <si>
    <t>10250001_3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</si>
  <si>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</si>
  <si>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</si>
  <si>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</si>
  <si>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</si>
  <si>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</si>
  <si>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</si>
  <si>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10250001_4</t>
  </si>
  <si>
    <t>1990000_870550,1990000_1741100,1990000_2611650,1990000_3482201,1990000_4352751,1990000_5223301,1990000_6093852,1990000_6964402,1990000_7834952</t>
  </si>
  <si>
    <t>1024077_75</t>
  </si>
  <si>
    <t>1990000_932732,1990000_1865464,1990000_2798197,1990000_3730929,1990000_4663662,1990000_5596394,1990000_6529127,1990000_7461859,1990000_8394592</t>
  </si>
  <si>
    <t>1024077_80</t>
  </si>
  <si>
    <t>10250001_5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</si>
  <si>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</si>
  <si>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</si>
  <si>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</si>
  <si>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</si>
  <si>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10250001_6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</si>
  <si>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</si>
  <si>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</si>
  <si>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</si>
  <si>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</si>
  <si>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1990000_1243643,1990000_2487286,1990000_3730929,1990000_4974573,1990000_6218216,1990000_7461859,1990000_8705503,1990000_9949146,1990000_11192789</t>
  </si>
  <si>
    <t>至尊厅</t>
  </si>
  <si>
    <t>绿巨人</t>
  </si>
  <si>
    <t>1106401_1106402_1106403_1106404_1106405_1106406</t>
  </si>
  <si>
    <t>1024078_5</t>
  </si>
  <si>
    <t>1022505_1600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</si>
  <si>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</si>
  <si>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</si>
  <si>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</si>
  <si>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</si>
  <si>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</si>
  <si>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</si>
  <si>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</si>
  <si>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</si>
  <si>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</si>
  <si>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</si>
  <si>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</si>
  <si>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</si>
  <si>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</si>
  <si>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</si>
  <si>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</si>
  <si>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10310001_1</t>
  </si>
  <si>
    <t>1990000_137058,1990000_274116,1990000_411175,1990000_548233,1990000_685292,1990000_822350,1990000_959408,1990000_1096467,1990000_1233525</t>
  </si>
  <si>
    <t>1024078_25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</si>
  <si>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</si>
  <si>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</si>
  <si>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</si>
  <si>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</si>
  <si>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</si>
  <si>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</si>
  <si>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10310001_2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</si>
  <si>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</si>
  <si>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</si>
  <si>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</si>
  <si>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</si>
  <si>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1990000_342646,1990000_685292,1990000_1027938,1990000_1370584,1990000_1713230,1990000_2055876,1990000_2398522,1990000_2741168,1990000_3083814</t>
  </si>
  <si>
    <t>1024078_55</t>
  </si>
  <si>
    <t>10310001_3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</si>
  <si>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</si>
  <si>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</si>
  <si>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</si>
  <si>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</si>
  <si>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</si>
  <si>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</si>
  <si>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10310001_4</t>
  </si>
  <si>
    <t>1990000_479704,1990000_959409,1990000_1439113,1990000_1918818,1990000_2398522,1990000_2878227,1990000_3357931,1990000_3837636,1990000_4317340</t>
  </si>
  <si>
    <t>1024078_75</t>
  </si>
  <si>
    <t>1990000_513969,1990000_1027938,1990000_1541907,1990000_2055876,1990000_2569845,1990000_3083814,1990000_3597783,1990000_4111752,1990000_4625722</t>
  </si>
  <si>
    <t>1024078_80</t>
  </si>
  <si>
    <t>10310001_5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</si>
  <si>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</si>
  <si>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</si>
  <si>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</si>
  <si>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</si>
  <si>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10310001_6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</si>
  <si>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</si>
  <si>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</si>
  <si>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</si>
  <si>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</si>
  <si>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1990000_685292,1990000_1370584,1990000_2055876,1990000_2741168,1990000_3426460,1990000_4111752,1990000_4797045,1990000_5482337,1990000_6167629</t>
  </si>
  <si>
    <t>博弈扑克厅</t>
  </si>
  <si>
    <t>篮球巨星</t>
  </si>
  <si>
    <t>1107401_1107402_1107403_1107404_1107405</t>
  </si>
  <si>
    <t>1024076_5</t>
  </si>
  <si>
    <t>1022505_1400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</si>
  <si>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</si>
  <si>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</si>
  <si>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</si>
  <si>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</si>
  <si>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</si>
  <si>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</si>
  <si>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</si>
  <si>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</si>
  <si>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</si>
  <si>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</si>
  <si>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</si>
  <si>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</si>
  <si>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</si>
  <si>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</si>
  <si>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</si>
  <si>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10180001_1</t>
  </si>
  <si>
    <t>1990000_77370,1990000_154741,1990000_232112,1990000_309483,1990000_386854,1990000_464225,1990000_541596,1990000_618967,1990000_696338</t>
  </si>
  <si>
    <t>1024076_25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</si>
  <si>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</si>
  <si>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</si>
  <si>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</si>
  <si>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</si>
  <si>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</si>
  <si>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</si>
  <si>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10180001_2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</si>
  <si>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</si>
  <si>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</si>
  <si>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</si>
  <si>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</si>
  <si>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1990000_193427,1990000_386854,1990000_580282,1990000_773709,1990000_967137,1990000_1160564,1990000_1353992,1990000_1547419,1990000_1740847</t>
  </si>
  <si>
    <t>1024076_55</t>
  </si>
  <si>
    <t>10180001_3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</si>
  <si>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</si>
  <si>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</si>
  <si>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</si>
  <si>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</si>
  <si>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</si>
  <si>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</si>
  <si>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10180001_4</t>
  </si>
  <si>
    <t>1990000_270798,1990000_541596,1990000_812395,1990000_1083193,1990000_1353992,1990000_1624790,1990000_1895589,1990000_2166387,1990000_2437186</t>
  </si>
  <si>
    <t>1024076_75</t>
  </si>
  <si>
    <t>1990000_290141,1990000_580282,1990000_870423,1990000_1160564,1990000_1450706,1990000_1740847,1990000_2030988,1990000_2321129,1990000_2611270</t>
  </si>
  <si>
    <t>1024076_80</t>
  </si>
  <si>
    <t>10180001_5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</si>
  <si>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</si>
  <si>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</si>
  <si>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</si>
  <si>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</si>
  <si>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10180001_6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</si>
  <si>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</si>
  <si>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</si>
  <si>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</si>
  <si>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</si>
  <si>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1990000_386854,1990000_773709,1990000_1160564,1990000_1547419,1990000_1934274,1990000_2321129,1990000_2707984,1990000_3094839,1990000_3481694</t>
  </si>
  <si>
    <t>沙龙扑克厅</t>
  </si>
  <si>
    <t>宙斯VS哈迪斯</t>
  </si>
  <si>
    <t>1108401_1108402_1108403_1108404_1108405</t>
  </si>
  <si>
    <t>1024082_5</t>
  </si>
  <si>
    <t>1022505_2600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</si>
  <si>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</si>
  <si>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</si>
  <si>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</si>
  <si>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</si>
  <si>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</si>
  <si>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</si>
  <si>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</si>
  <si>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</si>
  <si>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</si>
  <si>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</si>
  <si>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</si>
  <si>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</si>
  <si>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</si>
  <si>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</si>
  <si>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</si>
  <si>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10200001_1</t>
  </si>
  <si>
    <t>1990000_4166834,1990000_8333669,1990000_12500504,1990000_16667338,1990000_20834173,1990000_25001008,1990000_29167843,1990000_33334677,1990000_37501512</t>
  </si>
  <si>
    <t>1024082_25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</si>
  <si>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</si>
  <si>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</si>
  <si>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</si>
  <si>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</si>
  <si>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</si>
  <si>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</si>
  <si>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10200001_2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</si>
  <si>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</si>
  <si>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</si>
  <si>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</si>
  <si>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</si>
  <si>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1990000_10417086,1990000_20834173,1990000_31251260,1990000_41668347,1990000_52085434,1990000_62502521,1990000_72919607,1990000_83336694,1990000_93753781</t>
  </si>
  <si>
    <t>1024082_55</t>
  </si>
  <si>
    <t>10200001_3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</si>
  <si>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</si>
  <si>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</si>
  <si>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</si>
  <si>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</si>
  <si>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</si>
  <si>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</si>
  <si>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10200001_4</t>
  </si>
  <si>
    <t>1990000_14583921,1990000_29167843,1990000_43751764,1990000_58335686,1990000_72919607,1990000_87503529,1990000_102087451,1990000_116671372,1990000_131255294</t>
  </si>
  <si>
    <t>1024082_75</t>
  </si>
  <si>
    <t>1990000_15625630,1990000_31251260,1990000_46876890,1990000_62502521,1990000_78128151,1990000_93753781,1990000_109379411,1990000_125005042,1990000_140630672</t>
  </si>
  <si>
    <t>1024082_80</t>
  </si>
  <si>
    <t>10200001_5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</si>
  <si>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</si>
  <si>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</si>
  <si>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</si>
  <si>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</si>
  <si>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10200001_6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</si>
  <si>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</si>
  <si>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</si>
  <si>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</si>
  <si>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</si>
  <si>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1990000_20834173,1990000_41668347,1990000_62502521,1990000_83336694,1990000_104170868,1990000_125005042,1990000_145839215,1990000_166673389,1990000_187507563</t>
  </si>
  <si>
    <t>精英扑克厅</t>
  </si>
  <si>
    <t>狼月</t>
  </si>
  <si>
    <t>1109401_1109402_1109403_1109404_1109405</t>
  </si>
  <si>
    <t>1024084_5</t>
  </si>
  <si>
    <t>1022505_2400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</si>
  <si>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</si>
  <si>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</si>
  <si>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</si>
  <si>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</si>
  <si>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</si>
  <si>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</si>
  <si>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</si>
  <si>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</si>
  <si>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</si>
  <si>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</si>
  <si>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</si>
  <si>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</si>
  <si>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</si>
  <si>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</si>
  <si>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</si>
  <si>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10150001_1</t>
  </si>
  <si>
    <t>1990000_2067248,1990000_4134497,1990000_6201746,1990000_8268995,1990000_10336244,1990000_12403493,1990000_14470742,1990000_16537991,1990000_18605240</t>
  </si>
  <si>
    <t>1024084_25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</si>
  <si>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</si>
  <si>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</si>
  <si>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</si>
  <si>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</si>
  <si>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</si>
  <si>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</si>
  <si>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10150001_2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</si>
  <si>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</si>
  <si>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</si>
  <si>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</si>
  <si>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</si>
  <si>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1990000_5168122,1990000_10336244,1990000_15504366,1990000_20672488,1990000_25840611,1990000_31008733,1990000_36176855,1990000_41344977,1990000_46513100</t>
  </si>
  <si>
    <t>1024084_55</t>
  </si>
  <si>
    <t>10150001_3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</si>
  <si>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</si>
  <si>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</si>
  <si>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</si>
  <si>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</si>
  <si>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</si>
  <si>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</si>
  <si>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10150001_4</t>
  </si>
  <si>
    <t>1990000_7235371,1990000_14470742,1990000_21706113,1990000_28941484,1990000_36176855,1990000_43412226,1990000_50647597,1990000_57882968,1990000_65118340</t>
  </si>
  <si>
    <t>1024084_75</t>
  </si>
  <si>
    <t>1990000_7752183,1990000_15504366,1990000_23256550,1990000_31008733,1990000_38760916,1990000_46513100,1990000_54265283,1990000_62017466,1990000_69769650</t>
  </si>
  <si>
    <t>1024084_80</t>
  </si>
  <si>
    <t>10150001_5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</si>
  <si>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</si>
  <si>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</si>
  <si>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</si>
  <si>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</si>
  <si>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10150001_6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</si>
  <si>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</si>
  <si>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</si>
  <si>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</si>
  <si>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</si>
  <si>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1990000_10336244,1990000_20672488,1990000_31008733,1990000_41344977,1990000_51681222,1990000_62017466,1990000_72353711,1990000_82689955,1990000_93026200</t>
  </si>
  <si>
    <t>欢乐捕鱼厅</t>
  </si>
  <si>
    <t>麻将胡了</t>
  </si>
  <si>
    <t>1110401_1110402_1110403_1110404_1110405</t>
  </si>
  <si>
    <t>1024030_5</t>
  </si>
  <si>
    <t>1022505_1200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</si>
  <si>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</si>
  <si>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</si>
  <si>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</si>
  <si>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</si>
  <si>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</si>
  <si>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</si>
  <si>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</si>
  <si>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</si>
  <si>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</si>
  <si>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</si>
  <si>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</si>
  <si>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</si>
  <si>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</si>
  <si>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</si>
  <si>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</si>
  <si>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10070001_1</t>
  </si>
  <si>
    <t>1990000_37298,1990000_74597,1990000_111896,1990000_149195,1990000_186494,1990000_223793,1990000_261092,1990000_298391,1990000_335690</t>
  </si>
  <si>
    <t>1024030_25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</si>
  <si>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</si>
  <si>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</si>
  <si>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</si>
  <si>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</si>
  <si>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</si>
  <si>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</si>
  <si>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10070001_2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</si>
  <si>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</si>
  <si>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</si>
  <si>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</si>
  <si>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</si>
  <si>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1990000_93247,1990000_186494,1990000_279741,1990000_372989,1990000_466236,1990000_559483,1990000_652731,1990000_745978,1990000_839225</t>
  </si>
  <si>
    <t>1024030_55</t>
  </si>
  <si>
    <t>10070001_3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</si>
  <si>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</si>
  <si>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</si>
  <si>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</si>
  <si>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</si>
  <si>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</si>
  <si>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</si>
  <si>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10070001_4</t>
  </si>
  <si>
    <t>1990000_130546,1990000_261092,1990000_391638,1990000_522184,1990000_652731,1990000_783277,1990000_913823,1990000_1044369,1990000_1174916</t>
  </si>
  <si>
    <t>1024030_75</t>
  </si>
  <si>
    <t>1990000_139870,1990000_279741,1990000_419612,1990000_559483,1990000_699354,1990000_839225,1990000_979096,1990000_1118967,1990000_1258838</t>
  </si>
  <si>
    <t>1024030_80</t>
  </si>
  <si>
    <t>10070001_5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</si>
  <si>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</si>
  <si>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</si>
  <si>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</si>
  <si>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</si>
  <si>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</si>
  <si>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</si>
  <si>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</si>
  <si>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</si>
  <si>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1990000_186494,1990000_372989,1990000_559483,1990000_745978,1990000_932473,1990000_1118967,1990000_1305462,1990000_1491957,1990000_1678451</t>
  </si>
  <si>
    <t>天际捕鱼厅</t>
  </si>
  <si>
    <t>雷神</t>
  </si>
  <si>
    <t>1111401_1111402_1111403_1111404_1111405</t>
  </si>
  <si>
    <t>1024079_5</t>
  </si>
  <si>
    <t>1022505_3000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</si>
  <si>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</si>
  <si>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</si>
  <si>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</si>
  <si>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</si>
  <si>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</si>
  <si>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</si>
  <si>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</si>
  <si>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</si>
  <si>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</si>
  <si>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</si>
  <si>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</si>
  <si>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</si>
  <si>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</si>
  <si>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</si>
  <si>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</si>
  <si>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10220001_1</t>
  </si>
  <si>
    <t>1990000_13467607,1990000_26935215,1990000_40402823,1990000_53870431,1990000_67338039,1990000_80805647,1990000_94273254,1990000_107740862,1990000_121208470</t>
  </si>
  <si>
    <t>1024079_25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</si>
  <si>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</si>
  <si>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</si>
  <si>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</si>
  <si>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</si>
  <si>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</si>
  <si>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</si>
  <si>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10220001_2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</si>
  <si>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</si>
  <si>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</si>
  <si>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</si>
  <si>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</si>
  <si>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1990000_33669019,1990000_67338039,1990000_101007058,1990000_134676078,1990000_168345098,1990000_202014117,1990000_235683137,1990000_269352156,1990000_303021176</t>
  </si>
  <si>
    <t>1024079_55</t>
  </si>
  <si>
    <t>10220001_3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</si>
  <si>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</si>
  <si>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</si>
  <si>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</si>
  <si>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</si>
  <si>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</si>
  <si>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</si>
  <si>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10220001_4</t>
  </si>
  <si>
    <t>1990000_47136627,1990000_94273254,1990000_141409882,1990000_188546509,1990000_235683137,1990000_282819764,1990000_329956392,1990000_377093019,1990000_424229647</t>
  </si>
  <si>
    <t>1024079_75</t>
  </si>
  <si>
    <t>1990000_50503529,1990000_101007058,1990000_151510588,1990000_202014117,1990000_252517647,1990000_303021176,1990000_353524705,1990000_404028235,1990000_454531764</t>
  </si>
  <si>
    <t>1024079_80</t>
  </si>
  <si>
    <t>10220001_5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</si>
  <si>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</si>
  <si>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</si>
  <si>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</si>
  <si>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</si>
  <si>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10220001_6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</si>
  <si>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</si>
  <si>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</si>
  <si>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</si>
  <si>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</si>
  <si>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1990000_67338039,1990000_134676078,1990000_202014117,1990000_269352156,1990000_336690196,1990000_404028235,1990000_471366274,1990000_538704313,1990000_606042353</t>
  </si>
  <si>
    <t>富豪捕鱼厅</t>
  </si>
  <si>
    <t>杰克船长</t>
  </si>
  <si>
    <t>1112401_1112402_1112403_1112404_1112405</t>
  </si>
  <si>
    <t>1024080_5</t>
  </si>
  <si>
    <t>1022505_2800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</si>
  <si>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</si>
  <si>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</si>
  <si>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</si>
  <si>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</si>
  <si>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</si>
  <si>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</si>
  <si>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</si>
  <si>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</si>
  <si>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</si>
  <si>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</si>
  <si>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</si>
  <si>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</si>
  <si>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</si>
  <si>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</si>
  <si>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</si>
  <si>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10210001_1</t>
  </si>
  <si>
    <t>1990000_5587101,1990000_11174203,1990000_16761305,1990000_22348406,1990000_27935508,1990000_33522610,1990000_39109711,1990000_44696813,1990000_50283915</t>
  </si>
  <si>
    <t>1024080_25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</si>
  <si>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</si>
  <si>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</si>
  <si>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</si>
  <si>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</si>
  <si>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</si>
  <si>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</si>
  <si>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10210001_2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</si>
  <si>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</si>
  <si>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</si>
  <si>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</si>
  <si>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</si>
  <si>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1990000_13967754,1990000_27935508,1990000_41903262,1990000_55871017,1990000_69838771,1990000_83806525,1990000_97774280,1990000_111742034,1990000_125709788</t>
  </si>
  <si>
    <t>1024080_55</t>
  </si>
  <si>
    <t>10210001_3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</si>
  <si>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</si>
  <si>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</si>
  <si>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</si>
  <si>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</si>
  <si>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</si>
  <si>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</si>
  <si>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10210001_4</t>
  </si>
  <si>
    <t>1990000_19554856,1990000_39109712,1990000_58664568,1990000_78219424,1990000_97774280,1990000_117329136,1990000_136883992,1990000_156438848,1990000_175993704</t>
  </si>
  <si>
    <t>1024080_75</t>
  </si>
  <si>
    <t>1990000_20951631,1990000_41903262,1990000_62854894,1990000_83806525,1990000_104758157,1990000_125709788,1990000_146661420,1990000_167613051,1990000_188564683</t>
  </si>
  <si>
    <t>1024080_80</t>
  </si>
  <si>
    <t>10210001_5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</si>
  <si>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</si>
  <si>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</si>
  <si>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</si>
  <si>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</si>
  <si>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10210001_6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</si>
  <si>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</si>
  <si>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</si>
  <si>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</si>
  <si>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</si>
  <si>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1990000_27935508,1990000_55871017,1990000_83806525,1990000_111742034,1990000_139677543,1990000_167613051,1990000_195548560,1990000_223484068,1990000_251419577</t>
  </si>
  <si>
    <t>VIP休息区</t>
  </si>
  <si>
    <t>1202401_1202402_1202403_1202404_1202405_1202406_1202407_1202408_1202409_1202410_1202411_1202412_1202413_1202414_1202415_1202416</t>
  </si>
  <si>
    <t>1980000_5</t>
  </si>
  <si>
    <t>1022505_800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</si>
  <si>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</si>
  <si>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</si>
  <si>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</si>
  <si>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</si>
  <si>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1202306_1202298_1202292_1202281</t>
  </si>
  <si>
    <t>1980000_15</t>
  </si>
  <si>
    <t>1980000_20</t>
  </si>
  <si>
    <t>1980000_25</t>
  </si>
  <si>
    <t>1980000_30</t>
  </si>
  <si>
    <t>1980000_35</t>
  </si>
  <si>
    <t>1980000_40</t>
  </si>
  <si>
    <t>1202300_1202259</t>
  </si>
  <si>
    <t>1980000_45</t>
  </si>
  <si>
    <t>1202286_1202284</t>
  </si>
  <si>
    <t>1980000_50</t>
  </si>
  <si>
    <t>1202302_1202303_1202304_1202305</t>
  </si>
  <si>
    <t>1980000_55</t>
  </si>
  <si>
    <t>1202294_1202295_1202296_1202297</t>
  </si>
  <si>
    <t>1980000_60</t>
  </si>
  <si>
    <t>1202287_1202288_1202289_1202290</t>
  </si>
  <si>
    <t>1980000_65</t>
  </si>
  <si>
    <t>1202277_1202278_1202279_1202280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</si>
  <si>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</si>
  <si>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</si>
  <si>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</si>
  <si>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</si>
  <si>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</si>
  <si>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</si>
  <si>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</si>
  <si>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接待区</t>
  </si>
  <si>
    <t>1301251_1301252_1301253_1301254_1301257_1301259_1301260_1301263_1301264</t>
  </si>
  <si>
    <t>1301258_1301261</t>
  </si>
  <si>
    <t>1301262_1301255_1301256</t>
  </si>
  <si>
    <t/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</si>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</sst>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24"/>
  <sheetViews>
    <sheetView tabSelected="1" zoomScale="90" zoomScaleNormal="90" workbookViewId="0">
      <pane ySplit="4" topLeftCell="A240" activePane="bottomLeft" state="frozen"/>
      <selection/>
      <selection pane="bottomLeft" activeCell="Q273" sqref="Q273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9</v>
      </c>
      <c r="H5" s="10" t="s">
        <v>45</v>
      </c>
      <c r="I5" s="25" t="s">
        <v>46</v>
      </c>
      <c r="J5" s="15">
        <v>100</v>
      </c>
      <c r="K5" s="15">
        <v>10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11</v>
      </c>
      <c r="H6" s="14" t="s">
        <v>52</v>
      </c>
      <c r="I6" s="25" t="s">
        <v>53</v>
      </c>
      <c r="J6" s="15">
        <v>200</v>
      </c>
      <c r="K6" s="15">
        <v>20</v>
      </c>
      <c r="L6" s="15" t="s">
        <v>47</v>
      </c>
      <c r="M6" s="15"/>
      <c r="N6" s="15"/>
      <c r="O6" s="15"/>
      <c r="P6" s="14" t="s">
        <v>54</v>
      </c>
      <c r="Q6" s="14" t="s">
        <v>55</v>
      </c>
      <c r="R6" s="5" t="s">
        <v>56</v>
      </c>
      <c r="S6" s="27">
        <v>2</v>
      </c>
      <c r="T6" s="28" t="s">
        <v>57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1</v>
      </c>
      <c r="F7" s="25">
        <v>3</v>
      </c>
      <c r="G7" s="10">
        <v>13</v>
      </c>
      <c r="H7" s="14" t="s">
        <v>58</v>
      </c>
      <c r="I7" s="25" t="s">
        <v>59</v>
      </c>
      <c r="J7" s="15">
        <v>300</v>
      </c>
      <c r="K7" s="15">
        <v>30</v>
      </c>
      <c r="L7" s="15" t="s">
        <v>47</v>
      </c>
      <c r="M7" s="15"/>
      <c r="O7" s="15"/>
      <c r="P7" s="14" t="s">
        <v>60</v>
      </c>
      <c r="Q7" s="14" t="s">
        <v>61</v>
      </c>
      <c r="R7" s="8">
        <v>1101278</v>
      </c>
      <c r="S7" s="27">
        <v>4</v>
      </c>
      <c r="T7" s="28" t="s">
        <v>62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v>1</v>
      </c>
      <c r="F8" s="25">
        <v>4</v>
      </c>
      <c r="G8" s="10">
        <v>14</v>
      </c>
      <c r="H8" s="14">
        <v>1101413</v>
      </c>
      <c r="I8" s="25" t="s">
        <v>63</v>
      </c>
      <c r="J8" s="15">
        <v>400</v>
      </c>
      <c r="K8" s="15">
        <v>40</v>
      </c>
      <c r="L8" s="15" t="s">
        <v>47</v>
      </c>
      <c r="M8" s="15" t="s">
        <v>64</v>
      </c>
      <c r="N8" s="15">
        <v>10</v>
      </c>
      <c r="O8" s="15"/>
      <c r="P8" s="14">
        <v>1101105</v>
      </c>
      <c r="Q8" s="14">
        <v>11011051</v>
      </c>
      <c r="R8" s="8">
        <v>1101279</v>
      </c>
      <c r="S8" s="27">
        <v>6</v>
      </c>
      <c r="T8" s="28" t="s">
        <v>65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v>1</v>
      </c>
      <c r="F9" s="25">
        <v>5</v>
      </c>
      <c r="G9" s="10">
        <v>15</v>
      </c>
      <c r="H9" s="14">
        <v>1101414</v>
      </c>
      <c r="I9" s="25" t="s">
        <v>66</v>
      </c>
      <c r="J9" s="15">
        <v>500</v>
      </c>
      <c r="K9" s="15">
        <v>50</v>
      </c>
      <c r="L9" s="15" t="s">
        <v>47</v>
      </c>
      <c r="M9" s="15"/>
      <c r="O9" s="15"/>
      <c r="P9" s="14">
        <v>1101103</v>
      </c>
      <c r="Q9" s="14">
        <v>11011031</v>
      </c>
      <c r="R9" s="8">
        <v>1101280</v>
      </c>
      <c r="S9" s="27">
        <v>8</v>
      </c>
      <c r="T9" s="28" t="s">
        <v>67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v>1</v>
      </c>
      <c r="F10" s="25">
        <v>6</v>
      </c>
      <c r="G10" s="10">
        <v>16</v>
      </c>
      <c r="H10" s="14">
        <v>1101415</v>
      </c>
      <c r="I10" s="25" t="s">
        <v>68</v>
      </c>
      <c r="J10" s="15">
        <v>600</v>
      </c>
      <c r="K10" s="15">
        <v>60</v>
      </c>
      <c r="L10" s="15" t="s">
        <v>47</v>
      </c>
      <c r="M10" s="15"/>
      <c r="N10" s="15">
        <v>20</v>
      </c>
      <c r="O10" s="15"/>
      <c r="P10" s="14">
        <v>1101102</v>
      </c>
      <c r="Q10" s="14">
        <v>11011021</v>
      </c>
      <c r="R10" s="8">
        <v>1101287</v>
      </c>
      <c r="S10" s="27">
        <v>10</v>
      </c>
      <c r="T10" s="28" t="s">
        <v>69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v>1</v>
      </c>
      <c r="F11" s="25">
        <v>7</v>
      </c>
      <c r="G11" s="10">
        <v>16</v>
      </c>
      <c r="H11" s="14"/>
      <c r="I11" s="25" t="s">
        <v>70</v>
      </c>
      <c r="J11" s="15">
        <v>700</v>
      </c>
      <c r="K11" s="15">
        <v>70</v>
      </c>
      <c r="L11" s="15" t="s">
        <v>47</v>
      </c>
      <c r="O11" s="15"/>
      <c r="P11" s="14"/>
      <c r="Q11" s="14"/>
      <c r="R11" s="5"/>
      <c r="S11" s="27">
        <v>12</v>
      </c>
      <c r="T11" s="28" t="s">
        <v>71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v>1</v>
      </c>
      <c r="F12" s="25">
        <v>8</v>
      </c>
      <c r="G12" s="10">
        <v>16</v>
      </c>
      <c r="H12" s="14"/>
      <c r="I12" s="25" t="s">
        <v>72</v>
      </c>
      <c r="J12" s="15">
        <v>800</v>
      </c>
      <c r="K12" s="15">
        <v>80</v>
      </c>
      <c r="L12" s="15" t="s">
        <v>47</v>
      </c>
      <c r="M12" s="15" t="s">
        <v>73</v>
      </c>
      <c r="N12" s="15"/>
      <c r="O12" s="15"/>
      <c r="R12" s="5"/>
      <c r="S12" s="27">
        <v>14</v>
      </c>
      <c r="T12" s="28" t="s">
        <v>74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v>1</v>
      </c>
      <c r="F13" s="25">
        <v>9</v>
      </c>
      <c r="G13" s="10">
        <v>16</v>
      </c>
      <c r="H13" s="14"/>
      <c r="I13" s="25" t="s">
        <v>75</v>
      </c>
      <c r="J13" s="15">
        <v>900</v>
      </c>
      <c r="K13" s="15">
        <v>90</v>
      </c>
      <c r="L13" s="15" t="s">
        <v>47</v>
      </c>
      <c r="M13" s="15"/>
      <c r="N13" s="15">
        <v>30</v>
      </c>
      <c r="O13" s="15"/>
      <c r="R13" s="5"/>
      <c r="S13" s="27">
        <v>16</v>
      </c>
      <c r="T13" s="28" t="s">
        <v>76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v>1</v>
      </c>
      <c r="F14" s="25">
        <v>10</v>
      </c>
      <c r="G14" s="10">
        <v>16</v>
      </c>
      <c r="H14" s="14"/>
      <c r="I14" s="25" t="s">
        <v>77</v>
      </c>
      <c r="J14" s="15">
        <v>1000</v>
      </c>
      <c r="K14" s="15">
        <v>100</v>
      </c>
      <c r="L14" s="15" t="s">
        <v>47</v>
      </c>
      <c r="N14" s="15"/>
      <c r="O14" s="15"/>
      <c r="R14" s="5"/>
      <c r="S14" s="27">
        <v>18</v>
      </c>
      <c r="T14" s="28" t="s">
        <v>78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v>1</v>
      </c>
      <c r="F15" s="25">
        <v>11</v>
      </c>
      <c r="G15" s="10">
        <v>16</v>
      </c>
      <c r="H15" s="14"/>
      <c r="I15" s="25" t="s">
        <v>79</v>
      </c>
      <c r="J15" s="15">
        <v>1100</v>
      </c>
      <c r="K15" s="15">
        <v>110</v>
      </c>
      <c r="L15" s="15" t="s">
        <v>47</v>
      </c>
      <c r="M15" s="15" t="s">
        <v>80</v>
      </c>
      <c r="N15" s="15">
        <v>40</v>
      </c>
      <c r="O15" s="15"/>
      <c r="R15" s="5"/>
      <c r="S15" s="27">
        <v>20</v>
      </c>
      <c r="T15" s="28" t="s">
        <v>81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v>1</v>
      </c>
      <c r="F16" s="25">
        <v>12</v>
      </c>
      <c r="G16" s="10">
        <v>16</v>
      </c>
      <c r="H16" s="10"/>
      <c r="I16" s="25" t="s">
        <v>82</v>
      </c>
      <c r="J16" s="15">
        <v>1200</v>
      </c>
      <c r="K16" s="15">
        <v>120</v>
      </c>
      <c r="L16" s="15" t="s">
        <v>47</v>
      </c>
      <c r="M16" s="15"/>
      <c r="N16" s="15"/>
      <c r="O16" s="15"/>
      <c r="R16" s="5"/>
      <c r="S16" s="27">
        <v>22</v>
      </c>
      <c r="T16" s="28" t="s">
        <v>83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v>1</v>
      </c>
      <c r="F17" s="25">
        <v>13</v>
      </c>
      <c r="G17" s="10">
        <v>16</v>
      </c>
      <c r="H17" s="10"/>
      <c r="I17" s="25" t="s">
        <v>84</v>
      </c>
      <c r="J17" s="15">
        <v>1300</v>
      </c>
      <c r="K17" s="15">
        <v>130</v>
      </c>
      <c r="L17" s="15" t="s">
        <v>47</v>
      </c>
      <c r="M17" s="15"/>
      <c r="N17" s="15">
        <v>50</v>
      </c>
      <c r="O17" s="15"/>
      <c r="P17" s="14"/>
      <c r="Q17" s="14"/>
      <c r="R17" s="5"/>
      <c r="S17" s="27">
        <v>24</v>
      </c>
      <c r="T17" s="28" t="s">
        <v>85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v>1</v>
      </c>
      <c r="F18" s="25">
        <v>14</v>
      </c>
      <c r="G18" s="10">
        <v>16</v>
      </c>
      <c r="H18" s="10"/>
      <c r="I18" s="25" t="s">
        <v>86</v>
      </c>
      <c r="J18" s="15">
        <v>1400</v>
      </c>
      <c r="K18" s="15">
        <v>140</v>
      </c>
      <c r="L18" s="15" t="s">
        <v>47</v>
      </c>
      <c r="M18" s="15"/>
      <c r="N18" s="15"/>
      <c r="O18" s="15"/>
      <c r="P18" s="14"/>
      <c r="Q18" s="14"/>
      <c r="R18" s="5"/>
      <c r="S18" s="27">
        <v>26</v>
      </c>
      <c r="T18" s="28" t="s">
        <v>87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v>1</v>
      </c>
      <c r="F19" s="25">
        <v>15</v>
      </c>
      <c r="G19" s="10">
        <v>16</v>
      </c>
      <c r="H19" s="10"/>
      <c r="I19" s="25" t="s">
        <v>88</v>
      </c>
      <c r="J19" s="15">
        <v>1500</v>
      </c>
      <c r="K19" s="15">
        <v>150</v>
      </c>
      <c r="L19" s="15" t="s">
        <v>47</v>
      </c>
      <c r="M19" s="15"/>
      <c r="N19" s="15">
        <v>60</v>
      </c>
      <c r="O19" s="15"/>
      <c r="P19" s="14"/>
      <c r="Q19" s="14"/>
      <c r="R19" s="5"/>
      <c r="S19" s="27">
        <v>28</v>
      </c>
      <c r="T19" s="28" t="s">
        <v>89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v>1</v>
      </c>
      <c r="F20" s="25">
        <v>16</v>
      </c>
      <c r="G20" s="10">
        <v>16</v>
      </c>
      <c r="H20" s="10"/>
      <c r="I20" s="25" t="s">
        <v>90</v>
      </c>
      <c r="J20" s="15">
        <v>1600</v>
      </c>
      <c r="K20" s="15">
        <v>160</v>
      </c>
      <c r="L20" s="15" t="s">
        <v>47</v>
      </c>
      <c r="M20" s="15"/>
      <c r="N20" s="15"/>
      <c r="O20" s="15"/>
      <c r="P20" s="14"/>
      <c r="Q20" s="14"/>
      <c r="R20" s="5"/>
      <c r="S20" s="27">
        <v>30</v>
      </c>
      <c r="T20" s="28" t="s">
        <v>91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v>1</v>
      </c>
      <c r="F21" s="25">
        <v>17</v>
      </c>
      <c r="G21" s="10">
        <v>16</v>
      </c>
      <c r="H21" s="10"/>
      <c r="I21" s="25" t="s">
        <v>92</v>
      </c>
      <c r="J21" s="15">
        <v>1700</v>
      </c>
      <c r="K21" s="15">
        <v>170</v>
      </c>
      <c r="L21" s="15" t="s">
        <v>47</v>
      </c>
      <c r="M21" s="15"/>
      <c r="N21" s="15">
        <v>70</v>
      </c>
      <c r="O21" s="15"/>
      <c r="P21" s="14"/>
      <c r="Q21" s="14"/>
      <c r="R21" s="5"/>
      <c r="S21" s="27">
        <v>32</v>
      </c>
      <c r="T21" s="28" t="s">
        <v>93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v>1</v>
      </c>
      <c r="F22" s="25">
        <v>18</v>
      </c>
      <c r="G22" s="10">
        <v>16</v>
      </c>
      <c r="H22" s="10"/>
      <c r="I22" s="25" t="s">
        <v>94</v>
      </c>
      <c r="J22" s="15">
        <v>1800</v>
      </c>
      <c r="K22" s="15">
        <v>180</v>
      </c>
      <c r="L22" s="15" t="s">
        <v>47</v>
      </c>
      <c r="M22" s="15"/>
      <c r="N22" s="15"/>
      <c r="O22" s="15"/>
      <c r="P22" s="14"/>
      <c r="Q22" s="14"/>
      <c r="R22" s="5"/>
      <c r="S22" s="27">
        <v>34</v>
      </c>
      <c r="T22" s="28" t="s">
        <v>95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v>1</v>
      </c>
      <c r="F23" s="25">
        <v>19</v>
      </c>
      <c r="G23" s="10">
        <v>16</v>
      </c>
      <c r="H23" s="10"/>
      <c r="I23" s="25" t="s">
        <v>96</v>
      </c>
      <c r="J23" s="15">
        <v>1900</v>
      </c>
      <c r="K23" s="15">
        <v>190</v>
      </c>
      <c r="L23" s="15" t="s">
        <v>47</v>
      </c>
      <c r="M23" s="15"/>
      <c r="N23" s="15">
        <v>80</v>
      </c>
      <c r="O23" s="15"/>
      <c r="P23" s="14"/>
      <c r="Q23" s="14"/>
      <c r="R23" s="5"/>
      <c r="S23" s="27">
        <v>36</v>
      </c>
      <c r="T23" s="28" t="s">
        <v>97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v>1</v>
      </c>
      <c r="F24" s="25">
        <v>20</v>
      </c>
      <c r="G24" s="10">
        <v>16</v>
      </c>
      <c r="H24" s="10"/>
      <c r="I24" s="25" t="s">
        <v>98</v>
      </c>
      <c r="J24" s="15">
        <v>2000</v>
      </c>
      <c r="K24" s="15">
        <v>200</v>
      </c>
      <c r="L24" s="15" t="s">
        <v>47</v>
      </c>
      <c r="M24" s="15"/>
      <c r="N24" s="15"/>
      <c r="O24" s="15"/>
      <c r="P24" s="14"/>
      <c r="Q24" s="14"/>
      <c r="R24" s="5"/>
      <c r="S24" s="27">
        <v>38</v>
      </c>
      <c r="T24" s="28" t="s">
        <v>99</v>
      </c>
    </row>
    <row r="25" customHeight="1" spans="1:20">
      <c r="A25" s="25">
        <f t="shared" si="0"/>
        <v>1102001</v>
      </c>
      <c r="B25" s="25">
        <v>1102</v>
      </c>
      <c r="C25" s="25" t="s">
        <v>100</v>
      </c>
      <c r="D25" s="25" t="s">
        <v>101</v>
      </c>
      <c r="E25" s="25">
        <v>1</v>
      </c>
      <c r="F25" s="25">
        <v>1</v>
      </c>
      <c r="G25" s="10">
        <v>11</v>
      </c>
      <c r="H25" s="10" t="s">
        <v>102</v>
      </c>
      <c r="I25" s="25" t="s">
        <v>103</v>
      </c>
      <c r="J25" s="15">
        <v>200</v>
      </c>
      <c r="K25" s="15">
        <v>15</v>
      </c>
      <c r="L25" s="15" t="s">
        <v>104</v>
      </c>
      <c r="M25" s="15"/>
      <c r="N25" s="15"/>
      <c r="O25" s="15"/>
      <c r="P25" s="14" t="s">
        <v>105</v>
      </c>
      <c r="Q25" s="14" t="s">
        <v>106</v>
      </c>
      <c r="R25" s="5" t="s">
        <v>107</v>
      </c>
      <c r="S25" s="27">
        <v>1</v>
      </c>
      <c r="T25" s="28" t="s">
        <v>108</v>
      </c>
    </row>
    <row r="26" customHeight="1" spans="1:20">
      <c r="A26" s="25">
        <f t="shared" si="0"/>
        <v>1102002</v>
      </c>
      <c r="B26" s="25">
        <v>1102</v>
      </c>
      <c r="C26" s="25" t="s">
        <v>100</v>
      </c>
      <c r="D26" s="25" t="s">
        <v>101</v>
      </c>
      <c r="E26" s="25">
        <v>1</v>
      </c>
      <c r="F26" s="25">
        <v>2</v>
      </c>
      <c r="G26" s="10">
        <v>13</v>
      </c>
      <c r="H26" s="10" t="s">
        <v>109</v>
      </c>
      <c r="I26" s="25" t="s">
        <v>110</v>
      </c>
      <c r="J26" s="15">
        <v>400</v>
      </c>
      <c r="K26" s="15">
        <v>30</v>
      </c>
      <c r="L26" s="15" t="s">
        <v>104</v>
      </c>
      <c r="M26" s="15"/>
      <c r="N26" s="15"/>
      <c r="O26" s="15"/>
      <c r="P26" s="14" t="s">
        <v>111</v>
      </c>
      <c r="Q26" s="14" t="s">
        <v>112</v>
      </c>
      <c r="R26" s="5" t="s">
        <v>113</v>
      </c>
      <c r="S26" s="27">
        <v>2</v>
      </c>
      <c r="T26" s="28" t="s">
        <v>114</v>
      </c>
    </row>
    <row r="27" customHeight="1" spans="1:20">
      <c r="A27" s="25">
        <f t="shared" si="0"/>
        <v>1102003</v>
      </c>
      <c r="B27" s="25">
        <v>1102</v>
      </c>
      <c r="C27" s="25" t="s">
        <v>100</v>
      </c>
      <c r="D27" s="25" t="s">
        <v>101</v>
      </c>
      <c r="E27" s="25">
        <v>1</v>
      </c>
      <c r="F27" s="25">
        <v>3</v>
      </c>
      <c r="G27" s="10">
        <v>15</v>
      </c>
      <c r="H27" s="10" t="s">
        <v>115</v>
      </c>
      <c r="I27" s="25" t="s">
        <v>116</v>
      </c>
      <c r="J27" s="15">
        <v>600</v>
      </c>
      <c r="K27" s="15">
        <v>45</v>
      </c>
      <c r="L27" s="15" t="s">
        <v>104</v>
      </c>
      <c r="M27" s="15"/>
      <c r="N27" s="15">
        <v>10</v>
      </c>
      <c r="O27" s="15"/>
      <c r="P27" s="14" t="s">
        <v>117</v>
      </c>
      <c r="Q27" s="14" t="s">
        <v>118</v>
      </c>
      <c r="R27" s="8">
        <v>1102262</v>
      </c>
      <c r="S27" s="27">
        <v>4</v>
      </c>
      <c r="T27" s="28" t="s">
        <v>119</v>
      </c>
    </row>
    <row r="28" customHeight="1" spans="1:20">
      <c r="A28" s="25">
        <f t="shared" si="0"/>
        <v>1102004</v>
      </c>
      <c r="B28" s="25">
        <v>1102</v>
      </c>
      <c r="C28" s="25" t="s">
        <v>100</v>
      </c>
      <c r="D28" s="25" t="s">
        <v>101</v>
      </c>
      <c r="E28" s="25">
        <v>1</v>
      </c>
      <c r="F28" s="25">
        <v>4</v>
      </c>
      <c r="G28" s="10">
        <v>16</v>
      </c>
      <c r="H28" s="14">
        <v>1102413</v>
      </c>
      <c r="I28" s="25" t="s">
        <v>120</v>
      </c>
      <c r="J28" s="15">
        <v>800</v>
      </c>
      <c r="K28" s="15">
        <v>60</v>
      </c>
      <c r="L28" s="15" t="s">
        <v>104</v>
      </c>
      <c r="M28" s="15" t="s">
        <v>121</v>
      </c>
      <c r="N28" s="15"/>
      <c r="O28" s="15"/>
      <c r="P28" s="14">
        <v>1102112</v>
      </c>
      <c r="Q28" s="14">
        <v>11021121</v>
      </c>
      <c r="R28" s="5" t="s">
        <v>122</v>
      </c>
      <c r="S28" s="27">
        <v>6</v>
      </c>
      <c r="T28" s="28" t="s">
        <v>123</v>
      </c>
    </row>
    <row r="29" customHeight="1" spans="1:20">
      <c r="A29" s="25">
        <f t="shared" si="0"/>
        <v>1102005</v>
      </c>
      <c r="B29" s="25">
        <v>1102</v>
      </c>
      <c r="C29" s="25" t="s">
        <v>100</v>
      </c>
      <c r="D29" s="25" t="s">
        <v>101</v>
      </c>
      <c r="E29" s="25">
        <v>1</v>
      </c>
      <c r="F29" s="25">
        <v>5</v>
      </c>
      <c r="G29" s="10">
        <v>16</v>
      </c>
      <c r="H29" s="14">
        <v>1102414</v>
      </c>
      <c r="I29" s="25" t="s">
        <v>124</v>
      </c>
      <c r="J29" s="15">
        <v>1000</v>
      </c>
      <c r="K29" s="15">
        <v>75</v>
      </c>
      <c r="L29" s="15" t="s">
        <v>104</v>
      </c>
      <c r="O29" s="15"/>
      <c r="S29" s="27">
        <v>8</v>
      </c>
      <c r="T29" s="28" t="s">
        <v>125</v>
      </c>
    </row>
    <row r="30" customHeight="1" spans="1:20">
      <c r="A30" s="25">
        <f t="shared" ref="A30:A36" si="1">B30*1000+F30</f>
        <v>1102006</v>
      </c>
      <c r="B30" s="25">
        <v>1102</v>
      </c>
      <c r="C30" s="25" t="s">
        <v>100</v>
      </c>
      <c r="D30" s="25" t="s">
        <v>101</v>
      </c>
      <c r="E30" s="25">
        <v>1</v>
      </c>
      <c r="F30" s="25">
        <v>6</v>
      </c>
      <c r="G30" s="10">
        <v>16</v>
      </c>
      <c r="H30" s="14">
        <v>1102415</v>
      </c>
      <c r="I30" s="25" t="s">
        <v>126</v>
      </c>
      <c r="J30" s="15">
        <v>1200</v>
      </c>
      <c r="K30" s="15">
        <v>90</v>
      </c>
      <c r="L30" s="15" t="s">
        <v>104</v>
      </c>
      <c r="M30" s="15"/>
      <c r="N30" s="15">
        <v>20</v>
      </c>
      <c r="O30" s="15"/>
      <c r="S30" s="27">
        <v>10</v>
      </c>
      <c r="T30" s="28" t="s">
        <v>127</v>
      </c>
    </row>
    <row r="31" customHeight="1" spans="1:20">
      <c r="A31" s="25">
        <f t="shared" si="1"/>
        <v>1102007</v>
      </c>
      <c r="B31" s="25">
        <v>1102</v>
      </c>
      <c r="C31" s="25" t="s">
        <v>100</v>
      </c>
      <c r="D31" s="25" t="s">
        <v>101</v>
      </c>
      <c r="E31" s="25">
        <v>1</v>
      </c>
      <c r="F31" s="25">
        <v>7</v>
      </c>
      <c r="G31" s="10">
        <v>16</v>
      </c>
      <c r="I31" s="25" t="s">
        <v>128</v>
      </c>
      <c r="J31" s="15">
        <v>1400</v>
      </c>
      <c r="K31" s="15">
        <v>105</v>
      </c>
      <c r="L31" s="15" t="s">
        <v>104</v>
      </c>
      <c r="O31" s="15"/>
      <c r="S31" s="27">
        <v>12</v>
      </c>
      <c r="T31" s="28" t="s">
        <v>129</v>
      </c>
    </row>
    <row r="32" customHeight="1" spans="1:20">
      <c r="A32" s="25">
        <f t="shared" si="1"/>
        <v>1102008</v>
      </c>
      <c r="B32" s="25">
        <v>1102</v>
      </c>
      <c r="C32" s="25" t="s">
        <v>100</v>
      </c>
      <c r="D32" s="25" t="s">
        <v>101</v>
      </c>
      <c r="E32" s="25">
        <v>1</v>
      </c>
      <c r="F32" s="25">
        <v>8</v>
      </c>
      <c r="G32" s="10">
        <v>16</v>
      </c>
      <c r="I32" s="25" t="s">
        <v>130</v>
      </c>
      <c r="J32" s="15">
        <v>1600</v>
      </c>
      <c r="K32" s="15">
        <v>120</v>
      </c>
      <c r="L32" s="15" t="s">
        <v>104</v>
      </c>
      <c r="M32" s="15" t="s">
        <v>131</v>
      </c>
      <c r="N32" s="15"/>
      <c r="O32" s="15"/>
      <c r="S32" s="27">
        <v>14</v>
      </c>
      <c r="T32" s="28" t="s">
        <v>132</v>
      </c>
    </row>
    <row r="33" customHeight="1" spans="1:20">
      <c r="A33" s="25">
        <f t="shared" si="1"/>
        <v>1102009</v>
      </c>
      <c r="B33" s="25">
        <v>1102</v>
      </c>
      <c r="C33" s="25" t="s">
        <v>100</v>
      </c>
      <c r="D33" s="25" t="s">
        <v>101</v>
      </c>
      <c r="E33" s="25">
        <v>1</v>
      </c>
      <c r="F33" s="25">
        <v>9</v>
      </c>
      <c r="G33" s="10">
        <v>16</v>
      </c>
      <c r="I33" s="25" t="s">
        <v>133</v>
      </c>
      <c r="J33" s="15">
        <v>1800</v>
      </c>
      <c r="K33" s="15">
        <v>135</v>
      </c>
      <c r="L33" s="15" t="s">
        <v>104</v>
      </c>
      <c r="M33" s="15"/>
      <c r="N33" s="15">
        <v>30</v>
      </c>
      <c r="O33" s="15"/>
      <c r="S33" s="27">
        <v>16</v>
      </c>
      <c r="T33" s="28" t="s">
        <v>134</v>
      </c>
    </row>
    <row r="34" customHeight="1" spans="1:20">
      <c r="A34" s="25">
        <f t="shared" si="1"/>
        <v>1102010</v>
      </c>
      <c r="B34" s="25">
        <v>1102</v>
      </c>
      <c r="C34" s="25" t="s">
        <v>100</v>
      </c>
      <c r="D34" s="25" t="s">
        <v>101</v>
      </c>
      <c r="E34" s="25">
        <v>1</v>
      </c>
      <c r="F34" s="25">
        <v>10</v>
      </c>
      <c r="G34" s="10">
        <v>16</v>
      </c>
      <c r="I34" s="25" t="s">
        <v>135</v>
      </c>
      <c r="J34" s="15">
        <v>2000</v>
      </c>
      <c r="K34" s="15">
        <v>150</v>
      </c>
      <c r="L34" s="15" t="s">
        <v>104</v>
      </c>
      <c r="N34" s="15"/>
      <c r="O34" s="15"/>
      <c r="S34" s="27">
        <v>18</v>
      </c>
      <c r="T34" s="28" t="s">
        <v>136</v>
      </c>
    </row>
    <row r="35" customHeight="1" spans="1:20">
      <c r="A35" s="25">
        <f t="shared" si="1"/>
        <v>1102011</v>
      </c>
      <c r="B35" s="25">
        <v>1102</v>
      </c>
      <c r="C35" s="25" t="s">
        <v>100</v>
      </c>
      <c r="D35" s="25" t="s">
        <v>101</v>
      </c>
      <c r="E35" s="25">
        <v>1</v>
      </c>
      <c r="F35" s="25">
        <v>11</v>
      </c>
      <c r="G35" s="10">
        <v>16</v>
      </c>
      <c r="I35" s="25" t="s">
        <v>137</v>
      </c>
      <c r="J35" s="15">
        <v>2200</v>
      </c>
      <c r="K35" s="15">
        <v>165</v>
      </c>
      <c r="L35" s="15" t="s">
        <v>104</v>
      </c>
      <c r="M35" s="15" t="s">
        <v>138</v>
      </c>
      <c r="N35" s="15">
        <v>40</v>
      </c>
      <c r="O35" s="15"/>
      <c r="S35" s="27">
        <v>20</v>
      </c>
      <c r="T35" s="28" t="s">
        <v>139</v>
      </c>
    </row>
    <row r="36" customHeight="1" spans="1:20">
      <c r="A36" s="25">
        <f t="shared" si="1"/>
        <v>1102012</v>
      </c>
      <c r="B36" s="25">
        <v>1102</v>
      </c>
      <c r="C36" s="25" t="s">
        <v>100</v>
      </c>
      <c r="D36" s="25" t="s">
        <v>101</v>
      </c>
      <c r="E36" s="25">
        <v>1</v>
      </c>
      <c r="F36" s="25">
        <v>12</v>
      </c>
      <c r="G36" s="10">
        <v>16</v>
      </c>
      <c r="I36" s="25" t="s">
        <v>140</v>
      </c>
      <c r="J36" s="15">
        <v>2400</v>
      </c>
      <c r="K36" s="15">
        <v>180</v>
      </c>
      <c r="L36" s="15" t="s">
        <v>104</v>
      </c>
      <c r="M36" s="15"/>
      <c r="N36" s="15"/>
      <c r="O36" s="15"/>
      <c r="S36" s="27">
        <v>22</v>
      </c>
      <c r="T36" s="28" t="s">
        <v>141</v>
      </c>
    </row>
    <row r="37" customHeight="1" spans="1:20">
      <c r="A37" s="25">
        <f t="shared" ref="A37:A44" si="2">B37*1000+F37</f>
        <v>1102013</v>
      </c>
      <c r="B37" s="25">
        <v>1102</v>
      </c>
      <c r="C37" s="25" t="s">
        <v>100</v>
      </c>
      <c r="D37" s="25" t="s">
        <v>101</v>
      </c>
      <c r="E37" s="25">
        <v>1</v>
      </c>
      <c r="F37" s="25">
        <v>13</v>
      </c>
      <c r="G37" s="10">
        <v>16</v>
      </c>
      <c r="I37" s="25" t="s">
        <v>142</v>
      </c>
      <c r="J37" s="15">
        <v>2600</v>
      </c>
      <c r="K37" s="15">
        <v>195</v>
      </c>
      <c r="L37" s="15" t="s">
        <v>104</v>
      </c>
      <c r="N37" s="15">
        <v>50</v>
      </c>
      <c r="O37" s="15"/>
      <c r="S37" s="27">
        <v>24</v>
      </c>
      <c r="T37" s="28" t="s">
        <v>143</v>
      </c>
    </row>
    <row r="38" customHeight="1" spans="1:20">
      <c r="A38" s="25">
        <f t="shared" si="2"/>
        <v>1102014</v>
      </c>
      <c r="B38" s="25">
        <v>1102</v>
      </c>
      <c r="C38" s="25" t="s">
        <v>100</v>
      </c>
      <c r="D38" s="25" t="s">
        <v>101</v>
      </c>
      <c r="E38" s="25">
        <v>1</v>
      </c>
      <c r="F38" s="25">
        <v>14</v>
      </c>
      <c r="G38" s="10">
        <v>16</v>
      </c>
      <c r="I38" s="25" t="s">
        <v>144</v>
      </c>
      <c r="J38" s="15">
        <v>2800</v>
      </c>
      <c r="K38" s="15">
        <v>210</v>
      </c>
      <c r="L38" s="15" t="s">
        <v>104</v>
      </c>
      <c r="M38" s="15" t="s">
        <v>145</v>
      </c>
      <c r="N38" s="15"/>
      <c r="O38" s="15"/>
      <c r="S38" s="27">
        <v>26</v>
      </c>
      <c r="T38" s="28" t="s">
        <v>146</v>
      </c>
    </row>
    <row r="39" customHeight="1" spans="1:20">
      <c r="A39" s="25">
        <f t="shared" si="2"/>
        <v>1102015</v>
      </c>
      <c r="B39" s="25">
        <v>1102</v>
      </c>
      <c r="C39" s="25" t="s">
        <v>100</v>
      </c>
      <c r="D39" s="25" t="s">
        <v>101</v>
      </c>
      <c r="E39" s="25">
        <v>1</v>
      </c>
      <c r="F39" s="25">
        <v>15</v>
      </c>
      <c r="G39" s="10">
        <v>16</v>
      </c>
      <c r="I39" s="25" t="s">
        <v>147</v>
      </c>
      <c r="J39" s="15">
        <v>3000</v>
      </c>
      <c r="K39" s="15">
        <v>225</v>
      </c>
      <c r="L39" s="15" t="s">
        <v>104</v>
      </c>
      <c r="N39" s="15">
        <v>60</v>
      </c>
      <c r="O39" s="15"/>
      <c r="S39" s="27">
        <v>28</v>
      </c>
      <c r="T39" s="28" t="s">
        <v>148</v>
      </c>
    </row>
    <row r="40" customHeight="1" spans="1:20">
      <c r="A40" s="25">
        <f t="shared" si="2"/>
        <v>1102016</v>
      </c>
      <c r="B40" s="25">
        <v>1102</v>
      </c>
      <c r="C40" s="25" t="s">
        <v>100</v>
      </c>
      <c r="D40" s="25" t="s">
        <v>101</v>
      </c>
      <c r="E40" s="25">
        <v>1</v>
      </c>
      <c r="F40" s="25">
        <v>16</v>
      </c>
      <c r="G40" s="10">
        <v>16</v>
      </c>
      <c r="I40" s="25" t="s">
        <v>149</v>
      </c>
      <c r="J40" s="15">
        <v>3200</v>
      </c>
      <c r="K40" s="15">
        <v>240</v>
      </c>
      <c r="L40" s="15" t="s">
        <v>104</v>
      </c>
      <c r="M40" s="15"/>
      <c r="N40" s="15"/>
      <c r="O40" s="15"/>
      <c r="S40" s="27">
        <v>30</v>
      </c>
      <c r="T40" s="28" t="s">
        <v>150</v>
      </c>
    </row>
    <row r="41" customHeight="1" spans="1:20">
      <c r="A41" s="25">
        <f t="shared" si="2"/>
        <v>1102017</v>
      </c>
      <c r="B41" s="25">
        <v>1102</v>
      </c>
      <c r="C41" s="25" t="s">
        <v>100</v>
      </c>
      <c r="D41" s="25" t="s">
        <v>101</v>
      </c>
      <c r="E41" s="25">
        <v>1</v>
      </c>
      <c r="F41" s="25">
        <v>17</v>
      </c>
      <c r="G41" s="10">
        <v>16</v>
      </c>
      <c r="I41" s="25" t="s">
        <v>151</v>
      </c>
      <c r="J41" s="15">
        <v>3400</v>
      </c>
      <c r="K41" s="15">
        <v>255</v>
      </c>
      <c r="L41" s="15" t="s">
        <v>104</v>
      </c>
      <c r="M41" s="15"/>
      <c r="N41" s="15">
        <v>70</v>
      </c>
      <c r="O41" s="15"/>
      <c r="S41" s="27">
        <v>32</v>
      </c>
      <c r="T41" s="28" t="s">
        <v>152</v>
      </c>
    </row>
    <row r="42" customHeight="1" spans="1:20">
      <c r="A42" s="25">
        <f t="shared" si="2"/>
        <v>1102018</v>
      </c>
      <c r="B42" s="25">
        <v>1102</v>
      </c>
      <c r="C42" s="25" t="s">
        <v>100</v>
      </c>
      <c r="D42" s="25" t="s">
        <v>101</v>
      </c>
      <c r="E42" s="25">
        <v>1</v>
      </c>
      <c r="F42" s="25">
        <v>18</v>
      </c>
      <c r="G42" s="10">
        <v>16</v>
      </c>
      <c r="I42" s="25" t="s">
        <v>153</v>
      </c>
      <c r="J42" s="15">
        <v>3600</v>
      </c>
      <c r="K42" s="15">
        <v>270</v>
      </c>
      <c r="L42" s="15" t="s">
        <v>104</v>
      </c>
      <c r="M42" s="15"/>
      <c r="N42" s="15"/>
      <c r="O42" s="15"/>
      <c r="S42" s="27">
        <v>34</v>
      </c>
      <c r="T42" s="28" t="s">
        <v>154</v>
      </c>
    </row>
    <row r="43" customHeight="1" spans="1:20">
      <c r="A43" s="25">
        <f t="shared" si="2"/>
        <v>1102019</v>
      </c>
      <c r="B43" s="25">
        <v>1102</v>
      </c>
      <c r="C43" s="25" t="s">
        <v>100</v>
      </c>
      <c r="D43" s="25" t="s">
        <v>101</v>
      </c>
      <c r="E43" s="25">
        <v>1</v>
      </c>
      <c r="F43" s="25">
        <v>19</v>
      </c>
      <c r="G43" s="10">
        <v>16</v>
      </c>
      <c r="I43" s="25" t="s">
        <v>155</v>
      </c>
      <c r="J43" s="15">
        <v>3800</v>
      </c>
      <c r="K43" s="15">
        <v>285</v>
      </c>
      <c r="L43" s="15" t="s">
        <v>104</v>
      </c>
      <c r="M43" s="15"/>
      <c r="N43" s="15">
        <v>80</v>
      </c>
      <c r="O43" s="15"/>
      <c r="S43" s="27">
        <v>36</v>
      </c>
      <c r="T43" s="28" t="s">
        <v>156</v>
      </c>
    </row>
    <row r="44" customHeight="1" spans="1:20">
      <c r="A44" s="25">
        <f t="shared" si="2"/>
        <v>1102020</v>
      </c>
      <c r="B44" s="25">
        <v>1102</v>
      </c>
      <c r="C44" s="25" t="s">
        <v>100</v>
      </c>
      <c r="D44" s="25" t="s">
        <v>101</v>
      </c>
      <c r="E44" s="25">
        <v>1</v>
      </c>
      <c r="F44" s="25">
        <v>20</v>
      </c>
      <c r="G44" s="10">
        <v>16</v>
      </c>
      <c r="I44" s="25" t="s">
        <v>157</v>
      </c>
      <c r="J44" s="15">
        <v>4000</v>
      </c>
      <c r="K44" s="15">
        <v>300</v>
      </c>
      <c r="L44" s="15" t="s">
        <v>104</v>
      </c>
      <c r="N44" s="15"/>
      <c r="O44" s="15"/>
      <c r="S44" s="27">
        <v>38</v>
      </c>
      <c r="T44" s="28" t="s">
        <v>158</v>
      </c>
    </row>
    <row r="45" s="12" customFormat="1" customHeight="1" spans="1:20">
      <c r="A45" s="29">
        <f t="shared" ref="A45:A54" si="3">B45*1000+F45</f>
        <v>1103001</v>
      </c>
      <c r="B45" s="29">
        <v>1103</v>
      </c>
      <c r="C45" s="29" t="s">
        <v>159</v>
      </c>
      <c r="D45" s="29" t="s">
        <v>160</v>
      </c>
      <c r="E45" s="25">
        <v>1</v>
      </c>
      <c r="F45" s="29">
        <v>1</v>
      </c>
      <c r="G45" s="29">
        <v>6</v>
      </c>
      <c r="H45" s="29" t="s">
        <v>161</v>
      </c>
      <c r="I45" s="29" t="s">
        <v>162</v>
      </c>
      <c r="J45" s="30">
        <v>800</v>
      </c>
      <c r="K45" s="15">
        <v>45</v>
      </c>
      <c r="L45" s="15" t="s">
        <v>163</v>
      </c>
      <c r="M45" s="30"/>
      <c r="N45" s="30"/>
      <c r="O45" s="30"/>
      <c r="P45" s="31" t="s">
        <v>164</v>
      </c>
      <c r="Q45" s="31" t="s">
        <v>165</v>
      </c>
      <c r="R45" s="6" t="s">
        <v>166</v>
      </c>
      <c r="S45" s="32">
        <v>2</v>
      </c>
      <c r="T45" s="28" t="s">
        <v>167</v>
      </c>
    </row>
    <row r="46" s="12" customFormat="1" customHeight="1" spans="1:20">
      <c r="A46" s="29">
        <f t="shared" si="3"/>
        <v>1103002</v>
      </c>
      <c r="B46" s="29">
        <v>1103</v>
      </c>
      <c r="C46" s="29" t="s">
        <v>159</v>
      </c>
      <c r="D46" s="29" t="s">
        <v>160</v>
      </c>
      <c r="E46" s="25">
        <v>1</v>
      </c>
      <c r="F46" s="29">
        <v>2</v>
      </c>
      <c r="G46" s="29">
        <v>8</v>
      </c>
      <c r="H46" s="29" t="s">
        <v>168</v>
      </c>
      <c r="I46" s="29" t="s">
        <v>169</v>
      </c>
      <c r="J46" s="30">
        <v>1600</v>
      </c>
      <c r="K46" s="15">
        <v>90</v>
      </c>
      <c r="L46" s="15" t="s">
        <v>163</v>
      </c>
      <c r="M46" s="30"/>
      <c r="N46" s="30"/>
      <c r="O46" s="30"/>
      <c r="P46" s="31" t="s">
        <v>170</v>
      </c>
      <c r="Q46" s="31" t="s">
        <v>171</v>
      </c>
      <c r="R46" s="6">
        <v>1103263</v>
      </c>
      <c r="S46" s="32">
        <v>4</v>
      </c>
      <c r="T46" s="28" t="s">
        <v>172</v>
      </c>
    </row>
    <row r="47" s="12" customFormat="1" customHeight="1" spans="1:20">
      <c r="A47" s="29">
        <f t="shared" si="3"/>
        <v>1103003</v>
      </c>
      <c r="B47" s="29">
        <v>1103</v>
      </c>
      <c r="C47" s="29" t="s">
        <v>159</v>
      </c>
      <c r="D47" s="29" t="s">
        <v>160</v>
      </c>
      <c r="E47" s="25">
        <v>1</v>
      </c>
      <c r="F47" s="29">
        <v>3</v>
      </c>
      <c r="G47" s="29">
        <v>10</v>
      </c>
      <c r="H47" s="29" t="s">
        <v>173</v>
      </c>
      <c r="I47" s="29" t="s">
        <v>174</v>
      </c>
      <c r="J47" s="30">
        <v>2400</v>
      </c>
      <c r="K47" s="15">
        <v>135</v>
      </c>
      <c r="L47" s="15" t="s">
        <v>163</v>
      </c>
      <c r="M47" s="30"/>
      <c r="N47" s="30"/>
      <c r="O47" s="30"/>
      <c r="P47" s="31" t="s">
        <v>175</v>
      </c>
      <c r="Q47" s="31" t="s">
        <v>176</v>
      </c>
      <c r="R47" s="6">
        <v>1103256</v>
      </c>
      <c r="S47" s="32">
        <v>8</v>
      </c>
      <c r="T47" s="28" t="s">
        <v>177</v>
      </c>
    </row>
    <row r="48" s="12" customFormat="1" customHeight="1" spans="1:20">
      <c r="A48" s="29">
        <f t="shared" si="3"/>
        <v>1103004</v>
      </c>
      <c r="B48" s="29">
        <v>1103</v>
      </c>
      <c r="C48" s="29" t="s">
        <v>159</v>
      </c>
      <c r="D48" s="29" t="s">
        <v>160</v>
      </c>
      <c r="E48" s="25">
        <v>1</v>
      </c>
      <c r="F48" s="29">
        <v>4</v>
      </c>
      <c r="G48" s="29">
        <v>10</v>
      </c>
      <c r="H48" s="29">
        <v>1103411</v>
      </c>
      <c r="I48" s="29" t="s">
        <v>178</v>
      </c>
      <c r="J48" s="30">
        <v>3200</v>
      </c>
      <c r="K48" s="15">
        <v>180</v>
      </c>
      <c r="L48" s="15" t="s">
        <v>163</v>
      </c>
      <c r="M48" s="30" t="s">
        <v>179</v>
      </c>
      <c r="N48" s="30"/>
      <c r="O48" s="30"/>
      <c r="P48" s="31"/>
      <c r="Q48" s="31"/>
      <c r="R48" s="6">
        <v>1103257</v>
      </c>
      <c r="S48" s="32">
        <v>12</v>
      </c>
      <c r="T48" s="28" t="s">
        <v>180</v>
      </c>
    </row>
    <row r="49" s="12" customFormat="1" customHeight="1" spans="1:20">
      <c r="A49" s="29">
        <f t="shared" si="3"/>
        <v>1103005</v>
      </c>
      <c r="B49" s="29">
        <v>1103</v>
      </c>
      <c r="C49" s="29" t="s">
        <v>159</v>
      </c>
      <c r="D49" s="29" t="s">
        <v>160</v>
      </c>
      <c r="E49" s="25">
        <v>1</v>
      </c>
      <c r="F49" s="29">
        <v>5</v>
      </c>
      <c r="G49" s="29">
        <v>10</v>
      </c>
      <c r="H49" s="29">
        <v>1103412</v>
      </c>
      <c r="I49" s="29" t="s">
        <v>181</v>
      </c>
      <c r="J49" s="30">
        <v>4000</v>
      </c>
      <c r="K49" s="15">
        <v>225</v>
      </c>
      <c r="L49" s="15" t="s">
        <v>163</v>
      </c>
      <c r="N49" s="30">
        <v>10</v>
      </c>
      <c r="O49" s="30"/>
      <c r="P49" s="31"/>
      <c r="Q49" s="31"/>
      <c r="R49" s="6">
        <v>1103262</v>
      </c>
      <c r="S49" s="32">
        <v>16</v>
      </c>
      <c r="T49" s="28" t="s">
        <v>182</v>
      </c>
    </row>
    <row r="50" s="12" customFormat="1" customHeight="1" spans="1:20">
      <c r="A50" s="29">
        <f t="shared" si="3"/>
        <v>1103006</v>
      </c>
      <c r="B50" s="29">
        <v>1103</v>
      </c>
      <c r="C50" s="29" t="s">
        <v>159</v>
      </c>
      <c r="D50" s="29" t="s">
        <v>160</v>
      </c>
      <c r="E50" s="25">
        <v>1</v>
      </c>
      <c r="F50" s="29">
        <v>6</v>
      </c>
      <c r="G50" s="29">
        <v>10</v>
      </c>
      <c r="H50" s="29">
        <v>1103413</v>
      </c>
      <c r="I50" s="29" t="s">
        <v>183</v>
      </c>
      <c r="J50" s="30">
        <v>4800</v>
      </c>
      <c r="K50" s="15">
        <v>270</v>
      </c>
      <c r="L50" s="15" t="s">
        <v>163</v>
      </c>
      <c r="M50" s="30"/>
      <c r="N50" s="30"/>
      <c r="O50" s="30"/>
      <c r="P50" s="31"/>
      <c r="Q50" s="31"/>
      <c r="R50" s="6">
        <v>1103251</v>
      </c>
      <c r="S50" s="32">
        <v>20</v>
      </c>
      <c r="T50" s="28" t="s">
        <v>184</v>
      </c>
    </row>
    <row r="51" s="12" customFormat="1" customHeight="1" spans="1:20">
      <c r="A51" s="29">
        <f t="shared" si="3"/>
        <v>1103007</v>
      </c>
      <c r="B51" s="29">
        <v>1103</v>
      </c>
      <c r="C51" s="29" t="s">
        <v>159</v>
      </c>
      <c r="D51" s="29" t="s">
        <v>160</v>
      </c>
      <c r="E51" s="25">
        <v>1</v>
      </c>
      <c r="F51" s="29">
        <v>7</v>
      </c>
      <c r="G51" s="29">
        <v>10</v>
      </c>
      <c r="H51" s="29">
        <v>1103414</v>
      </c>
      <c r="I51" s="29" t="s">
        <v>185</v>
      </c>
      <c r="J51" s="30">
        <v>5600</v>
      </c>
      <c r="K51" s="15">
        <v>315</v>
      </c>
      <c r="L51" s="15" t="s">
        <v>163</v>
      </c>
      <c r="M51" s="30"/>
      <c r="N51" s="30"/>
      <c r="O51" s="30"/>
      <c r="P51" s="31"/>
      <c r="Q51" s="31"/>
      <c r="R51" s="6">
        <v>1103252</v>
      </c>
      <c r="S51" s="32">
        <v>24</v>
      </c>
      <c r="T51" s="28" t="s">
        <v>186</v>
      </c>
    </row>
    <row r="52" s="12" customFormat="1" customHeight="1" spans="1:20">
      <c r="A52" s="29">
        <f t="shared" si="3"/>
        <v>1103008</v>
      </c>
      <c r="B52" s="29">
        <v>1103</v>
      </c>
      <c r="C52" s="29" t="s">
        <v>159</v>
      </c>
      <c r="D52" s="29" t="s">
        <v>160</v>
      </c>
      <c r="E52" s="25">
        <v>1</v>
      </c>
      <c r="F52" s="29">
        <v>8</v>
      </c>
      <c r="G52" s="29">
        <v>10</v>
      </c>
      <c r="H52" s="29">
        <v>1103415</v>
      </c>
      <c r="I52" s="29" t="s">
        <v>187</v>
      </c>
      <c r="J52" s="30">
        <v>6400</v>
      </c>
      <c r="K52" s="15">
        <v>360</v>
      </c>
      <c r="L52" s="15" t="s">
        <v>163</v>
      </c>
      <c r="M52" s="30" t="s">
        <v>188</v>
      </c>
      <c r="N52" s="30"/>
      <c r="O52" s="30"/>
      <c r="P52" s="31"/>
      <c r="Q52" s="31"/>
      <c r="R52" s="6">
        <v>1103253</v>
      </c>
      <c r="S52" s="32">
        <v>28</v>
      </c>
      <c r="T52" s="28" t="s">
        <v>189</v>
      </c>
    </row>
    <row r="53" s="12" customFormat="1" customHeight="1" spans="1:20">
      <c r="A53" s="29">
        <f t="shared" si="3"/>
        <v>1103009</v>
      </c>
      <c r="B53" s="29">
        <v>1103</v>
      </c>
      <c r="C53" s="29" t="s">
        <v>159</v>
      </c>
      <c r="D53" s="29" t="s">
        <v>160</v>
      </c>
      <c r="E53" s="25">
        <v>1</v>
      </c>
      <c r="F53" s="29">
        <v>9</v>
      </c>
      <c r="G53" s="29">
        <v>10</v>
      </c>
      <c r="H53" s="29"/>
      <c r="I53" s="29" t="s">
        <v>190</v>
      </c>
      <c r="J53" s="30">
        <v>7200</v>
      </c>
      <c r="K53" s="15">
        <v>405</v>
      </c>
      <c r="L53" s="15" t="s">
        <v>163</v>
      </c>
      <c r="M53" s="30"/>
      <c r="N53" s="30"/>
      <c r="O53" s="30"/>
      <c r="P53" s="31"/>
      <c r="Q53" s="31"/>
      <c r="R53" s="6">
        <v>1103273</v>
      </c>
      <c r="S53" s="32">
        <v>32</v>
      </c>
      <c r="T53" s="28" t="s">
        <v>191</v>
      </c>
    </row>
    <row r="54" s="12" customFormat="1" customHeight="1" spans="1:20">
      <c r="A54" s="29">
        <f t="shared" si="3"/>
        <v>1103010</v>
      </c>
      <c r="B54" s="29">
        <v>1103</v>
      </c>
      <c r="C54" s="29" t="s">
        <v>159</v>
      </c>
      <c r="D54" s="29" t="s">
        <v>160</v>
      </c>
      <c r="E54" s="25">
        <v>1</v>
      </c>
      <c r="F54" s="29">
        <v>10</v>
      </c>
      <c r="G54" s="29">
        <v>10</v>
      </c>
      <c r="H54" s="29"/>
      <c r="I54" s="29" t="s">
        <v>192</v>
      </c>
      <c r="J54" s="30">
        <v>8000</v>
      </c>
      <c r="K54" s="15">
        <v>450</v>
      </c>
      <c r="L54" s="15" t="s">
        <v>163</v>
      </c>
      <c r="N54" s="30">
        <v>20</v>
      </c>
      <c r="O54" s="30"/>
      <c r="P54" s="31"/>
      <c r="Q54" s="31"/>
      <c r="R54" s="6">
        <v>1103274</v>
      </c>
      <c r="S54" s="32">
        <v>36</v>
      </c>
      <c r="T54" s="28" t="s">
        <v>193</v>
      </c>
    </row>
    <row r="55" s="13" customFormat="1" customHeight="1" spans="1:20">
      <c r="A55" s="29">
        <f t="shared" ref="A55:A86" si="4">B55*1000+F55</f>
        <v>1103011</v>
      </c>
      <c r="B55" s="29">
        <v>1103</v>
      </c>
      <c r="C55" s="29" t="s">
        <v>159</v>
      </c>
      <c r="D55" s="29" t="s">
        <v>160</v>
      </c>
      <c r="E55" s="25">
        <v>1</v>
      </c>
      <c r="F55" s="29">
        <v>11</v>
      </c>
      <c r="G55" s="29">
        <v>10</v>
      </c>
      <c r="H55" s="29"/>
      <c r="I55" s="29" t="s">
        <v>194</v>
      </c>
      <c r="J55" s="30">
        <v>8800</v>
      </c>
      <c r="K55" s="15">
        <v>495</v>
      </c>
      <c r="L55" s="15" t="s">
        <v>163</v>
      </c>
      <c r="M55" s="30" t="s">
        <v>195</v>
      </c>
      <c r="N55" s="30"/>
      <c r="O55" s="30"/>
      <c r="P55" s="31"/>
      <c r="Q55" s="31"/>
      <c r="R55" s="6">
        <v>1103275</v>
      </c>
      <c r="S55" s="32">
        <v>40</v>
      </c>
      <c r="T55" s="28" t="s">
        <v>196</v>
      </c>
    </row>
    <row r="56" s="13" customFormat="1" customHeight="1" spans="1:20">
      <c r="A56" s="29">
        <f t="shared" si="4"/>
        <v>1103012</v>
      </c>
      <c r="B56" s="29">
        <v>1103</v>
      </c>
      <c r="C56" s="29" t="s">
        <v>159</v>
      </c>
      <c r="D56" s="29" t="s">
        <v>160</v>
      </c>
      <c r="E56" s="25">
        <v>1</v>
      </c>
      <c r="F56" s="29">
        <v>12</v>
      </c>
      <c r="G56" s="29">
        <v>10</v>
      </c>
      <c r="H56" s="29"/>
      <c r="I56" s="29" t="s">
        <v>197</v>
      </c>
      <c r="J56" s="30">
        <v>9600</v>
      </c>
      <c r="K56" s="15">
        <v>540</v>
      </c>
      <c r="L56" s="15" t="s">
        <v>163</v>
      </c>
      <c r="M56" s="30"/>
      <c r="N56" s="30"/>
      <c r="O56" s="30"/>
      <c r="P56" s="31"/>
      <c r="Q56" s="31"/>
      <c r="R56" s="6">
        <v>1103268</v>
      </c>
      <c r="S56" s="32">
        <v>44</v>
      </c>
      <c r="T56" s="28" t="s">
        <v>198</v>
      </c>
    </row>
    <row r="57" s="13" customFormat="1" customHeight="1" spans="1:20">
      <c r="A57" s="29">
        <f t="shared" si="4"/>
        <v>1103013</v>
      </c>
      <c r="B57" s="29">
        <v>1103</v>
      </c>
      <c r="C57" s="29" t="s">
        <v>159</v>
      </c>
      <c r="D57" s="29" t="s">
        <v>160</v>
      </c>
      <c r="E57" s="25">
        <v>1</v>
      </c>
      <c r="F57" s="29">
        <v>13</v>
      </c>
      <c r="G57" s="29">
        <v>10</v>
      </c>
      <c r="H57" s="29"/>
      <c r="I57" s="29" t="s">
        <v>199</v>
      </c>
      <c r="J57" s="30">
        <v>10400</v>
      </c>
      <c r="K57" s="15">
        <v>585</v>
      </c>
      <c r="L57" s="15" t="s">
        <v>163</v>
      </c>
      <c r="M57" s="30"/>
      <c r="N57" s="30"/>
      <c r="O57" s="30"/>
      <c r="P57" s="31"/>
      <c r="Q57" s="31"/>
      <c r="R57" s="6">
        <v>1103270</v>
      </c>
      <c r="S57" s="32">
        <v>48</v>
      </c>
      <c r="T57" s="28" t="s">
        <v>200</v>
      </c>
    </row>
    <row r="58" s="13" customFormat="1" customHeight="1" spans="1:20">
      <c r="A58" s="29">
        <f t="shared" si="4"/>
        <v>1103014</v>
      </c>
      <c r="B58" s="29">
        <v>1103</v>
      </c>
      <c r="C58" s="29" t="s">
        <v>159</v>
      </c>
      <c r="D58" s="29" t="s">
        <v>160</v>
      </c>
      <c r="E58" s="25">
        <v>1</v>
      </c>
      <c r="F58" s="29">
        <v>14</v>
      </c>
      <c r="G58" s="29">
        <v>10</v>
      </c>
      <c r="H58" s="29"/>
      <c r="I58" s="29" t="s">
        <v>201</v>
      </c>
      <c r="J58" s="30">
        <v>11200</v>
      </c>
      <c r="K58" s="15">
        <v>630</v>
      </c>
      <c r="L58" s="15" t="s">
        <v>163</v>
      </c>
      <c r="M58" s="30" t="s">
        <v>202</v>
      </c>
      <c r="N58" s="30"/>
      <c r="O58" s="30"/>
      <c r="P58" s="31"/>
      <c r="Q58" s="31"/>
      <c r="R58" s="6">
        <v>1103265</v>
      </c>
      <c r="S58" s="32">
        <v>52</v>
      </c>
      <c r="T58" s="28" t="s">
        <v>203</v>
      </c>
    </row>
    <row r="59" s="13" customFormat="1" customHeight="1" spans="1:20">
      <c r="A59" s="29">
        <f t="shared" si="4"/>
        <v>1103015</v>
      </c>
      <c r="B59" s="29">
        <v>1103</v>
      </c>
      <c r="C59" s="29" t="s">
        <v>159</v>
      </c>
      <c r="D59" s="29" t="s">
        <v>160</v>
      </c>
      <c r="E59" s="25">
        <v>1</v>
      </c>
      <c r="F59" s="29">
        <v>15</v>
      </c>
      <c r="G59" s="29">
        <v>10</v>
      </c>
      <c r="H59" s="29"/>
      <c r="I59" s="29" t="s">
        <v>204</v>
      </c>
      <c r="J59" s="30">
        <v>12000</v>
      </c>
      <c r="K59" s="15">
        <v>675</v>
      </c>
      <c r="L59" s="15" t="s">
        <v>163</v>
      </c>
      <c r="N59" s="30">
        <v>30</v>
      </c>
      <c r="O59" s="30"/>
      <c r="P59" s="31"/>
      <c r="Q59" s="31"/>
      <c r="R59" s="6">
        <v>1103266</v>
      </c>
      <c r="S59" s="32">
        <v>56</v>
      </c>
      <c r="T59" s="28" t="s">
        <v>205</v>
      </c>
    </row>
    <row r="60" s="13" customFormat="1" customHeight="1" spans="1:20">
      <c r="A60" s="29">
        <f t="shared" si="4"/>
        <v>1103016</v>
      </c>
      <c r="B60" s="29">
        <v>1103</v>
      </c>
      <c r="C60" s="29" t="s">
        <v>159</v>
      </c>
      <c r="D60" s="29" t="s">
        <v>160</v>
      </c>
      <c r="E60" s="25">
        <v>1</v>
      </c>
      <c r="F60" s="29">
        <v>16</v>
      </c>
      <c r="G60" s="29">
        <v>10</v>
      </c>
      <c r="H60" s="29"/>
      <c r="I60" s="29" t="s">
        <v>206</v>
      </c>
      <c r="J60" s="30">
        <v>12800</v>
      </c>
      <c r="K60" s="15">
        <v>720</v>
      </c>
      <c r="L60" s="15" t="s">
        <v>163</v>
      </c>
      <c r="M60" s="30" t="s">
        <v>207</v>
      </c>
      <c r="N60" s="30"/>
      <c r="O60" s="30"/>
      <c r="P60" s="31"/>
      <c r="Q60" s="31"/>
      <c r="R60" s="6">
        <v>1103267</v>
      </c>
      <c r="S60" s="32">
        <v>60</v>
      </c>
      <c r="T60" s="28" t="s">
        <v>208</v>
      </c>
    </row>
    <row r="61" s="13" customFormat="1" customHeight="1" spans="1:20">
      <c r="A61" s="29">
        <f t="shared" si="4"/>
        <v>1103017</v>
      </c>
      <c r="B61" s="29">
        <v>1103</v>
      </c>
      <c r="C61" s="29" t="s">
        <v>159</v>
      </c>
      <c r="D61" s="29" t="s">
        <v>160</v>
      </c>
      <c r="E61" s="25">
        <v>1</v>
      </c>
      <c r="F61" s="29">
        <v>17</v>
      </c>
      <c r="G61" s="29">
        <v>10</v>
      </c>
      <c r="H61" s="29"/>
      <c r="I61" s="29" t="s">
        <v>209</v>
      </c>
      <c r="J61" s="30">
        <v>13600</v>
      </c>
      <c r="K61" s="15">
        <v>765</v>
      </c>
      <c r="L61" s="15" t="s">
        <v>163</v>
      </c>
      <c r="M61" s="30"/>
      <c r="N61" s="30"/>
      <c r="O61" s="30"/>
      <c r="P61" s="31"/>
      <c r="Q61" s="31"/>
      <c r="R61" s="6">
        <v>1103271</v>
      </c>
      <c r="S61" s="32">
        <v>64</v>
      </c>
      <c r="T61" s="28" t="s">
        <v>210</v>
      </c>
    </row>
    <row r="62" s="13" customFormat="1" customHeight="1" spans="1:20">
      <c r="A62" s="29">
        <f t="shared" si="4"/>
        <v>1103018</v>
      </c>
      <c r="B62" s="29">
        <v>1103</v>
      </c>
      <c r="C62" s="29" t="s">
        <v>159</v>
      </c>
      <c r="D62" s="29" t="s">
        <v>160</v>
      </c>
      <c r="E62" s="25">
        <v>1</v>
      </c>
      <c r="F62" s="29">
        <v>18</v>
      </c>
      <c r="G62" s="29">
        <v>10</v>
      </c>
      <c r="H62" s="29"/>
      <c r="I62" s="29" t="s">
        <v>211</v>
      </c>
      <c r="J62" s="30">
        <v>14400</v>
      </c>
      <c r="K62" s="15">
        <v>810</v>
      </c>
      <c r="L62" s="15" t="s">
        <v>163</v>
      </c>
      <c r="M62" s="30" t="s">
        <v>212</v>
      </c>
      <c r="N62" s="30"/>
      <c r="O62" s="30"/>
      <c r="P62" s="31"/>
      <c r="Q62" s="31"/>
      <c r="S62" s="32">
        <v>68</v>
      </c>
      <c r="T62" s="28" t="s">
        <v>213</v>
      </c>
    </row>
    <row r="63" s="13" customFormat="1" customHeight="1" spans="1:20">
      <c r="A63" s="29">
        <f t="shared" si="4"/>
        <v>1103019</v>
      </c>
      <c r="B63" s="29">
        <v>1103</v>
      </c>
      <c r="C63" s="29" t="s">
        <v>159</v>
      </c>
      <c r="D63" s="29" t="s">
        <v>160</v>
      </c>
      <c r="E63" s="25">
        <v>1</v>
      </c>
      <c r="F63" s="29">
        <v>19</v>
      </c>
      <c r="G63" s="29">
        <v>10</v>
      </c>
      <c r="H63" s="29"/>
      <c r="I63" s="29" t="s">
        <v>214</v>
      </c>
      <c r="J63" s="30">
        <v>15200</v>
      </c>
      <c r="K63" s="15">
        <v>855</v>
      </c>
      <c r="L63" s="15" t="s">
        <v>163</v>
      </c>
      <c r="M63" s="30"/>
      <c r="N63" s="30"/>
      <c r="O63" s="30"/>
      <c r="P63" s="31"/>
      <c r="Q63" s="31"/>
      <c r="S63" s="32">
        <v>72</v>
      </c>
      <c r="T63" s="28" t="s">
        <v>215</v>
      </c>
    </row>
    <row r="64" s="13" customFormat="1" customHeight="1" spans="1:20">
      <c r="A64" s="29">
        <f t="shared" si="4"/>
        <v>1103020</v>
      </c>
      <c r="B64" s="29">
        <v>1103</v>
      </c>
      <c r="C64" s="29" t="s">
        <v>159</v>
      </c>
      <c r="D64" s="29" t="s">
        <v>160</v>
      </c>
      <c r="E64" s="25">
        <v>1</v>
      </c>
      <c r="F64" s="29">
        <v>20</v>
      </c>
      <c r="G64" s="29">
        <v>10</v>
      </c>
      <c r="H64" s="29"/>
      <c r="I64" s="29" t="s">
        <v>216</v>
      </c>
      <c r="J64" s="30">
        <v>16000</v>
      </c>
      <c r="K64" s="15">
        <v>900</v>
      </c>
      <c r="L64" s="15" t="s">
        <v>163</v>
      </c>
      <c r="N64" s="30">
        <v>40</v>
      </c>
      <c r="O64" s="30"/>
      <c r="P64" s="31"/>
      <c r="Q64" s="31"/>
      <c r="S64" s="32">
        <v>76</v>
      </c>
      <c r="T64" s="28" t="s">
        <v>217</v>
      </c>
    </row>
    <row r="65" customHeight="1" spans="1:20">
      <c r="A65" s="25">
        <f t="shared" ref="A65:A74" si="5">B65*1000+F65</f>
        <v>1104001</v>
      </c>
      <c r="B65" s="25">
        <v>1104</v>
      </c>
      <c r="C65" s="25" t="s">
        <v>218</v>
      </c>
      <c r="D65" s="25" t="s">
        <v>219</v>
      </c>
      <c r="E65" s="25">
        <v>1</v>
      </c>
      <c r="F65" s="25">
        <v>1</v>
      </c>
      <c r="G65" s="25">
        <v>6</v>
      </c>
      <c r="H65" s="25" t="s">
        <v>220</v>
      </c>
      <c r="I65" s="25" t="s">
        <v>221</v>
      </c>
      <c r="J65" s="15">
        <v>700</v>
      </c>
      <c r="K65" s="15">
        <v>40</v>
      </c>
      <c r="L65" s="15" t="s">
        <v>222</v>
      </c>
      <c r="M65" s="15"/>
      <c r="N65" s="15"/>
      <c r="O65" s="15"/>
      <c r="P65" s="14" t="s">
        <v>223</v>
      </c>
      <c r="Q65" s="14" t="s">
        <v>224</v>
      </c>
      <c r="R65" s="5" t="s">
        <v>225</v>
      </c>
      <c r="S65" s="27">
        <v>2</v>
      </c>
      <c r="T65" s="28" t="s">
        <v>226</v>
      </c>
    </row>
    <row r="66" customHeight="1" spans="1:20">
      <c r="A66" s="25">
        <f t="shared" si="5"/>
        <v>1104002</v>
      </c>
      <c r="B66" s="25">
        <v>1104</v>
      </c>
      <c r="C66" s="25" t="s">
        <v>218</v>
      </c>
      <c r="D66" s="25" t="s">
        <v>219</v>
      </c>
      <c r="E66" s="25">
        <v>1</v>
      </c>
      <c r="F66" s="25">
        <v>2</v>
      </c>
      <c r="G66" s="25">
        <v>8</v>
      </c>
      <c r="H66" s="25" t="s">
        <v>227</v>
      </c>
      <c r="I66" s="25" t="s">
        <v>228</v>
      </c>
      <c r="J66" s="15">
        <v>1400</v>
      </c>
      <c r="K66" s="15">
        <v>80</v>
      </c>
      <c r="L66" s="15" t="s">
        <v>222</v>
      </c>
      <c r="M66" s="15"/>
      <c r="N66" s="15"/>
      <c r="O66" s="15"/>
      <c r="P66" s="14" t="s">
        <v>229</v>
      </c>
      <c r="Q66" s="14" t="s">
        <v>230</v>
      </c>
      <c r="R66" s="5">
        <v>1104256</v>
      </c>
      <c r="S66" s="27">
        <v>4</v>
      </c>
      <c r="T66" s="28" t="s">
        <v>231</v>
      </c>
    </row>
    <row r="67" customHeight="1" spans="1:20">
      <c r="A67" s="25">
        <f t="shared" si="5"/>
        <v>1104003</v>
      </c>
      <c r="B67" s="25">
        <v>1104</v>
      </c>
      <c r="C67" s="25" t="s">
        <v>218</v>
      </c>
      <c r="D67" s="25" t="s">
        <v>219</v>
      </c>
      <c r="E67" s="25">
        <v>1</v>
      </c>
      <c r="F67" s="25">
        <v>3</v>
      </c>
      <c r="G67" s="25">
        <v>10</v>
      </c>
      <c r="H67" s="25" t="s">
        <v>232</v>
      </c>
      <c r="I67" s="25" t="s">
        <v>233</v>
      </c>
      <c r="J67" s="15">
        <v>2100</v>
      </c>
      <c r="K67" s="15">
        <v>120</v>
      </c>
      <c r="L67" s="15" t="s">
        <v>222</v>
      </c>
      <c r="M67" s="15"/>
      <c r="N67" s="15"/>
      <c r="O67" s="15"/>
      <c r="P67" s="14" t="s">
        <v>234</v>
      </c>
      <c r="Q67" s="14" t="s">
        <v>235</v>
      </c>
      <c r="R67" s="5">
        <v>1104259</v>
      </c>
      <c r="S67" s="27">
        <v>8</v>
      </c>
      <c r="T67" s="28" t="s">
        <v>236</v>
      </c>
    </row>
    <row r="68" customHeight="1" spans="1:20">
      <c r="A68" s="25">
        <f t="shared" si="5"/>
        <v>1104004</v>
      </c>
      <c r="B68" s="25">
        <v>1104</v>
      </c>
      <c r="C68" s="25" t="s">
        <v>218</v>
      </c>
      <c r="D68" s="25" t="s">
        <v>219</v>
      </c>
      <c r="E68" s="25">
        <v>1</v>
      </c>
      <c r="F68" s="25">
        <v>4</v>
      </c>
      <c r="G68" s="25">
        <v>10</v>
      </c>
      <c r="H68" s="25">
        <v>1104411</v>
      </c>
      <c r="I68" s="25" t="s">
        <v>237</v>
      </c>
      <c r="J68" s="15">
        <v>2800</v>
      </c>
      <c r="K68" s="15">
        <v>160</v>
      </c>
      <c r="L68" s="15" t="s">
        <v>222</v>
      </c>
      <c r="M68" s="15" t="s">
        <v>238</v>
      </c>
      <c r="N68" s="15"/>
      <c r="O68" s="15"/>
      <c r="R68" s="5">
        <v>1104261</v>
      </c>
      <c r="S68" s="27">
        <v>12</v>
      </c>
      <c r="T68" s="28" t="s">
        <v>239</v>
      </c>
    </row>
    <row r="69" customHeight="1" spans="1:20">
      <c r="A69" s="25">
        <f t="shared" si="5"/>
        <v>1104005</v>
      </c>
      <c r="B69" s="25">
        <v>1104</v>
      </c>
      <c r="C69" s="25" t="s">
        <v>218</v>
      </c>
      <c r="D69" s="25" t="s">
        <v>219</v>
      </c>
      <c r="E69" s="25">
        <v>1</v>
      </c>
      <c r="F69" s="25">
        <v>5</v>
      </c>
      <c r="G69" s="25">
        <v>10</v>
      </c>
      <c r="H69" s="25">
        <v>1104412</v>
      </c>
      <c r="I69" s="25" t="s">
        <v>240</v>
      </c>
      <c r="J69" s="15">
        <v>3500</v>
      </c>
      <c r="K69" s="15">
        <v>200</v>
      </c>
      <c r="L69" s="15" t="s">
        <v>222</v>
      </c>
      <c r="N69" s="15">
        <v>10</v>
      </c>
      <c r="O69" s="15"/>
      <c r="R69" s="5">
        <v>1104251</v>
      </c>
      <c r="S69" s="27">
        <v>16</v>
      </c>
      <c r="T69" s="28" t="s">
        <v>241</v>
      </c>
    </row>
    <row r="70" customHeight="1" spans="1:20">
      <c r="A70" s="25">
        <f t="shared" si="5"/>
        <v>1104006</v>
      </c>
      <c r="B70" s="25">
        <v>1104</v>
      </c>
      <c r="C70" s="25" t="s">
        <v>218</v>
      </c>
      <c r="D70" s="25" t="s">
        <v>219</v>
      </c>
      <c r="E70" s="25">
        <v>1</v>
      </c>
      <c r="F70" s="25">
        <v>6</v>
      </c>
      <c r="G70" s="25">
        <v>10</v>
      </c>
      <c r="H70" s="25">
        <v>1104413</v>
      </c>
      <c r="I70" s="25" t="s">
        <v>242</v>
      </c>
      <c r="J70" s="15">
        <v>4200</v>
      </c>
      <c r="K70" s="15">
        <v>240</v>
      </c>
      <c r="L70" s="15" t="s">
        <v>222</v>
      </c>
      <c r="M70" s="15"/>
      <c r="N70" s="15"/>
      <c r="O70" s="15"/>
      <c r="R70" s="5">
        <v>1104252</v>
      </c>
      <c r="S70" s="27">
        <v>20</v>
      </c>
      <c r="T70" s="28" t="s">
        <v>243</v>
      </c>
    </row>
    <row r="71" customHeight="1" spans="1:20">
      <c r="A71" s="25">
        <f t="shared" si="5"/>
        <v>1104007</v>
      </c>
      <c r="B71" s="25">
        <v>1104</v>
      </c>
      <c r="C71" s="25" t="s">
        <v>218</v>
      </c>
      <c r="D71" s="25" t="s">
        <v>219</v>
      </c>
      <c r="E71" s="25">
        <v>1</v>
      </c>
      <c r="F71" s="25">
        <v>7</v>
      </c>
      <c r="G71" s="25">
        <v>10</v>
      </c>
      <c r="H71" s="25">
        <v>1104414</v>
      </c>
      <c r="I71" s="25" t="s">
        <v>244</v>
      </c>
      <c r="J71" s="15">
        <v>4900</v>
      </c>
      <c r="K71" s="15">
        <v>280</v>
      </c>
      <c r="L71" s="15" t="s">
        <v>222</v>
      </c>
      <c r="M71" s="15"/>
      <c r="N71" s="15"/>
      <c r="O71" s="15"/>
      <c r="R71" s="5">
        <v>1104253</v>
      </c>
      <c r="S71" s="27">
        <v>24</v>
      </c>
      <c r="T71" s="28" t="s">
        <v>245</v>
      </c>
    </row>
    <row r="72" customHeight="1" spans="1:20">
      <c r="A72" s="25">
        <f t="shared" si="5"/>
        <v>1104008</v>
      </c>
      <c r="B72" s="25">
        <v>1104</v>
      </c>
      <c r="C72" s="25" t="s">
        <v>218</v>
      </c>
      <c r="D72" s="25" t="s">
        <v>219</v>
      </c>
      <c r="E72" s="25">
        <v>1</v>
      </c>
      <c r="F72" s="25">
        <v>8</v>
      </c>
      <c r="G72" s="25">
        <v>10</v>
      </c>
      <c r="H72" s="25">
        <v>1104415</v>
      </c>
      <c r="I72" s="25" t="s">
        <v>246</v>
      </c>
      <c r="J72" s="15">
        <v>5600</v>
      </c>
      <c r="K72" s="15">
        <v>320</v>
      </c>
      <c r="L72" s="15" t="s">
        <v>222</v>
      </c>
      <c r="M72" s="15" t="s">
        <v>247</v>
      </c>
      <c r="N72" s="15"/>
      <c r="O72" s="15"/>
      <c r="R72" s="5">
        <v>1104270</v>
      </c>
      <c r="S72" s="27">
        <v>28</v>
      </c>
      <c r="T72" s="28" t="s">
        <v>248</v>
      </c>
    </row>
    <row r="73" customHeight="1" spans="1:20">
      <c r="A73" s="25">
        <f t="shared" si="5"/>
        <v>1104009</v>
      </c>
      <c r="B73" s="25">
        <v>1104</v>
      </c>
      <c r="C73" s="25" t="s">
        <v>218</v>
      </c>
      <c r="D73" s="25" t="s">
        <v>219</v>
      </c>
      <c r="E73" s="25">
        <v>1</v>
      </c>
      <c r="F73" s="25">
        <v>9</v>
      </c>
      <c r="G73" s="25">
        <v>10</v>
      </c>
      <c r="H73" s="25"/>
      <c r="I73" s="25" t="s">
        <v>249</v>
      </c>
      <c r="J73" s="15">
        <v>6300</v>
      </c>
      <c r="K73" s="15">
        <v>360</v>
      </c>
      <c r="L73" s="15" t="s">
        <v>222</v>
      </c>
      <c r="M73" s="15"/>
      <c r="N73" s="15"/>
      <c r="O73" s="15"/>
      <c r="R73" s="5">
        <v>1104271</v>
      </c>
      <c r="S73" s="27">
        <v>32</v>
      </c>
      <c r="T73" s="28" t="s">
        <v>250</v>
      </c>
    </row>
    <row r="74" customHeight="1" spans="1:20">
      <c r="A74" s="25">
        <f t="shared" si="5"/>
        <v>1104010</v>
      </c>
      <c r="B74" s="25">
        <v>1104</v>
      </c>
      <c r="C74" s="25" t="s">
        <v>218</v>
      </c>
      <c r="D74" s="25" t="s">
        <v>219</v>
      </c>
      <c r="E74" s="25">
        <v>1</v>
      </c>
      <c r="F74" s="25">
        <v>10</v>
      </c>
      <c r="G74" s="25">
        <v>10</v>
      </c>
      <c r="H74" s="25"/>
      <c r="I74" s="25" t="s">
        <v>251</v>
      </c>
      <c r="J74" s="15">
        <v>7000</v>
      </c>
      <c r="K74" s="15">
        <v>400</v>
      </c>
      <c r="L74" s="15" t="s">
        <v>222</v>
      </c>
      <c r="N74" s="15">
        <v>20</v>
      </c>
      <c r="O74" s="15"/>
      <c r="R74" s="5">
        <v>1104272</v>
      </c>
      <c r="S74" s="27">
        <v>36</v>
      </c>
      <c r="T74" s="28" t="s">
        <v>252</v>
      </c>
    </row>
    <row r="75" customHeight="1" spans="1:20">
      <c r="A75" s="25">
        <f t="shared" ref="A75:A106" si="6">B75*1000+F75</f>
        <v>1104011</v>
      </c>
      <c r="B75" s="25">
        <v>1104</v>
      </c>
      <c r="C75" s="25" t="s">
        <v>218</v>
      </c>
      <c r="D75" s="25" t="s">
        <v>219</v>
      </c>
      <c r="E75" s="25">
        <v>1</v>
      </c>
      <c r="F75" s="25">
        <v>11</v>
      </c>
      <c r="G75" s="25">
        <v>10</v>
      </c>
      <c r="H75" s="25"/>
      <c r="I75" s="25" t="s">
        <v>253</v>
      </c>
      <c r="J75" s="15">
        <v>7700</v>
      </c>
      <c r="K75" s="15">
        <v>440</v>
      </c>
      <c r="L75" s="15" t="s">
        <v>222</v>
      </c>
      <c r="M75" s="15" t="s">
        <v>254</v>
      </c>
      <c r="N75" s="15"/>
      <c r="O75" s="15"/>
      <c r="R75" s="5">
        <v>1104265</v>
      </c>
      <c r="S75" s="27">
        <v>40</v>
      </c>
      <c r="T75" s="10" t="s">
        <v>255</v>
      </c>
    </row>
    <row r="76" customHeight="1" spans="1:20">
      <c r="A76" s="25">
        <f t="shared" si="6"/>
        <v>1104012</v>
      </c>
      <c r="B76" s="25">
        <v>1104</v>
      </c>
      <c r="C76" s="25" t="s">
        <v>218</v>
      </c>
      <c r="D76" s="25" t="s">
        <v>219</v>
      </c>
      <c r="E76" s="25">
        <v>1</v>
      </c>
      <c r="F76" s="25">
        <v>12</v>
      </c>
      <c r="G76" s="25">
        <v>10</v>
      </c>
      <c r="H76" s="25"/>
      <c r="I76" s="25" t="s">
        <v>256</v>
      </c>
      <c r="J76" s="15">
        <v>8400</v>
      </c>
      <c r="K76" s="15">
        <v>480</v>
      </c>
      <c r="L76" s="15" t="s">
        <v>222</v>
      </c>
      <c r="M76" s="15"/>
      <c r="N76" s="15"/>
      <c r="O76" s="15"/>
      <c r="R76" s="5">
        <v>1104267</v>
      </c>
      <c r="S76" s="27">
        <v>44</v>
      </c>
      <c r="T76" s="28" t="s">
        <v>257</v>
      </c>
    </row>
    <row r="77" customHeight="1" spans="1:20">
      <c r="A77" s="25">
        <f t="shared" si="6"/>
        <v>1104013</v>
      </c>
      <c r="B77" s="25">
        <v>1104</v>
      </c>
      <c r="C77" s="25" t="s">
        <v>218</v>
      </c>
      <c r="D77" s="25" t="s">
        <v>219</v>
      </c>
      <c r="E77" s="25">
        <v>1</v>
      </c>
      <c r="F77" s="25">
        <v>13</v>
      </c>
      <c r="G77" s="25">
        <v>10</v>
      </c>
      <c r="H77" s="25"/>
      <c r="I77" s="25" t="s">
        <v>258</v>
      </c>
      <c r="J77" s="15">
        <v>9100</v>
      </c>
      <c r="K77" s="15">
        <v>520</v>
      </c>
      <c r="L77" s="15" t="s">
        <v>222</v>
      </c>
      <c r="M77" s="15"/>
      <c r="N77" s="15"/>
      <c r="O77" s="15"/>
      <c r="R77" s="5">
        <v>1104262</v>
      </c>
      <c r="S77" s="27">
        <v>48</v>
      </c>
      <c r="T77" s="28" t="s">
        <v>259</v>
      </c>
    </row>
    <row r="78" customHeight="1" spans="1:20">
      <c r="A78" s="25">
        <f t="shared" si="6"/>
        <v>1104014</v>
      </c>
      <c r="B78" s="25">
        <v>1104</v>
      </c>
      <c r="C78" s="25" t="s">
        <v>218</v>
      </c>
      <c r="D78" s="25" t="s">
        <v>219</v>
      </c>
      <c r="E78" s="25">
        <v>1</v>
      </c>
      <c r="F78" s="25">
        <v>14</v>
      </c>
      <c r="G78" s="25">
        <v>10</v>
      </c>
      <c r="H78" s="25"/>
      <c r="I78" s="25" t="s">
        <v>260</v>
      </c>
      <c r="J78" s="15">
        <v>9800</v>
      </c>
      <c r="K78" s="15">
        <v>560</v>
      </c>
      <c r="L78" s="15" t="s">
        <v>222</v>
      </c>
      <c r="M78" s="15" t="s">
        <v>261</v>
      </c>
      <c r="N78" s="15"/>
      <c r="O78" s="15"/>
      <c r="R78" s="5">
        <v>1104263</v>
      </c>
      <c r="S78" s="27">
        <v>52</v>
      </c>
      <c r="T78" s="28" t="s">
        <v>262</v>
      </c>
    </row>
    <row r="79" customHeight="1" spans="1:20">
      <c r="A79" s="25">
        <f t="shared" si="6"/>
        <v>1104015</v>
      </c>
      <c r="B79" s="25">
        <v>1104</v>
      </c>
      <c r="C79" s="25" t="s">
        <v>218</v>
      </c>
      <c r="D79" s="25" t="s">
        <v>219</v>
      </c>
      <c r="E79" s="25">
        <v>1</v>
      </c>
      <c r="F79" s="25">
        <v>15</v>
      </c>
      <c r="G79" s="25">
        <v>10</v>
      </c>
      <c r="H79" s="25"/>
      <c r="I79" s="25" t="s">
        <v>263</v>
      </c>
      <c r="J79" s="15">
        <v>10500</v>
      </c>
      <c r="K79" s="15">
        <v>600</v>
      </c>
      <c r="L79" s="15" t="s">
        <v>222</v>
      </c>
      <c r="N79" s="15">
        <v>30</v>
      </c>
      <c r="O79" s="15"/>
      <c r="R79" s="5">
        <v>1104264</v>
      </c>
      <c r="S79" s="27">
        <v>56</v>
      </c>
      <c r="T79" s="28" t="s">
        <v>264</v>
      </c>
    </row>
    <row r="80" customHeight="1" spans="1:20">
      <c r="A80" s="25">
        <f t="shared" si="6"/>
        <v>1104016</v>
      </c>
      <c r="B80" s="25">
        <v>1104</v>
      </c>
      <c r="C80" s="25" t="s">
        <v>218</v>
      </c>
      <c r="D80" s="25" t="s">
        <v>219</v>
      </c>
      <c r="E80" s="25">
        <v>1</v>
      </c>
      <c r="F80" s="25">
        <v>16</v>
      </c>
      <c r="G80" s="25">
        <v>10</v>
      </c>
      <c r="H80" s="25"/>
      <c r="I80" s="25" t="s">
        <v>265</v>
      </c>
      <c r="J80" s="15">
        <v>11200</v>
      </c>
      <c r="K80" s="15">
        <v>640</v>
      </c>
      <c r="L80" s="15" t="s">
        <v>222</v>
      </c>
      <c r="M80" s="15" t="s">
        <v>266</v>
      </c>
      <c r="N80" s="15"/>
      <c r="O80" s="15"/>
      <c r="R80" s="5">
        <v>1104268</v>
      </c>
      <c r="S80" s="27">
        <v>60</v>
      </c>
      <c r="T80" s="28" t="s">
        <v>267</v>
      </c>
    </row>
    <row r="81" customHeight="1" spans="1:20">
      <c r="A81" s="25">
        <f t="shared" si="6"/>
        <v>1104017</v>
      </c>
      <c r="B81" s="25">
        <v>1104</v>
      </c>
      <c r="C81" s="25" t="s">
        <v>218</v>
      </c>
      <c r="D81" s="25" t="s">
        <v>219</v>
      </c>
      <c r="E81" s="25">
        <v>1</v>
      </c>
      <c r="F81" s="25">
        <v>17</v>
      </c>
      <c r="G81" s="25">
        <v>10</v>
      </c>
      <c r="H81" s="25"/>
      <c r="I81" s="25" t="s">
        <v>268</v>
      </c>
      <c r="J81" s="15">
        <v>11900</v>
      </c>
      <c r="K81" s="15">
        <v>680</v>
      </c>
      <c r="L81" s="15" t="s">
        <v>222</v>
      </c>
      <c r="M81" s="15"/>
      <c r="N81" s="15"/>
      <c r="O81" s="15"/>
      <c r="S81" s="27">
        <v>64</v>
      </c>
      <c r="T81" s="28" t="s">
        <v>269</v>
      </c>
    </row>
    <row r="82" customHeight="1" spans="1:20">
      <c r="A82" s="25">
        <f t="shared" si="6"/>
        <v>1104018</v>
      </c>
      <c r="B82" s="25">
        <v>1104</v>
      </c>
      <c r="C82" s="25" t="s">
        <v>218</v>
      </c>
      <c r="D82" s="25" t="s">
        <v>219</v>
      </c>
      <c r="E82" s="25">
        <v>1</v>
      </c>
      <c r="F82" s="25">
        <v>18</v>
      </c>
      <c r="G82" s="25">
        <v>10</v>
      </c>
      <c r="H82" s="25"/>
      <c r="I82" s="25" t="s">
        <v>270</v>
      </c>
      <c r="J82" s="15">
        <v>12600</v>
      </c>
      <c r="K82" s="15">
        <v>720</v>
      </c>
      <c r="L82" s="15" t="s">
        <v>222</v>
      </c>
      <c r="M82" s="15" t="s">
        <v>271</v>
      </c>
      <c r="N82" s="15"/>
      <c r="O82" s="15"/>
      <c r="S82" s="27">
        <v>68</v>
      </c>
      <c r="T82" s="28" t="s">
        <v>272</v>
      </c>
    </row>
    <row r="83" customHeight="1" spans="1:20">
      <c r="A83" s="25">
        <f t="shared" si="6"/>
        <v>1104019</v>
      </c>
      <c r="B83" s="25">
        <v>1104</v>
      </c>
      <c r="C83" s="25" t="s">
        <v>218</v>
      </c>
      <c r="D83" s="25" t="s">
        <v>219</v>
      </c>
      <c r="E83" s="25">
        <v>1</v>
      </c>
      <c r="F83" s="25">
        <v>19</v>
      </c>
      <c r="G83" s="25">
        <v>10</v>
      </c>
      <c r="H83" s="25"/>
      <c r="I83" s="25" t="s">
        <v>273</v>
      </c>
      <c r="J83" s="15">
        <v>13300</v>
      </c>
      <c r="K83" s="15">
        <v>760</v>
      </c>
      <c r="L83" s="15" t="s">
        <v>222</v>
      </c>
      <c r="M83" s="15"/>
      <c r="N83" s="15"/>
      <c r="O83" s="15"/>
      <c r="S83" s="27">
        <v>72</v>
      </c>
      <c r="T83" s="10" t="s">
        <v>274</v>
      </c>
    </row>
    <row r="84" customHeight="1" spans="1:20">
      <c r="A84" s="25">
        <f t="shared" si="6"/>
        <v>1104020</v>
      </c>
      <c r="B84" s="25">
        <v>1104</v>
      </c>
      <c r="C84" s="25" t="s">
        <v>218</v>
      </c>
      <c r="D84" s="25" t="s">
        <v>219</v>
      </c>
      <c r="E84" s="25">
        <v>1</v>
      </c>
      <c r="F84" s="25">
        <v>20</v>
      </c>
      <c r="G84" s="25">
        <v>10</v>
      </c>
      <c r="H84" s="25"/>
      <c r="I84" s="25" t="s">
        <v>275</v>
      </c>
      <c r="J84" s="15">
        <v>14000</v>
      </c>
      <c r="K84" s="15">
        <v>800</v>
      </c>
      <c r="L84" s="15" t="s">
        <v>222</v>
      </c>
      <c r="N84" s="15">
        <v>40</v>
      </c>
      <c r="O84" s="15"/>
      <c r="S84" s="27">
        <v>76</v>
      </c>
      <c r="T84" s="28" t="s">
        <v>276</v>
      </c>
    </row>
    <row r="85" s="12" customFormat="1" customHeight="1" spans="1:20">
      <c r="A85" s="29">
        <f t="shared" ref="A85:A94" si="7">B85*1000+F85</f>
        <v>1105001</v>
      </c>
      <c r="B85" s="29">
        <v>1105</v>
      </c>
      <c r="C85" s="29" t="s">
        <v>277</v>
      </c>
      <c r="D85" s="29" t="s">
        <v>278</v>
      </c>
      <c r="E85" s="25">
        <v>1</v>
      </c>
      <c r="F85" s="29">
        <v>1</v>
      </c>
      <c r="G85" s="29">
        <v>6</v>
      </c>
      <c r="H85" s="29" t="s">
        <v>279</v>
      </c>
      <c r="I85" s="29" t="s">
        <v>280</v>
      </c>
      <c r="J85" s="30">
        <v>600</v>
      </c>
      <c r="K85" s="15">
        <v>35</v>
      </c>
      <c r="L85" s="15" t="s">
        <v>281</v>
      </c>
      <c r="M85" s="30"/>
      <c r="N85" s="30"/>
      <c r="O85" s="30"/>
      <c r="P85" s="31" t="s">
        <v>282</v>
      </c>
      <c r="Q85" s="33" t="s">
        <v>283</v>
      </c>
      <c r="R85" s="6" t="s">
        <v>284</v>
      </c>
      <c r="S85" s="32">
        <v>2</v>
      </c>
      <c r="T85" s="28" t="s">
        <v>285</v>
      </c>
    </row>
    <row r="86" s="12" customFormat="1" customHeight="1" spans="1:20">
      <c r="A86" s="29">
        <f t="shared" si="7"/>
        <v>1105002</v>
      </c>
      <c r="B86" s="29">
        <v>1105</v>
      </c>
      <c r="C86" s="29" t="s">
        <v>277</v>
      </c>
      <c r="D86" s="29" t="s">
        <v>278</v>
      </c>
      <c r="E86" s="25">
        <v>1</v>
      </c>
      <c r="F86" s="29">
        <v>2</v>
      </c>
      <c r="G86" s="29">
        <v>8</v>
      </c>
      <c r="H86" s="29" t="s">
        <v>286</v>
      </c>
      <c r="I86" s="29" t="s">
        <v>287</v>
      </c>
      <c r="J86" s="30">
        <v>1200</v>
      </c>
      <c r="K86" s="15">
        <v>70</v>
      </c>
      <c r="L86" s="15" t="s">
        <v>281</v>
      </c>
      <c r="M86" s="30"/>
      <c r="N86" s="30"/>
      <c r="O86" s="30"/>
      <c r="P86" s="31" t="s">
        <v>288</v>
      </c>
      <c r="Q86" s="33" t="s">
        <v>289</v>
      </c>
      <c r="R86" s="6">
        <v>1105263</v>
      </c>
      <c r="S86" s="32">
        <v>4</v>
      </c>
      <c r="T86" s="28" t="s">
        <v>290</v>
      </c>
    </row>
    <row r="87" s="12" customFormat="1" customHeight="1" spans="1:20">
      <c r="A87" s="29">
        <f t="shared" si="7"/>
        <v>1105003</v>
      </c>
      <c r="B87" s="29">
        <v>1105</v>
      </c>
      <c r="C87" s="29" t="s">
        <v>277</v>
      </c>
      <c r="D87" s="29" t="s">
        <v>278</v>
      </c>
      <c r="E87" s="25">
        <v>1</v>
      </c>
      <c r="F87" s="29">
        <v>3</v>
      </c>
      <c r="G87" s="29">
        <v>10</v>
      </c>
      <c r="H87" s="29" t="s">
        <v>291</v>
      </c>
      <c r="I87" s="29" t="s">
        <v>292</v>
      </c>
      <c r="J87" s="30">
        <v>1800</v>
      </c>
      <c r="K87" s="15">
        <v>105</v>
      </c>
      <c r="L87" s="15" t="s">
        <v>281</v>
      </c>
      <c r="M87" s="30"/>
      <c r="N87" s="30"/>
      <c r="O87" s="30"/>
      <c r="P87" s="31" t="s">
        <v>293</v>
      </c>
      <c r="Q87" s="33" t="s">
        <v>294</v>
      </c>
      <c r="R87" s="6">
        <v>1105256</v>
      </c>
      <c r="S87" s="32">
        <v>8</v>
      </c>
      <c r="T87" s="28" t="s">
        <v>295</v>
      </c>
    </row>
    <row r="88" s="12" customFormat="1" customHeight="1" spans="1:20">
      <c r="A88" s="29">
        <f t="shared" si="7"/>
        <v>1105004</v>
      </c>
      <c r="B88" s="29">
        <v>1105</v>
      </c>
      <c r="C88" s="29" t="s">
        <v>277</v>
      </c>
      <c r="D88" s="29" t="s">
        <v>278</v>
      </c>
      <c r="E88" s="25">
        <v>1</v>
      </c>
      <c r="F88" s="29">
        <v>4</v>
      </c>
      <c r="G88" s="29">
        <v>10</v>
      </c>
      <c r="H88" s="29">
        <v>1105411</v>
      </c>
      <c r="I88" s="29" t="s">
        <v>296</v>
      </c>
      <c r="J88" s="30">
        <v>2400</v>
      </c>
      <c r="K88" s="15">
        <v>140</v>
      </c>
      <c r="L88" s="15" t="s">
        <v>281</v>
      </c>
      <c r="M88" s="30" t="s">
        <v>297</v>
      </c>
      <c r="N88" s="30"/>
      <c r="O88" s="30"/>
      <c r="P88" s="31"/>
      <c r="Q88" s="33"/>
      <c r="R88" s="6">
        <v>1105257</v>
      </c>
      <c r="S88" s="32">
        <v>12</v>
      </c>
      <c r="T88" s="28" t="s">
        <v>298</v>
      </c>
    </row>
    <row r="89" s="12" customFormat="1" customHeight="1" spans="1:20">
      <c r="A89" s="29">
        <f t="shared" si="7"/>
        <v>1105005</v>
      </c>
      <c r="B89" s="29">
        <v>1105</v>
      </c>
      <c r="C89" s="29" t="s">
        <v>277</v>
      </c>
      <c r="D89" s="29" t="s">
        <v>278</v>
      </c>
      <c r="E89" s="25">
        <v>1</v>
      </c>
      <c r="F89" s="29">
        <v>5</v>
      </c>
      <c r="G89" s="29">
        <v>10</v>
      </c>
      <c r="H89" s="29">
        <v>1105412</v>
      </c>
      <c r="I89" s="29" t="s">
        <v>299</v>
      </c>
      <c r="J89" s="30">
        <v>3000</v>
      </c>
      <c r="K89" s="15">
        <v>175</v>
      </c>
      <c r="L89" s="15" t="s">
        <v>281</v>
      </c>
      <c r="M89" s="30"/>
      <c r="N89" s="30">
        <v>10</v>
      </c>
      <c r="O89" s="30"/>
      <c r="P89" s="31"/>
      <c r="Q89" s="33"/>
      <c r="R89" s="6">
        <v>1105262</v>
      </c>
      <c r="S89" s="32">
        <v>16</v>
      </c>
      <c r="T89" s="28" t="s">
        <v>300</v>
      </c>
    </row>
    <row r="90" s="12" customFormat="1" customHeight="1" spans="1:20">
      <c r="A90" s="29">
        <f t="shared" si="7"/>
        <v>1105006</v>
      </c>
      <c r="B90" s="29">
        <v>1105</v>
      </c>
      <c r="C90" s="29" t="s">
        <v>277</v>
      </c>
      <c r="D90" s="29" t="s">
        <v>278</v>
      </c>
      <c r="E90" s="25">
        <v>1</v>
      </c>
      <c r="F90" s="29">
        <v>6</v>
      </c>
      <c r="G90" s="29">
        <v>10</v>
      </c>
      <c r="H90" s="29">
        <v>1105413</v>
      </c>
      <c r="I90" s="29" t="s">
        <v>301</v>
      </c>
      <c r="J90" s="30">
        <v>3600</v>
      </c>
      <c r="K90" s="15">
        <v>210</v>
      </c>
      <c r="L90" s="15" t="s">
        <v>281</v>
      </c>
      <c r="M90" s="30"/>
      <c r="N90" s="30"/>
      <c r="O90" s="30"/>
      <c r="P90" s="31"/>
      <c r="Q90" s="33"/>
      <c r="R90" s="6">
        <v>1105251</v>
      </c>
      <c r="S90" s="32">
        <v>20</v>
      </c>
      <c r="T90" s="28" t="s">
        <v>302</v>
      </c>
    </row>
    <row r="91" s="12" customFormat="1" customHeight="1" spans="1:20">
      <c r="A91" s="29">
        <f t="shared" si="7"/>
        <v>1105007</v>
      </c>
      <c r="B91" s="29">
        <v>1105</v>
      </c>
      <c r="C91" s="29" t="s">
        <v>277</v>
      </c>
      <c r="D91" s="29" t="s">
        <v>278</v>
      </c>
      <c r="E91" s="25">
        <v>1</v>
      </c>
      <c r="F91" s="29">
        <v>7</v>
      </c>
      <c r="G91" s="29">
        <v>10</v>
      </c>
      <c r="H91" s="29">
        <v>1105414</v>
      </c>
      <c r="I91" s="29" t="s">
        <v>303</v>
      </c>
      <c r="J91" s="30">
        <v>4200</v>
      </c>
      <c r="K91" s="15">
        <v>245</v>
      </c>
      <c r="L91" s="15" t="s">
        <v>281</v>
      </c>
      <c r="M91" s="30"/>
      <c r="N91" s="30"/>
      <c r="O91" s="30"/>
      <c r="P91" s="31"/>
      <c r="Q91" s="33"/>
      <c r="R91" s="6">
        <v>1105252</v>
      </c>
      <c r="S91" s="32">
        <v>24</v>
      </c>
      <c r="T91" s="28" t="s">
        <v>304</v>
      </c>
    </row>
    <row r="92" s="12" customFormat="1" customHeight="1" spans="1:20">
      <c r="A92" s="29">
        <f t="shared" si="7"/>
        <v>1105008</v>
      </c>
      <c r="B92" s="29">
        <v>1105</v>
      </c>
      <c r="C92" s="29" t="s">
        <v>277</v>
      </c>
      <c r="D92" s="29" t="s">
        <v>278</v>
      </c>
      <c r="E92" s="25">
        <v>1</v>
      </c>
      <c r="F92" s="29">
        <v>8</v>
      </c>
      <c r="G92" s="29">
        <v>10</v>
      </c>
      <c r="H92" s="29">
        <v>1105415</v>
      </c>
      <c r="I92" s="29" t="s">
        <v>305</v>
      </c>
      <c r="J92" s="30">
        <v>4800</v>
      </c>
      <c r="K92" s="15">
        <v>280</v>
      </c>
      <c r="L92" s="15" t="s">
        <v>281</v>
      </c>
      <c r="M92" s="30" t="s">
        <v>306</v>
      </c>
      <c r="N92" s="30"/>
      <c r="O92" s="30"/>
      <c r="P92" s="31"/>
      <c r="Q92" s="33"/>
      <c r="R92" s="6">
        <v>1105253</v>
      </c>
      <c r="S92" s="32">
        <v>28</v>
      </c>
      <c r="T92" s="28" t="s">
        <v>307</v>
      </c>
    </row>
    <row r="93" s="12" customFormat="1" customHeight="1" spans="1:20">
      <c r="A93" s="29">
        <f t="shared" si="7"/>
        <v>1105009</v>
      </c>
      <c r="B93" s="29">
        <v>1105</v>
      </c>
      <c r="C93" s="29" t="s">
        <v>277</v>
      </c>
      <c r="D93" s="29" t="s">
        <v>278</v>
      </c>
      <c r="E93" s="25">
        <v>1</v>
      </c>
      <c r="F93" s="29">
        <v>9</v>
      </c>
      <c r="G93" s="29">
        <v>10</v>
      </c>
      <c r="H93" s="29"/>
      <c r="I93" s="29" t="s">
        <v>308</v>
      </c>
      <c r="J93" s="30">
        <v>5400</v>
      </c>
      <c r="K93" s="15">
        <v>315</v>
      </c>
      <c r="L93" s="15" t="s">
        <v>281</v>
      </c>
      <c r="M93" s="30"/>
      <c r="N93" s="30"/>
      <c r="O93" s="30"/>
      <c r="P93" s="31"/>
      <c r="Q93" s="33"/>
      <c r="R93" s="6">
        <v>1105272</v>
      </c>
      <c r="S93" s="32">
        <v>32</v>
      </c>
      <c r="T93" s="28" t="s">
        <v>309</v>
      </c>
    </row>
    <row r="94" s="12" customFormat="1" customHeight="1" spans="1:20">
      <c r="A94" s="29">
        <f t="shared" si="7"/>
        <v>1105010</v>
      </c>
      <c r="B94" s="29">
        <v>1105</v>
      </c>
      <c r="C94" s="29" t="s">
        <v>277</v>
      </c>
      <c r="D94" s="29" t="s">
        <v>278</v>
      </c>
      <c r="E94" s="25">
        <v>1</v>
      </c>
      <c r="F94" s="29">
        <v>10</v>
      </c>
      <c r="G94" s="29">
        <v>10</v>
      </c>
      <c r="H94" s="29"/>
      <c r="I94" s="29" t="s">
        <v>310</v>
      </c>
      <c r="J94" s="30">
        <v>6000</v>
      </c>
      <c r="K94" s="15">
        <v>350</v>
      </c>
      <c r="L94" s="15" t="s">
        <v>281</v>
      </c>
      <c r="N94" s="30">
        <v>20</v>
      </c>
      <c r="O94" s="30"/>
      <c r="P94" s="31"/>
      <c r="Q94" s="33"/>
      <c r="R94" s="6">
        <v>1105273</v>
      </c>
      <c r="S94" s="32">
        <v>36</v>
      </c>
      <c r="T94" s="28" t="s">
        <v>311</v>
      </c>
    </row>
    <row r="95" s="13" customFormat="1" customHeight="1" spans="1:20">
      <c r="A95" s="29">
        <f t="shared" ref="A95:A126" si="8">B95*1000+F95</f>
        <v>1105011</v>
      </c>
      <c r="B95" s="29">
        <v>1105</v>
      </c>
      <c r="C95" s="29" t="s">
        <v>277</v>
      </c>
      <c r="D95" s="29" t="s">
        <v>278</v>
      </c>
      <c r="E95" s="25">
        <v>1</v>
      </c>
      <c r="F95" s="29">
        <v>11</v>
      </c>
      <c r="G95" s="29">
        <v>10</v>
      </c>
      <c r="H95" s="29"/>
      <c r="I95" s="29" t="s">
        <v>312</v>
      </c>
      <c r="J95" s="30">
        <v>6600</v>
      </c>
      <c r="K95" s="15">
        <v>385</v>
      </c>
      <c r="L95" s="15" t="s">
        <v>281</v>
      </c>
      <c r="M95" s="30" t="s">
        <v>313</v>
      </c>
      <c r="N95" s="30"/>
      <c r="O95" s="30"/>
      <c r="P95" s="31"/>
      <c r="Q95" s="33"/>
      <c r="R95" s="6">
        <v>1105274</v>
      </c>
      <c r="S95" s="32">
        <v>40</v>
      </c>
      <c r="T95" s="28" t="s">
        <v>314</v>
      </c>
    </row>
    <row r="96" s="13" customFormat="1" customHeight="1" spans="1:20">
      <c r="A96" s="29">
        <f t="shared" si="8"/>
        <v>1105012</v>
      </c>
      <c r="B96" s="29">
        <v>1105</v>
      </c>
      <c r="C96" s="29" t="s">
        <v>277</v>
      </c>
      <c r="D96" s="29" t="s">
        <v>278</v>
      </c>
      <c r="E96" s="25">
        <v>1</v>
      </c>
      <c r="F96" s="29">
        <v>12</v>
      </c>
      <c r="G96" s="29">
        <v>10</v>
      </c>
      <c r="H96" s="29"/>
      <c r="I96" s="29" t="s">
        <v>315</v>
      </c>
      <c r="J96" s="30">
        <v>7200</v>
      </c>
      <c r="K96" s="15">
        <v>420</v>
      </c>
      <c r="L96" s="15" t="s">
        <v>281</v>
      </c>
      <c r="M96" s="30"/>
      <c r="N96" s="30"/>
      <c r="O96" s="30"/>
      <c r="P96" s="31"/>
      <c r="Q96" s="33"/>
      <c r="R96" s="6">
        <v>1105267</v>
      </c>
      <c r="S96" s="32">
        <v>44</v>
      </c>
      <c r="T96" s="28" t="s">
        <v>316</v>
      </c>
    </row>
    <row r="97" s="13" customFormat="1" customHeight="1" spans="1:20">
      <c r="A97" s="29">
        <f t="shared" si="8"/>
        <v>1105013</v>
      </c>
      <c r="B97" s="29">
        <v>1105</v>
      </c>
      <c r="C97" s="29" t="s">
        <v>277</v>
      </c>
      <c r="D97" s="29" t="s">
        <v>278</v>
      </c>
      <c r="E97" s="25">
        <v>1</v>
      </c>
      <c r="F97" s="29">
        <v>13</v>
      </c>
      <c r="G97" s="29">
        <v>10</v>
      </c>
      <c r="H97" s="29"/>
      <c r="I97" s="29" t="s">
        <v>317</v>
      </c>
      <c r="J97" s="30">
        <v>7800</v>
      </c>
      <c r="K97" s="15">
        <v>455</v>
      </c>
      <c r="L97" s="15" t="s">
        <v>281</v>
      </c>
      <c r="M97" s="30"/>
      <c r="N97" s="30"/>
      <c r="O97" s="30"/>
      <c r="P97" s="31"/>
      <c r="Q97" s="33"/>
      <c r="R97" s="6">
        <v>1105269</v>
      </c>
      <c r="S97" s="32">
        <v>48</v>
      </c>
      <c r="T97" s="28" t="s">
        <v>318</v>
      </c>
    </row>
    <row r="98" s="13" customFormat="1" customHeight="1" spans="1:20">
      <c r="A98" s="29">
        <f t="shared" si="8"/>
        <v>1105014</v>
      </c>
      <c r="B98" s="29">
        <v>1105</v>
      </c>
      <c r="C98" s="29" t="s">
        <v>277</v>
      </c>
      <c r="D98" s="29" t="s">
        <v>278</v>
      </c>
      <c r="E98" s="25">
        <v>1</v>
      </c>
      <c r="F98" s="29">
        <v>14</v>
      </c>
      <c r="G98" s="29">
        <v>10</v>
      </c>
      <c r="H98" s="29"/>
      <c r="I98" s="29" t="s">
        <v>319</v>
      </c>
      <c r="J98" s="30">
        <v>8400</v>
      </c>
      <c r="K98" s="15">
        <v>490</v>
      </c>
      <c r="L98" s="15" t="s">
        <v>281</v>
      </c>
      <c r="M98" s="30" t="s">
        <v>320</v>
      </c>
      <c r="N98" s="30"/>
      <c r="O98" s="30"/>
      <c r="P98" s="31"/>
      <c r="Q98" s="33"/>
      <c r="R98" s="6">
        <v>1105264</v>
      </c>
      <c r="S98" s="32">
        <v>52</v>
      </c>
      <c r="T98" s="28" t="s">
        <v>321</v>
      </c>
    </row>
    <row r="99" s="13" customFormat="1" customHeight="1" spans="1:20">
      <c r="A99" s="29">
        <f t="shared" si="8"/>
        <v>1105015</v>
      </c>
      <c r="B99" s="29">
        <v>1105</v>
      </c>
      <c r="C99" s="29" t="s">
        <v>277</v>
      </c>
      <c r="D99" s="29" t="s">
        <v>278</v>
      </c>
      <c r="E99" s="25">
        <v>1</v>
      </c>
      <c r="F99" s="29">
        <v>15</v>
      </c>
      <c r="G99" s="29">
        <v>10</v>
      </c>
      <c r="H99" s="29"/>
      <c r="I99" s="29" t="s">
        <v>322</v>
      </c>
      <c r="J99" s="30">
        <v>9000</v>
      </c>
      <c r="K99" s="15">
        <v>525</v>
      </c>
      <c r="L99" s="15" t="s">
        <v>281</v>
      </c>
      <c r="N99" s="30">
        <v>30</v>
      </c>
      <c r="O99" s="30"/>
      <c r="P99" s="31"/>
      <c r="Q99" s="33"/>
      <c r="R99" s="6">
        <v>1105265</v>
      </c>
      <c r="S99" s="32">
        <v>56</v>
      </c>
      <c r="T99" s="28" t="s">
        <v>323</v>
      </c>
    </row>
    <row r="100" s="13" customFormat="1" customHeight="1" spans="1:20">
      <c r="A100" s="29">
        <f t="shared" si="8"/>
        <v>1105016</v>
      </c>
      <c r="B100" s="29">
        <v>1105</v>
      </c>
      <c r="C100" s="29" t="s">
        <v>277</v>
      </c>
      <c r="D100" s="29" t="s">
        <v>278</v>
      </c>
      <c r="E100" s="25">
        <v>1</v>
      </c>
      <c r="F100" s="29">
        <v>16</v>
      </c>
      <c r="G100" s="29">
        <v>10</v>
      </c>
      <c r="H100" s="29"/>
      <c r="I100" s="29" t="s">
        <v>324</v>
      </c>
      <c r="J100" s="30">
        <v>9600</v>
      </c>
      <c r="K100" s="15">
        <v>560</v>
      </c>
      <c r="L100" s="15" t="s">
        <v>281</v>
      </c>
      <c r="M100" s="30" t="s">
        <v>325</v>
      </c>
      <c r="N100" s="30"/>
      <c r="O100" s="30"/>
      <c r="P100" s="31"/>
      <c r="Q100" s="33"/>
      <c r="R100" s="6">
        <v>1105266</v>
      </c>
      <c r="S100" s="32">
        <v>60</v>
      </c>
      <c r="T100" s="28" t="s">
        <v>326</v>
      </c>
    </row>
    <row r="101" s="13" customFormat="1" customHeight="1" spans="1:20">
      <c r="A101" s="29">
        <f t="shared" si="8"/>
        <v>1105017</v>
      </c>
      <c r="B101" s="29">
        <v>1105</v>
      </c>
      <c r="C101" s="29" t="s">
        <v>277</v>
      </c>
      <c r="D101" s="29" t="s">
        <v>278</v>
      </c>
      <c r="E101" s="25">
        <v>1</v>
      </c>
      <c r="F101" s="29">
        <v>17</v>
      </c>
      <c r="G101" s="29">
        <v>10</v>
      </c>
      <c r="H101" s="29"/>
      <c r="I101" s="29" t="s">
        <v>327</v>
      </c>
      <c r="J101" s="30">
        <v>10200</v>
      </c>
      <c r="K101" s="15">
        <v>595</v>
      </c>
      <c r="L101" s="15" t="s">
        <v>281</v>
      </c>
      <c r="M101" s="30"/>
      <c r="N101" s="30"/>
      <c r="O101" s="30"/>
      <c r="P101" s="31"/>
      <c r="Q101" s="31"/>
      <c r="R101" s="6">
        <v>1105270</v>
      </c>
      <c r="S101" s="32">
        <v>64</v>
      </c>
      <c r="T101" s="28" t="s">
        <v>328</v>
      </c>
    </row>
    <row r="102" s="13" customFormat="1" customHeight="1" spans="1:20">
      <c r="A102" s="29">
        <f t="shared" si="8"/>
        <v>1105018</v>
      </c>
      <c r="B102" s="29">
        <v>1105</v>
      </c>
      <c r="C102" s="29" t="s">
        <v>277</v>
      </c>
      <c r="D102" s="29" t="s">
        <v>278</v>
      </c>
      <c r="E102" s="25">
        <v>1</v>
      </c>
      <c r="F102" s="29">
        <v>18</v>
      </c>
      <c r="G102" s="29">
        <v>10</v>
      </c>
      <c r="H102" s="29"/>
      <c r="I102" s="29" t="s">
        <v>329</v>
      </c>
      <c r="J102" s="30">
        <v>10800</v>
      </c>
      <c r="K102" s="15">
        <v>630</v>
      </c>
      <c r="L102" s="15" t="s">
        <v>281</v>
      </c>
      <c r="M102" s="30" t="s">
        <v>330</v>
      </c>
      <c r="N102" s="30"/>
      <c r="O102" s="30"/>
      <c r="P102" s="31"/>
      <c r="Q102" s="31"/>
      <c r="S102" s="32">
        <v>68</v>
      </c>
      <c r="T102" s="28" t="s">
        <v>331</v>
      </c>
    </row>
    <row r="103" s="13" customFormat="1" customHeight="1" spans="1:20">
      <c r="A103" s="29">
        <f t="shared" si="8"/>
        <v>1105019</v>
      </c>
      <c r="B103" s="29">
        <v>1105</v>
      </c>
      <c r="C103" s="29" t="s">
        <v>277</v>
      </c>
      <c r="D103" s="29" t="s">
        <v>278</v>
      </c>
      <c r="E103" s="25">
        <v>1</v>
      </c>
      <c r="F103" s="29">
        <v>19</v>
      </c>
      <c r="G103" s="29">
        <v>10</v>
      </c>
      <c r="H103" s="29"/>
      <c r="I103" s="29" t="s">
        <v>332</v>
      </c>
      <c r="J103" s="30">
        <v>11400</v>
      </c>
      <c r="K103" s="15">
        <v>665</v>
      </c>
      <c r="L103" s="15" t="s">
        <v>281</v>
      </c>
      <c r="M103" s="30"/>
      <c r="N103" s="30"/>
      <c r="O103" s="30"/>
      <c r="P103" s="31"/>
      <c r="Q103" s="31"/>
      <c r="S103" s="32">
        <v>72</v>
      </c>
      <c r="T103" s="28" t="s">
        <v>333</v>
      </c>
    </row>
    <row r="104" s="13" customFormat="1" customHeight="1" spans="1:20">
      <c r="A104" s="29">
        <f t="shared" si="8"/>
        <v>1105020</v>
      </c>
      <c r="B104" s="29">
        <v>1105</v>
      </c>
      <c r="C104" s="29" t="s">
        <v>277</v>
      </c>
      <c r="D104" s="29" t="s">
        <v>278</v>
      </c>
      <c r="E104" s="25">
        <v>1</v>
      </c>
      <c r="F104" s="29">
        <v>20</v>
      </c>
      <c r="G104" s="29">
        <v>10</v>
      </c>
      <c r="H104" s="29"/>
      <c r="I104" s="29" t="s">
        <v>334</v>
      </c>
      <c r="J104" s="30">
        <v>12000</v>
      </c>
      <c r="K104" s="15">
        <v>700</v>
      </c>
      <c r="L104" s="15" t="s">
        <v>281</v>
      </c>
      <c r="N104" s="30">
        <v>40</v>
      </c>
      <c r="O104" s="30"/>
      <c r="P104" s="31"/>
      <c r="Q104" s="31"/>
      <c r="S104" s="32">
        <v>76</v>
      </c>
      <c r="T104" s="28" t="s">
        <v>335</v>
      </c>
    </row>
    <row r="105" customHeight="1" spans="1:20">
      <c r="A105" s="25">
        <f t="shared" ref="A105:A119" si="9">B105*1000+F105</f>
        <v>1106001</v>
      </c>
      <c r="B105" s="25">
        <v>1106</v>
      </c>
      <c r="C105" s="25" t="s">
        <v>336</v>
      </c>
      <c r="D105" s="25" t="s">
        <v>337</v>
      </c>
      <c r="E105" s="25">
        <v>1</v>
      </c>
      <c r="F105" s="25">
        <v>1</v>
      </c>
      <c r="G105" s="25">
        <v>6</v>
      </c>
      <c r="H105" s="25" t="s">
        <v>338</v>
      </c>
      <c r="I105" s="25" t="s">
        <v>339</v>
      </c>
      <c r="J105" s="15">
        <v>500</v>
      </c>
      <c r="K105" s="15">
        <v>30</v>
      </c>
      <c r="L105" s="15" t="s">
        <v>340</v>
      </c>
      <c r="M105" s="15"/>
      <c r="N105" s="15"/>
      <c r="O105" s="15"/>
      <c r="P105" s="14" t="s">
        <v>341</v>
      </c>
      <c r="Q105" s="8" t="s">
        <v>342</v>
      </c>
      <c r="R105" s="5" t="s">
        <v>343</v>
      </c>
      <c r="S105" s="27">
        <v>2</v>
      </c>
      <c r="T105" s="28" t="s">
        <v>344</v>
      </c>
    </row>
    <row r="106" customHeight="1" spans="1:20">
      <c r="A106" s="25">
        <f t="shared" si="9"/>
        <v>1106002</v>
      </c>
      <c r="B106" s="25">
        <v>1106</v>
      </c>
      <c r="C106" s="25" t="s">
        <v>336</v>
      </c>
      <c r="D106" s="25" t="s">
        <v>337</v>
      </c>
      <c r="E106" s="25">
        <v>1</v>
      </c>
      <c r="F106" s="25">
        <v>2</v>
      </c>
      <c r="G106" s="25">
        <v>8</v>
      </c>
      <c r="H106" s="25" t="s">
        <v>345</v>
      </c>
      <c r="I106" s="25" t="s">
        <v>346</v>
      </c>
      <c r="J106" s="15">
        <v>1000</v>
      </c>
      <c r="K106" s="15">
        <v>60</v>
      </c>
      <c r="L106" s="15" t="s">
        <v>340</v>
      </c>
      <c r="M106" s="15"/>
      <c r="N106" s="15"/>
      <c r="O106" s="15"/>
      <c r="P106" s="14" t="s">
        <v>347</v>
      </c>
      <c r="Q106" s="8" t="s">
        <v>348</v>
      </c>
      <c r="R106" s="5">
        <v>1106263</v>
      </c>
      <c r="S106" s="27">
        <v>4</v>
      </c>
      <c r="T106" s="28" t="s">
        <v>349</v>
      </c>
    </row>
    <row r="107" customHeight="1" spans="1:20">
      <c r="A107" s="25">
        <f t="shared" si="9"/>
        <v>1106003</v>
      </c>
      <c r="B107" s="25">
        <v>1106</v>
      </c>
      <c r="C107" s="25" t="s">
        <v>336</v>
      </c>
      <c r="D107" s="25" t="s">
        <v>337</v>
      </c>
      <c r="E107" s="25">
        <v>1</v>
      </c>
      <c r="F107" s="25">
        <v>3</v>
      </c>
      <c r="G107" s="25">
        <v>10</v>
      </c>
      <c r="H107" s="25" t="s">
        <v>350</v>
      </c>
      <c r="I107" s="25" t="s">
        <v>351</v>
      </c>
      <c r="J107" s="15">
        <v>1500</v>
      </c>
      <c r="K107" s="15">
        <v>90</v>
      </c>
      <c r="L107" s="15" t="s">
        <v>340</v>
      </c>
      <c r="M107" s="15"/>
      <c r="N107" s="15"/>
      <c r="O107" s="15"/>
      <c r="P107" s="14" t="s">
        <v>352</v>
      </c>
      <c r="Q107" s="8" t="s">
        <v>353</v>
      </c>
      <c r="R107" s="5">
        <v>1106261</v>
      </c>
      <c r="S107" s="27">
        <v>8</v>
      </c>
      <c r="T107" s="28" t="s">
        <v>354</v>
      </c>
    </row>
    <row r="108" customHeight="1" spans="1:20">
      <c r="A108" s="25">
        <f t="shared" si="9"/>
        <v>1106004</v>
      </c>
      <c r="B108" s="25">
        <v>1106</v>
      </c>
      <c r="C108" s="25" t="s">
        <v>336</v>
      </c>
      <c r="D108" s="25" t="s">
        <v>337</v>
      </c>
      <c r="E108" s="25">
        <v>1</v>
      </c>
      <c r="F108" s="25">
        <v>4</v>
      </c>
      <c r="G108" s="25">
        <v>10</v>
      </c>
      <c r="H108" s="25">
        <v>1106411</v>
      </c>
      <c r="I108" s="25" t="s">
        <v>355</v>
      </c>
      <c r="J108" s="15">
        <v>2000</v>
      </c>
      <c r="K108" s="15">
        <v>120</v>
      </c>
      <c r="L108" s="15" t="s">
        <v>340</v>
      </c>
      <c r="M108" s="15" t="s">
        <v>356</v>
      </c>
      <c r="N108" s="15"/>
      <c r="O108" s="15"/>
      <c r="Q108" s="8"/>
      <c r="R108" s="5">
        <v>1106254</v>
      </c>
      <c r="S108" s="27">
        <v>12</v>
      </c>
      <c r="T108" s="28" t="s">
        <v>357</v>
      </c>
    </row>
    <row r="109" customHeight="1" spans="1:20">
      <c r="A109" s="25">
        <f t="shared" si="9"/>
        <v>1106005</v>
      </c>
      <c r="B109" s="25">
        <v>1106</v>
      </c>
      <c r="C109" s="25" t="s">
        <v>336</v>
      </c>
      <c r="D109" s="25" t="s">
        <v>337</v>
      </c>
      <c r="E109" s="25">
        <v>1</v>
      </c>
      <c r="F109" s="25">
        <v>5</v>
      </c>
      <c r="G109" s="25">
        <v>10</v>
      </c>
      <c r="H109" s="25">
        <v>1106412</v>
      </c>
      <c r="I109" s="25" t="s">
        <v>358</v>
      </c>
      <c r="J109" s="15">
        <v>2500</v>
      </c>
      <c r="K109" s="15">
        <v>150</v>
      </c>
      <c r="L109" s="15" t="s">
        <v>340</v>
      </c>
      <c r="N109" s="15">
        <v>10</v>
      </c>
      <c r="O109" s="15"/>
      <c r="Q109" s="8"/>
      <c r="R109" s="5">
        <v>1106253</v>
      </c>
      <c r="S109" s="27">
        <v>16</v>
      </c>
      <c r="T109" s="28" t="s">
        <v>359</v>
      </c>
    </row>
    <row r="110" customHeight="1" spans="1:20">
      <c r="A110" s="25">
        <f t="shared" si="9"/>
        <v>1106006</v>
      </c>
      <c r="B110" s="25">
        <v>1106</v>
      </c>
      <c r="C110" s="25" t="s">
        <v>336</v>
      </c>
      <c r="D110" s="25" t="s">
        <v>337</v>
      </c>
      <c r="E110" s="25">
        <v>1</v>
      </c>
      <c r="F110" s="25">
        <v>6</v>
      </c>
      <c r="G110" s="25">
        <v>10</v>
      </c>
      <c r="H110" s="25">
        <v>1106413</v>
      </c>
      <c r="I110" s="25" t="s">
        <v>360</v>
      </c>
      <c r="J110" s="15">
        <v>3000</v>
      </c>
      <c r="K110" s="15">
        <v>180</v>
      </c>
      <c r="L110" s="15" t="s">
        <v>340</v>
      </c>
      <c r="M110" s="15"/>
      <c r="N110" s="15"/>
      <c r="O110" s="15"/>
      <c r="Q110" s="8"/>
      <c r="R110" s="5">
        <v>1106251</v>
      </c>
      <c r="S110" s="27">
        <v>20</v>
      </c>
      <c r="T110" s="28" t="s">
        <v>361</v>
      </c>
    </row>
    <row r="111" customHeight="1" spans="1:20">
      <c r="A111" s="25">
        <f t="shared" si="9"/>
        <v>1106007</v>
      </c>
      <c r="B111" s="25">
        <v>1106</v>
      </c>
      <c r="C111" s="25" t="s">
        <v>336</v>
      </c>
      <c r="D111" s="25" t="s">
        <v>337</v>
      </c>
      <c r="E111" s="25">
        <v>1</v>
      </c>
      <c r="F111" s="25">
        <v>7</v>
      </c>
      <c r="G111" s="25">
        <v>10</v>
      </c>
      <c r="H111" s="25">
        <v>1106414</v>
      </c>
      <c r="I111" s="25" t="s">
        <v>362</v>
      </c>
      <c r="J111" s="15">
        <v>3500</v>
      </c>
      <c r="K111" s="15">
        <v>210</v>
      </c>
      <c r="L111" s="15" t="s">
        <v>340</v>
      </c>
      <c r="M111" s="15"/>
      <c r="N111" s="15"/>
      <c r="O111" s="15"/>
      <c r="Q111" s="8"/>
      <c r="R111" s="5">
        <v>1106252</v>
      </c>
      <c r="S111" s="27">
        <v>24</v>
      </c>
      <c r="T111" s="28" t="s">
        <v>363</v>
      </c>
    </row>
    <row r="112" customHeight="1" spans="1:20">
      <c r="A112" s="25">
        <f t="shared" si="9"/>
        <v>1106008</v>
      </c>
      <c r="B112" s="25">
        <v>1106</v>
      </c>
      <c r="C112" s="25" t="s">
        <v>336</v>
      </c>
      <c r="D112" s="25" t="s">
        <v>337</v>
      </c>
      <c r="E112" s="25">
        <v>1</v>
      </c>
      <c r="F112" s="25">
        <v>8</v>
      </c>
      <c r="G112" s="25">
        <v>10</v>
      </c>
      <c r="H112" s="25">
        <v>1106415</v>
      </c>
      <c r="I112" s="25" t="s">
        <v>364</v>
      </c>
      <c r="J112" s="15">
        <v>4000</v>
      </c>
      <c r="K112" s="15">
        <v>240</v>
      </c>
      <c r="L112" s="15" t="s">
        <v>340</v>
      </c>
      <c r="M112" s="15" t="s">
        <v>365</v>
      </c>
      <c r="N112" s="15"/>
      <c r="O112" s="15"/>
      <c r="Q112" s="8"/>
      <c r="R112" s="5">
        <v>1106256</v>
      </c>
      <c r="S112" s="27">
        <v>28</v>
      </c>
      <c r="T112" s="28" t="s">
        <v>366</v>
      </c>
    </row>
    <row r="113" customHeight="1" spans="1:20">
      <c r="A113" s="25">
        <f t="shared" si="9"/>
        <v>1106009</v>
      </c>
      <c r="B113" s="25">
        <v>1106</v>
      </c>
      <c r="C113" s="25" t="s">
        <v>336</v>
      </c>
      <c r="D113" s="25" t="s">
        <v>337</v>
      </c>
      <c r="E113" s="25">
        <v>1</v>
      </c>
      <c r="F113" s="25">
        <v>9</v>
      </c>
      <c r="G113" s="25">
        <v>10</v>
      </c>
      <c r="H113" s="25"/>
      <c r="I113" s="25" t="s">
        <v>367</v>
      </c>
      <c r="J113" s="15">
        <v>4500</v>
      </c>
      <c r="K113" s="15">
        <v>270</v>
      </c>
      <c r="L113" s="15" t="s">
        <v>340</v>
      </c>
      <c r="M113" s="15"/>
      <c r="N113" s="15"/>
      <c r="O113" s="15"/>
      <c r="Q113" s="8"/>
      <c r="R113" s="5">
        <v>1106265</v>
      </c>
      <c r="S113" s="27">
        <v>32</v>
      </c>
      <c r="T113" s="28" t="s">
        <v>368</v>
      </c>
    </row>
    <row r="114" customHeight="1" spans="1:20">
      <c r="A114" s="25">
        <f t="shared" si="9"/>
        <v>1106010</v>
      </c>
      <c r="B114" s="25">
        <v>1106</v>
      </c>
      <c r="C114" s="25" t="s">
        <v>336</v>
      </c>
      <c r="D114" s="25" t="s">
        <v>337</v>
      </c>
      <c r="E114" s="25">
        <v>1</v>
      </c>
      <c r="F114" s="25">
        <v>10</v>
      </c>
      <c r="G114" s="25">
        <v>10</v>
      </c>
      <c r="H114" s="25"/>
      <c r="I114" s="25" t="s">
        <v>369</v>
      </c>
      <c r="J114" s="15">
        <v>5000</v>
      </c>
      <c r="K114" s="15">
        <v>300</v>
      </c>
      <c r="L114" s="15" t="s">
        <v>340</v>
      </c>
      <c r="N114" s="15">
        <v>20</v>
      </c>
      <c r="O114" s="15"/>
      <c r="Q114" s="8"/>
      <c r="R114" s="5">
        <v>1106267</v>
      </c>
      <c r="S114" s="27">
        <v>36</v>
      </c>
      <c r="T114" s="28" t="s">
        <v>370</v>
      </c>
    </row>
    <row r="115" customHeight="1" spans="1:20">
      <c r="A115" s="25">
        <f t="shared" ref="A115:A146" si="10">B115*1000+F115</f>
        <v>1106011</v>
      </c>
      <c r="B115" s="25">
        <v>1106</v>
      </c>
      <c r="C115" s="25" t="s">
        <v>336</v>
      </c>
      <c r="D115" s="25" t="s">
        <v>337</v>
      </c>
      <c r="E115" s="25">
        <v>1</v>
      </c>
      <c r="F115" s="25">
        <v>11</v>
      </c>
      <c r="G115" s="25">
        <v>10</v>
      </c>
      <c r="H115" s="25"/>
      <c r="I115" s="25" t="s">
        <v>371</v>
      </c>
      <c r="J115" s="15">
        <v>5500</v>
      </c>
      <c r="K115" s="15">
        <v>330</v>
      </c>
      <c r="L115" s="15" t="s">
        <v>340</v>
      </c>
      <c r="M115" s="15" t="s">
        <v>372</v>
      </c>
      <c r="N115" s="15"/>
      <c r="O115" s="15"/>
      <c r="Q115" s="8"/>
      <c r="R115" s="5">
        <v>1106269</v>
      </c>
      <c r="S115" s="27">
        <v>40</v>
      </c>
      <c r="T115" s="28" t="s">
        <v>373</v>
      </c>
    </row>
    <row r="116" customHeight="1" spans="1:20">
      <c r="A116" s="25">
        <f t="shared" si="10"/>
        <v>1106012</v>
      </c>
      <c r="B116" s="25">
        <v>1106</v>
      </c>
      <c r="C116" s="25" t="s">
        <v>336</v>
      </c>
      <c r="D116" s="25" t="s">
        <v>337</v>
      </c>
      <c r="E116" s="25">
        <v>1</v>
      </c>
      <c r="F116" s="25">
        <v>12</v>
      </c>
      <c r="G116" s="25">
        <v>10</v>
      </c>
      <c r="H116" s="25"/>
      <c r="I116" s="25" t="s">
        <v>374</v>
      </c>
      <c r="J116" s="15">
        <v>6000</v>
      </c>
      <c r="K116" s="15">
        <v>360</v>
      </c>
      <c r="L116" s="15" t="s">
        <v>340</v>
      </c>
      <c r="M116" s="15"/>
      <c r="N116" s="15"/>
      <c r="O116" s="15"/>
      <c r="Q116" s="8"/>
      <c r="R116" s="5">
        <v>1106270</v>
      </c>
      <c r="S116" s="27">
        <v>44</v>
      </c>
      <c r="T116" s="28" t="s">
        <v>375</v>
      </c>
    </row>
    <row r="117" customHeight="1" spans="1:20">
      <c r="A117" s="25">
        <f t="shared" si="10"/>
        <v>1106013</v>
      </c>
      <c r="B117" s="25">
        <v>1106</v>
      </c>
      <c r="C117" s="25" t="s">
        <v>336</v>
      </c>
      <c r="D117" s="25" t="s">
        <v>337</v>
      </c>
      <c r="E117" s="25">
        <v>1</v>
      </c>
      <c r="F117" s="25">
        <v>13</v>
      </c>
      <c r="G117" s="25">
        <v>10</v>
      </c>
      <c r="H117" s="25"/>
      <c r="I117" s="25" t="s">
        <v>376</v>
      </c>
      <c r="J117" s="15">
        <v>6500</v>
      </c>
      <c r="K117" s="15">
        <v>390</v>
      </c>
      <c r="L117" s="15" t="s">
        <v>340</v>
      </c>
      <c r="M117" s="15"/>
      <c r="N117" s="15"/>
      <c r="O117" s="15"/>
      <c r="Q117" s="8"/>
      <c r="R117" s="5">
        <v>1106271</v>
      </c>
      <c r="S117" s="27">
        <v>48</v>
      </c>
      <c r="T117" s="28" t="s">
        <v>377</v>
      </c>
    </row>
    <row r="118" customHeight="1" spans="1:20">
      <c r="A118" s="25">
        <f t="shared" si="10"/>
        <v>1106014</v>
      </c>
      <c r="B118" s="25">
        <v>1106</v>
      </c>
      <c r="C118" s="25" t="s">
        <v>336</v>
      </c>
      <c r="D118" s="25" t="s">
        <v>337</v>
      </c>
      <c r="E118" s="25">
        <v>1</v>
      </c>
      <c r="F118" s="25">
        <v>14</v>
      </c>
      <c r="G118" s="25">
        <v>10</v>
      </c>
      <c r="H118" s="25"/>
      <c r="I118" s="25" t="s">
        <v>378</v>
      </c>
      <c r="J118" s="15">
        <v>7000</v>
      </c>
      <c r="K118" s="15">
        <v>420</v>
      </c>
      <c r="L118" s="15" t="s">
        <v>340</v>
      </c>
      <c r="M118" s="15" t="s">
        <v>379</v>
      </c>
      <c r="N118" s="15"/>
      <c r="O118" s="15"/>
      <c r="Q118" s="8"/>
      <c r="S118" s="27">
        <v>52</v>
      </c>
      <c r="T118" s="28" t="s">
        <v>380</v>
      </c>
    </row>
    <row r="119" customHeight="1" spans="1:20">
      <c r="A119" s="25">
        <f t="shared" si="10"/>
        <v>1106015</v>
      </c>
      <c r="B119" s="25">
        <v>1106</v>
      </c>
      <c r="C119" s="25" t="s">
        <v>336</v>
      </c>
      <c r="D119" s="25" t="s">
        <v>337</v>
      </c>
      <c r="E119" s="25">
        <v>1</v>
      </c>
      <c r="F119" s="25">
        <v>15</v>
      </c>
      <c r="G119" s="25">
        <v>10</v>
      </c>
      <c r="H119" s="25"/>
      <c r="I119" s="25" t="s">
        <v>381</v>
      </c>
      <c r="J119" s="15">
        <v>7500</v>
      </c>
      <c r="K119" s="15">
        <v>450</v>
      </c>
      <c r="L119" s="15" t="s">
        <v>340</v>
      </c>
      <c r="N119" s="15">
        <v>30</v>
      </c>
      <c r="O119" s="15"/>
      <c r="Q119" s="8"/>
      <c r="S119" s="27">
        <v>56</v>
      </c>
      <c r="T119" s="28" t="s">
        <v>382</v>
      </c>
    </row>
    <row r="120" customHeight="1" spans="1:20">
      <c r="A120" s="25">
        <f t="shared" si="10"/>
        <v>1106016</v>
      </c>
      <c r="B120" s="25">
        <v>1106</v>
      </c>
      <c r="C120" s="25" t="s">
        <v>336</v>
      </c>
      <c r="D120" s="25" t="s">
        <v>337</v>
      </c>
      <c r="E120" s="25">
        <v>1</v>
      </c>
      <c r="F120" s="25">
        <v>16</v>
      </c>
      <c r="G120" s="25">
        <v>10</v>
      </c>
      <c r="H120" s="25"/>
      <c r="I120" s="25" t="s">
        <v>383</v>
      </c>
      <c r="J120" s="15">
        <v>8000</v>
      </c>
      <c r="K120" s="15">
        <v>480</v>
      </c>
      <c r="L120" s="15" t="s">
        <v>340</v>
      </c>
      <c r="M120" s="15" t="s">
        <v>384</v>
      </c>
      <c r="N120" s="15"/>
      <c r="O120" s="15"/>
      <c r="Q120" s="8"/>
      <c r="S120" s="27">
        <v>60</v>
      </c>
      <c r="T120" s="28" t="s">
        <v>385</v>
      </c>
    </row>
    <row r="121" customHeight="1" spans="1:20">
      <c r="A121" s="25">
        <f t="shared" si="10"/>
        <v>1106017</v>
      </c>
      <c r="B121" s="25">
        <v>1106</v>
      </c>
      <c r="C121" s="25" t="s">
        <v>336</v>
      </c>
      <c r="D121" s="25" t="s">
        <v>337</v>
      </c>
      <c r="E121" s="25">
        <v>1</v>
      </c>
      <c r="F121" s="25">
        <v>17</v>
      </c>
      <c r="G121" s="25">
        <v>10</v>
      </c>
      <c r="H121" s="25"/>
      <c r="I121" s="25" t="s">
        <v>386</v>
      </c>
      <c r="J121" s="15">
        <v>8500</v>
      </c>
      <c r="K121" s="15">
        <v>510</v>
      </c>
      <c r="L121" s="15" t="s">
        <v>340</v>
      </c>
      <c r="M121" s="15"/>
      <c r="N121" s="15"/>
      <c r="O121" s="15"/>
      <c r="S121" s="27">
        <v>64</v>
      </c>
      <c r="T121" s="28" t="s">
        <v>387</v>
      </c>
    </row>
    <row r="122" customHeight="1" spans="1:20">
      <c r="A122" s="25">
        <f t="shared" si="10"/>
        <v>1106018</v>
      </c>
      <c r="B122" s="25">
        <v>1106</v>
      </c>
      <c r="C122" s="25" t="s">
        <v>336</v>
      </c>
      <c r="D122" s="25" t="s">
        <v>337</v>
      </c>
      <c r="E122" s="25">
        <v>1</v>
      </c>
      <c r="F122" s="25">
        <v>18</v>
      </c>
      <c r="G122" s="25">
        <v>10</v>
      </c>
      <c r="H122" s="25"/>
      <c r="I122" s="25" t="s">
        <v>388</v>
      </c>
      <c r="J122" s="15">
        <v>9000</v>
      </c>
      <c r="K122" s="15">
        <v>540</v>
      </c>
      <c r="L122" s="15" t="s">
        <v>340</v>
      </c>
      <c r="M122" s="15" t="s">
        <v>389</v>
      </c>
      <c r="N122" s="15"/>
      <c r="O122" s="15"/>
      <c r="S122" s="27">
        <v>68</v>
      </c>
      <c r="T122" s="10" t="s">
        <v>390</v>
      </c>
    </row>
    <row r="123" customHeight="1" spans="1:20">
      <c r="A123" s="25">
        <f t="shared" si="10"/>
        <v>1106019</v>
      </c>
      <c r="B123" s="25">
        <v>1106</v>
      </c>
      <c r="C123" s="25" t="s">
        <v>336</v>
      </c>
      <c r="D123" s="25" t="s">
        <v>337</v>
      </c>
      <c r="E123" s="25">
        <v>1</v>
      </c>
      <c r="F123" s="25">
        <v>19</v>
      </c>
      <c r="G123" s="25">
        <v>10</v>
      </c>
      <c r="H123" s="25"/>
      <c r="I123" s="25" t="s">
        <v>391</v>
      </c>
      <c r="J123" s="15">
        <v>9500</v>
      </c>
      <c r="K123" s="15">
        <v>570</v>
      </c>
      <c r="L123" s="15" t="s">
        <v>340</v>
      </c>
      <c r="M123" s="15"/>
      <c r="N123" s="15"/>
      <c r="O123" s="15"/>
      <c r="S123" s="27">
        <v>72</v>
      </c>
      <c r="T123" s="28" t="s">
        <v>392</v>
      </c>
    </row>
    <row r="124" customHeight="1" spans="1:20">
      <c r="A124" s="25">
        <f t="shared" si="10"/>
        <v>1106020</v>
      </c>
      <c r="B124" s="25">
        <v>1106</v>
      </c>
      <c r="C124" s="25" t="s">
        <v>336</v>
      </c>
      <c r="D124" s="25" t="s">
        <v>337</v>
      </c>
      <c r="E124" s="25">
        <v>1</v>
      </c>
      <c r="F124" s="25">
        <v>20</v>
      </c>
      <c r="G124" s="25">
        <v>10</v>
      </c>
      <c r="H124" s="25"/>
      <c r="I124" s="25" t="s">
        <v>393</v>
      </c>
      <c r="J124" s="15">
        <v>10000</v>
      </c>
      <c r="K124" s="15">
        <v>600</v>
      </c>
      <c r="L124" s="15" t="s">
        <v>340</v>
      </c>
      <c r="N124" s="15">
        <v>40</v>
      </c>
      <c r="O124" s="15"/>
      <c r="S124" s="27">
        <v>76</v>
      </c>
      <c r="T124" s="28" t="s">
        <v>394</v>
      </c>
    </row>
    <row r="125" s="12" customFormat="1" customHeight="1" spans="1:20">
      <c r="A125" s="29">
        <f t="shared" ref="A125:A134" si="11">B125*1000+F125</f>
        <v>1107001</v>
      </c>
      <c r="B125" s="29">
        <v>1107</v>
      </c>
      <c r="C125" s="29" t="s">
        <v>395</v>
      </c>
      <c r="D125" s="29" t="s">
        <v>396</v>
      </c>
      <c r="E125" s="25">
        <v>1</v>
      </c>
      <c r="F125" s="29">
        <v>1</v>
      </c>
      <c r="G125" s="29">
        <v>5</v>
      </c>
      <c r="H125" s="29" t="s">
        <v>397</v>
      </c>
      <c r="I125" s="29" t="s">
        <v>398</v>
      </c>
      <c r="J125" s="30">
        <v>400</v>
      </c>
      <c r="K125" s="15">
        <v>25</v>
      </c>
      <c r="L125" s="15" t="s">
        <v>399</v>
      </c>
      <c r="M125" s="30"/>
      <c r="N125" s="30"/>
      <c r="O125" s="30"/>
      <c r="P125" s="31" t="s">
        <v>400</v>
      </c>
      <c r="Q125" s="31" t="s">
        <v>401</v>
      </c>
      <c r="R125" s="6" t="s">
        <v>402</v>
      </c>
      <c r="S125" s="32">
        <v>1</v>
      </c>
      <c r="T125" s="34" t="s">
        <v>403</v>
      </c>
    </row>
    <row r="126" s="12" customFormat="1" customHeight="1" spans="1:20">
      <c r="A126" s="29">
        <f t="shared" si="11"/>
        <v>1107002</v>
      </c>
      <c r="B126" s="29">
        <v>1107</v>
      </c>
      <c r="C126" s="29" t="s">
        <v>395</v>
      </c>
      <c r="D126" s="29" t="s">
        <v>396</v>
      </c>
      <c r="E126" s="25">
        <v>1</v>
      </c>
      <c r="F126" s="29">
        <v>2</v>
      </c>
      <c r="G126" s="29">
        <v>8</v>
      </c>
      <c r="H126" s="29" t="s">
        <v>404</v>
      </c>
      <c r="I126" s="29" t="s">
        <v>405</v>
      </c>
      <c r="J126" s="30">
        <v>800</v>
      </c>
      <c r="K126" s="15">
        <v>50</v>
      </c>
      <c r="L126" s="15" t="s">
        <v>399</v>
      </c>
      <c r="M126" s="30"/>
      <c r="N126" s="30"/>
      <c r="O126" s="30"/>
      <c r="P126" s="31" t="s">
        <v>406</v>
      </c>
      <c r="Q126" s="31" t="s">
        <v>407</v>
      </c>
      <c r="R126" s="6">
        <v>1107258</v>
      </c>
      <c r="S126" s="32">
        <v>2</v>
      </c>
      <c r="T126" s="34" t="s">
        <v>408</v>
      </c>
    </row>
    <row r="127" s="12" customFormat="1" customHeight="1" spans="1:20">
      <c r="A127" s="29">
        <f t="shared" si="11"/>
        <v>1107003</v>
      </c>
      <c r="B127" s="29">
        <v>1107</v>
      </c>
      <c r="C127" s="29" t="s">
        <v>395</v>
      </c>
      <c r="D127" s="29" t="s">
        <v>396</v>
      </c>
      <c r="E127" s="25">
        <v>1</v>
      </c>
      <c r="F127" s="29">
        <v>3</v>
      </c>
      <c r="G127" s="29">
        <v>12</v>
      </c>
      <c r="H127" s="29" t="s">
        <v>409</v>
      </c>
      <c r="I127" s="29" t="s">
        <v>410</v>
      </c>
      <c r="J127" s="30">
        <v>1200</v>
      </c>
      <c r="K127" s="15">
        <v>75</v>
      </c>
      <c r="L127" s="15" t="s">
        <v>399</v>
      </c>
      <c r="M127" s="30"/>
      <c r="N127" s="30"/>
      <c r="O127" s="30"/>
      <c r="P127" s="31" t="s">
        <v>411</v>
      </c>
      <c r="Q127" s="31" t="s">
        <v>412</v>
      </c>
      <c r="R127" s="6">
        <v>1107262</v>
      </c>
      <c r="S127" s="32">
        <v>4</v>
      </c>
      <c r="T127" s="34" t="s">
        <v>413</v>
      </c>
    </row>
    <row r="128" s="12" customFormat="1" customHeight="1" spans="1:20">
      <c r="A128" s="29">
        <f t="shared" si="11"/>
        <v>1107004</v>
      </c>
      <c r="B128" s="29">
        <v>1107</v>
      </c>
      <c r="C128" s="29" t="s">
        <v>395</v>
      </c>
      <c r="D128" s="29" t="s">
        <v>396</v>
      </c>
      <c r="E128" s="25">
        <v>1</v>
      </c>
      <c r="F128" s="29">
        <v>4</v>
      </c>
      <c r="G128" s="29">
        <v>12</v>
      </c>
      <c r="H128" s="29">
        <v>1107413</v>
      </c>
      <c r="I128" s="29" t="s">
        <v>414</v>
      </c>
      <c r="J128" s="30">
        <v>1600</v>
      </c>
      <c r="K128" s="15">
        <v>100</v>
      </c>
      <c r="L128" s="15" t="s">
        <v>399</v>
      </c>
      <c r="M128" s="30" t="s">
        <v>415</v>
      </c>
      <c r="N128" s="30"/>
      <c r="O128" s="30"/>
      <c r="R128" s="6">
        <v>1107263</v>
      </c>
      <c r="S128" s="32">
        <v>6</v>
      </c>
      <c r="T128" s="34" t="s">
        <v>416</v>
      </c>
    </row>
    <row r="129" s="12" customFormat="1" customHeight="1" spans="1:20">
      <c r="A129" s="29">
        <f t="shared" si="11"/>
        <v>1107005</v>
      </c>
      <c r="B129" s="29">
        <v>1107</v>
      </c>
      <c r="C129" s="29" t="s">
        <v>395</v>
      </c>
      <c r="D129" s="29" t="s">
        <v>396</v>
      </c>
      <c r="E129" s="25">
        <v>1</v>
      </c>
      <c r="F129" s="29">
        <v>5</v>
      </c>
      <c r="G129" s="29">
        <v>12</v>
      </c>
      <c r="H129" s="29">
        <v>1107414</v>
      </c>
      <c r="I129" s="29" t="s">
        <v>417</v>
      </c>
      <c r="J129" s="30">
        <v>2000</v>
      </c>
      <c r="K129" s="15">
        <v>125</v>
      </c>
      <c r="L129" s="15" t="s">
        <v>399</v>
      </c>
      <c r="N129" s="30">
        <v>10</v>
      </c>
      <c r="O129" s="30"/>
      <c r="P129" s="31"/>
      <c r="Q129" s="31"/>
      <c r="R129" s="6">
        <v>1107260</v>
      </c>
      <c r="S129" s="32">
        <v>8</v>
      </c>
      <c r="T129" s="34" t="s">
        <v>418</v>
      </c>
    </row>
    <row r="130" s="12" customFormat="1" customHeight="1" spans="1:20">
      <c r="A130" s="29">
        <f t="shared" si="11"/>
        <v>1107006</v>
      </c>
      <c r="B130" s="29">
        <v>1107</v>
      </c>
      <c r="C130" s="29" t="s">
        <v>395</v>
      </c>
      <c r="D130" s="29" t="s">
        <v>396</v>
      </c>
      <c r="E130" s="25">
        <v>1</v>
      </c>
      <c r="F130" s="29">
        <v>6</v>
      </c>
      <c r="G130" s="29">
        <v>12</v>
      </c>
      <c r="H130" s="29">
        <v>1107415</v>
      </c>
      <c r="I130" s="29" t="s">
        <v>419</v>
      </c>
      <c r="J130" s="30">
        <v>2400</v>
      </c>
      <c r="K130" s="15">
        <v>150</v>
      </c>
      <c r="L130" s="15" t="s">
        <v>399</v>
      </c>
      <c r="M130" s="30"/>
      <c r="N130" s="30"/>
      <c r="O130" s="30"/>
      <c r="P130" s="31"/>
      <c r="Q130" s="31"/>
      <c r="R130" s="6">
        <v>1107252</v>
      </c>
      <c r="S130" s="32">
        <v>10</v>
      </c>
      <c r="T130" s="34" t="s">
        <v>420</v>
      </c>
    </row>
    <row r="131" s="12" customFormat="1" customHeight="1" spans="1:20">
      <c r="A131" s="29">
        <f t="shared" si="11"/>
        <v>1107007</v>
      </c>
      <c r="B131" s="29">
        <v>1107</v>
      </c>
      <c r="C131" s="29" t="s">
        <v>395</v>
      </c>
      <c r="D131" s="29" t="s">
        <v>396</v>
      </c>
      <c r="E131" s="25">
        <v>1</v>
      </c>
      <c r="F131" s="29">
        <v>7</v>
      </c>
      <c r="G131" s="29">
        <v>12</v>
      </c>
      <c r="H131" s="29">
        <v>1107416</v>
      </c>
      <c r="I131" s="29" t="s">
        <v>421</v>
      </c>
      <c r="J131" s="30">
        <v>2800</v>
      </c>
      <c r="K131" s="15">
        <v>175</v>
      </c>
      <c r="L131" s="15" t="s">
        <v>399</v>
      </c>
      <c r="M131" s="30"/>
      <c r="N131" s="30"/>
      <c r="O131" s="30"/>
      <c r="P131" s="31"/>
      <c r="Q131" s="33"/>
      <c r="R131" s="6">
        <v>1107255</v>
      </c>
      <c r="S131" s="32">
        <v>12</v>
      </c>
      <c r="T131" s="34" t="s">
        <v>422</v>
      </c>
    </row>
    <row r="132" s="12" customFormat="1" customHeight="1" spans="1:20">
      <c r="A132" s="29">
        <f t="shared" si="11"/>
        <v>1107008</v>
      </c>
      <c r="B132" s="29">
        <v>1107</v>
      </c>
      <c r="C132" s="29" t="s">
        <v>395</v>
      </c>
      <c r="D132" s="29" t="s">
        <v>396</v>
      </c>
      <c r="E132" s="25">
        <v>1</v>
      </c>
      <c r="F132" s="29">
        <v>8</v>
      </c>
      <c r="G132" s="29">
        <v>12</v>
      </c>
      <c r="H132" s="29"/>
      <c r="I132" s="29" t="s">
        <v>423</v>
      </c>
      <c r="J132" s="30">
        <v>3200</v>
      </c>
      <c r="K132" s="15">
        <v>200</v>
      </c>
      <c r="L132" s="15" t="s">
        <v>399</v>
      </c>
      <c r="M132" s="30" t="s">
        <v>424</v>
      </c>
      <c r="N132" s="30"/>
      <c r="O132" s="30"/>
      <c r="P132" s="31"/>
      <c r="Q132" s="33"/>
      <c r="R132" s="6"/>
      <c r="S132" s="32">
        <v>14</v>
      </c>
      <c r="T132" s="34" t="s">
        <v>425</v>
      </c>
    </row>
    <row r="133" s="12" customFormat="1" customHeight="1" spans="1:20">
      <c r="A133" s="29">
        <f t="shared" si="11"/>
        <v>1107009</v>
      </c>
      <c r="B133" s="29">
        <v>1107</v>
      </c>
      <c r="C133" s="29" t="s">
        <v>395</v>
      </c>
      <c r="D133" s="29" t="s">
        <v>396</v>
      </c>
      <c r="E133" s="25">
        <v>1</v>
      </c>
      <c r="F133" s="29">
        <v>9</v>
      </c>
      <c r="G133" s="29">
        <v>12</v>
      </c>
      <c r="H133" s="29"/>
      <c r="I133" s="29" t="s">
        <v>426</v>
      </c>
      <c r="J133" s="30">
        <v>3600</v>
      </c>
      <c r="K133" s="15">
        <v>225</v>
      </c>
      <c r="L133" s="15" t="s">
        <v>399</v>
      </c>
      <c r="M133" s="30"/>
      <c r="N133" s="30"/>
      <c r="O133" s="30"/>
      <c r="P133" s="31"/>
      <c r="Q133" s="33"/>
      <c r="R133" s="6">
        <v>1107256</v>
      </c>
      <c r="S133" s="32">
        <v>16</v>
      </c>
      <c r="T133" s="34" t="s">
        <v>427</v>
      </c>
    </row>
    <row r="134" s="12" customFormat="1" customHeight="1" spans="1:20">
      <c r="A134" s="29">
        <f t="shared" si="11"/>
        <v>1107010</v>
      </c>
      <c r="B134" s="29">
        <v>1107</v>
      </c>
      <c r="C134" s="29" t="s">
        <v>395</v>
      </c>
      <c r="D134" s="29" t="s">
        <v>396</v>
      </c>
      <c r="E134" s="25">
        <v>1</v>
      </c>
      <c r="F134" s="29">
        <v>10</v>
      </c>
      <c r="G134" s="29">
        <v>12</v>
      </c>
      <c r="H134" s="29"/>
      <c r="I134" s="29" t="s">
        <v>428</v>
      </c>
      <c r="J134" s="30">
        <v>4000</v>
      </c>
      <c r="K134" s="15">
        <v>250</v>
      </c>
      <c r="L134" s="15" t="s">
        <v>399</v>
      </c>
      <c r="N134" s="30">
        <v>20</v>
      </c>
      <c r="O134" s="30"/>
      <c r="P134" s="31"/>
      <c r="Q134" s="33"/>
      <c r="R134" s="6">
        <v>1107257</v>
      </c>
      <c r="S134" s="32">
        <v>18</v>
      </c>
      <c r="T134" s="34" t="s">
        <v>429</v>
      </c>
    </row>
    <row r="135" s="13" customFormat="1" customHeight="1" spans="1:20">
      <c r="A135" s="29">
        <f t="shared" ref="A135:A166" si="12">B135*1000+F135</f>
        <v>1107011</v>
      </c>
      <c r="B135" s="29">
        <v>1107</v>
      </c>
      <c r="C135" s="29" t="s">
        <v>395</v>
      </c>
      <c r="D135" s="29" t="s">
        <v>396</v>
      </c>
      <c r="E135" s="25">
        <v>1</v>
      </c>
      <c r="F135" s="29">
        <v>11</v>
      </c>
      <c r="G135" s="29">
        <v>12</v>
      </c>
      <c r="H135" s="29"/>
      <c r="I135" s="29" t="s">
        <v>430</v>
      </c>
      <c r="J135" s="30">
        <v>4400</v>
      </c>
      <c r="K135" s="15">
        <v>275</v>
      </c>
      <c r="L135" s="15" t="s">
        <v>399</v>
      </c>
      <c r="M135" s="30" t="s">
        <v>431</v>
      </c>
      <c r="N135" s="30"/>
      <c r="O135" s="30"/>
      <c r="P135" s="31"/>
      <c r="Q135" s="33"/>
      <c r="R135" s="6">
        <v>1107251</v>
      </c>
      <c r="S135" s="32">
        <v>20</v>
      </c>
      <c r="T135" s="34" t="s">
        <v>432</v>
      </c>
    </row>
    <row r="136" s="13" customFormat="1" customHeight="1" spans="1:20">
      <c r="A136" s="29">
        <f t="shared" si="12"/>
        <v>1107012</v>
      </c>
      <c r="B136" s="29">
        <v>1107</v>
      </c>
      <c r="C136" s="29" t="s">
        <v>395</v>
      </c>
      <c r="D136" s="29" t="s">
        <v>396</v>
      </c>
      <c r="E136" s="25">
        <v>1</v>
      </c>
      <c r="F136" s="29">
        <v>12</v>
      </c>
      <c r="G136" s="29">
        <v>12</v>
      </c>
      <c r="H136" s="29"/>
      <c r="I136" s="29" t="s">
        <v>433</v>
      </c>
      <c r="J136" s="30">
        <v>4800</v>
      </c>
      <c r="K136" s="15">
        <v>300</v>
      </c>
      <c r="L136" s="15" t="s">
        <v>399</v>
      </c>
      <c r="M136" s="30"/>
      <c r="N136" s="30"/>
      <c r="O136" s="30"/>
      <c r="P136" s="31"/>
      <c r="Q136" s="33"/>
      <c r="R136" s="6">
        <v>1107264</v>
      </c>
      <c r="S136" s="32">
        <v>22</v>
      </c>
      <c r="T136" s="34" t="s">
        <v>434</v>
      </c>
    </row>
    <row r="137" s="13" customFormat="1" customHeight="1" spans="1:20">
      <c r="A137" s="29">
        <f t="shared" si="12"/>
        <v>1107013</v>
      </c>
      <c r="B137" s="29">
        <v>1107</v>
      </c>
      <c r="C137" s="29" t="s">
        <v>395</v>
      </c>
      <c r="D137" s="29" t="s">
        <v>396</v>
      </c>
      <c r="E137" s="25">
        <v>1</v>
      </c>
      <c r="F137" s="29">
        <v>13</v>
      </c>
      <c r="G137" s="29">
        <v>12</v>
      </c>
      <c r="H137" s="29"/>
      <c r="I137" s="29" t="s">
        <v>435</v>
      </c>
      <c r="J137" s="30">
        <v>5200</v>
      </c>
      <c r="K137" s="15">
        <v>325</v>
      </c>
      <c r="L137" s="15" t="s">
        <v>399</v>
      </c>
      <c r="M137" s="30"/>
      <c r="N137" s="30"/>
      <c r="O137" s="30"/>
      <c r="P137" s="31"/>
      <c r="Q137" s="31"/>
      <c r="R137" s="6">
        <v>1107265</v>
      </c>
      <c r="S137" s="32">
        <v>24</v>
      </c>
      <c r="T137" s="34" t="s">
        <v>436</v>
      </c>
    </row>
    <row r="138" s="13" customFormat="1" customHeight="1" spans="1:20">
      <c r="A138" s="29">
        <f t="shared" si="12"/>
        <v>1107014</v>
      </c>
      <c r="B138" s="29">
        <v>1107</v>
      </c>
      <c r="C138" s="29" t="s">
        <v>395</v>
      </c>
      <c r="D138" s="29" t="s">
        <v>396</v>
      </c>
      <c r="E138" s="25">
        <v>1</v>
      </c>
      <c r="F138" s="29">
        <v>14</v>
      </c>
      <c r="G138" s="29">
        <v>12</v>
      </c>
      <c r="H138" s="29"/>
      <c r="I138" s="29" t="s">
        <v>437</v>
      </c>
      <c r="J138" s="30">
        <v>5600</v>
      </c>
      <c r="K138" s="15">
        <v>350</v>
      </c>
      <c r="L138" s="15" t="s">
        <v>399</v>
      </c>
      <c r="M138" s="30" t="s">
        <v>438</v>
      </c>
      <c r="N138" s="30"/>
      <c r="O138" s="30"/>
      <c r="P138" s="31"/>
      <c r="Q138" s="31"/>
      <c r="R138" s="6">
        <v>1107266</v>
      </c>
      <c r="S138" s="32">
        <v>26</v>
      </c>
      <c r="T138" s="34" t="s">
        <v>439</v>
      </c>
    </row>
    <row r="139" s="13" customFormat="1" customHeight="1" spans="1:20">
      <c r="A139" s="29">
        <f t="shared" si="12"/>
        <v>1107015</v>
      </c>
      <c r="B139" s="29">
        <v>1107</v>
      </c>
      <c r="C139" s="29" t="s">
        <v>395</v>
      </c>
      <c r="D139" s="29" t="s">
        <v>396</v>
      </c>
      <c r="E139" s="25">
        <v>1</v>
      </c>
      <c r="F139" s="29">
        <v>15</v>
      </c>
      <c r="G139" s="29">
        <v>12</v>
      </c>
      <c r="H139" s="29"/>
      <c r="I139" s="29" t="s">
        <v>440</v>
      </c>
      <c r="J139" s="30">
        <v>6000</v>
      </c>
      <c r="K139" s="15">
        <v>375</v>
      </c>
      <c r="L139" s="15" t="s">
        <v>399</v>
      </c>
      <c r="N139" s="30">
        <v>30</v>
      </c>
      <c r="O139" s="30"/>
      <c r="P139" s="31"/>
      <c r="Q139" s="31"/>
      <c r="S139" s="32">
        <v>28</v>
      </c>
      <c r="T139" s="34" t="s">
        <v>441</v>
      </c>
    </row>
    <row r="140" s="13" customFormat="1" customHeight="1" spans="1:20">
      <c r="A140" s="29">
        <f t="shared" si="12"/>
        <v>1107016</v>
      </c>
      <c r="B140" s="29">
        <v>1107</v>
      </c>
      <c r="C140" s="29" t="s">
        <v>395</v>
      </c>
      <c r="D140" s="29" t="s">
        <v>396</v>
      </c>
      <c r="E140" s="25">
        <v>1</v>
      </c>
      <c r="F140" s="29">
        <v>16</v>
      </c>
      <c r="G140" s="29">
        <v>12</v>
      </c>
      <c r="H140" s="29"/>
      <c r="I140" s="29" t="s">
        <v>442</v>
      </c>
      <c r="J140" s="30">
        <v>6400</v>
      </c>
      <c r="K140" s="15">
        <v>400</v>
      </c>
      <c r="L140" s="15" t="s">
        <v>399</v>
      </c>
      <c r="M140" s="30" t="s">
        <v>443</v>
      </c>
      <c r="N140" s="30"/>
      <c r="O140" s="30"/>
      <c r="P140" s="31"/>
      <c r="Q140" s="31"/>
      <c r="R140" s="6"/>
      <c r="S140" s="32">
        <v>30</v>
      </c>
      <c r="T140" s="34" t="s">
        <v>444</v>
      </c>
    </row>
    <row r="141" s="13" customFormat="1" customHeight="1" spans="1:20">
      <c r="A141" s="29">
        <f t="shared" si="12"/>
        <v>1107017</v>
      </c>
      <c r="B141" s="29">
        <v>1107</v>
      </c>
      <c r="C141" s="29" t="s">
        <v>395</v>
      </c>
      <c r="D141" s="29" t="s">
        <v>396</v>
      </c>
      <c r="E141" s="25">
        <v>1</v>
      </c>
      <c r="F141" s="29">
        <v>17</v>
      </c>
      <c r="G141" s="29">
        <v>12</v>
      </c>
      <c r="H141" s="29"/>
      <c r="I141" s="29" t="s">
        <v>445</v>
      </c>
      <c r="J141" s="30">
        <v>6800</v>
      </c>
      <c r="K141" s="15">
        <v>425</v>
      </c>
      <c r="L141" s="15" t="s">
        <v>399</v>
      </c>
      <c r="M141" s="30"/>
      <c r="N141" s="30"/>
      <c r="O141" s="30"/>
      <c r="P141" s="31"/>
      <c r="Q141" s="31"/>
      <c r="R141" s="7"/>
      <c r="S141" s="32">
        <v>32</v>
      </c>
      <c r="T141" s="34" t="s">
        <v>446</v>
      </c>
    </row>
    <row r="142" s="13" customFormat="1" customHeight="1" spans="1:20">
      <c r="A142" s="29">
        <f t="shared" si="12"/>
        <v>1107018</v>
      </c>
      <c r="B142" s="29">
        <v>1107</v>
      </c>
      <c r="C142" s="29" t="s">
        <v>395</v>
      </c>
      <c r="D142" s="29" t="s">
        <v>396</v>
      </c>
      <c r="E142" s="25">
        <v>1</v>
      </c>
      <c r="F142" s="29">
        <v>18</v>
      </c>
      <c r="G142" s="29">
        <v>12</v>
      </c>
      <c r="H142" s="29"/>
      <c r="I142" s="29" t="s">
        <v>447</v>
      </c>
      <c r="J142" s="30">
        <v>7200</v>
      </c>
      <c r="K142" s="15">
        <v>450</v>
      </c>
      <c r="L142" s="15" t="s">
        <v>399</v>
      </c>
      <c r="M142" s="30" t="s">
        <v>448</v>
      </c>
      <c r="N142" s="30"/>
      <c r="O142" s="30"/>
      <c r="P142" s="31"/>
      <c r="Q142" s="31"/>
      <c r="R142" s="6"/>
      <c r="S142" s="32">
        <v>34</v>
      </c>
      <c r="T142" s="34" t="s">
        <v>449</v>
      </c>
    </row>
    <row r="143" s="13" customFormat="1" customHeight="1" spans="1:20">
      <c r="A143" s="29">
        <f t="shared" si="12"/>
        <v>1107019</v>
      </c>
      <c r="B143" s="29">
        <v>1107</v>
      </c>
      <c r="C143" s="29" t="s">
        <v>395</v>
      </c>
      <c r="D143" s="29" t="s">
        <v>396</v>
      </c>
      <c r="E143" s="25">
        <v>1</v>
      </c>
      <c r="F143" s="29">
        <v>19</v>
      </c>
      <c r="G143" s="29">
        <v>12</v>
      </c>
      <c r="H143" s="29"/>
      <c r="I143" s="29" t="s">
        <v>450</v>
      </c>
      <c r="J143" s="30">
        <v>7600</v>
      </c>
      <c r="K143" s="15">
        <v>475</v>
      </c>
      <c r="L143" s="15" t="s">
        <v>399</v>
      </c>
      <c r="M143" s="30"/>
      <c r="N143" s="30"/>
      <c r="O143" s="30"/>
      <c r="P143" s="31"/>
      <c r="Q143" s="31"/>
      <c r="R143" s="6"/>
      <c r="S143" s="32">
        <v>36</v>
      </c>
      <c r="T143" s="34" t="s">
        <v>451</v>
      </c>
    </row>
    <row r="144" s="13" customFormat="1" customHeight="1" spans="1:20">
      <c r="A144" s="29">
        <f t="shared" si="12"/>
        <v>1107020</v>
      </c>
      <c r="B144" s="29">
        <v>1107</v>
      </c>
      <c r="C144" s="29" t="s">
        <v>395</v>
      </c>
      <c r="D144" s="29" t="s">
        <v>396</v>
      </c>
      <c r="E144" s="25">
        <v>1</v>
      </c>
      <c r="F144" s="29">
        <v>20</v>
      </c>
      <c r="G144" s="29">
        <v>12</v>
      </c>
      <c r="H144" s="29"/>
      <c r="I144" s="29" t="s">
        <v>452</v>
      </c>
      <c r="J144" s="30">
        <v>8000</v>
      </c>
      <c r="K144" s="15">
        <v>500</v>
      </c>
      <c r="L144" s="15" t="s">
        <v>399</v>
      </c>
      <c r="N144" s="30">
        <v>40</v>
      </c>
      <c r="O144" s="30"/>
      <c r="P144" s="31"/>
      <c r="Q144" s="31"/>
      <c r="R144" s="6"/>
      <c r="S144" s="32">
        <v>38</v>
      </c>
      <c r="T144" s="34" t="s">
        <v>453</v>
      </c>
    </row>
    <row r="145" customHeight="1" spans="1:20">
      <c r="A145" s="25">
        <f t="shared" ref="A145:A154" si="13">B145*1000+F145</f>
        <v>1108001</v>
      </c>
      <c r="B145" s="25">
        <v>1108</v>
      </c>
      <c r="C145" s="25" t="s">
        <v>454</v>
      </c>
      <c r="D145" s="25" t="s">
        <v>455</v>
      </c>
      <c r="E145" s="25">
        <v>1</v>
      </c>
      <c r="F145" s="25">
        <v>1</v>
      </c>
      <c r="G145" s="25">
        <v>5</v>
      </c>
      <c r="H145" s="25" t="s">
        <v>456</v>
      </c>
      <c r="I145" s="25" t="s">
        <v>457</v>
      </c>
      <c r="J145" s="15">
        <v>1000</v>
      </c>
      <c r="K145" s="15">
        <v>55</v>
      </c>
      <c r="L145" s="15" t="s">
        <v>458</v>
      </c>
      <c r="M145" s="15"/>
      <c r="N145" s="15"/>
      <c r="O145" s="15"/>
      <c r="P145" s="14" t="s">
        <v>459</v>
      </c>
      <c r="Q145" s="14" t="s">
        <v>460</v>
      </c>
      <c r="R145" s="5" t="s">
        <v>461</v>
      </c>
      <c r="S145" s="27">
        <v>2</v>
      </c>
      <c r="T145" s="28" t="s">
        <v>462</v>
      </c>
    </row>
    <row r="146" customHeight="1" spans="1:20">
      <c r="A146" s="25">
        <f t="shared" si="13"/>
        <v>1108002</v>
      </c>
      <c r="B146" s="25">
        <v>1108</v>
      </c>
      <c r="C146" s="25" t="s">
        <v>454</v>
      </c>
      <c r="D146" s="25" t="s">
        <v>455</v>
      </c>
      <c r="E146" s="25">
        <v>1</v>
      </c>
      <c r="F146" s="25">
        <v>2</v>
      </c>
      <c r="G146" s="25">
        <v>8</v>
      </c>
      <c r="H146" s="25" t="s">
        <v>463</v>
      </c>
      <c r="I146" s="25" t="s">
        <v>464</v>
      </c>
      <c r="J146" s="15">
        <v>2000</v>
      </c>
      <c r="K146" s="15">
        <v>110</v>
      </c>
      <c r="L146" s="15" t="s">
        <v>458</v>
      </c>
      <c r="M146" s="15"/>
      <c r="N146" s="15"/>
      <c r="O146" s="15"/>
      <c r="P146" s="14" t="s">
        <v>465</v>
      </c>
      <c r="Q146" s="14" t="s">
        <v>466</v>
      </c>
      <c r="R146" s="5">
        <v>1108263</v>
      </c>
      <c r="S146" s="27">
        <v>4</v>
      </c>
      <c r="T146" s="28" t="s">
        <v>467</v>
      </c>
    </row>
    <row r="147" customHeight="1" spans="1:20">
      <c r="A147" s="25">
        <f t="shared" si="13"/>
        <v>1108003</v>
      </c>
      <c r="B147" s="25">
        <v>1108</v>
      </c>
      <c r="C147" s="25" t="s">
        <v>454</v>
      </c>
      <c r="D147" s="25" t="s">
        <v>455</v>
      </c>
      <c r="E147" s="25">
        <v>1</v>
      </c>
      <c r="F147" s="25">
        <v>3</v>
      </c>
      <c r="G147" s="25">
        <v>10</v>
      </c>
      <c r="H147" s="25" t="s">
        <v>468</v>
      </c>
      <c r="I147" s="25" t="s">
        <v>469</v>
      </c>
      <c r="J147" s="15">
        <v>3000</v>
      </c>
      <c r="K147" s="15">
        <v>165</v>
      </c>
      <c r="L147" s="15" t="s">
        <v>458</v>
      </c>
      <c r="M147" s="15"/>
      <c r="N147" s="15"/>
      <c r="O147" s="15"/>
      <c r="P147" s="14" t="s">
        <v>470</v>
      </c>
      <c r="Q147" s="14" t="s">
        <v>471</v>
      </c>
      <c r="R147" s="5">
        <v>1108255</v>
      </c>
      <c r="S147" s="27">
        <v>8</v>
      </c>
      <c r="T147" s="28" t="s">
        <v>472</v>
      </c>
    </row>
    <row r="148" customHeight="1" spans="1:20">
      <c r="A148" s="25">
        <f t="shared" si="13"/>
        <v>1108004</v>
      </c>
      <c r="B148" s="25">
        <v>1108</v>
      </c>
      <c r="C148" s="25" t="s">
        <v>454</v>
      </c>
      <c r="D148" s="25" t="s">
        <v>455</v>
      </c>
      <c r="E148" s="25">
        <v>1</v>
      </c>
      <c r="F148" s="25">
        <v>4</v>
      </c>
      <c r="G148" s="25">
        <v>10</v>
      </c>
      <c r="H148" s="25">
        <v>1108411</v>
      </c>
      <c r="I148" s="25" t="s">
        <v>473</v>
      </c>
      <c r="J148" s="15">
        <v>4000</v>
      </c>
      <c r="K148" s="15">
        <v>220</v>
      </c>
      <c r="L148" s="15" t="s">
        <v>458</v>
      </c>
      <c r="M148" s="15" t="s">
        <v>474</v>
      </c>
      <c r="N148" s="15"/>
      <c r="O148" s="15"/>
      <c r="R148" s="5">
        <v>1108264</v>
      </c>
      <c r="S148" s="27">
        <v>12</v>
      </c>
      <c r="T148" s="28" t="s">
        <v>475</v>
      </c>
    </row>
    <row r="149" customHeight="1" spans="1:20">
      <c r="A149" s="25">
        <f t="shared" si="13"/>
        <v>1108005</v>
      </c>
      <c r="B149" s="25">
        <v>1108</v>
      </c>
      <c r="C149" s="25" t="s">
        <v>454</v>
      </c>
      <c r="D149" s="25" t="s">
        <v>455</v>
      </c>
      <c r="E149" s="25">
        <v>1</v>
      </c>
      <c r="F149" s="25">
        <v>5</v>
      </c>
      <c r="G149" s="25">
        <v>10</v>
      </c>
      <c r="H149" s="25">
        <v>1108412</v>
      </c>
      <c r="I149" s="25" t="s">
        <v>476</v>
      </c>
      <c r="J149" s="15">
        <v>5000</v>
      </c>
      <c r="K149" s="15">
        <v>275</v>
      </c>
      <c r="L149" s="15" t="s">
        <v>458</v>
      </c>
      <c r="N149" s="15">
        <v>10</v>
      </c>
      <c r="O149" s="15"/>
      <c r="R149" s="5">
        <v>1108253</v>
      </c>
      <c r="S149" s="27">
        <v>16</v>
      </c>
      <c r="T149" s="28" t="s">
        <v>477</v>
      </c>
    </row>
    <row r="150" customHeight="1" spans="1:20">
      <c r="A150" s="25">
        <f t="shared" si="13"/>
        <v>1108006</v>
      </c>
      <c r="B150" s="25">
        <v>1108</v>
      </c>
      <c r="C150" s="25" t="s">
        <v>454</v>
      </c>
      <c r="D150" s="25" t="s">
        <v>455</v>
      </c>
      <c r="E150" s="25">
        <v>1</v>
      </c>
      <c r="F150" s="25">
        <v>6</v>
      </c>
      <c r="G150" s="25">
        <v>10</v>
      </c>
      <c r="H150" s="25">
        <v>1108413</v>
      </c>
      <c r="I150" s="25" t="s">
        <v>478</v>
      </c>
      <c r="J150" s="15">
        <v>6000</v>
      </c>
      <c r="K150" s="15">
        <v>330</v>
      </c>
      <c r="L150" s="15" t="s">
        <v>458</v>
      </c>
      <c r="M150" s="15"/>
      <c r="N150" s="15"/>
      <c r="O150" s="15"/>
      <c r="R150" s="5">
        <v>1108254</v>
      </c>
      <c r="S150" s="27">
        <v>20</v>
      </c>
      <c r="T150" s="28" t="s">
        <v>479</v>
      </c>
    </row>
    <row r="151" customHeight="1" spans="1:20">
      <c r="A151" s="25">
        <f t="shared" si="13"/>
        <v>1108007</v>
      </c>
      <c r="B151" s="25">
        <v>1108</v>
      </c>
      <c r="C151" s="25" t="s">
        <v>454</v>
      </c>
      <c r="D151" s="25" t="s">
        <v>455</v>
      </c>
      <c r="E151" s="25">
        <v>1</v>
      </c>
      <c r="F151" s="25">
        <v>7</v>
      </c>
      <c r="G151" s="25">
        <v>10</v>
      </c>
      <c r="H151" s="25">
        <v>1108414</v>
      </c>
      <c r="I151" s="25" t="s">
        <v>480</v>
      </c>
      <c r="J151" s="15">
        <v>7000</v>
      </c>
      <c r="K151" s="15">
        <v>385</v>
      </c>
      <c r="L151" s="15" t="s">
        <v>458</v>
      </c>
      <c r="M151" s="15"/>
      <c r="N151" s="15"/>
      <c r="O151" s="15"/>
      <c r="R151" s="5">
        <v>1108257</v>
      </c>
      <c r="S151" s="27">
        <v>24</v>
      </c>
      <c r="T151" s="28" t="s">
        <v>481</v>
      </c>
    </row>
    <row r="152" customHeight="1" spans="1:20">
      <c r="A152" s="25">
        <f t="shared" si="13"/>
        <v>1108008</v>
      </c>
      <c r="B152" s="25">
        <v>1108</v>
      </c>
      <c r="C152" s="25" t="s">
        <v>454</v>
      </c>
      <c r="D152" s="25" t="s">
        <v>455</v>
      </c>
      <c r="E152" s="25">
        <v>1</v>
      </c>
      <c r="F152" s="25">
        <v>8</v>
      </c>
      <c r="G152" s="25">
        <v>10</v>
      </c>
      <c r="H152" s="25">
        <v>1108415</v>
      </c>
      <c r="I152" s="25" t="s">
        <v>482</v>
      </c>
      <c r="J152" s="15">
        <v>8000</v>
      </c>
      <c r="K152" s="15">
        <v>440</v>
      </c>
      <c r="L152" s="15" t="s">
        <v>458</v>
      </c>
      <c r="M152" s="15" t="s">
        <v>483</v>
      </c>
      <c r="N152" s="15"/>
      <c r="O152" s="15"/>
      <c r="R152" s="5">
        <v>1108256</v>
      </c>
      <c r="S152" s="27">
        <v>28</v>
      </c>
      <c r="T152" s="28" t="s">
        <v>484</v>
      </c>
    </row>
    <row r="153" customHeight="1" spans="1:20">
      <c r="A153" s="25">
        <f t="shared" si="13"/>
        <v>1108009</v>
      </c>
      <c r="B153" s="25">
        <v>1108</v>
      </c>
      <c r="C153" s="25" t="s">
        <v>454</v>
      </c>
      <c r="D153" s="25" t="s">
        <v>455</v>
      </c>
      <c r="E153" s="25">
        <v>1</v>
      </c>
      <c r="F153" s="25">
        <v>9</v>
      </c>
      <c r="G153" s="25">
        <v>10</v>
      </c>
      <c r="H153" s="25"/>
      <c r="I153" s="25" t="s">
        <v>485</v>
      </c>
      <c r="J153" s="15">
        <v>9000</v>
      </c>
      <c r="K153" s="15">
        <v>495</v>
      </c>
      <c r="L153" s="15" t="s">
        <v>458</v>
      </c>
      <c r="M153" s="15"/>
      <c r="N153" s="15"/>
      <c r="O153" s="15"/>
      <c r="R153" s="5">
        <v>1108258</v>
      </c>
      <c r="S153" s="27">
        <v>32</v>
      </c>
      <c r="T153" s="28" t="s">
        <v>486</v>
      </c>
    </row>
    <row r="154" customHeight="1" spans="1:20">
      <c r="A154" s="25">
        <f t="shared" si="13"/>
        <v>1108010</v>
      </c>
      <c r="B154" s="25">
        <v>1108</v>
      </c>
      <c r="C154" s="25" t="s">
        <v>454</v>
      </c>
      <c r="D154" s="25" t="s">
        <v>455</v>
      </c>
      <c r="E154" s="25">
        <v>1</v>
      </c>
      <c r="F154" s="25">
        <v>10</v>
      </c>
      <c r="G154" s="25">
        <v>10</v>
      </c>
      <c r="H154" s="25"/>
      <c r="I154" s="25" t="s">
        <v>487</v>
      </c>
      <c r="J154" s="15">
        <v>10000</v>
      </c>
      <c r="K154" s="15">
        <v>550</v>
      </c>
      <c r="L154" s="15" t="s">
        <v>458</v>
      </c>
      <c r="N154" s="15">
        <v>20</v>
      </c>
      <c r="O154" s="15"/>
      <c r="R154" s="5">
        <v>1108259</v>
      </c>
      <c r="S154" s="27">
        <v>36</v>
      </c>
      <c r="T154" s="28" t="s">
        <v>488</v>
      </c>
    </row>
    <row r="155" customHeight="1" spans="1:20">
      <c r="A155" s="25">
        <f t="shared" ref="A155:A186" si="14">B155*1000+F155</f>
        <v>1108011</v>
      </c>
      <c r="B155" s="25">
        <v>1108</v>
      </c>
      <c r="C155" s="25" t="s">
        <v>454</v>
      </c>
      <c r="D155" s="25" t="s">
        <v>455</v>
      </c>
      <c r="E155" s="25">
        <v>1</v>
      </c>
      <c r="F155" s="25">
        <v>11</v>
      </c>
      <c r="G155" s="25">
        <v>10</v>
      </c>
      <c r="H155" s="25"/>
      <c r="I155" s="25" t="s">
        <v>489</v>
      </c>
      <c r="J155" s="15">
        <v>11000</v>
      </c>
      <c r="K155" s="15">
        <v>605</v>
      </c>
      <c r="L155" s="15" t="s">
        <v>458</v>
      </c>
      <c r="M155" s="15" t="s">
        <v>490</v>
      </c>
      <c r="N155" s="15"/>
      <c r="O155" s="15"/>
      <c r="R155" s="5">
        <v>1108260</v>
      </c>
      <c r="S155" s="27">
        <v>40</v>
      </c>
      <c r="T155" s="28" t="s">
        <v>491</v>
      </c>
    </row>
    <row r="156" customHeight="1" spans="1:20">
      <c r="A156" s="25">
        <f t="shared" si="14"/>
        <v>1108012</v>
      </c>
      <c r="B156" s="25">
        <v>1108</v>
      </c>
      <c r="C156" s="25" t="s">
        <v>454</v>
      </c>
      <c r="D156" s="25" t="s">
        <v>455</v>
      </c>
      <c r="E156" s="25">
        <v>1</v>
      </c>
      <c r="F156" s="25">
        <v>12</v>
      </c>
      <c r="G156" s="25">
        <v>10</v>
      </c>
      <c r="H156" s="25"/>
      <c r="I156" s="25" t="s">
        <v>492</v>
      </c>
      <c r="J156" s="15">
        <v>12000</v>
      </c>
      <c r="K156" s="15">
        <v>660</v>
      </c>
      <c r="L156" s="15" t="s">
        <v>458</v>
      </c>
      <c r="M156" s="15"/>
      <c r="N156" s="15"/>
      <c r="O156" s="15"/>
      <c r="S156" s="27">
        <v>44</v>
      </c>
      <c r="T156" s="28" t="s">
        <v>493</v>
      </c>
    </row>
    <row r="157" customHeight="1" spans="1:20">
      <c r="A157" s="25">
        <f t="shared" si="14"/>
        <v>1108013</v>
      </c>
      <c r="B157" s="25">
        <v>1108</v>
      </c>
      <c r="C157" s="25" t="s">
        <v>454</v>
      </c>
      <c r="D157" s="25" t="s">
        <v>455</v>
      </c>
      <c r="E157" s="25">
        <v>1</v>
      </c>
      <c r="F157" s="25">
        <v>13</v>
      </c>
      <c r="G157" s="25">
        <v>10</v>
      </c>
      <c r="H157" s="25"/>
      <c r="I157" s="25" t="s">
        <v>494</v>
      </c>
      <c r="J157" s="15">
        <v>13000</v>
      </c>
      <c r="K157" s="15">
        <v>715</v>
      </c>
      <c r="L157" s="15" t="s">
        <v>458</v>
      </c>
      <c r="M157" s="15"/>
      <c r="N157" s="15"/>
      <c r="O157" s="15"/>
      <c r="R157" s="5">
        <v>1108251</v>
      </c>
      <c r="S157" s="27">
        <v>48</v>
      </c>
      <c r="T157" s="28" t="s">
        <v>495</v>
      </c>
    </row>
    <row r="158" customHeight="1" spans="1:20">
      <c r="A158" s="25">
        <f t="shared" si="14"/>
        <v>1108014</v>
      </c>
      <c r="B158" s="25">
        <v>1108</v>
      </c>
      <c r="C158" s="25" t="s">
        <v>454</v>
      </c>
      <c r="D158" s="25" t="s">
        <v>455</v>
      </c>
      <c r="E158" s="25">
        <v>1</v>
      </c>
      <c r="F158" s="25">
        <v>14</v>
      </c>
      <c r="G158" s="25">
        <v>10</v>
      </c>
      <c r="H158" s="25"/>
      <c r="I158" s="25" t="s">
        <v>496</v>
      </c>
      <c r="J158" s="15">
        <v>14000</v>
      </c>
      <c r="K158" s="15">
        <v>770</v>
      </c>
      <c r="L158" s="15" t="s">
        <v>458</v>
      </c>
      <c r="M158" s="15" t="s">
        <v>497</v>
      </c>
      <c r="N158" s="15"/>
      <c r="O158" s="15"/>
      <c r="R158" s="5">
        <v>1108265</v>
      </c>
      <c r="S158" s="27">
        <v>52</v>
      </c>
      <c r="T158" s="28" t="s">
        <v>498</v>
      </c>
    </row>
    <row r="159" customHeight="1" spans="1:20">
      <c r="A159" s="25">
        <f t="shared" si="14"/>
        <v>1108015</v>
      </c>
      <c r="B159" s="25">
        <v>1108</v>
      </c>
      <c r="C159" s="25" t="s">
        <v>454</v>
      </c>
      <c r="D159" s="25" t="s">
        <v>455</v>
      </c>
      <c r="E159" s="25">
        <v>1</v>
      </c>
      <c r="F159" s="25">
        <v>15</v>
      </c>
      <c r="G159" s="25">
        <v>10</v>
      </c>
      <c r="H159" s="25"/>
      <c r="I159" s="25" t="s">
        <v>499</v>
      </c>
      <c r="J159" s="15">
        <v>15000</v>
      </c>
      <c r="K159" s="15">
        <v>825</v>
      </c>
      <c r="L159" s="15" t="s">
        <v>458</v>
      </c>
      <c r="N159" s="15">
        <v>30</v>
      </c>
      <c r="O159" s="15"/>
      <c r="R159" s="5">
        <v>1108266</v>
      </c>
      <c r="S159" s="27">
        <v>56</v>
      </c>
      <c r="T159" s="28" t="s">
        <v>500</v>
      </c>
    </row>
    <row r="160" customHeight="1" spans="1:20">
      <c r="A160" s="25">
        <f t="shared" si="14"/>
        <v>1108016</v>
      </c>
      <c r="B160" s="25">
        <v>1108</v>
      </c>
      <c r="C160" s="25" t="s">
        <v>454</v>
      </c>
      <c r="D160" s="25" t="s">
        <v>455</v>
      </c>
      <c r="E160" s="25">
        <v>1</v>
      </c>
      <c r="F160" s="25">
        <v>16</v>
      </c>
      <c r="G160" s="25">
        <v>10</v>
      </c>
      <c r="H160" s="25"/>
      <c r="I160" s="25" t="s">
        <v>501</v>
      </c>
      <c r="J160" s="15">
        <v>16000</v>
      </c>
      <c r="K160" s="15">
        <v>880</v>
      </c>
      <c r="L160" s="15" t="s">
        <v>458</v>
      </c>
      <c r="M160" s="15" t="s">
        <v>502</v>
      </c>
      <c r="N160" s="15"/>
      <c r="O160" s="15"/>
      <c r="R160" s="5">
        <v>1108267</v>
      </c>
      <c r="S160" s="27">
        <v>60</v>
      </c>
      <c r="T160" s="28" t="s">
        <v>503</v>
      </c>
    </row>
    <row r="161" customHeight="1" spans="1:20">
      <c r="A161" s="25">
        <f t="shared" si="14"/>
        <v>1108017</v>
      </c>
      <c r="B161" s="25">
        <v>1108</v>
      </c>
      <c r="C161" s="25" t="s">
        <v>454</v>
      </c>
      <c r="D161" s="25" t="s">
        <v>455</v>
      </c>
      <c r="E161" s="25">
        <v>1</v>
      </c>
      <c r="F161" s="25">
        <v>17</v>
      </c>
      <c r="G161" s="25">
        <v>10</v>
      </c>
      <c r="H161" s="25"/>
      <c r="I161" s="25" t="s">
        <v>504</v>
      </c>
      <c r="J161" s="15">
        <v>17000</v>
      </c>
      <c r="K161" s="15">
        <v>935</v>
      </c>
      <c r="L161" s="15" t="s">
        <v>458</v>
      </c>
      <c r="M161" s="15"/>
      <c r="N161" s="15"/>
      <c r="O161" s="15"/>
      <c r="S161" s="27">
        <v>64</v>
      </c>
      <c r="T161" s="28" t="s">
        <v>505</v>
      </c>
    </row>
    <row r="162" customHeight="1" spans="1:20">
      <c r="A162" s="25">
        <f t="shared" si="14"/>
        <v>1108018</v>
      </c>
      <c r="B162" s="25">
        <v>1108</v>
      </c>
      <c r="C162" s="25" t="s">
        <v>454</v>
      </c>
      <c r="D162" s="25" t="s">
        <v>455</v>
      </c>
      <c r="E162" s="25">
        <v>1</v>
      </c>
      <c r="F162" s="25">
        <v>18</v>
      </c>
      <c r="G162" s="25">
        <v>10</v>
      </c>
      <c r="H162" s="25"/>
      <c r="I162" s="25" t="s">
        <v>506</v>
      </c>
      <c r="J162" s="15">
        <v>18000</v>
      </c>
      <c r="K162" s="15">
        <v>990</v>
      </c>
      <c r="L162" s="15" t="s">
        <v>458</v>
      </c>
      <c r="M162" s="15" t="s">
        <v>507</v>
      </c>
      <c r="N162" s="15"/>
      <c r="O162" s="15"/>
      <c r="S162" s="27">
        <v>68</v>
      </c>
      <c r="T162" s="28" t="s">
        <v>508</v>
      </c>
    </row>
    <row r="163" customHeight="1" spans="1:20">
      <c r="A163" s="25">
        <f t="shared" si="14"/>
        <v>1108019</v>
      </c>
      <c r="B163" s="25">
        <v>1108</v>
      </c>
      <c r="C163" s="25" t="s">
        <v>454</v>
      </c>
      <c r="D163" s="25" t="s">
        <v>455</v>
      </c>
      <c r="E163" s="25">
        <v>1</v>
      </c>
      <c r="F163" s="25">
        <v>19</v>
      </c>
      <c r="G163" s="25">
        <v>10</v>
      </c>
      <c r="H163" s="25"/>
      <c r="I163" s="25" t="s">
        <v>509</v>
      </c>
      <c r="J163" s="15">
        <v>19000</v>
      </c>
      <c r="K163" s="15">
        <v>1045</v>
      </c>
      <c r="L163" s="15" t="s">
        <v>458</v>
      </c>
      <c r="M163" s="15"/>
      <c r="N163" s="15"/>
      <c r="O163" s="15"/>
      <c r="S163" s="27">
        <v>72</v>
      </c>
      <c r="T163" s="28" t="s">
        <v>510</v>
      </c>
    </row>
    <row r="164" customHeight="1" spans="1:20">
      <c r="A164" s="25">
        <f t="shared" si="14"/>
        <v>1108020</v>
      </c>
      <c r="B164" s="25">
        <v>1108</v>
      </c>
      <c r="C164" s="25" t="s">
        <v>454</v>
      </c>
      <c r="D164" s="25" t="s">
        <v>455</v>
      </c>
      <c r="E164" s="25">
        <v>1</v>
      </c>
      <c r="F164" s="25">
        <v>20</v>
      </c>
      <c r="G164" s="25">
        <v>10</v>
      </c>
      <c r="H164" s="25"/>
      <c r="I164" s="25" t="s">
        <v>511</v>
      </c>
      <c r="J164" s="15">
        <v>20000</v>
      </c>
      <c r="K164" s="15">
        <v>1100</v>
      </c>
      <c r="L164" s="15" t="s">
        <v>458</v>
      </c>
      <c r="N164" s="15">
        <v>40</v>
      </c>
      <c r="O164" s="15"/>
      <c r="S164" s="27">
        <v>76</v>
      </c>
      <c r="T164" s="28" t="s">
        <v>512</v>
      </c>
    </row>
    <row r="165" s="12" customFormat="1" customHeight="1" spans="1:20">
      <c r="A165" s="29">
        <f t="shared" ref="A165:A174" si="15">B165*1000+F165</f>
        <v>1109001</v>
      </c>
      <c r="B165" s="29">
        <v>1109</v>
      </c>
      <c r="C165" s="29" t="s">
        <v>513</v>
      </c>
      <c r="D165" s="29" t="s">
        <v>514</v>
      </c>
      <c r="E165" s="25">
        <v>1</v>
      </c>
      <c r="F165" s="29">
        <v>1</v>
      </c>
      <c r="G165" s="29">
        <v>5</v>
      </c>
      <c r="H165" s="29" t="s">
        <v>515</v>
      </c>
      <c r="I165" s="29" t="s">
        <v>516</v>
      </c>
      <c r="J165" s="30">
        <v>900</v>
      </c>
      <c r="K165" s="15">
        <v>50</v>
      </c>
      <c r="L165" s="15" t="s">
        <v>517</v>
      </c>
      <c r="M165" s="30"/>
      <c r="N165" s="30"/>
      <c r="O165" s="30"/>
      <c r="P165" s="6" t="s">
        <v>518</v>
      </c>
      <c r="Q165" s="6" t="s">
        <v>519</v>
      </c>
      <c r="R165" s="6" t="s">
        <v>520</v>
      </c>
      <c r="S165" s="32">
        <v>2</v>
      </c>
      <c r="T165" s="34" t="s">
        <v>521</v>
      </c>
    </row>
    <row r="166" s="12" customFormat="1" customHeight="1" spans="1:20">
      <c r="A166" s="29">
        <f t="shared" si="15"/>
        <v>1109002</v>
      </c>
      <c r="B166" s="29">
        <v>1109</v>
      </c>
      <c r="C166" s="29" t="s">
        <v>513</v>
      </c>
      <c r="D166" s="29" t="s">
        <v>514</v>
      </c>
      <c r="E166" s="25">
        <v>1</v>
      </c>
      <c r="F166" s="29">
        <v>2</v>
      </c>
      <c r="G166" s="29">
        <v>8</v>
      </c>
      <c r="H166" s="29" t="s">
        <v>522</v>
      </c>
      <c r="I166" s="29" t="s">
        <v>523</v>
      </c>
      <c r="J166" s="30">
        <v>1800</v>
      </c>
      <c r="K166" s="15">
        <v>100</v>
      </c>
      <c r="L166" s="15" t="s">
        <v>517</v>
      </c>
      <c r="M166" s="30"/>
      <c r="N166" s="30"/>
      <c r="O166" s="30"/>
      <c r="P166" s="6" t="s">
        <v>524</v>
      </c>
      <c r="Q166" s="6" t="s">
        <v>525</v>
      </c>
      <c r="R166" s="6">
        <v>1109263</v>
      </c>
      <c r="S166" s="32">
        <v>4</v>
      </c>
      <c r="T166" s="34" t="s">
        <v>526</v>
      </c>
    </row>
    <row r="167" s="12" customFormat="1" customHeight="1" spans="1:20">
      <c r="A167" s="29">
        <f t="shared" si="15"/>
        <v>1109003</v>
      </c>
      <c r="B167" s="29">
        <v>1109</v>
      </c>
      <c r="C167" s="29" t="s">
        <v>513</v>
      </c>
      <c r="D167" s="29" t="s">
        <v>514</v>
      </c>
      <c r="E167" s="25">
        <v>1</v>
      </c>
      <c r="F167" s="29">
        <v>3</v>
      </c>
      <c r="G167" s="29">
        <v>10</v>
      </c>
      <c r="H167" s="29" t="s">
        <v>527</v>
      </c>
      <c r="I167" s="29" t="s">
        <v>528</v>
      </c>
      <c r="J167" s="30">
        <v>2700</v>
      </c>
      <c r="K167" s="15">
        <v>150</v>
      </c>
      <c r="L167" s="15" t="s">
        <v>517</v>
      </c>
      <c r="M167" s="30"/>
      <c r="N167" s="30"/>
      <c r="O167" s="30"/>
      <c r="P167" s="6" t="s">
        <v>529</v>
      </c>
      <c r="Q167" s="6" t="s">
        <v>530</v>
      </c>
      <c r="R167" s="6">
        <v>1109255</v>
      </c>
      <c r="S167" s="32">
        <v>8</v>
      </c>
      <c r="T167" s="34" t="s">
        <v>531</v>
      </c>
    </row>
    <row r="168" s="12" customFormat="1" customHeight="1" spans="1:20">
      <c r="A168" s="29">
        <f t="shared" si="15"/>
        <v>1109004</v>
      </c>
      <c r="B168" s="29">
        <v>1109</v>
      </c>
      <c r="C168" s="29" t="s">
        <v>513</v>
      </c>
      <c r="D168" s="29" t="s">
        <v>514</v>
      </c>
      <c r="E168" s="25">
        <v>1</v>
      </c>
      <c r="F168" s="29">
        <v>4</v>
      </c>
      <c r="G168" s="29">
        <v>10</v>
      </c>
      <c r="H168" s="29">
        <v>1109411</v>
      </c>
      <c r="I168" s="29" t="s">
        <v>532</v>
      </c>
      <c r="J168" s="30">
        <v>3600</v>
      </c>
      <c r="K168" s="15">
        <v>200</v>
      </c>
      <c r="L168" s="15" t="s">
        <v>517</v>
      </c>
      <c r="M168" s="30" t="s">
        <v>533</v>
      </c>
      <c r="N168" s="30"/>
      <c r="O168" s="30"/>
      <c r="P168" s="31"/>
      <c r="Q168" s="31"/>
      <c r="R168" s="6">
        <v>1109264</v>
      </c>
      <c r="S168" s="32">
        <v>12</v>
      </c>
      <c r="T168" s="34" t="s">
        <v>534</v>
      </c>
    </row>
    <row r="169" s="12" customFormat="1" customHeight="1" spans="1:20">
      <c r="A169" s="29">
        <f t="shared" si="15"/>
        <v>1109005</v>
      </c>
      <c r="B169" s="29">
        <v>1109</v>
      </c>
      <c r="C169" s="29" t="s">
        <v>513</v>
      </c>
      <c r="D169" s="29" t="s">
        <v>514</v>
      </c>
      <c r="E169" s="25">
        <v>1</v>
      </c>
      <c r="F169" s="29">
        <v>5</v>
      </c>
      <c r="G169" s="29">
        <v>10</v>
      </c>
      <c r="H169" s="29">
        <v>1109412</v>
      </c>
      <c r="I169" s="29" t="s">
        <v>535</v>
      </c>
      <c r="J169" s="30">
        <v>4500</v>
      </c>
      <c r="K169" s="15">
        <v>250</v>
      </c>
      <c r="L169" s="15" t="s">
        <v>517</v>
      </c>
      <c r="N169" s="30">
        <v>10</v>
      </c>
      <c r="O169" s="30"/>
      <c r="R169" s="6">
        <v>1109253</v>
      </c>
      <c r="S169" s="32">
        <v>16</v>
      </c>
      <c r="T169" s="34" t="s">
        <v>536</v>
      </c>
    </row>
    <row r="170" s="12" customFormat="1" customHeight="1" spans="1:20">
      <c r="A170" s="29">
        <f t="shared" si="15"/>
        <v>1109006</v>
      </c>
      <c r="B170" s="29">
        <v>1109</v>
      </c>
      <c r="C170" s="29" t="s">
        <v>513</v>
      </c>
      <c r="D170" s="29" t="s">
        <v>514</v>
      </c>
      <c r="E170" s="25">
        <v>1</v>
      </c>
      <c r="F170" s="29">
        <v>6</v>
      </c>
      <c r="G170" s="29">
        <v>10</v>
      </c>
      <c r="H170" s="29">
        <v>1109413</v>
      </c>
      <c r="I170" s="29" t="s">
        <v>537</v>
      </c>
      <c r="J170" s="30">
        <v>5400</v>
      </c>
      <c r="K170" s="15">
        <v>300</v>
      </c>
      <c r="L170" s="15" t="s">
        <v>517</v>
      </c>
      <c r="M170" s="30"/>
      <c r="N170" s="30"/>
      <c r="O170" s="30"/>
      <c r="P170" s="31"/>
      <c r="Q170" s="31"/>
      <c r="R170" s="6">
        <v>1109254</v>
      </c>
      <c r="S170" s="32">
        <v>20</v>
      </c>
      <c r="T170" s="34" t="s">
        <v>538</v>
      </c>
    </row>
    <row r="171" s="12" customFormat="1" customHeight="1" spans="1:20">
      <c r="A171" s="29">
        <f t="shared" si="15"/>
        <v>1109007</v>
      </c>
      <c r="B171" s="29">
        <v>1109</v>
      </c>
      <c r="C171" s="29" t="s">
        <v>513</v>
      </c>
      <c r="D171" s="29" t="s">
        <v>514</v>
      </c>
      <c r="E171" s="25">
        <v>1</v>
      </c>
      <c r="F171" s="29">
        <v>7</v>
      </c>
      <c r="G171" s="29">
        <v>10</v>
      </c>
      <c r="H171" s="29">
        <v>1109414</v>
      </c>
      <c r="I171" s="29" t="s">
        <v>539</v>
      </c>
      <c r="J171" s="30">
        <v>6300</v>
      </c>
      <c r="K171" s="15">
        <v>350</v>
      </c>
      <c r="L171" s="15" t="s">
        <v>517</v>
      </c>
      <c r="M171" s="30"/>
      <c r="N171" s="30"/>
      <c r="O171" s="30"/>
      <c r="P171" s="31"/>
      <c r="Q171" s="31"/>
      <c r="R171" s="6">
        <v>1109257</v>
      </c>
      <c r="S171" s="32">
        <v>24</v>
      </c>
      <c r="T171" s="34" t="s">
        <v>540</v>
      </c>
    </row>
    <row r="172" s="12" customFormat="1" customHeight="1" spans="1:20">
      <c r="A172" s="29">
        <f t="shared" si="15"/>
        <v>1109008</v>
      </c>
      <c r="B172" s="29">
        <v>1109</v>
      </c>
      <c r="C172" s="29" t="s">
        <v>513</v>
      </c>
      <c r="D172" s="29" t="s">
        <v>514</v>
      </c>
      <c r="E172" s="25">
        <v>1</v>
      </c>
      <c r="F172" s="29">
        <v>8</v>
      </c>
      <c r="G172" s="29">
        <v>10</v>
      </c>
      <c r="H172" s="29">
        <v>1109415</v>
      </c>
      <c r="I172" s="29" t="s">
        <v>541</v>
      </c>
      <c r="J172" s="30">
        <v>7200</v>
      </c>
      <c r="K172" s="15">
        <v>400</v>
      </c>
      <c r="L172" s="15" t="s">
        <v>517</v>
      </c>
      <c r="M172" s="30" t="s">
        <v>542</v>
      </c>
      <c r="N172" s="30"/>
      <c r="O172" s="30"/>
      <c r="P172" s="31"/>
      <c r="Q172" s="31"/>
      <c r="R172" s="6">
        <v>1109256</v>
      </c>
      <c r="S172" s="32">
        <v>28</v>
      </c>
      <c r="T172" s="34" t="s">
        <v>543</v>
      </c>
    </row>
    <row r="173" s="12" customFormat="1" customHeight="1" spans="1:20">
      <c r="A173" s="29">
        <f t="shared" si="15"/>
        <v>1109009</v>
      </c>
      <c r="B173" s="29">
        <v>1109</v>
      </c>
      <c r="C173" s="29" t="s">
        <v>513</v>
      </c>
      <c r="D173" s="29" t="s">
        <v>514</v>
      </c>
      <c r="E173" s="25">
        <v>1</v>
      </c>
      <c r="F173" s="29">
        <v>9</v>
      </c>
      <c r="G173" s="29">
        <v>10</v>
      </c>
      <c r="H173" s="29"/>
      <c r="I173" s="29" t="s">
        <v>544</v>
      </c>
      <c r="J173" s="30">
        <v>8100</v>
      </c>
      <c r="K173" s="15">
        <v>450</v>
      </c>
      <c r="L173" s="15" t="s">
        <v>517</v>
      </c>
      <c r="M173" s="30"/>
      <c r="N173" s="30"/>
      <c r="O173" s="30"/>
      <c r="P173" s="31"/>
      <c r="Q173" s="31"/>
      <c r="R173" s="6">
        <v>1109258</v>
      </c>
      <c r="S173" s="32">
        <v>32</v>
      </c>
      <c r="T173" s="34" t="s">
        <v>545</v>
      </c>
    </row>
    <row r="174" s="12" customFormat="1" customHeight="1" spans="1:20">
      <c r="A174" s="29">
        <f t="shared" si="15"/>
        <v>1109010</v>
      </c>
      <c r="B174" s="29">
        <v>1109</v>
      </c>
      <c r="C174" s="29" t="s">
        <v>513</v>
      </c>
      <c r="D174" s="29" t="s">
        <v>514</v>
      </c>
      <c r="E174" s="25">
        <v>1</v>
      </c>
      <c r="F174" s="29">
        <v>10</v>
      </c>
      <c r="G174" s="29">
        <v>10</v>
      </c>
      <c r="H174" s="29"/>
      <c r="I174" s="29" t="s">
        <v>546</v>
      </c>
      <c r="J174" s="30">
        <v>9000</v>
      </c>
      <c r="K174" s="15">
        <v>500</v>
      </c>
      <c r="L174" s="15" t="s">
        <v>517</v>
      </c>
      <c r="N174" s="30">
        <v>20</v>
      </c>
      <c r="O174" s="30"/>
      <c r="P174" s="31"/>
      <c r="Q174" s="31"/>
      <c r="R174" s="6">
        <v>1109259</v>
      </c>
      <c r="S174" s="32">
        <v>36</v>
      </c>
      <c r="T174" s="34" t="s">
        <v>547</v>
      </c>
    </row>
    <row r="175" s="13" customFormat="1" customHeight="1" spans="1:20">
      <c r="A175" s="29">
        <f t="shared" ref="A175:A206" si="16">B175*1000+F175</f>
        <v>1109011</v>
      </c>
      <c r="B175" s="29">
        <v>1109</v>
      </c>
      <c r="C175" s="29" t="s">
        <v>513</v>
      </c>
      <c r="D175" s="29" t="s">
        <v>514</v>
      </c>
      <c r="E175" s="25">
        <v>1</v>
      </c>
      <c r="F175" s="29">
        <v>11</v>
      </c>
      <c r="G175" s="29">
        <v>10</v>
      </c>
      <c r="H175" s="29"/>
      <c r="I175" s="29" t="s">
        <v>548</v>
      </c>
      <c r="J175" s="30">
        <v>9900</v>
      </c>
      <c r="K175" s="15">
        <v>550</v>
      </c>
      <c r="L175" s="15" t="s">
        <v>517</v>
      </c>
      <c r="M175" s="30" t="s">
        <v>549</v>
      </c>
      <c r="N175" s="30"/>
      <c r="O175" s="30"/>
      <c r="P175" s="31"/>
      <c r="Q175" s="31"/>
      <c r="R175" s="6">
        <v>1109260</v>
      </c>
      <c r="S175" s="32">
        <v>40</v>
      </c>
      <c r="T175" s="34" t="s">
        <v>550</v>
      </c>
    </row>
    <row r="176" s="13" customFormat="1" customHeight="1" spans="1:20">
      <c r="A176" s="29">
        <f t="shared" si="16"/>
        <v>1109012</v>
      </c>
      <c r="B176" s="29">
        <v>1109</v>
      </c>
      <c r="C176" s="29" t="s">
        <v>513</v>
      </c>
      <c r="D176" s="29" t="s">
        <v>514</v>
      </c>
      <c r="E176" s="25">
        <v>1</v>
      </c>
      <c r="F176" s="29">
        <v>12</v>
      </c>
      <c r="G176" s="29">
        <v>10</v>
      </c>
      <c r="H176" s="29"/>
      <c r="I176" s="29" t="s">
        <v>551</v>
      </c>
      <c r="J176" s="30">
        <v>10800</v>
      </c>
      <c r="K176" s="15">
        <v>600</v>
      </c>
      <c r="L176" s="15" t="s">
        <v>517</v>
      </c>
      <c r="M176" s="30"/>
      <c r="N176" s="30"/>
      <c r="O176" s="30"/>
      <c r="P176" s="31"/>
      <c r="Q176" s="31"/>
      <c r="R176" s="6"/>
      <c r="S176" s="32">
        <v>44</v>
      </c>
      <c r="T176" s="34" t="s">
        <v>552</v>
      </c>
    </row>
    <row r="177" s="13" customFormat="1" customHeight="1" spans="1:20">
      <c r="A177" s="29">
        <f t="shared" si="16"/>
        <v>1109013</v>
      </c>
      <c r="B177" s="29">
        <v>1109</v>
      </c>
      <c r="C177" s="29" t="s">
        <v>513</v>
      </c>
      <c r="D177" s="29" t="s">
        <v>514</v>
      </c>
      <c r="E177" s="25">
        <v>1</v>
      </c>
      <c r="F177" s="29">
        <v>13</v>
      </c>
      <c r="G177" s="29">
        <v>10</v>
      </c>
      <c r="H177" s="29"/>
      <c r="I177" s="29" t="s">
        <v>553</v>
      </c>
      <c r="J177" s="30">
        <v>11700</v>
      </c>
      <c r="K177" s="15">
        <v>650</v>
      </c>
      <c r="L177" s="15" t="s">
        <v>517</v>
      </c>
      <c r="M177" s="30"/>
      <c r="N177" s="30"/>
      <c r="O177" s="30"/>
      <c r="P177" s="31"/>
      <c r="Q177" s="31"/>
      <c r="R177" s="6">
        <v>1109251</v>
      </c>
      <c r="S177" s="32">
        <v>48</v>
      </c>
      <c r="T177" s="34" t="s">
        <v>554</v>
      </c>
    </row>
    <row r="178" s="13" customFormat="1" customHeight="1" spans="1:20">
      <c r="A178" s="29">
        <f t="shared" si="16"/>
        <v>1109014</v>
      </c>
      <c r="B178" s="29">
        <v>1109</v>
      </c>
      <c r="C178" s="29" t="s">
        <v>513</v>
      </c>
      <c r="D178" s="29" t="s">
        <v>514</v>
      </c>
      <c r="E178" s="25">
        <v>1</v>
      </c>
      <c r="F178" s="29">
        <v>14</v>
      </c>
      <c r="G178" s="29">
        <v>10</v>
      </c>
      <c r="H178" s="29"/>
      <c r="I178" s="29" t="s">
        <v>555</v>
      </c>
      <c r="J178" s="30">
        <v>12600</v>
      </c>
      <c r="K178" s="15">
        <v>700</v>
      </c>
      <c r="L178" s="15" t="s">
        <v>517</v>
      </c>
      <c r="M178" s="30" t="s">
        <v>556</v>
      </c>
      <c r="N178" s="30"/>
      <c r="O178" s="30"/>
      <c r="P178" s="31"/>
      <c r="Q178" s="31"/>
      <c r="R178" s="6">
        <v>1109265</v>
      </c>
      <c r="S178" s="32">
        <v>52</v>
      </c>
      <c r="T178" s="34" t="s">
        <v>557</v>
      </c>
    </row>
    <row r="179" s="13" customFormat="1" customHeight="1" spans="1:20">
      <c r="A179" s="29">
        <f t="shared" si="16"/>
        <v>1109015</v>
      </c>
      <c r="B179" s="29">
        <v>1109</v>
      </c>
      <c r="C179" s="29" t="s">
        <v>513</v>
      </c>
      <c r="D179" s="29" t="s">
        <v>514</v>
      </c>
      <c r="E179" s="25">
        <v>1</v>
      </c>
      <c r="F179" s="29">
        <v>15</v>
      </c>
      <c r="G179" s="29">
        <v>10</v>
      </c>
      <c r="H179" s="29"/>
      <c r="I179" s="29" t="s">
        <v>558</v>
      </c>
      <c r="J179" s="30">
        <v>13500</v>
      </c>
      <c r="K179" s="15">
        <v>750</v>
      </c>
      <c r="L179" s="15" t="s">
        <v>517</v>
      </c>
      <c r="N179" s="30">
        <v>30</v>
      </c>
      <c r="O179" s="30"/>
      <c r="P179" s="31"/>
      <c r="Q179" s="31"/>
      <c r="R179" s="6">
        <v>1109266</v>
      </c>
      <c r="S179" s="32">
        <v>56</v>
      </c>
      <c r="T179" s="34" t="s">
        <v>559</v>
      </c>
    </row>
    <row r="180" s="13" customFormat="1" customHeight="1" spans="1:20">
      <c r="A180" s="29">
        <f t="shared" si="16"/>
        <v>1109016</v>
      </c>
      <c r="B180" s="29">
        <v>1109</v>
      </c>
      <c r="C180" s="29" t="s">
        <v>513</v>
      </c>
      <c r="D180" s="29" t="s">
        <v>514</v>
      </c>
      <c r="E180" s="25">
        <v>1</v>
      </c>
      <c r="F180" s="29">
        <v>16</v>
      </c>
      <c r="G180" s="29">
        <v>10</v>
      </c>
      <c r="H180" s="29"/>
      <c r="I180" s="29" t="s">
        <v>560</v>
      </c>
      <c r="J180" s="30">
        <v>14400</v>
      </c>
      <c r="K180" s="15">
        <v>800</v>
      </c>
      <c r="L180" s="15" t="s">
        <v>517</v>
      </c>
      <c r="M180" s="30" t="s">
        <v>561</v>
      </c>
      <c r="N180" s="30"/>
      <c r="O180" s="30"/>
      <c r="P180" s="31"/>
      <c r="Q180" s="31"/>
      <c r="R180" s="6">
        <v>1109267</v>
      </c>
      <c r="S180" s="32">
        <v>60</v>
      </c>
      <c r="T180" s="34" t="s">
        <v>562</v>
      </c>
    </row>
    <row r="181" s="13" customFormat="1" customHeight="1" spans="1:20">
      <c r="A181" s="29">
        <f t="shared" si="16"/>
        <v>1109017</v>
      </c>
      <c r="B181" s="29">
        <v>1109</v>
      </c>
      <c r="C181" s="29" t="s">
        <v>513</v>
      </c>
      <c r="D181" s="29" t="s">
        <v>514</v>
      </c>
      <c r="E181" s="25">
        <v>1</v>
      </c>
      <c r="F181" s="29">
        <v>17</v>
      </c>
      <c r="G181" s="29">
        <v>10</v>
      </c>
      <c r="H181" s="29"/>
      <c r="I181" s="29" t="s">
        <v>563</v>
      </c>
      <c r="J181" s="30">
        <v>15300</v>
      </c>
      <c r="K181" s="15">
        <v>850</v>
      </c>
      <c r="L181" s="15" t="s">
        <v>517</v>
      </c>
      <c r="M181" s="30"/>
      <c r="N181" s="30"/>
      <c r="O181" s="30"/>
      <c r="P181" s="31"/>
      <c r="Q181" s="31"/>
      <c r="R181" s="7"/>
      <c r="S181" s="32">
        <v>64</v>
      </c>
      <c r="T181" s="34" t="s">
        <v>564</v>
      </c>
    </row>
    <row r="182" s="13" customFormat="1" customHeight="1" spans="1:20">
      <c r="A182" s="29">
        <f t="shared" si="16"/>
        <v>1109018</v>
      </c>
      <c r="B182" s="29">
        <v>1109</v>
      </c>
      <c r="C182" s="29" t="s">
        <v>513</v>
      </c>
      <c r="D182" s="29" t="s">
        <v>514</v>
      </c>
      <c r="E182" s="25">
        <v>1</v>
      </c>
      <c r="F182" s="29">
        <v>18</v>
      </c>
      <c r="G182" s="29">
        <v>10</v>
      </c>
      <c r="H182" s="29"/>
      <c r="I182" s="29" t="s">
        <v>565</v>
      </c>
      <c r="J182" s="30">
        <v>16200</v>
      </c>
      <c r="K182" s="15">
        <v>900</v>
      </c>
      <c r="L182" s="15" t="s">
        <v>517</v>
      </c>
      <c r="M182" s="30" t="s">
        <v>566</v>
      </c>
      <c r="N182" s="30"/>
      <c r="O182" s="30"/>
      <c r="P182" s="31"/>
      <c r="Q182" s="31"/>
      <c r="R182" s="7"/>
      <c r="S182" s="32">
        <v>68</v>
      </c>
      <c r="T182" s="34" t="s">
        <v>567</v>
      </c>
    </row>
    <row r="183" s="13" customFormat="1" customHeight="1" spans="1:20">
      <c r="A183" s="29">
        <f t="shared" si="16"/>
        <v>1109019</v>
      </c>
      <c r="B183" s="29">
        <v>1109</v>
      </c>
      <c r="C183" s="29" t="s">
        <v>513</v>
      </c>
      <c r="D183" s="29" t="s">
        <v>514</v>
      </c>
      <c r="E183" s="25">
        <v>1</v>
      </c>
      <c r="F183" s="29">
        <v>19</v>
      </c>
      <c r="G183" s="29">
        <v>10</v>
      </c>
      <c r="H183" s="29"/>
      <c r="I183" s="29" t="s">
        <v>568</v>
      </c>
      <c r="J183" s="30">
        <v>17100</v>
      </c>
      <c r="K183" s="15">
        <v>950</v>
      </c>
      <c r="L183" s="15" t="s">
        <v>517</v>
      </c>
      <c r="M183" s="30"/>
      <c r="N183" s="30"/>
      <c r="O183" s="30"/>
      <c r="P183" s="31"/>
      <c r="Q183" s="31"/>
      <c r="R183" s="6"/>
      <c r="S183" s="32">
        <v>72</v>
      </c>
      <c r="T183" s="34" t="s">
        <v>569</v>
      </c>
    </row>
    <row r="184" s="13" customFormat="1" customHeight="1" spans="1:20">
      <c r="A184" s="29">
        <f t="shared" si="16"/>
        <v>1109020</v>
      </c>
      <c r="B184" s="29">
        <v>1109</v>
      </c>
      <c r="C184" s="29" t="s">
        <v>513</v>
      </c>
      <c r="D184" s="29" t="s">
        <v>514</v>
      </c>
      <c r="E184" s="25">
        <v>1</v>
      </c>
      <c r="F184" s="29">
        <v>20</v>
      </c>
      <c r="G184" s="29">
        <v>10</v>
      </c>
      <c r="H184" s="29"/>
      <c r="I184" s="29" t="s">
        <v>570</v>
      </c>
      <c r="J184" s="30">
        <v>18000</v>
      </c>
      <c r="K184" s="15">
        <v>1000</v>
      </c>
      <c r="L184" s="15" t="s">
        <v>517</v>
      </c>
      <c r="N184" s="30">
        <v>40</v>
      </c>
      <c r="O184" s="30"/>
      <c r="P184" s="31"/>
      <c r="Q184" s="31"/>
      <c r="R184" s="6"/>
      <c r="S184" s="32">
        <v>76</v>
      </c>
      <c r="T184" s="34" t="s">
        <v>571</v>
      </c>
    </row>
    <row r="185" customHeight="1" spans="1:20">
      <c r="A185" s="25">
        <f t="shared" ref="A185:A194" si="17">B185*1000+F185</f>
        <v>1110001</v>
      </c>
      <c r="B185" s="25">
        <v>1110</v>
      </c>
      <c r="C185" s="25" t="s">
        <v>572</v>
      </c>
      <c r="D185" s="25" t="s">
        <v>573</v>
      </c>
      <c r="E185" s="25">
        <v>1</v>
      </c>
      <c r="F185" s="25">
        <v>1</v>
      </c>
      <c r="G185" s="25">
        <v>5</v>
      </c>
      <c r="H185" s="25" t="s">
        <v>574</v>
      </c>
      <c r="I185" s="25" t="s">
        <v>575</v>
      </c>
      <c r="J185" s="15">
        <v>300</v>
      </c>
      <c r="K185" s="15">
        <v>20</v>
      </c>
      <c r="L185" s="15" t="s">
        <v>576</v>
      </c>
      <c r="M185" s="15"/>
      <c r="N185" s="15"/>
      <c r="O185" s="15"/>
      <c r="P185" s="5" t="s">
        <v>577</v>
      </c>
      <c r="Q185" s="5" t="s">
        <v>578</v>
      </c>
      <c r="R185" s="5" t="s">
        <v>579</v>
      </c>
      <c r="S185" s="27">
        <v>1</v>
      </c>
      <c r="T185" s="28" t="s">
        <v>580</v>
      </c>
    </row>
    <row r="186" customHeight="1" spans="1:20">
      <c r="A186" s="25">
        <f t="shared" si="17"/>
        <v>1110002</v>
      </c>
      <c r="B186" s="25">
        <v>1110</v>
      </c>
      <c r="C186" s="25" t="s">
        <v>572</v>
      </c>
      <c r="D186" s="25" t="s">
        <v>573</v>
      </c>
      <c r="E186" s="25">
        <v>1</v>
      </c>
      <c r="F186" s="25">
        <v>2</v>
      </c>
      <c r="G186" s="25">
        <v>8</v>
      </c>
      <c r="H186" s="25" t="s">
        <v>581</v>
      </c>
      <c r="I186" s="25" t="s">
        <v>582</v>
      </c>
      <c r="J186" s="15">
        <v>600</v>
      </c>
      <c r="K186" s="15">
        <v>40</v>
      </c>
      <c r="L186" s="15" t="s">
        <v>576</v>
      </c>
      <c r="M186" s="15"/>
      <c r="N186" s="15"/>
      <c r="O186" s="15"/>
      <c r="P186" s="5" t="s">
        <v>583</v>
      </c>
      <c r="Q186" s="5" t="s">
        <v>584</v>
      </c>
      <c r="R186" s="5">
        <v>1110255</v>
      </c>
      <c r="S186" s="27">
        <v>2</v>
      </c>
      <c r="T186" s="28" t="s">
        <v>585</v>
      </c>
    </row>
    <row r="187" customHeight="1" spans="1:20">
      <c r="A187" s="25">
        <f t="shared" si="17"/>
        <v>1110003</v>
      </c>
      <c r="B187" s="25">
        <v>1110</v>
      </c>
      <c r="C187" s="25" t="s">
        <v>572</v>
      </c>
      <c r="D187" s="25" t="s">
        <v>573</v>
      </c>
      <c r="E187" s="25">
        <v>1</v>
      </c>
      <c r="F187" s="25">
        <v>3</v>
      </c>
      <c r="G187" s="25">
        <v>12</v>
      </c>
      <c r="H187" s="25" t="s">
        <v>586</v>
      </c>
      <c r="I187" s="25" t="s">
        <v>587</v>
      </c>
      <c r="J187" s="15">
        <v>900</v>
      </c>
      <c r="K187" s="15">
        <v>60</v>
      </c>
      <c r="L187" s="15" t="s">
        <v>576</v>
      </c>
      <c r="M187" s="15"/>
      <c r="N187" s="15"/>
      <c r="O187" s="15"/>
      <c r="P187" s="5" t="s">
        <v>588</v>
      </c>
      <c r="Q187" s="5" t="s">
        <v>589</v>
      </c>
      <c r="R187" s="5">
        <v>1110263</v>
      </c>
      <c r="S187" s="27">
        <v>4</v>
      </c>
      <c r="T187" s="28" t="s">
        <v>590</v>
      </c>
    </row>
    <row r="188" customHeight="1" spans="1:20">
      <c r="A188" s="25">
        <f t="shared" si="17"/>
        <v>1110004</v>
      </c>
      <c r="B188" s="25">
        <v>1110</v>
      </c>
      <c r="C188" s="25" t="s">
        <v>572</v>
      </c>
      <c r="D188" s="25" t="s">
        <v>573</v>
      </c>
      <c r="E188" s="25">
        <v>1</v>
      </c>
      <c r="F188" s="25">
        <v>4</v>
      </c>
      <c r="G188" s="25">
        <v>12</v>
      </c>
      <c r="H188" s="25">
        <v>1110413</v>
      </c>
      <c r="I188" s="25" t="s">
        <v>591</v>
      </c>
      <c r="J188" s="15">
        <v>1200</v>
      </c>
      <c r="K188" s="15">
        <v>80</v>
      </c>
      <c r="L188" s="15" t="s">
        <v>576</v>
      </c>
      <c r="M188" s="15" t="s">
        <v>592</v>
      </c>
      <c r="N188" s="15"/>
      <c r="O188" s="15"/>
      <c r="R188" s="5">
        <v>1110257</v>
      </c>
      <c r="S188" s="27">
        <v>6</v>
      </c>
      <c r="T188" s="28" t="s">
        <v>593</v>
      </c>
    </row>
    <row r="189" customHeight="1" spans="1:20">
      <c r="A189" s="25">
        <f t="shared" si="17"/>
        <v>1110005</v>
      </c>
      <c r="B189" s="25">
        <v>1110</v>
      </c>
      <c r="C189" s="25" t="s">
        <v>572</v>
      </c>
      <c r="D189" s="25" t="s">
        <v>573</v>
      </c>
      <c r="E189" s="25">
        <v>1</v>
      </c>
      <c r="F189" s="25">
        <v>5</v>
      </c>
      <c r="G189" s="25">
        <v>12</v>
      </c>
      <c r="H189" s="25">
        <v>1110414</v>
      </c>
      <c r="I189" s="25" t="s">
        <v>594</v>
      </c>
      <c r="J189" s="15">
        <v>1500</v>
      </c>
      <c r="K189" s="15">
        <v>100</v>
      </c>
      <c r="L189" s="15" t="s">
        <v>576</v>
      </c>
      <c r="N189" s="15">
        <v>10</v>
      </c>
      <c r="O189" s="15"/>
      <c r="R189" s="5">
        <v>1110252</v>
      </c>
      <c r="S189" s="27">
        <v>8</v>
      </c>
      <c r="T189" s="28" t="s">
        <v>595</v>
      </c>
    </row>
    <row r="190" customHeight="1" spans="1:20">
      <c r="A190" s="25">
        <f t="shared" si="17"/>
        <v>1110006</v>
      </c>
      <c r="B190" s="25">
        <v>1110</v>
      </c>
      <c r="C190" s="25" t="s">
        <v>572</v>
      </c>
      <c r="D190" s="25" t="s">
        <v>573</v>
      </c>
      <c r="E190" s="25">
        <v>1</v>
      </c>
      <c r="F190" s="25">
        <v>6</v>
      </c>
      <c r="G190" s="25">
        <v>12</v>
      </c>
      <c r="H190" s="25">
        <v>1110415</v>
      </c>
      <c r="I190" s="25" t="s">
        <v>596</v>
      </c>
      <c r="J190" s="15">
        <v>1800</v>
      </c>
      <c r="K190" s="15">
        <v>120</v>
      </c>
      <c r="L190" s="15" t="s">
        <v>576</v>
      </c>
      <c r="M190" s="15"/>
      <c r="N190" s="15"/>
      <c r="O190" s="15"/>
      <c r="R190" s="5">
        <v>1110262</v>
      </c>
      <c r="S190" s="27">
        <v>10</v>
      </c>
      <c r="T190" s="28" t="s">
        <v>597</v>
      </c>
    </row>
    <row r="191" customHeight="1" spans="1:20">
      <c r="A191" s="25">
        <f t="shared" si="17"/>
        <v>1110007</v>
      </c>
      <c r="B191" s="25">
        <v>1110</v>
      </c>
      <c r="C191" s="25" t="s">
        <v>572</v>
      </c>
      <c r="D191" s="25" t="s">
        <v>573</v>
      </c>
      <c r="E191" s="25">
        <v>1</v>
      </c>
      <c r="F191" s="25">
        <v>7</v>
      </c>
      <c r="G191" s="25">
        <v>12</v>
      </c>
      <c r="H191" s="25"/>
      <c r="I191" s="25" t="s">
        <v>598</v>
      </c>
      <c r="J191" s="15">
        <v>2100</v>
      </c>
      <c r="K191" s="15">
        <v>140</v>
      </c>
      <c r="L191" s="15" t="s">
        <v>576</v>
      </c>
      <c r="M191" s="15"/>
      <c r="N191" s="15"/>
      <c r="O191" s="15"/>
      <c r="R191" s="5">
        <v>1110260</v>
      </c>
      <c r="S191" s="27">
        <v>12</v>
      </c>
      <c r="T191" s="28" t="s">
        <v>599</v>
      </c>
    </row>
    <row r="192" customHeight="1" spans="1:20">
      <c r="A192" s="25">
        <f t="shared" si="17"/>
        <v>1110008</v>
      </c>
      <c r="B192" s="25">
        <v>1110</v>
      </c>
      <c r="C192" s="25" t="s">
        <v>572</v>
      </c>
      <c r="D192" s="25" t="s">
        <v>573</v>
      </c>
      <c r="E192" s="25">
        <v>1</v>
      </c>
      <c r="F192" s="25">
        <v>8</v>
      </c>
      <c r="G192" s="25">
        <v>12</v>
      </c>
      <c r="H192" s="25"/>
      <c r="I192" s="25" t="s">
        <v>600</v>
      </c>
      <c r="J192" s="15">
        <v>2400</v>
      </c>
      <c r="K192" s="15">
        <v>160</v>
      </c>
      <c r="L192" s="15" t="s">
        <v>576</v>
      </c>
      <c r="M192" s="15" t="s">
        <v>601</v>
      </c>
      <c r="N192" s="15"/>
      <c r="O192" s="15"/>
      <c r="R192" s="5">
        <v>1110254</v>
      </c>
      <c r="S192" s="27">
        <v>14</v>
      </c>
      <c r="T192" s="28" t="s">
        <v>602</v>
      </c>
    </row>
    <row r="193" customHeight="1" spans="1:20">
      <c r="A193" s="25">
        <f t="shared" si="17"/>
        <v>1110009</v>
      </c>
      <c r="B193" s="25">
        <v>1110</v>
      </c>
      <c r="C193" s="25" t="s">
        <v>572</v>
      </c>
      <c r="D193" s="25" t="s">
        <v>573</v>
      </c>
      <c r="E193" s="25">
        <v>1</v>
      </c>
      <c r="F193" s="25">
        <v>9</v>
      </c>
      <c r="G193" s="25">
        <v>12</v>
      </c>
      <c r="H193" s="25"/>
      <c r="I193" s="25" t="s">
        <v>603</v>
      </c>
      <c r="J193" s="15">
        <v>2700</v>
      </c>
      <c r="K193" s="15">
        <v>180</v>
      </c>
      <c r="L193" s="15" t="s">
        <v>576</v>
      </c>
      <c r="M193" s="15"/>
      <c r="N193" s="15"/>
      <c r="O193" s="15"/>
      <c r="R193" s="5">
        <v>1110256</v>
      </c>
      <c r="S193" s="27">
        <v>16</v>
      </c>
      <c r="T193" s="28" t="s">
        <v>604</v>
      </c>
    </row>
    <row r="194" customHeight="1" spans="1:20">
      <c r="A194" s="25">
        <f t="shared" si="17"/>
        <v>1110010</v>
      </c>
      <c r="B194" s="25">
        <v>1110</v>
      </c>
      <c r="C194" s="25" t="s">
        <v>572</v>
      </c>
      <c r="D194" s="25" t="s">
        <v>573</v>
      </c>
      <c r="E194" s="25">
        <v>1</v>
      </c>
      <c r="F194" s="25">
        <v>10</v>
      </c>
      <c r="G194" s="25">
        <v>12</v>
      </c>
      <c r="H194" s="25"/>
      <c r="I194" s="25" t="s">
        <v>605</v>
      </c>
      <c r="J194" s="15">
        <v>3000</v>
      </c>
      <c r="K194" s="15">
        <v>200</v>
      </c>
      <c r="L194" s="15" t="s">
        <v>576</v>
      </c>
      <c r="N194" s="15">
        <v>20</v>
      </c>
      <c r="O194" s="15"/>
      <c r="R194" s="5">
        <v>1110258</v>
      </c>
      <c r="S194" s="27">
        <v>18</v>
      </c>
      <c r="T194" s="28" t="s">
        <v>606</v>
      </c>
    </row>
    <row r="195" customHeight="1" spans="1:20">
      <c r="A195" s="25">
        <f t="shared" ref="A195:A226" si="18">B195*1000+F195</f>
        <v>1110011</v>
      </c>
      <c r="B195" s="25">
        <v>1110</v>
      </c>
      <c r="C195" s="25" t="s">
        <v>572</v>
      </c>
      <c r="D195" s="25" t="s">
        <v>573</v>
      </c>
      <c r="E195" s="25">
        <v>1</v>
      </c>
      <c r="F195" s="25">
        <v>11</v>
      </c>
      <c r="G195" s="25">
        <v>12</v>
      </c>
      <c r="H195" s="25"/>
      <c r="I195" s="25" t="s">
        <v>607</v>
      </c>
      <c r="J195" s="15">
        <v>3300</v>
      </c>
      <c r="K195" s="15">
        <v>220</v>
      </c>
      <c r="L195" s="15" t="s">
        <v>576</v>
      </c>
      <c r="M195" s="15" t="s">
        <v>608</v>
      </c>
      <c r="N195" s="15"/>
      <c r="O195" s="15"/>
      <c r="R195" s="5">
        <v>1110270</v>
      </c>
      <c r="S195" s="27">
        <v>20</v>
      </c>
      <c r="T195" s="28" t="s">
        <v>609</v>
      </c>
    </row>
    <row r="196" customHeight="1" spans="1:20">
      <c r="A196" s="25">
        <f t="shared" si="18"/>
        <v>1110012</v>
      </c>
      <c r="B196" s="25">
        <v>1110</v>
      </c>
      <c r="C196" s="25" t="s">
        <v>572</v>
      </c>
      <c r="D196" s="25" t="s">
        <v>573</v>
      </c>
      <c r="E196" s="25">
        <v>1</v>
      </c>
      <c r="F196" s="25">
        <v>12</v>
      </c>
      <c r="G196" s="25">
        <v>12</v>
      </c>
      <c r="H196" s="25"/>
      <c r="I196" s="25" t="s">
        <v>610</v>
      </c>
      <c r="J196" s="15">
        <v>3600</v>
      </c>
      <c r="K196" s="15">
        <v>240</v>
      </c>
      <c r="L196" s="15" t="s">
        <v>576</v>
      </c>
      <c r="M196" s="15"/>
      <c r="N196" s="15"/>
      <c r="O196" s="15"/>
      <c r="S196" s="27">
        <v>22</v>
      </c>
      <c r="T196" s="28" t="s">
        <v>611</v>
      </c>
    </row>
    <row r="197" customHeight="1" spans="1:20">
      <c r="A197" s="25">
        <f t="shared" si="18"/>
        <v>1110013</v>
      </c>
      <c r="B197" s="25">
        <v>1110</v>
      </c>
      <c r="C197" s="25" t="s">
        <v>572</v>
      </c>
      <c r="D197" s="25" t="s">
        <v>573</v>
      </c>
      <c r="E197" s="25">
        <v>1</v>
      </c>
      <c r="F197" s="25">
        <v>13</v>
      </c>
      <c r="G197" s="25">
        <v>12</v>
      </c>
      <c r="H197" s="25"/>
      <c r="I197" s="25" t="s">
        <v>612</v>
      </c>
      <c r="J197" s="15">
        <v>3900</v>
      </c>
      <c r="K197" s="15">
        <v>260</v>
      </c>
      <c r="L197" s="15" t="s">
        <v>576</v>
      </c>
      <c r="M197" s="15"/>
      <c r="N197" s="15"/>
      <c r="O197" s="15"/>
      <c r="R197" s="5">
        <v>1110264</v>
      </c>
      <c r="S197" s="27">
        <v>24</v>
      </c>
      <c r="T197" s="28" t="s">
        <v>613</v>
      </c>
    </row>
    <row r="198" customHeight="1" spans="1:20">
      <c r="A198" s="25">
        <f t="shared" si="18"/>
        <v>1110014</v>
      </c>
      <c r="B198" s="25">
        <v>1110</v>
      </c>
      <c r="C198" s="25" t="s">
        <v>572</v>
      </c>
      <c r="D198" s="25" t="s">
        <v>573</v>
      </c>
      <c r="E198" s="25">
        <v>1</v>
      </c>
      <c r="F198" s="25">
        <v>14</v>
      </c>
      <c r="G198" s="25">
        <v>12</v>
      </c>
      <c r="H198" s="25"/>
      <c r="I198" s="25" t="s">
        <v>614</v>
      </c>
      <c r="J198" s="15">
        <v>4200</v>
      </c>
      <c r="K198" s="15">
        <v>280</v>
      </c>
      <c r="L198" s="15" t="s">
        <v>576</v>
      </c>
      <c r="M198" s="15" t="s">
        <v>615</v>
      </c>
      <c r="N198" s="15"/>
      <c r="O198" s="15"/>
      <c r="R198" s="5">
        <v>1110265</v>
      </c>
      <c r="S198" s="27">
        <v>26</v>
      </c>
      <c r="T198" s="28" t="s">
        <v>616</v>
      </c>
    </row>
    <row r="199" customHeight="1" spans="1:20">
      <c r="A199" s="25">
        <f t="shared" si="18"/>
        <v>1110015</v>
      </c>
      <c r="B199" s="25">
        <v>1110</v>
      </c>
      <c r="C199" s="25" t="s">
        <v>572</v>
      </c>
      <c r="D199" s="25" t="s">
        <v>573</v>
      </c>
      <c r="E199" s="25">
        <v>1</v>
      </c>
      <c r="F199" s="25">
        <v>15</v>
      </c>
      <c r="G199" s="25">
        <v>12</v>
      </c>
      <c r="H199" s="25"/>
      <c r="I199" s="25" t="s">
        <v>617</v>
      </c>
      <c r="J199" s="15">
        <v>4500</v>
      </c>
      <c r="K199" s="15">
        <v>300</v>
      </c>
      <c r="L199" s="15" t="s">
        <v>576</v>
      </c>
      <c r="N199" s="15">
        <v>30</v>
      </c>
      <c r="O199" s="15"/>
      <c r="R199" s="5">
        <v>1110266</v>
      </c>
      <c r="S199" s="27">
        <v>28</v>
      </c>
      <c r="T199" s="28" t="s">
        <v>618</v>
      </c>
    </row>
    <row r="200" customHeight="1" spans="1:20">
      <c r="A200" s="25">
        <f t="shared" si="18"/>
        <v>1110016</v>
      </c>
      <c r="B200" s="25">
        <v>1110</v>
      </c>
      <c r="C200" s="25" t="s">
        <v>572</v>
      </c>
      <c r="D200" s="25" t="s">
        <v>573</v>
      </c>
      <c r="E200" s="25">
        <v>1</v>
      </c>
      <c r="F200" s="25">
        <v>16</v>
      </c>
      <c r="G200" s="25">
        <v>12</v>
      </c>
      <c r="H200" s="25"/>
      <c r="I200" s="25" t="s">
        <v>619</v>
      </c>
      <c r="J200" s="15">
        <v>4800</v>
      </c>
      <c r="K200" s="15">
        <v>320</v>
      </c>
      <c r="L200" s="15" t="s">
        <v>576</v>
      </c>
      <c r="M200" s="15" t="s">
        <v>620</v>
      </c>
      <c r="N200" s="15"/>
      <c r="O200" s="15"/>
      <c r="R200" s="5">
        <v>1110267</v>
      </c>
      <c r="S200" s="27">
        <v>30</v>
      </c>
      <c r="T200" s="28" t="s">
        <v>621</v>
      </c>
    </row>
    <row r="201" customHeight="1" spans="1:20">
      <c r="A201" s="25">
        <f t="shared" si="18"/>
        <v>1110017</v>
      </c>
      <c r="B201" s="25">
        <v>1110</v>
      </c>
      <c r="C201" s="25" t="s">
        <v>572</v>
      </c>
      <c r="D201" s="25" t="s">
        <v>573</v>
      </c>
      <c r="E201" s="25">
        <v>1</v>
      </c>
      <c r="F201" s="25">
        <v>17</v>
      </c>
      <c r="G201" s="25">
        <v>12</v>
      </c>
      <c r="H201" s="25"/>
      <c r="I201" s="25" t="s">
        <v>622</v>
      </c>
      <c r="J201" s="15">
        <v>5100</v>
      </c>
      <c r="K201" s="15">
        <v>340</v>
      </c>
      <c r="L201" s="15" t="s">
        <v>576</v>
      </c>
      <c r="M201" s="15"/>
      <c r="N201" s="15"/>
      <c r="O201" s="15"/>
      <c r="S201" s="27">
        <v>32</v>
      </c>
      <c r="T201" s="28" t="s">
        <v>623</v>
      </c>
    </row>
    <row r="202" customHeight="1" spans="1:20">
      <c r="A202" s="25">
        <f t="shared" si="18"/>
        <v>1110018</v>
      </c>
      <c r="B202" s="25">
        <v>1110</v>
      </c>
      <c r="C202" s="25" t="s">
        <v>572</v>
      </c>
      <c r="D202" s="25" t="s">
        <v>573</v>
      </c>
      <c r="E202" s="25">
        <v>1</v>
      </c>
      <c r="F202" s="25">
        <v>18</v>
      </c>
      <c r="G202" s="25">
        <v>12</v>
      </c>
      <c r="H202" s="25"/>
      <c r="I202" s="25" t="s">
        <v>624</v>
      </c>
      <c r="J202" s="15">
        <v>5400</v>
      </c>
      <c r="K202" s="15">
        <v>360</v>
      </c>
      <c r="L202" s="15" t="s">
        <v>576</v>
      </c>
      <c r="M202" s="15"/>
      <c r="N202" s="15"/>
      <c r="O202" s="15"/>
      <c r="S202" s="27">
        <v>34</v>
      </c>
      <c r="T202" s="28" t="s">
        <v>625</v>
      </c>
    </row>
    <row r="203" customHeight="1" spans="1:20">
      <c r="A203" s="25">
        <f t="shared" si="18"/>
        <v>1110019</v>
      </c>
      <c r="B203" s="25">
        <v>1110</v>
      </c>
      <c r="C203" s="25" t="s">
        <v>572</v>
      </c>
      <c r="D203" s="25" t="s">
        <v>573</v>
      </c>
      <c r="E203" s="25">
        <v>1</v>
      </c>
      <c r="F203" s="25">
        <v>19</v>
      </c>
      <c r="G203" s="25">
        <v>12</v>
      </c>
      <c r="H203" s="25"/>
      <c r="I203" s="25" t="s">
        <v>626</v>
      </c>
      <c r="J203" s="15">
        <v>5700</v>
      </c>
      <c r="K203" s="15">
        <v>380</v>
      </c>
      <c r="L203" s="15" t="s">
        <v>576</v>
      </c>
      <c r="M203" s="15"/>
      <c r="N203" s="15"/>
      <c r="O203" s="15"/>
      <c r="S203" s="27">
        <v>36</v>
      </c>
      <c r="T203" s="28" t="s">
        <v>627</v>
      </c>
    </row>
    <row r="204" customHeight="1" spans="1:20">
      <c r="A204" s="25">
        <f t="shared" si="18"/>
        <v>1110020</v>
      </c>
      <c r="B204" s="25">
        <v>1110</v>
      </c>
      <c r="C204" s="25" t="s">
        <v>572</v>
      </c>
      <c r="D204" s="25" t="s">
        <v>573</v>
      </c>
      <c r="E204" s="25">
        <v>1</v>
      </c>
      <c r="F204" s="25">
        <v>20</v>
      </c>
      <c r="G204" s="25">
        <v>12</v>
      </c>
      <c r="H204" s="25"/>
      <c r="I204" s="25" t="s">
        <v>628</v>
      </c>
      <c r="J204" s="15">
        <v>6000</v>
      </c>
      <c r="K204" s="15">
        <v>400</v>
      </c>
      <c r="L204" s="15" t="s">
        <v>576</v>
      </c>
      <c r="N204" s="15">
        <v>40</v>
      </c>
      <c r="O204" s="15"/>
      <c r="S204" s="27">
        <v>38</v>
      </c>
      <c r="T204" s="28" t="s">
        <v>629</v>
      </c>
    </row>
    <row r="205" s="12" customFormat="1" customHeight="1" spans="1:20">
      <c r="A205" s="29">
        <f t="shared" ref="A205:A214" si="19">B205*1000+F205</f>
        <v>1111001</v>
      </c>
      <c r="B205" s="29">
        <v>1111</v>
      </c>
      <c r="C205" s="29" t="s">
        <v>630</v>
      </c>
      <c r="D205" s="29" t="s">
        <v>631</v>
      </c>
      <c r="E205" s="25">
        <v>1</v>
      </c>
      <c r="F205" s="29">
        <v>1</v>
      </c>
      <c r="G205" s="29">
        <v>5</v>
      </c>
      <c r="H205" s="29" t="s">
        <v>632</v>
      </c>
      <c r="I205" s="29" t="s">
        <v>633</v>
      </c>
      <c r="J205" s="30">
        <v>1200</v>
      </c>
      <c r="K205" s="15">
        <v>65</v>
      </c>
      <c r="L205" s="15" t="s">
        <v>634</v>
      </c>
      <c r="M205" s="30"/>
      <c r="N205" s="30"/>
      <c r="O205" s="30"/>
      <c r="P205" s="6" t="s">
        <v>635</v>
      </c>
      <c r="Q205" s="6" t="s">
        <v>636</v>
      </c>
      <c r="R205" s="6" t="s">
        <v>637</v>
      </c>
      <c r="S205" s="32">
        <v>2</v>
      </c>
      <c r="T205" s="34" t="s">
        <v>638</v>
      </c>
    </row>
    <row r="206" s="12" customFormat="1" customHeight="1" spans="1:20">
      <c r="A206" s="29">
        <f t="shared" si="19"/>
        <v>1111002</v>
      </c>
      <c r="B206" s="29">
        <v>1111</v>
      </c>
      <c r="C206" s="29" t="s">
        <v>630</v>
      </c>
      <c r="D206" s="29" t="s">
        <v>631</v>
      </c>
      <c r="E206" s="25">
        <v>1</v>
      </c>
      <c r="F206" s="29">
        <v>2</v>
      </c>
      <c r="G206" s="29">
        <v>8</v>
      </c>
      <c r="H206" s="29" t="s">
        <v>639</v>
      </c>
      <c r="I206" s="29" t="s">
        <v>640</v>
      </c>
      <c r="J206" s="30">
        <v>2400</v>
      </c>
      <c r="K206" s="15">
        <v>130</v>
      </c>
      <c r="L206" s="15" t="s">
        <v>634</v>
      </c>
      <c r="M206" s="30"/>
      <c r="N206" s="30"/>
      <c r="O206" s="30"/>
      <c r="P206" s="6" t="s">
        <v>641</v>
      </c>
      <c r="Q206" s="6" t="s">
        <v>642</v>
      </c>
      <c r="R206" s="6">
        <v>1111261</v>
      </c>
      <c r="S206" s="32">
        <v>4</v>
      </c>
      <c r="T206" s="34" t="s">
        <v>643</v>
      </c>
    </row>
    <row r="207" s="12" customFormat="1" customHeight="1" spans="1:20">
      <c r="A207" s="29">
        <f t="shared" si="19"/>
        <v>1111003</v>
      </c>
      <c r="B207" s="29">
        <v>1111</v>
      </c>
      <c r="C207" s="29" t="s">
        <v>630</v>
      </c>
      <c r="D207" s="29" t="s">
        <v>631</v>
      </c>
      <c r="E207" s="25">
        <v>1</v>
      </c>
      <c r="F207" s="29">
        <v>3</v>
      </c>
      <c r="G207" s="29">
        <v>10</v>
      </c>
      <c r="H207" s="29" t="s">
        <v>644</v>
      </c>
      <c r="I207" s="29" t="s">
        <v>645</v>
      </c>
      <c r="J207" s="30">
        <v>3600</v>
      </c>
      <c r="K207" s="15">
        <v>195</v>
      </c>
      <c r="L207" s="15" t="s">
        <v>634</v>
      </c>
      <c r="M207" s="30"/>
      <c r="N207" s="30"/>
      <c r="O207" s="30"/>
      <c r="P207" s="6" t="s">
        <v>646</v>
      </c>
      <c r="Q207" s="6" t="s">
        <v>647</v>
      </c>
      <c r="R207" s="6">
        <v>1111255</v>
      </c>
      <c r="S207" s="32">
        <v>8</v>
      </c>
      <c r="T207" s="34" t="s">
        <v>648</v>
      </c>
    </row>
    <row r="208" s="12" customFormat="1" customHeight="1" spans="1:20">
      <c r="A208" s="29">
        <f t="shared" si="19"/>
        <v>1111004</v>
      </c>
      <c r="B208" s="29">
        <v>1111</v>
      </c>
      <c r="C208" s="29" t="s">
        <v>630</v>
      </c>
      <c r="D208" s="29" t="s">
        <v>631</v>
      </c>
      <c r="E208" s="25">
        <v>1</v>
      </c>
      <c r="F208" s="29">
        <v>4</v>
      </c>
      <c r="G208" s="29">
        <v>10</v>
      </c>
      <c r="H208" s="29">
        <v>1111411</v>
      </c>
      <c r="I208" s="29" t="s">
        <v>649</v>
      </c>
      <c r="J208" s="30">
        <v>4800</v>
      </c>
      <c r="K208" s="15">
        <v>260</v>
      </c>
      <c r="L208" s="15" t="s">
        <v>634</v>
      </c>
      <c r="M208" s="30" t="s">
        <v>650</v>
      </c>
      <c r="N208" s="30"/>
      <c r="O208" s="30"/>
      <c r="P208" s="31"/>
      <c r="Q208" s="31"/>
      <c r="R208" s="6">
        <v>1111257</v>
      </c>
      <c r="S208" s="32">
        <v>12</v>
      </c>
      <c r="T208" s="34" t="s">
        <v>651</v>
      </c>
    </row>
    <row r="209" s="12" customFormat="1" customHeight="1" spans="1:20">
      <c r="A209" s="29">
        <f t="shared" si="19"/>
        <v>1111005</v>
      </c>
      <c r="B209" s="29">
        <v>1111</v>
      </c>
      <c r="C209" s="29" t="s">
        <v>630</v>
      </c>
      <c r="D209" s="29" t="s">
        <v>631</v>
      </c>
      <c r="E209" s="25">
        <v>1</v>
      </c>
      <c r="F209" s="29">
        <v>5</v>
      </c>
      <c r="G209" s="29">
        <v>10</v>
      </c>
      <c r="H209" s="29">
        <v>1111412</v>
      </c>
      <c r="I209" s="29" t="s">
        <v>652</v>
      </c>
      <c r="J209" s="30">
        <v>6000</v>
      </c>
      <c r="K209" s="15">
        <v>325</v>
      </c>
      <c r="L209" s="15" t="s">
        <v>634</v>
      </c>
      <c r="N209" s="30">
        <v>10</v>
      </c>
      <c r="O209" s="30"/>
      <c r="R209" s="6">
        <v>1111266</v>
      </c>
      <c r="S209" s="32">
        <v>16</v>
      </c>
      <c r="T209" s="34" t="s">
        <v>653</v>
      </c>
    </row>
    <row r="210" s="12" customFormat="1" customHeight="1" spans="1:20">
      <c r="A210" s="29">
        <f t="shared" si="19"/>
        <v>1111006</v>
      </c>
      <c r="B210" s="29">
        <v>1111</v>
      </c>
      <c r="C210" s="29" t="s">
        <v>630</v>
      </c>
      <c r="D210" s="29" t="s">
        <v>631</v>
      </c>
      <c r="E210" s="25">
        <v>1</v>
      </c>
      <c r="F210" s="29">
        <v>6</v>
      </c>
      <c r="G210" s="29">
        <v>10</v>
      </c>
      <c r="H210" s="29">
        <v>1111413</v>
      </c>
      <c r="I210" s="29" t="s">
        <v>654</v>
      </c>
      <c r="J210" s="30">
        <v>7200</v>
      </c>
      <c r="K210" s="15">
        <v>390</v>
      </c>
      <c r="L210" s="15" t="s">
        <v>634</v>
      </c>
      <c r="M210" s="30"/>
      <c r="N210" s="30"/>
      <c r="O210" s="30"/>
      <c r="P210" s="31"/>
      <c r="Q210" s="31"/>
      <c r="R210" s="6">
        <v>1111254</v>
      </c>
      <c r="S210" s="32">
        <v>20</v>
      </c>
      <c r="T210" s="34" t="s">
        <v>655</v>
      </c>
    </row>
    <row r="211" s="12" customFormat="1" customHeight="1" spans="1:20">
      <c r="A211" s="29">
        <f t="shared" si="19"/>
        <v>1111007</v>
      </c>
      <c r="B211" s="29">
        <v>1111</v>
      </c>
      <c r="C211" s="29" t="s">
        <v>630</v>
      </c>
      <c r="D211" s="29" t="s">
        <v>631</v>
      </c>
      <c r="E211" s="25">
        <v>1</v>
      </c>
      <c r="F211" s="29">
        <v>7</v>
      </c>
      <c r="G211" s="29">
        <v>10</v>
      </c>
      <c r="H211" s="29">
        <v>1111414</v>
      </c>
      <c r="I211" s="29" t="s">
        <v>656</v>
      </c>
      <c r="J211" s="30">
        <v>8400</v>
      </c>
      <c r="K211" s="15">
        <v>455</v>
      </c>
      <c r="L211" s="15" t="s">
        <v>634</v>
      </c>
      <c r="M211" s="30"/>
      <c r="N211" s="30"/>
      <c r="O211" s="30"/>
      <c r="P211" s="31"/>
      <c r="Q211" s="31"/>
      <c r="R211" s="6">
        <v>1111268</v>
      </c>
      <c r="S211" s="32">
        <v>24</v>
      </c>
      <c r="T211" s="34" t="s">
        <v>657</v>
      </c>
    </row>
    <row r="212" s="12" customFormat="1" customHeight="1" spans="1:20">
      <c r="A212" s="29">
        <f t="shared" si="19"/>
        <v>1111008</v>
      </c>
      <c r="B212" s="29">
        <v>1111</v>
      </c>
      <c r="C212" s="29" t="s">
        <v>630</v>
      </c>
      <c r="D212" s="29" t="s">
        <v>631</v>
      </c>
      <c r="E212" s="25">
        <v>1</v>
      </c>
      <c r="F212" s="29">
        <v>8</v>
      </c>
      <c r="G212" s="29">
        <v>10</v>
      </c>
      <c r="H212" s="29">
        <v>1111415</v>
      </c>
      <c r="I212" s="29" t="s">
        <v>658</v>
      </c>
      <c r="J212" s="30">
        <v>9600</v>
      </c>
      <c r="K212" s="15">
        <v>520</v>
      </c>
      <c r="L212" s="15" t="s">
        <v>634</v>
      </c>
      <c r="M212" s="30" t="s">
        <v>659</v>
      </c>
      <c r="N212" s="30"/>
      <c r="O212" s="30"/>
      <c r="P212" s="31"/>
      <c r="Q212" s="31"/>
      <c r="R212" s="6">
        <v>1111262</v>
      </c>
      <c r="S212" s="32">
        <v>28</v>
      </c>
      <c r="T212" s="34" t="s">
        <v>660</v>
      </c>
    </row>
    <row r="213" s="12" customFormat="1" customHeight="1" spans="1:20">
      <c r="A213" s="29">
        <f t="shared" si="19"/>
        <v>1111009</v>
      </c>
      <c r="B213" s="29">
        <v>1111</v>
      </c>
      <c r="C213" s="29" t="s">
        <v>630</v>
      </c>
      <c r="D213" s="29" t="s">
        <v>631</v>
      </c>
      <c r="E213" s="25">
        <v>1</v>
      </c>
      <c r="F213" s="29">
        <v>9</v>
      </c>
      <c r="G213" s="29">
        <v>10</v>
      </c>
      <c r="H213" s="29"/>
      <c r="I213" s="29" t="s">
        <v>661</v>
      </c>
      <c r="J213" s="30">
        <v>10800</v>
      </c>
      <c r="K213" s="15">
        <v>585</v>
      </c>
      <c r="L213" s="15" t="s">
        <v>634</v>
      </c>
      <c r="M213" s="30"/>
      <c r="N213" s="30"/>
      <c r="O213" s="30"/>
      <c r="P213" s="31"/>
      <c r="Q213" s="31"/>
      <c r="R213" s="6">
        <v>1111259</v>
      </c>
      <c r="S213" s="32">
        <v>32</v>
      </c>
      <c r="T213" s="34" t="s">
        <v>662</v>
      </c>
    </row>
    <row r="214" s="12" customFormat="1" customHeight="1" spans="1:20">
      <c r="A214" s="29">
        <f t="shared" si="19"/>
        <v>1111010</v>
      </c>
      <c r="B214" s="29">
        <v>1111</v>
      </c>
      <c r="C214" s="29" t="s">
        <v>630</v>
      </c>
      <c r="D214" s="29" t="s">
        <v>631</v>
      </c>
      <c r="E214" s="25">
        <v>1</v>
      </c>
      <c r="F214" s="29">
        <v>10</v>
      </c>
      <c r="G214" s="29">
        <v>10</v>
      </c>
      <c r="H214" s="29"/>
      <c r="I214" s="29" t="s">
        <v>663</v>
      </c>
      <c r="J214" s="30">
        <v>12000</v>
      </c>
      <c r="K214" s="15">
        <v>650</v>
      </c>
      <c r="L214" s="15" t="s">
        <v>634</v>
      </c>
      <c r="N214" s="30">
        <v>20</v>
      </c>
      <c r="O214" s="30"/>
      <c r="P214" s="31"/>
      <c r="Q214" s="31"/>
      <c r="R214" s="6">
        <v>1111258</v>
      </c>
      <c r="S214" s="32">
        <v>36</v>
      </c>
      <c r="T214" s="34" t="s">
        <v>664</v>
      </c>
    </row>
    <row r="215" s="13" customFormat="1" customHeight="1" spans="1:20">
      <c r="A215" s="29">
        <f t="shared" ref="A215:A246" si="20">B215*1000+F215</f>
        <v>1111011</v>
      </c>
      <c r="B215" s="29">
        <v>1111</v>
      </c>
      <c r="C215" s="29" t="s">
        <v>630</v>
      </c>
      <c r="D215" s="29" t="s">
        <v>631</v>
      </c>
      <c r="E215" s="25">
        <v>1</v>
      </c>
      <c r="F215" s="29">
        <v>11</v>
      </c>
      <c r="G215" s="29">
        <v>10</v>
      </c>
      <c r="H215" s="29"/>
      <c r="I215" s="29" t="s">
        <v>665</v>
      </c>
      <c r="J215" s="30">
        <v>13200</v>
      </c>
      <c r="K215" s="15">
        <v>715</v>
      </c>
      <c r="L215" s="15" t="s">
        <v>634</v>
      </c>
      <c r="M215" s="30" t="s">
        <v>666</v>
      </c>
      <c r="N215" s="30"/>
      <c r="O215" s="30"/>
      <c r="P215" s="31"/>
      <c r="Q215" s="31"/>
      <c r="R215" s="6"/>
      <c r="S215" s="32">
        <v>40</v>
      </c>
      <c r="T215" s="34" t="s">
        <v>667</v>
      </c>
    </row>
    <row r="216" s="13" customFormat="1" customHeight="1" spans="1:20">
      <c r="A216" s="29">
        <f t="shared" si="20"/>
        <v>1111012</v>
      </c>
      <c r="B216" s="29">
        <v>1111</v>
      </c>
      <c r="C216" s="29" t="s">
        <v>630</v>
      </c>
      <c r="D216" s="29" t="s">
        <v>631</v>
      </c>
      <c r="E216" s="25">
        <v>1</v>
      </c>
      <c r="F216" s="29">
        <v>12</v>
      </c>
      <c r="G216" s="29">
        <v>10</v>
      </c>
      <c r="H216" s="29"/>
      <c r="I216" s="29" t="s">
        <v>668</v>
      </c>
      <c r="J216" s="30">
        <v>14400</v>
      </c>
      <c r="K216" s="15">
        <v>780</v>
      </c>
      <c r="L216" s="15" t="s">
        <v>634</v>
      </c>
      <c r="M216" s="30"/>
      <c r="N216" s="30"/>
      <c r="O216" s="30"/>
      <c r="P216" s="31"/>
      <c r="Q216" s="31"/>
      <c r="R216" s="6"/>
      <c r="S216" s="32">
        <v>44</v>
      </c>
      <c r="T216" s="34" t="s">
        <v>669</v>
      </c>
    </row>
    <row r="217" s="13" customFormat="1" customHeight="1" spans="1:20">
      <c r="A217" s="29">
        <f t="shared" si="20"/>
        <v>1111013</v>
      </c>
      <c r="B217" s="29">
        <v>1111</v>
      </c>
      <c r="C217" s="29" t="s">
        <v>630</v>
      </c>
      <c r="D217" s="29" t="s">
        <v>631</v>
      </c>
      <c r="E217" s="25">
        <v>1</v>
      </c>
      <c r="F217" s="29">
        <v>13</v>
      </c>
      <c r="G217" s="29">
        <v>10</v>
      </c>
      <c r="H217" s="29"/>
      <c r="I217" s="29" t="s">
        <v>670</v>
      </c>
      <c r="J217" s="30">
        <v>15600</v>
      </c>
      <c r="K217" s="15">
        <v>845</v>
      </c>
      <c r="L217" s="15" t="s">
        <v>634</v>
      </c>
      <c r="M217" s="30"/>
      <c r="N217" s="30"/>
      <c r="O217" s="30"/>
      <c r="P217" s="31"/>
      <c r="Q217" s="31"/>
      <c r="R217" s="6">
        <v>1111252</v>
      </c>
      <c r="S217" s="32">
        <v>48</v>
      </c>
      <c r="T217" s="34" t="s">
        <v>671</v>
      </c>
    </row>
    <row r="218" s="13" customFormat="1" customHeight="1" spans="1:20">
      <c r="A218" s="29">
        <f t="shared" si="20"/>
        <v>1111014</v>
      </c>
      <c r="B218" s="29">
        <v>1111</v>
      </c>
      <c r="C218" s="29" t="s">
        <v>630</v>
      </c>
      <c r="D218" s="29" t="s">
        <v>631</v>
      </c>
      <c r="E218" s="25">
        <v>1</v>
      </c>
      <c r="F218" s="29">
        <v>14</v>
      </c>
      <c r="G218" s="29">
        <v>10</v>
      </c>
      <c r="H218" s="29"/>
      <c r="I218" s="29" t="s">
        <v>672</v>
      </c>
      <c r="J218" s="30">
        <v>16800</v>
      </c>
      <c r="K218" s="15">
        <v>910</v>
      </c>
      <c r="L218" s="15" t="s">
        <v>634</v>
      </c>
      <c r="M218" s="30" t="s">
        <v>673</v>
      </c>
      <c r="N218" s="30"/>
      <c r="O218" s="30"/>
      <c r="P218" s="31"/>
      <c r="Q218" s="31"/>
      <c r="R218" s="6">
        <v>1111253</v>
      </c>
      <c r="S218" s="32">
        <v>52</v>
      </c>
      <c r="T218" s="34" t="s">
        <v>674</v>
      </c>
    </row>
    <row r="219" s="13" customFormat="1" customHeight="1" spans="1:20">
      <c r="A219" s="29">
        <f t="shared" si="20"/>
        <v>1111015</v>
      </c>
      <c r="B219" s="29">
        <v>1111</v>
      </c>
      <c r="C219" s="29" t="s">
        <v>630</v>
      </c>
      <c r="D219" s="29" t="s">
        <v>631</v>
      </c>
      <c r="E219" s="25">
        <v>1</v>
      </c>
      <c r="F219" s="29">
        <v>15</v>
      </c>
      <c r="G219" s="29">
        <v>10</v>
      </c>
      <c r="H219" s="29"/>
      <c r="I219" s="29" t="s">
        <v>675</v>
      </c>
      <c r="J219" s="30">
        <v>18000</v>
      </c>
      <c r="K219" s="15">
        <v>975</v>
      </c>
      <c r="L219" s="15" t="s">
        <v>634</v>
      </c>
      <c r="N219" s="30">
        <v>30</v>
      </c>
      <c r="O219" s="30"/>
      <c r="P219" s="31"/>
      <c r="Q219" s="31"/>
      <c r="S219" s="32">
        <v>56</v>
      </c>
      <c r="T219" s="34" t="s">
        <v>676</v>
      </c>
    </row>
    <row r="220" s="13" customFormat="1" customHeight="1" spans="1:20">
      <c r="A220" s="29">
        <f t="shared" si="20"/>
        <v>1111016</v>
      </c>
      <c r="B220" s="29">
        <v>1111</v>
      </c>
      <c r="C220" s="29" t="s">
        <v>630</v>
      </c>
      <c r="D220" s="29" t="s">
        <v>631</v>
      </c>
      <c r="E220" s="25">
        <v>1</v>
      </c>
      <c r="F220" s="29">
        <v>16</v>
      </c>
      <c r="G220" s="29">
        <v>10</v>
      </c>
      <c r="H220" s="29"/>
      <c r="I220" s="29" t="s">
        <v>677</v>
      </c>
      <c r="J220" s="30">
        <v>19200</v>
      </c>
      <c r="K220" s="15">
        <v>1040</v>
      </c>
      <c r="L220" s="15" t="s">
        <v>634</v>
      </c>
      <c r="M220" s="30" t="s">
        <v>678</v>
      </c>
      <c r="N220" s="30"/>
      <c r="O220" s="30"/>
      <c r="P220" s="31"/>
      <c r="Q220" s="31"/>
      <c r="S220" s="32">
        <v>60</v>
      </c>
      <c r="T220" s="34" t="s">
        <v>679</v>
      </c>
    </row>
    <row r="221" s="13" customFormat="1" customHeight="1" spans="1:20">
      <c r="A221" s="29">
        <f t="shared" si="20"/>
        <v>1111017</v>
      </c>
      <c r="B221" s="29">
        <v>1111</v>
      </c>
      <c r="C221" s="29" t="s">
        <v>630</v>
      </c>
      <c r="D221" s="29" t="s">
        <v>631</v>
      </c>
      <c r="E221" s="25">
        <v>1</v>
      </c>
      <c r="F221" s="29">
        <v>17</v>
      </c>
      <c r="G221" s="29">
        <v>10</v>
      </c>
      <c r="H221" s="29"/>
      <c r="I221" s="29" t="s">
        <v>680</v>
      </c>
      <c r="J221" s="30">
        <v>20400</v>
      </c>
      <c r="K221" s="15">
        <v>1105</v>
      </c>
      <c r="L221" s="15" t="s">
        <v>634</v>
      </c>
      <c r="M221" s="30"/>
      <c r="N221" s="30"/>
      <c r="O221" s="30"/>
      <c r="P221" s="31"/>
      <c r="Q221" s="31"/>
      <c r="S221" s="32">
        <v>64</v>
      </c>
      <c r="T221" s="34" t="s">
        <v>681</v>
      </c>
    </row>
    <row r="222" s="13" customFormat="1" customHeight="1" spans="1:20">
      <c r="A222" s="29">
        <f t="shared" si="20"/>
        <v>1111018</v>
      </c>
      <c r="B222" s="29">
        <v>1111</v>
      </c>
      <c r="C222" s="29" t="s">
        <v>630</v>
      </c>
      <c r="D222" s="29" t="s">
        <v>631</v>
      </c>
      <c r="E222" s="25">
        <v>1</v>
      </c>
      <c r="F222" s="29">
        <v>18</v>
      </c>
      <c r="G222" s="29">
        <v>10</v>
      </c>
      <c r="H222" s="29"/>
      <c r="I222" s="29" t="s">
        <v>682</v>
      </c>
      <c r="J222" s="30">
        <v>21600</v>
      </c>
      <c r="K222" s="15">
        <v>1170</v>
      </c>
      <c r="L222" s="15" t="s">
        <v>634</v>
      </c>
      <c r="M222" s="30" t="s">
        <v>683</v>
      </c>
      <c r="N222" s="30"/>
      <c r="O222" s="30"/>
      <c r="P222" s="31"/>
      <c r="Q222" s="31"/>
      <c r="R222" s="7"/>
      <c r="S222" s="32">
        <v>68</v>
      </c>
      <c r="T222" s="34" t="s">
        <v>684</v>
      </c>
    </row>
    <row r="223" s="13" customFormat="1" customHeight="1" spans="1:20">
      <c r="A223" s="29">
        <f t="shared" si="20"/>
        <v>1111019</v>
      </c>
      <c r="B223" s="29">
        <v>1111</v>
      </c>
      <c r="C223" s="29" t="s">
        <v>630</v>
      </c>
      <c r="D223" s="29" t="s">
        <v>631</v>
      </c>
      <c r="E223" s="25">
        <v>1</v>
      </c>
      <c r="F223" s="29">
        <v>19</v>
      </c>
      <c r="G223" s="29">
        <v>10</v>
      </c>
      <c r="H223" s="29"/>
      <c r="I223" s="29" t="s">
        <v>685</v>
      </c>
      <c r="J223" s="30">
        <v>22800</v>
      </c>
      <c r="K223" s="15">
        <v>1235</v>
      </c>
      <c r="L223" s="15" t="s">
        <v>634</v>
      </c>
      <c r="M223" s="30"/>
      <c r="N223" s="30"/>
      <c r="O223" s="30"/>
      <c r="P223" s="31"/>
      <c r="Q223" s="31"/>
      <c r="R223" s="7"/>
      <c r="S223" s="32">
        <v>72</v>
      </c>
      <c r="T223" s="34" t="s">
        <v>686</v>
      </c>
    </row>
    <row r="224" s="13" customFormat="1" customHeight="1" spans="1:20">
      <c r="A224" s="29">
        <f t="shared" si="20"/>
        <v>1111020</v>
      </c>
      <c r="B224" s="29">
        <v>1111</v>
      </c>
      <c r="C224" s="29" t="s">
        <v>630</v>
      </c>
      <c r="D224" s="29" t="s">
        <v>631</v>
      </c>
      <c r="E224" s="25">
        <v>1</v>
      </c>
      <c r="F224" s="29">
        <v>20</v>
      </c>
      <c r="G224" s="29">
        <v>10</v>
      </c>
      <c r="H224" s="29"/>
      <c r="I224" s="29" t="s">
        <v>687</v>
      </c>
      <c r="J224" s="30">
        <v>24000</v>
      </c>
      <c r="K224" s="15">
        <v>1300</v>
      </c>
      <c r="L224" s="15" t="s">
        <v>634</v>
      </c>
      <c r="N224" s="30">
        <v>40</v>
      </c>
      <c r="O224" s="30"/>
      <c r="P224" s="31"/>
      <c r="Q224" s="31"/>
      <c r="R224" s="7"/>
      <c r="S224" s="32">
        <v>76</v>
      </c>
      <c r="T224" s="34" t="s">
        <v>688</v>
      </c>
    </row>
    <row r="225" customHeight="1" spans="1:20">
      <c r="A225" s="25">
        <f t="shared" ref="A225:A243" si="21">B225*1000+F225</f>
        <v>1112001</v>
      </c>
      <c r="B225" s="25">
        <v>1112</v>
      </c>
      <c r="C225" s="25" t="s">
        <v>689</v>
      </c>
      <c r="D225" s="25" t="s">
        <v>690</v>
      </c>
      <c r="E225" s="25">
        <v>1</v>
      </c>
      <c r="F225" s="25">
        <v>1</v>
      </c>
      <c r="G225" s="25">
        <v>5</v>
      </c>
      <c r="H225" s="25" t="s">
        <v>691</v>
      </c>
      <c r="I225" s="25" t="s">
        <v>692</v>
      </c>
      <c r="J225" s="15">
        <v>1100</v>
      </c>
      <c r="K225" s="15">
        <v>60</v>
      </c>
      <c r="L225" s="15" t="s">
        <v>693</v>
      </c>
      <c r="M225" s="15"/>
      <c r="N225" s="15"/>
      <c r="O225" s="15"/>
      <c r="P225" s="5" t="s">
        <v>694</v>
      </c>
      <c r="Q225" s="5" t="s">
        <v>695</v>
      </c>
      <c r="R225" s="5" t="s">
        <v>696</v>
      </c>
      <c r="S225" s="27">
        <v>2</v>
      </c>
      <c r="T225" s="28" t="s">
        <v>697</v>
      </c>
    </row>
    <row r="226" customHeight="1" spans="1:20">
      <c r="A226" s="25">
        <f t="shared" si="21"/>
        <v>1112002</v>
      </c>
      <c r="B226" s="25">
        <v>1112</v>
      </c>
      <c r="C226" s="25" t="s">
        <v>689</v>
      </c>
      <c r="D226" s="25" t="s">
        <v>690</v>
      </c>
      <c r="E226" s="25">
        <v>1</v>
      </c>
      <c r="F226" s="25">
        <v>2</v>
      </c>
      <c r="G226" s="25">
        <v>8</v>
      </c>
      <c r="H226" s="25" t="s">
        <v>698</v>
      </c>
      <c r="I226" s="25" t="s">
        <v>699</v>
      </c>
      <c r="J226" s="15">
        <v>2200</v>
      </c>
      <c r="K226" s="15">
        <v>120</v>
      </c>
      <c r="L226" s="15" t="s">
        <v>693</v>
      </c>
      <c r="M226" s="15"/>
      <c r="N226" s="15"/>
      <c r="O226" s="15"/>
      <c r="P226" s="5" t="s">
        <v>700</v>
      </c>
      <c r="Q226" s="5" t="s">
        <v>701</v>
      </c>
      <c r="R226" s="5">
        <v>1112264</v>
      </c>
      <c r="S226" s="27">
        <v>4</v>
      </c>
      <c r="T226" s="28" t="s">
        <v>702</v>
      </c>
    </row>
    <row r="227" customHeight="1" spans="1:20">
      <c r="A227" s="25">
        <f t="shared" si="21"/>
        <v>1112003</v>
      </c>
      <c r="B227" s="25">
        <v>1112</v>
      </c>
      <c r="C227" s="25" t="s">
        <v>689</v>
      </c>
      <c r="D227" s="25" t="s">
        <v>690</v>
      </c>
      <c r="E227" s="25">
        <v>1</v>
      </c>
      <c r="F227" s="25">
        <v>3</v>
      </c>
      <c r="G227" s="25">
        <v>10</v>
      </c>
      <c r="H227" s="25" t="s">
        <v>703</v>
      </c>
      <c r="I227" s="25" t="s">
        <v>704</v>
      </c>
      <c r="J227" s="15">
        <v>3300</v>
      </c>
      <c r="K227" s="15">
        <v>180</v>
      </c>
      <c r="L227" s="15" t="s">
        <v>693</v>
      </c>
      <c r="M227" s="15"/>
      <c r="N227" s="15"/>
      <c r="O227" s="15"/>
      <c r="P227" s="5" t="s">
        <v>705</v>
      </c>
      <c r="Q227" s="5" t="s">
        <v>706</v>
      </c>
      <c r="R227" s="5">
        <v>1112255</v>
      </c>
      <c r="S227" s="27">
        <v>8</v>
      </c>
      <c r="T227" s="28" t="s">
        <v>707</v>
      </c>
    </row>
    <row r="228" customHeight="1" spans="1:20">
      <c r="A228" s="25">
        <f t="shared" si="21"/>
        <v>1112004</v>
      </c>
      <c r="B228" s="25">
        <v>1112</v>
      </c>
      <c r="C228" s="25" t="s">
        <v>689</v>
      </c>
      <c r="D228" s="25" t="s">
        <v>690</v>
      </c>
      <c r="E228" s="25">
        <v>1</v>
      </c>
      <c r="F228" s="25">
        <v>4</v>
      </c>
      <c r="G228" s="25">
        <v>10</v>
      </c>
      <c r="H228" s="25">
        <v>1112411</v>
      </c>
      <c r="I228" s="25" t="s">
        <v>708</v>
      </c>
      <c r="J228" s="15">
        <v>4400</v>
      </c>
      <c r="K228" s="15">
        <v>240</v>
      </c>
      <c r="L228" s="15" t="s">
        <v>693</v>
      </c>
      <c r="M228" s="15" t="s">
        <v>709</v>
      </c>
      <c r="N228" s="15"/>
      <c r="O228" s="15"/>
      <c r="R228" s="5">
        <v>1112254</v>
      </c>
      <c r="S228" s="27">
        <v>12</v>
      </c>
      <c r="T228" s="28" t="s">
        <v>710</v>
      </c>
    </row>
    <row r="229" customHeight="1" spans="1:20">
      <c r="A229" s="25">
        <f t="shared" si="21"/>
        <v>1112005</v>
      </c>
      <c r="B229" s="25">
        <v>1112</v>
      </c>
      <c r="C229" s="25" t="s">
        <v>689</v>
      </c>
      <c r="D229" s="25" t="s">
        <v>690</v>
      </c>
      <c r="E229" s="25">
        <v>1</v>
      </c>
      <c r="F229" s="25">
        <v>5</v>
      </c>
      <c r="G229" s="25">
        <v>10</v>
      </c>
      <c r="H229" s="25">
        <v>1112412</v>
      </c>
      <c r="I229" s="25" t="s">
        <v>711</v>
      </c>
      <c r="J229" s="15">
        <v>5500</v>
      </c>
      <c r="K229" s="15">
        <v>300</v>
      </c>
      <c r="L229" s="15" t="s">
        <v>693</v>
      </c>
      <c r="N229" s="15">
        <v>10</v>
      </c>
      <c r="O229" s="15"/>
      <c r="R229" s="5">
        <v>1112263</v>
      </c>
      <c r="S229" s="27">
        <v>16</v>
      </c>
      <c r="T229" s="28" t="s">
        <v>712</v>
      </c>
    </row>
    <row r="230" customHeight="1" spans="1:20">
      <c r="A230" s="25">
        <f t="shared" si="21"/>
        <v>1112006</v>
      </c>
      <c r="B230" s="25">
        <v>1112</v>
      </c>
      <c r="C230" s="25" t="s">
        <v>689</v>
      </c>
      <c r="D230" s="25" t="s">
        <v>690</v>
      </c>
      <c r="E230" s="25">
        <v>1</v>
      </c>
      <c r="F230" s="25">
        <v>6</v>
      </c>
      <c r="G230" s="25">
        <v>10</v>
      </c>
      <c r="H230" s="25">
        <v>1112413</v>
      </c>
      <c r="I230" s="25" t="s">
        <v>713</v>
      </c>
      <c r="J230" s="15">
        <v>6600</v>
      </c>
      <c r="K230" s="15">
        <v>360</v>
      </c>
      <c r="L230" s="15" t="s">
        <v>693</v>
      </c>
      <c r="M230" s="15"/>
      <c r="N230" s="15"/>
      <c r="O230" s="15"/>
      <c r="R230" s="5">
        <v>1112262</v>
      </c>
      <c r="S230" s="27">
        <v>20</v>
      </c>
      <c r="T230" s="28" t="s">
        <v>714</v>
      </c>
    </row>
    <row r="231" customHeight="1" spans="1:20">
      <c r="A231" s="25">
        <f t="shared" si="21"/>
        <v>1112007</v>
      </c>
      <c r="B231" s="25">
        <v>1112</v>
      </c>
      <c r="C231" s="25" t="s">
        <v>689</v>
      </c>
      <c r="D231" s="25" t="s">
        <v>690</v>
      </c>
      <c r="E231" s="25">
        <v>1</v>
      </c>
      <c r="F231" s="25">
        <v>7</v>
      </c>
      <c r="G231" s="25">
        <v>10</v>
      </c>
      <c r="H231" s="25">
        <v>1112414</v>
      </c>
      <c r="I231" s="25" t="s">
        <v>715</v>
      </c>
      <c r="J231" s="15">
        <v>7700</v>
      </c>
      <c r="K231" s="15">
        <v>420</v>
      </c>
      <c r="L231" s="15" t="s">
        <v>693</v>
      </c>
      <c r="M231" s="15"/>
      <c r="N231" s="15"/>
      <c r="O231" s="15"/>
      <c r="R231" s="5">
        <v>1112256</v>
      </c>
      <c r="S231" s="27">
        <v>24</v>
      </c>
      <c r="T231" s="28" t="s">
        <v>716</v>
      </c>
    </row>
    <row r="232" customHeight="1" spans="1:20">
      <c r="A232" s="25">
        <f t="shared" si="21"/>
        <v>1112008</v>
      </c>
      <c r="B232" s="25">
        <v>1112</v>
      </c>
      <c r="C232" s="25" t="s">
        <v>689</v>
      </c>
      <c r="D232" s="25" t="s">
        <v>690</v>
      </c>
      <c r="E232" s="25">
        <v>1</v>
      </c>
      <c r="F232" s="25">
        <v>8</v>
      </c>
      <c r="G232" s="25">
        <v>10</v>
      </c>
      <c r="H232" s="25">
        <v>1112415</v>
      </c>
      <c r="I232" s="25" t="s">
        <v>717</v>
      </c>
      <c r="J232" s="15">
        <v>8800</v>
      </c>
      <c r="K232" s="15">
        <v>480</v>
      </c>
      <c r="L232" s="15" t="s">
        <v>693</v>
      </c>
      <c r="M232" s="15" t="s">
        <v>718</v>
      </c>
      <c r="N232" s="15"/>
      <c r="O232" s="15"/>
      <c r="S232" s="27">
        <v>28</v>
      </c>
      <c r="T232" s="28" t="s">
        <v>719</v>
      </c>
    </row>
    <row r="233" customHeight="1" spans="1:20">
      <c r="A233" s="25">
        <f t="shared" si="21"/>
        <v>1112009</v>
      </c>
      <c r="B233" s="25">
        <v>1112</v>
      </c>
      <c r="C233" s="25" t="s">
        <v>689</v>
      </c>
      <c r="D233" s="25" t="s">
        <v>690</v>
      </c>
      <c r="E233" s="25">
        <v>1</v>
      </c>
      <c r="F233" s="25">
        <v>9</v>
      </c>
      <c r="G233" s="25">
        <v>10</v>
      </c>
      <c r="H233" s="25"/>
      <c r="I233" s="25" t="s">
        <v>720</v>
      </c>
      <c r="J233" s="15">
        <v>9900</v>
      </c>
      <c r="K233" s="15">
        <v>540</v>
      </c>
      <c r="L233" s="15" t="s">
        <v>693</v>
      </c>
      <c r="M233" s="15"/>
      <c r="N233" s="15"/>
      <c r="O233" s="15"/>
      <c r="R233" s="5">
        <v>1112259</v>
      </c>
      <c r="S233" s="27">
        <v>32</v>
      </c>
      <c r="T233" s="28" t="s">
        <v>721</v>
      </c>
    </row>
    <row r="234" customHeight="1" spans="1:20">
      <c r="A234" s="25">
        <f t="shared" si="21"/>
        <v>1112010</v>
      </c>
      <c r="B234" s="25">
        <v>1112</v>
      </c>
      <c r="C234" s="25" t="s">
        <v>689</v>
      </c>
      <c r="D234" s="25" t="s">
        <v>690</v>
      </c>
      <c r="E234" s="25">
        <v>1</v>
      </c>
      <c r="F234" s="25">
        <v>10</v>
      </c>
      <c r="G234" s="25">
        <v>10</v>
      </c>
      <c r="H234" s="25"/>
      <c r="I234" s="25" t="s">
        <v>722</v>
      </c>
      <c r="J234" s="15">
        <v>11000</v>
      </c>
      <c r="K234" s="15">
        <v>600</v>
      </c>
      <c r="L234" s="15" t="s">
        <v>693</v>
      </c>
      <c r="N234" s="15">
        <v>20</v>
      </c>
      <c r="O234" s="15"/>
      <c r="R234" s="8"/>
      <c r="S234" s="27">
        <v>36</v>
      </c>
      <c r="T234" s="28" t="s">
        <v>723</v>
      </c>
    </row>
    <row r="235" customFormat="1" customHeight="1" spans="1:20">
      <c r="A235" s="25">
        <f t="shared" ref="A235:A266" si="22">B235*1000+F235</f>
        <v>1112011</v>
      </c>
      <c r="B235" s="25">
        <v>1112</v>
      </c>
      <c r="C235" s="25" t="s">
        <v>689</v>
      </c>
      <c r="D235" s="25" t="s">
        <v>690</v>
      </c>
      <c r="E235" s="25">
        <v>1</v>
      </c>
      <c r="F235" s="25">
        <v>11</v>
      </c>
      <c r="G235" s="25">
        <v>10</v>
      </c>
      <c r="H235" s="25"/>
      <c r="I235" s="25" t="s">
        <v>724</v>
      </c>
      <c r="J235" s="15">
        <v>12100</v>
      </c>
      <c r="K235" s="15">
        <v>660</v>
      </c>
      <c r="L235" s="15" t="s">
        <v>693</v>
      </c>
      <c r="M235" s="15" t="s">
        <v>725</v>
      </c>
      <c r="N235" s="15"/>
      <c r="O235" s="15"/>
      <c r="P235" s="14"/>
      <c r="Q235" s="14"/>
      <c r="R235" s="5"/>
      <c r="S235" s="27">
        <v>40</v>
      </c>
      <c r="T235" s="28" t="s">
        <v>726</v>
      </c>
    </row>
    <row r="236" customFormat="1" customHeight="1" spans="1:20">
      <c r="A236" s="25">
        <f t="shared" si="22"/>
        <v>1112012</v>
      </c>
      <c r="B236" s="25">
        <v>1112</v>
      </c>
      <c r="C236" s="25" t="s">
        <v>689</v>
      </c>
      <c r="D236" s="25" t="s">
        <v>690</v>
      </c>
      <c r="E236" s="25">
        <v>1</v>
      </c>
      <c r="F236" s="25">
        <v>12</v>
      </c>
      <c r="G236" s="25">
        <v>10</v>
      </c>
      <c r="H236" s="25"/>
      <c r="I236" s="25" t="s">
        <v>727</v>
      </c>
      <c r="J236" s="15">
        <v>13200</v>
      </c>
      <c r="K236" s="15">
        <v>720</v>
      </c>
      <c r="L236" s="15" t="s">
        <v>693</v>
      </c>
      <c r="M236" s="15"/>
      <c r="N236" s="15"/>
      <c r="O236" s="15"/>
      <c r="P236" s="14"/>
      <c r="Q236" s="14"/>
      <c r="R236" s="5"/>
      <c r="S236" s="27">
        <v>44</v>
      </c>
      <c r="T236" s="28" t="s">
        <v>728</v>
      </c>
    </row>
    <row r="237" customFormat="1" customHeight="1" spans="1:20">
      <c r="A237" s="25">
        <f t="shared" si="22"/>
        <v>1112013</v>
      </c>
      <c r="B237" s="25">
        <v>1112</v>
      </c>
      <c r="C237" s="25" t="s">
        <v>689</v>
      </c>
      <c r="D237" s="25" t="s">
        <v>690</v>
      </c>
      <c r="E237" s="25">
        <v>1</v>
      </c>
      <c r="F237" s="25">
        <v>13</v>
      </c>
      <c r="G237" s="25">
        <v>10</v>
      </c>
      <c r="H237" s="25"/>
      <c r="I237" s="25" t="s">
        <v>729</v>
      </c>
      <c r="J237" s="15">
        <v>14300</v>
      </c>
      <c r="K237" s="15">
        <v>780</v>
      </c>
      <c r="L237" s="15" t="s">
        <v>693</v>
      </c>
      <c r="M237" s="15"/>
      <c r="N237" s="15"/>
      <c r="O237" s="15"/>
      <c r="P237" s="14"/>
      <c r="Q237" s="14"/>
      <c r="R237" s="5">
        <v>1112265</v>
      </c>
      <c r="S237" s="27">
        <v>48</v>
      </c>
      <c r="T237" s="28" t="s">
        <v>730</v>
      </c>
    </row>
    <row r="238" customFormat="1" customHeight="1" spans="1:20">
      <c r="A238" s="25">
        <f t="shared" si="22"/>
        <v>1112014</v>
      </c>
      <c r="B238" s="25">
        <v>1112</v>
      </c>
      <c r="C238" s="25" t="s">
        <v>689</v>
      </c>
      <c r="D238" s="25" t="s">
        <v>690</v>
      </c>
      <c r="E238" s="25">
        <v>1</v>
      </c>
      <c r="F238" s="25">
        <v>14</v>
      </c>
      <c r="G238" s="25">
        <v>10</v>
      </c>
      <c r="H238" s="25"/>
      <c r="I238" s="25" t="s">
        <v>731</v>
      </c>
      <c r="J238" s="15">
        <v>15400</v>
      </c>
      <c r="K238" s="15">
        <v>840</v>
      </c>
      <c r="L238" s="15" t="s">
        <v>693</v>
      </c>
      <c r="M238" s="15" t="s">
        <v>732</v>
      </c>
      <c r="N238" s="15"/>
      <c r="O238" s="15"/>
      <c r="P238" s="14"/>
      <c r="Q238" s="14"/>
      <c r="R238" s="5">
        <v>1112266</v>
      </c>
      <c r="S238" s="27">
        <v>52</v>
      </c>
      <c r="T238" s="28" t="s">
        <v>733</v>
      </c>
    </row>
    <row r="239" customFormat="1" customHeight="1" spans="1:20">
      <c r="A239" s="25">
        <f t="shared" si="22"/>
        <v>1112015</v>
      </c>
      <c r="B239" s="25">
        <v>1112</v>
      </c>
      <c r="C239" s="25" t="s">
        <v>689</v>
      </c>
      <c r="D239" s="25" t="s">
        <v>690</v>
      </c>
      <c r="E239" s="25">
        <v>1</v>
      </c>
      <c r="F239" s="25">
        <v>15</v>
      </c>
      <c r="G239" s="25">
        <v>10</v>
      </c>
      <c r="H239" s="25"/>
      <c r="I239" s="25" t="s">
        <v>734</v>
      </c>
      <c r="J239" s="15">
        <v>16500</v>
      </c>
      <c r="K239" s="15">
        <v>900</v>
      </c>
      <c r="L239" s="15" t="s">
        <v>693</v>
      </c>
      <c r="N239" s="15">
        <v>30</v>
      </c>
      <c r="O239" s="15"/>
      <c r="P239" s="14"/>
      <c r="Q239" s="14"/>
      <c r="R239" s="5">
        <v>1112267</v>
      </c>
      <c r="S239" s="27">
        <v>56</v>
      </c>
      <c r="T239" s="28" t="s">
        <v>735</v>
      </c>
    </row>
    <row r="240" customFormat="1" customHeight="1" spans="1:20">
      <c r="A240" s="25">
        <f t="shared" si="22"/>
        <v>1112016</v>
      </c>
      <c r="B240" s="25">
        <v>1112</v>
      </c>
      <c r="C240" s="25" t="s">
        <v>689</v>
      </c>
      <c r="D240" s="25" t="s">
        <v>690</v>
      </c>
      <c r="E240" s="25">
        <v>1</v>
      </c>
      <c r="F240" s="25">
        <v>16</v>
      </c>
      <c r="G240" s="25">
        <v>10</v>
      </c>
      <c r="H240" s="25"/>
      <c r="I240" s="25" t="s">
        <v>736</v>
      </c>
      <c r="J240" s="15">
        <v>17600</v>
      </c>
      <c r="K240" s="15">
        <v>960</v>
      </c>
      <c r="L240" s="15" t="s">
        <v>693</v>
      </c>
      <c r="M240" s="15" t="s">
        <v>737</v>
      </c>
      <c r="N240" s="15"/>
      <c r="O240" s="15"/>
      <c r="P240" s="14"/>
      <c r="Q240" s="14"/>
      <c r="S240" s="27">
        <v>60</v>
      </c>
      <c r="T240" s="28" t="s">
        <v>738</v>
      </c>
    </row>
    <row r="241" customFormat="1" customHeight="1" spans="1:20">
      <c r="A241" s="25">
        <f t="shared" si="22"/>
        <v>1112017</v>
      </c>
      <c r="B241" s="25">
        <v>1112</v>
      </c>
      <c r="C241" s="25" t="s">
        <v>689</v>
      </c>
      <c r="D241" s="25" t="s">
        <v>690</v>
      </c>
      <c r="E241" s="25">
        <v>1</v>
      </c>
      <c r="F241" s="25">
        <v>17</v>
      </c>
      <c r="G241" s="25">
        <v>10</v>
      </c>
      <c r="H241" s="25"/>
      <c r="I241" s="25" t="s">
        <v>739</v>
      </c>
      <c r="J241" s="15">
        <v>18700</v>
      </c>
      <c r="K241" s="15">
        <v>1020</v>
      </c>
      <c r="L241" s="15" t="s">
        <v>693</v>
      </c>
      <c r="M241" s="15"/>
      <c r="N241" s="15"/>
      <c r="O241" s="15"/>
      <c r="P241" s="14"/>
      <c r="Q241" s="14"/>
      <c r="S241" s="27">
        <v>64</v>
      </c>
      <c r="T241" s="28" t="s">
        <v>740</v>
      </c>
    </row>
    <row r="242" customFormat="1" customHeight="1" spans="1:20">
      <c r="A242" s="25">
        <f t="shared" si="22"/>
        <v>1112018</v>
      </c>
      <c r="B242" s="25">
        <v>1112</v>
      </c>
      <c r="C242" s="25" t="s">
        <v>689</v>
      </c>
      <c r="D242" s="25" t="s">
        <v>690</v>
      </c>
      <c r="E242" s="25">
        <v>1</v>
      </c>
      <c r="F242" s="25">
        <v>18</v>
      </c>
      <c r="G242" s="25">
        <v>10</v>
      </c>
      <c r="H242" s="25"/>
      <c r="I242" s="25" t="s">
        <v>741</v>
      </c>
      <c r="J242" s="15">
        <v>19800</v>
      </c>
      <c r="K242" s="15">
        <v>1080</v>
      </c>
      <c r="L242" s="15" t="s">
        <v>693</v>
      </c>
      <c r="M242" s="15" t="s">
        <v>742</v>
      </c>
      <c r="N242" s="15"/>
      <c r="O242" s="15"/>
      <c r="P242" s="14"/>
      <c r="Q242" s="14"/>
      <c r="S242" s="27">
        <v>68</v>
      </c>
      <c r="T242" s="28" t="s">
        <v>743</v>
      </c>
    </row>
    <row r="243" customFormat="1" customHeight="1" spans="1:20">
      <c r="A243" s="25">
        <f t="shared" si="22"/>
        <v>1112019</v>
      </c>
      <c r="B243" s="25">
        <v>1112</v>
      </c>
      <c r="C243" s="25" t="s">
        <v>689</v>
      </c>
      <c r="D243" s="25" t="s">
        <v>690</v>
      </c>
      <c r="E243" s="25">
        <v>1</v>
      </c>
      <c r="F243" s="25">
        <v>19</v>
      </c>
      <c r="G243" s="25">
        <v>10</v>
      </c>
      <c r="H243" s="25"/>
      <c r="I243" s="25" t="s">
        <v>744</v>
      </c>
      <c r="J243" s="15">
        <v>20900</v>
      </c>
      <c r="K243" s="15">
        <v>1140</v>
      </c>
      <c r="L243" s="15" t="s">
        <v>693</v>
      </c>
      <c r="M243" s="15"/>
      <c r="N243" s="15"/>
      <c r="O243" s="15"/>
      <c r="P243" s="14"/>
      <c r="Q243" s="14"/>
      <c r="R243" s="35"/>
      <c r="S243" s="27">
        <v>72</v>
      </c>
      <c r="T243" s="28" t="s">
        <v>745</v>
      </c>
    </row>
    <row r="244" customFormat="1" customHeight="1" spans="1:20">
      <c r="A244" s="25">
        <f t="shared" si="22"/>
        <v>1112020</v>
      </c>
      <c r="B244" s="25">
        <v>1112</v>
      </c>
      <c r="C244" s="25" t="s">
        <v>689</v>
      </c>
      <c r="D244" s="25" t="s">
        <v>690</v>
      </c>
      <c r="E244" s="25">
        <v>1</v>
      </c>
      <c r="F244" s="25">
        <v>20</v>
      </c>
      <c r="G244" s="25">
        <v>10</v>
      </c>
      <c r="H244" s="25"/>
      <c r="I244" s="25" t="s">
        <v>746</v>
      </c>
      <c r="J244" s="15">
        <v>22000</v>
      </c>
      <c r="K244" s="15">
        <v>1200</v>
      </c>
      <c r="L244" s="15" t="s">
        <v>693</v>
      </c>
      <c r="N244" s="15">
        <v>40</v>
      </c>
      <c r="O244" s="15"/>
      <c r="P244" s="14"/>
      <c r="Q244" s="14"/>
      <c r="R244" s="35"/>
      <c r="S244" s="27">
        <v>76</v>
      </c>
      <c r="T244" s="28" t="s">
        <v>747</v>
      </c>
    </row>
    <row r="245" customHeight="1" spans="1:20">
      <c r="A245" s="25">
        <f t="shared" ref="A245:A254" si="23">B245*1000+F245</f>
        <v>1202001</v>
      </c>
      <c r="B245" s="25">
        <v>1202</v>
      </c>
      <c r="C245" s="25" t="s">
        <v>748</v>
      </c>
      <c r="D245" s="25"/>
      <c r="E245" s="25">
        <v>1</v>
      </c>
      <c r="F245" s="25">
        <v>1</v>
      </c>
      <c r="G245" s="25">
        <v>32</v>
      </c>
      <c r="H245" s="25" t="s">
        <v>749</v>
      </c>
      <c r="I245" s="25" t="s">
        <v>750</v>
      </c>
      <c r="J245" s="15">
        <v>100</v>
      </c>
      <c r="K245" s="15"/>
      <c r="L245" s="15" t="s">
        <v>751</v>
      </c>
      <c r="M245" s="15"/>
      <c r="N245" s="15"/>
      <c r="O245" s="15"/>
      <c r="P245" s="14" t="s">
        <v>752</v>
      </c>
      <c r="Q245" s="14" t="s">
        <v>753</v>
      </c>
      <c r="R245" s="5" t="s">
        <v>754</v>
      </c>
      <c r="S245" s="27">
        <v>2</v>
      </c>
      <c r="T245" s="28" t="s">
        <v>108</v>
      </c>
    </row>
    <row r="246" customHeight="1" spans="1:20">
      <c r="A246" s="25">
        <f t="shared" si="23"/>
        <v>1202002</v>
      </c>
      <c r="B246" s="25">
        <v>1202</v>
      </c>
      <c r="C246" s="25" t="s">
        <v>748</v>
      </c>
      <c r="D246" s="25"/>
      <c r="E246" s="25">
        <v>1</v>
      </c>
      <c r="F246" s="25">
        <v>2</v>
      </c>
      <c r="G246" s="25">
        <v>32</v>
      </c>
      <c r="H246" s="25">
        <v>1202417</v>
      </c>
      <c r="I246" s="25" t="s">
        <v>755</v>
      </c>
      <c r="J246" s="15">
        <v>200</v>
      </c>
      <c r="K246" s="15"/>
      <c r="L246" s="15" t="s">
        <v>751</v>
      </c>
      <c r="M246" s="15"/>
      <c r="N246" s="15"/>
      <c r="O246" s="15"/>
      <c r="R246" s="5" t="s">
        <v>756</v>
      </c>
      <c r="S246" s="27">
        <v>4</v>
      </c>
      <c r="T246" s="28" t="s">
        <v>114</v>
      </c>
    </row>
    <row r="247" customHeight="1" spans="1:20">
      <c r="A247" s="25">
        <f t="shared" si="23"/>
        <v>1202003</v>
      </c>
      <c r="B247" s="25">
        <v>1202</v>
      </c>
      <c r="C247" s="25" t="s">
        <v>748</v>
      </c>
      <c r="D247" s="25"/>
      <c r="E247" s="25">
        <v>1</v>
      </c>
      <c r="F247" s="25">
        <v>3</v>
      </c>
      <c r="G247" s="25">
        <v>32</v>
      </c>
      <c r="H247" s="25">
        <v>1202418</v>
      </c>
      <c r="I247" s="25" t="s">
        <v>757</v>
      </c>
      <c r="J247" s="15">
        <v>300</v>
      </c>
      <c r="K247" s="15"/>
      <c r="L247" s="15" t="s">
        <v>751</v>
      </c>
      <c r="M247" s="15"/>
      <c r="N247" s="15"/>
      <c r="O247" s="15"/>
      <c r="R247" s="5">
        <v>1202255</v>
      </c>
      <c r="S247" s="27">
        <v>8</v>
      </c>
      <c r="T247" s="28" t="s">
        <v>119</v>
      </c>
    </row>
    <row r="248" customHeight="1" spans="1:20">
      <c r="A248" s="25">
        <f t="shared" si="23"/>
        <v>1202004</v>
      </c>
      <c r="B248" s="25">
        <v>1202</v>
      </c>
      <c r="C248" s="25" t="s">
        <v>748</v>
      </c>
      <c r="D248" s="25"/>
      <c r="E248" s="25">
        <v>1</v>
      </c>
      <c r="F248" s="25">
        <v>4</v>
      </c>
      <c r="G248" s="25">
        <v>32</v>
      </c>
      <c r="H248" s="25">
        <v>1202419</v>
      </c>
      <c r="I248" s="25" t="s">
        <v>758</v>
      </c>
      <c r="J248" s="15">
        <v>400</v>
      </c>
      <c r="K248" s="15"/>
      <c r="L248" s="15" t="s">
        <v>751</v>
      </c>
      <c r="M248" s="15"/>
      <c r="N248" s="15"/>
      <c r="O248" s="15"/>
      <c r="R248" s="5">
        <v>1202271</v>
      </c>
      <c r="S248" s="27">
        <v>12</v>
      </c>
      <c r="T248" s="28" t="s">
        <v>123</v>
      </c>
    </row>
    <row r="249" customHeight="1" spans="1:20">
      <c r="A249" s="25">
        <f t="shared" si="23"/>
        <v>1202005</v>
      </c>
      <c r="B249" s="25">
        <v>1202</v>
      </c>
      <c r="C249" s="25" t="s">
        <v>748</v>
      </c>
      <c r="D249" s="25"/>
      <c r="E249" s="25">
        <v>1</v>
      </c>
      <c r="F249" s="25">
        <v>5</v>
      </c>
      <c r="G249" s="25">
        <v>32</v>
      </c>
      <c r="H249" s="25">
        <v>1202420</v>
      </c>
      <c r="I249" s="25" t="s">
        <v>759</v>
      </c>
      <c r="J249" s="15">
        <v>500</v>
      </c>
      <c r="K249" s="15"/>
      <c r="L249" s="15" t="s">
        <v>751</v>
      </c>
      <c r="M249" s="15"/>
      <c r="N249" s="15"/>
      <c r="O249" s="15"/>
      <c r="R249" s="5">
        <v>1202252</v>
      </c>
      <c r="S249" s="27">
        <v>16</v>
      </c>
      <c r="T249" s="28" t="s">
        <v>125</v>
      </c>
    </row>
    <row r="250" customHeight="1" spans="1:20">
      <c r="A250" s="25">
        <f t="shared" si="23"/>
        <v>1202006</v>
      </c>
      <c r="B250" s="25">
        <v>1202</v>
      </c>
      <c r="C250" s="25" t="s">
        <v>748</v>
      </c>
      <c r="D250" s="25"/>
      <c r="E250" s="25">
        <v>1</v>
      </c>
      <c r="F250" s="25">
        <v>6</v>
      </c>
      <c r="G250" s="25">
        <v>32</v>
      </c>
      <c r="H250" s="25">
        <v>1202421</v>
      </c>
      <c r="I250" s="25" t="s">
        <v>760</v>
      </c>
      <c r="J250" s="15">
        <v>600</v>
      </c>
      <c r="K250" s="15"/>
      <c r="L250" s="15" t="s">
        <v>751</v>
      </c>
      <c r="M250" s="15"/>
      <c r="N250" s="15"/>
      <c r="O250" s="15"/>
      <c r="R250" s="5">
        <v>1202260</v>
      </c>
      <c r="S250" s="27">
        <v>20</v>
      </c>
      <c r="T250" s="28" t="s">
        <v>127</v>
      </c>
    </row>
    <row r="251" customHeight="1" spans="1:20">
      <c r="A251" s="25">
        <f t="shared" si="23"/>
        <v>1202007</v>
      </c>
      <c r="B251" s="25">
        <v>1202</v>
      </c>
      <c r="C251" s="25" t="s">
        <v>748</v>
      </c>
      <c r="D251" s="25"/>
      <c r="E251" s="25">
        <v>1</v>
      </c>
      <c r="F251" s="25">
        <v>7</v>
      </c>
      <c r="G251" s="25">
        <v>32</v>
      </c>
      <c r="H251" s="25">
        <v>1202422</v>
      </c>
      <c r="I251" s="25" t="s">
        <v>761</v>
      </c>
      <c r="J251" s="15">
        <v>700</v>
      </c>
      <c r="K251" s="15"/>
      <c r="L251" s="15" t="s">
        <v>751</v>
      </c>
      <c r="M251" s="15"/>
      <c r="N251" s="15"/>
      <c r="O251" s="15"/>
      <c r="R251" s="5">
        <v>1202275</v>
      </c>
      <c r="S251" s="27">
        <v>24</v>
      </c>
      <c r="T251" s="28" t="s">
        <v>129</v>
      </c>
    </row>
    <row r="252" customHeight="1" spans="1:20">
      <c r="A252" s="25">
        <f t="shared" si="23"/>
        <v>1202008</v>
      </c>
      <c r="B252" s="25">
        <v>1202</v>
      </c>
      <c r="C252" s="25" t="s">
        <v>748</v>
      </c>
      <c r="D252" s="25"/>
      <c r="E252" s="25">
        <v>1</v>
      </c>
      <c r="F252" s="25">
        <v>8</v>
      </c>
      <c r="G252" s="25">
        <v>32</v>
      </c>
      <c r="H252" s="25">
        <v>1202423</v>
      </c>
      <c r="I252" s="25" t="s">
        <v>762</v>
      </c>
      <c r="J252" s="15">
        <v>800</v>
      </c>
      <c r="K252" s="15"/>
      <c r="L252" s="15" t="s">
        <v>751</v>
      </c>
      <c r="M252" s="15"/>
      <c r="N252" s="15"/>
      <c r="O252" s="15"/>
      <c r="R252" s="5" t="s">
        <v>763</v>
      </c>
      <c r="S252" s="27">
        <v>28</v>
      </c>
      <c r="T252" s="28" t="s">
        <v>132</v>
      </c>
    </row>
    <row r="253" customHeight="1" spans="1:20">
      <c r="A253" s="25">
        <f t="shared" si="23"/>
        <v>1202009</v>
      </c>
      <c r="B253" s="25">
        <v>1202</v>
      </c>
      <c r="C253" s="25" t="s">
        <v>748</v>
      </c>
      <c r="D253" s="25"/>
      <c r="E253" s="25">
        <v>1</v>
      </c>
      <c r="F253" s="25">
        <v>9</v>
      </c>
      <c r="G253" s="25">
        <v>32</v>
      </c>
      <c r="H253" s="25">
        <v>1202424</v>
      </c>
      <c r="I253" s="25" t="s">
        <v>764</v>
      </c>
      <c r="J253" s="15">
        <v>900</v>
      </c>
      <c r="K253" s="15"/>
      <c r="L253" s="15" t="s">
        <v>751</v>
      </c>
      <c r="M253" s="15"/>
      <c r="N253" s="15"/>
      <c r="O253" s="15"/>
      <c r="R253" s="5" t="s">
        <v>765</v>
      </c>
      <c r="S253" s="27">
        <v>32</v>
      </c>
      <c r="T253" s="28" t="s">
        <v>134</v>
      </c>
    </row>
    <row r="254" customHeight="1" spans="1:20">
      <c r="A254" s="25">
        <f t="shared" si="23"/>
        <v>1202010</v>
      </c>
      <c r="B254" s="25">
        <v>1202</v>
      </c>
      <c r="C254" s="25" t="s">
        <v>748</v>
      </c>
      <c r="D254" s="25"/>
      <c r="E254" s="25">
        <v>1</v>
      </c>
      <c r="F254" s="25">
        <v>10</v>
      </c>
      <c r="G254" s="25">
        <v>32</v>
      </c>
      <c r="H254" s="25">
        <v>1202425</v>
      </c>
      <c r="I254" s="25" t="s">
        <v>766</v>
      </c>
      <c r="J254" s="15">
        <v>1000</v>
      </c>
      <c r="K254" s="15"/>
      <c r="L254" s="15" t="s">
        <v>751</v>
      </c>
      <c r="M254" s="15"/>
      <c r="N254" s="15"/>
      <c r="O254" s="15"/>
      <c r="R254" s="5" t="s">
        <v>767</v>
      </c>
      <c r="S254" s="27">
        <v>36</v>
      </c>
      <c r="T254" s="28" t="s">
        <v>136</v>
      </c>
    </row>
    <row r="255" customHeight="1" spans="1:20">
      <c r="A255" s="25">
        <f t="shared" ref="A255:A286" si="24">B255*1000+F255</f>
        <v>1202011</v>
      </c>
      <c r="B255" s="25">
        <v>1202</v>
      </c>
      <c r="C255" s="25" t="s">
        <v>748</v>
      </c>
      <c r="D255" s="25"/>
      <c r="E255" s="25">
        <v>1</v>
      </c>
      <c r="F255" s="25">
        <v>11</v>
      </c>
      <c r="G255" s="25">
        <v>32</v>
      </c>
      <c r="H255" s="25"/>
      <c r="I255" s="25" t="s">
        <v>768</v>
      </c>
      <c r="J255" s="15">
        <v>1100</v>
      </c>
      <c r="K255" s="15"/>
      <c r="L255" s="15" t="s">
        <v>751</v>
      </c>
      <c r="M255" s="15"/>
      <c r="N255" s="15"/>
      <c r="O255" s="15"/>
      <c r="R255" s="5" t="s">
        <v>769</v>
      </c>
      <c r="S255" s="27">
        <v>40</v>
      </c>
      <c r="T255" s="28" t="s">
        <v>139</v>
      </c>
    </row>
    <row r="256" customHeight="1" spans="1:20">
      <c r="A256" s="25">
        <f t="shared" si="24"/>
        <v>1202012</v>
      </c>
      <c r="B256" s="25">
        <v>1202</v>
      </c>
      <c r="C256" s="25" t="s">
        <v>748</v>
      </c>
      <c r="D256" s="25"/>
      <c r="E256" s="25">
        <v>1</v>
      </c>
      <c r="F256" s="25">
        <v>12</v>
      </c>
      <c r="G256" s="25">
        <v>32</v>
      </c>
      <c r="H256" s="25"/>
      <c r="I256" s="25" t="s">
        <v>770</v>
      </c>
      <c r="J256" s="15">
        <v>1200</v>
      </c>
      <c r="K256" s="15"/>
      <c r="L256" s="15" t="s">
        <v>751</v>
      </c>
      <c r="M256" s="15"/>
      <c r="N256" s="15"/>
      <c r="O256" s="15"/>
      <c r="R256" s="5" t="s">
        <v>771</v>
      </c>
      <c r="S256" s="27">
        <v>44</v>
      </c>
      <c r="T256" s="28" t="s">
        <v>141</v>
      </c>
    </row>
    <row r="257" customHeight="1" spans="1:20">
      <c r="A257" s="25">
        <f t="shared" si="24"/>
        <v>1202013</v>
      </c>
      <c r="B257" s="25">
        <v>1202</v>
      </c>
      <c r="C257" s="25" t="s">
        <v>748</v>
      </c>
      <c r="D257" s="25"/>
      <c r="E257" s="25">
        <v>1</v>
      </c>
      <c r="F257" s="25">
        <v>13</v>
      </c>
      <c r="G257" s="25">
        <v>32</v>
      </c>
      <c r="H257" s="25"/>
      <c r="I257" s="25" t="s">
        <v>772</v>
      </c>
      <c r="J257" s="15">
        <v>1300</v>
      </c>
      <c r="K257" s="15"/>
      <c r="L257" s="15" t="s">
        <v>751</v>
      </c>
      <c r="M257" s="15"/>
      <c r="N257" s="15"/>
      <c r="O257" s="15"/>
      <c r="R257" s="5" t="s">
        <v>773</v>
      </c>
      <c r="S257" s="27">
        <v>48</v>
      </c>
      <c r="T257" s="28" t="s">
        <v>143</v>
      </c>
    </row>
    <row r="258" customHeight="1" spans="1:20">
      <c r="A258" s="25">
        <f t="shared" si="24"/>
        <v>1202014</v>
      </c>
      <c r="B258" s="25">
        <v>1202</v>
      </c>
      <c r="C258" s="25" t="s">
        <v>748</v>
      </c>
      <c r="D258" s="25"/>
      <c r="E258" s="25">
        <v>1</v>
      </c>
      <c r="F258" s="25">
        <v>14</v>
      </c>
      <c r="G258" s="25">
        <v>32</v>
      </c>
      <c r="H258" s="25"/>
      <c r="I258" s="25" t="s">
        <v>774</v>
      </c>
      <c r="J258" s="15">
        <v>1400</v>
      </c>
      <c r="K258" s="15"/>
      <c r="L258" s="15" t="s">
        <v>751</v>
      </c>
      <c r="M258" s="15"/>
      <c r="N258" s="15"/>
      <c r="O258" s="15"/>
      <c r="R258" s="5">
        <v>1202254</v>
      </c>
      <c r="S258" s="27">
        <v>52</v>
      </c>
      <c r="T258" s="28" t="s">
        <v>146</v>
      </c>
    </row>
    <row r="259" customHeight="1" spans="1:20">
      <c r="A259" s="25">
        <f t="shared" si="24"/>
        <v>1202015</v>
      </c>
      <c r="B259" s="25">
        <v>1202</v>
      </c>
      <c r="C259" s="25" t="s">
        <v>748</v>
      </c>
      <c r="D259" s="25"/>
      <c r="E259" s="25">
        <v>1</v>
      </c>
      <c r="F259" s="25">
        <v>15</v>
      </c>
      <c r="G259" s="25">
        <v>32</v>
      </c>
      <c r="H259" s="25"/>
      <c r="I259" s="25" t="s">
        <v>775</v>
      </c>
      <c r="J259" s="15">
        <v>1500</v>
      </c>
      <c r="K259" s="15"/>
      <c r="L259" s="15" t="s">
        <v>751</v>
      </c>
      <c r="M259" s="15"/>
      <c r="N259" s="15"/>
      <c r="O259" s="15"/>
      <c r="R259" s="5">
        <v>1202262</v>
      </c>
      <c r="S259" s="27">
        <v>56</v>
      </c>
      <c r="T259" s="28" t="s">
        <v>148</v>
      </c>
    </row>
    <row r="260" customHeight="1" spans="1:20">
      <c r="A260" s="25">
        <f t="shared" si="24"/>
        <v>1202016</v>
      </c>
      <c r="B260" s="25">
        <v>1202</v>
      </c>
      <c r="C260" s="25" t="s">
        <v>748</v>
      </c>
      <c r="D260" s="25"/>
      <c r="E260" s="25">
        <v>1</v>
      </c>
      <c r="F260" s="25">
        <v>16</v>
      </c>
      <c r="G260" s="25">
        <v>32</v>
      </c>
      <c r="H260" s="25"/>
      <c r="I260" s="25" t="s">
        <v>776</v>
      </c>
      <c r="J260" s="15">
        <v>1600</v>
      </c>
      <c r="K260" s="15"/>
      <c r="L260" s="15" t="s">
        <v>751</v>
      </c>
      <c r="M260" s="15"/>
      <c r="N260" s="15"/>
      <c r="O260" s="15"/>
      <c r="R260" s="5">
        <v>1202269</v>
      </c>
      <c r="S260" s="27">
        <v>60</v>
      </c>
      <c r="T260" s="28" t="s">
        <v>150</v>
      </c>
    </row>
    <row r="261" customHeight="1" spans="1:20">
      <c r="A261" s="25">
        <f t="shared" si="24"/>
        <v>1202017</v>
      </c>
      <c r="B261" s="25">
        <v>1202</v>
      </c>
      <c r="C261" s="25" t="s">
        <v>748</v>
      </c>
      <c r="D261" s="25"/>
      <c r="E261" s="25">
        <v>1</v>
      </c>
      <c r="F261" s="25">
        <v>17</v>
      </c>
      <c r="G261" s="25">
        <v>32</v>
      </c>
      <c r="H261" s="25"/>
      <c r="I261" s="25" t="s">
        <v>777</v>
      </c>
      <c r="J261" s="15">
        <v>1700</v>
      </c>
      <c r="K261" s="15"/>
      <c r="L261" s="15" t="s">
        <v>751</v>
      </c>
      <c r="M261" s="15"/>
      <c r="N261" s="15"/>
      <c r="O261" s="15"/>
      <c r="R261" s="5">
        <v>1202276</v>
      </c>
      <c r="S261" s="27">
        <v>64</v>
      </c>
      <c r="T261" s="28" t="s">
        <v>152</v>
      </c>
    </row>
    <row r="262" customHeight="1" spans="1:20">
      <c r="A262" s="25">
        <f t="shared" si="24"/>
        <v>1202018</v>
      </c>
      <c r="B262" s="25">
        <v>1202</v>
      </c>
      <c r="C262" s="25" t="s">
        <v>748</v>
      </c>
      <c r="D262" s="25"/>
      <c r="E262" s="25">
        <v>1</v>
      </c>
      <c r="F262" s="25">
        <v>18</v>
      </c>
      <c r="G262" s="25">
        <v>32</v>
      </c>
      <c r="H262" s="25"/>
      <c r="I262" s="25" t="s">
        <v>778</v>
      </c>
      <c r="J262" s="15">
        <v>1800</v>
      </c>
      <c r="K262" s="15"/>
      <c r="L262" s="15" t="s">
        <v>751</v>
      </c>
      <c r="M262" s="15"/>
      <c r="N262" s="15"/>
      <c r="O262" s="15"/>
      <c r="R262" s="5">
        <v>1202283</v>
      </c>
      <c r="S262" s="27">
        <v>68</v>
      </c>
      <c r="T262" s="28" t="s">
        <v>154</v>
      </c>
    </row>
    <row r="263" customHeight="1" spans="1:20">
      <c r="A263" s="25">
        <f t="shared" si="24"/>
        <v>1202019</v>
      </c>
      <c r="B263" s="25">
        <v>1202</v>
      </c>
      <c r="C263" s="25" t="s">
        <v>748</v>
      </c>
      <c r="D263" s="25"/>
      <c r="E263" s="25">
        <v>1</v>
      </c>
      <c r="F263" s="25">
        <v>19</v>
      </c>
      <c r="G263" s="25">
        <v>32</v>
      </c>
      <c r="H263" s="25"/>
      <c r="I263" s="25" t="s">
        <v>779</v>
      </c>
      <c r="J263" s="15">
        <v>1900</v>
      </c>
      <c r="K263" s="15"/>
      <c r="L263" s="15" t="s">
        <v>751</v>
      </c>
      <c r="M263" s="15"/>
      <c r="N263" s="15"/>
      <c r="O263" s="15"/>
      <c r="R263" s="5">
        <v>1202285</v>
      </c>
      <c r="S263" s="27">
        <v>72</v>
      </c>
      <c r="T263" s="28" t="s">
        <v>156</v>
      </c>
    </row>
    <row r="264" customHeight="1" spans="1:20">
      <c r="A264" s="25">
        <f t="shared" si="24"/>
        <v>1202020</v>
      </c>
      <c r="B264" s="25">
        <v>1202</v>
      </c>
      <c r="C264" s="25" t="s">
        <v>748</v>
      </c>
      <c r="D264" s="25"/>
      <c r="E264" s="25">
        <v>1</v>
      </c>
      <c r="F264" s="25">
        <v>20</v>
      </c>
      <c r="G264" s="25">
        <v>32</v>
      </c>
      <c r="H264" s="25"/>
      <c r="I264" s="25" t="s">
        <v>780</v>
      </c>
      <c r="J264" s="15">
        <v>2000</v>
      </c>
      <c r="K264" s="15"/>
      <c r="L264" s="15" t="s">
        <v>751</v>
      </c>
      <c r="M264" s="15"/>
      <c r="N264" s="15"/>
      <c r="O264" s="15"/>
      <c r="R264" s="5">
        <v>1202301</v>
      </c>
      <c r="S264" s="27">
        <v>76</v>
      </c>
      <c r="T264" s="28" t="s">
        <v>158</v>
      </c>
    </row>
    <row r="265" s="12" customFormat="1" customHeight="1" spans="1:20">
      <c r="A265" s="29">
        <f t="shared" ref="A265:A276" si="25">B265*1000+F265</f>
        <v>1301001</v>
      </c>
      <c r="B265" s="29">
        <v>1301</v>
      </c>
      <c r="C265" s="29" t="s">
        <v>781</v>
      </c>
      <c r="D265" s="29"/>
      <c r="E265" s="25">
        <v>1</v>
      </c>
      <c r="F265" s="29">
        <v>1</v>
      </c>
      <c r="G265" s="12"/>
      <c r="H265" s="12"/>
      <c r="I265" s="29" t="s">
        <v>750</v>
      </c>
      <c r="J265" s="30">
        <v>200</v>
      </c>
      <c r="K265" s="30"/>
      <c r="L265" s="15" t="s">
        <v>104</v>
      </c>
      <c r="P265" s="31"/>
      <c r="Q265" s="31"/>
      <c r="R265" s="6" t="s">
        <v>782</v>
      </c>
      <c r="S265" s="32">
        <v>1</v>
      </c>
      <c r="T265" s="28" t="s">
        <v>51</v>
      </c>
    </row>
    <row r="266" s="12" customFormat="1" customHeight="1" spans="1:20">
      <c r="A266" s="29">
        <f t="shared" si="25"/>
        <v>1301002</v>
      </c>
      <c r="B266" s="29">
        <v>1301</v>
      </c>
      <c r="C266" s="29" t="s">
        <v>781</v>
      </c>
      <c r="D266" s="29"/>
      <c r="E266" s="25">
        <v>1</v>
      </c>
      <c r="F266" s="29">
        <v>2</v>
      </c>
      <c r="G266" s="12"/>
      <c r="H266" s="12"/>
      <c r="I266" s="29" t="s">
        <v>755</v>
      </c>
      <c r="J266" s="30">
        <v>220</v>
      </c>
      <c r="K266" s="30"/>
      <c r="L266" s="15" t="s">
        <v>104</v>
      </c>
      <c r="P266" s="31"/>
      <c r="Q266" s="31"/>
      <c r="R266" s="6" t="s">
        <v>783</v>
      </c>
      <c r="S266" s="32">
        <v>2</v>
      </c>
      <c r="T266" s="28" t="s">
        <v>57</v>
      </c>
    </row>
    <row r="267" s="12" customFormat="1" customHeight="1" spans="1:20">
      <c r="A267" s="29">
        <f t="shared" si="25"/>
        <v>1301003</v>
      </c>
      <c r="B267" s="29">
        <v>1301</v>
      </c>
      <c r="C267" s="29" t="s">
        <v>781</v>
      </c>
      <c r="D267" s="29"/>
      <c r="E267" s="25">
        <v>1</v>
      </c>
      <c r="F267" s="29">
        <v>3</v>
      </c>
      <c r="G267" s="12"/>
      <c r="H267" s="12"/>
      <c r="I267" s="29" t="s">
        <v>757</v>
      </c>
      <c r="J267" s="30">
        <v>240</v>
      </c>
      <c r="K267" s="30"/>
      <c r="L267" s="15" t="s">
        <v>104</v>
      </c>
      <c r="P267" s="31"/>
      <c r="Q267" s="31"/>
      <c r="R267" s="6" t="s">
        <v>784</v>
      </c>
      <c r="S267" s="32">
        <v>4</v>
      </c>
      <c r="T267" s="28" t="s">
        <v>62</v>
      </c>
    </row>
    <row r="268" s="12" customFormat="1" customHeight="1" spans="1:20">
      <c r="A268" s="29">
        <f t="shared" si="25"/>
        <v>1301004</v>
      </c>
      <c r="B268" s="29">
        <v>1301</v>
      </c>
      <c r="C268" s="29" t="s">
        <v>781</v>
      </c>
      <c r="D268" s="29"/>
      <c r="E268" s="25">
        <v>1</v>
      </c>
      <c r="F268" s="29">
        <v>4</v>
      </c>
      <c r="G268" s="12"/>
      <c r="H268" s="12"/>
      <c r="I268" s="29" t="s">
        <v>758</v>
      </c>
      <c r="J268" s="30">
        <v>260</v>
      </c>
      <c r="K268" s="30"/>
      <c r="L268" s="15" t="s">
        <v>104</v>
      </c>
      <c r="P268" s="31"/>
      <c r="Q268" s="31"/>
      <c r="R268" s="6"/>
      <c r="S268" s="32">
        <v>6</v>
      </c>
      <c r="T268" s="28" t="s">
        <v>65</v>
      </c>
    </row>
    <row r="269" s="12" customFormat="1" customHeight="1" spans="1:20">
      <c r="A269" s="29">
        <f t="shared" si="25"/>
        <v>1301005</v>
      </c>
      <c r="B269" s="29">
        <v>1301</v>
      </c>
      <c r="C269" s="29" t="s">
        <v>781</v>
      </c>
      <c r="D269" s="29"/>
      <c r="E269" s="25">
        <v>1</v>
      </c>
      <c r="F269" s="29">
        <v>5</v>
      </c>
      <c r="G269" s="12"/>
      <c r="H269" s="12"/>
      <c r="I269" s="29" t="s">
        <v>759</v>
      </c>
      <c r="J269" s="30">
        <v>280</v>
      </c>
      <c r="K269" s="30"/>
      <c r="L269" s="15" t="s">
        <v>104</v>
      </c>
      <c r="P269" s="31"/>
      <c r="Q269" s="31"/>
      <c r="R269" s="6"/>
      <c r="S269" s="32">
        <v>8</v>
      </c>
      <c r="T269" s="28" t="s">
        <v>67</v>
      </c>
    </row>
    <row r="270" s="12" customFormat="1" customHeight="1" spans="1:20">
      <c r="A270" s="29">
        <f t="shared" si="25"/>
        <v>1301006</v>
      </c>
      <c r="B270" s="29">
        <v>1301</v>
      </c>
      <c r="C270" s="29" t="s">
        <v>781</v>
      </c>
      <c r="D270" s="29"/>
      <c r="E270" s="25">
        <v>1</v>
      </c>
      <c r="F270" s="29">
        <v>6</v>
      </c>
      <c r="G270" s="12"/>
      <c r="H270" s="12"/>
      <c r="I270" s="29" t="s">
        <v>760</v>
      </c>
      <c r="J270" s="30">
        <v>300</v>
      </c>
      <c r="K270" s="30"/>
      <c r="L270" s="15" t="s">
        <v>104</v>
      </c>
      <c r="P270" s="31"/>
      <c r="Q270" s="31"/>
      <c r="R270" s="6"/>
      <c r="S270" s="32">
        <v>10</v>
      </c>
      <c r="T270" s="28" t="s">
        <v>69</v>
      </c>
    </row>
    <row r="271" s="12" customFormat="1" customHeight="1" spans="1:20">
      <c r="A271" s="29">
        <f t="shared" si="25"/>
        <v>1301007</v>
      </c>
      <c r="B271" s="29">
        <v>1301</v>
      </c>
      <c r="C271" s="29" t="s">
        <v>781</v>
      </c>
      <c r="D271" s="29"/>
      <c r="E271" s="25">
        <v>1</v>
      </c>
      <c r="F271" s="29">
        <v>7</v>
      </c>
      <c r="G271" s="12"/>
      <c r="H271" s="12"/>
      <c r="I271" s="29" t="s">
        <v>761</v>
      </c>
      <c r="J271" s="30">
        <v>320</v>
      </c>
      <c r="K271" s="30"/>
      <c r="L271" s="15" t="s">
        <v>104</v>
      </c>
      <c r="P271" s="31"/>
      <c r="Q271" s="31"/>
      <c r="R271" s="6"/>
      <c r="S271" s="32">
        <v>12</v>
      </c>
      <c r="T271" s="28" t="s">
        <v>71</v>
      </c>
    </row>
    <row r="272" s="12" customFormat="1" customHeight="1" spans="1:20">
      <c r="A272" s="29">
        <f t="shared" si="25"/>
        <v>1301008</v>
      </c>
      <c r="B272" s="29">
        <v>1301</v>
      </c>
      <c r="C272" s="29" t="s">
        <v>781</v>
      </c>
      <c r="D272" s="29"/>
      <c r="E272" s="25">
        <v>1</v>
      </c>
      <c r="F272" s="29">
        <v>8</v>
      </c>
      <c r="G272" s="12"/>
      <c r="H272" s="12"/>
      <c r="I272" s="29" t="s">
        <v>762</v>
      </c>
      <c r="J272" s="30">
        <v>340</v>
      </c>
      <c r="K272" s="30"/>
      <c r="L272" s="15" t="s">
        <v>104</v>
      </c>
      <c r="P272" s="31"/>
      <c r="Q272" s="31"/>
      <c r="R272" s="6"/>
      <c r="S272" s="32">
        <v>14</v>
      </c>
      <c r="T272" s="28" t="s">
        <v>74</v>
      </c>
    </row>
    <row r="273" s="12" customFormat="1" customHeight="1" spans="1:20">
      <c r="A273" s="29">
        <f t="shared" si="25"/>
        <v>1301009</v>
      </c>
      <c r="B273" s="29">
        <v>1301</v>
      </c>
      <c r="C273" s="29" t="s">
        <v>781</v>
      </c>
      <c r="D273" s="29"/>
      <c r="E273" s="25">
        <v>1</v>
      </c>
      <c r="F273" s="29">
        <v>9</v>
      </c>
      <c r="G273" s="12"/>
      <c r="H273" s="12"/>
      <c r="I273" s="29" t="s">
        <v>764</v>
      </c>
      <c r="J273" s="30">
        <v>360</v>
      </c>
      <c r="K273" s="30"/>
      <c r="L273" s="15" t="s">
        <v>104</v>
      </c>
      <c r="P273" s="31"/>
      <c r="Q273" s="31"/>
      <c r="R273" s="6"/>
      <c r="S273" s="32">
        <v>16</v>
      </c>
      <c r="T273" s="28" t="s">
        <v>76</v>
      </c>
    </row>
    <row r="274" s="12" customFormat="1" customHeight="1" spans="1:20">
      <c r="A274" s="29">
        <f t="shared" si="25"/>
        <v>1301010</v>
      </c>
      <c r="B274" s="29">
        <v>1301</v>
      </c>
      <c r="C274" s="29" t="s">
        <v>781</v>
      </c>
      <c r="D274" s="29"/>
      <c r="E274" s="25">
        <v>1</v>
      </c>
      <c r="F274" s="29">
        <v>10</v>
      </c>
      <c r="G274" s="12"/>
      <c r="H274" s="12"/>
      <c r="I274" s="29" t="s">
        <v>766</v>
      </c>
      <c r="J274" s="30">
        <v>380</v>
      </c>
      <c r="K274" s="30"/>
      <c r="L274" s="15" t="s">
        <v>104</v>
      </c>
      <c r="P274" s="31"/>
      <c r="Q274" s="31"/>
      <c r="R274" s="6"/>
      <c r="S274" s="32">
        <v>18</v>
      </c>
      <c r="T274" s="28" t="s">
        <v>78</v>
      </c>
    </row>
    <row r="275" s="12" customFormat="1" customHeight="1" spans="1:20">
      <c r="A275" s="29">
        <f t="shared" ref="A275:A306" si="26">B275*1000+F275</f>
        <v>1301011</v>
      </c>
      <c r="B275" s="29">
        <v>1301</v>
      </c>
      <c r="C275" s="29" t="s">
        <v>781</v>
      </c>
      <c r="D275" s="29"/>
      <c r="E275" s="25">
        <v>1</v>
      </c>
      <c r="F275" s="29">
        <v>11</v>
      </c>
      <c r="G275" s="12"/>
      <c r="H275" s="12"/>
      <c r="I275" s="29" t="s">
        <v>768</v>
      </c>
      <c r="J275" s="30">
        <v>400</v>
      </c>
      <c r="K275" s="30"/>
      <c r="L275" s="15" t="s">
        <v>104</v>
      </c>
      <c r="P275" s="31"/>
      <c r="Q275" s="31"/>
      <c r="R275" s="6"/>
      <c r="S275" s="32">
        <v>20</v>
      </c>
      <c r="T275" s="28" t="s">
        <v>81</v>
      </c>
    </row>
    <row r="276" s="12" customFormat="1" customHeight="1" spans="1:20">
      <c r="A276" s="29">
        <f t="shared" si="26"/>
        <v>1301012</v>
      </c>
      <c r="B276" s="29">
        <v>1301</v>
      </c>
      <c r="C276" s="29" t="s">
        <v>781</v>
      </c>
      <c r="D276" s="29"/>
      <c r="E276" s="25">
        <v>1</v>
      </c>
      <c r="F276" s="29">
        <v>12</v>
      </c>
      <c r="G276" s="12"/>
      <c r="H276" s="12"/>
      <c r="I276" s="29" t="s">
        <v>770</v>
      </c>
      <c r="J276" s="30">
        <v>420</v>
      </c>
      <c r="K276" s="30"/>
      <c r="L276" s="15" t="s">
        <v>104</v>
      </c>
      <c r="P276" s="31"/>
      <c r="Q276" s="31"/>
      <c r="R276" s="6"/>
      <c r="S276" s="32">
        <v>22</v>
      </c>
      <c r="T276" s="28" t="s">
        <v>83</v>
      </c>
    </row>
    <row r="277" s="12" customFormat="1" customHeight="1" spans="1:20">
      <c r="A277" s="29">
        <f t="shared" si="26"/>
        <v>1301013</v>
      </c>
      <c r="B277" s="29">
        <v>1301</v>
      </c>
      <c r="C277" s="29" t="s">
        <v>781</v>
      </c>
      <c r="D277" s="29"/>
      <c r="E277" s="25">
        <v>1</v>
      </c>
      <c r="F277" s="29">
        <v>13</v>
      </c>
      <c r="G277" s="12"/>
      <c r="H277" s="12"/>
      <c r="I277" s="29" t="s">
        <v>772</v>
      </c>
      <c r="J277" s="30">
        <v>440</v>
      </c>
      <c r="K277" s="30"/>
      <c r="L277" s="15" t="s">
        <v>104</v>
      </c>
      <c r="P277" s="31"/>
      <c r="Q277" s="31"/>
      <c r="R277" s="6" t="s">
        <v>785</v>
      </c>
      <c r="S277" s="32">
        <v>24</v>
      </c>
      <c r="T277" s="28" t="s">
        <v>85</v>
      </c>
    </row>
    <row r="278" s="12" customFormat="1" customHeight="1" spans="1:20">
      <c r="A278" s="29">
        <f t="shared" si="26"/>
        <v>1301014</v>
      </c>
      <c r="B278" s="29">
        <v>1301</v>
      </c>
      <c r="C278" s="29" t="s">
        <v>781</v>
      </c>
      <c r="D278" s="29"/>
      <c r="E278" s="25">
        <v>1</v>
      </c>
      <c r="F278" s="29">
        <v>14</v>
      </c>
      <c r="G278" s="12"/>
      <c r="H278" s="12"/>
      <c r="I278" s="29" t="s">
        <v>774</v>
      </c>
      <c r="J278" s="30">
        <v>460</v>
      </c>
      <c r="K278" s="30"/>
      <c r="L278" s="15" t="s">
        <v>104</v>
      </c>
      <c r="P278" s="31"/>
      <c r="Q278" s="31"/>
      <c r="R278" s="6" t="s">
        <v>785</v>
      </c>
      <c r="S278" s="32">
        <v>26</v>
      </c>
      <c r="T278" s="28" t="s">
        <v>87</v>
      </c>
    </row>
    <row r="279" s="12" customFormat="1" customHeight="1" spans="1:20">
      <c r="A279" s="29">
        <f t="shared" si="26"/>
        <v>1301015</v>
      </c>
      <c r="B279" s="29">
        <v>1301</v>
      </c>
      <c r="C279" s="29" t="s">
        <v>781</v>
      </c>
      <c r="D279" s="29"/>
      <c r="E279" s="25">
        <v>1</v>
      </c>
      <c r="F279" s="29">
        <v>15</v>
      </c>
      <c r="G279" s="12"/>
      <c r="H279" s="12"/>
      <c r="I279" s="29" t="s">
        <v>775</v>
      </c>
      <c r="J279" s="30">
        <v>480</v>
      </c>
      <c r="K279" s="30"/>
      <c r="L279" s="15" t="s">
        <v>104</v>
      </c>
      <c r="P279" s="31"/>
      <c r="Q279" s="31"/>
      <c r="R279" s="6" t="s">
        <v>785</v>
      </c>
      <c r="S279" s="32">
        <v>28</v>
      </c>
      <c r="T279" s="28" t="s">
        <v>89</v>
      </c>
    </row>
    <row r="280" s="12" customFormat="1" customHeight="1" spans="1:20">
      <c r="A280" s="29">
        <f t="shared" si="26"/>
        <v>1301016</v>
      </c>
      <c r="B280" s="29">
        <v>1301</v>
      </c>
      <c r="C280" s="29" t="s">
        <v>781</v>
      </c>
      <c r="D280" s="29"/>
      <c r="E280" s="25">
        <v>1</v>
      </c>
      <c r="F280" s="29">
        <v>16</v>
      </c>
      <c r="G280" s="12"/>
      <c r="H280" s="12"/>
      <c r="I280" s="29" t="s">
        <v>776</v>
      </c>
      <c r="J280" s="30">
        <v>500</v>
      </c>
      <c r="K280" s="30"/>
      <c r="L280" s="15" t="s">
        <v>104</v>
      </c>
      <c r="P280" s="31"/>
      <c r="Q280" s="31"/>
      <c r="R280" s="6" t="s">
        <v>785</v>
      </c>
      <c r="S280" s="32">
        <v>30</v>
      </c>
      <c r="T280" s="28" t="s">
        <v>91</v>
      </c>
    </row>
    <row r="281" s="12" customFormat="1" customHeight="1" spans="1:20">
      <c r="A281" s="29">
        <f t="shared" si="26"/>
        <v>1301017</v>
      </c>
      <c r="B281" s="29">
        <v>1301</v>
      </c>
      <c r="C281" s="29" t="s">
        <v>781</v>
      </c>
      <c r="D281" s="29"/>
      <c r="E281" s="25">
        <v>1</v>
      </c>
      <c r="F281" s="29">
        <v>17</v>
      </c>
      <c r="G281" s="12"/>
      <c r="H281" s="12"/>
      <c r="I281" s="29" t="s">
        <v>777</v>
      </c>
      <c r="J281" s="30">
        <v>520</v>
      </c>
      <c r="K281" s="30"/>
      <c r="L281" s="15" t="s">
        <v>104</v>
      </c>
      <c r="P281" s="31"/>
      <c r="Q281" s="31"/>
      <c r="R281" s="6" t="s">
        <v>785</v>
      </c>
      <c r="S281" s="32">
        <v>32</v>
      </c>
      <c r="T281" s="28" t="s">
        <v>93</v>
      </c>
    </row>
    <row r="282" s="12" customFormat="1" customHeight="1" spans="1:20">
      <c r="A282" s="29">
        <f t="shared" si="26"/>
        <v>1301018</v>
      </c>
      <c r="B282" s="29">
        <v>1301</v>
      </c>
      <c r="C282" s="29" t="s">
        <v>781</v>
      </c>
      <c r="D282" s="29"/>
      <c r="E282" s="25">
        <v>1</v>
      </c>
      <c r="F282" s="29">
        <v>18</v>
      </c>
      <c r="G282" s="12"/>
      <c r="H282" s="12"/>
      <c r="I282" s="29" t="s">
        <v>778</v>
      </c>
      <c r="J282" s="30">
        <v>540</v>
      </c>
      <c r="K282" s="30"/>
      <c r="L282" s="15" t="s">
        <v>104</v>
      </c>
      <c r="P282" s="31"/>
      <c r="Q282" s="31"/>
      <c r="R282" s="6" t="s">
        <v>785</v>
      </c>
      <c r="S282" s="32">
        <v>34</v>
      </c>
      <c r="T282" s="28" t="s">
        <v>95</v>
      </c>
    </row>
    <row r="283" s="12" customFormat="1" customHeight="1" spans="1:20">
      <c r="A283" s="29">
        <f t="shared" si="26"/>
        <v>1301019</v>
      </c>
      <c r="B283" s="29">
        <v>1301</v>
      </c>
      <c r="C283" s="29" t="s">
        <v>781</v>
      </c>
      <c r="D283" s="29"/>
      <c r="E283" s="25">
        <v>1</v>
      </c>
      <c r="F283" s="29">
        <v>19</v>
      </c>
      <c r="G283" s="12"/>
      <c r="H283" s="12"/>
      <c r="I283" s="29" t="s">
        <v>779</v>
      </c>
      <c r="J283" s="30">
        <v>560</v>
      </c>
      <c r="K283" s="30"/>
      <c r="L283" s="15" t="s">
        <v>104</v>
      </c>
      <c r="P283" s="31"/>
      <c r="Q283" s="31"/>
      <c r="R283" s="6" t="s">
        <v>785</v>
      </c>
      <c r="S283" s="32">
        <v>36</v>
      </c>
      <c r="T283" s="28" t="s">
        <v>97</v>
      </c>
    </row>
    <row r="284" s="12" customFormat="1" customHeight="1" spans="1:20">
      <c r="A284" s="29">
        <f t="shared" si="26"/>
        <v>1301020</v>
      </c>
      <c r="B284" s="29">
        <v>1301</v>
      </c>
      <c r="C284" s="29" t="s">
        <v>781</v>
      </c>
      <c r="D284" s="29"/>
      <c r="E284" s="25">
        <v>1</v>
      </c>
      <c r="F284" s="29">
        <v>20</v>
      </c>
      <c r="G284" s="12"/>
      <c r="H284" s="12"/>
      <c r="I284" s="29" t="s">
        <v>780</v>
      </c>
      <c r="J284" s="30">
        <v>580</v>
      </c>
      <c r="K284" s="30"/>
      <c r="L284" s="15" t="s">
        <v>104</v>
      </c>
      <c r="P284" s="31"/>
      <c r="Q284" s="31"/>
      <c r="R284" s="6" t="s">
        <v>785</v>
      </c>
      <c r="S284" s="32">
        <v>38</v>
      </c>
      <c r="T284" s="28" t="s">
        <v>99</v>
      </c>
    </row>
    <row r="285" s="12" customFormat="1" customHeight="1" spans="1:20">
      <c r="A285" s="29">
        <f t="shared" ref="A285:A304" si="27">B285*1000+F285</f>
        <v>1303001</v>
      </c>
      <c r="B285" s="29">
        <v>1303</v>
      </c>
      <c r="C285" s="29" t="s">
        <v>786</v>
      </c>
      <c r="D285" s="29"/>
      <c r="E285" s="25">
        <v>1</v>
      </c>
      <c r="F285" s="29">
        <v>1</v>
      </c>
      <c r="G285" s="12"/>
      <c r="H285" s="12"/>
      <c r="I285" s="29" t="s">
        <v>750</v>
      </c>
      <c r="J285" s="30">
        <v>100</v>
      </c>
      <c r="K285" s="30"/>
      <c r="L285" s="15" t="s">
        <v>751</v>
      </c>
      <c r="P285" s="31"/>
      <c r="Q285" s="31"/>
      <c r="R285" s="6" t="s">
        <v>787</v>
      </c>
      <c r="S285" s="32">
        <v>1</v>
      </c>
      <c r="T285" s="34" t="s">
        <v>108</v>
      </c>
    </row>
    <row r="286" s="12" customFormat="1" customHeight="1" spans="1:20">
      <c r="A286" s="29">
        <f t="shared" si="27"/>
        <v>1303002</v>
      </c>
      <c r="B286" s="29">
        <v>1303</v>
      </c>
      <c r="C286" s="29" t="s">
        <v>786</v>
      </c>
      <c r="D286" s="29"/>
      <c r="E286" s="25">
        <v>1</v>
      </c>
      <c r="F286" s="29">
        <v>2</v>
      </c>
      <c r="G286" s="12"/>
      <c r="H286" s="12"/>
      <c r="I286" s="29" t="s">
        <v>755</v>
      </c>
      <c r="J286" s="30">
        <v>200</v>
      </c>
      <c r="K286" s="30"/>
      <c r="L286" s="15" t="s">
        <v>751</v>
      </c>
      <c r="P286" s="31"/>
      <c r="Q286" s="31"/>
      <c r="R286" s="6">
        <v>1303253</v>
      </c>
      <c r="S286" s="32">
        <v>2</v>
      </c>
      <c r="T286" s="34" t="s">
        <v>114</v>
      </c>
    </row>
    <row r="287" s="12" customFormat="1" customHeight="1" spans="1:20">
      <c r="A287" s="29">
        <f t="shared" si="27"/>
        <v>1303003</v>
      </c>
      <c r="B287" s="29">
        <v>1303</v>
      </c>
      <c r="C287" s="29" t="s">
        <v>786</v>
      </c>
      <c r="D287" s="29"/>
      <c r="E287" s="25">
        <v>1</v>
      </c>
      <c r="F287" s="29">
        <v>3</v>
      </c>
      <c r="G287" s="12"/>
      <c r="H287" s="12"/>
      <c r="I287" s="29" t="s">
        <v>757</v>
      </c>
      <c r="J287" s="30">
        <v>300</v>
      </c>
      <c r="K287" s="30"/>
      <c r="L287" s="15" t="s">
        <v>751</v>
      </c>
      <c r="P287" s="31"/>
      <c r="Q287" s="31"/>
      <c r="R287" s="6">
        <v>1303254</v>
      </c>
      <c r="S287" s="32">
        <v>4</v>
      </c>
      <c r="T287" s="34" t="s">
        <v>119</v>
      </c>
    </row>
    <row r="288" s="12" customFormat="1" customHeight="1" spans="1:20">
      <c r="A288" s="29">
        <f t="shared" si="27"/>
        <v>1303004</v>
      </c>
      <c r="B288" s="29">
        <v>1303</v>
      </c>
      <c r="C288" s="29" t="s">
        <v>786</v>
      </c>
      <c r="D288" s="29"/>
      <c r="E288" s="25">
        <v>1</v>
      </c>
      <c r="F288" s="29">
        <v>4</v>
      </c>
      <c r="G288" s="12"/>
      <c r="H288" s="12"/>
      <c r="I288" s="29" t="s">
        <v>758</v>
      </c>
      <c r="J288" s="30">
        <v>400</v>
      </c>
      <c r="K288" s="30"/>
      <c r="L288" s="15" t="s">
        <v>751</v>
      </c>
      <c r="P288" s="31"/>
      <c r="Q288" s="31"/>
      <c r="R288" s="6">
        <v>1303255</v>
      </c>
      <c r="S288" s="32">
        <v>6</v>
      </c>
      <c r="T288" s="34" t="s">
        <v>123</v>
      </c>
    </row>
    <row r="289" s="12" customFormat="1" customHeight="1" spans="1:20">
      <c r="A289" s="29">
        <f t="shared" si="27"/>
        <v>1303005</v>
      </c>
      <c r="B289" s="29">
        <v>1303</v>
      </c>
      <c r="C289" s="29" t="s">
        <v>786</v>
      </c>
      <c r="D289" s="29"/>
      <c r="E289" s="25">
        <v>1</v>
      </c>
      <c r="F289" s="29">
        <v>5</v>
      </c>
      <c r="G289" s="12"/>
      <c r="H289" s="12"/>
      <c r="I289" s="29" t="s">
        <v>759</v>
      </c>
      <c r="J289" s="30">
        <v>500</v>
      </c>
      <c r="K289" s="30"/>
      <c r="L289" s="15" t="s">
        <v>751</v>
      </c>
      <c r="P289" s="31"/>
      <c r="Q289" s="31"/>
      <c r="R289" s="6">
        <v>1303251</v>
      </c>
      <c r="S289" s="32">
        <v>8</v>
      </c>
      <c r="T289" s="34" t="s">
        <v>125</v>
      </c>
    </row>
    <row r="290" s="12" customFormat="1" customHeight="1" spans="1:20">
      <c r="A290" s="29">
        <f t="shared" si="27"/>
        <v>1303006</v>
      </c>
      <c r="B290" s="29">
        <v>1303</v>
      </c>
      <c r="C290" s="29" t="s">
        <v>786</v>
      </c>
      <c r="D290" s="29"/>
      <c r="E290" s="25">
        <v>1</v>
      </c>
      <c r="F290" s="29">
        <v>6</v>
      </c>
      <c r="G290" s="12"/>
      <c r="H290" s="12"/>
      <c r="I290" s="29" t="s">
        <v>760</v>
      </c>
      <c r="J290" s="30">
        <v>600</v>
      </c>
      <c r="K290" s="30"/>
      <c r="L290" s="15" t="s">
        <v>751</v>
      </c>
      <c r="P290" s="31"/>
      <c r="Q290" s="31"/>
      <c r="R290" s="6">
        <v>1303252</v>
      </c>
      <c r="S290" s="32">
        <v>10</v>
      </c>
      <c r="T290" s="34" t="s">
        <v>127</v>
      </c>
    </row>
    <row r="291" s="12" customFormat="1" customHeight="1" spans="1:20">
      <c r="A291" s="29">
        <f t="shared" si="27"/>
        <v>1303007</v>
      </c>
      <c r="B291" s="29">
        <v>1303</v>
      </c>
      <c r="C291" s="29" t="s">
        <v>786</v>
      </c>
      <c r="D291" s="29"/>
      <c r="E291" s="25">
        <v>1</v>
      </c>
      <c r="F291" s="29">
        <v>7</v>
      </c>
      <c r="G291" s="12"/>
      <c r="H291" s="12"/>
      <c r="I291" s="29" t="s">
        <v>761</v>
      </c>
      <c r="J291" s="30">
        <v>700</v>
      </c>
      <c r="K291" s="30"/>
      <c r="L291" s="15" t="s">
        <v>751</v>
      </c>
      <c r="P291" s="31"/>
      <c r="Q291" s="31"/>
      <c r="R291" s="6">
        <v>1303258</v>
      </c>
      <c r="S291" s="32">
        <v>12</v>
      </c>
      <c r="T291" s="34" t="s">
        <v>129</v>
      </c>
    </row>
    <row r="292" s="12" customFormat="1" customHeight="1" spans="1:20">
      <c r="A292" s="29">
        <f t="shared" si="27"/>
        <v>1303008</v>
      </c>
      <c r="B292" s="29">
        <v>1303</v>
      </c>
      <c r="C292" s="29" t="s">
        <v>786</v>
      </c>
      <c r="D292" s="29"/>
      <c r="E292" s="25">
        <v>1</v>
      </c>
      <c r="F292" s="29">
        <v>8</v>
      </c>
      <c r="G292" s="12"/>
      <c r="H292" s="12"/>
      <c r="I292" s="29" t="s">
        <v>762</v>
      </c>
      <c r="J292" s="30">
        <v>800</v>
      </c>
      <c r="K292" s="30"/>
      <c r="L292" s="15" t="s">
        <v>751</v>
      </c>
      <c r="P292" s="31"/>
      <c r="Q292" s="31"/>
      <c r="S292" s="32">
        <v>14</v>
      </c>
      <c r="T292" s="34" t="s">
        <v>132</v>
      </c>
    </row>
    <row r="293" s="12" customFormat="1" customHeight="1" spans="1:20">
      <c r="A293" s="29">
        <f t="shared" si="27"/>
        <v>1303009</v>
      </c>
      <c r="B293" s="29">
        <v>1303</v>
      </c>
      <c r="C293" s="29" t="s">
        <v>786</v>
      </c>
      <c r="D293" s="29"/>
      <c r="E293" s="25">
        <v>1</v>
      </c>
      <c r="F293" s="29">
        <v>9</v>
      </c>
      <c r="G293" s="12"/>
      <c r="H293" s="12"/>
      <c r="I293" s="29" t="s">
        <v>764</v>
      </c>
      <c r="J293" s="30">
        <v>900</v>
      </c>
      <c r="K293" s="30"/>
      <c r="L293" s="15" t="s">
        <v>751</v>
      </c>
      <c r="P293" s="31"/>
      <c r="Q293" s="31"/>
      <c r="R293" s="6"/>
      <c r="S293" s="32">
        <v>16</v>
      </c>
      <c r="T293" s="34" t="s">
        <v>134</v>
      </c>
    </row>
    <row r="294" s="12" customFormat="1" customHeight="1" spans="1:20">
      <c r="A294" s="29">
        <f t="shared" si="27"/>
        <v>1303010</v>
      </c>
      <c r="B294" s="29">
        <v>1303</v>
      </c>
      <c r="C294" s="29" t="s">
        <v>786</v>
      </c>
      <c r="D294" s="29"/>
      <c r="E294" s="25">
        <v>1</v>
      </c>
      <c r="F294" s="29">
        <v>10</v>
      </c>
      <c r="G294" s="12"/>
      <c r="H294" s="12"/>
      <c r="I294" s="29" t="s">
        <v>766</v>
      </c>
      <c r="J294" s="30">
        <v>1000</v>
      </c>
      <c r="K294" s="30"/>
      <c r="L294" s="15" t="s">
        <v>751</v>
      </c>
      <c r="P294" s="31"/>
      <c r="Q294" s="31"/>
      <c r="R294" s="6"/>
      <c r="S294" s="32">
        <v>18</v>
      </c>
      <c r="T294" s="34" t="s">
        <v>136</v>
      </c>
    </row>
    <row r="295" s="13" customFormat="1" customHeight="1" spans="1:20">
      <c r="A295" s="29">
        <f t="shared" ref="A295:A304" si="28">B295*1000+F295</f>
        <v>1303011</v>
      </c>
      <c r="B295" s="29">
        <v>1303</v>
      </c>
      <c r="C295" s="29" t="s">
        <v>786</v>
      </c>
      <c r="D295" s="29"/>
      <c r="E295" s="25">
        <v>1</v>
      </c>
      <c r="F295" s="29">
        <v>11</v>
      </c>
      <c r="G295" s="12"/>
      <c r="H295" s="12"/>
      <c r="I295" s="29" t="s">
        <v>768</v>
      </c>
      <c r="J295" s="30">
        <v>1100</v>
      </c>
      <c r="K295" s="30"/>
      <c r="L295" s="15" t="s">
        <v>751</v>
      </c>
      <c r="M295" s="12"/>
      <c r="N295" s="12"/>
      <c r="O295" s="12"/>
      <c r="P295" s="31"/>
      <c r="Q295" s="31"/>
      <c r="R295" s="6"/>
      <c r="S295" s="32">
        <v>20</v>
      </c>
      <c r="T295" s="34" t="s">
        <v>139</v>
      </c>
    </row>
    <row r="296" s="13" customFormat="1" customHeight="1" spans="1:20">
      <c r="A296" s="29">
        <f t="shared" si="28"/>
        <v>1303012</v>
      </c>
      <c r="B296" s="29">
        <v>1303</v>
      </c>
      <c r="C296" s="29" t="s">
        <v>786</v>
      </c>
      <c r="D296" s="29"/>
      <c r="E296" s="25">
        <v>1</v>
      </c>
      <c r="F296" s="29">
        <v>12</v>
      </c>
      <c r="G296" s="12"/>
      <c r="H296" s="12"/>
      <c r="I296" s="29" t="s">
        <v>770</v>
      </c>
      <c r="J296" s="30">
        <v>1200</v>
      </c>
      <c r="K296" s="30"/>
      <c r="L296" s="15" t="s">
        <v>751</v>
      </c>
      <c r="M296" s="12"/>
      <c r="N296" s="12"/>
      <c r="O296" s="12"/>
      <c r="P296" s="31"/>
      <c r="Q296" s="31"/>
      <c r="R296" s="6"/>
      <c r="S296" s="32">
        <v>22</v>
      </c>
      <c r="T296" s="34" t="s">
        <v>141</v>
      </c>
    </row>
    <row r="297" s="13" customFormat="1" customHeight="1" spans="1:20">
      <c r="A297" s="29">
        <f t="shared" si="28"/>
        <v>1303013</v>
      </c>
      <c r="B297" s="29">
        <v>1303</v>
      </c>
      <c r="C297" s="29" t="s">
        <v>786</v>
      </c>
      <c r="D297" s="29"/>
      <c r="E297" s="25">
        <v>1</v>
      </c>
      <c r="F297" s="29">
        <v>13</v>
      </c>
      <c r="G297" s="12"/>
      <c r="H297" s="12"/>
      <c r="I297" s="29" t="s">
        <v>772</v>
      </c>
      <c r="J297" s="30">
        <v>1300</v>
      </c>
      <c r="K297" s="30"/>
      <c r="L297" s="15" t="s">
        <v>751</v>
      </c>
      <c r="M297" s="12"/>
      <c r="N297" s="12"/>
      <c r="O297" s="12"/>
      <c r="P297" s="31"/>
      <c r="Q297" s="31"/>
      <c r="R297" s="6"/>
      <c r="S297" s="32">
        <v>24</v>
      </c>
      <c r="T297" s="34" t="s">
        <v>143</v>
      </c>
    </row>
    <row r="298" s="13" customFormat="1" customHeight="1" spans="1:20">
      <c r="A298" s="29">
        <f t="shared" si="28"/>
        <v>1303014</v>
      </c>
      <c r="B298" s="29">
        <v>1303</v>
      </c>
      <c r="C298" s="29" t="s">
        <v>786</v>
      </c>
      <c r="D298" s="29"/>
      <c r="E298" s="25">
        <v>1</v>
      </c>
      <c r="F298" s="29">
        <v>14</v>
      </c>
      <c r="G298" s="12"/>
      <c r="H298" s="12"/>
      <c r="I298" s="29" t="s">
        <v>774</v>
      </c>
      <c r="J298" s="30">
        <v>1400</v>
      </c>
      <c r="K298" s="30"/>
      <c r="L298" s="15" t="s">
        <v>751</v>
      </c>
      <c r="M298" s="12"/>
      <c r="N298" s="12"/>
      <c r="O298" s="12"/>
      <c r="P298" s="31"/>
      <c r="Q298" s="31"/>
      <c r="R298" s="6"/>
      <c r="S298" s="32">
        <v>26</v>
      </c>
      <c r="T298" s="34" t="s">
        <v>146</v>
      </c>
    </row>
    <row r="299" s="13" customFormat="1" customHeight="1" spans="1:20">
      <c r="A299" s="29">
        <f t="shared" si="28"/>
        <v>1303015</v>
      </c>
      <c r="B299" s="29">
        <v>1303</v>
      </c>
      <c r="C299" s="29" t="s">
        <v>786</v>
      </c>
      <c r="D299" s="29"/>
      <c r="E299" s="25">
        <v>1</v>
      </c>
      <c r="F299" s="29">
        <v>15</v>
      </c>
      <c r="G299" s="12"/>
      <c r="H299" s="12"/>
      <c r="I299" s="29" t="s">
        <v>775</v>
      </c>
      <c r="J299" s="30">
        <v>1500</v>
      </c>
      <c r="K299" s="30"/>
      <c r="L299" s="15" t="s">
        <v>751</v>
      </c>
      <c r="M299" s="12"/>
      <c r="N299" s="12"/>
      <c r="O299" s="12"/>
      <c r="P299" s="31"/>
      <c r="Q299" s="31"/>
      <c r="R299" s="6" t="s">
        <v>785</v>
      </c>
      <c r="S299" s="32">
        <v>28</v>
      </c>
      <c r="T299" s="34" t="s">
        <v>148</v>
      </c>
    </row>
    <row r="300" s="13" customFormat="1" customHeight="1" spans="1:20">
      <c r="A300" s="29">
        <f t="shared" si="28"/>
        <v>1303016</v>
      </c>
      <c r="B300" s="29">
        <v>1303</v>
      </c>
      <c r="C300" s="29" t="s">
        <v>786</v>
      </c>
      <c r="D300" s="29"/>
      <c r="E300" s="25">
        <v>1</v>
      </c>
      <c r="F300" s="29">
        <v>16</v>
      </c>
      <c r="G300" s="12"/>
      <c r="H300" s="12"/>
      <c r="I300" s="29" t="s">
        <v>776</v>
      </c>
      <c r="J300" s="30">
        <v>1600</v>
      </c>
      <c r="K300" s="30"/>
      <c r="L300" s="15" t="s">
        <v>751</v>
      </c>
      <c r="M300" s="12"/>
      <c r="N300" s="12"/>
      <c r="O300" s="12"/>
      <c r="P300" s="31"/>
      <c r="Q300" s="31"/>
      <c r="R300" s="6" t="s">
        <v>785</v>
      </c>
      <c r="S300" s="32">
        <v>30</v>
      </c>
      <c r="T300" s="34" t="s">
        <v>150</v>
      </c>
    </row>
    <row r="301" s="13" customFormat="1" customHeight="1" spans="1:20">
      <c r="A301" s="29">
        <f t="shared" si="28"/>
        <v>1303017</v>
      </c>
      <c r="B301" s="29">
        <v>1303</v>
      </c>
      <c r="C301" s="29" t="s">
        <v>786</v>
      </c>
      <c r="D301" s="29"/>
      <c r="E301" s="25">
        <v>1</v>
      </c>
      <c r="F301" s="29">
        <v>17</v>
      </c>
      <c r="G301" s="12"/>
      <c r="H301" s="12"/>
      <c r="I301" s="29" t="s">
        <v>777</v>
      </c>
      <c r="J301" s="30">
        <v>1700</v>
      </c>
      <c r="K301" s="30"/>
      <c r="L301" s="15" t="s">
        <v>751</v>
      </c>
      <c r="M301" s="12"/>
      <c r="N301" s="12"/>
      <c r="O301" s="12"/>
      <c r="P301" s="31"/>
      <c r="Q301" s="31"/>
      <c r="R301" s="6" t="s">
        <v>785</v>
      </c>
      <c r="S301" s="32">
        <v>32</v>
      </c>
      <c r="T301" s="34" t="s">
        <v>152</v>
      </c>
    </row>
    <row r="302" s="13" customFormat="1" customHeight="1" spans="1:20">
      <c r="A302" s="29">
        <f t="shared" si="28"/>
        <v>1303018</v>
      </c>
      <c r="B302" s="29">
        <v>1303</v>
      </c>
      <c r="C302" s="29" t="s">
        <v>786</v>
      </c>
      <c r="D302" s="29"/>
      <c r="E302" s="25">
        <v>1</v>
      </c>
      <c r="F302" s="29">
        <v>18</v>
      </c>
      <c r="G302" s="12"/>
      <c r="H302" s="12"/>
      <c r="I302" s="29" t="s">
        <v>778</v>
      </c>
      <c r="J302" s="30">
        <v>1800</v>
      </c>
      <c r="K302" s="30"/>
      <c r="L302" s="15" t="s">
        <v>751</v>
      </c>
      <c r="M302" s="12"/>
      <c r="N302" s="12"/>
      <c r="O302" s="12"/>
      <c r="P302" s="31"/>
      <c r="Q302" s="31"/>
      <c r="R302" s="6" t="s">
        <v>785</v>
      </c>
      <c r="S302" s="32">
        <v>34</v>
      </c>
      <c r="T302" s="34" t="s">
        <v>154</v>
      </c>
    </row>
    <row r="303" s="13" customFormat="1" customHeight="1" spans="1:20">
      <c r="A303" s="29">
        <f t="shared" si="28"/>
        <v>1303019</v>
      </c>
      <c r="B303" s="29">
        <v>1303</v>
      </c>
      <c r="C303" s="29" t="s">
        <v>786</v>
      </c>
      <c r="D303" s="29"/>
      <c r="E303" s="25">
        <v>1</v>
      </c>
      <c r="F303" s="29">
        <v>19</v>
      </c>
      <c r="G303" s="12"/>
      <c r="H303" s="12"/>
      <c r="I303" s="29" t="s">
        <v>779</v>
      </c>
      <c r="J303" s="30">
        <v>1900</v>
      </c>
      <c r="K303" s="30"/>
      <c r="L303" s="15" t="s">
        <v>751</v>
      </c>
      <c r="M303" s="12"/>
      <c r="N303" s="12"/>
      <c r="O303" s="12"/>
      <c r="P303" s="31"/>
      <c r="Q303" s="31"/>
      <c r="R303" s="6" t="s">
        <v>785</v>
      </c>
      <c r="S303" s="32">
        <v>36</v>
      </c>
      <c r="T303" s="34" t="s">
        <v>156</v>
      </c>
    </row>
    <row r="304" s="13" customFormat="1" customHeight="1" spans="1:20">
      <c r="A304" s="29">
        <f t="shared" si="28"/>
        <v>1303020</v>
      </c>
      <c r="B304" s="29">
        <v>1303</v>
      </c>
      <c r="C304" s="29" t="s">
        <v>786</v>
      </c>
      <c r="D304" s="29"/>
      <c r="E304" s="25">
        <v>1</v>
      </c>
      <c r="F304" s="29">
        <v>20</v>
      </c>
      <c r="G304" s="12"/>
      <c r="H304" s="12"/>
      <c r="I304" s="29" t="s">
        <v>780</v>
      </c>
      <c r="J304" s="30">
        <v>2000</v>
      </c>
      <c r="K304" s="30"/>
      <c r="L304" s="15" t="s">
        <v>751</v>
      </c>
      <c r="M304" s="12"/>
      <c r="N304" s="12"/>
      <c r="O304" s="12"/>
      <c r="P304" s="31"/>
      <c r="Q304" s="31"/>
      <c r="R304" s="6" t="s">
        <v>785</v>
      </c>
      <c r="S304" s="32">
        <v>38</v>
      </c>
      <c r="T304" s="34" t="s">
        <v>158</v>
      </c>
    </row>
    <row r="305" customHeight="1" spans="1:20">
      <c r="A305" s="25">
        <f t="shared" ref="A305:A314" si="29">B305*1000+F305</f>
        <v>1304001</v>
      </c>
      <c r="B305" s="25">
        <v>1304</v>
      </c>
      <c r="C305" s="25" t="s">
        <v>788</v>
      </c>
      <c r="D305" s="25"/>
      <c r="E305" s="25">
        <v>1</v>
      </c>
      <c r="F305" s="25">
        <v>1</v>
      </c>
      <c r="I305" s="25" t="s">
        <v>750</v>
      </c>
      <c r="J305" s="15">
        <v>100</v>
      </c>
      <c r="K305" s="15"/>
      <c r="L305" s="15" t="s">
        <v>751</v>
      </c>
      <c r="R305" s="5" t="s">
        <v>789</v>
      </c>
      <c r="S305" s="27">
        <v>1</v>
      </c>
      <c r="T305" s="28" t="s">
        <v>108</v>
      </c>
    </row>
    <row r="306" customHeight="1" spans="1:20">
      <c r="A306" s="25">
        <f t="shared" si="29"/>
        <v>1304002</v>
      </c>
      <c r="B306" s="25">
        <v>1304</v>
      </c>
      <c r="C306" s="25" t="s">
        <v>788</v>
      </c>
      <c r="D306" s="25"/>
      <c r="E306" s="25">
        <v>1</v>
      </c>
      <c r="F306" s="25">
        <v>2</v>
      </c>
      <c r="I306" s="25" t="s">
        <v>755</v>
      </c>
      <c r="J306" s="15">
        <v>200</v>
      </c>
      <c r="K306" s="15"/>
      <c r="L306" s="15" t="s">
        <v>751</v>
      </c>
      <c r="R306" s="5">
        <v>1304254</v>
      </c>
      <c r="S306" s="27">
        <v>2</v>
      </c>
      <c r="T306" s="28" t="s">
        <v>114</v>
      </c>
    </row>
    <row r="307" customHeight="1" spans="1:20">
      <c r="A307" s="25">
        <f t="shared" si="29"/>
        <v>1304003</v>
      </c>
      <c r="B307" s="25">
        <v>1304</v>
      </c>
      <c r="C307" s="25" t="s">
        <v>788</v>
      </c>
      <c r="D307" s="25"/>
      <c r="E307" s="25">
        <v>1</v>
      </c>
      <c r="F307" s="25">
        <v>3</v>
      </c>
      <c r="I307" s="25" t="s">
        <v>757</v>
      </c>
      <c r="J307" s="15">
        <v>300</v>
      </c>
      <c r="K307" s="15"/>
      <c r="L307" s="15" t="s">
        <v>751</v>
      </c>
      <c r="R307" s="5">
        <v>1304255</v>
      </c>
      <c r="S307" s="27">
        <v>4</v>
      </c>
      <c r="T307" s="28" t="s">
        <v>119</v>
      </c>
    </row>
    <row r="308" customHeight="1" spans="1:20">
      <c r="A308" s="25">
        <f t="shared" si="29"/>
        <v>1304004</v>
      </c>
      <c r="B308" s="25">
        <v>1304</v>
      </c>
      <c r="C308" s="25" t="s">
        <v>788</v>
      </c>
      <c r="D308" s="25"/>
      <c r="E308" s="25">
        <v>1</v>
      </c>
      <c r="F308" s="25">
        <v>4</v>
      </c>
      <c r="I308" s="25" t="s">
        <v>758</v>
      </c>
      <c r="J308" s="15">
        <v>400</v>
      </c>
      <c r="K308" s="15"/>
      <c r="L308" s="15" t="s">
        <v>751</v>
      </c>
      <c r="R308" s="5">
        <v>1304256</v>
      </c>
      <c r="S308" s="27">
        <v>6</v>
      </c>
      <c r="T308" s="28" t="s">
        <v>123</v>
      </c>
    </row>
    <row r="309" customHeight="1" spans="1:20">
      <c r="A309" s="25">
        <f t="shared" si="29"/>
        <v>1304005</v>
      </c>
      <c r="B309" s="25">
        <v>1304</v>
      </c>
      <c r="C309" s="25" t="s">
        <v>788</v>
      </c>
      <c r="D309" s="25"/>
      <c r="E309" s="25">
        <v>1</v>
      </c>
      <c r="F309" s="25">
        <v>5</v>
      </c>
      <c r="I309" s="25" t="s">
        <v>759</v>
      </c>
      <c r="J309" s="15">
        <v>500</v>
      </c>
      <c r="K309" s="15"/>
      <c r="L309" s="15" t="s">
        <v>751</v>
      </c>
      <c r="R309" s="5">
        <v>1304257</v>
      </c>
      <c r="S309" s="27">
        <v>8</v>
      </c>
      <c r="T309" s="28" t="s">
        <v>125</v>
      </c>
    </row>
    <row r="310" customHeight="1" spans="1:20">
      <c r="A310" s="25">
        <f t="shared" si="29"/>
        <v>1304006</v>
      </c>
      <c r="B310" s="25">
        <v>1304</v>
      </c>
      <c r="C310" s="25" t="s">
        <v>788</v>
      </c>
      <c r="D310" s="25"/>
      <c r="E310" s="25">
        <v>1</v>
      </c>
      <c r="F310" s="25">
        <v>6</v>
      </c>
      <c r="I310" s="25" t="s">
        <v>760</v>
      </c>
      <c r="J310" s="15">
        <v>600</v>
      </c>
      <c r="K310" s="15"/>
      <c r="L310" s="15" t="s">
        <v>751</v>
      </c>
      <c r="R310" s="5">
        <v>1304258</v>
      </c>
      <c r="S310" s="27">
        <v>10</v>
      </c>
      <c r="T310" s="28" t="s">
        <v>127</v>
      </c>
    </row>
    <row r="311" customHeight="1" spans="1:20">
      <c r="A311" s="25">
        <f t="shared" si="29"/>
        <v>1304007</v>
      </c>
      <c r="B311" s="25">
        <v>1304</v>
      </c>
      <c r="C311" s="25" t="s">
        <v>788</v>
      </c>
      <c r="D311" s="25"/>
      <c r="E311" s="25">
        <v>1</v>
      </c>
      <c r="F311" s="25">
        <v>7</v>
      </c>
      <c r="I311" s="25" t="s">
        <v>761</v>
      </c>
      <c r="J311" s="15">
        <v>700</v>
      </c>
      <c r="K311" s="15"/>
      <c r="L311" s="15" t="s">
        <v>751</v>
      </c>
      <c r="S311" s="27">
        <v>12</v>
      </c>
      <c r="T311" s="28" t="s">
        <v>129</v>
      </c>
    </row>
    <row r="312" customHeight="1" spans="1:20">
      <c r="A312" s="25">
        <f t="shared" si="29"/>
        <v>1304008</v>
      </c>
      <c r="B312" s="25">
        <v>1304</v>
      </c>
      <c r="C312" s="25" t="s">
        <v>788</v>
      </c>
      <c r="D312" s="25"/>
      <c r="E312" s="25">
        <v>1</v>
      </c>
      <c r="F312" s="25">
        <v>8</v>
      </c>
      <c r="I312" s="25" t="s">
        <v>762</v>
      </c>
      <c r="J312" s="15">
        <v>800</v>
      </c>
      <c r="K312" s="15"/>
      <c r="L312" s="15" t="s">
        <v>751</v>
      </c>
      <c r="S312" s="27">
        <v>14</v>
      </c>
      <c r="T312" s="28" t="s">
        <v>132</v>
      </c>
    </row>
    <row r="313" customHeight="1" spans="1:20">
      <c r="A313" s="25">
        <f t="shared" si="29"/>
        <v>1304009</v>
      </c>
      <c r="B313" s="25">
        <v>1304</v>
      </c>
      <c r="C313" s="25" t="s">
        <v>788</v>
      </c>
      <c r="D313" s="25"/>
      <c r="E313" s="25">
        <v>1</v>
      </c>
      <c r="F313" s="25">
        <v>9</v>
      </c>
      <c r="I313" s="25" t="s">
        <v>764</v>
      </c>
      <c r="J313" s="15">
        <v>900</v>
      </c>
      <c r="K313" s="15"/>
      <c r="L313" s="15" t="s">
        <v>751</v>
      </c>
      <c r="S313" s="27">
        <v>16</v>
      </c>
      <c r="T313" s="28" t="s">
        <v>134</v>
      </c>
    </row>
    <row r="314" customHeight="1" spans="1:20">
      <c r="A314" s="25">
        <f t="shared" si="29"/>
        <v>1304010</v>
      </c>
      <c r="B314" s="25">
        <v>1304</v>
      </c>
      <c r="C314" s="25" t="s">
        <v>788</v>
      </c>
      <c r="D314" s="25"/>
      <c r="E314" s="25">
        <v>1</v>
      </c>
      <c r="F314" s="25">
        <v>10</v>
      </c>
      <c r="I314" s="25" t="s">
        <v>766</v>
      </c>
      <c r="J314" s="15">
        <v>1000</v>
      </c>
      <c r="K314" s="15"/>
      <c r="L314" s="15" t="s">
        <v>751</v>
      </c>
      <c r="S314" s="27">
        <v>18</v>
      </c>
      <c r="T314" s="28" t="s">
        <v>136</v>
      </c>
    </row>
    <row r="315" customHeight="1" spans="1:20">
      <c r="A315" s="25">
        <f t="shared" ref="A315:A346" si="30">B315*1000+F315</f>
        <v>1304011</v>
      </c>
      <c r="B315" s="25">
        <v>1304</v>
      </c>
      <c r="C315" s="25" t="s">
        <v>788</v>
      </c>
      <c r="D315" s="25"/>
      <c r="E315" s="25">
        <v>1</v>
      </c>
      <c r="F315" s="25">
        <v>11</v>
      </c>
      <c r="I315" s="25" t="s">
        <v>768</v>
      </c>
      <c r="J315" s="15">
        <v>1100</v>
      </c>
      <c r="K315" s="15"/>
      <c r="L315" s="15" t="s">
        <v>751</v>
      </c>
      <c r="R315" s="5" t="s">
        <v>785</v>
      </c>
      <c r="S315" s="27">
        <v>20</v>
      </c>
      <c r="T315" s="28" t="s">
        <v>139</v>
      </c>
    </row>
    <row r="316" customHeight="1" spans="1:20">
      <c r="A316" s="25">
        <f t="shared" si="30"/>
        <v>1304012</v>
      </c>
      <c r="B316" s="25">
        <v>1304</v>
      </c>
      <c r="C316" s="25" t="s">
        <v>788</v>
      </c>
      <c r="D316" s="25"/>
      <c r="E316" s="25">
        <v>1</v>
      </c>
      <c r="F316" s="25">
        <v>12</v>
      </c>
      <c r="I316" s="25" t="s">
        <v>770</v>
      </c>
      <c r="J316" s="15">
        <v>1200</v>
      </c>
      <c r="K316" s="15"/>
      <c r="L316" s="15" t="s">
        <v>751</v>
      </c>
      <c r="R316" s="5" t="s">
        <v>785</v>
      </c>
      <c r="S316" s="27">
        <v>22</v>
      </c>
      <c r="T316" s="28" t="s">
        <v>141</v>
      </c>
    </row>
    <row r="317" customHeight="1" spans="1:20">
      <c r="A317" s="25">
        <f t="shared" si="30"/>
        <v>1304013</v>
      </c>
      <c r="B317" s="25">
        <v>1304</v>
      </c>
      <c r="C317" s="25" t="s">
        <v>788</v>
      </c>
      <c r="D317" s="25"/>
      <c r="E317" s="25">
        <v>1</v>
      </c>
      <c r="F317" s="25">
        <v>13</v>
      </c>
      <c r="I317" s="25" t="s">
        <v>772</v>
      </c>
      <c r="J317" s="15">
        <v>1300</v>
      </c>
      <c r="K317" s="15"/>
      <c r="L317" s="15" t="s">
        <v>751</v>
      </c>
      <c r="R317" s="5" t="s">
        <v>785</v>
      </c>
      <c r="S317" s="27">
        <v>24</v>
      </c>
      <c r="T317" s="28" t="s">
        <v>143</v>
      </c>
    </row>
    <row r="318" customHeight="1" spans="1:20">
      <c r="A318" s="25">
        <f t="shared" si="30"/>
        <v>1304014</v>
      </c>
      <c r="B318" s="25">
        <v>1304</v>
      </c>
      <c r="C318" s="25" t="s">
        <v>788</v>
      </c>
      <c r="D318" s="25"/>
      <c r="E318" s="25">
        <v>1</v>
      </c>
      <c r="F318" s="25">
        <v>14</v>
      </c>
      <c r="I318" s="25" t="s">
        <v>774</v>
      </c>
      <c r="J318" s="15">
        <v>1400</v>
      </c>
      <c r="K318" s="15"/>
      <c r="L318" s="15" t="s">
        <v>751</v>
      </c>
      <c r="R318" s="5" t="s">
        <v>785</v>
      </c>
      <c r="S318" s="27">
        <v>26</v>
      </c>
      <c r="T318" s="28" t="s">
        <v>146</v>
      </c>
    </row>
    <row r="319" customHeight="1" spans="1:20">
      <c r="A319" s="25">
        <f t="shared" si="30"/>
        <v>1304015</v>
      </c>
      <c r="B319" s="25">
        <v>1304</v>
      </c>
      <c r="C319" s="25" t="s">
        <v>788</v>
      </c>
      <c r="D319" s="25"/>
      <c r="E319" s="25">
        <v>1</v>
      </c>
      <c r="F319" s="25">
        <v>15</v>
      </c>
      <c r="I319" s="25" t="s">
        <v>775</v>
      </c>
      <c r="J319" s="15">
        <v>1500</v>
      </c>
      <c r="K319" s="15"/>
      <c r="L319" s="15" t="s">
        <v>751</v>
      </c>
      <c r="R319" s="5" t="s">
        <v>785</v>
      </c>
      <c r="S319" s="27">
        <v>28</v>
      </c>
      <c r="T319" s="28" t="s">
        <v>148</v>
      </c>
    </row>
    <row r="320" customHeight="1" spans="1:20">
      <c r="A320" s="25">
        <f t="shared" si="30"/>
        <v>1304016</v>
      </c>
      <c r="B320" s="25">
        <v>1304</v>
      </c>
      <c r="C320" s="25" t="s">
        <v>788</v>
      </c>
      <c r="D320" s="25"/>
      <c r="E320" s="25">
        <v>1</v>
      </c>
      <c r="F320" s="25">
        <v>16</v>
      </c>
      <c r="I320" s="25" t="s">
        <v>776</v>
      </c>
      <c r="J320" s="15">
        <v>1600</v>
      </c>
      <c r="K320" s="15"/>
      <c r="L320" s="15" t="s">
        <v>751</v>
      </c>
      <c r="R320" s="5" t="s">
        <v>785</v>
      </c>
      <c r="S320" s="27">
        <v>30</v>
      </c>
      <c r="T320" s="28" t="s">
        <v>150</v>
      </c>
    </row>
    <row r="321" customHeight="1" spans="1:20">
      <c r="A321" s="25">
        <f t="shared" si="30"/>
        <v>1304017</v>
      </c>
      <c r="B321" s="25">
        <v>1304</v>
      </c>
      <c r="C321" s="25" t="s">
        <v>788</v>
      </c>
      <c r="D321" s="25"/>
      <c r="E321" s="25">
        <v>1</v>
      </c>
      <c r="F321" s="25">
        <v>17</v>
      </c>
      <c r="I321" s="25" t="s">
        <v>777</v>
      </c>
      <c r="J321" s="15">
        <v>1700</v>
      </c>
      <c r="K321" s="15"/>
      <c r="L321" s="15" t="s">
        <v>751</v>
      </c>
      <c r="R321" s="5" t="s">
        <v>785</v>
      </c>
      <c r="S321" s="27">
        <v>32</v>
      </c>
      <c r="T321" s="28" t="s">
        <v>152</v>
      </c>
    </row>
    <row r="322" customHeight="1" spans="1:20">
      <c r="A322" s="25">
        <f t="shared" si="30"/>
        <v>1304018</v>
      </c>
      <c r="B322" s="25">
        <v>1304</v>
      </c>
      <c r="C322" s="25" t="s">
        <v>788</v>
      </c>
      <c r="D322" s="25"/>
      <c r="E322" s="25">
        <v>1</v>
      </c>
      <c r="F322" s="25">
        <v>18</v>
      </c>
      <c r="I322" s="25" t="s">
        <v>778</v>
      </c>
      <c r="J322" s="15">
        <v>1800</v>
      </c>
      <c r="K322" s="15"/>
      <c r="L322" s="15" t="s">
        <v>751</v>
      </c>
      <c r="R322" s="5" t="s">
        <v>785</v>
      </c>
      <c r="S322" s="27">
        <v>34</v>
      </c>
      <c r="T322" s="28" t="s">
        <v>154</v>
      </c>
    </row>
    <row r="323" customHeight="1" spans="1:20">
      <c r="A323" s="25">
        <f t="shared" si="30"/>
        <v>1304019</v>
      </c>
      <c r="B323" s="25">
        <v>1304</v>
      </c>
      <c r="C323" s="25" t="s">
        <v>788</v>
      </c>
      <c r="D323" s="25"/>
      <c r="E323" s="25">
        <v>1</v>
      </c>
      <c r="F323" s="25">
        <v>19</v>
      </c>
      <c r="I323" s="25" t="s">
        <v>779</v>
      </c>
      <c r="J323" s="15">
        <v>1900</v>
      </c>
      <c r="K323" s="15"/>
      <c r="L323" s="15" t="s">
        <v>751</v>
      </c>
      <c r="R323" s="5" t="s">
        <v>785</v>
      </c>
      <c r="S323" s="27">
        <v>36</v>
      </c>
      <c r="T323" s="28" t="s">
        <v>156</v>
      </c>
    </row>
    <row r="324" customHeight="1" spans="1:20">
      <c r="A324" s="25">
        <f t="shared" si="30"/>
        <v>1304020</v>
      </c>
      <c r="B324" s="25">
        <v>1304</v>
      </c>
      <c r="C324" s="25" t="s">
        <v>788</v>
      </c>
      <c r="D324" s="25"/>
      <c r="E324" s="25">
        <v>1</v>
      </c>
      <c r="F324" s="25">
        <v>20</v>
      </c>
      <c r="I324" s="25" t="s">
        <v>780</v>
      </c>
      <c r="J324" s="15">
        <v>2000</v>
      </c>
      <c r="K324" s="15"/>
      <c r="L324" s="15" t="s">
        <v>751</v>
      </c>
      <c r="R324" s="5" t="s">
        <v>785</v>
      </c>
      <c r="S324" s="27">
        <v>38</v>
      </c>
      <c r="T324" s="28" t="s">
        <v>158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790</v>
      </c>
      <c r="C1" t="s">
        <v>791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792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793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37"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20">
      <c r="G17">
        <v>1101111</v>
      </c>
      <c r="J17" s="4">
        <v>11011111</v>
      </c>
    </row>
    <row r="18" ht="16.5" spans="7:20">
      <c r="G18">
        <v>1101112</v>
      </c>
      <c r="J18" s="4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5">
        <v>1102266</v>
      </c>
      <c r="H25" s="5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5">
        <v>1102267</v>
      </c>
      <c r="H26" s="5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5">
        <v>1102268</v>
      </c>
      <c r="H27" s="5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5">
        <v>1102269</v>
      </c>
      <c r="H28" s="5">
        <v>1102274</v>
      </c>
      <c r="O28">
        <v>1102105</v>
      </c>
      <c r="T28">
        <f t="shared" si="0"/>
        <v>11021051</v>
      </c>
    </row>
    <row r="29" ht="16.5" spans="7:20">
      <c r="G29" s="5">
        <v>1102270</v>
      </c>
      <c r="H29" s="5">
        <v>1102275</v>
      </c>
      <c r="O29">
        <v>1102106</v>
      </c>
      <c r="T29">
        <f t="shared" si="0"/>
        <v>11021061</v>
      </c>
    </row>
    <row r="30" ht="16.5" spans="7:20">
      <c r="H30" s="5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6">
        <v>1103266</v>
      </c>
      <c r="H34" s="7">
        <v>1103271</v>
      </c>
      <c r="O34">
        <v>1102117</v>
      </c>
      <c r="T34">
        <f t="shared" si="0"/>
        <v>11021171</v>
      </c>
    </row>
    <row r="35" ht="16.5" spans="7:20">
      <c r="G35" s="6">
        <v>1103267</v>
      </c>
      <c r="H35" s="7">
        <v>1103272</v>
      </c>
      <c r="O35">
        <v>1102118</v>
      </c>
      <c r="T35">
        <f t="shared" si="0"/>
        <v>11021181</v>
      </c>
    </row>
    <row r="36" ht="16.5" spans="7:20">
      <c r="G36" s="6">
        <v>1103268</v>
      </c>
      <c r="H36" s="7">
        <v>1103273</v>
      </c>
    </row>
    <row r="37" ht="16.5" spans="7:20">
      <c r="G37" s="7">
        <v>1103269</v>
      </c>
      <c r="H37" s="7">
        <v>1103274</v>
      </c>
    </row>
    <row r="38" ht="16.5" spans="7:20">
      <c r="G38" s="7">
        <v>1103270</v>
      </c>
      <c r="H38" s="7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5">
        <v>1104263</v>
      </c>
      <c r="H41" s="5">
        <v>1104268</v>
      </c>
    </row>
    <row r="42" ht="16.5" spans="7:20">
      <c r="G42" s="5">
        <v>1104264</v>
      </c>
      <c r="H42" s="5">
        <v>1104269</v>
      </c>
    </row>
    <row r="43" ht="16.5" spans="7:20">
      <c r="G43" s="5">
        <v>1104265</v>
      </c>
      <c r="H43" s="5">
        <v>1104270</v>
      </c>
    </row>
    <row r="44" ht="16.5" spans="7:20">
      <c r="G44" s="5">
        <v>1104266</v>
      </c>
      <c r="H44" s="5">
        <v>1104271</v>
      </c>
    </row>
    <row r="45" ht="16.5" spans="7:20">
      <c r="G45" s="5">
        <v>1104267</v>
      </c>
      <c r="H45" s="5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3"/>
        <v>11071051</v>
      </c>
      <c r="R67" s="6">
        <v>1107263</v>
      </c>
      <c r="S67" s="6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7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7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7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7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7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7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7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7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5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256"/>
  <sheetViews>
    <sheetView topLeftCell="A217" workbookViewId="0">
      <selection activeCell="I242" sqref="I242:J242"/>
    </sheetView>
  </sheetViews>
  <sheetFormatPr defaultColWidth="9" defaultRowHeight="13.5"/>
  <cols>
    <col min="3" max="3" width="9.375"/>
    <col min="8" max="8" width="9.375"/>
  </cols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12">
      <c r="A145">
        <v>1102266</v>
      </c>
      <c r="B145">
        <v>1102287</v>
      </c>
      <c r="D145">
        <v>1102286</v>
      </c>
      <c r="E145">
        <v>1102279</v>
      </c>
    </row>
    <row r="146" spans="1:12">
      <c r="A146">
        <v>1102267</v>
      </c>
      <c r="B146">
        <v>1102288</v>
      </c>
    </row>
    <row r="147" spans="1:12">
      <c r="A147">
        <v>1102268</v>
      </c>
      <c r="B147">
        <v>1102289</v>
      </c>
    </row>
    <row r="148" spans="1:12">
      <c r="A148">
        <v>1102269</v>
      </c>
      <c r="B148">
        <v>1102290</v>
      </c>
    </row>
    <row r="149" spans="1:12">
      <c r="A149">
        <v>1102270</v>
      </c>
      <c r="B149">
        <v>1102291</v>
      </c>
    </row>
    <row r="150" spans="1:12">
      <c r="A150">
        <v>1102271</v>
      </c>
      <c r="B150">
        <v>1102292</v>
      </c>
    </row>
    <row r="151" spans="1:12">
      <c r="B151">
        <v>1102293</v>
      </c>
    </row>
    <row r="152" spans="1:12">
      <c r="B152">
        <v>1102294</v>
      </c>
    </row>
    <row r="153" spans="1:12">
      <c r="B153">
        <v>1102295</v>
      </c>
    </row>
    <row r="154" spans="1:12">
      <c r="B154">
        <v>1102296</v>
      </c>
    </row>
    <row r="159" spans="1:12">
      <c r="B159" t="str">
        <f>_xlfn.TEXTJOIN("_",TRUE,B160:B175)</f>
        <v>1102101_1102102_1102104_1102105_1102109_1102110_1102111_1102113_1102114_1102116_1102117</v>
      </c>
      <c r="C159" t="str">
        <f>_xlfn.TEXTJOIN("_",TRUE,C160:C175)</f>
        <v>11021011_11021021_11021041_11021051_11021091_11021101_11021111_11021131_11021141_11021161_11021171</v>
      </c>
      <c r="H159" t="str">
        <f>_xlfn.TEXTJOIN("_",TRUE,H160:H196)</f>
        <v>1102251_1102252_1102253_1102254_1102255_1102256_1102257_1102258_1102259_1102260_1102261_1102263_1102264_1102265_1102266_1102267_1102268_1102271_1102274_1102275_1102276_1102277_1102278_1102279_1102280_1102281_1102282_1102283_1102284_1102285_1102286_1102293_1102295_1102296_1102297_1102298_1102299</v>
      </c>
      <c r="J159" t="str">
        <f t="shared" ref="J159:L159" si="1">_xlfn.TEXTJOIN("_",TRUE,J160:J175)</f>
        <v>1102272_1102273</v>
      </c>
      <c r="K159" t="str">
        <f t="shared" si="1"/>
        <v>1102262</v>
      </c>
      <c r="L159" t="str">
        <f t="shared" si="1"/>
        <v>1102287_1102288_1102289_1102290_1102291_1102292_1102294</v>
      </c>
    </row>
    <row r="160" spans="1:12">
      <c r="A160">
        <v>1102101</v>
      </c>
      <c r="B160">
        <v>1102101</v>
      </c>
      <c r="C160">
        <f>B160*10+1</f>
        <v>11021011</v>
      </c>
      <c r="E160">
        <v>1102251</v>
      </c>
      <c r="F160">
        <v>1102275</v>
      </c>
      <c r="H160">
        <v>1102251</v>
      </c>
      <c r="J160">
        <v>1102272</v>
      </c>
      <c r="K160">
        <v>1102262</v>
      </c>
      <c r="L160">
        <v>1102287</v>
      </c>
    </row>
    <row r="161" spans="1:12">
      <c r="A161">
        <v>1102102</v>
      </c>
      <c r="B161">
        <v>1102102</v>
      </c>
      <c r="C161">
        <f>B161*10+1</f>
        <v>11021021</v>
      </c>
      <c r="E161">
        <v>1102252</v>
      </c>
      <c r="F161">
        <v>1102276</v>
      </c>
      <c r="H161">
        <v>1102252</v>
      </c>
      <c r="J161">
        <v>1102273</v>
      </c>
      <c r="L161">
        <v>1102288</v>
      </c>
    </row>
    <row r="162" spans="1:12">
      <c r="A162">
        <v>1102103</v>
      </c>
      <c r="B162">
        <v>1102104</v>
      </c>
      <c r="C162">
        <f t="shared" ref="C162:C170" si="2">B162*10+1</f>
        <v>11021041</v>
      </c>
      <c r="E162">
        <v>1102253</v>
      </c>
      <c r="F162">
        <v>1102277</v>
      </c>
      <c r="H162">
        <v>1102253</v>
      </c>
      <c r="L162">
        <v>1102289</v>
      </c>
    </row>
    <row r="163" spans="1:12">
      <c r="A163">
        <v>1102104</v>
      </c>
      <c r="B163">
        <v>1102105</v>
      </c>
      <c r="C163">
        <f t="shared" si="2"/>
        <v>11021051</v>
      </c>
      <c r="E163">
        <v>1102254</v>
      </c>
      <c r="F163">
        <v>1102278</v>
      </c>
      <c r="H163">
        <v>1102254</v>
      </c>
      <c r="L163">
        <v>1102290</v>
      </c>
    </row>
    <row r="164" spans="1:12">
      <c r="A164">
        <v>1102105</v>
      </c>
      <c r="B164">
        <v>1102109</v>
      </c>
      <c r="C164">
        <f t="shared" si="2"/>
        <v>11021091</v>
      </c>
      <c r="E164">
        <v>1102255</v>
      </c>
      <c r="F164">
        <v>1102279</v>
      </c>
      <c r="H164">
        <v>1102255</v>
      </c>
      <c r="L164">
        <v>1102291</v>
      </c>
    </row>
    <row r="165" spans="1:12">
      <c r="A165">
        <v>1102106</v>
      </c>
      <c r="B165">
        <v>1102110</v>
      </c>
      <c r="C165">
        <f t="shared" si="2"/>
        <v>11021101</v>
      </c>
      <c r="E165">
        <v>1102256</v>
      </c>
      <c r="F165">
        <v>1102280</v>
      </c>
      <c r="H165">
        <v>1102256</v>
      </c>
      <c r="L165">
        <v>1102292</v>
      </c>
    </row>
    <row r="166" spans="1:12">
      <c r="A166">
        <v>1102107</v>
      </c>
      <c r="B166">
        <v>1102111</v>
      </c>
      <c r="C166">
        <f t="shared" si="2"/>
        <v>11021111</v>
      </c>
      <c r="E166">
        <v>1102257</v>
      </c>
      <c r="F166">
        <v>1102281</v>
      </c>
      <c r="H166">
        <v>1102257</v>
      </c>
      <c r="L166">
        <v>1102294</v>
      </c>
    </row>
    <row r="167" spans="1:12">
      <c r="A167">
        <v>1102108</v>
      </c>
      <c r="B167">
        <v>1102113</v>
      </c>
      <c r="C167">
        <f t="shared" si="2"/>
        <v>11021131</v>
      </c>
      <c r="E167">
        <v>1102258</v>
      </c>
      <c r="F167">
        <v>1102282</v>
      </c>
      <c r="H167">
        <v>1102258</v>
      </c>
    </row>
    <row r="168" spans="1:12">
      <c r="A168">
        <v>1102109</v>
      </c>
      <c r="B168">
        <v>1102114</v>
      </c>
      <c r="C168">
        <f t="shared" si="2"/>
        <v>11021141</v>
      </c>
      <c r="E168">
        <v>1102259</v>
      </c>
      <c r="F168">
        <v>1102283</v>
      </c>
      <c r="H168">
        <v>1102259</v>
      </c>
    </row>
    <row r="169" spans="1:12">
      <c r="A169">
        <v>1102110</v>
      </c>
      <c r="B169">
        <v>1102116</v>
      </c>
      <c r="C169">
        <f t="shared" si="2"/>
        <v>11021161</v>
      </c>
      <c r="E169">
        <v>1102260</v>
      </c>
      <c r="F169">
        <v>1102284</v>
      </c>
      <c r="H169">
        <v>1102260</v>
      </c>
    </row>
    <row r="170" spans="1:12">
      <c r="A170">
        <v>1102111</v>
      </c>
      <c r="B170">
        <v>1102117</v>
      </c>
      <c r="C170">
        <f t="shared" si="2"/>
        <v>11021171</v>
      </c>
      <c r="E170">
        <v>1102261</v>
      </c>
      <c r="F170">
        <v>1102285</v>
      </c>
      <c r="H170">
        <v>1102261</v>
      </c>
    </row>
    <row r="171" spans="1:12">
      <c r="A171">
        <v>1102112</v>
      </c>
      <c r="E171">
        <v>1102262</v>
      </c>
      <c r="F171">
        <v>1102286</v>
      </c>
      <c r="H171">
        <v>1102263</v>
      </c>
    </row>
    <row r="172" spans="1:12">
      <c r="A172">
        <v>1102113</v>
      </c>
      <c r="E172">
        <v>1102263</v>
      </c>
      <c r="F172">
        <v>1102287</v>
      </c>
      <c r="H172">
        <v>1102264</v>
      </c>
    </row>
    <row r="173" spans="1:12">
      <c r="A173">
        <v>1102114</v>
      </c>
      <c r="E173">
        <v>1102264</v>
      </c>
      <c r="F173">
        <v>1102288</v>
      </c>
      <c r="H173">
        <v>1102265</v>
      </c>
    </row>
    <row r="174" spans="1:12">
      <c r="A174">
        <v>1102115</v>
      </c>
      <c r="E174">
        <v>1102265</v>
      </c>
      <c r="F174">
        <v>1102289</v>
      </c>
      <c r="H174">
        <v>1102266</v>
      </c>
    </row>
    <row r="175" spans="1:12">
      <c r="A175">
        <v>1102116</v>
      </c>
      <c r="E175">
        <v>1102266</v>
      </c>
      <c r="F175">
        <v>1102290</v>
      </c>
      <c r="H175">
        <v>1102267</v>
      </c>
    </row>
    <row r="176" spans="1:12">
      <c r="A176">
        <v>1102117</v>
      </c>
      <c r="E176">
        <v>1102267</v>
      </c>
      <c r="F176">
        <v>1102291</v>
      </c>
      <c r="H176">
        <v>1102268</v>
      </c>
    </row>
    <row r="177" spans="1:8">
      <c r="A177">
        <v>1102118</v>
      </c>
      <c r="E177">
        <v>1102268</v>
      </c>
      <c r="F177">
        <v>1102292</v>
      </c>
      <c r="H177">
        <v>1102271</v>
      </c>
    </row>
    <row r="178" spans="1:8">
      <c r="B178" t="str">
        <f>_xlfn.TEXTJOIN("_",TRUE,B179:B194)</f>
        <v>1102103_1102115_1102107_1102108_1102112_1101106_1101101_1101107_1101109_1101113_1101114_1101115_1101116_1101101_1101111_1101112_1101111_1101112_1102107_1102108_1102112</v>
      </c>
      <c r="C178" t="str">
        <f>_xlfn.TEXTJOIN("_",TRUE,C179:C194)</f>
        <v>11021031_11021151_11021071_11021081_11021121_11011061_11011011_11011071_11011091_11011131_11011141_11011151_11011161_11011011_11011111_11011121_11011111_11011121_11021071_11021081_11021121</v>
      </c>
      <c r="E178">
        <v>1102269</v>
      </c>
      <c r="F178">
        <v>1102293</v>
      </c>
      <c r="H178">
        <v>1102274</v>
      </c>
    </row>
    <row r="179" spans="1:8">
      <c r="B179">
        <v>1102103</v>
      </c>
      <c r="C179">
        <f t="shared" ref="C179:C184" si="3">B179*10+1</f>
        <v>11021031</v>
      </c>
      <c r="E179">
        <v>1102270</v>
      </c>
      <c r="F179">
        <v>1102294</v>
      </c>
      <c r="H179">
        <v>1102275</v>
      </c>
    </row>
    <row r="180" spans="1:8">
      <c r="B180">
        <v>1102115</v>
      </c>
      <c r="C180">
        <f t="shared" si="3"/>
        <v>11021151</v>
      </c>
      <c r="E180">
        <v>1102271</v>
      </c>
      <c r="F180">
        <v>1102295</v>
      </c>
      <c r="H180">
        <v>1102276</v>
      </c>
    </row>
    <row r="181" spans="1:8">
      <c r="E181">
        <v>1102272</v>
      </c>
      <c r="F181">
        <v>1102296</v>
      </c>
      <c r="H181">
        <v>1102277</v>
      </c>
    </row>
    <row r="182" spans="1:8">
      <c r="B182" t="str">
        <f>_xlfn.TEXTJOIN("_",TRUE,B183:B198)</f>
        <v>1102107_1102108_1102112_1101106_1101101_1101107_1101109_1101113_1101114_1101115_1101116_1101101_1101111_1101112_1101111_1101112</v>
      </c>
      <c r="C182" t="str">
        <f>_xlfn.TEXTJOIN("_",TRUE,C183:C198)</f>
        <v>11021071_11021081_11021121_11011061_11011011_11011071_11011091_11011131_11011141_11011151_11011161_11011011_11011111_11011121_11011111_11011121</v>
      </c>
      <c r="E182">
        <v>1102273</v>
      </c>
      <c r="F182">
        <v>1102297</v>
      </c>
      <c r="H182">
        <v>1102278</v>
      </c>
    </row>
    <row r="183" spans="1:8">
      <c r="B183">
        <v>1102107</v>
      </c>
      <c r="C183">
        <f t="shared" si="3"/>
        <v>11021071</v>
      </c>
      <c r="E183">
        <v>1102274</v>
      </c>
      <c r="F183">
        <v>1102298</v>
      </c>
      <c r="H183">
        <v>1102279</v>
      </c>
    </row>
    <row r="184" spans="1:8">
      <c r="B184">
        <v>1102108</v>
      </c>
      <c r="C184">
        <f t="shared" si="3"/>
        <v>11021081</v>
      </c>
      <c r="F184">
        <v>1102299</v>
      </c>
      <c r="H184">
        <v>1102280</v>
      </c>
    </row>
    <row r="185" spans="1:8">
      <c r="H185">
        <v>1102281</v>
      </c>
    </row>
    <row r="186" spans="1:8">
      <c r="H186">
        <v>1102282</v>
      </c>
    </row>
    <row r="187" spans="1:8">
      <c r="B187">
        <v>1102112</v>
      </c>
      <c r="C187">
        <f>B187*10+1</f>
        <v>11021121</v>
      </c>
      <c r="H187">
        <v>1102283</v>
      </c>
    </row>
    <row r="188" spans="1:8">
      <c r="H188">
        <v>1102284</v>
      </c>
    </row>
    <row r="189" spans="1:8">
      <c r="H189">
        <v>1102285</v>
      </c>
    </row>
    <row r="190" spans="1:8">
      <c r="H190">
        <v>1102286</v>
      </c>
    </row>
    <row r="191" spans="1:8">
      <c r="H191">
        <v>1102293</v>
      </c>
    </row>
    <row r="192" spans="1:8">
      <c r="H192">
        <v>1102295</v>
      </c>
    </row>
    <row r="193" spans="1:14">
      <c r="H193">
        <v>1102296</v>
      </c>
    </row>
    <row r="194" spans="1:14">
      <c r="H194">
        <v>1102297</v>
      </c>
    </row>
    <row r="195" spans="1:14">
      <c r="H195">
        <v>1102298</v>
      </c>
    </row>
    <row r="196" spans="1:14">
      <c r="H196">
        <v>1102299</v>
      </c>
    </row>
    <row r="198" spans="1:14">
      <c r="B198" t="str">
        <f>_xlfn.TEXTJOIN("_",TRUE,B199:B214)</f>
        <v>1101106_1101101_1101107_1101109_1101113_1101114_1101115_1101116_1101101_1101111_1101112_1101111_1101112</v>
      </c>
      <c r="C198" t="str">
        <f>_xlfn.TEXTJOIN("_",TRUE,C199:C214)</f>
        <v>11011061_11011011_11011071_11011091_11011131_11011141_11011151_11011161_11011011_11011111_11011121_11011111_11011121</v>
      </c>
      <c r="H198" t="str">
        <f>_xlfn.TEXTJOIN("_",TRUE,H199:H239)</f>
        <v>1101251_1101252_1101253_1101254_1101255_1101256_1101257_1101258_1101259_1101260_1101261_1101262_1101264_1101266_1101267_1101268_1101269_1101270_1101271_1101272_1101273_1101274_1101275_1101276_1101277_1101281_1101282_1101283_1101284_1101285_1101286_1101288_1101289_1101290_1101291_1101292_1101293_1101294_1101295_1101296_1101297</v>
      </c>
      <c r="J198" t="str">
        <f>_xlfn.TEXTJOIN("_",TRUE,J199:J239)</f>
        <v>1101263_1101265</v>
      </c>
      <c r="K198" t="str">
        <f>_xlfn.TEXTJOIN("_",TRUE,K199:K239)</f>
        <v>1101278</v>
      </c>
      <c r="L198" t="str">
        <f>_xlfn.TEXTJOIN("_",TRUE,L199:L239)</f>
        <v>1101279</v>
      </c>
      <c r="M198" t="str">
        <f>_xlfn.TEXTJOIN("_",TRUE,M199:M239)</f>
        <v>1101280</v>
      </c>
      <c r="N198" t="str">
        <f>_xlfn.TEXTJOIN("_",TRUE,N199:N239)</f>
        <v>1101287</v>
      </c>
    </row>
    <row r="199" spans="1:14">
      <c r="A199">
        <v>1101101</v>
      </c>
      <c r="B199">
        <v>1101106</v>
      </c>
      <c r="C199">
        <f>B199*10+1</f>
        <v>11011061</v>
      </c>
      <c r="E199">
        <v>1101251</v>
      </c>
      <c r="F199">
        <v>1101271</v>
      </c>
      <c r="H199">
        <v>1101251</v>
      </c>
      <c r="J199">
        <v>1101263</v>
      </c>
      <c r="K199">
        <v>1101278</v>
      </c>
      <c r="L199">
        <v>1101279</v>
      </c>
      <c r="M199">
        <v>1101280</v>
      </c>
      <c r="N199">
        <v>1101287</v>
      </c>
    </row>
    <row r="200" spans="1:14">
      <c r="A200">
        <v>1101102</v>
      </c>
      <c r="B200">
        <v>1101101</v>
      </c>
      <c r="C200">
        <f t="shared" ref="C200:C207" si="4">B200*10+1</f>
        <v>11011011</v>
      </c>
      <c r="E200">
        <v>1101252</v>
      </c>
      <c r="F200">
        <v>1101272</v>
      </c>
      <c r="H200">
        <v>1101252</v>
      </c>
      <c r="J200">
        <v>1101265</v>
      </c>
    </row>
    <row r="201" spans="1:14">
      <c r="A201">
        <v>1101103</v>
      </c>
      <c r="B201">
        <v>1101107</v>
      </c>
      <c r="C201">
        <f t="shared" si="4"/>
        <v>11011071</v>
      </c>
      <c r="E201">
        <v>1101253</v>
      </c>
      <c r="F201">
        <v>1101273</v>
      </c>
      <c r="H201">
        <v>1101253</v>
      </c>
    </row>
    <row r="202" spans="1:14">
      <c r="A202">
        <v>1101104</v>
      </c>
      <c r="B202">
        <v>1101109</v>
      </c>
      <c r="C202">
        <f t="shared" si="4"/>
        <v>11011091</v>
      </c>
      <c r="E202">
        <v>1101254</v>
      </c>
      <c r="F202">
        <v>1101274</v>
      </c>
      <c r="H202">
        <v>1101254</v>
      </c>
    </row>
    <row r="203" spans="1:14">
      <c r="A203">
        <v>1101105</v>
      </c>
      <c r="B203">
        <v>1101113</v>
      </c>
      <c r="C203">
        <f t="shared" si="4"/>
        <v>11011131</v>
      </c>
      <c r="E203">
        <v>1101255</v>
      </c>
      <c r="F203">
        <v>1101275</v>
      </c>
      <c r="H203">
        <v>1101255</v>
      </c>
    </row>
    <row r="204" spans="1:14">
      <c r="A204">
        <v>1101106</v>
      </c>
      <c r="B204">
        <v>1101114</v>
      </c>
      <c r="C204">
        <f t="shared" si="4"/>
        <v>11011141</v>
      </c>
      <c r="E204">
        <v>1101256</v>
      </c>
      <c r="F204">
        <v>1101276</v>
      </c>
      <c r="H204">
        <v>1101256</v>
      </c>
    </row>
    <row r="205" spans="1:14">
      <c r="A205">
        <v>1101107</v>
      </c>
      <c r="B205">
        <v>1101115</v>
      </c>
      <c r="C205">
        <f t="shared" si="4"/>
        <v>11011151</v>
      </c>
      <c r="E205">
        <v>1101257</v>
      </c>
      <c r="F205">
        <v>1101277</v>
      </c>
      <c r="H205">
        <v>1101257</v>
      </c>
    </row>
    <row r="206" spans="1:14">
      <c r="A206">
        <v>1101108</v>
      </c>
      <c r="B206">
        <v>1101116</v>
      </c>
      <c r="C206">
        <f t="shared" si="4"/>
        <v>11011161</v>
      </c>
      <c r="E206">
        <v>1101258</v>
      </c>
      <c r="F206">
        <v>1101278</v>
      </c>
      <c r="H206">
        <v>1101258</v>
      </c>
    </row>
    <row r="207" spans="1:14">
      <c r="A207">
        <v>1101109</v>
      </c>
      <c r="B207">
        <v>1101101</v>
      </c>
      <c r="C207">
        <f t="shared" si="4"/>
        <v>11011011</v>
      </c>
      <c r="E207">
        <v>1101259</v>
      </c>
      <c r="F207">
        <v>1101279</v>
      </c>
      <c r="H207">
        <v>1101259</v>
      </c>
    </row>
    <row r="208" spans="1:14">
      <c r="A208">
        <v>1101110</v>
      </c>
      <c r="E208">
        <v>1101260</v>
      </c>
      <c r="F208">
        <v>1101280</v>
      </c>
      <c r="H208">
        <v>1101260</v>
      </c>
    </row>
    <row r="209" spans="1:8">
      <c r="A209">
        <v>1101111</v>
      </c>
      <c r="E209">
        <v>1101261</v>
      </c>
      <c r="F209">
        <v>1101281</v>
      </c>
      <c r="H209">
        <v>1101261</v>
      </c>
    </row>
    <row r="210" spans="1:8">
      <c r="A210">
        <v>1101112</v>
      </c>
      <c r="E210">
        <v>1101262</v>
      </c>
      <c r="F210">
        <v>1101282</v>
      </c>
      <c r="H210">
        <v>1101262</v>
      </c>
    </row>
    <row r="211" spans="1:8">
      <c r="A211">
        <v>1101113</v>
      </c>
      <c r="E211">
        <v>1101263</v>
      </c>
      <c r="F211">
        <v>1101283</v>
      </c>
      <c r="H211">
        <v>1101264</v>
      </c>
    </row>
    <row r="212" spans="1:8">
      <c r="A212">
        <v>1101114</v>
      </c>
      <c r="B212" t="str">
        <f>_xlfn.TEXTJOIN("_",TRUE,B213:B217)</f>
        <v>1101111_1101112</v>
      </c>
      <c r="C212" t="str">
        <f>_xlfn.TEXTJOIN("_",TRUE,C213:C217)</f>
        <v>11011111_11011121</v>
      </c>
      <c r="E212">
        <v>1101264</v>
      </c>
      <c r="F212">
        <v>1101284</v>
      </c>
      <c r="H212">
        <v>1101266</v>
      </c>
    </row>
    <row r="213" spans="1:8">
      <c r="A213">
        <v>1101115</v>
      </c>
      <c r="B213">
        <v>1101111</v>
      </c>
      <c r="C213">
        <f>B213*10+1</f>
        <v>11011111</v>
      </c>
      <c r="E213">
        <v>1101265</v>
      </c>
      <c r="F213">
        <v>1101285</v>
      </c>
      <c r="H213">
        <v>1101267</v>
      </c>
    </row>
    <row r="214" spans="1:8">
      <c r="A214">
        <v>1101116</v>
      </c>
      <c r="B214">
        <v>1101112</v>
      </c>
      <c r="C214">
        <f>B214*10+1</f>
        <v>11011121</v>
      </c>
      <c r="E214">
        <v>1101266</v>
      </c>
      <c r="F214">
        <v>1101286</v>
      </c>
      <c r="H214">
        <v>1101268</v>
      </c>
    </row>
    <row r="215" spans="1:8">
      <c r="E215">
        <v>1101267</v>
      </c>
      <c r="F215">
        <v>1101287</v>
      </c>
      <c r="H215">
        <v>1101269</v>
      </c>
    </row>
    <row r="216" spans="1:8">
      <c r="E216">
        <v>1101268</v>
      </c>
      <c r="F216">
        <v>1101288</v>
      </c>
      <c r="H216">
        <v>1101270</v>
      </c>
    </row>
    <row r="217" spans="1:8">
      <c r="E217">
        <v>1101269</v>
      </c>
      <c r="F217">
        <v>1101289</v>
      </c>
      <c r="H217">
        <v>1101271</v>
      </c>
    </row>
    <row r="218" spans="1:8">
      <c r="E218">
        <v>1101270</v>
      </c>
      <c r="F218">
        <v>1101290</v>
      </c>
      <c r="H218">
        <v>1101272</v>
      </c>
    </row>
    <row r="219" spans="1:8">
      <c r="B219" t="str">
        <f>_xlfn.TEXTJOIN("_",TRUE,B220:B224)</f>
        <v>1101108_1101110</v>
      </c>
      <c r="C219" t="str">
        <f>_xlfn.TEXTJOIN("_",TRUE,C220:C224)</f>
        <v>11011081_11011101</v>
      </c>
      <c r="F219">
        <v>1101291</v>
      </c>
      <c r="H219">
        <v>1101273</v>
      </c>
    </row>
    <row r="220" spans="1:8">
      <c r="B220">
        <v>1101108</v>
      </c>
      <c r="C220">
        <f>B220*10+1</f>
        <v>11011081</v>
      </c>
      <c r="F220">
        <v>1101292</v>
      </c>
      <c r="H220">
        <v>1101274</v>
      </c>
    </row>
    <row r="221" spans="1:8">
      <c r="B221">
        <v>1101110</v>
      </c>
      <c r="C221">
        <f>B221*10+1</f>
        <v>11011101</v>
      </c>
      <c r="F221">
        <v>1101293</v>
      </c>
      <c r="H221">
        <v>1101275</v>
      </c>
    </row>
    <row r="222" spans="1:8">
      <c r="F222">
        <v>1101294</v>
      </c>
      <c r="H222">
        <v>1101276</v>
      </c>
    </row>
    <row r="223" spans="1:8">
      <c r="F223">
        <v>1101295</v>
      </c>
      <c r="H223">
        <v>1101277</v>
      </c>
    </row>
    <row r="224" spans="1:8">
      <c r="F224">
        <v>1101296</v>
      </c>
      <c r="H224">
        <v>1101281</v>
      </c>
    </row>
    <row r="225" spans="2:8">
      <c r="F225">
        <v>1101297</v>
      </c>
      <c r="H225">
        <v>1101282</v>
      </c>
    </row>
    <row r="226" spans="2:8">
      <c r="B226">
        <v>1101105</v>
      </c>
      <c r="C226">
        <f>B226*10+1</f>
        <v>11011051</v>
      </c>
      <c r="H226">
        <v>1101283</v>
      </c>
    </row>
    <row r="227" spans="2:8">
      <c r="H227">
        <v>1101284</v>
      </c>
    </row>
    <row r="228" spans="2:8">
      <c r="H228">
        <v>1101285</v>
      </c>
    </row>
    <row r="229" spans="2:8">
      <c r="H229">
        <v>1101286</v>
      </c>
    </row>
    <row r="230" spans="2:8">
      <c r="B230">
        <v>1101103</v>
      </c>
      <c r="C230">
        <f>B230*10+1</f>
        <v>11011031</v>
      </c>
      <c r="H230">
        <v>1101288</v>
      </c>
    </row>
    <row r="231" spans="2:8">
      <c r="H231">
        <v>1101289</v>
      </c>
    </row>
    <row r="232" spans="2:8">
      <c r="H232">
        <v>1101290</v>
      </c>
    </row>
    <row r="233" spans="2:8">
      <c r="H233">
        <v>1101291</v>
      </c>
    </row>
    <row r="234" spans="2:8">
      <c r="B234">
        <v>1101102</v>
      </c>
      <c r="C234">
        <f>B234*10+1</f>
        <v>11011021</v>
      </c>
      <c r="H234">
        <v>1101292</v>
      </c>
    </row>
    <row r="235" spans="2:8">
      <c r="H235">
        <v>1101293</v>
      </c>
    </row>
    <row r="236" spans="2:8">
      <c r="H236">
        <v>1101294</v>
      </c>
    </row>
    <row r="237" spans="2:8">
      <c r="H237">
        <v>1101295</v>
      </c>
    </row>
    <row r="238" spans="2:8">
      <c r="H238">
        <v>1101296</v>
      </c>
    </row>
    <row r="239" spans="2:8">
      <c r="H239">
        <v>1101297</v>
      </c>
    </row>
    <row r="242" spans="5:10">
      <c r="H242" t="str">
        <f t="shared" ref="H242:J242" si="5">_xlfn.TEXTJOIN("_",TRUE,H243:H258)</f>
        <v>1301251_1301252_1301253_1301254_1301257_1301259_1301260_1301263_1301264</v>
      </c>
      <c r="I242" t="str">
        <f t="shared" si="5"/>
        <v>1301258_1301261</v>
      </c>
      <c r="J242" t="str">
        <f t="shared" si="5"/>
        <v>1301262_1301255_1301256</v>
      </c>
    </row>
    <row r="243" spans="5:10">
      <c r="E243">
        <v>1301251</v>
      </c>
      <c r="H243">
        <v>1301251</v>
      </c>
      <c r="I243">
        <v>1301258</v>
      </c>
      <c r="J243">
        <v>1301262</v>
      </c>
    </row>
    <row r="244" spans="5:10">
      <c r="E244">
        <v>1301252</v>
      </c>
      <c r="H244">
        <v>1301252</v>
      </c>
      <c r="I244">
        <v>1301261</v>
      </c>
      <c r="J244">
        <v>1301255</v>
      </c>
    </row>
    <row r="245" spans="5:10">
      <c r="E245">
        <v>1301253</v>
      </c>
      <c r="H245">
        <v>1301253</v>
      </c>
      <c r="J245">
        <v>1301256</v>
      </c>
    </row>
    <row r="246" spans="5:10">
      <c r="E246">
        <v>1301254</v>
      </c>
      <c r="H246">
        <v>1301254</v>
      </c>
    </row>
    <row r="247" spans="5:10">
      <c r="E247">
        <v>1301255</v>
      </c>
      <c r="H247">
        <v>1301257</v>
      </c>
    </row>
    <row r="248" spans="5:10">
      <c r="E248">
        <v>1301256</v>
      </c>
      <c r="H248">
        <v>1301259</v>
      </c>
    </row>
    <row r="249" spans="5:10">
      <c r="E249">
        <v>1301257</v>
      </c>
      <c r="H249">
        <v>1301260</v>
      </c>
    </row>
    <row r="250" spans="5:10">
      <c r="E250">
        <v>1301258</v>
      </c>
      <c r="H250">
        <v>1301263</v>
      </c>
    </row>
    <row r="251" spans="5:10">
      <c r="E251">
        <v>1301259</v>
      </c>
      <c r="H251">
        <v>1301264</v>
      </c>
    </row>
    <row r="252" spans="5:10">
      <c r="E252">
        <v>1301260</v>
      </c>
    </row>
    <row r="253" spans="5:10">
      <c r="E253">
        <v>1301261</v>
      </c>
    </row>
    <row r="254" spans="5:10">
      <c r="E254">
        <v>1301262</v>
      </c>
    </row>
    <row r="255" spans="5:10">
      <c r="E255">
        <v>1301263</v>
      </c>
    </row>
    <row r="256" spans="5:10">
      <c r="E256">
        <v>1301264</v>
      </c>
    </row>
  </sheetData>
  <conditionalFormatting sqref="M2">
    <cfRule type="duplicateValues" dxfId="0" priority="47"/>
  </conditionalFormatting>
  <conditionalFormatting sqref="U2">
    <cfRule type="duplicateValues" dxfId="0" priority="46"/>
  </conditionalFormatting>
  <conditionalFormatting sqref="N3">
    <cfRule type="duplicateValues" dxfId="0" priority="123"/>
  </conditionalFormatting>
  <conditionalFormatting sqref="O3">
    <cfRule type="duplicateValues" dxfId="0" priority="132"/>
  </conditionalFormatting>
  <conditionalFormatting sqref="N4">
    <cfRule type="duplicateValues" dxfId="0" priority="122"/>
  </conditionalFormatting>
  <conditionalFormatting sqref="O4">
    <cfRule type="duplicateValues" dxfId="0" priority="131"/>
  </conditionalFormatting>
  <conditionalFormatting sqref="N8">
    <cfRule type="duplicateValues" dxfId="0" priority="120"/>
  </conditionalFormatting>
  <conditionalFormatting sqref="O8">
    <cfRule type="duplicateValues" dxfId="0" priority="129"/>
  </conditionalFormatting>
  <conditionalFormatting sqref="N9">
    <cfRule type="duplicateValues" dxfId="0" priority="119"/>
  </conditionalFormatting>
  <conditionalFormatting sqref="O9">
    <cfRule type="duplicateValues" dxfId="0" priority="128"/>
  </conditionalFormatting>
  <conditionalFormatting sqref="V9">
    <cfRule type="duplicateValues" dxfId="0" priority="111"/>
  </conditionalFormatting>
  <conditionalFormatting sqref="N10">
    <cfRule type="duplicateValues" dxfId="0" priority="118"/>
  </conditionalFormatting>
  <conditionalFormatting sqref="O10">
    <cfRule type="duplicateValues" dxfId="0" priority="127"/>
  </conditionalFormatting>
  <conditionalFormatting sqref="V10">
    <cfRule type="duplicateValues" dxfId="0" priority="110"/>
  </conditionalFormatting>
  <conditionalFormatting sqref="U11">
    <cfRule type="duplicateValues" dxfId="0" priority="106"/>
  </conditionalFormatting>
  <conditionalFormatting sqref="F12">
    <cfRule type="duplicateValues" dxfId="0" priority="138"/>
  </conditionalFormatting>
  <conditionalFormatting sqref="I12">
    <cfRule type="duplicateValues" dxfId="0" priority="146"/>
  </conditionalFormatting>
  <conditionalFormatting sqref="F17">
    <cfRule type="duplicateValues" dxfId="0" priority="135"/>
  </conditionalFormatting>
  <conditionalFormatting sqref="I17">
    <cfRule type="duplicateValues" dxfId="0" priority="143"/>
  </conditionalFormatting>
  <conditionalFormatting sqref="V18">
    <cfRule type="duplicateValues" dxfId="0" priority="64"/>
  </conditionalFormatting>
  <conditionalFormatting sqref="V19">
    <cfRule type="duplicateValues" dxfId="0" priority="107"/>
  </conditionalFormatting>
  <conditionalFormatting sqref="F20">
    <cfRule type="duplicateValues" dxfId="0" priority="134"/>
  </conditionalFormatting>
  <conditionalFormatting sqref="E24">
    <cfRule type="duplicateValues" dxfId="0" priority="45"/>
  </conditionalFormatting>
  <conditionalFormatting sqref="M24">
    <cfRule type="duplicateValues" dxfId="0" priority="44"/>
  </conditionalFormatting>
  <conditionalFormatting sqref="U24">
    <cfRule type="duplicateValues" dxfId="0" priority="43"/>
  </conditionalFormatting>
  <conditionalFormatting sqref="F28">
    <cfRule type="duplicateValues" dxfId="0" priority="103"/>
  </conditionalFormatting>
  <conditionalFormatting sqref="N28">
    <cfRule type="duplicateValues" dxfId="0" priority="96"/>
  </conditionalFormatting>
  <conditionalFormatting sqref="G29">
    <cfRule type="duplicateValues" dxfId="0" priority="79"/>
  </conditionalFormatting>
  <conditionalFormatting sqref="F30">
    <cfRule type="duplicateValues" dxfId="0" priority="76"/>
  </conditionalFormatting>
  <conditionalFormatting sqref="N35">
    <cfRule type="duplicateValues" dxfId="0" priority="86"/>
  </conditionalFormatting>
  <conditionalFormatting sqref="N36">
    <cfRule type="duplicateValues" dxfId="0" priority="85"/>
  </conditionalFormatting>
  <conditionalFormatting sqref="F39">
    <cfRule type="duplicateValues" dxfId="0" priority="69"/>
    <cfRule type="duplicateValues" dxfId="0" priority="68"/>
    <cfRule type="duplicateValues" dxfId="0" priority="67"/>
  </conditionalFormatting>
  <conditionalFormatting sqref="N40">
    <cfRule type="duplicateValues" dxfId="0" priority="82"/>
    <cfRule type="duplicateValues" dxfId="0" priority="81"/>
  </conditionalFormatting>
  <conditionalFormatting sqref="E45">
    <cfRule type="duplicateValues" dxfId="0" priority="42"/>
  </conditionalFormatting>
  <conditionalFormatting sqref="M45">
    <cfRule type="duplicateValues" dxfId="0" priority="41"/>
  </conditionalFormatting>
  <conditionalFormatting sqref="U45">
    <cfRule type="duplicateValues" dxfId="0" priority="40"/>
  </conditionalFormatting>
  <conditionalFormatting sqref="E64">
    <cfRule type="duplicateValues" dxfId="0" priority="39"/>
  </conditionalFormatting>
  <conditionalFormatting sqref="F64">
    <cfRule type="duplicateValues" dxfId="0" priority="56"/>
  </conditionalFormatting>
  <conditionalFormatting sqref="M64">
    <cfRule type="duplicateValues" dxfId="0" priority="38"/>
  </conditionalFormatting>
  <conditionalFormatting sqref="U64">
    <cfRule type="duplicateValues" dxfId="0" priority="37"/>
  </conditionalFormatting>
  <conditionalFormatting sqref="F65">
    <cfRule type="duplicateValues" dxfId="0" priority="55"/>
  </conditionalFormatting>
  <conditionalFormatting sqref="E85">
    <cfRule type="duplicateValues" dxfId="0" priority="36"/>
  </conditionalFormatting>
  <conditionalFormatting sqref="F85">
    <cfRule type="duplicateValues" dxfId="0" priority="35"/>
  </conditionalFormatting>
  <conditionalFormatting sqref="H85">
    <cfRule type="duplicateValues" dxfId="0" priority="34"/>
  </conditionalFormatting>
  <conditionalFormatting sqref="I85">
    <cfRule type="duplicateValues" dxfId="0" priority="33"/>
  </conditionalFormatting>
  <conditionalFormatting sqref="J85">
    <cfRule type="duplicateValues" dxfId="0" priority="32"/>
  </conditionalFormatting>
  <conditionalFormatting sqref="K85">
    <cfRule type="duplicateValues" dxfId="0" priority="31"/>
  </conditionalFormatting>
  <conditionalFormatting sqref="L85">
    <cfRule type="duplicateValues" dxfId="0" priority="30"/>
  </conditionalFormatting>
  <conditionalFormatting sqref="M85">
    <cfRule type="duplicateValues" dxfId="0" priority="29"/>
  </conditionalFormatting>
  <conditionalFormatting sqref="C111">
    <cfRule type="duplicateValues" dxfId="0" priority="28"/>
  </conditionalFormatting>
  <conditionalFormatting sqref="J111">
    <cfRule type="duplicateValues" dxfId="0" priority="27"/>
  </conditionalFormatting>
  <conditionalFormatting sqref="P111">
    <cfRule type="duplicateValues" dxfId="0" priority="26"/>
  </conditionalFormatting>
  <conditionalFormatting sqref="D129:F129">
    <cfRule type="duplicateValues" dxfId="0" priority="24"/>
  </conditionalFormatting>
  <conditionalFormatting sqref="B159">
    <cfRule type="duplicateValues" dxfId="0" priority="23"/>
  </conditionalFormatting>
  <conditionalFormatting sqref="C159">
    <cfRule type="duplicateValues" dxfId="0" priority="22"/>
  </conditionalFormatting>
  <conditionalFormatting sqref="H159">
    <cfRule type="duplicateValues" dxfId="0" priority="17"/>
  </conditionalFormatting>
  <conditionalFormatting sqref="J159">
    <cfRule type="duplicateValues" dxfId="0" priority="16"/>
  </conditionalFormatting>
  <conditionalFormatting sqref="K159">
    <cfRule type="duplicateValues" dxfId="0" priority="15"/>
  </conditionalFormatting>
  <conditionalFormatting sqref="L159">
    <cfRule type="duplicateValues" dxfId="0" priority="14"/>
  </conditionalFormatting>
  <conditionalFormatting sqref="B178:C178">
    <cfRule type="duplicateValues" dxfId="0" priority="20"/>
  </conditionalFormatting>
  <conditionalFormatting sqref="B182:C182">
    <cfRule type="duplicateValues" dxfId="0" priority="19"/>
  </conditionalFormatting>
  <conditionalFormatting sqref="B198">
    <cfRule type="duplicateValues" dxfId="0" priority="12"/>
  </conditionalFormatting>
  <conditionalFormatting sqref="C198">
    <cfRule type="duplicateValues" dxfId="0" priority="11"/>
  </conditionalFormatting>
  <conditionalFormatting sqref="H198">
    <cfRule type="duplicateValues" dxfId="0" priority="5"/>
  </conditionalFormatting>
  <conditionalFormatting sqref="J198:N198">
    <cfRule type="duplicateValues" dxfId="0" priority="4"/>
  </conditionalFormatting>
  <conditionalFormatting sqref="B212:C212">
    <cfRule type="duplicateValues" dxfId="0" priority="8"/>
  </conditionalFormatting>
  <conditionalFormatting sqref="B219:C219">
    <cfRule type="duplicateValues" dxfId="0" priority="7"/>
  </conditionalFormatting>
  <conditionalFormatting sqref="H242">
    <cfRule type="duplicateValues" dxfId="0" priority="2"/>
  </conditionalFormatting>
  <conditionalFormatting sqref="I242:J242">
    <cfRule type="duplicateValues" dxfId="0" priority="1"/>
  </conditionalFormatting>
  <conditionalFormatting sqref="E3:E13">
    <cfRule type="duplicateValues" dxfId="0" priority="141"/>
  </conditionalFormatting>
  <conditionalFormatting sqref="F3:F7">
    <cfRule type="duplicateValues" dxfId="0" priority="140"/>
  </conditionalFormatting>
  <conditionalFormatting sqref="F8:F11">
    <cfRule type="duplicateValues" dxfId="0" priority="139"/>
  </conditionalFormatting>
  <conditionalFormatting sqref="F13:F14">
    <cfRule type="duplicateValues" dxfId="0" priority="137"/>
  </conditionalFormatting>
  <conditionalFormatting sqref="F15:F16">
    <cfRule type="duplicateValues" dxfId="0" priority="136"/>
  </conditionalFormatting>
  <conditionalFormatting sqref="F18:F19">
    <cfRule type="duplicateValues" dxfId="0" priority="61"/>
  </conditionalFormatting>
  <conditionalFormatting sqref="F25:F27">
    <cfRule type="duplicateValues" dxfId="0" priority="104"/>
  </conditionalFormatting>
  <conditionalFormatting sqref="F30:F35">
    <cfRule type="duplicateValues" dxfId="0" priority="74"/>
  </conditionalFormatting>
  <conditionalFormatting sqref="F31:F35">
    <cfRule type="duplicateValues" dxfId="0" priority="75"/>
  </conditionalFormatting>
  <conditionalFormatting sqref="F36:F38">
    <cfRule type="duplicateValues" dxfId="0" priority="72"/>
    <cfRule type="duplicateValues" dxfId="0" priority="71"/>
    <cfRule type="duplicateValues" dxfId="0" priority="70"/>
  </conditionalFormatting>
  <conditionalFormatting sqref="G29:G34">
    <cfRule type="duplicateValues" dxfId="0" priority="77"/>
  </conditionalFormatting>
  <conditionalFormatting sqref="G30:G34">
    <cfRule type="duplicateValues" dxfId="0" priority="78"/>
  </conditionalFormatting>
  <conditionalFormatting sqref="I3:I7">
    <cfRule type="duplicateValues" dxfId="0" priority="148"/>
  </conditionalFormatting>
  <conditionalFormatting sqref="I8:I11">
    <cfRule type="duplicateValues" dxfId="0" priority="147"/>
  </conditionalFormatting>
  <conditionalFormatting sqref="I13:I14">
    <cfRule type="duplicateValues" dxfId="0" priority="145"/>
  </conditionalFormatting>
  <conditionalFormatting sqref="I15:I16">
    <cfRule type="duplicateValues" dxfId="0" priority="144"/>
  </conditionalFormatting>
  <conditionalFormatting sqref="I18:I20">
    <cfRule type="duplicateValues" dxfId="0" priority="142"/>
  </conditionalFormatting>
  <conditionalFormatting sqref="N5:N7">
    <cfRule type="duplicateValues" dxfId="0" priority="121"/>
  </conditionalFormatting>
  <conditionalFormatting sqref="N11:N12">
    <cfRule type="duplicateValues" dxfId="0" priority="117"/>
  </conditionalFormatting>
  <conditionalFormatting sqref="N13:N17">
    <cfRule type="duplicateValues" dxfId="0" priority="116"/>
  </conditionalFormatting>
  <conditionalFormatting sqref="N18:N19">
    <cfRule type="duplicateValues" dxfId="0" priority="115"/>
  </conditionalFormatting>
  <conditionalFormatting sqref="N25:N27">
    <cfRule type="duplicateValues" dxfId="0" priority="97"/>
  </conditionalFormatting>
  <conditionalFormatting sqref="N29:N31">
    <cfRule type="duplicateValues" dxfId="0" priority="88"/>
  </conditionalFormatting>
  <conditionalFormatting sqref="N32:N34">
    <cfRule type="duplicateValues" dxfId="0" priority="87"/>
  </conditionalFormatting>
  <conditionalFormatting sqref="N37:N39">
    <cfRule type="duplicateValues" dxfId="0" priority="84"/>
    <cfRule type="duplicateValues" dxfId="0" priority="83"/>
  </conditionalFormatting>
  <conditionalFormatting sqref="O5:O7">
    <cfRule type="duplicateValues" dxfId="0" priority="130"/>
  </conditionalFormatting>
  <conditionalFormatting sqref="O11:O12">
    <cfRule type="duplicateValues" dxfId="0" priority="126"/>
  </conditionalFormatting>
  <conditionalFormatting sqref="O13:O17">
    <cfRule type="duplicateValues" dxfId="0" priority="125"/>
  </conditionalFormatting>
  <conditionalFormatting sqref="O18:O19">
    <cfRule type="duplicateValues" dxfId="0" priority="124"/>
  </conditionalFormatting>
  <conditionalFormatting sqref="V3:V5">
    <cfRule type="duplicateValues" dxfId="0" priority="113"/>
  </conditionalFormatting>
  <conditionalFormatting sqref="V6:V8">
    <cfRule type="duplicateValues" dxfId="0" priority="112"/>
  </conditionalFormatting>
  <conditionalFormatting sqref="V11:V14">
    <cfRule type="duplicateValues" dxfId="0" priority="109"/>
  </conditionalFormatting>
  <conditionalFormatting sqref="V15:V17">
    <cfRule type="duplicateValues" dxfId="0" priority="65"/>
  </conditionalFormatting>
  <conditionalFormatting sqref="V35:V37">
    <cfRule type="duplicateValues" dxfId="0" priority="90"/>
  </conditionalFormatting>
  <conditionalFormatting sqref="A2:H2 A3:D13 G3:H13">
    <cfRule type="duplicateValues" dxfId="0" priority="149"/>
  </conditionalFormatting>
  <conditionalFormatting sqref="J2:L2 N2 J3:N20">
    <cfRule type="duplicateValues" dxfId="0" priority="63"/>
  </conditionalFormatting>
  <conditionalFormatting sqref="A3:F20">
    <cfRule type="duplicateValues" dxfId="0" priority="62"/>
  </conditionalFormatting>
  <conditionalFormatting sqref="J3:M16">
    <cfRule type="duplicateValues" dxfId="0" priority="133"/>
  </conditionalFormatting>
  <conditionalFormatting sqref="R3:U10 R11:T11 R12:U16">
    <cfRule type="duplicateValues" dxfId="0" priority="114"/>
  </conditionalFormatting>
  <conditionalFormatting sqref="R3:V19">
    <cfRule type="duplicateValues" dxfId="0" priority="66"/>
  </conditionalFormatting>
  <conditionalFormatting sqref="A25:E37">
    <cfRule type="duplicateValues" dxfId="0" priority="105"/>
  </conditionalFormatting>
  <conditionalFormatting sqref="A25:F28 A29:E37">
    <cfRule type="duplicateValues" dxfId="0" priority="80"/>
  </conditionalFormatting>
  <conditionalFormatting sqref="A25:F35 A36:E37">
    <cfRule type="duplicateValues" dxfId="0" priority="73"/>
  </conditionalFormatting>
  <conditionalFormatting sqref="J25:M37">
    <cfRule type="duplicateValues" dxfId="0" priority="98"/>
  </conditionalFormatting>
  <conditionalFormatting sqref="J25:N36">
    <cfRule type="duplicateValues" dxfId="0" priority="89"/>
  </conditionalFormatting>
  <conditionalFormatting sqref="R25:V34 R35:U36">
    <cfRule type="duplicateValues" dxfId="0" priority="91"/>
  </conditionalFormatting>
  <conditionalFormatting sqref="A46:F58">
    <cfRule type="duplicateValues" dxfId="0" priority="60"/>
  </conditionalFormatting>
  <conditionalFormatting sqref="J46:N62">
    <cfRule type="duplicateValues" dxfId="0" priority="59"/>
  </conditionalFormatting>
  <conditionalFormatting sqref="R46:V62">
    <cfRule type="duplicateValues" dxfId="0" priority="58"/>
  </conditionalFormatting>
  <conditionalFormatting sqref="A65:E65 A66:F81">
    <cfRule type="duplicateValues" dxfId="0" priority="57"/>
  </conditionalFormatting>
  <conditionalFormatting sqref="A65:F80">
    <cfRule type="duplicateValues" dxfId="0" priority="54"/>
  </conditionalFormatting>
  <conditionalFormatting sqref="J65:N81">
    <cfRule type="duplicateValues" dxfId="0" priority="53"/>
  </conditionalFormatting>
  <conditionalFormatting sqref="R65:V82">
    <cfRule type="duplicateValues" dxfId="0" priority="52"/>
  </conditionalFormatting>
  <conditionalFormatting sqref="A86:Q105">
    <cfRule type="duplicateValues" dxfId="0" priority="50"/>
  </conditionalFormatting>
  <conditionalFormatting sqref="A86:G110 A111:B111 D111:G111 A112:G125">
    <cfRule type="duplicateValues" dxfId="0" priority="51"/>
  </conditionalFormatting>
  <conditionalFormatting sqref="H112:K123">
    <cfRule type="duplicateValues" dxfId="0" priority="49"/>
  </conditionalFormatting>
  <conditionalFormatting sqref="N112:Q122">
    <cfRule type="duplicateValues" dxfId="0" priority="48"/>
  </conditionalFormatting>
  <conditionalFormatting sqref="A130:I155">
    <cfRule type="duplicateValues" dxfId="0" priority="25"/>
  </conditionalFormatting>
  <conditionalFormatting sqref="A160:B177">
    <cfRule type="duplicateValues" dxfId="0" priority="21"/>
  </conditionalFormatting>
  <conditionalFormatting sqref="E160:H196">
    <cfRule type="duplicateValues" dxfId="0" priority="18"/>
  </conditionalFormatting>
  <conditionalFormatting sqref="A199:B211 A212 A213:B214">
    <cfRule type="duplicateValues" dxfId="0" priority="13"/>
  </conditionalFormatting>
  <conditionalFormatting sqref="E199:H237 H238:H239">
    <cfRule type="duplicateValues" dxfId="0" priority="6"/>
  </conditionalFormatting>
  <conditionalFormatting sqref="E243:H255 E256">
    <cfRule type="duplicateValues" dxfId="1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794</v>
      </c>
      <c r="B1" t="s">
        <v>795</v>
      </c>
      <c r="C1" t="s">
        <v>796</v>
      </c>
      <c r="D1" t="s">
        <v>797</v>
      </c>
      <c r="E1" t="s">
        <v>798</v>
      </c>
      <c r="F1" t="s">
        <v>799</v>
      </c>
      <c r="G1" t="s">
        <v>800</v>
      </c>
      <c r="H1" t="s">
        <v>801</v>
      </c>
      <c r="I1" t="s">
        <v>802</v>
      </c>
      <c r="J1" t="s">
        <v>803</v>
      </c>
      <c r="K1" t="s">
        <v>804</v>
      </c>
      <c r="L1" t="s">
        <v>805</v>
      </c>
      <c r="M1" t="s">
        <v>806</v>
      </c>
      <c r="N1" t="s">
        <v>807</v>
      </c>
      <c r="O1" t="s">
        <v>808</v>
      </c>
      <c r="P1" t="s">
        <v>809</v>
      </c>
      <c r="Q1" t="s">
        <v>810</v>
      </c>
      <c r="R1" t="s">
        <v>811</v>
      </c>
      <c r="S1" t="s">
        <v>812</v>
      </c>
      <c r="T1" t="s">
        <v>813</v>
      </c>
      <c r="U1" t="s">
        <v>814</v>
      </c>
      <c r="V1" t="s">
        <v>815</v>
      </c>
      <c r="W1" t="s">
        <v>816</v>
      </c>
      <c r="X1" t="s">
        <v>817</v>
      </c>
      <c r="Y1" t="s">
        <v>818</v>
      </c>
      <c r="Z1" t="s">
        <v>819</v>
      </c>
      <c r="AA1" t="s">
        <v>820</v>
      </c>
    </row>
    <row r="2" spans="1:27">
      <c r="A2" t="s">
        <v>821</v>
      </c>
      <c r="B2" t="s">
        <v>822</v>
      </c>
      <c r="C2" t="s">
        <v>823</v>
      </c>
      <c r="D2" t="s">
        <v>824</v>
      </c>
      <c r="E2" t="s">
        <v>825</v>
      </c>
      <c r="F2" t="s">
        <v>826</v>
      </c>
      <c r="G2" t="s">
        <v>827</v>
      </c>
      <c r="H2" t="s">
        <v>828</v>
      </c>
      <c r="I2" t="s">
        <v>829</v>
      </c>
      <c r="J2" t="s">
        <v>830</v>
      </c>
      <c r="K2" t="s">
        <v>831</v>
      </c>
      <c r="L2" t="s">
        <v>832</v>
      </c>
      <c r="M2" t="s">
        <v>833</v>
      </c>
      <c r="N2" t="s">
        <v>834</v>
      </c>
      <c r="O2" t="s">
        <v>835</v>
      </c>
      <c r="P2" t="s">
        <v>836</v>
      </c>
      <c r="Q2" t="s">
        <v>837</v>
      </c>
      <c r="R2" t="s">
        <v>838</v>
      </c>
      <c r="S2" t="s">
        <v>839</v>
      </c>
      <c r="T2" t="s">
        <v>840</v>
      </c>
      <c r="U2" t="s">
        <v>841</v>
      </c>
      <c r="V2" t="s">
        <v>842</v>
      </c>
      <c r="W2" t="s">
        <v>843</v>
      </c>
      <c r="X2" t="s">
        <v>844</v>
      </c>
      <c r="Y2" t="s">
        <v>845</v>
      </c>
    </row>
    <row r="3" spans="1:27">
      <c r="A3" t="s">
        <v>846</v>
      </c>
      <c r="B3" t="s">
        <v>847</v>
      </c>
      <c r="C3" t="s">
        <v>848</v>
      </c>
      <c r="D3" t="s">
        <v>849</v>
      </c>
      <c r="E3" t="s">
        <v>850</v>
      </c>
      <c r="F3" t="s">
        <v>851</v>
      </c>
      <c r="G3" t="s">
        <v>852</v>
      </c>
      <c r="H3" t="s">
        <v>853</v>
      </c>
    </row>
    <row r="12" spans="1:27">
      <c r="I12" t="s">
        <v>794</v>
      </c>
    </row>
    <row r="13" spans="1:27">
      <c r="I13" t="s">
        <v>795</v>
      </c>
    </row>
    <row r="14" spans="1:27">
      <c r="I14" t="s">
        <v>796</v>
      </c>
    </row>
    <row r="15" spans="1:27">
      <c r="I15" t="s">
        <v>797</v>
      </c>
    </row>
    <row r="16" spans="1:27">
      <c r="I16" t="s">
        <v>798</v>
      </c>
    </row>
    <row r="17" spans="9:9">
      <c r="I17" t="s">
        <v>799</v>
      </c>
    </row>
    <row r="18" spans="9:9">
      <c r="I18" t="s">
        <v>800</v>
      </c>
    </row>
    <row r="19" spans="9:9">
      <c r="I19" t="s">
        <v>801</v>
      </c>
    </row>
    <row r="20" spans="9:9">
      <c r="I20" t="s">
        <v>802</v>
      </c>
    </row>
    <row r="21" spans="9:9">
      <c r="I21" t="s">
        <v>803</v>
      </c>
    </row>
    <row r="22" spans="9:9">
      <c r="I22" t="s">
        <v>804</v>
      </c>
    </row>
    <row r="23" spans="9:9">
      <c r="I23" t="s">
        <v>805</v>
      </c>
    </row>
    <row r="24" spans="9:9">
      <c r="I24" t="s">
        <v>806</v>
      </c>
    </row>
    <row r="25" spans="9:9">
      <c r="I25" t="s">
        <v>807</v>
      </c>
    </row>
    <row r="26" spans="9:9">
      <c r="I26" t="s">
        <v>808</v>
      </c>
    </row>
    <row r="27" spans="9:9">
      <c r="I27" t="s">
        <v>809</v>
      </c>
    </row>
    <row r="28" spans="9:9">
      <c r="I28" t="s">
        <v>810</v>
      </c>
    </row>
    <row r="29" spans="9:9">
      <c r="I29" t="s">
        <v>811</v>
      </c>
    </row>
    <row r="30" spans="9:9">
      <c r="I30" t="s">
        <v>812</v>
      </c>
    </row>
    <row r="31" spans="9:9">
      <c r="I31" t="s">
        <v>813</v>
      </c>
    </row>
    <row r="32" spans="9:9">
      <c r="I32" t="s">
        <v>814</v>
      </c>
    </row>
    <row r="33" spans="9:9">
      <c r="I33" t="s">
        <v>815</v>
      </c>
    </row>
    <row r="34" spans="9:9">
      <c r="I34" t="s">
        <v>816</v>
      </c>
    </row>
    <row r="35" spans="9:9">
      <c r="I35" t="s">
        <v>817</v>
      </c>
    </row>
    <row r="36" spans="9:9">
      <c r="I36" t="s">
        <v>818</v>
      </c>
    </row>
    <row r="37" spans="9:9">
      <c r="I37" t="s">
        <v>819</v>
      </c>
    </row>
    <row r="38" spans="9:9">
      <c r="I38" t="s">
        <v>820</v>
      </c>
    </row>
    <row r="39" spans="9:9">
      <c r="I39" t="s">
        <v>821</v>
      </c>
    </row>
    <row r="40" spans="9:9">
      <c r="I40" t="s">
        <v>822</v>
      </c>
    </row>
    <row r="41" spans="9:9">
      <c r="I41" t="s">
        <v>823</v>
      </c>
    </row>
    <row r="42" spans="9:9">
      <c r="I42" t="s">
        <v>824</v>
      </c>
    </row>
    <row r="43" spans="9:9">
      <c r="I43" t="s">
        <v>825</v>
      </c>
    </row>
    <row r="44" spans="9:9">
      <c r="I44" t="s">
        <v>826</v>
      </c>
    </row>
    <row r="45" spans="9:9">
      <c r="I45" t="s">
        <v>827</v>
      </c>
    </row>
    <row r="46" spans="9:9">
      <c r="I46" t="s">
        <v>828</v>
      </c>
    </row>
    <row r="47" spans="9:9">
      <c r="I47" t="s">
        <v>829</v>
      </c>
    </row>
    <row r="48" spans="9:9">
      <c r="I48" t="s">
        <v>830</v>
      </c>
    </row>
    <row r="49" spans="9:9">
      <c r="I49" t="s">
        <v>831</v>
      </c>
    </row>
    <row r="50" spans="9:9">
      <c r="I50" t="s">
        <v>832</v>
      </c>
    </row>
    <row r="51" spans="9:9">
      <c r="I51" t="s">
        <v>833</v>
      </c>
    </row>
    <row r="52" spans="9:9">
      <c r="I52" t="s">
        <v>834</v>
      </c>
    </row>
    <row r="53" spans="9:9">
      <c r="I53" t="s">
        <v>835</v>
      </c>
    </row>
    <row r="54" spans="9:9">
      <c r="I54" t="s">
        <v>836</v>
      </c>
    </row>
    <row r="55" spans="9:9">
      <c r="I55" t="s">
        <v>837</v>
      </c>
    </row>
    <row r="56" spans="9:9">
      <c r="I56" t="s">
        <v>838</v>
      </c>
    </row>
    <row r="57" spans="9:9">
      <c r="I57" t="s">
        <v>839</v>
      </c>
    </row>
    <row r="58" spans="9:9">
      <c r="I58" t="s">
        <v>840</v>
      </c>
    </row>
    <row r="59" spans="9:9">
      <c r="I59" t="s">
        <v>841</v>
      </c>
    </row>
    <row r="60" spans="9:9">
      <c r="I60" t="s">
        <v>842</v>
      </c>
    </row>
    <row r="61" spans="9:9">
      <c r="I61" t="s">
        <v>843</v>
      </c>
    </row>
    <row r="62" spans="9:9">
      <c r="I62" t="s">
        <v>844</v>
      </c>
    </row>
    <row r="63" spans="9:9">
      <c r="I63" t="s">
        <v>845</v>
      </c>
    </row>
    <row r="64" spans="9:9">
      <c r="I64" t="s">
        <v>846</v>
      </c>
    </row>
    <row r="65" spans="9:9">
      <c r="I65" t="s">
        <v>847</v>
      </c>
    </row>
    <row r="66" spans="9:9">
      <c r="I66" t="s">
        <v>848</v>
      </c>
    </row>
    <row r="67" spans="9:9">
      <c r="I67" t="s">
        <v>849</v>
      </c>
    </row>
    <row r="68" spans="9:9">
      <c r="I68" t="s">
        <v>850</v>
      </c>
    </row>
    <row r="69" spans="9:9">
      <c r="I69" t="s">
        <v>851</v>
      </c>
    </row>
    <row r="70" spans="9:9">
      <c r="I70" t="s">
        <v>852</v>
      </c>
    </row>
    <row r="71" spans="9:9">
      <c r="I71" t="s">
        <v>853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854</v>
      </c>
      <c r="D1" s="1" t="s">
        <v>855</v>
      </c>
      <c r="E1" s="1" t="s">
        <v>856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2026-05-26T08:58:00Z</dcterms:created>
  <dcterms:modified xsi:type="dcterms:W3CDTF">2026-09-09T07:56:33Z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