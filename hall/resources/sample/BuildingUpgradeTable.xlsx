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BuildingUpgradeTable" sheetId="1" r:id="rId1"/>
    <sheet name="Sheet1" sheetId="2" r:id="rId2"/>
    <sheet name="Sheet2" sheetId="3" r:id="rId3"/>
    <sheet name="Sheet3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建筑ID：1101 的等级上限 与 【研发部】的等级上限保持一致；其它的自由配置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交互人员+等待人员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空值表示不需要道具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1.娱乐区和休息区表示每分钟的产出数量
2.管理区的值表示等级的上限值，不自产
3.研究院等级解锁的是游戏ID；
4.所有区域配置的值都是相对值，比如说1级配的是1000,2级配的是2000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仅有交互点的设备。
例 SLOT机台，捕鱼机台、扑克机台、休息区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填写交互点ID。
SLOT交互点ID：默认1 
捕鱼和扑克交互点ID：默认 1 2 3 4 5 6  设计为6个交互位置
休息区交互点ID：默认 1 2   每条沙发设计为2个交互位置  
书与格式：设备ID交互点ID
例 设备ID 100001
交互点ID：1 2 3 4 5 6  即【 1000011 】   除去设备ID，剩余的数字为交互点ID 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装饰ID，没有交互点 直填写ID即可</t>
        </r>
      </text>
    </comment>
    <comment ref="P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注：建筑ID：1101  的CD时间与 【研发部】 的CD时间要保持一致。其它建筑CD时间自由配置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每一大级间有小级
小级点击需要的道具_数量</t>
        </r>
      </text>
    </comment>
  </commentList>
</comments>
</file>

<file path=xl/sharedStrings.xml><?xml version="1.0" encoding="utf-8"?>
<sst xmlns="http://schemas.openxmlformats.org/spreadsheetml/2006/main" count="5251" uniqueCount="412">
  <si>
    <t>ID</t>
  </si>
  <si>
    <t>建筑ID</t>
  </si>
  <si>
    <t>名称</t>
  </si>
  <si>
    <t>游戏</t>
  </si>
  <si>
    <t>经营等级</t>
  </si>
  <si>
    <t>等级</t>
  </si>
  <si>
    <t>最大交互数量</t>
  </si>
  <si>
    <t>升级消耗道具</t>
  </si>
  <si>
    <t>建筑基础属性</t>
  </si>
  <si>
    <t>升级奖励</t>
  </si>
  <si>
    <t>多语言</t>
  </si>
  <si>
    <t>解锁设备</t>
  </si>
  <si>
    <t>交互点ID</t>
  </si>
  <si>
    <t>解锁装饰</t>
  </si>
  <si>
    <t>建筑升级CD时间（min）</t>
  </si>
  <si>
    <t>每级消耗</t>
  </si>
  <si>
    <t>int</t>
  </si>
  <si>
    <t>map&lt;int{_}long&gt;{|}</t>
  </si>
  <si>
    <t>long</t>
  </si>
  <si>
    <t>list&lt;int&gt;{_}</t>
  </si>
  <si>
    <t>list&lt;list&lt;int&gt;{_}&gt;{,}</t>
  </si>
  <si>
    <t>id</t>
  </si>
  <si>
    <t>BuildingID</t>
  </si>
  <si>
    <t>NeedLevel</t>
  </si>
  <si>
    <t>level</t>
  </si>
  <si>
    <t>MaxInteractionCount</t>
  </si>
  <si>
    <t>UpgradeCost</t>
  </si>
  <si>
    <t>UpgradeOutput</t>
  </si>
  <si>
    <t>UpgradeExp</t>
  </si>
  <si>
    <t>UpgradeReward</t>
  </si>
  <si>
    <t>text</t>
  </si>
  <si>
    <t>UnlockEquipment</t>
  </si>
  <si>
    <t>UnlockInteractionId</t>
  </si>
  <si>
    <t>UnlockDecorationId</t>
  </si>
  <si>
    <t>UpgradeCD</t>
  </si>
  <si>
    <t>CostPerLevel</t>
  </si>
  <si>
    <t>富贵厅</t>
  </si>
  <si>
    <t>愤怒的小鸟</t>
  </si>
  <si>
    <t>1980000_10</t>
  </si>
  <si>
    <t>1022505_200|1980000_50</t>
  </si>
  <si>
    <t>1101101_1101102_1101103_1101104_1101105_1101106</t>
  </si>
  <si>
    <t>11011011_11011021_11011031_11011041_11011051_11011061</t>
  </si>
  <si>
    <t>1101274_1101275_1101276_1101256_1101261_1101263_1101266_1101269_1101257</t>
  </si>
  <si>
    <t>1990000_1000,1990000_1100,1990000_1200,1990000_1300,1990000_1400,1990000_1500,1990000_1600,1990000_1700,1990000_1800</t>
  </si>
  <si>
    <t>1980000_15</t>
  </si>
  <si>
    <t>1022505_300|1980000_50</t>
  </si>
  <si>
    <t>1101107_1101108_1101109</t>
  </si>
  <si>
    <t>11011071_11011081_11011091</t>
  </si>
  <si>
    <t>1990000_2000,1990000_2200,1990000_2400,1990000_2600,1990000_2800,1990000_3000,1990000_3200,1990000_3400,1990000_3600</t>
  </si>
  <si>
    <t>1980000_20</t>
  </si>
  <si>
    <t>1022505_400|1980000_50</t>
  </si>
  <si>
    <t>1101110_1101111_1101112</t>
  </si>
  <si>
    <t>11011101_11011111_11011121</t>
  </si>
  <si>
    <t>1990000_3000,1990000_3300,1990000_3600,1990000_3900,1990000_4200,1990000_4500,1990000_4800,1990000_5100,1990000_5400</t>
  </si>
  <si>
    <t>1980000_25</t>
  </si>
  <si>
    <t>1022505_500|1980000_50</t>
  </si>
  <si>
    <t>1990000_4000,1990000_4400,1990000_4800,1990000_5200,1990000_5600,1990000_6000,1990000_6400,1990000_6800,1990000_7200</t>
  </si>
  <si>
    <t>1980000_30</t>
  </si>
  <si>
    <t>1022505_600|1980000_50</t>
  </si>
  <si>
    <t>1990000_5000,1990000_5500,1990000_6000,1990000_6500,1990000_7000,1990000_7500,1990000_8000,1990000_8500,1990000_9000</t>
  </si>
  <si>
    <t>1980000_35</t>
  </si>
  <si>
    <t>1022505_700|1980000_50</t>
  </si>
  <si>
    <t>1990000_6000,1990000_6600,1990000_7200,1990000_7800,1990000_8400,1990000_9000,1990000_9600,1990000_10200,1990000_10800</t>
  </si>
  <si>
    <t>1980000_40</t>
  </si>
  <si>
    <t>1022505_800|1980000_50</t>
  </si>
  <si>
    <t>1990000_7000,1990000_7700,1990000_8400,1990000_9100,1990000_9800,1990000_10500,1990000_11200,1990000_11900,1990000_12600</t>
  </si>
  <si>
    <t>1980000_45</t>
  </si>
  <si>
    <t>1022505_900|1980000_50</t>
  </si>
  <si>
    <t>1990000_8000,1990000_8800,1990000_9600,1990000_10400,1990000_11200,1990000_12000,1990000_12800,1990000_13600,1990000_14400</t>
  </si>
  <si>
    <t>1980000_50</t>
  </si>
  <si>
    <t>1022505_1000|1980000_50</t>
  </si>
  <si>
    <t>1990000_9000,1990000_9900,1990000_10800,1990000_11700,1990000_12600,1990000_13500,1990000_14400,1990000_15300,1990000_16200</t>
  </si>
  <si>
    <t>1980000_55</t>
  </si>
  <si>
    <t>1022505_1100|1980000_50</t>
  </si>
  <si>
    <t>1990000_10000,1990000_11000,1990000_12000,1990000_13000,1990000_14000,1990000_15000,1990000_16000,1990000_17000,1990000_18000</t>
  </si>
  <si>
    <t>1980000_60</t>
  </si>
  <si>
    <t>1022505_1200</t>
  </si>
  <si>
    <t>1990000_11000,1990000_12100,1990000_13200,1990000_14300,1990000_15400,1990000_16500,1990000_17600,1990000_18700,1990000_19800</t>
  </si>
  <si>
    <t>1980000_65</t>
  </si>
  <si>
    <t>1022505_1300</t>
  </si>
  <si>
    <t>1990000_12000,1990000_13200,1990000_14400,1990000_15600,1990000_16800,1990000_18000,1990000_19200,1990000_20400,1990000_21600</t>
  </si>
  <si>
    <t>1980000_70</t>
  </si>
  <si>
    <t>1022505_1400</t>
  </si>
  <si>
    <t>1990000_13000,1990000_14300,1990000_15600,1990000_16900,1990000_18200,1990000_19500,1990000_20800,1990000_22100,1990000_23400</t>
  </si>
  <si>
    <t>1980000_75</t>
  </si>
  <si>
    <t>1022505_1500</t>
  </si>
  <si>
    <t>1990000_14000,1990000_15400,1990000_16800,1990000_18200,1990000_19600,1990000_21000,1990000_22400,1990000_23800,1990000_25200</t>
  </si>
  <si>
    <t>1980000_80</t>
  </si>
  <si>
    <t>1022505_1600</t>
  </si>
  <si>
    <t>1990000_15000,1990000_16500,1990000_18000,1990000_19500,1990000_21000,1990000_22500,1990000_24000,1990000_25500,1990000_27000</t>
  </si>
  <si>
    <t>1980000_85</t>
  </si>
  <si>
    <t>1022505_1700</t>
  </si>
  <si>
    <t>1990000_16000,1990000_17600,1990000_19200,1990000_20800,1990000_22400,1990000_24000,1990000_25600,1990000_27200,1990000_28800</t>
  </si>
  <si>
    <t>1980000_90</t>
  </si>
  <si>
    <t>1022505_1800</t>
  </si>
  <si>
    <t>1990000_17000,1990000_18700,1990000_20400,1990000_22100,1990000_23800,1990000_25500,1990000_27200,1990000_28900,1990000_30600</t>
  </si>
  <si>
    <t>1980000_95</t>
  </si>
  <si>
    <t>1022505_1900</t>
  </si>
  <si>
    <t>1990000_18000,1990000_19800,1990000_21600,1990000_23400,1990000_25200,1990000_27000,1990000_28800,1990000_30600,1990000_32400</t>
  </si>
  <si>
    <t>1980000_100</t>
  </si>
  <si>
    <t>1022505_2000</t>
  </si>
  <si>
    <t>1990000_19000,1990000_20900,1990000_22800,1990000_24700,1990000_26600,1990000_28500,1990000_30400,1990000_32300,1990000_34200</t>
  </si>
  <si>
    <t>1980000_105</t>
  </si>
  <si>
    <t>1022505_2100</t>
  </si>
  <si>
    <t>1990000_20000,1990000_22000,1990000_24000,1990000_26000,1990000_28000,1990000_30000,1990000_32000,1990000_34000,1990000_36000</t>
  </si>
  <si>
    <t>1980000_110</t>
  </si>
  <si>
    <t>1022505_2200</t>
  </si>
  <si>
    <t>1990000_21000,1990000_23100,1990000_25200,1990000_27300,1990000_29400,1990000_31500,1990000_33600,1990000_35700,1990000_37800</t>
  </si>
  <si>
    <t>1980000_115</t>
  </si>
  <si>
    <t>1022505_2300</t>
  </si>
  <si>
    <t>1990000_22000,1990000_24200,1990000_26400,1990000_28600,1990000_30800,1990000_33000,1990000_35200,1990000_37400,1990000_39600</t>
  </si>
  <si>
    <t>1980000_120</t>
  </si>
  <si>
    <t>1022505_2400</t>
  </si>
  <si>
    <t>1990000_23000,1990000_25300,1990000_27600,1990000_29900,1990000_32200,1990000_34500,1990000_36800,1990000_39100,1990000_41400</t>
  </si>
  <si>
    <t>1980000_125</t>
  </si>
  <si>
    <t>1022505_2500</t>
  </si>
  <si>
    <t>1990000_24000,1990000_26400,1990000_28800,1990000_31200,1990000_33600,1990000_36000,1990000_38400,1990000_40800,1990000_43200</t>
  </si>
  <si>
    <t>1980000_130</t>
  </si>
  <si>
    <t>1022505_2600</t>
  </si>
  <si>
    <t>1990000_25000,1990000_27500,1990000_30000,1990000_32500,1990000_35000,1990000_37500,1990000_40000,1990000_42500,1990000_45000</t>
  </si>
  <si>
    <t>1980000_135</t>
  </si>
  <si>
    <t>1022505_2700</t>
  </si>
  <si>
    <t>1990000_26000,1990000_28600,1990000_31200,1990000_33800,1990000_36400,1990000_39000,1990000_41600,1990000_44200,1990000_46800</t>
  </si>
  <si>
    <t>1980000_140</t>
  </si>
  <si>
    <t>1022505_2800</t>
  </si>
  <si>
    <t>1990000_27000,1990000_29700,1990000_32400,1990000_35100,1990000_37800,1990000_40500,1990000_43200,1990000_45900,1990000_48600</t>
  </si>
  <si>
    <t>1980000_145</t>
  </si>
  <si>
    <t>1022505_2900</t>
  </si>
  <si>
    <t>1990000_28000,1990000_30800,1990000_33600,1990000_36400,1990000_39200,1990000_42000,1990000_44800,1990000_47600,1990000_50400</t>
  </si>
  <si>
    <t>1980000_150</t>
  </si>
  <si>
    <t>1022505_3000</t>
  </si>
  <si>
    <t>1990000_29000,1990000_31900,1990000_34800,1990000_37700,1990000_40600,1990000_43500,1990000_46400,1990000_49300,1990000_52200</t>
  </si>
  <si>
    <t>1980000_155</t>
  </si>
  <si>
    <t>1022505_3100</t>
  </si>
  <si>
    <t>1990000_30000,1990000_33000,1990000_36000,1990000_39000,1990000_42000,1990000_45000,1990000_48000,1990000_51000,1990000_54000</t>
  </si>
  <si>
    <t>1980000_160</t>
  </si>
  <si>
    <t>1022505_3200</t>
  </si>
  <si>
    <t>1990000_31000,1990000_34100,1990000_37200,1990000_40300,1990000_43400,1990000_46500,1990000_49600,1990000_52700,1990000_55800</t>
  </si>
  <si>
    <t>1980000_165</t>
  </si>
  <si>
    <t>1022505_3300</t>
  </si>
  <si>
    <t>1990000_32000,1990000_35200,1990000_38400,1990000_41600,1990000_44800,1990000_48000,1990000_51200,1990000_54400,1990000_57600</t>
  </si>
  <si>
    <t>1980000_170</t>
  </si>
  <si>
    <t>1022505_3400</t>
  </si>
  <si>
    <t>1990000_33000,1990000_36300,1990000_39600,1990000_42900,1990000_46200,1990000_49500,1990000_52800,1990000_56100,1990000_59400</t>
  </si>
  <si>
    <t>1980000_175</t>
  </si>
  <si>
    <t>1022505_3500</t>
  </si>
  <si>
    <t>1990000_34000,1990000_37400,1990000_40800,1990000_44200,1990000_47600,1990000_51000,1990000_54400,1990000_57800,1990000_61200</t>
  </si>
  <si>
    <t>1980000_180</t>
  </si>
  <si>
    <t>1022505_3600</t>
  </si>
  <si>
    <t>1990000_35000,1990000_38500,1990000_42000,1990000_45500,1990000_49000,1990000_52500,1990000_56000,1990000_59500,1990000_63000</t>
  </si>
  <si>
    <t>1980000_185</t>
  </si>
  <si>
    <t>1022505_3700</t>
  </si>
  <si>
    <t>1990000_36000,1990000_39600,1990000_43200,1990000_46800,1990000_50400,1990000_54000,1990000_57600,1990000_61200,1990000_64800</t>
  </si>
  <si>
    <t>1980000_190</t>
  </si>
  <si>
    <t>1022505_3800</t>
  </si>
  <si>
    <t>1990000_37000,1990000_40700,1990000_44400,1990000_48100,1990000_51800,1990000_55500,1990000_59200,1990000_62900,1990000_66600</t>
  </si>
  <si>
    <t>1980000_195</t>
  </si>
  <si>
    <t>1022505_3900</t>
  </si>
  <si>
    <t>1990000_38000,1990000_41800,1990000_45600,1990000_49400,1990000_53200,1990000_57000,1990000_60800,1990000_64600,1990000_68400</t>
  </si>
  <si>
    <t>1980000_200</t>
  </si>
  <si>
    <t>1022505_4000</t>
  </si>
  <si>
    <t>1990000_39000,1990000_42900,1990000_46800,1990000_50700,1990000_54600,1990000_58500,1990000_62400,1990000_66300,1990000_70200</t>
  </si>
  <si>
    <t>1980000_205</t>
  </si>
  <si>
    <t>1022505_4100</t>
  </si>
  <si>
    <t>1990000_40000,1990000_44000,1990000_48000,1990000_52000,1990000_56000,1990000_60000,1990000_64000,1990000_68000,1990000_72000</t>
  </si>
  <si>
    <t>1980000_210</t>
  </si>
  <si>
    <t>1022505_4200</t>
  </si>
  <si>
    <t>1990000_41000,1990000_45100,1990000_49200,1990000_53300,1990000_57400,1990000_61500,1990000_65600,1990000_69700,1990000_73800</t>
  </si>
  <si>
    <t>1980000_215</t>
  </si>
  <si>
    <t>1022505_4300</t>
  </si>
  <si>
    <t>1990000_42000,1990000_46200,1990000_50400,1990000_54600,1990000_58800,1990000_63000,1990000_67200,1990000_71400,1990000_75600</t>
  </si>
  <si>
    <t>1980000_220</t>
  </si>
  <si>
    <t>1022505_4400</t>
  </si>
  <si>
    <t>1990000_43000,1990000_47300,1990000_51600,1990000_55900,1990000_60200,1990000_64500,1990000_68800,1990000_73100,1990000_77400</t>
  </si>
  <si>
    <t>1980000_225</t>
  </si>
  <si>
    <t>1022505_4500</t>
  </si>
  <si>
    <t>1990000_44000,1990000_48400,1990000_52800,1990000_57200,1990000_61600,1990000_66000,1990000_70400,1990000_74800,1990000_79200</t>
  </si>
  <si>
    <t>1980000_230</t>
  </si>
  <si>
    <t>1022505_4600</t>
  </si>
  <si>
    <t>1990000_45000,1990000_49500,1990000_54000,1990000_58500,1990000_63000,1990000_67500,1990000_72000,1990000_76500,1990000_81000</t>
  </si>
  <si>
    <t>1980000_235</t>
  </si>
  <si>
    <t>1022505_4700</t>
  </si>
  <si>
    <t>1990000_46000,1990000_50600,1990000_55200,1990000_59800,1990000_64400,1990000_69000,1990000_73600,1990000_78200,1990000_82800</t>
  </si>
  <si>
    <t>1980000_240</t>
  </si>
  <si>
    <t>1022505_4800</t>
  </si>
  <si>
    <t>1990000_47000,1990000_51700,1990000_56400,1990000_61100,1990000_65800,1990000_70500,1990000_75200,1990000_79900,1990000_84600</t>
  </si>
  <si>
    <t>1980000_245</t>
  </si>
  <si>
    <t>1022505_4900</t>
  </si>
  <si>
    <t>1990000_48000,1990000_52800,1990000_57600,1990000_62400,1990000_67200,1990000_72000,1990000_76800,1990000_81600,1990000_86400</t>
  </si>
  <si>
    <t>1980000_250</t>
  </si>
  <si>
    <t>1022505_5000</t>
  </si>
  <si>
    <t>1990000_49000,1990000_53900,1990000_58800,1990000_63700,1990000_68600,1990000_73500,1990000_78400,1990000_83300,1990000_88200</t>
  </si>
  <si>
    <t>1980000_255</t>
  </si>
  <si>
    <t>1022505_5100</t>
  </si>
  <si>
    <t>1990000_50000,1990000_55000,1990000_60000,1990000_65000,1990000_70000,1990000_75000,1990000_80000,1990000_85000,1990000_90000</t>
  </si>
  <si>
    <t>1980000_260</t>
  </si>
  <si>
    <t>1022505_5200</t>
  </si>
  <si>
    <t>1990000_51000,1990000_56100,1990000_61200,1990000_66300,1990000_71400,1990000_76500,1990000_81600,1990000_86700,1990000_91800</t>
  </si>
  <si>
    <t>1980000_265</t>
  </si>
  <si>
    <t>1022505_5300</t>
  </si>
  <si>
    <t>1990000_52000,1990000_57200,1990000_62400,1990000_67600,1990000_72800,1990000_78000,1990000_83200,1990000_88400,1990000_93600</t>
  </si>
  <si>
    <t>1980000_270</t>
  </si>
  <si>
    <t>1022505_5400</t>
  </si>
  <si>
    <t>1990000_53000,1990000_58300,1990000_63600,1990000_68900,1990000_74200,1990000_79500,1990000_84800,1990000_90100,1990000_95400</t>
  </si>
  <si>
    <t>1980000_275</t>
  </si>
  <si>
    <t>1022505_5500</t>
  </si>
  <si>
    <t>1990000_54000,1990000_59400,1990000_64800,1990000_70200,1990000_75600,1990000_81000,1990000_86400,1990000_91800,1990000_97200</t>
  </si>
  <si>
    <t>1980000_280</t>
  </si>
  <si>
    <t>1022505_5600</t>
  </si>
  <si>
    <t>1990000_55000,1990000_60500,1990000_66000,1990000_71500,1990000_77000,1990000_82500,1990000_88000,1990000_93500,1990000_99000</t>
  </si>
  <si>
    <t>1980000_285</t>
  </si>
  <si>
    <t>1022505_5700</t>
  </si>
  <si>
    <t>1990000_56000,1990000_61600,1990000_67200,1990000_72800,1990000_78400,1990000_84000,1990000_89600,1990000_95200,1990000_100800</t>
  </si>
  <si>
    <t>1980000_290</t>
  </si>
  <si>
    <t>1022505_5800</t>
  </si>
  <si>
    <t>1990000_57000,1990000_62700,1990000_68400,1990000_74100,1990000_79800,1990000_85500,1990000_91200,1990000_96900,1990000_102600</t>
  </si>
  <si>
    <t>1980000_295</t>
  </si>
  <si>
    <t>1022505_5900</t>
  </si>
  <si>
    <t>1990000_58000,1990000_63800,1990000_69600,1990000_75400,1990000_81200,1990000_87000,1990000_92800,1990000_98600,1990000_104400</t>
  </si>
  <si>
    <t>1980000_300</t>
  </si>
  <si>
    <t>1022505_6000</t>
  </si>
  <si>
    <t>1990000_59000,1990000_64900,1990000_70800,1990000_76700,1990000_82600,1990000_88500,1990000_94400,1990000_100300,1990000_106200</t>
  </si>
  <si>
    <t>1980000_305</t>
  </si>
  <si>
    <t>1022505_6100</t>
  </si>
  <si>
    <t>1990000_60000,1990000_66000,1990000_72000,1990000_78000,1990000_84000,1990000_90000,1990000_96000,1990000_102000,1990000_108000</t>
  </si>
  <si>
    <t>贵宾厅</t>
  </si>
  <si>
    <t>象财神</t>
  </si>
  <si>
    <t>1102101_1102102_1102103_1102104_1102105_1102106</t>
  </si>
  <si>
    <t>11021011_11021021_11021031_11021041_11021051_11021061</t>
  </si>
  <si>
    <t>1102275_1102276_1102272_1102252_1102254_1102258_1102260_1102262_1102266_1102256</t>
  </si>
  <si>
    <t>1102107_1102108_1102109</t>
  </si>
  <si>
    <t>11021071_11021081_11021091</t>
  </si>
  <si>
    <t>1102110_1102111_1102112</t>
  </si>
  <si>
    <t>11021101_11021111_11021121</t>
  </si>
  <si>
    <t/>
  </si>
  <si>
    <t>1980000_310</t>
  </si>
  <si>
    <t>1980000_320</t>
  </si>
  <si>
    <t>1980000_330</t>
  </si>
  <si>
    <t>1980000_340</t>
  </si>
  <si>
    <t>1980000_350</t>
  </si>
  <si>
    <t>1980000_360</t>
  </si>
  <si>
    <t>1980000_370</t>
  </si>
  <si>
    <t>1980000_380</t>
  </si>
  <si>
    <t>1980000_390</t>
  </si>
  <si>
    <t>1980000_400</t>
  </si>
  <si>
    <t>1980000_410</t>
  </si>
  <si>
    <t>1980000_420</t>
  </si>
  <si>
    <t>1980000_430</t>
  </si>
  <si>
    <t>1980000_440</t>
  </si>
  <si>
    <t>1980000_450</t>
  </si>
  <si>
    <t>1980000_460</t>
  </si>
  <si>
    <t>1980000_470</t>
  </si>
  <si>
    <t>1980000_480</t>
  </si>
  <si>
    <t>1980000_490</t>
  </si>
  <si>
    <t>1980000_500</t>
  </si>
  <si>
    <t>1980000_510</t>
  </si>
  <si>
    <t>1980000_520</t>
  </si>
  <si>
    <t>1980000_530</t>
  </si>
  <si>
    <t>1980000_540</t>
  </si>
  <si>
    <t>1980000_550</t>
  </si>
  <si>
    <t>1980000_560</t>
  </si>
  <si>
    <t>1980000_570</t>
  </si>
  <si>
    <t>1980000_580</t>
  </si>
  <si>
    <t>1980000_590</t>
  </si>
  <si>
    <t>1980000_600</t>
  </si>
  <si>
    <t>1990000_61000,1990000_67100,1990000_73200,1990000_79300,1990000_85400,1990000_91500,1990000_97600,1990000_103700,1990000_109800</t>
  </si>
  <si>
    <t>辉煌厅</t>
  </si>
  <si>
    <t>超级明星</t>
  </si>
  <si>
    <t>1103101_1103102_1103103_1103104_1103105_1103106</t>
  </si>
  <si>
    <t>11031011_11031021_11031031_11031041_11031051_11031061</t>
  </si>
  <si>
    <t>1103269_1103272_1103254_1103258_1103260_1103259_1103261_1103264_1103255</t>
  </si>
  <si>
    <t>1103107_1103108</t>
  </si>
  <si>
    <t>11031071_11031081</t>
  </si>
  <si>
    <t>1103109_1103110</t>
  </si>
  <si>
    <t>11031091_11031101</t>
  </si>
  <si>
    <t>1990000_62000,1990000_68200,1990000_74400,1990000_80600,1990000_86800,1990000_93000,1990000_99200,1990000_105400,1990000_111600</t>
  </si>
  <si>
    <t>1990000_63000,1990000_69300,1990000_75600,1990000_81900,1990000_88200,1990000_94500,1990000_100800,1990000_107100,1990000_113400</t>
  </si>
  <si>
    <t>1990000_64000,1990000_70400,1990000_76800,1990000_83200,1990000_89600,1990000_96000,1990000_102400,1990000_108800,1990000_115200</t>
  </si>
  <si>
    <t>1990000_65000,1990000_71500,1990000_78000,1990000_84500,1990000_91000,1990000_97500,1990000_104000,1990000_110500,1990000_117000</t>
  </si>
  <si>
    <t>1990000_66000,1990000_72600,1990000_79200,1990000_85800,1990000_92400,1990000_99000,1990000_105600,1990000_112200,1990000_118800</t>
  </si>
  <si>
    <t>1990000_67000,1990000_73700,1990000_80400,1990000_87100,1990000_93800,1990000_100500,1990000_107200,1990000_113900,1990000_120600</t>
  </si>
  <si>
    <t>鸿运厅</t>
  </si>
  <si>
    <t>财神来了</t>
  </si>
  <si>
    <t>1104101_1104102_1104103_1104104_1104105_1104106</t>
  </si>
  <si>
    <t>11041011_11041021_11041031_11041041_11041051_11041061</t>
  </si>
  <si>
    <t>1104266_1104269_1104254_1104257_1104258_1104260_1104255</t>
  </si>
  <si>
    <t>1104107_1104108</t>
  </si>
  <si>
    <t>11041071_11041081</t>
  </si>
  <si>
    <t>1104109_1104110</t>
  </si>
  <si>
    <t>11041091_11041101</t>
  </si>
  <si>
    <t>尊享厅</t>
  </si>
  <si>
    <t>寒冰王座</t>
  </si>
  <si>
    <t>1105101_1105102_1105103_1105104_1105105_1105106</t>
  </si>
  <si>
    <t>11051011_11051021_11051031_11051041_11051051_11051061</t>
  </si>
  <si>
    <t>1105268_1105271_1105254_1105255_1105258_1105259_1105260_1105261</t>
  </si>
  <si>
    <t>1105107_1105108</t>
  </si>
  <si>
    <t>11051071_11051081</t>
  </si>
  <si>
    <t>1105109_1105110</t>
  </si>
  <si>
    <t>11051091_11051101</t>
  </si>
  <si>
    <t>至尊厅</t>
  </si>
  <si>
    <t>绿巨人</t>
  </si>
  <si>
    <t>1106101_1106102_1106103_1106104_1106105_1106106</t>
  </si>
  <si>
    <t>11061011_11061021_11061031_11061041_11061051_11061061</t>
  </si>
  <si>
    <t>1106266_1106268_1106257_1106258_1106259_1106260_1106262_1106264</t>
  </si>
  <si>
    <t>1106107_1106108</t>
  </si>
  <si>
    <t>11061071_11061081</t>
  </si>
  <si>
    <t>1106109_1106110</t>
  </si>
  <si>
    <t>11061091_11061101</t>
  </si>
  <si>
    <t>博弈扑克厅</t>
  </si>
  <si>
    <t>篮球巨星</t>
  </si>
  <si>
    <t>1107101_1107102_1107103_1107104_1107105</t>
  </si>
  <si>
    <t>11071011_11071021_11071031_11071041_11071051</t>
  </si>
  <si>
    <t>1107267_1107268_1107259_1107253_1107261</t>
  </si>
  <si>
    <t>1107106_1107107_1107108</t>
  </si>
  <si>
    <t>11071061_11071071_11071081</t>
  </si>
  <si>
    <t>1107109_1107110_1107111_1107112</t>
  </si>
  <si>
    <t>11071091_11071101_11071111_11071121</t>
  </si>
  <si>
    <t>沙龙扑克厅</t>
  </si>
  <si>
    <t>宙斯VS哈迪斯</t>
  </si>
  <si>
    <t>1108101_1108102_1108103_1108104_1108105</t>
  </si>
  <si>
    <t>11081011_11081021_11081031_11081041_11081051</t>
  </si>
  <si>
    <t>1108268_1108269_1108261_1108262</t>
  </si>
  <si>
    <t>1108106_1108107_1108108</t>
  </si>
  <si>
    <t>11081061_11081071_11081081</t>
  </si>
  <si>
    <t>1108109_1108110</t>
  </si>
  <si>
    <t>11081091_11081101</t>
  </si>
  <si>
    <t>1990000_68000,1990000_74800,1990000_81600,1990000_88400,1990000_95200,1990000_102000,1990000_108800,1990000_115600,1990000_122400</t>
  </si>
  <si>
    <t>1990000_69000,1990000_75900,1990000_82800,1990000_89700,1990000_96600,1990000_103500,1990000_110400,1990000_117300,1990000_124200</t>
  </si>
  <si>
    <t>精英扑克厅</t>
  </si>
  <si>
    <t>狼月</t>
  </si>
  <si>
    <t>1109101_1109102_1109103_1109104_1109105</t>
  </si>
  <si>
    <t>11091011_11091021_11091031_11091041_11091051</t>
  </si>
  <si>
    <t>1109268_1109269_1109261_1109262</t>
  </si>
  <si>
    <t>1109106_1109107_1109108</t>
  </si>
  <si>
    <t>11091061_11091071_11091081</t>
  </si>
  <si>
    <t>1109109_1109110</t>
  </si>
  <si>
    <t>11091091_11091101</t>
  </si>
  <si>
    <t>欢乐捕鱼厅</t>
  </si>
  <si>
    <t>麻将胡了</t>
  </si>
  <si>
    <t>1110101_1110102_1110103_1110104_1110105</t>
  </si>
  <si>
    <t>11101011_11101021_11101031_11101041_11101051</t>
  </si>
  <si>
    <t>1110268_1110269_1110259_1110253_1110261</t>
  </si>
  <si>
    <t>1110106_1110107_1110108</t>
  </si>
  <si>
    <t>11101061_11101071_11101081</t>
  </si>
  <si>
    <t>1110109_1110110_1110111_1110112</t>
  </si>
  <si>
    <t>11101091_11101101_11101111_11101121</t>
  </si>
  <si>
    <t>天际捕鱼厅</t>
  </si>
  <si>
    <t>雷神</t>
  </si>
  <si>
    <t>1111109_1111110_1111106_1111107_1111108</t>
  </si>
  <si>
    <t>11111091_11111101_11111061_11111071_11111081</t>
  </si>
  <si>
    <t>1111251_1111271_1111267_1111265_1111264_1111263_1111256_1111260</t>
  </si>
  <si>
    <t>1111103_1111104_1111105</t>
  </si>
  <si>
    <t>11111031_11111041_11111051</t>
  </si>
  <si>
    <t>1111102_1111101</t>
  </si>
  <si>
    <t>11111021_11111011</t>
  </si>
  <si>
    <t>1990000_70000,1990000_77000,1990000_84000,1990000_91000,1990000_98000,1990000_105000,1990000_112000,1990000_119000,1990000_126000</t>
  </si>
  <si>
    <t>1990000_71000,1990000_78100,1990000_85200,1990000_92300,1990000_99400,1990000_106500,1990000_113600,1990000_120700,1990000_127800</t>
  </si>
  <si>
    <t>富豪捕鱼厅</t>
  </si>
  <si>
    <t>杰克船长</t>
  </si>
  <si>
    <t>1112101_1112102_1112103_1112104_1112105</t>
  </si>
  <si>
    <t>11121011_11121021_11121031_11121041_11121051</t>
  </si>
  <si>
    <t>1112268_1112269_1112261_1112260_1112257</t>
  </si>
  <si>
    <t>1112106_1112107_1112108</t>
  </si>
  <si>
    <t>11121061_11121071_11121081</t>
  </si>
  <si>
    <t>1112109_1112110</t>
  </si>
  <si>
    <t>11121091_11121101</t>
  </si>
  <si>
    <t>VIP休息区</t>
  </si>
  <si>
    <t>1202101_1202103_1202105_1202107_1202109_1202111_1202113_1202115_1202117_1202119_1202121_1202123_1202125_1202127_1202129_1202131</t>
  </si>
  <si>
    <t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t>
  </si>
  <si>
    <t>1202293_1202307_1202299_1202291_1202282_1202274_1202270_1202261_1202258_1202251_1202253_1202267_1202268_1202265</t>
  </si>
  <si>
    <t>1202306_1202298_1202292_1202281</t>
  </si>
  <si>
    <t>1202300_1202259</t>
  </si>
  <si>
    <t>1202286_1202284</t>
  </si>
  <si>
    <t>1202302_1202303_1202304_1202305</t>
  </si>
  <si>
    <t>1202294_1202295_1202296_1202297</t>
  </si>
  <si>
    <t>1202287_1202288_1202289_1202290</t>
  </si>
  <si>
    <t>1202277_1202278_1202279_1202280</t>
  </si>
  <si>
    <t>1990000_72000,1990000_79200,1990000_86400,1990000_93600,1990000_100800,1990000_108000,1990000_115200,1990000_122400,1990000_129600</t>
  </si>
  <si>
    <t>1990000_74000,1990000_81400,1990000_88800,1990000_96200,1990000_103600,1990000_111000,1990000_118400,1990000_125800,1990000_133200</t>
  </si>
  <si>
    <t>1990000_76000,1990000_83600,1990000_91200,1990000_98800,1990000_106400,1990000_114000,1990000_121600,1990000_129200,1990000_136800</t>
  </si>
  <si>
    <t>1990000_78000,1990000_85800,1990000_93600,1990000_101400,1990000_109200,1990000_117000,1990000_124800,1990000_132600,1990000_140400</t>
  </si>
  <si>
    <t>1990000_80000,1990000_88000,1990000_96000,1990000_104000,1990000_112000,1990000_120000,1990000_128000,1990000_136000,1990000_144000</t>
  </si>
  <si>
    <t>1990000_82000,1990000_90200,1990000_98400,1990000_106600,1990000_114800,1990000_123000,1990000_131200,1990000_139400,1990000_147600</t>
  </si>
  <si>
    <t>1990000_84000,1990000_92400,1990000_100800,1990000_109200,1990000_117600,1990000_126000,1990000_134400,1990000_142800,1990000_151200</t>
  </si>
  <si>
    <t>1990000_86000,1990000_94600,1990000_103200,1990000_111800,1990000_120400,1990000_129000,1990000_137600,1990000_146200,1990000_154800</t>
  </si>
  <si>
    <t>1990000_88000,1990000_96800,1990000_105600,1990000_114400,1990000_123200,1990000_132000,1990000_140800,1990000_149600,1990000_158400</t>
  </si>
  <si>
    <t>1990000_90000,1990000_99000,1990000_108000,1990000_117000,1990000_126000,1990000_135000,1990000_144000,1990000_153000,1990000_162000</t>
  </si>
  <si>
    <t>1990000_92000,1990000_101200,1990000_110400,1990000_119600,1990000_128800,1990000_138000,1990000_147200,1990000_156400,1990000_165600</t>
  </si>
  <si>
    <t>1990000_94000,1990000_103400,1990000_112800,1990000_122200,1990000_131600,1990000_141000,1990000_150400,1990000_159800,1990000_169200</t>
  </si>
  <si>
    <t>1990000_96000,1990000_105600,1990000_115200,1990000_124800,1990000_134400,1990000_144000,1990000_153600,1990000_163200,1990000_172800</t>
  </si>
  <si>
    <t>1990000_98000,1990000_107800,1990000_117600,1990000_127400,1990000_137200,1990000_147000,1990000_156800,1990000_166600,1990000_176400</t>
  </si>
  <si>
    <t>1990000_100000,1990000_110000,1990000_120000,1990000_130000,1990000_140000,1990000_150000,1990000_160000,1990000_170000,1990000_180000</t>
  </si>
  <si>
    <t>1990000_102000,1990000_112200,1990000_122400,1990000_132600,1990000_142800,1990000_153000,1990000_163200,1990000_173400,1990000_183600</t>
  </si>
  <si>
    <t>1990000_104000,1990000_114400,1990000_124800,1990000_135200,1990000_145600,1990000_156000,1990000_166400,1990000_176800,1990000_187200</t>
  </si>
  <si>
    <t>1990000_106000,1990000_116600,1990000_127200,1990000_137800,1990000_148400,1990000_159000,1990000_169600,1990000_180200,1990000_190800</t>
  </si>
  <si>
    <t>1990000_108000,1990000_118800,1990000_129600,1990000_140400,1990000_151200,1990000_162000,1990000_172800,1990000_183600,1990000_194400</t>
  </si>
  <si>
    <t>1990000_110000,1990000_121000,1990000_132000,1990000_143000,1990000_154000,1990000_165000,1990000_176000,1990000_187000,1990000_198000</t>
  </si>
  <si>
    <t>1990000_112000,1990000_123200,1990000_134400,1990000_145600,1990000_156800,1990000_168000,1990000_179200,1990000_190400,1990000_201600</t>
  </si>
  <si>
    <t>1990000_114000,1990000_125400,1990000_136800,1990000_148200,1990000_159600,1990000_171000,1990000_182400,1990000_193800,1990000_205200</t>
  </si>
  <si>
    <t>1990000_116000,1990000_127600,1990000_139200,1990000_150800,1990000_162400,1990000_174000,1990000_185600,1990000_197200,1990000_208800</t>
  </si>
  <si>
    <t>1990000_118000,1990000_129800,1990000_141600,1990000_153400,1990000_165200,1990000_177000,1990000_188800,1990000_200600,1990000_212400</t>
  </si>
  <si>
    <t>1990000_120000,1990000_132000,1990000_144000,1990000_156000,1990000_168000,1990000_180000,1990000_192000,1990000_204000,1990000_216000</t>
  </si>
  <si>
    <t>接待区</t>
  </si>
  <si>
    <t>1301260_1301258</t>
  </si>
  <si>
    <t>运营部</t>
  </si>
  <si>
    <t>1303256_1303257_1303259_1303260</t>
  </si>
  <si>
    <t>营销部</t>
  </si>
  <si>
    <t>1304251_1304252_1304253</t>
  </si>
  <si>
    <t>道具</t>
  </si>
  <si>
    <t>普通升级消耗</t>
  </si>
  <si>
    <t>总计</t>
  </si>
  <si>
    <t>vip建筑升级消耗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</si>
</sst>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sz val="11"/>
      <color rgb="FFFF0000"/>
      <name val="微软雅黑"/>
      <charset val="134"/>
    </font>
    <font>
      <sz val="11"/>
      <color theme="1"/>
      <name val="微软雅黑"/>
      <charset val="134"/>
    </font>
    <font>
      <sz val="11"/>
      <color rgb="FF00B0F0"/>
      <name val="微软雅黑"/>
      <charset val="134"/>
    </font>
    <font>
      <b/>
      <sz val="11"/>
      <color theme="1"/>
      <name val="微软雅黑"/>
      <charset val="134"/>
    </font>
    <font>
      <b/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3" borderId="4" applyNumberFormat="0" applyAlignment="0" applyProtection="0">
      <alignment vertical="center"/>
    </xf>
    <xf numFmtId="0" fontId="15" fillId="4" borderId="5" applyNumberFormat="0" applyAlignment="0" applyProtection="0">
      <alignment vertical="center"/>
    </xf>
    <xf numFmtId="0" fontId="16" fillId="4" borderId="4" applyNumberFormat="0" applyAlignment="0" applyProtection="0">
      <alignment vertical="center"/>
    </xf>
    <xf numFmtId="0" fontId="17" fillId="5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</cellStyleXfs>
  <cellXfs count="35">
    <xf numFmtId="0" fontId="0" fillId="0" borderId="0" xfId="0">
      <alignment vertical="center"/>
    </xf>
    <xf numFmtId="0" fontId="1" fillId="0" borderId="0" xfId="0" applyFont="1" applyFill="1" applyBorder="1" applyAlignment="1">
      <alignment horizontal="left" vertical="center"/>
    </xf>
    <xf numFmtId="49" fontId="2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2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2" fillId="0" borderId="0" xfId="0" applyFont="1" applyFill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>
      <alignment vertical="center"/>
    </xf>
    <xf numFmtId="0" fontId="2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center" vertical="center" wrapText="1"/>
    </xf>
    <xf numFmtId="0" fontId="5" fillId="0" borderId="0" xfId="0" applyFont="1" applyFill="1" applyBorder="1" applyAlignment="1">
      <alignment horizontal="left" vertical="center" wrapText="1"/>
    </xf>
    <xf numFmtId="49" fontId="5" fillId="0" borderId="0" xfId="0" applyNumberFormat="1" applyFont="1" applyFill="1" applyBorder="1" applyAlignment="1">
      <alignment horizontal="left" vertical="center" wrapText="1"/>
    </xf>
    <xf numFmtId="0" fontId="4" fillId="0" borderId="0" xfId="0" applyFont="1" applyFill="1" applyBorder="1" applyAlignment="1">
      <alignment horizontal="left" vertical="center"/>
    </xf>
    <xf numFmtId="49" fontId="4" fillId="0" borderId="0" xfId="0" applyNumberFormat="1" applyFont="1" applyFill="1" applyBorder="1" applyAlignment="1">
      <alignment horizontal="left" vertical="center"/>
    </xf>
    <xf numFmtId="0" fontId="4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49" fontId="4" fillId="0" borderId="0" xfId="0" applyNumberFormat="1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 wrapText="1"/>
    </xf>
    <xf numFmtId="0" fontId="2" fillId="0" borderId="0" xfId="0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horizontal="center" vertical="center"/>
    </xf>
    <xf numFmtId="49" fontId="2" fillId="0" borderId="0" xfId="0" applyNumberFormat="1" applyFont="1" applyFill="1" applyBorder="1" applyAlignment="1">
      <alignment vertical="center"/>
    </xf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NumberFormat="1" applyFont="1" applyFill="1" applyBorder="1" applyAlignment="1">
      <alignment horizontal="center" vertical="center"/>
    </xf>
    <xf numFmtId="49" fontId="3" fillId="0" borderId="0" xfId="0" applyNumberFormat="1" applyFont="1" applyFill="1" applyAlignment="1">
      <alignment horizontal="left" vertical="center"/>
    </xf>
    <xf numFmtId="0" fontId="3" fillId="0" borderId="0" xfId="0" applyNumberFormat="1" applyFont="1" applyFill="1" applyBorder="1" applyAlignment="1">
      <alignment horizontal="left" vertical="center"/>
    </xf>
    <xf numFmtId="49" fontId="3" fillId="0" borderId="0" xfId="0" applyNumberFormat="1" applyFont="1" applyFill="1" applyBorder="1" applyAlignment="1">
      <alignment vertical="center"/>
    </xf>
    <xf numFmtId="0" fontId="0" fillId="0" borderId="0" xfId="0" applyAlignment="1">
      <alignment horizontal="left" vertical="center"/>
    </xf>
    <xf numFmtId="49" fontId="0" fillId="0" borderId="0" xfId="0" applyNumberFormat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964"/>
  <sheetViews>
    <sheetView tabSelected="1" zoomScale="90" zoomScaleNormal="90" workbookViewId="0">
      <pane ySplit="4" topLeftCell="A5" activePane="bottomLeft" state="frozen"/>
      <selection/>
      <selection pane="bottomLeft" activeCell="M17" sqref="M17"/>
    </sheetView>
  </sheetViews>
  <sheetFormatPr defaultColWidth="9" defaultRowHeight="20" customHeight="1"/>
  <cols>
    <col min="1" max="1" width="9.25" style="7" customWidth="1"/>
    <col min="2" max="2" width="9.875" style="7" customWidth="1"/>
    <col min="3" max="4" width="10" style="7" customWidth="1"/>
    <col min="5" max="5" width="10.25" style="7" customWidth="1"/>
    <col min="6" max="6" width="8.75" style="7" customWidth="1"/>
    <col min="7" max="7" width="19.875" style="7" customWidth="1"/>
    <col min="8" max="8" width="18.875" style="7" customWidth="1"/>
    <col min="9" max="10" width="16.5" style="7" customWidth="1"/>
    <col min="11" max="11" width="27.7666666666667" style="7" customWidth="1"/>
    <col min="12" max="12" width="9.25" style="7" customWidth="1"/>
    <col min="13" max="13" width="19.7" style="11" customWidth="1"/>
    <col min="14" max="14" width="19.7083333333333" style="11" customWidth="1"/>
    <col min="15" max="15" width="38.375" style="2" customWidth="1"/>
    <col min="16" max="16" width="22" style="12" customWidth="1"/>
    <col min="17" max="17" width="80.4416666666667" style="7" customWidth="1"/>
    <col min="18" max="16384" width="9" style="7"/>
  </cols>
  <sheetData>
    <row r="1" s="6" customFormat="1" customHeight="1" spans="1:17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4" t="s">
        <v>7</v>
      </c>
      <c r="I1" s="14" t="s">
        <v>8</v>
      </c>
      <c r="J1" s="14" t="s">
        <v>8</v>
      </c>
      <c r="K1" s="14" t="s">
        <v>9</v>
      </c>
      <c r="L1" s="14" t="s">
        <v>10</v>
      </c>
      <c r="M1" s="15" t="s">
        <v>11</v>
      </c>
      <c r="N1" s="15" t="s">
        <v>12</v>
      </c>
      <c r="O1" s="16" t="s">
        <v>13</v>
      </c>
      <c r="P1" s="14" t="s">
        <v>14</v>
      </c>
      <c r="Q1" s="14" t="s">
        <v>15</v>
      </c>
    </row>
    <row r="2" s="6" customFormat="1" customHeight="1" spans="1:17">
      <c r="A2" s="13" t="s">
        <v>16</v>
      </c>
      <c r="B2" s="13" t="s">
        <v>16</v>
      </c>
      <c r="C2" s="13"/>
      <c r="D2" s="13"/>
      <c r="E2" s="13" t="s">
        <v>16</v>
      </c>
      <c r="F2" s="13" t="s">
        <v>16</v>
      </c>
      <c r="G2" s="13" t="s">
        <v>16</v>
      </c>
      <c r="H2" s="13" t="s">
        <v>17</v>
      </c>
      <c r="I2" s="13" t="s">
        <v>18</v>
      </c>
      <c r="J2" s="13" t="s">
        <v>18</v>
      </c>
      <c r="K2" s="17" t="s">
        <v>17</v>
      </c>
      <c r="L2" s="13" t="s">
        <v>16</v>
      </c>
      <c r="M2" s="17" t="s">
        <v>19</v>
      </c>
      <c r="N2" s="17" t="s">
        <v>19</v>
      </c>
      <c r="O2" s="18" t="s">
        <v>19</v>
      </c>
      <c r="P2" s="13" t="s">
        <v>16</v>
      </c>
      <c r="Q2" s="19" t="s">
        <v>20</v>
      </c>
    </row>
    <row r="3" s="6" customFormat="1" customHeight="1" spans="1:17">
      <c r="A3" s="13" t="s">
        <v>21</v>
      </c>
      <c r="B3" s="13" t="s">
        <v>22</v>
      </c>
      <c r="C3" s="13"/>
      <c r="D3" s="13"/>
      <c r="E3" s="13" t="s">
        <v>23</v>
      </c>
      <c r="F3" s="13" t="s">
        <v>24</v>
      </c>
      <c r="G3" s="13" t="s">
        <v>25</v>
      </c>
      <c r="H3" s="13" t="s">
        <v>26</v>
      </c>
      <c r="I3" s="20" t="s">
        <v>27</v>
      </c>
      <c r="J3" s="20" t="s">
        <v>28</v>
      </c>
      <c r="K3" s="20" t="s">
        <v>29</v>
      </c>
      <c r="L3" s="19" t="s">
        <v>30</v>
      </c>
      <c r="M3" s="17" t="s">
        <v>31</v>
      </c>
      <c r="N3" s="17" t="s">
        <v>32</v>
      </c>
      <c r="O3" s="18" t="s">
        <v>33</v>
      </c>
      <c r="P3" s="21" t="s">
        <v>34</v>
      </c>
      <c r="Q3" s="21" t="s">
        <v>35</v>
      </c>
    </row>
    <row r="4" customHeight="1" spans="1:17">
      <c r="A4" s="22"/>
      <c r="B4" s="22"/>
      <c r="C4" s="22"/>
      <c r="D4" s="22"/>
      <c r="E4" s="22"/>
      <c r="F4" s="22"/>
      <c r="G4" s="22"/>
      <c r="H4" s="22"/>
      <c r="I4" s="23"/>
      <c r="J4" s="23"/>
      <c r="K4" s="23"/>
      <c r="L4" s="23"/>
      <c r="Q4" s="23"/>
    </row>
    <row r="5" s="7" customFormat="1" customHeight="1" spans="1:17">
      <c r="A5" s="22">
        <f>B5*1000+F5</f>
        <v>1101001</v>
      </c>
      <c r="B5" s="22">
        <v>1101</v>
      </c>
      <c r="C5" s="22" t="s">
        <v>36</v>
      </c>
      <c r="D5" s="22" t="s">
        <v>37</v>
      </c>
      <c r="E5" s="22">
        <v>2</v>
      </c>
      <c r="F5" s="22">
        <v>1</v>
      </c>
      <c r="G5" s="7">
        <v>11</v>
      </c>
      <c r="H5" s="22" t="s">
        <v>38</v>
      </c>
      <c r="I5" s="12">
        <v>100</v>
      </c>
      <c r="J5" s="12">
        <v>100</v>
      </c>
      <c r="K5" s="12" t="s">
        <v>39</v>
      </c>
      <c r="L5" s="12"/>
      <c r="M5" s="11" t="s">
        <v>40</v>
      </c>
      <c r="N5" s="11" t="s">
        <v>41</v>
      </c>
      <c r="O5" s="2" t="s">
        <v>42</v>
      </c>
      <c r="P5" s="24">
        <v>1</v>
      </c>
      <c r="Q5" s="25" t="s">
        <v>43</v>
      </c>
    </row>
    <row r="6" s="7" customFormat="1" customHeight="1" spans="1:17">
      <c r="A6" s="22">
        <f>B6*1000+F6</f>
        <v>1101002</v>
      </c>
      <c r="B6" s="22">
        <v>1101</v>
      </c>
      <c r="C6" s="22" t="s">
        <v>36</v>
      </c>
      <c r="D6" s="22" t="s">
        <v>37</v>
      </c>
      <c r="E6" s="22">
        <v>2</v>
      </c>
      <c r="F6" s="22">
        <v>2</v>
      </c>
      <c r="G6" s="7">
        <v>14</v>
      </c>
      <c r="H6" s="22" t="s">
        <v>44</v>
      </c>
      <c r="I6" s="12">
        <v>200</v>
      </c>
      <c r="J6" s="12">
        <v>200</v>
      </c>
      <c r="K6" s="12" t="s">
        <v>45</v>
      </c>
      <c r="L6" s="12"/>
      <c r="M6" s="11" t="s">
        <v>46</v>
      </c>
      <c r="N6" s="11" t="s">
        <v>47</v>
      </c>
      <c r="O6" s="2">
        <v>1101268</v>
      </c>
      <c r="P6" s="24">
        <v>2</v>
      </c>
      <c r="Q6" s="25" t="s">
        <v>48</v>
      </c>
    </row>
    <row r="7" s="7" customFormat="1" customHeight="1" spans="1:17">
      <c r="A7" s="22">
        <f t="shared" ref="A7:A38" si="0">B7*1000+F7</f>
        <v>1101003</v>
      </c>
      <c r="B7" s="22">
        <v>1101</v>
      </c>
      <c r="C7" s="22" t="s">
        <v>36</v>
      </c>
      <c r="D7" s="22" t="s">
        <v>37</v>
      </c>
      <c r="E7" s="22">
        <v>2</v>
      </c>
      <c r="F7" s="22">
        <v>3</v>
      </c>
      <c r="G7" s="7">
        <v>17</v>
      </c>
      <c r="H7" s="22" t="s">
        <v>49</v>
      </c>
      <c r="I7" s="12">
        <v>300</v>
      </c>
      <c r="J7" s="12">
        <v>300</v>
      </c>
      <c r="K7" s="12" t="s">
        <v>50</v>
      </c>
      <c r="L7" s="12"/>
      <c r="M7" s="11" t="s">
        <v>51</v>
      </c>
      <c r="N7" s="11" t="s">
        <v>52</v>
      </c>
      <c r="O7" s="2">
        <v>1101267</v>
      </c>
      <c r="P7" s="24">
        <v>4</v>
      </c>
      <c r="Q7" s="25" t="s">
        <v>53</v>
      </c>
    </row>
    <row r="8" s="7" customFormat="1" customHeight="1" spans="1:17">
      <c r="A8" s="22">
        <f t="shared" si="0"/>
        <v>1101004</v>
      </c>
      <c r="B8" s="22">
        <v>1101</v>
      </c>
      <c r="C8" s="22" t="s">
        <v>36</v>
      </c>
      <c r="D8" s="22" t="s">
        <v>37</v>
      </c>
      <c r="E8" s="22">
        <f t="shared" ref="E8:E64" si="1">E5+1</f>
        <v>3</v>
      </c>
      <c r="F8" s="22">
        <v>4</v>
      </c>
      <c r="G8" s="7">
        <v>17</v>
      </c>
      <c r="H8" s="22" t="s">
        <v>54</v>
      </c>
      <c r="I8" s="12">
        <v>400</v>
      </c>
      <c r="J8" s="12">
        <v>400</v>
      </c>
      <c r="K8" s="12" t="s">
        <v>55</v>
      </c>
      <c r="L8" s="12"/>
      <c r="M8" s="11"/>
      <c r="N8" s="11"/>
      <c r="O8" s="2">
        <v>1101259</v>
      </c>
      <c r="P8" s="24">
        <v>6</v>
      </c>
      <c r="Q8" s="25" t="s">
        <v>56</v>
      </c>
    </row>
    <row r="9" s="7" customFormat="1" customHeight="1" spans="1:17">
      <c r="A9" s="22">
        <f t="shared" si="0"/>
        <v>1101005</v>
      </c>
      <c r="B9" s="22">
        <v>1101</v>
      </c>
      <c r="C9" s="22" t="s">
        <v>36</v>
      </c>
      <c r="D9" s="22" t="s">
        <v>37</v>
      </c>
      <c r="E9" s="22">
        <f t="shared" si="1"/>
        <v>3</v>
      </c>
      <c r="F9" s="22">
        <v>5</v>
      </c>
      <c r="G9" s="7">
        <v>17</v>
      </c>
      <c r="H9" s="22" t="s">
        <v>57</v>
      </c>
      <c r="I9" s="12">
        <v>500</v>
      </c>
      <c r="J9" s="12">
        <v>500</v>
      </c>
      <c r="K9" s="12" t="s">
        <v>58</v>
      </c>
      <c r="L9" s="12"/>
      <c r="M9" s="11"/>
      <c r="N9" s="11"/>
      <c r="O9" s="2">
        <v>1101258</v>
      </c>
      <c r="P9" s="24">
        <v>8</v>
      </c>
      <c r="Q9" s="25" t="s">
        <v>59</v>
      </c>
    </row>
    <row r="10" s="7" customFormat="1" customHeight="1" spans="1:17">
      <c r="A10" s="22">
        <f t="shared" si="0"/>
        <v>1101006</v>
      </c>
      <c r="B10" s="22">
        <v>1101</v>
      </c>
      <c r="C10" s="22" t="s">
        <v>36</v>
      </c>
      <c r="D10" s="22" t="s">
        <v>37</v>
      </c>
      <c r="E10" s="22">
        <f t="shared" si="1"/>
        <v>3</v>
      </c>
      <c r="F10" s="22">
        <v>6</v>
      </c>
      <c r="G10" s="7">
        <v>17</v>
      </c>
      <c r="H10" s="22" t="s">
        <v>60</v>
      </c>
      <c r="I10" s="12">
        <v>600</v>
      </c>
      <c r="J10" s="12">
        <v>600</v>
      </c>
      <c r="K10" s="12" t="s">
        <v>61</v>
      </c>
      <c r="L10" s="12"/>
      <c r="M10" s="11"/>
      <c r="N10" s="11"/>
      <c r="O10" s="2">
        <v>1101262</v>
      </c>
      <c r="P10" s="24">
        <v>10</v>
      </c>
      <c r="Q10" s="25" t="s">
        <v>62</v>
      </c>
    </row>
    <row r="11" s="7" customFormat="1" customHeight="1" spans="1:17">
      <c r="A11" s="22">
        <f t="shared" si="0"/>
        <v>1101007</v>
      </c>
      <c r="B11" s="22">
        <v>1101</v>
      </c>
      <c r="C11" s="22" t="s">
        <v>36</v>
      </c>
      <c r="D11" s="22" t="s">
        <v>37</v>
      </c>
      <c r="E11" s="22">
        <f t="shared" si="1"/>
        <v>4</v>
      </c>
      <c r="F11" s="22">
        <v>7</v>
      </c>
      <c r="G11" s="7">
        <v>17</v>
      </c>
      <c r="H11" s="22" t="s">
        <v>63</v>
      </c>
      <c r="I11" s="12">
        <v>700</v>
      </c>
      <c r="J11" s="12">
        <v>700</v>
      </c>
      <c r="K11" s="12" t="s">
        <v>64</v>
      </c>
      <c r="L11" s="12"/>
      <c r="M11" s="11"/>
      <c r="N11" s="11"/>
      <c r="O11" s="2">
        <v>1101265</v>
      </c>
      <c r="P11" s="24">
        <v>12</v>
      </c>
      <c r="Q11" s="25" t="s">
        <v>65</v>
      </c>
    </row>
    <row r="12" s="7" customFormat="1" customHeight="1" spans="1:17">
      <c r="A12" s="22">
        <f t="shared" si="0"/>
        <v>1101008</v>
      </c>
      <c r="B12" s="22">
        <v>1101</v>
      </c>
      <c r="C12" s="22" t="s">
        <v>36</v>
      </c>
      <c r="D12" s="22" t="s">
        <v>37</v>
      </c>
      <c r="E12" s="22">
        <f t="shared" si="1"/>
        <v>4</v>
      </c>
      <c r="F12" s="22">
        <v>8</v>
      </c>
      <c r="G12" s="7">
        <v>17</v>
      </c>
      <c r="H12" s="22" t="s">
        <v>66</v>
      </c>
      <c r="I12" s="12">
        <v>800</v>
      </c>
      <c r="J12" s="12">
        <v>800</v>
      </c>
      <c r="K12" s="12" t="s">
        <v>67</v>
      </c>
      <c r="L12" s="12"/>
      <c r="O12" s="2">
        <v>1101254</v>
      </c>
      <c r="P12" s="24">
        <v>14</v>
      </c>
      <c r="Q12" s="25" t="s">
        <v>68</v>
      </c>
    </row>
    <row r="13" s="7" customFormat="1" customHeight="1" spans="1:17">
      <c r="A13" s="22">
        <f t="shared" si="0"/>
        <v>1101009</v>
      </c>
      <c r="B13" s="22">
        <v>1101</v>
      </c>
      <c r="C13" s="22" t="s">
        <v>36</v>
      </c>
      <c r="D13" s="22" t="s">
        <v>37</v>
      </c>
      <c r="E13" s="22">
        <f t="shared" si="1"/>
        <v>4</v>
      </c>
      <c r="F13" s="22">
        <v>9</v>
      </c>
      <c r="G13" s="7">
        <v>17</v>
      </c>
      <c r="H13" s="22" t="s">
        <v>69</v>
      </c>
      <c r="I13" s="12">
        <v>900</v>
      </c>
      <c r="J13" s="12">
        <v>900</v>
      </c>
      <c r="K13" s="12" t="s">
        <v>70</v>
      </c>
      <c r="L13" s="12"/>
      <c r="O13" s="2">
        <v>1101253</v>
      </c>
      <c r="P13" s="24">
        <v>16</v>
      </c>
      <c r="Q13" s="25" t="s">
        <v>71</v>
      </c>
    </row>
    <row r="14" s="7" customFormat="1" customHeight="1" spans="1:17">
      <c r="A14" s="22">
        <f t="shared" si="0"/>
        <v>1101010</v>
      </c>
      <c r="B14" s="22">
        <v>1101</v>
      </c>
      <c r="C14" s="22" t="s">
        <v>36</v>
      </c>
      <c r="D14" s="22" t="s">
        <v>37</v>
      </c>
      <c r="E14" s="22">
        <f t="shared" si="1"/>
        <v>5</v>
      </c>
      <c r="F14" s="22">
        <v>10</v>
      </c>
      <c r="G14" s="7">
        <v>17</v>
      </c>
      <c r="H14" s="22" t="s">
        <v>72</v>
      </c>
      <c r="I14" s="12">
        <v>1000</v>
      </c>
      <c r="J14" s="12">
        <v>1000</v>
      </c>
      <c r="K14" s="12" t="s">
        <v>73</v>
      </c>
      <c r="L14" s="12"/>
      <c r="O14" s="2">
        <v>1101251</v>
      </c>
      <c r="P14" s="24">
        <v>18</v>
      </c>
      <c r="Q14" s="25" t="s">
        <v>74</v>
      </c>
    </row>
    <row r="15" s="8" customFormat="1" customHeight="1" spans="1:17">
      <c r="A15" s="22">
        <f t="shared" si="0"/>
        <v>1101011</v>
      </c>
      <c r="B15" s="22">
        <v>1101</v>
      </c>
      <c r="C15" s="22" t="s">
        <v>36</v>
      </c>
      <c r="D15" s="22" t="s">
        <v>37</v>
      </c>
      <c r="E15" s="22">
        <f t="shared" si="1"/>
        <v>5</v>
      </c>
      <c r="F15" s="22">
        <v>11</v>
      </c>
      <c r="G15" s="7">
        <v>17</v>
      </c>
      <c r="H15" s="22" t="s">
        <v>75</v>
      </c>
      <c r="I15" s="12">
        <v>1100</v>
      </c>
      <c r="J15" s="12">
        <v>1100</v>
      </c>
      <c r="K15" s="12" t="s">
        <v>76</v>
      </c>
      <c r="L15" s="12"/>
      <c r="O15" s="2">
        <v>1101252</v>
      </c>
      <c r="P15" s="24">
        <v>20</v>
      </c>
      <c r="Q15" s="25" t="s">
        <v>77</v>
      </c>
    </row>
    <row r="16" s="8" customFormat="1" customHeight="1" spans="1:17">
      <c r="A16" s="22">
        <f t="shared" si="0"/>
        <v>1101012</v>
      </c>
      <c r="B16" s="22">
        <v>1101</v>
      </c>
      <c r="C16" s="22" t="s">
        <v>36</v>
      </c>
      <c r="D16" s="22" t="s">
        <v>37</v>
      </c>
      <c r="E16" s="22">
        <f t="shared" si="1"/>
        <v>5</v>
      </c>
      <c r="F16" s="22">
        <v>12</v>
      </c>
      <c r="G16" s="7">
        <v>17</v>
      </c>
      <c r="H16" s="22" t="s">
        <v>78</v>
      </c>
      <c r="I16" s="12">
        <v>1200</v>
      </c>
      <c r="J16" s="12">
        <v>1200</v>
      </c>
      <c r="K16" s="12" t="s">
        <v>79</v>
      </c>
      <c r="L16" s="12"/>
      <c r="O16" s="2">
        <v>1101255</v>
      </c>
      <c r="P16" s="24">
        <v>22</v>
      </c>
      <c r="Q16" s="25" t="s">
        <v>80</v>
      </c>
    </row>
    <row r="17" s="8" customFormat="1" customHeight="1" spans="1:17">
      <c r="A17" s="22">
        <f t="shared" si="0"/>
        <v>1101013</v>
      </c>
      <c r="B17" s="22">
        <v>1101</v>
      </c>
      <c r="C17" s="22" t="s">
        <v>36</v>
      </c>
      <c r="D17" s="22" t="s">
        <v>37</v>
      </c>
      <c r="E17" s="22">
        <f t="shared" si="1"/>
        <v>6</v>
      </c>
      <c r="F17" s="22">
        <v>13</v>
      </c>
      <c r="G17" s="7">
        <v>17</v>
      </c>
      <c r="H17" s="22" t="s">
        <v>81</v>
      </c>
      <c r="I17" s="12">
        <v>1300</v>
      </c>
      <c r="J17" s="12">
        <v>1300</v>
      </c>
      <c r="K17" s="12" t="s">
        <v>82</v>
      </c>
      <c r="L17" s="12"/>
      <c r="M17" s="11"/>
      <c r="N17" s="11"/>
      <c r="O17" s="2">
        <v>1101260</v>
      </c>
      <c r="P17" s="24">
        <v>24</v>
      </c>
      <c r="Q17" s="25" t="s">
        <v>83</v>
      </c>
    </row>
    <row r="18" s="8" customFormat="1" customHeight="1" spans="1:17">
      <c r="A18" s="22">
        <f t="shared" si="0"/>
        <v>1101014</v>
      </c>
      <c r="B18" s="22">
        <v>1101</v>
      </c>
      <c r="C18" s="22" t="s">
        <v>36</v>
      </c>
      <c r="D18" s="22" t="s">
        <v>37</v>
      </c>
      <c r="E18" s="22">
        <f t="shared" si="1"/>
        <v>6</v>
      </c>
      <c r="F18" s="22">
        <v>14</v>
      </c>
      <c r="G18" s="7">
        <v>17</v>
      </c>
      <c r="H18" s="22" t="s">
        <v>84</v>
      </c>
      <c r="I18" s="12">
        <v>1400</v>
      </c>
      <c r="J18" s="12">
        <v>1400</v>
      </c>
      <c r="K18" s="12" t="s">
        <v>85</v>
      </c>
      <c r="L18" s="12"/>
      <c r="M18" s="11"/>
      <c r="N18" s="11"/>
      <c r="O18" s="2">
        <v>1101264</v>
      </c>
      <c r="P18" s="24">
        <v>26</v>
      </c>
      <c r="Q18" s="25" t="s">
        <v>86</v>
      </c>
    </row>
    <row r="19" s="8" customFormat="1" customHeight="1" spans="1:17">
      <c r="A19" s="22">
        <f t="shared" si="0"/>
        <v>1101015</v>
      </c>
      <c r="B19" s="22">
        <v>1101</v>
      </c>
      <c r="C19" s="22" t="s">
        <v>36</v>
      </c>
      <c r="D19" s="22" t="s">
        <v>37</v>
      </c>
      <c r="E19" s="22">
        <f t="shared" si="1"/>
        <v>6</v>
      </c>
      <c r="F19" s="22">
        <v>15</v>
      </c>
      <c r="G19" s="7">
        <v>17</v>
      </c>
      <c r="H19" s="22" t="s">
        <v>87</v>
      </c>
      <c r="I19" s="12">
        <v>1500</v>
      </c>
      <c r="J19" s="12">
        <v>1500</v>
      </c>
      <c r="K19" s="12" t="s">
        <v>88</v>
      </c>
      <c r="L19" s="12"/>
      <c r="M19" s="11"/>
      <c r="N19" s="11"/>
      <c r="O19" s="2">
        <v>1101270</v>
      </c>
      <c r="P19" s="24">
        <v>28</v>
      </c>
      <c r="Q19" s="25" t="s">
        <v>89</v>
      </c>
    </row>
    <row r="20" s="8" customFormat="1" customHeight="1" spans="1:17">
      <c r="A20" s="22">
        <f t="shared" si="0"/>
        <v>1101016</v>
      </c>
      <c r="B20" s="22">
        <v>1101</v>
      </c>
      <c r="C20" s="22" t="s">
        <v>36</v>
      </c>
      <c r="D20" s="22" t="s">
        <v>37</v>
      </c>
      <c r="E20" s="22">
        <f t="shared" si="1"/>
        <v>7</v>
      </c>
      <c r="F20" s="22">
        <v>16</v>
      </c>
      <c r="G20" s="7">
        <v>17</v>
      </c>
      <c r="H20" s="22" t="s">
        <v>90</v>
      </c>
      <c r="I20" s="12">
        <v>1600</v>
      </c>
      <c r="J20" s="12">
        <v>1600</v>
      </c>
      <c r="K20" s="12" t="s">
        <v>91</v>
      </c>
      <c r="L20" s="12"/>
      <c r="M20" s="11"/>
      <c r="N20" s="11"/>
      <c r="O20" s="2">
        <v>1101271</v>
      </c>
      <c r="P20" s="24">
        <v>30</v>
      </c>
      <c r="Q20" s="25" t="s">
        <v>92</v>
      </c>
    </row>
    <row r="21" s="8" customFormat="1" customHeight="1" spans="1:17">
      <c r="A21" s="22">
        <f t="shared" si="0"/>
        <v>1101017</v>
      </c>
      <c r="B21" s="22">
        <v>1101</v>
      </c>
      <c r="C21" s="22" t="s">
        <v>36</v>
      </c>
      <c r="D21" s="22" t="s">
        <v>37</v>
      </c>
      <c r="E21" s="22">
        <f t="shared" si="1"/>
        <v>7</v>
      </c>
      <c r="F21" s="22">
        <v>17</v>
      </c>
      <c r="G21" s="7">
        <v>17</v>
      </c>
      <c r="H21" s="22" t="s">
        <v>93</v>
      </c>
      <c r="I21" s="12">
        <v>1700</v>
      </c>
      <c r="J21" s="12">
        <v>1700</v>
      </c>
      <c r="K21" s="12" t="s">
        <v>94</v>
      </c>
      <c r="L21" s="12"/>
      <c r="M21" s="11"/>
      <c r="N21" s="11"/>
      <c r="O21" s="2">
        <v>1101272</v>
      </c>
      <c r="P21" s="24">
        <v>32</v>
      </c>
      <c r="Q21" s="25" t="s">
        <v>95</v>
      </c>
    </row>
    <row r="22" s="8" customFormat="1" customHeight="1" spans="1:17">
      <c r="A22" s="22">
        <f t="shared" si="0"/>
        <v>1101018</v>
      </c>
      <c r="B22" s="22">
        <v>1101</v>
      </c>
      <c r="C22" s="22" t="s">
        <v>36</v>
      </c>
      <c r="D22" s="22" t="s">
        <v>37</v>
      </c>
      <c r="E22" s="22">
        <f t="shared" si="1"/>
        <v>7</v>
      </c>
      <c r="F22" s="22">
        <v>18</v>
      </c>
      <c r="G22" s="7">
        <v>17</v>
      </c>
      <c r="H22" s="22" t="s">
        <v>96</v>
      </c>
      <c r="I22" s="12">
        <v>1800</v>
      </c>
      <c r="J22" s="12">
        <v>1800</v>
      </c>
      <c r="K22" s="12" t="s">
        <v>97</v>
      </c>
      <c r="L22" s="12"/>
      <c r="M22" s="11"/>
      <c r="N22" s="11"/>
      <c r="O22" s="2">
        <v>1101273</v>
      </c>
      <c r="P22" s="24">
        <v>34</v>
      </c>
      <c r="Q22" s="25" t="s">
        <v>98</v>
      </c>
    </row>
    <row r="23" s="8" customFormat="1" customHeight="1" spans="1:17">
      <c r="A23" s="22">
        <f t="shared" si="0"/>
        <v>1101019</v>
      </c>
      <c r="B23" s="22">
        <v>1101</v>
      </c>
      <c r="C23" s="22" t="s">
        <v>36</v>
      </c>
      <c r="D23" s="22" t="s">
        <v>37</v>
      </c>
      <c r="E23" s="22">
        <f t="shared" si="1"/>
        <v>8</v>
      </c>
      <c r="F23" s="22">
        <v>19</v>
      </c>
      <c r="G23" s="7">
        <v>17</v>
      </c>
      <c r="H23" s="22" t="s">
        <v>99</v>
      </c>
      <c r="I23" s="12">
        <v>1900</v>
      </c>
      <c r="J23" s="12">
        <v>1900</v>
      </c>
      <c r="K23" s="12" t="s">
        <v>100</v>
      </c>
      <c r="L23" s="12"/>
      <c r="M23" s="11"/>
      <c r="N23" s="11"/>
      <c r="O23" s="2"/>
      <c r="P23" s="24">
        <v>36</v>
      </c>
      <c r="Q23" s="25" t="s">
        <v>101</v>
      </c>
    </row>
    <row r="24" s="8" customFormat="1" customHeight="1" spans="1:17">
      <c r="A24" s="22">
        <f t="shared" si="0"/>
        <v>1101020</v>
      </c>
      <c r="B24" s="22">
        <v>1101</v>
      </c>
      <c r="C24" s="22" t="s">
        <v>36</v>
      </c>
      <c r="D24" s="22" t="s">
        <v>37</v>
      </c>
      <c r="E24" s="22">
        <f t="shared" si="1"/>
        <v>8</v>
      </c>
      <c r="F24" s="22">
        <v>20</v>
      </c>
      <c r="G24" s="7">
        <v>17</v>
      </c>
      <c r="H24" s="22" t="s">
        <v>102</v>
      </c>
      <c r="I24" s="12">
        <v>2000</v>
      </c>
      <c r="J24" s="12">
        <v>2000</v>
      </c>
      <c r="K24" s="12" t="s">
        <v>103</v>
      </c>
      <c r="L24" s="12"/>
      <c r="M24" s="11"/>
      <c r="N24" s="11"/>
      <c r="O24" s="2"/>
      <c r="P24" s="24">
        <v>38</v>
      </c>
      <c r="Q24" s="25" t="s">
        <v>104</v>
      </c>
    </row>
    <row r="25" s="8" customFormat="1" customHeight="1" spans="1:17">
      <c r="A25" s="22">
        <f t="shared" si="0"/>
        <v>1101021</v>
      </c>
      <c r="B25" s="22">
        <v>1101</v>
      </c>
      <c r="C25" s="22" t="s">
        <v>36</v>
      </c>
      <c r="D25" s="22" t="s">
        <v>37</v>
      </c>
      <c r="E25" s="22">
        <f t="shared" si="1"/>
        <v>8</v>
      </c>
      <c r="F25" s="22">
        <v>21</v>
      </c>
      <c r="G25" s="7">
        <v>17</v>
      </c>
      <c r="H25" s="22" t="s">
        <v>105</v>
      </c>
      <c r="I25" s="12">
        <v>2100</v>
      </c>
      <c r="J25" s="12">
        <v>2100</v>
      </c>
      <c r="K25" s="12" t="s">
        <v>106</v>
      </c>
      <c r="L25" s="12"/>
      <c r="M25" s="11"/>
      <c r="N25" s="11"/>
      <c r="O25" s="2"/>
      <c r="P25" s="24">
        <v>40</v>
      </c>
      <c r="Q25" s="25" t="s">
        <v>107</v>
      </c>
    </row>
    <row r="26" s="8" customFormat="1" customHeight="1" spans="1:17">
      <c r="A26" s="22">
        <f t="shared" si="0"/>
        <v>1101022</v>
      </c>
      <c r="B26" s="22">
        <v>1101</v>
      </c>
      <c r="C26" s="22" t="s">
        <v>36</v>
      </c>
      <c r="D26" s="22" t="s">
        <v>37</v>
      </c>
      <c r="E26" s="22">
        <f t="shared" si="1"/>
        <v>9</v>
      </c>
      <c r="F26" s="22">
        <v>22</v>
      </c>
      <c r="G26" s="7">
        <v>17</v>
      </c>
      <c r="H26" s="22" t="s">
        <v>108</v>
      </c>
      <c r="I26" s="12">
        <v>2200</v>
      </c>
      <c r="J26" s="12">
        <v>2200</v>
      </c>
      <c r="K26" s="12" t="s">
        <v>109</v>
      </c>
      <c r="L26" s="12"/>
      <c r="M26" s="11"/>
      <c r="N26" s="11"/>
      <c r="O26" s="2"/>
      <c r="P26" s="24">
        <v>42</v>
      </c>
      <c r="Q26" s="25" t="s">
        <v>110</v>
      </c>
    </row>
    <row r="27" s="8" customFormat="1" customHeight="1" spans="1:17">
      <c r="A27" s="22">
        <f t="shared" si="0"/>
        <v>1101023</v>
      </c>
      <c r="B27" s="22">
        <v>1101</v>
      </c>
      <c r="C27" s="22" t="s">
        <v>36</v>
      </c>
      <c r="D27" s="22" t="s">
        <v>37</v>
      </c>
      <c r="E27" s="22">
        <f t="shared" si="1"/>
        <v>9</v>
      </c>
      <c r="F27" s="22">
        <v>23</v>
      </c>
      <c r="G27" s="7">
        <v>17</v>
      </c>
      <c r="H27" s="22" t="s">
        <v>111</v>
      </c>
      <c r="I27" s="12">
        <v>2300</v>
      </c>
      <c r="J27" s="12">
        <v>2300</v>
      </c>
      <c r="K27" s="12" t="s">
        <v>112</v>
      </c>
      <c r="L27" s="12"/>
      <c r="M27" s="11"/>
      <c r="N27" s="11"/>
      <c r="O27" s="2"/>
      <c r="P27" s="24">
        <v>44</v>
      </c>
      <c r="Q27" s="25" t="s">
        <v>113</v>
      </c>
    </row>
    <row r="28" s="8" customFormat="1" customHeight="1" spans="1:17">
      <c r="A28" s="22">
        <f t="shared" si="0"/>
        <v>1101024</v>
      </c>
      <c r="B28" s="22">
        <v>1101</v>
      </c>
      <c r="C28" s="22" t="s">
        <v>36</v>
      </c>
      <c r="D28" s="22" t="s">
        <v>37</v>
      </c>
      <c r="E28" s="22">
        <f t="shared" si="1"/>
        <v>9</v>
      </c>
      <c r="F28" s="22">
        <v>24</v>
      </c>
      <c r="G28" s="7">
        <v>17</v>
      </c>
      <c r="H28" s="22" t="s">
        <v>114</v>
      </c>
      <c r="I28" s="12">
        <v>2400</v>
      </c>
      <c r="J28" s="12">
        <v>2400</v>
      </c>
      <c r="K28" s="12" t="s">
        <v>115</v>
      </c>
      <c r="L28" s="12"/>
      <c r="M28" s="11"/>
      <c r="N28" s="11"/>
      <c r="O28" s="2"/>
      <c r="P28" s="24">
        <v>46</v>
      </c>
      <c r="Q28" s="25" t="s">
        <v>116</v>
      </c>
    </row>
    <row r="29" s="8" customFormat="1" customHeight="1" spans="1:17">
      <c r="A29" s="22">
        <f t="shared" si="0"/>
        <v>1101025</v>
      </c>
      <c r="B29" s="22">
        <v>1101</v>
      </c>
      <c r="C29" s="22" t="s">
        <v>36</v>
      </c>
      <c r="D29" s="22" t="s">
        <v>37</v>
      </c>
      <c r="E29" s="22">
        <f t="shared" si="1"/>
        <v>10</v>
      </c>
      <c r="F29" s="22">
        <v>25</v>
      </c>
      <c r="G29" s="7">
        <v>17</v>
      </c>
      <c r="H29" s="22" t="s">
        <v>117</v>
      </c>
      <c r="I29" s="12">
        <v>2500</v>
      </c>
      <c r="J29" s="12">
        <v>2500</v>
      </c>
      <c r="K29" s="12" t="s">
        <v>118</v>
      </c>
      <c r="L29" s="12"/>
      <c r="M29" s="11"/>
      <c r="N29" s="11"/>
      <c r="O29" s="2"/>
      <c r="P29" s="24">
        <v>48</v>
      </c>
      <c r="Q29" s="25" t="s">
        <v>119</v>
      </c>
    </row>
    <row r="30" s="8" customFormat="1" customHeight="1" spans="1:17">
      <c r="A30" s="22">
        <f t="shared" si="0"/>
        <v>1101026</v>
      </c>
      <c r="B30" s="22">
        <v>1101</v>
      </c>
      <c r="C30" s="22" t="s">
        <v>36</v>
      </c>
      <c r="D30" s="22" t="s">
        <v>37</v>
      </c>
      <c r="E30" s="22">
        <f t="shared" si="1"/>
        <v>10</v>
      </c>
      <c r="F30" s="22">
        <v>26</v>
      </c>
      <c r="G30" s="7">
        <v>17</v>
      </c>
      <c r="H30" s="22" t="s">
        <v>120</v>
      </c>
      <c r="I30" s="12">
        <v>2600</v>
      </c>
      <c r="J30" s="12">
        <v>2600</v>
      </c>
      <c r="K30" s="12" t="s">
        <v>121</v>
      </c>
      <c r="L30" s="12"/>
      <c r="M30" s="11"/>
      <c r="N30" s="11"/>
      <c r="O30" s="2"/>
      <c r="P30" s="24">
        <v>50</v>
      </c>
      <c r="Q30" s="25" t="s">
        <v>122</v>
      </c>
    </row>
    <row r="31" s="8" customFormat="1" customHeight="1" spans="1:17">
      <c r="A31" s="22">
        <f t="shared" si="0"/>
        <v>1101027</v>
      </c>
      <c r="B31" s="22">
        <v>1101</v>
      </c>
      <c r="C31" s="22" t="s">
        <v>36</v>
      </c>
      <c r="D31" s="22" t="s">
        <v>37</v>
      </c>
      <c r="E31" s="22">
        <f t="shared" si="1"/>
        <v>10</v>
      </c>
      <c r="F31" s="22">
        <v>27</v>
      </c>
      <c r="G31" s="7">
        <v>17</v>
      </c>
      <c r="H31" s="22" t="s">
        <v>123</v>
      </c>
      <c r="I31" s="12">
        <v>2700</v>
      </c>
      <c r="J31" s="12">
        <v>2700</v>
      </c>
      <c r="K31" s="12" t="s">
        <v>124</v>
      </c>
      <c r="L31" s="12"/>
      <c r="M31" s="11"/>
      <c r="N31" s="11"/>
      <c r="O31" s="2"/>
      <c r="P31" s="24">
        <v>52</v>
      </c>
      <c r="Q31" s="25" t="s">
        <v>125</v>
      </c>
    </row>
    <row r="32" s="8" customFormat="1" customHeight="1" spans="1:17">
      <c r="A32" s="22">
        <f t="shared" si="0"/>
        <v>1101028</v>
      </c>
      <c r="B32" s="22">
        <v>1101</v>
      </c>
      <c r="C32" s="22" t="s">
        <v>36</v>
      </c>
      <c r="D32" s="22" t="s">
        <v>37</v>
      </c>
      <c r="E32" s="22">
        <f t="shared" si="1"/>
        <v>11</v>
      </c>
      <c r="F32" s="22">
        <v>28</v>
      </c>
      <c r="G32" s="7">
        <v>17</v>
      </c>
      <c r="H32" s="22" t="s">
        <v>126</v>
      </c>
      <c r="I32" s="12">
        <v>2800</v>
      </c>
      <c r="J32" s="12">
        <v>2800</v>
      </c>
      <c r="K32" s="12" t="s">
        <v>127</v>
      </c>
      <c r="L32" s="12"/>
      <c r="M32" s="11"/>
      <c r="N32" s="11"/>
      <c r="O32" s="2"/>
      <c r="P32" s="24">
        <v>54</v>
      </c>
      <c r="Q32" s="25" t="s">
        <v>128</v>
      </c>
    </row>
    <row r="33" s="8" customFormat="1" customHeight="1" spans="1:17">
      <c r="A33" s="22">
        <f t="shared" si="0"/>
        <v>1101029</v>
      </c>
      <c r="B33" s="22">
        <v>1101</v>
      </c>
      <c r="C33" s="22" t="s">
        <v>36</v>
      </c>
      <c r="D33" s="22" t="s">
        <v>37</v>
      </c>
      <c r="E33" s="22">
        <f t="shared" si="1"/>
        <v>11</v>
      </c>
      <c r="F33" s="22">
        <v>29</v>
      </c>
      <c r="G33" s="7">
        <v>17</v>
      </c>
      <c r="H33" s="22" t="s">
        <v>129</v>
      </c>
      <c r="I33" s="12">
        <v>2900</v>
      </c>
      <c r="J33" s="12">
        <v>2900</v>
      </c>
      <c r="K33" s="12" t="s">
        <v>130</v>
      </c>
      <c r="L33" s="12"/>
      <c r="M33" s="11"/>
      <c r="N33" s="11"/>
      <c r="O33" s="2"/>
      <c r="P33" s="24">
        <v>56</v>
      </c>
      <c r="Q33" s="25" t="s">
        <v>131</v>
      </c>
    </row>
    <row r="34" s="8" customFormat="1" customHeight="1" spans="1:17">
      <c r="A34" s="22">
        <f t="shared" si="0"/>
        <v>1101030</v>
      </c>
      <c r="B34" s="22">
        <v>1101</v>
      </c>
      <c r="C34" s="22" t="s">
        <v>36</v>
      </c>
      <c r="D34" s="22" t="s">
        <v>37</v>
      </c>
      <c r="E34" s="22">
        <f t="shared" si="1"/>
        <v>11</v>
      </c>
      <c r="F34" s="22">
        <v>30</v>
      </c>
      <c r="G34" s="7">
        <v>17</v>
      </c>
      <c r="H34" s="22" t="s">
        <v>132</v>
      </c>
      <c r="I34" s="12">
        <v>3000</v>
      </c>
      <c r="J34" s="12">
        <v>3000</v>
      </c>
      <c r="K34" s="12" t="s">
        <v>133</v>
      </c>
      <c r="L34" s="12"/>
      <c r="M34" s="11"/>
      <c r="N34" s="11"/>
      <c r="O34" s="2"/>
      <c r="P34" s="24">
        <v>58</v>
      </c>
      <c r="Q34" s="25" t="s">
        <v>134</v>
      </c>
    </row>
    <row r="35" s="8" customFormat="1" customHeight="1" spans="1:17">
      <c r="A35" s="22">
        <f t="shared" si="0"/>
        <v>1101031</v>
      </c>
      <c r="B35" s="22">
        <v>1101</v>
      </c>
      <c r="C35" s="22" t="s">
        <v>36</v>
      </c>
      <c r="D35" s="22" t="s">
        <v>37</v>
      </c>
      <c r="E35" s="22">
        <f t="shared" si="1"/>
        <v>12</v>
      </c>
      <c r="F35" s="22">
        <v>31</v>
      </c>
      <c r="G35" s="7">
        <v>17</v>
      </c>
      <c r="H35" s="22" t="s">
        <v>135</v>
      </c>
      <c r="I35" s="12">
        <v>3100</v>
      </c>
      <c r="J35" s="12">
        <v>3100</v>
      </c>
      <c r="K35" s="12" t="s">
        <v>136</v>
      </c>
      <c r="L35" s="12"/>
      <c r="M35" s="11"/>
      <c r="N35" s="11"/>
      <c r="O35" s="2"/>
      <c r="P35" s="24">
        <v>60</v>
      </c>
      <c r="Q35" s="25" t="s">
        <v>137</v>
      </c>
    </row>
    <row r="36" s="8" customFormat="1" customHeight="1" spans="1:17">
      <c r="A36" s="22">
        <f t="shared" si="0"/>
        <v>1101032</v>
      </c>
      <c r="B36" s="22">
        <v>1101</v>
      </c>
      <c r="C36" s="22" t="s">
        <v>36</v>
      </c>
      <c r="D36" s="22" t="s">
        <v>37</v>
      </c>
      <c r="E36" s="22">
        <f t="shared" si="1"/>
        <v>12</v>
      </c>
      <c r="F36" s="22">
        <v>32</v>
      </c>
      <c r="G36" s="7">
        <v>17</v>
      </c>
      <c r="H36" s="22" t="s">
        <v>138</v>
      </c>
      <c r="I36" s="12">
        <v>3200</v>
      </c>
      <c r="J36" s="12">
        <v>3200</v>
      </c>
      <c r="K36" s="12" t="s">
        <v>139</v>
      </c>
      <c r="L36" s="12"/>
      <c r="M36" s="11"/>
      <c r="N36" s="11"/>
      <c r="O36" s="2"/>
      <c r="P36" s="24">
        <v>62</v>
      </c>
      <c r="Q36" s="25" t="s">
        <v>140</v>
      </c>
    </row>
    <row r="37" s="8" customFormat="1" customHeight="1" spans="1:17">
      <c r="A37" s="22">
        <f t="shared" si="0"/>
        <v>1101033</v>
      </c>
      <c r="B37" s="22">
        <v>1101</v>
      </c>
      <c r="C37" s="22" t="s">
        <v>36</v>
      </c>
      <c r="D37" s="22" t="s">
        <v>37</v>
      </c>
      <c r="E37" s="22">
        <f t="shared" si="1"/>
        <v>12</v>
      </c>
      <c r="F37" s="22">
        <v>33</v>
      </c>
      <c r="G37" s="7">
        <v>17</v>
      </c>
      <c r="H37" s="22" t="s">
        <v>141</v>
      </c>
      <c r="I37" s="12">
        <v>3300</v>
      </c>
      <c r="J37" s="12">
        <v>3300</v>
      </c>
      <c r="K37" s="12" t="s">
        <v>142</v>
      </c>
      <c r="L37" s="12"/>
      <c r="M37" s="11"/>
      <c r="N37" s="11"/>
      <c r="O37" s="2"/>
      <c r="P37" s="24">
        <v>64</v>
      </c>
      <c r="Q37" s="25" t="s">
        <v>143</v>
      </c>
    </row>
    <row r="38" s="8" customFormat="1" customHeight="1" spans="1:17">
      <c r="A38" s="22">
        <f t="shared" si="0"/>
        <v>1101034</v>
      </c>
      <c r="B38" s="22">
        <v>1101</v>
      </c>
      <c r="C38" s="22" t="s">
        <v>36</v>
      </c>
      <c r="D38" s="22" t="s">
        <v>37</v>
      </c>
      <c r="E38" s="22">
        <f t="shared" si="1"/>
        <v>13</v>
      </c>
      <c r="F38" s="22">
        <v>34</v>
      </c>
      <c r="G38" s="7">
        <v>17</v>
      </c>
      <c r="H38" s="22" t="s">
        <v>144</v>
      </c>
      <c r="I38" s="12">
        <v>3400</v>
      </c>
      <c r="J38" s="12">
        <v>3400</v>
      </c>
      <c r="K38" s="12" t="s">
        <v>145</v>
      </c>
      <c r="L38" s="12"/>
      <c r="M38" s="11"/>
      <c r="N38" s="11"/>
      <c r="O38" s="2"/>
      <c r="P38" s="24">
        <v>66</v>
      </c>
      <c r="Q38" s="25" t="s">
        <v>146</v>
      </c>
    </row>
    <row r="39" s="8" customFormat="1" customHeight="1" spans="1:17">
      <c r="A39" s="22">
        <f t="shared" ref="A39:A69" si="2">B39*1000+F39</f>
        <v>1101035</v>
      </c>
      <c r="B39" s="22">
        <v>1101</v>
      </c>
      <c r="C39" s="22" t="s">
        <v>36</v>
      </c>
      <c r="D39" s="22" t="s">
        <v>37</v>
      </c>
      <c r="E39" s="22">
        <f t="shared" si="1"/>
        <v>13</v>
      </c>
      <c r="F39" s="22">
        <v>35</v>
      </c>
      <c r="G39" s="7">
        <v>17</v>
      </c>
      <c r="H39" s="22" t="s">
        <v>147</v>
      </c>
      <c r="I39" s="12">
        <v>3500</v>
      </c>
      <c r="J39" s="12">
        <v>3500</v>
      </c>
      <c r="K39" s="12" t="s">
        <v>148</v>
      </c>
      <c r="L39" s="12"/>
      <c r="M39" s="11"/>
      <c r="N39" s="11"/>
      <c r="O39" s="2"/>
      <c r="P39" s="24">
        <v>68</v>
      </c>
      <c r="Q39" s="25" t="s">
        <v>149</v>
      </c>
    </row>
    <row r="40" s="8" customFormat="1" customHeight="1" spans="1:17">
      <c r="A40" s="22">
        <f t="shared" si="2"/>
        <v>1101036</v>
      </c>
      <c r="B40" s="22">
        <v>1101</v>
      </c>
      <c r="C40" s="22" t="s">
        <v>36</v>
      </c>
      <c r="D40" s="22" t="s">
        <v>37</v>
      </c>
      <c r="E40" s="22">
        <f t="shared" si="1"/>
        <v>13</v>
      </c>
      <c r="F40" s="22">
        <v>36</v>
      </c>
      <c r="G40" s="7">
        <v>17</v>
      </c>
      <c r="H40" s="22" t="s">
        <v>150</v>
      </c>
      <c r="I40" s="12">
        <v>3600</v>
      </c>
      <c r="J40" s="12">
        <v>3600</v>
      </c>
      <c r="K40" s="12" t="s">
        <v>151</v>
      </c>
      <c r="L40" s="12"/>
      <c r="M40" s="11"/>
      <c r="N40" s="11"/>
      <c r="O40" s="2"/>
      <c r="P40" s="24">
        <v>70</v>
      </c>
      <c r="Q40" s="25" t="s">
        <v>152</v>
      </c>
    </row>
    <row r="41" s="8" customFormat="1" customHeight="1" spans="1:17">
      <c r="A41" s="22">
        <f t="shared" si="2"/>
        <v>1101037</v>
      </c>
      <c r="B41" s="22">
        <v>1101</v>
      </c>
      <c r="C41" s="22" t="s">
        <v>36</v>
      </c>
      <c r="D41" s="22" t="s">
        <v>37</v>
      </c>
      <c r="E41" s="22">
        <f t="shared" si="1"/>
        <v>14</v>
      </c>
      <c r="F41" s="22">
        <v>37</v>
      </c>
      <c r="G41" s="7">
        <v>17</v>
      </c>
      <c r="H41" s="22" t="s">
        <v>153</v>
      </c>
      <c r="I41" s="12">
        <v>3700</v>
      </c>
      <c r="J41" s="12">
        <v>3700</v>
      </c>
      <c r="K41" s="12" t="s">
        <v>154</v>
      </c>
      <c r="L41" s="12"/>
      <c r="M41" s="11"/>
      <c r="N41" s="11"/>
      <c r="O41" s="2"/>
      <c r="P41" s="24">
        <v>72</v>
      </c>
      <c r="Q41" s="25" t="s">
        <v>155</v>
      </c>
    </row>
    <row r="42" s="8" customFormat="1" customHeight="1" spans="1:17">
      <c r="A42" s="22">
        <f t="shared" si="2"/>
        <v>1101038</v>
      </c>
      <c r="B42" s="22">
        <v>1101</v>
      </c>
      <c r="C42" s="22" t="s">
        <v>36</v>
      </c>
      <c r="D42" s="22" t="s">
        <v>37</v>
      </c>
      <c r="E42" s="22">
        <f t="shared" si="1"/>
        <v>14</v>
      </c>
      <c r="F42" s="22">
        <v>38</v>
      </c>
      <c r="G42" s="7">
        <v>17</v>
      </c>
      <c r="H42" s="22" t="s">
        <v>156</v>
      </c>
      <c r="I42" s="12">
        <v>3800</v>
      </c>
      <c r="J42" s="12">
        <v>3800</v>
      </c>
      <c r="K42" s="12" t="s">
        <v>157</v>
      </c>
      <c r="L42" s="12"/>
      <c r="M42" s="11"/>
      <c r="N42" s="11"/>
      <c r="O42" s="2"/>
      <c r="P42" s="24">
        <v>74</v>
      </c>
      <c r="Q42" s="25" t="s">
        <v>158</v>
      </c>
    </row>
    <row r="43" s="8" customFormat="1" customHeight="1" spans="1:17">
      <c r="A43" s="22">
        <f t="shared" si="2"/>
        <v>1101039</v>
      </c>
      <c r="B43" s="22">
        <v>1101</v>
      </c>
      <c r="C43" s="22" t="s">
        <v>36</v>
      </c>
      <c r="D43" s="22" t="s">
        <v>37</v>
      </c>
      <c r="E43" s="22">
        <f t="shared" si="1"/>
        <v>14</v>
      </c>
      <c r="F43" s="22">
        <v>39</v>
      </c>
      <c r="G43" s="7">
        <v>17</v>
      </c>
      <c r="H43" s="22" t="s">
        <v>159</v>
      </c>
      <c r="I43" s="12">
        <v>3900</v>
      </c>
      <c r="J43" s="12">
        <v>3900</v>
      </c>
      <c r="K43" s="12" t="s">
        <v>160</v>
      </c>
      <c r="L43" s="12"/>
      <c r="M43" s="11"/>
      <c r="N43" s="11"/>
      <c r="O43" s="2"/>
      <c r="P43" s="24">
        <v>76</v>
      </c>
      <c r="Q43" s="25" t="s">
        <v>161</v>
      </c>
    </row>
    <row r="44" s="8" customFormat="1" customHeight="1" spans="1:17">
      <c r="A44" s="22">
        <f t="shared" si="2"/>
        <v>1101040</v>
      </c>
      <c r="B44" s="22">
        <v>1101</v>
      </c>
      <c r="C44" s="22" t="s">
        <v>36</v>
      </c>
      <c r="D44" s="22" t="s">
        <v>37</v>
      </c>
      <c r="E44" s="22">
        <f t="shared" si="1"/>
        <v>15</v>
      </c>
      <c r="F44" s="22">
        <v>40</v>
      </c>
      <c r="G44" s="7">
        <v>17</v>
      </c>
      <c r="H44" s="22" t="s">
        <v>162</v>
      </c>
      <c r="I44" s="12">
        <v>4000</v>
      </c>
      <c r="J44" s="12">
        <v>4000</v>
      </c>
      <c r="K44" s="12" t="s">
        <v>163</v>
      </c>
      <c r="L44" s="12"/>
      <c r="M44" s="11"/>
      <c r="N44" s="11"/>
      <c r="O44" s="2"/>
      <c r="P44" s="24">
        <v>78</v>
      </c>
      <c r="Q44" s="25" t="s">
        <v>164</v>
      </c>
    </row>
    <row r="45" s="8" customFormat="1" customHeight="1" spans="1:17">
      <c r="A45" s="22">
        <f t="shared" si="2"/>
        <v>1101041</v>
      </c>
      <c r="B45" s="22">
        <v>1101</v>
      </c>
      <c r="C45" s="22" t="s">
        <v>36</v>
      </c>
      <c r="D45" s="22" t="s">
        <v>37</v>
      </c>
      <c r="E45" s="22">
        <f t="shared" si="1"/>
        <v>15</v>
      </c>
      <c r="F45" s="22">
        <v>41</v>
      </c>
      <c r="G45" s="7">
        <v>17</v>
      </c>
      <c r="H45" s="22" t="s">
        <v>165</v>
      </c>
      <c r="I45" s="12">
        <v>4100</v>
      </c>
      <c r="J45" s="12">
        <v>4100</v>
      </c>
      <c r="K45" s="12" t="s">
        <v>166</v>
      </c>
      <c r="L45" s="12"/>
      <c r="M45" s="11"/>
      <c r="N45" s="11"/>
      <c r="O45" s="2"/>
      <c r="P45" s="24">
        <v>80</v>
      </c>
      <c r="Q45" s="25" t="s">
        <v>167</v>
      </c>
    </row>
    <row r="46" s="8" customFormat="1" customHeight="1" spans="1:17">
      <c r="A46" s="22">
        <f t="shared" si="2"/>
        <v>1101042</v>
      </c>
      <c r="B46" s="22">
        <v>1101</v>
      </c>
      <c r="C46" s="22" t="s">
        <v>36</v>
      </c>
      <c r="D46" s="22" t="s">
        <v>37</v>
      </c>
      <c r="E46" s="22">
        <f t="shared" si="1"/>
        <v>15</v>
      </c>
      <c r="F46" s="22">
        <v>42</v>
      </c>
      <c r="G46" s="7">
        <v>17</v>
      </c>
      <c r="H46" s="22" t="s">
        <v>168</v>
      </c>
      <c r="I46" s="12">
        <v>4200</v>
      </c>
      <c r="J46" s="12">
        <v>4200</v>
      </c>
      <c r="K46" s="12" t="s">
        <v>169</v>
      </c>
      <c r="L46" s="12"/>
      <c r="M46" s="11"/>
      <c r="N46" s="11"/>
      <c r="O46" s="2"/>
      <c r="P46" s="24">
        <v>82</v>
      </c>
      <c r="Q46" s="25" t="s">
        <v>170</v>
      </c>
    </row>
    <row r="47" s="8" customFormat="1" customHeight="1" spans="1:17">
      <c r="A47" s="22">
        <f t="shared" si="2"/>
        <v>1101043</v>
      </c>
      <c r="B47" s="22">
        <v>1101</v>
      </c>
      <c r="C47" s="22" t="s">
        <v>36</v>
      </c>
      <c r="D47" s="22" t="s">
        <v>37</v>
      </c>
      <c r="E47" s="22">
        <f t="shared" si="1"/>
        <v>16</v>
      </c>
      <c r="F47" s="22">
        <v>43</v>
      </c>
      <c r="G47" s="7">
        <v>17</v>
      </c>
      <c r="H47" s="22" t="s">
        <v>171</v>
      </c>
      <c r="I47" s="12">
        <v>4300</v>
      </c>
      <c r="J47" s="12">
        <v>4300</v>
      </c>
      <c r="K47" s="12" t="s">
        <v>172</v>
      </c>
      <c r="L47" s="12"/>
      <c r="M47" s="11"/>
      <c r="N47" s="11"/>
      <c r="O47" s="2"/>
      <c r="P47" s="24">
        <v>84</v>
      </c>
      <c r="Q47" s="25" t="s">
        <v>173</v>
      </c>
    </row>
    <row r="48" s="8" customFormat="1" customHeight="1" spans="1:17">
      <c r="A48" s="22">
        <f t="shared" si="2"/>
        <v>1101044</v>
      </c>
      <c r="B48" s="22">
        <v>1101</v>
      </c>
      <c r="C48" s="22" t="s">
        <v>36</v>
      </c>
      <c r="D48" s="22" t="s">
        <v>37</v>
      </c>
      <c r="E48" s="22">
        <f t="shared" si="1"/>
        <v>16</v>
      </c>
      <c r="F48" s="22">
        <v>44</v>
      </c>
      <c r="G48" s="7">
        <v>17</v>
      </c>
      <c r="H48" s="22" t="s">
        <v>174</v>
      </c>
      <c r="I48" s="12">
        <v>4400</v>
      </c>
      <c r="J48" s="12">
        <v>4400</v>
      </c>
      <c r="K48" s="12" t="s">
        <v>175</v>
      </c>
      <c r="L48" s="12"/>
      <c r="M48" s="11"/>
      <c r="N48" s="11"/>
      <c r="O48" s="2"/>
      <c r="P48" s="24">
        <v>86</v>
      </c>
      <c r="Q48" s="25" t="s">
        <v>176</v>
      </c>
    </row>
    <row r="49" s="8" customFormat="1" customHeight="1" spans="1:17">
      <c r="A49" s="22">
        <f t="shared" si="2"/>
        <v>1101045</v>
      </c>
      <c r="B49" s="22">
        <v>1101</v>
      </c>
      <c r="C49" s="22" t="s">
        <v>36</v>
      </c>
      <c r="D49" s="22" t="s">
        <v>37</v>
      </c>
      <c r="E49" s="22">
        <f t="shared" si="1"/>
        <v>16</v>
      </c>
      <c r="F49" s="22">
        <v>45</v>
      </c>
      <c r="G49" s="7">
        <v>17</v>
      </c>
      <c r="H49" s="22" t="s">
        <v>177</v>
      </c>
      <c r="I49" s="12">
        <v>4500</v>
      </c>
      <c r="J49" s="12">
        <v>4500</v>
      </c>
      <c r="K49" s="12" t="s">
        <v>178</v>
      </c>
      <c r="L49" s="12"/>
      <c r="M49" s="11"/>
      <c r="N49" s="11"/>
      <c r="O49" s="2"/>
      <c r="P49" s="24">
        <v>88</v>
      </c>
      <c r="Q49" s="25" t="s">
        <v>179</v>
      </c>
    </row>
    <row r="50" s="8" customFormat="1" customHeight="1" spans="1:17">
      <c r="A50" s="22">
        <f t="shared" si="2"/>
        <v>1101046</v>
      </c>
      <c r="B50" s="22">
        <v>1101</v>
      </c>
      <c r="C50" s="22" t="s">
        <v>36</v>
      </c>
      <c r="D50" s="22" t="s">
        <v>37</v>
      </c>
      <c r="E50" s="22">
        <f t="shared" si="1"/>
        <v>17</v>
      </c>
      <c r="F50" s="22">
        <v>46</v>
      </c>
      <c r="G50" s="7">
        <v>17</v>
      </c>
      <c r="H50" s="22" t="s">
        <v>180</v>
      </c>
      <c r="I50" s="12">
        <v>4600</v>
      </c>
      <c r="J50" s="12">
        <v>4600</v>
      </c>
      <c r="K50" s="12" t="s">
        <v>181</v>
      </c>
      <c r="L50" s="12"/>
      <c r="M50" s="11"/>
      <c r="N50" s="11"/>
      <c r="O50" s="2"/>
      <c r="P50" s="24">
        <v>90</v>
      </c>
      <c r="Q50" s="25" t="s">
        <v>182</v>
      </c>
    </row>
    <row r="51" s="8" customFormat="1" customHeight="1" spans="1:17">
      <c r="A51" s="22">
        <f t="shared" si="2"/>
        <v>1101047</v>
      </c>
      <c r="B51" s="22">
        <v>1101</v>
      </c>
      <c r="C51" s="22" t="s">
        <v>36</v>
      </c>
      <c r="D51" s="22" t="s">
        <v>37</v>
      </c>
      <c r="E51" s="22">
        <f t="shared" si="1"/>
        <v>17</v>
      </c>
      <c r="F51" s="22">
        <v>47</v>
      </c>
      <c r="G51" s="7">
        <v>17</v>
      </c>
      <c r="H51" s="22" t="s">
        <v>183</v>
      </c>
      <c r="I51" s="12">
        <v>4700</v>
      </c>
      <c r="J51" s="12">
        <v>4700</v>
      </c>
      <c r="K51" s="12" t="s">
        <v>184</v>
      </c>
      <c r="L51" s="12"/>
      <c r="M51" s="11"/>
      <c r="N51" s="11"/>
      <c r="O51" s="2"/>
      <c r="P51" s="24">
        <v>92</v>
      </c>
      <c r="Q51" s="25" t="s">
        <v>185</v>
      </c>
    </row>
    <row r="52" s="8" customFormat="1" customHeight="1" spans="1:17">
      <c r="A52" s="22">
        <f t="shared" si="2"/>
        <v>1101048</v>
      </c>
      <c r="B52" s="22">
        <v>1101</v>
      </c>
      <c r="C52" s="22" t="s">
        <v>36</v>
      </c>
      <c r="D52" s="22" t="s">
        <v>37</v>
      </c>
      <c r="E52" s="22">
        <f t="shared" si="1"/>
        <v>17</v>
      </c>
      <c r="F52" s="22">
        <v>48</v>
      </c>
      <c r="G52" s="7">
        <v>17</v>
      </c>
      <c r="H52" s="22" t="s">
        <v>186</v>
      </c>
      <c r="I52" s="12">
        <v>4800</v>
      </c>
      <c r="J52" s="12">
        <v>4800</v>
      </c>
      <c r="K52" s="12" t="s">
        <v>187</v>
      </c>
      <c r="L52" s="12"/>
      <c r="M52" s="11"/>
      <c r="N52" s="11"/>
      <c r="O52" s="2"/>
      <c r="P52" s="24">
        <v>94</v>
      </c>
      <c r="Q52" s="25" t="s">
        <v>188</v>
      </c>
    </row>
    <row r="53" s="8" customFormat="1" customHeight="1" spans="1:17">
      <c r="A53" s="22">
        <f t="shared" si="2"/>
        <v>1101049</v>
      </c>
      <c r="B53" s="22">
        <v>1101</v>
      </c>
      <c r="C53" s="22" t="s">
        <v>36</v>
      </c>
      <c r="D53" s="22" t="s">
        <v>37</v>
      </c>
      <c r="E53" s="22">
        <f t="shared" si="1"/>
        <v>18</v>
      </c>
      <c r="F53" s="22">
        <v>49</v>
      </c>
      <c r="G53" s="7">
        <v>17</v>
      </c>
      <c r="H53" s="22" t="s">
        <v>189</v>
      </c>
      <c r="I53" s="12">
        <v>4900</v>
      </c>
      <c r="J53" s="12">
        <v>4900</v>
      </c>
      <c r="K53" s="12" t="s">
        <v>190</v>
      </c>
      <c r="L53" s="12"/>
      <c r="M53" s="11"/>
      <c r="N53" s="11"/>
      <c r="O53" s="2"/>
      <c r="P53" s="24">
        <v>96</v>
      </c>
      <c r="Q53" s="25" t="s">
        <v>191</v>
      </c>
    </row>
    <row r="54" s="8" customFormat="1" customHeight="1" spans="1:17">
      <c r="A54" s="22">
        <f t="shared" si="2"/>
        <v>1101050</v>
      </c>
      <c r="B54" s="22">
        <v>1101</v>
      </c>
      <c r="C54" s="22" t="s">
        <v>36</v>
      </c>
      <c r="D54" s="22" t="s">
        <v>37</v>
      </c>
      <c r="E54" s="22">
        <f t="shared" si="1"/>
        <v>18</v>
      </c>
      <c r="F54" s="22">
        <v>50</v>
      </c>
      <c r="G54" s="7">
        <v>17</v>
      </c>
      <c r="H54" s="22" t="s">
        <v>192</v>
      </c>
      <c r="I54" s="12">
        <v>5000</v>
      </c>
      <c r="J54" s="12">
        <v>5000</v>
      </c>
      <c r="K54" s="12" t="s">
        <v>193</v>
      </c>
      <c r="L54" s="12"/>
      <c r="M54" s="11"/>
      <c r="N54" s="11"/>
      <c r="O54" s="2"/>
      <c r="P54" s="24">
        <v>98</v>
      </c>
      <c r="Q54" s="25" t="s">
        <v>194</v>
      </c>
    </row>
    <row r="55" s="8" customFormat="1" customHeight="1" spans="1:17">
      <c r="A55" s="22">
        <f t="shared" si="2"/>
        <v>1101051</v>
      </c>
      <c r="B55" s="22">
        <v>1101</v>
      </c>
      <c r="C55" s="22" t="s">
        <v>36</v>
      </c>
      <c r="D55" s="22" t="s">
        <v>37</v>
      </c>
      <c r="E55" s="22">
        <f t="shared" si="1"/>
        <v>18</v>
      </c>
      <c r="F55" s="22">
        <v>51</v>
      </c>
      <c r="G55" s="7">
        <v>17</v>
      </c>
      <c r="H55" s="22" t="s">
        <v>195</v>
      </c>
      <c r="I55" s="12">
        <v>5100</v>
      </c>
      <c r="J55" s="12">
        <v>5100</v>
      </c>
      <c r="K55" s="12" t="s">
        <v>196</v>
      </c>
      <c r="L55" s="12"/>
      <c r="M55" s="11"/>
      <c r="N55" s="11"/>
      <c r="O55" s="2"/>
      <c r="P55" s="24">
        <v>100</v>
      </c>
      <c r="Q55" s="25" t="s">
        <v>197</v>
      </c>
    </row>
    <row r="56" s="8" customFormat="1" customHeight="1" spans="1:17">
      <c r="A56" s="22">
        <f t="shared" si="2"/>
        <v>1101052</v>
      </c>
      <c r="B56" s="22">
        <v>1101</v>
      </c>
      <c r="C56" s="22" t="s">
        <v>36</v>
      </c>
      <c r="D56" s="22" t="s">
        <v>37</v>
      </c>
      <c r="E56" s="22">
        <f t="shared" si="1"/>
        <v>19</v>
      </c>
      <c r="F56" s="22">
        <v>52</v>
      </c>
      <c r="G56" s="7">
        <v>17</v>
      </c>
      <c r="H56" s="22" t="s">
        <v>198</v>
      </c>
      <c r="I56" s="12">
        <v>5200</v>
      </c>
      <c r="J56" s="12">
        <v>5200</v>
      </c>
      <c r="K56" s="12" t="s">
        <v>199</v>
      </c>
      <c r="L56" s="12"/>
      <c r="M56" s="11"/>
      <c r="N56" s="11"/>
      <c r="O56" s="2"/>
      <c r="P56" s="24">
        <v>102</v>
      </c>
      <c r="Q56" s="25" t="s">
        <v>200</v>
      </c>
    </row>
    <row r="57" s="8" customFormat="1" customHeight="1" spans="1:17">
      <c r="A57" s="22">
        <f t="shared" si="2"/>
        <v>1101053</v>
      </c>
      <c r="B57" s="22">
        <v>1101</v>
      </c>
      <c r="C57" s="22" t="s">
        <v>36</v>
      </c>
      <c r="D57" s="22" t="s">
        <v>37</v>
      </c>
      <c r="E57" s="22">
        <f t="shared" si="1"/>
        <v>19</v>
      </c>
      <c r="F57" s="22">
        <v>53</v>
      </c>
      <c r="G57" s="7">
        <v>17</v>
      </c>
      <c r="H57" s="22" t="s">
        <v>201</v>
      </c>
      <c r="I57" s="12">
        <v>5300</v>
      </c>
      <c r="J57" s="12">
        <v>5300</v>
      </c>
      <c r="K57" s="12" t="s">
        <v>202</v>
      </c>
      <c r="L57" s="12"/>
      <c r="M57" s="11"/>
      <c r="N57" s="11"/>
      <c r="O57" s="2"/>
      <c r="P57" s="24">
        <v>104</v>
      </c>
      <c r="Q57" s="25" t="s">
        <v>203</v>
      </c>
    </row>
    <row r="58" s="8" customFormat="1" customHeight="1" spans="1:17">
      <c r="A58" s="22">
        <f t="shared" si="2"/>
        <v>1101054</v>
      </c>
      <c r="B58" s="22">
        <v>1101</v>
      </c>
      <c r="C58" s="22" t="s">
        <v>36</v>
      </c>
      <c r="D58" s="22" t="s">
        <v>37</v>
      </c>
      <c r="E58" s="22">
        <f t="shared" si="1"/>
        <v>19</v>
      </c>
      <c r="F58" s="22">
        <v>54</v>
      </c>
      <c r="G58" s="7">
        <v>17</v>
      </c>
      <c r="H58" s="22" t="s">
        <v>204</v>
      </c>
      <c r="I58" s="12">
        <v>5400</v>
      </c>
      <c r="J58" s="12">
        <v>5400</v>
      </c>
      <c r="K58" s="12" t="s">
        <v>205</v>
      </c>
      <c r="L58" s="12"/>
      <c r="M58" s="11"/>
      <c r="N58" s="11"/>
      <c r="O58" s="2"/>
      <c r="P58" s="24">
        <v>106</v>
      </c>
      <c r="Q58" s="25" t="s">
        <v>206</v>
      </c>
    </row>
    <row r="59" s="8" customFormat="1" customHeight="1" spans="1:17">
      <c r="A59" s="22">
        <f t="shared" si="2"/>
        <v>1101055</v>
      </c>
      <c r="B59" s="22">
        <v>1101</v>
      </c>
      <c r="C59" s="22" t="s">
        <v>36</v>
      </c>
      <c r="D59" s="22" t="s">
        <v>37</v>
      </c>
      <c r="E59" s="22">
        <f t="shared" si="1"/>
        <v>20</v>
      </c>
      <c r="F59" s="22">
        <v>55</v>
      </c>
      <c r="G59" s="7">
        <v>17</v>
      </c>
      <c r="H59" s="22" t="s">
        <v>207</v>
      </c>
      <c r="I59" s="12">
        <v>5500</v>
      </c>
      <c r="J59" s="12">
        <v>5500</v>
      </c>
      <c r="K59" s="12" t="s">
        <v>208</v>
      </c>
      <c r="L59" s="12"/>
      <c r="M59" s="11"/>
      <c r="N59" s="11"/>
      <c r="O59" s="2"/>
      <c r="P59" s="24">
        <v>108</v>
      </c>
      <c r="Q59" s="25" t="s">
        <v>209</v>
      </c>
    </row>
    <row r="60" s="8" customFormat="1" customHeight="1" spans="1:17">
      <c r="A60" s="22">
        <f t="shared" si="2"/>
        <v>1101056</v>
      </c>
      <c r="B60" s="22">
        <v>1101</v>
      </c>
      <c r="C60" s="22" t="s">
        <v>36</v>
      </c>
      <c r="D60" s="22" t="s">
        <v>37</v>
      </c>
      <c r="E60" s="22">
        <f t="shared" si="1"/>
        <v>20</v>
      </c>
      <c r="F60" s="22">
        <v>56</v>
      </c>
      <c r="G60" s="7">
        <v>17</v>
      </c>
      <c r="H60" s="22" t="s">
        <v>210</v>
      </c>
      <c r="I60" s="12">
        <v>5600</v>
      </c>
      <c r="J60" s="12">
        <v>5600</v>
      </c>
      <c r="K60" s="12" t="s">
        <v>211</v>
      </c>
      <c r="L60" s="12"/>
      <c r="M60" s="11"/>
      <c r="N60" s="11"/>
      <c r="O60" s="2"/>
      <c r="P60" s="24">
        <v>110</v>
      </c>
      <c r="Q60" s="25" t="s">
        <v>212</v>
      </c>
    </row>
    <row r="61" s="8" customFormat="1" customHeight="1" spans="1:17">
      <c r="A61" s="22">
        <f t="shared" si="2"/>
        <v>1101057</v>
      </c>
      <c r="B61" s="22">
        <v>1101</v>
      </c>
      <c r="C61" s="22" t="s">
        <v>36</v>
      </c>
      <c r="D61" s="22" t="s">
        <v>37</v>
      </c>
      <c r="E61" s="22">
        <f t="shared" si="1"/>
        <v>20</v>
      </c>
      <c r="F61" s="22">
        <v>57</v>
      </c>
      <c r="G61" s="7">
        <v>17</v>
      </c>
      <c r="H61" s="22" t="s">
        <v>213</v>
      </c>
      <c r="I61" s="12">
        <v>5700</v>
      </c>
      <c r="J61" s="12">
        <v>5700</v>
      </c>
      <c r="K61" s="12" t="s">
        <v>214</v>
      </c>
      <c r="L61" s="12"/>
      <c r="M61" s="11"/>
      <c r="N61" s="11"/>
      <c r="O61" s="2"/>
      <c r="P61" s="24">
        <v>112</v>
      </c>
      <c r="Q61" s="25" t="s">
        <v>215</v>
      </c>
    </row>
    <row r="62" s="8" customFormat="1" customHeight="1" spans="1:17">
      <c r="A62" s="22">
        <f t="shared" si="2"/>
        <v>1101058</v>
      </c>
      <c r="B62" s="22">
        <v>1101</v>
      </c>
      <c r="C62" s="22" t="s">
        <v>36</v>
      </c>
      <c r="D62" s="22" t="s">
        <v>37</v>
      </c>
      <c r="E62" s="22">
        <f t="shared" si="1"/>
        <v>21</v>
      </c>
      <c r="F62" s="22">
        <v>58</v>
      </c>
      <c r="G62" s="7">
        <v>17</v>
      </c>
      <c r="H62" s="22" t="s">
        <v>216</v>
      </c>
      <c r="I62" s="12">
        <v>5800</v>
      </c>
      <c r="J62" s="12">
        <v>5800</v>
      </c>
      <c r="K62" s="12" t="s">
        <v>217</v>
      </c>
      <c r="L62" s="12"/>
      <c r="M62" s="11"/>
      <c r="N62" s="11"/>
      <c r="O62" s="2"/>
      <c r="P62" s="24">
        <v>114</v>
      </c>
      <c r="Q62" s="25" t="s">
        <v>218</v>
      </c>
    </row>
    <row r="63" s="8" customFormat="1" customHeight="1" spans="1:17">
      <c r="A63" s="22">
        <f t="shared" si="2"/>
        <v>1101059</v>
      </c>
      <c r="B63" s="22">
        <v>1101</v>
      </c>
      <c r="C63" s="22" t="s">
        <v>36</v>
      </c>
      <c r="D63" s="22" t="s">
        <v>37</v>
      </c>
      <c r="E63" s="22">
        <f t="shared" si="1"/>
        <v>21</v>
      </c>
      <c r="F63" s="22">
        <v>59</v>
      </c>
      <c r="G63" s="7">
        <v>17</v>
      </c>
      <c r="H63" s="22" t="s">
        <v>219</v>
      </c>
      <c r="I63" s="12">
        <v>5900</v>
      </c>
      <c r="J63" s="12">
        <v>5900</v>
      </c>
      <c r="K63" s="12" t="s">
        <v>220</v>
      </c>
      <c r="L63" s="12"/>
      <c r="M63" s="11"/>
      <c r="N63" s="11"/>
      <c r="O63" s="2"/>
      <c r="P63" s="24">
        <v>116</v>
      </c>
      <c r="Q63" s="25" t="s">
        <v>221</v>
      </c>
    </row>
    <row r="64" s="8" customFormat="1" customHeight="1" spans="1:17">
      <c r="A64" s="22">
        <f t="shared" si="2"/>
        <v>1101060</v>
      </c>
      <c r="B64" s="22">
        <v>1101</v>
      </c>
      <c r="C64" s="22" t="s">
        <v>36</v>
      </c>
      <c r="D64" s="22" t="s">
        <v>37</v>
      </c>
      <c r="E64" s="22">
        <v>9999</v>
      </c>
      <c r="F64" s="22">
        <v>60</v>
      </c>
      <c r="G64" s="7">
        <v>17</v>
      </c>
      <c r="H64" s="22" t="s">
        <v>222</v>
      </c>
      <c r="I64" s="12">
        <v>6000</v>
      </c>
      <c r="J64" s="12">
        <v>6000</v>
      </c>
      <c r="K64" s="12" t="s">
        <v>223</v>
      </c>
      <c r="L64" s="12"/>
      <c r="M64" s="11"/>
      <c r="N64" s="11"/>
      <c r="O64" s="2"/>
      <c r="P64" s="24">
        <v>118</v>
      </c>
      <c r="Q64" s="25" t="s">
        <v>224</v>
      </c>
    </row>
    <row r="65" customHeight="1" spans="1:17">
      <c r="A65" s="22">
        <f t="shared" si="2"/>
        <v>1102001</v>
      </c>
      <c r="B65" s="22">
        <v>1102</v>
      </c>
      <c r="C65" s="22" t="s">
        <v>225</v>
      </c>
      <c r="D65" s="22" t="s">
        <v>226</v>
      </c>
      <c r="E65" s="22">
        <v>3</v>
      </c>
      <c r="F65" s="22">
        <v>1</v>
      </c>
      <c r="G65" s="7">
        <v>11</v>
      </c>
      <c r="H65" s="22" t="s">
        <v>38</v>
      </c>
      <c r="I65" s="12">
        <v>200</v>
      </c>
      <c r="J65" s="12">
        <v>100</v>
      </c>
      <c r="K65" s="12" t="s">
        <v>39</v>
      </c>
      <c r="L65" s="12"/>
      <c r="M65" s="11" t="s">
        <v>227</v>
      </c>
      <c r="N65" s="11" t="s">
        <v>228</v>
      </c>
      <c r="O65" s="2" t="s">
        <v>229</v>
      </c>
      <c r="P65" s="24">
        <v>1</v>
      </c>
      <c r="Q65" s="25" t="s">
        <v>48</v>
      </c>
    </row>
    <row r="66" customHeight="1" spans="1:17">
      <c r="A66" s="22">
        <f t="shared" si="2"/>
        <v>1102002</v>
      </c>
      <c r="B66" s="22">
        <v>1102</v>
      </c>
      <c r="C66" s="22" t="s">
        <v>225</v>
      </c>
      <c r="D66" s="22" t="s">
        <v>226</v>
      </c>
      <c r="E66" s="22">
        <v>3</v>
      </c>
      <c r="F66" s="22">
        <v>2</v>
      </c>
      <c r="G66" s="7">
        <v>14</v>
      </c>
      <c r="H66" s="22" t="s">
        <v>49</v>
      </c>
      <c r="I66" s="12">
        <v>400</v>
      </c>
      <c r="J66" s="12">
        <v>200</v>
      </c>
      <c r="K66" s="12" t="s">
        <v>45</v>
      </c>
      <c r="L66" s="12"/>
      <c r="M66" s="11" t="s">
        <v>230</v>
      </c>
      <c r="N66" s="11" t="s">
        <v>231</v>
      </c>
      <c r="O66" s="2">
        <v>1102264</v>
      </c>
      <c r="P66" s="24">
        <v>2</v>
      </c>
      <c r="Q66" s="25" t="s">
        <v>53</v>
      </c>
    </row>
    <row r="67" customHeight="1" spans="1:17">
      <c r="A67" s="22">
        <f t="shared" si="2"/>
        <v>1102003</v>
      </c>
      <c r="B67" s="22">
        <v>1102</v>
      </c>
      <c r="C67" s="22" t="s">
        <v>225</v>
      </c>
      <c r="D67" s="22" t="s">
        <v>226</v>
      </c>
      <c r="E67" s="22">
        <v>3</v>
      </c>
      <c r="F67" s="22">
        <v>3</v>
      </c>
      <c r="G67" s="7">
        <v>17</v>
      </c>
      <c r="H67" s="22" t="s">
        <v>57</v>
      </c>
      <c r="I67" s="12">
        <v>600</v>
      </c>
      <c r="J67" s="12">
        <v>300</v>
      </c>
      <c r="K67" s="12" t="s">
        <v>50</v>
      </c>
      <c r="L67" s="12"/>
      <c r="M67" s="11" t="s">
        <v>232</v>
      </c>
      <c r="N67" s="11" t="s">
        <v>233</v>
      </c>
      <c r="O67" s="2">
        <v>1102263</v>
      </c>
      <c r="P67" s="24">
        <v>4</v>
      </c>
      <c r="Q67" s="25" t="s">
        <v>56</v>
      </c>
    </row>
    <row r="68" customHeight="1" spans="1:17">
      <c r="A68" s="22">
        <f t="shared" si="2"/>
        <v>1102004</v>
      </c>
      <c r="B68" s="22">
        <v>1102</v>
      </c>
      <c r="C68" s="22" t="s">
        <v>225</v>
      </c>
      <c r="D68" s="22" t="s">
        <v>226</v>
      </c>
      <c r="E68" s="22">
        <f t="shared" ref="E68:E124" si="3">E65+1</f>
        <v>4</v>
      </c>
      <c r="F68" s="22">
        <v>4</v>
      </c>
      <c r="G68" s="7">
        <v>17</v>
      </c>
      <c r="H68" s="22" t="s">
        <v>63</v>
      </c>
      <c r="I68" s="12">
        <v>800</v>
      </c>
      <c r="J68" s="12">
        <v>400</v>
      </c>
      <c r="K68" s="12" t="s">
        <v>55</v>
      </c>
      <c r="L68" s="12"/>
      <c r="O68" s="2">
        <v>1102257</v>
      </c>
      <c r="P68" s="24">
        <v>6</v>
      </c>
      <c r="Q68" s="25" t="s">
        <v>59</v>
      </c>
    </row>
    <row r="69" customHeight="1" spans="1:17">
      <c r="A69" s="22">
        <f t="shared" si="2"/>
        <v>1102005</v>
      </c>
      <c r="B69" s="22">
        <v>1102</v>
      </c>
      <c r="C69" s="22" t="s">
        <v>225</v>
      </c>
      <c r="D69" s="22" t="s">
        <v>226</v>
      </c>
      <c r="E69" s="22">
        <f t="shared" si="3"/>
        <v>4</v>
      </c>
      <c r="F69" s="22">
        <v>5</v>
      </c>
      <c r="G69" s="7">
        <v>17</v>
      </c>
      <c r="H69" s="22" t="s">
        <v>69</v>
      </c>
      <c r="I69" s="12">
        <v>1000</v>
      </c>
      <c r="J69" s="12">
        <v>500</v>
      </c>
      <c r="K69" s="12" t="s">
        <v>58</v>
      </c>
      <c r="L69" s="12"/>
      <c r="O69" s="2">
        <v>1102255</v>
      </c>
      <c r="P69" s="24">
        <v>8</v>
      </c>
      <c r="Q69" s="25" t="s">
        <v>62</v>
      </c>
    </row>
    <row r="70" customHeight="1" spans="1:17">
      <c r="A70" s="22">
        <f t="shared" ref="A70:A76" si="4">B70*1000+F70</f>
        <v>1102006</v>
      </c>
      <c r="B70" s="22">
        <v>1102</v>
      </c>
      <c r="C70" s="22" t="s">
        <v>225</v>
      </c>
      <c r="D70" s="22" t="s">
        <v>226</v>
      </c>
      <c r="E70" s="22">
        <f t="shared" si="3"/>
        <v>4</v>
      </c>
      <c r="F70" s="22">
        <v>6</v>
      </c>
      <c r="G70" s="7">
        <v>17</v>
      </c>
      <c r="H70" s="22" t="s">
        <v>75</v>
      </c>
      <c r="I70" s="12">
        <v>1200</v>
      </c>
      <c r="J70" s="12">
        <v>600</v>
      </c>
      <c r="K70" s="12" t="s">
        <v>61</v>
      </c>
      <c r="L70" s="12"/>
      <c r="O70" s="2">
        <v>1102259</v>
      </c>
      <c r="P70" s="24">
        <v>10</v>
      </c>
      <c r="Q70" s="25" t="s">
        <v>65</v>
      </c>
    </row>
    <row r="71" customHeight="1" spans="1:17">
      <c r="A71" s="22">
        <f t="shared" si="4"/>
        <v>1102007</v>
      </c>
      <c r="B71" s="22">
        <v>1102</v>
      </c>
      <c r="C71" s="22" t="s">
        <v>225</v>
      </c>
      <c r="D71" s="22" t="s">
        <v>226</v>
      </c>
      <c r="E71" s="22">
        <f t="shared" si="3"/>
        <v>5</v>
      </c>
      <c r="F71" s="22">
        <v>7</v>
      </c>
      <c r="G71" s="7">
        <v>17</v>
      </c>
      <c r="H71" s="22" t="s">
        <v>81</v>
      </c>
      <c r="I71" s="12">
        <v>1400</v>
      </c>
      <c r="J71" s="12">
        <v>700</v>
      </c>
      <c r="K71" s="12" t="s">
        <v>64</v>
      </c>
      <c r="L71" s="12"/>
      <c r="O71" s="2">
        <v>1102261</v>
      </c>
      <c r="P71" s="24">
        <v>12</v>
      </c>
      <c r="Q71" s="25" t="s">
        <v>68</v>
      </c>
    </row>
    <row r="72" customHeight="1" spans="1:17">
      <c r="A72" s="22">
        <f t="shared" si="4"/>
        <v>1102008</v>
      </c>
      <c r="B72" s="22">
        <v>1102</v>
      </c>
      <c r="C72" s="22" t="s">
        <v>225</v>
      </c>
      <c r="D72" s="22" t="s">
        <v>226</v>
      </c>
      <c r="E72" s="22">
        <f t="shared" si="3"/>
        <v>5</v>
      </c>
      <c r="F72" s="22">
        <v>8</v>
      </c>
      <c r="G72" s="7">
        <v>17</v>
      </c>
      <c r="H72" s="22" t="s">
        <v>87</v>
      </c>
      <c r="I72" s="12">
        <v>1600</v>
      </c>
      <c r="J72" s="12">
        <v>800</v>
      </c>
      <c r="K72" s="12" t="s">
        <v>67</v>
      </c>
      <c r="L72" s="12"/>
      <c r="O72" s="2">
        <v>1102251</v>
      </c>
      <c r="P72" s="24">
        <v>14</v>
      </c>
      <c r="Q72" s="25" t="s">
        <v>71</v>
      </c>
    </row>
    <row r="73" customHeight="1" spans="1:17">
      <c r="A73" s="22">
        <f t="shared" si="4"/>
        <v>1102009</v>
      </c>
      <c r="B73" s="22">
        <v>1102</v>
      </c>
      <c r="C73" s="22" t="s">
        <v>225</v>
      </c>
      <c r="D73" s="22" t="s">
        <v>226</v>
      </c>
      <c r="E73" s="22">
        <f t="shared" si="3"/>
        <v>5</v>
      </c>
      <c r="F73" s="22">
        <v>9</v>
      </c>
      <c r="G73" s="7">
        <v>17</v>
      </c>
      <c r="H73" s="22" t="s">
        <v>93</v>
      </c>
      <c r="I73" s="12">
        <v>1800</v>
      </c>
      <c r="J73" s="12">
        <v>900</v>
      </c>
      <c r="K73" s="12" t="s">
        <v>70</v>
      </c>
      <c r="L73" s="12"/>
      <c r="O73" s="2">
        <v>1102253</v>
      </c>
      <c r="P73" s="24">
        <v>16</v>
      </c>
      <c r="Q73" s="25" t="s">
        <v>74</v>
      </c>
    </row>
    <row r="74" customHeight="1" spans="1:17">
      <c r="A74" s="22">
        <f t="shared" si="4"/>
        <v>1102010</v>
      </c>
      <c r="B74" s="22">
        <v>1102</v>
      </c>
      <c r="C74" s="22" t="s">
        <v>225</v>
      </c>
      <c r="D74" s="22" t="s">
        <v>226</v>
      </c>
      <c r="E74" s="22">
        <f t="shared" si="3"/>
        <v>6</v>
      </c>
      <c r="F74" s="22">
        <v>10</v>
      </c>
      <c r="G74" s="7">
        <v>17</v>
      </c>
      <c r="H74" s="22" t="s">
        <v>99</v>
      </c>
      <c r="I74" s="12">
        <v>2000</v>
      </c>
      <c r="J74" s="12">
        <v>1000</v>
      </c>
      <c r="K74" s="12" t="s">
        <v>73</v>
      </c>
      <c r="L74" s="12"/>
      <c r="O74" s="2">
        <v>1102269</v>
      </c>
      <c r="P74" s="24">
        <v>18</v>
      </c>
      <c r="Q74" s="25" t="s">
        <v>77</v>
      </c>
    </row>
    <row r="75" customHeight="1" spans="1:17">
      <c r="A75" s="22">
        <f t="shared" si="4"/>
        <v>1102011</v>
      </c>
      <c r="B75" s="22">
        <v>1102</v>
      </c>
      <c r="C75" s="22" t="s">
        <v>225</v>
      </c>
      <c r="D75" s="22" t="s">
        <v>226</v>
      </c>
      <c r="E75" s="22">
        <f t="shared" si="3"/>
        <v>6</v>
      </c>
      <c r="F75" s="22">
        <v>11</v>
      </c>
      <c r="G75" s="7">
        <v>17</v>
      </c>
      <c r="H75" s="22" t="s">
        <v>105</v>
      </c>
      <c r="I75" s="12">
        <v>2200</v>
      </c>
      <c r="J75" s="12">
        <v>1100</v>
      </c>
      <c r="K75" s="12" t="s">
        <v>76</v>
      </c>
      <c r="L75" s="12"/>
      <c r="O75" s="2">
        <v>1102268</v>
      </c>
      <c r="P75" s="24">
        <v>20</v>
      </c>
      <c r="Q75" s="25" t="s">
        <v>80</v>
      </c>
    </row>
    <row r="76" customHeight="1" spans="1:17">
      <c r="A76" s="22">
        <f t="shared" si="4"/>
        <v>1102012</v>
      </c>
      <c r="B76" s="22">
        <v>1102</v>
      </c>
      <c r="C76" s="22" t="s">
        <v>225</v>
      </c>
      <c r="D76" s="22" t="s">
        <v>226</v>
      </c>
      <c r="E76" s="22">
        <f t="shared" si="3"/>
        <v>6</v>
      </c>
      <c r="F76" s="22">
        <v>12</v>
      </c>
      <c r="G76" s="7">
        <v>17</v>
      </c>
      <c r="H76" s="22" t="s">
        <v>111</v>
      </c>
      <c r="I76" s="12">
        <v>2400</v>
      </c>
      <c r="J76" s="12">
        <v>1200</v>
      </c>
      <c r="K76" s="12" t="s">
        <v>79</v>
      </c>
      <c r="L76" s="12"/>
      <c r="O76" s="2">
        <v>1102267</v>
      </c>
      <c r="P76" s="24">
        <v>22</v>
      </c>
      <c r="Q76" s="25" t="s">
        <v>83</v>
      </c>
    </row>
    <row r="77" customHeight="1" spans="1:17">
      <c r="A77" s="22">
        <f t="shared" ref="A77:A82" si="5">B77*1000+F77</f>
        <v>1102013</v>
      </c>
      <c r="B77" s="22">
        <v>1102</v>
      </c>
      <c r="C77" s="22" t="s">
        <v>225</v>
      </c>
      <c r="D77" s="22" t="s">
        <v>226</v>
      </c>
      <c r="E77" s="22">
        <f t="shared" si="3"/>
        <v>7</v>
      </c>
      <c r="F77" s="22">
        <v>13</v>
      </c>
      <c r="G77" s="7">
        <v>17</v>
      </c>
      <c r="H77" s="22" t="s">
        <v>117</v>
      </c>
      <c r="I77" s="12">
        <v>2600</v>
      </c>
      <c r="J77" s="12">
        <v>1300</v>
      </c>
      <c r="K77" s="12" t="s">
        <v>82</v>
      </c>
      <c r="L77" s="12"/>
      <c r="O77" s="2">
        <v>1102274</v>
      </c>
      <c r="P77" s="24">
        <v>24</v>
      </c>
      <c r="Q77" s="25" t="s">
        <v>86</v>
      </c>
    </row>
    <row r="78" customHeight="1" spans="1:17">
      <c r="A78" s="22">
        <f t="shared" si="5"/>
        <v>1102014</v>
      </c>
      <c r="B78" s="22">
        <v>1102</v>
      </c>
      <c r="C78" s="22" t="s">
        <v>225</v>
      </c>
      <c r="D78" s="22" t="s">
        <v>226</v>
      </c>
      <c r="E78" s="22">
        <f t="shared" si="3"/>
        <v>7</v>
      </c>
      <c r="F78" s="22">
        <v>14</v>
      </c>
      <c r="G78" s="7">
        <v>17</v>
      </c>
      <c r="H78" s="22" t="s">
        <v>123</v>
      </c>
      <c r="I78" s="12">
        <v>2800</v>
      </c>
      <c r="J78" s="12">
        <v>1400</v>
      </c>
      <c r="K78" s="12" t="s">
        <v>85</v>
      </c>
      <c r="L78" s="12"/>
      <c r="O78" s="2">
        <v>1102265</v>
      </c>
      <c r="P78" s="24">
        <v>26</v>
      </c>
      <c r="Q78" s="25" t="s">
        <v>89</v>
      </c>
    </row>
    <row r="79" customHeight="1" spans="1:17">
      <c r="A79" s="22">
        <f t="shared" si="5"/>
        <v>1102015</v>
      </c>
      <c r="B79" s="22">
        <v>1102</v>
      </c>
      <c r="C79" s="22" t="s">
        <v>225</v>
      </c>
      <c r="D79" s="22" t="s">
        <v>226</v>
      </c>
      <c r="E79" s="22">
        <f t="shared" si="3"/>
        <v>7</v>
      </c>
      <c r="F79" s="22">
        <v>15</v>
      </c>
      <c r="G79" s="7">
        <v>17</v>
      </c>
      <c r="H79" s="22" t="s">
        <v>129</v>
      </c>
      <c r="I79" s="12">
        <v>3000</v>
      </c>
      <c r="J79" s="12">
        <v>1500</v>
      </c>
      <c r="K79" s="12" t="s">
        <v>88</v>
      </c>
      <c r="L79" s="12"/>
      <c r="O79" s="2">
        <v>1102273</v>
      </c>
      <c r="P79" s="24">
        <v>28</v>
      </c>
      <c r="Q79" s="25" t="s">
        <v>92</v>
      </c>
    </row>
    <row r="80" customHeight="1" spans="1:17">
      <c r="A80" s="22">
        <f t="shared" si="5"/>
        <v>1102016</v>
      </c>
      <c r="B80" s="22">
        <v>1102</v>
      </c>
      <c r="C80" s="22" t="s">
        <v>225</v>
      </c>
      <c r="D80" s="22" t="s">
        <v>226</v>
      </c>
      <c r="E80" s="22">
        <f t="shared" si="3"/>
        <v>8</v>
      </c>
      <c r="F80" s="22">
        <v>16</v>
      </c>
      <c r="G80" s="7">
        <v>17</v>
      </c>
      <c r="H80" s="22" t="s">
        <v>135</v>
      </c>
      <c r="I80" s="12">
        <v>3200</v>
      </c>
      <c r="J80" s="12">
        <v>1600</v>
      </c>
      <c r="K80" s="12" t="s">
        <v>91</v>
      </c>
      <c r="L80" s="12"/>
      <c r="O80" s="2">
        <v>1102270</v>
      </c>
      <c r="P80" s="24">
        <v>30</v>
      </c>
      <c r="Q80" s="25" t="s">
        <v>95</v>
      </c>
    </row>
    <row r="81" customHeight="1" spans="1:17">
      <c r="A81" s="22">
        <f t="shared" si="5"/>
        <v>1102017</v>
      </c>
      <c r="B81" s="22">
        <v>1102</v>
      </c>
      <c r="C81" s="22" t="s">
        <v>225</v>
      </c>
      <c r="D81" s="22" t="s">
        <v>226</v>
      </c>
      <c r="E81" s="22">
        <f t="shared" si="3"/>
        <v>8</v>
      </c>
      <c r="F81" s="22">
        <v>17</v>
      </c>
      <c r="G81" s="7">
        <v>17</v>
      </c>
      <c r="H81" s="22" t="s">
        <v>141</v>
      </c>
      <c r="I81" s="12">
        <v>3400</v>
      </c>
      <c r="J81" s="12">
        <v>1700</v>
      </c>
      <c r="K81" s="12" t="s">
        <v>94</v>
      </c>
      <c r="L81" s="12"/>
      <c r="O81" s="2">
        <v>1102271</v>
      </c>
      <c r="P81" s="24">
        <v>32</v>
      </c>
      <c r="Q81" s="25" t="s">
        <v>98</v>
      </c>
    </row>
    <row r="82" customHeight="1" spans="1:17">
      <c r="A82" s="22">
        <f t="shared" si="5"/>
        <v>1102018</v>
      </c>
      <c r="B82" s="22">
        <v>1102</v>
      </c>
      <c r="C82" s="22" t="s">
        <v>225</v>
      </c>
      <c r="D82" s="22" t="s">
        <v>226</v>
      </c>
      <c r="E82" s="22">
        <f t="shared" si="3"/>
        <v>8</v>
      </c>
      <c r="F82" s="22">
        <v>18</v>
      </c>
      <c r="G82" s="7">
        <v>17</v>
      </c>
      <c r="H82" s="22" t="s">
        <v>147</v>
      </c>
      <c r="I82" s="12">
        <v>3600</v>
      </c>
      <c r="J82" s="12">
        <v>1800</v>
      </c>
      <c r="K82" s="12" t="s">
        <v>97</v>
      </c>
      <c r="L82" s="12"/>
      <c r="P82" s="24">
        <v>34</v>
      </c>
      <c r="Q82" s="25" t="s">
        <v>101</v>
      </c>
    </row>
    <row r="83" customHeight="1" spans="1:17">
      <c r="A83" s="22">
        <f t="shared" ref="A83:A134" si="6">B83*1000+F83</f>
        <v>1102019</v>
      </c>
      <c r="B83" s="22">
        <v>1102</v>
      </c>
      <c r="C83" s="22" t="s">
        <v>225</v>
      </c>
      <c r="D83" s="22" t="s">
        <v>226</v>
      </c>
      <c r="E83" s="22">
        <f t="shared" si="3"/>
        <v>9</v>
      </c>
      <c r="F83" s="22">
        <v>19</v>
      </c>
      <c r="G83" s="7">
        <v>17</v>
      </c>
      <c r="H83" s="22" t="s">
        <v>153</v>
      </c>
      <c r="I83" s="12">
        <v>3800</v>
      </c>
      <c r="J83" s="12">
        <v>1900</v>
      </c>
      <c r="K83" s="12" t="s">
        <v>100</v>
      </c>
      <c r="L83" s="12"/>
      <c r="P83" s="24">
        <v>36</v>
      </c>
      <c r="Q83" s="25" t="s">
        <v>104</v>
      </c>
    </row>
    <row r="84" customHeight="1" spans="1:17">
      <c r="A84" s="22">
        <f t="shared" si="6"/>
        <v>1102020</v>
      </c>
      <c r="B84" s="22">
        <v>1102</v>
      </c>
      <c r="C84" s="22" t="s">
        <v>225</v>
      </c>
      <c r="D84" s="22" t="s">
        <v>226</v>
      </c>
      <c r="E84" s="22">
        <f t="shared" si="3"/>
        <v>9</v>
      </c>
      <c r="F84" s="22">
        <v>20</v>
      </c>
      <c r="G84" s="7">
        <v>17</v>
      </c>
      <c r="H84" s="22" t="s">
        <v>159</v>
      </c>
      <c r="I84" s="12">
        <v>4000</v>
      </c>
      <c r="J84" s="12">
        <v>2000</v>
      </c>
      <c r="K84" s="12" t="s">
        <v>103</v>
      </c>
      <c r="L84" s="12"/>
      <c r="P84" s="24">
        <v>38</v>
      </c>
      <c r="Q84" s="25" t="s">
        <v>107</v>
      </c>
    </row>
    <row r="85" customHeight="1" spans="1:17">
      <c r="A85" s="22">
        <f t="shared" si="6"/>
        <v>1102021</v>
      </c>
      <c r="B85" s="22">
        <v>1102</v>
      </c>
      <c r="C85" s="22" t="s">
        <v>225</v>
      </c>
      <c r="D85" s="22" t="s">
        <v>226</v>
      </c>
      <c r="E85" s="22">
        <f t="shared" si="3"/>
        <v>9</v>
      </c>
      <c r="F85" s="22">
        <v>21</v>
      </c>
      <c r="G85" s="7">
        <v>17</v>
      </c>
      <c r="H85" s="22" t="s">
        <v>165</v>
      </c>
      <c r="I85" s="12">
        <v>4200</v>
      </c>
      <c r="J85" s="12">
        <v>2100</v>
      </c>
      <c r="K85" s="12" t="s">
        <v>106</v>
      </c>
      <c r="L85" s="12"/>
      <c r="P85" s="24">
        <v>40</v>
      </c>
      <c r="Q85" s="25" t="s">
        <v>110</v>
      </c>
    </row>
    <row r="86" customHeight="1" spans="1:17">
      <c r="A86" s="22">
        <f t="shared" si="6"/>
        <v>1102022</v>
      </c>
      <c r="B86" s="22">
        <v>1102</v>
      </c>
      <c r="C86" s="22" t="s">
        <v>225</v>
      </c>
      <c r="D86" s="22" t="s">
        <v>226</v>
      </c>
      <c r="E86" s="22">
        <f t="shared" si="3"/>
        <v>10</v>
      </c>
      <c r="F86" s="22">
        <v>22</v>
      </c>
      <c r="G86" s="7">
        <v>17</v>
      </c>
      <c r="H86" s="22" t="s">
        <v>171</v>
      </c>
      <c r="I86" s="12">
        <v>4400</v>
      </c>
      <c r="J86" s="12">
        <v>2200</v>
      </c>
      <c r="K86" s="12" t="s">
        <v>109</v>
      </c>
      <c r="L86" s="12"/>
      <c r="P86" s="24">
        <v>42</v>
      </c>
      <c r="Q86" s="25" t="s">
        <v>113</v>
      </c>
    </row>
    <row r="87" customHeight="1" spans="1:17">
      <c r="A87" s="22">
        <f t="shared" si="6"/>
        <v>1102023</v>
      </c>
      <c r="B87" s="22">
        <v>1102</v>
      </c>
      <c r="C87" s="22" t="s">
        <v>225</v>
      </c>
      <c r="D87" s="22" t="s">
        <v>226</v>
      </c>
      <c r="E87" s="22">
        <f t="shared" si="3"/>
        <v>10</v>
      </c>
      <c r="F87" s="22">
        <v>23</v>
      </c>
      <c r="G87" s="7">
        <v>17</v>
      </c>
      <c r="H87" s="22" t="s">
        <v>177</v>
      </c>
      <c r="I87" s="12">
        <v>4600</v>
      </c>
      <c r="J87" s="12">
        <v>2300</v>
      </c>
      <c r="K87" s="12" t="s">
        <v>112</v>
      </c>
      <c r="L87" s="12"/>
      <c r="P87" s="24">
        <v>44</v>
      </c>
      <c r="Q87" s="25" t="s">
        <v>116</v>
      </c>
    </row>
    <row r="88" customHeight="1" spans="1:17">
      <c r="A88" s="22">
        <f t="shared" si="6"/>
        <v>1102024</v>
      </c>
      <c r="B88" s="22">
        <v>1102</v>
      </c>
      <c r="C88" s="22" t="s">
        <v>225</v>
      </c>
      <c r="D88" s="22" t="s">
        <v>226</v>
      </c>
      <c r="E88" s="22">
        <f t="shared" si="3"/>
        <v>10</v>
      </c>
      <c r="F88" s="22">
        <v>24</v>
      </c>
      <c r="G88" s="7">
        <v>17</v>
      </c>
      <c r="H88" s="22" t="s">
        <v>183</v>
      </c>
      <c r="I88" s="12">
        <v>4800</v>
      </c>
      <c r="J88" s="12">
        <v>2400</v>
      </c>
      <c r="K88" s="12" t="s">
        <v>115</v>
      </c>
      <c r="L88" s="12"/>
      <c r="P88" s="24">
        <v>46</v>
      </c>
      <c r="Q88" s="25" t="s">
        <v>119</v>
      </c>
    </row>
    <row r="89" customHeight="1" spans="1:17">
      <c r="A89" s="22">
        <f t="shared" si="6"/>
        <v>1102025</v>
      </c>
      <c r="B89" s="22">
        <v>1102</v>
      </c>
      <c r="C89" s="22" t="s">
        <v>225</v>
      </c>
      <c r="D89" s="22" t="s">
        <v>226</v>
      </c>
      <c r="E89" s="22">
        <f t="shared" si="3"/>
        <v>11</v>
      </c>
      <c r="F89" s="22">
        <v>25</v>
      </c>
      <c r="G89" s="7">
        <v>17</v>
      </c>
      <c r="H89" s="22" t="s">
        <v>189</v>
      </c>
      <c r="I89" s="12">
        <v>5000</v>
      </c>
      <c r="J89" s="12">
        <v>2500</v>
      </c>
      <c r="K89" s="12" t="s">
        <v>118</v>
      </c>
      <c r="L89" s="12"/>
      <c r="P89" s="24">
        <v>48</v>
      </c>
      <c r="Q89" s="25" t="s">
        <v>122</v>
      </c>
    </row>
    <row r="90" customHeight="1" spans="1:17">
      <c r="A90" s="22">
        <f t="shared" si="6"/>
        <v>1102026</v>
      </c>
      <c r="B90" s="22">
        <v>1102</v>
      </c>
      <c r="C90" s="22" t="s">
        <v>225</v>
      </c>
      <c r="D90" s="22" t="s">
        <v>226</v>
      </c>
      <c r="E90" s="22">
        <f t="shared" si="3"/>
        <v>11</v>
      </c>
      <c r="F90" s="22">
        <v>26</v>
      </c>
      <c r="G90" s="7">
        <v>17</v>
      </c>
      <c r="H90" s="22" t="s">
        <v>195</v>
      </c>
      <c r="I90" s="12">
        <v>5200</v>
      </c>
      <c r="J90" s="12">
        <v>2600</v>
      </c>
      <c r="K90" s="12" t="s">
        <v>121</v>
      </c>
      <c r="L90" s="12"/>
      <c r="P90" s="24">
        <v>50</v>
      </c>
      <c r="Q90" s="25" t="s">
        <v>125</v>
      </c>
    </row>
    <row r="91" customHeight="1" spans="1:17">
      <c r="A91" s="22">
        <f t="shared" si="6"/>
        <v>1102027</v>
      </c>
      <c r="B91" s="22">
        <v>1102</v>
      </c>
      <c r="C91" s="22" t="s">
        <v>225</v>
      </c>
      <c r="D91" s="22" t="s">
        <v>226</v>
      </c>
      <c r="E91" s="22">
        <f t="shared" si="3"/>
        <v>11</v>
      </c>
      <c r="F91" s="22">
        <v>27</v>
      </c>
      <c r="G91" s="7">
        <v>17</v>
      </c>
      <c r="H91" s="22" t="s">
        <v>201</v>
      </c>
      <c r="I91" s="12">
        <v>5400</v>
      </c>
      <c r="J91" s="12">
        <v>2700</v>
      </c>
      <c r="K91" s="12" t="s">
        <v>124</v>
      </c>
      <c r="L91" s="12"/>
      <c r="P91" s="24">
        <v>52</v>
      </c>
      <c r="Q91" s="25" t="s">
        <v>128</v>
      </c>
    </row>
    <row r="92" customHeight="1" spans="1:17">
      <c r="A92" s="22">
        <f t="shared" si="6"/>
        <v>1102028</v>
      </c>
      <c r="B92" s="22">
        <v>1102</v>
      </c>
      <c r="C92" s="22" t="s">
        <v>225</v>
      </c>
      <c r="D92" s="22" t="s">
        <v>226</v>
      </c>
      <c r="E92" s="22">
        <f t="shared" si="3"/>
        <v>12</v>
      </c>
      <c r="F92" s="22">
        <v>28</v>
      </c>
      <c r="G92" s="7">
        <v>17</v>
      </c>
      <c r="H92" s="22" t="s">
        <v>207</v>
      </c>
      <c r="I92" s="12">
        <v>5600</v>
      </c>
      <c r="J92" s="12">
        <v>2800</v>
      </c>
      <c r="K92" s="12" t="s">
        <v>127</v>
      </c>
      <c r="L92" s="12"/>
      <c r="P92" s="24">
        <v>54</v>
      </c>
      <c r="Q92" s="25" t="s">
        <v>131</v>
      </c>
    </row>
    <row r="93" customHeight="1" spans="1:17">
      <c r="A93" s="22">
        <f t="shared" si="6"/>
        <v>1102029</v>
      </c>
      <c r="B93" s="22">
        <v>1102</v>
      </c>
      <c r="C93" s="22" t="s">
        <v>225</v>
      </c>
      <c r="D93" s="22" t="s">
        <v>226</v>
      </c>
      <c r="E93" s="22">
        <f t="shared" si="3"/>
        <v>12</v>
      </c>
      <c r="F93" s="22">
        <v>29</v>
      </c>
      <c r="G93" s="7">
        <v>17</v>
      </c>
      <c r="H93" s="22" t="s">
        <v>213</v>
      </c>
      <c r="I93" s="12">
        <v>5800</v>
      </c>
      <c r="J93" s="12">
        <v>2900</v>
      </c>
      <c r="K93" s="12" t="s">
        <v>130</v>
      </c>
      <c r="L93" s="12"/>
      <c r="P93" s="24">
        <v>56</v>
      </c>
      <c r="Q93" s="25" t="s">
        <v>134</v>
      </c>
    </row>
    <row r="94" customHeight="1" spans="1:17">
      <c r="A94" s="22">
        <f t="shared" si="6"/>
        <v>1102030</v>
      </c>
      <c r="B94" s="22">
        <v>1102</v>
      </c>
      <c r="C94" s="22" t="s">
        <v>225</v>
      </c>
      <c r="D94" s="22" t="s">
        <v>226</v>
      </c>
      <c r="E94" s="22">
        <f t="shared" si="3"/>
        <v>12</v>
      </c>
      <c r="F94" s="22">
        <v>30</v>
      </c>
      <c r="G94" s="7">
        <v>17</v>
      </c>
      <c r="H94" s="22" t="s">
        <v>219</v>
      </c>
      <c r="I94" s="12">
        <v>6000</v>
      </c>
      <c r="J94" s="12">
        <v>3000</v>
      </c>
      <c r="K94" s="12" t="s">
        <v>133</v>
      </c>
      <c r="L94" s="12"/>
      <c r="O94" s="2" t="s">
        <v>234</v>
      </c>
      <c r="P94" s="24">
        <v>58</v>
      </c>
      <c r="Q94" s="25" t="s">
        <v>137</v>
      </c>
    </row>
    <row r="95" customHeight="1" spans="1:17">
      <c r="A95" s="22">
        <f t="shared" si="6"/>
        <v>1102031</v>
      </c>
      <c r="B95" s="22">
        <v>1102</v>
      </c>
      <c r="C95" s="22" t="s">
        <v>225</v>
      </c>
      <c r="D95" s="22" t="s">
        <v>226</v>
      </c>
      <c r="E95" s="22">
        <f t="shared" si="3"/>
        <v>13</v>
      </c>
      <c r="F95" s="22">
        <v>31</v>
      </c>
      <c r="G95" s="7">
        <v>17</v>
      </c>
      <c r="H95" s="22" t="s">
        <v>235</v>
      </c>
      <c r="I95" s="12">
        <v>6200</v>
      </c>
      <c r="J95" s="12">
        <v>3100</v>
      </c>
      <c r="K95" s="12" t="s">
        <v>136</v>
      </c>
      <c r="L95" s="12"/>
      <c r="O95" s="2" t="s">
        <v>234</v>
      </c>
      <c r="P95" s="24">
        <v>60</v>
      </c>
      <c r="Q95" s="25" t="s">
        <v>140</v>
      </c>
    </row>
    <row r="96" customHeight="1" spans="1:17">
      <c r="A96" s="22">
        <f t="shared" si="6"/>
        <v>1102032</v>
      </c>
      <c r="B96" s="22">
        <v>1102</v>
      </c>
      <c r="C96" s="22" t="s">
        <v>225</v>
      </c>
      <c r="D96" s="22" t="s">
        <v>226</v>
      </c>
      <c r="E96" s="22">
        <f t="shared" si="3"/>
        <v>13</v>
      </c>
      <c r="F96" s="22">
        <v>32</v>
      </c>
      <c r="G96" s="7">
        <v>17</v>
      </c>
      <c r="H96" s="22" t="s">
        <v>236</v>
      </c>
      <c r="I96" s="12">
        <v>6400</v>
      </c>
      <c r="J96" s="12">
        <v>3200</v>
      </c>
      <c r="K96" s="12" t="s">
        <v>139</v>
      </c>
      <c r="L96" s="12"/>
      <c r="O96" s="2" t="s">
        <v>234</v>
      </c>
      <c r="P96" s="24">
        <v>62</v>
      </c>
      <c r="Q96" s="25" t="s">
        <v>143</v>
      </c>
    </row>
    <row r="97" customHeight="1" spans="1:17">
      <c r="A97" s="22">
        <f t="shared" si="6"/>
        <v>1102033</v>
      </c>
      <c r="B97" s="22">
        <v>1102</v>
      </c>
      <c r="C97" s="22" t="s">
        <v>225</v>
      </c>
      <c r="D97" s="22" t="s">
        <v>226</v>
      </c>
      <c r="E97" s="22">
        <f t="shared" si="3"/>
        <v>13</v>
      </c>
      <c r="F97" s="22">
        <v>33</v>
      </c>
      <c r="G97" s="7">
        <v>17</v>
      </c>
      <c r="H97" s="22" t="s">
        <v>237</v>
      </c>
      <c r="I97" s="12">
        <v>6600</v>
      </c>
      <c r="J97" s="12">
        <v>3300</v>
      </c>
      <c r="K97" s="12" t="s">
        <v>142</v>
      </c>
      <c r="L97" s="12"/>
      <c r="O97" s="2" t="s">
        <v>234</v>
      </c>
      <c r="P97" s="24">
        <v>64</v>
      </c>
      <c r="Q97" s="25" t="s">
        <v>146</v>
      </c>
    </row>
    <row r="98" customHeight="1" spans="1:17">
      <c r="A98" s="22">
        <f t="shared" si="6"/>
        <v>1102034</v>
      </c>
      <c r="B98" s="22">
        <v>1102</v>
      </c>
      <c r="C98" s="22" t="s">
        <v>225</v>
      </c>
      <c r="D98" s="22" t="s">
        <v>226</v>
      </c>
      <c r="E98" s="22">
        <f t="shared" si="3"/>
        <v>14</v>
      </c>
      <c r="F98" s="22">
        <v>34</v>
      </c>
      <c r="G98" s="7">
        <v>17</v>
      </c>
      <c r="H98" s="22" t="s">
        <v>238</v>
      </c>
      <c r="I98" s="12">
        <v>6800</v>
      </c>
      <c r="J98" s="12">
        <v>3400</v>
      </c>
      <c r="K98" s="12" t="s">
        <v>145</v>
      </c>
      <c r="L98" s="12"/>
      <c r="O98" s="2" t="s">
        <v>234</v>
      </c>
      <c r="P98" s="24">
        <v>66</v>
      </c>
      <c r="Q98" s="25" t="s">
        <v>149</v>
      </c>
    </row>
    <row r="99" customHeight="1" spans="1:17">
      <c r="A99" s="22">
        <f t="shared" si="6"/>
        <v>1102035</v>
      </c>
      <c r="B99" s="22">
        <v>1102</v>
      </c>
      <c r="C99" s="22" t="s">
        <v>225</v>
      </c>
      <c r="D99" s="22" t="s">
        <v>226</v>
      </c>
      <c r="E99" s="22">
        <f t="shared" si="3"/>
        <v>14</v>
      </c>
      <c r="F99" s="22">
        <v>35</v>
      </c>
      <c r="G99" s="7">
        <v>17</v>
      </c>
      <c r="H99" s="22" t="s">
        <v>239</v>
      </c>
      <c r="I99" s="12">
        <v>7000</v>
      </c>
      <c r="J99" s="12">
        <v>3500</v>
      </c>
      <c r="K99" s="12" t="s">
        <v>148</v>
      </c>
      <c r="L99" s="12"/>
      <c r="O99" s="2" t="s">
        <v>234</v>
      </c>
      <c r="P99" s="24">
        <v>68</v>
      </c>
      <c r="Q99" s="25" t="s">
        <v>152</v>
      </c>
    </row>
    <row r="100" customHeight="1" spans="1:17">
      <c r="A100" s="22">
        <f t="shared" si="6"/>
        <v>1102036</v>
      </c>
      <c r="B100" s="22">
        <v>1102</v>
      </c>
      <c r="C100" s="22" t="s">
        <v>225</v>
      </c>
      <c r="D100" s="22" t="s">
        <v>226</v>
      </c>
      <c r="E100" s="22">
        <f t="shared" si="3"/>
        <v>14</v>
      </c>
      <c r="F100" s="22">
        <v>36</v>
      </c>
      <c r="G100" s="7">
        <v>17</v>
      </c>
      <c r="H100" s="22" t="s">
        <v>240</v>
      </c>
      <c r="I100" s="12">
        <v>7200</v>
      </c>
      <c r="J100" s="12">
        <v>3600</v>
      </c>
      <c r="K100" s="12" t="s">
        <v>151</v>
      </c>
      <c r="L100" s="12"/>
      <c r="O100" s="2" t="s">
        <v>234</v>
      </c>
      <c r="P100" s="24">
        <v>70</v>
      </c>
      <c r="Q100" s="25" t="s">
        <v>155</v>
      </c>
    </row>
    <row r="101" customHeight="1" spans="1:17">
      <c r="A101" s="22">
        <f t="shared" si="6"/>
        <v>1102037</v>
      </c>
      <c r="B101" s="22">
        <v>1102</v>
      </c>
      <c r="C101" s="22" t="s">
        <v>225</v>
      </c>
      <c r="D101" s="22" t="s">
        <v>226</v>
      </c>
      <c r="E101" s="22">
        <f t="shared" si="3"/>
        <v>15</v>
      </c>
      <c r="F101" s="22">
        <v>37</v>
      </c>
      <c r="G101" s="7">
        <v>17</v>
      </c>
      <c r="H101" s="22" t="s">
        <v>241</v>
      </c>
      <c r="I101" s="12">
        <v>7400</v>
      </c>
      <c r="J101" s="12">
        <v>3700</v>
      </c>
      <c r="K101" s="12" t="s">
        <v>154</v>
      </c>
      <c r="L101" s="12"/>
      <c r="O101" s="2" t="s">
        <v>234</v>
      </c>
      <c r="P101" s="24">
        <v>72</v>
      </c>
      <c r="Q101" s="25" t="s">
        <v>158</v>
      </c>
    </row>
    <row r="102" customHeight="1" spans="1:17">
      <c r="A102" s="22">
        <f t="shared" si="6"/>
        <v>1102038</v>
      </c>
      <c r="B102" s="22">
        <v>1102</v>
      </c>
      <c r="C102" s="22" t="s">
        <v>225</v>
      </c>
      <c r="D102" s="22" t="s">
        <v>226</v>
      </c>
      <c r="E102" s="22">
        <f t="shared" si="3"/>
        <v>15</v>
      </c>
      <c r="F102" s="22">
        <v>38</v>
      </c>
      <c r="G102" s="7">
        <v>17</v>
      </c>
      <c r="H102" s="22" t="s">
        <v>242</v>
      </c>
      <c r="I102" s="12">
        <v>7600</v>
      </c>
      <c r="J102" s="12">
        <v>3800</v>
      </c>
      <c r="K102" s="12" t="s">
        <v>157</v>
      </c>
      <c r="L102" s="12"/>
      <c r="O102" s="2" t="s">
        <v>234</v>
      </c>
      <c r="P102" s="24">
        <v>74</v>
      </c>
      <c r="Q102" s="25" t="s">
        <v>161</v>
      </c>
    </row>
    <row r="103" customHeight="1" spans="1:17">
      <c r="A103" s="22">
        <f t="shared" si="6"/>
        <v>1102039</v>
      </c>
      <c r="B103" s="22">
        <v>1102</v>
      </c>
      <c r="C103" s="22" t="s">
        <v>225</v>
      </c>
      <c r="D103" s="22" t="s">
        <v>226</v>
      </c>
      <c r="E103" s="22">
        <f t="shared" si="3"/>
        <v>15</v>
      </c>
      <c r="F103" s="22">
        <v>39</v>
      </c>
      <c r="G103" s="7">
        <v>17</v>
      </c>
      <c r="H103" s="22" t="s">
        <v>243</v>
      </c>
      <c r="I103" s="12">
        <v>7800</v>
      </c>
      <c r="J103" s="12">
        <v>3900</v>
      </c>
      <c r="K103" s="12" t="s">
        <v>160</v>
      </c>
      <c r="L103" s="12"/>
      <c r="O103" s="2" t="s">
        <v>234</v>
      </c>
      <c r="P103" s="24">
        <v>76</v>
      </c>
      <c r="Q103" s="25" t="s">
        <v>164</v>
      </c>
    </row>
    <row r="104" customHeight="1" spans="1:17">
      <c r="A104" s="22">
        <f t="shared" si="6"/>
        <v>1102040</v>
      </c>
      <c r="B104" s="22">
        <v>1102</v>
      </c>
      <c r="C104" s="22" t="s">
        <v>225</v>
      </c>
      <c r="D104" s="22" t="s">
        <v>226</v>
      </c>
      <c r="E104" s="22">
        <f t="shared" si="3"/>
        <v>16</v>
      </c>
      <c r="F104" s="22">
        <v>40</v>
      </c>
      <c r="G104" s="7">
        <v>17</v>
      </c>
      <c r="H104" s="22" t="s">
        <v>244</v>
      </c>
      <c r="I104" s="12">
        <v>8000</v>
      </c>
      <c r="J104" s="12">
        <v>4000</v>
      </c>
      <c r="K104" s="12" t="s">
        <v>163</v>
      </c>
      <c r="L104" s="12"/>
      <c r="O104" s="2" t="s">
        <v>234</v>
      </c>
      <c r="P104" s="24">
        <v>78</v>
      </c>
      <c r="Q104" s="25" t="s">
        <v>167</v>
      </c>
    </row>
    <row r="105" customHeight="1" spans="1:17">
      <c r="A105" s="22">
        <f t="shared" si="6"/>
        <v>1102041</v>
      </c>
      <c r="B105" s="22">
        <v>1102</v>
      </c>
      <c r="C105" s="22" t="s">
        <v>225</v>
      </c>
      <c r="D105" s="22" t="s">
        <v>226</v>
      </c>
      <c r="E105" s="22">
        <f t="shared" si="3"/>
        <v>16</v>
      </c>
      <c r="F105" s="22">
        <v>41</v>
      </c>
      <c r="G105" s="7">
        <v>17</v>
      </c>
      <c r="H105" s="22" t="s">
        <v>245</v>
      </c>
      <c r="I105" s="12">
        <v>8200</v>
      </c>
      <c r="J105" s="12">
        <v>4100</v>
      </c>
      <c r="K105" s="12" t="s">
        <v>166</v>
      </c>
      <c r="L105" s="12"/>
      <c r="O105" s="2" t="s">
        <v>234</v>
      </c>
      <c r="P105" s="24">
        <v>80</v>
      </c>
      <c r="Q105" s="25" t="s">
        <v>170</v>
      </c>
    </row>
    <row r="106" customHeight="1" spans="1:17">
      <c r="A106" s="22">
        <f t="shared" si="6"/>
        <v>1102042</v>
      </c>
      <c r="B106" s="22">
        <v>1102</v>
      </c>
      <c r="C106" s="22" t="s">
        <v>225</v>
      </c>
      <c r="D106" s="22" t="s">
        <v>226</v>
      </c>
      <c r="E106" s="22">
        <f t="shared" si="3"/>
        <v>16</v>
      </c>
      <c r="F106" s="22">
        <v>42</v>
      </c>
      <c r="G106" s="7">
        <v>17</v>
      </c>
      <c r="H106" s="22" t="s">
        <v>246</v>
      </c>
      <c r="I106" s="12">
        <v>8400</v>
      </c>
      <c r="J106" s="12">
        <v>4200</v>
      </c>
      <c r="K106" s="12" t="s">
        <v>169</v>
      </c>
      <c r="L106" s="12"/>
      <c r="O106" s="2" t="s">
        <v>234</v>
      </c>
      <c r="P106" s="24">
        <v>82</v>
      </c>
      <c r="Q106" s="25" t="s">
        <v>173</v>
      </c>
    </row>
    <row r="107" customHeight="1" spans="1:17">
      <c r="A107" s="22">
        <f t="shared" si="6"/>
        <v>1102043</v>
      </c>
      <c r="B107" s="22">
        <v>1102</v>
      </c>
      <c r="C107" s="22" t="s">
        <v>225</v>
      </c>
      <c r="D107" s="22" t="s">
        <v>226</v>
      </c>
      <c r="E107" s="22">
        <f t="shared" si="3"/>
        <v>17</v>
      </c>
      <c r="F107" s="22">
        <v>43</v>
      </c>
      <c r="G107" s="7">
        <v>17</v>
      </c>
      <c r="H107" s="22" t="s">
        <v>247</v>
      </c>
      <c r="I107" s="12">
        <v>8600</v>
      </c>
      <c r="J107" s="12">
        <v>4300</v>
      </c>
      <c r="K107" s="12" t="s">
        <v>172</v>
      </c>
      <c r="L107" s="12"/>
      <c r="O107" s="2" t="s">
        <v>234</v>
      </c>
      <c r="P107" s="24">
        <v>84</v>
      </c>
      <c r="Q107" s="25" t="s">
        <v>176</v>
      </c>
    </row>
    <row r="108" customHeight="1" spans="1:17">
      <c r="A108" s="22">
        <f t="shared" si="6"/>
        <v>1102044</v>
      </c>
      <c r="B108" s="22">
        <v>1102</v>
      </c>
      <c r="C108" s="22" t="s">
        <v>225</v>
      </c>
      <c r="D108" s="22" t="s">
        <v>226</v>
      </c>
      <c r="E108" s="22">
        <f t="shared" si="3"/>
        <v>17</v>
      </c>
      <c r="F108" s="22">
        <v>44</v>
      </c>
      <c r="G108" s="7">
        <v>17</v>
      </c>
      <c r="H108" s="22" t="s">
        <v>248</v>
      </c>
      <c r="I108" s="12">
        <v>8800</v>
      </c>
      <c r="J108" s="12">
        <v>4400</v>
      </c>
      <c r="K108" s="12" t="s">
        <v>175</v>
      </c>
      <c r="L108" s="12"/>
      <c r="O108" s="2" t="s">
        <v>234</v>
      </c>
      <c r="P108" s="24">
        <v>86</v>
      </c>
      <c r="Q108" s="25" t="s">
        <v>179</v>
      </c>
    </row>
    <row r="109" customHeight="1" spans="1:17">
      <c r="A109" s="22">
        <f t="shared" si="6"/>
        <v>1102045</v>
      </c>
      <c r="B109" s="22">
        <v>1102</v>
      </c>
      <c r="C109" s="22" t="s">
        <v>225</v>
      </c>
      <c r="D109" s="22" t="s">
        <v>226</v>
      </c>
      <c r="E109" s="22">
        <f t="shared" si="3"/>
        <v>17</v>
      </c>
      <c r="F109" s="22">
        <v>45</v>
      </c>
      <c r="G109" s="7">
        <v>17</v>
      </c>
      <c r="H109" s="22" t="s">
        <v>249</v>
      </c>
      <c r="I109" s="12">
        <v>9000</v>
      </c>
      <c r="J109" s="12">
        <v>4500</v>
      </c>
      <c r="K109" s="12" t="s">
        <v>178</v>
      </c>
      <c r="L109" s="12"/>
      <c r="O109" s="2" t="s">
        <v>234</v>
      </c>
      <c r="P109" s="24">
        <v>88</v>
      </c>
      <c r="Q109" s="25" t="s">
        <v>182</v>
      </c>
    </row>
    <row r="110" customHeight="1" spans="1:17">
      <c r="A110" s="22">
        <f t="shared" si="6"/>
        <v>1102046</v>
      </c>
      <c r="B110" s="22">
        <v>1102</v>
      </c>
      <c r="C110" s="22" t="s">
        <v>225</v>
      </c>
      <c r="D110" s="22" t="s">
        <v>226</v>
      </c>
      <c r="E110" s="22">
        <f t="shared" si="3"/>
        <v>18</v>
      </c>
      <c r="F110" s="22">
        <v>46</v>
      </c>
      <c r="G110" s="7">
        <v>17</v>
      </c>
      <c r="H110" s="22" t="s">
        <v>250</v>
      </c>
      <c r="I110" s="12">
        <v>9200</v>
      </c>
      <c r="J110" s="12">
        <v>4600</v>
      </c>
      <c r="K110" s="12" t="s">
        <v>181</v>
      </c>
      <c r="L110" s="12"/>
      <c r="O110" s="2" t="s">
        <v>234</v>
      </c>
      <c r="P110" s="24">
        <v>90</v>
      </c>
      <c r="Q110" s="25" t="s">
        <v>185</v>
      </c>
    </row>
    <row r="111" customHeight="1" spans="1:17">
      <c r="A111" s="22">
        <f t="shared" si="6"/>
        <v>1102047</v>
      </c>
      <c r="B111" s="22">
        <v>1102</v>
      </c>
      <c r="C111" s="22" t="s">
        <v>225</v>
      </c>
      <c r="D111" s="22" t="s">
        <v>226</v>
      </c>
      <c r="E111" s="22">
        <f t="shared" si="3"/>
        <v>18</v>
      </c>
      <c r="F111" s="22">
        <v>47</v>
      </c>
      <c r="G111" s="7">
        <v>17</v>
      </c>
      <c r="H111" s="22" t="s">
        <v>251</v>
      </c>
      <c r="I111" s="12">
        <v>9400</v>
      </c>
      <c r="J111" s="12">
        <v>4700</v>
      </c>
      <c r="K111" s="12" t="s">
        <v>184</v>
      </c>
      <c r="L111" s="12"/>
      <c r="O111" s="2" t="s">
        <v>234</v>
      </c>
      <c r="P111" s="24">
        <v>92</v>
      </c>
      <c r="Q111" s="25" t="s">
        <v>188</v>
      </c>
    </row>
    <row r="112" customHeight="1" spans="1:17">
      <c r="A112" s="22">
        <f t="shared" si="6"/>
        <v>1102048</v>
      </c>
      <c r="B112" s="22">
        <v>1102</v>
      </c>
      <c r="C112" s="22" t="s">
        <v>225</v>
      </c>
      <c r="D112" s="22" t="s">
        <v>226</v>
      </c>
      <c r="E112" s="22">
        <f t="shared" si="3"/>
        <v>18</v>
      </c>
      <c r="F112" s="22">
        <v>48</v>
      </c>
      <c r="G112" s="7">
        <v>17</v>
      </c>
      <c r="H112" s="22" t="s">
        <v>252</v>
      </c>
      <c r="I112" s="12">
        <v>9600</v>
      </c>
      <c r="J112" s="12">
        <v>4800</v>
      </c>
      <c r="K112" s="12" t="s">
        <v>187</v>
      </c>
      <c r="L112" s="12"/>
      <c r="O112" s="2" t="s">
        <v>234</v>
      </c>
      <c r="P112" s="24">
        <v>94</v>
      </c>
      <c r="Q112" s="25" t="s">
        <v>191</v>
      </c>
    </row>
    <row r="113" customHeight="1" spans="1:17">
      <c r="A113" s="22">
        <f t="shared" si="6"/>
        <v>1102049</v>
      </c>
      <c r="B113" s="22">
        <v>1102</v>
      </c>
      <c r="C113" s="22" t="s">
        <v>225</v>
      </c>
      <c r="D113" s="22" t="s">
        <v>226</v>
      </c>
      <c r="E113" s="22">
        <f t="shared" si="3"/>
        <v>19</v>
      </c>
      <c r="F113" s="22">
        <v>49</v>
      </c>
      <c r="G113" s="7">
        <v>17</v>
      </c>
      <c r="H113" s="22" t="s">
        <v>253</v>
      </c>
      <c r="I113" s="12">
        <v>9800</v>
      </c>
      <c r="J113" s="12">
        <v>4900</v>
      </c>
      <c r="K113" s="12" t="s">
        <v>190</v>
      </c>
      <c r="L113" s="12"/>
      <c r="O113" s="2" t="s">
        <v>234</v>
      </c>
      <c r="P113" s="24">
        <v>96</v>
      </c>
      <c r="Q113" s="25" t="s">
        <v>194</v>
      </c>
    </row>
    <row r="114" customHeight="1" spans="1:17">
      <c r="A114" s="22">
        <f t="shared" si="6"/>
        <v>1102050</v>
      </c>
      <c r="B114" s="22">
        <v>1102</v>
      </c>
      <c r="C114" s="22" t="s">
        <v>225</v>
      </c>
      <c r="D114" s="22" t="s">
        <v>226</v>
      </c>
      <c r="E114" s="22">
        <f t="shared" si="3"/>
        <v>19</v>
      </c>
      <c r="F114" s="22">
        <v>50</v>
      </c>
      <c r="G114" s="7">
        <v>17</v>
      </c>
      <c r="H114" s="22" t="s">
        <v>254</v>
      </c>
      <c r="I114" s="12">
        <v>10000</v>
      </c>
      <c r="J114" s="12">
        <v>5000</v>
      </c>
      <c r="K114" s="12" t="s">
        <v>193</v>
      </c>
      <c r="L114" s="12"/>
      <c r="O114" s="2" t="s">
        <v>234</v>
      </c>
      <c r="P114" s="24">
        <v>98</v>
      </c>
      <c r="Q114" s="25" t="s">
        <v>197</v>
      </c>
    </row>
    <row r="115" customHeight="1" spans="1:17">
      <c r="A115" s="22">
        <f t="shared" si="6"/>
        <v>1102051</v>
      </c>
      <c r="B115" s="22">
        <v>1102</v>
      </c>
      <c r="C115" s="22" t="s">
        <v>225</v>
      </c>
      <c r="D115" s="22" t="s">
        <v>226</v>
      </c>
      <c r="E115" s="22">
        <f t="shared" si="3"/>
        <v>19</v>
      </c>
      <c r="F115" s="22">
        <v>51</v>
      </c>
      <c r="G115" s="7">
        <v>17</v>
      </c>
      <c r="H115" s="22" t="s">
        <v>255</v>
      </c>
      <c r="I115" s="12">
        <v>10200</v>
      </c>
      <c r="J115" s="12">
        <v>5100</v>
      </c>
      <c r="K115" s="12" t="s">
        <v>196</v>
      </c>
      <c r="L115" s="12"/>
      <c r="O115" s="2" t="s">
        <v>234</v>
      </c>
      <c r="P115" s="24">
        <v>100</v>
      </c>
      <c r="Q115" s="25" t="s">
        <v>200</v>
      </c>
    </row>
    <row r="116" customHeight="1" spans="1:17">
      <c r="A116" s="22">
        <f t="shared" si="6"/>
        <v>1102052</v>
      </c>
      <c r="B116" s="22">
        <v>1102</v>
      </c>
      <c r="C116" s="22" t="s">
        <v>225</v>
      </c>
      <c r="D116" s="22" t="s">
        <v>226</v>
      </c>
      <c r="E116" s="22">
        <f t="shared" si="3"/>
        <v>20</v>
      </c>
      <c r="F116" s="22">
        <v>52</v>
      </c>
      <c r="G116" s="7">
        <v>17</v>
      </c>
      <c r="H116" s="22" t="s">
        <v>256</v>
      </c>
      <c r="I116" s="12">
        <v>10400</v>
      </c>
      <c r="J116" s="12">
        <v>5200</v>
      </c>
      <c r="K116" s="12" t="s">
        <v>199</v>
      </c>
      <c r="L116" s="12"/>
      <c r="O116" s="2" t="s">
        <v>234</v>
      </c>
      <c r="P116" s="24">
        <v>102</v>
      </c>
      <c r="Q116" s="25" t="s">
        <v>203</v>
      </c>
    </row>
    <row r="117" customHeight="1" spans="1:17">
      <c r="A117" s="22">
        <f t="shared" si="6"/>
        <v>1102053</v>
      </c>
      <c r="B117" s="22">
        <v>1102</v>
      </c>
      <c r="C117" s="22" t="s">
        <v>225</v>
      </c>
      <c r="D117" s="22" t="s">
        <v>226</v>
      </c>
      <c r="E117" s="22">
        <f t="shared" si="3"/>
        <v>20</v>
      </c>
      <c r="F117" s="22">
        <v>53</v>
      </c>
      <c r="G117" s="7">
        <v>17</v>
      </c>
      <c r="H117" s="22" t="s">
        <v>257</v>
      </c>
      <c r="I117" s="12">
        <v>10600</v>
      </c>
      <c r="J117" s="12">
        <v>5300</v>
      </c>
      <c r="K117" s="12" t="s">
        <v>202</v>
      </c>
      <c r="L117" s="12"/>
      <c r="O117" s="2" t="s">
        <v>234</v>
      </c>
      <c r="P117" s="24">
        <v>104</v>
      </c>
      <c r="Q117" s="25" t="s">
        <v>206</v>
      </c>
    </row>
    <row r="118" customHeight="1" spans="1:17">
      <c r="A118" s="22">
        <f t="shared" si="6"/>
        <v>1102054</v>
      </c>
      <c r="B118" s="22">
        <v>1102</v>
      </c>
      <c r="C118" s="22" t="s">
        <v>225</v>
      </c>
      <c r="D118" s="22" t="s">
        <v>226</v>
      </c>
      <c r="E118" s="22">
        <f t="shared" si="3"/>
        <v>20</v>
      </c>
      <c r="F118" s="22">
        <v>54</v>
      </c>
      <c r="G118" s="7">
        <v>17</v>
      </c>
      <c r="H118" s="22" t="s">
        <v>258</v>
      </c>
      <c r="I118" s="12">
        <v>10800</v>
      </c>
      <c r="J118" s="12">
        <v>5400</v>
      </c>
      <c r="K118" s="12" t="s">
        <v>205</v>
      </c>
      <c r="L118" s="12"/>
      <c r="O118" s="2" t="s">
        <v>234</v>
      </c>
      <c r="P118" s="24">
        <v>106</v>
      </c>
      <c r="Q118" s="25" t="s">
        <v>209</v>
      </c>
    </row>
    <row r="119" customHeight="1" spans="1:17">
      <c r="A119" s="22">
        <f t="shared" si="6"/>
        <v>1102055</v>
      </c>
      <c r="B119" s="22">
        <v>1102</v>
      </c>
      <c r="C119" s="22" t="s">
        <v>225</v>
      </c>
      <c r="D119" s="22" t="s">
        <v>226</v>
      </c>
      <c r="E119" s="22">
        <f t="shared" si="3"/>
        <v>21</v>
      </c>
      <c r="F119" s="22">
        <v>55</v>
      </c>
      <c r="G119" s="7">
        <v>17</v>
      </c>
      <c r="H119" s="22" t="s">
        <v>259</v>
      </c>
      <c r="I119" s="12">
        <v>11000</v>
      </c>
      <c r="J119" s="12">
        <v>5500</v>
      </c>
      <c r="K119" s="12" t="s">
        <v>208</v>
      </c>
      <c r="L119" s="12"/>
      <c r="O119" s="2" t="s">
        <v>234</v>
      </c>
      <c r="P119" s="24">
        <v>108</v>
      </c>
      <c r="Q119" s="25" t="s">
        <v>212</v>
      </c>
    </row>
    <row r="120" customHeight="1" spans="1:17">
      <c r="A120" s="22">
        <f t="shared" si="6"/>
        <v>1102056</v>
      </c>
      <c r="B120" s="22">
        <v>1102</v>
      </c>
      <c r="C120" s="22" t="s">
        <v>225</v>
      </c>
      <c r="D120" s="22" t="s">
        <v>226</v>
      </c>
      <c r="E120" s="22">
        <f t="shared" si="3"/>
        <v>21</v>
      </c>
      <c r="F120" s="22">
        <v>56</v>
      </c>
      <c r="G120" s="7">
        <v>17</v>
      </c>
      <c r="H120" s="22" t="s">
        <v>260</v>
      </c>
      <c r="I120" s="12">
        <v>11200</v>
      </c>
      <c r="J120" s="12">
        <v>5600</v>
      </c>
      <c r="K120" s="12" t="s">
        <v>211</v>
      </c>
      <c r="L120" s="12"/>
      <c r="O120" s="2" t="s">
        <v>234</v>
      </c>
      <c r="P120" s="24">
        <v>110</v>
      </c>
      <c r="Q120" s="25" t="s">
        <v>215</v>
      </c>
    </row>
    <row r="121" customHeight="1" spans="1:17">
      <c r="A121" s="22">
        <f t="shared" si="6"/>
        <v>1102057</v>
      </c>
      <c r="B121" s="22">
        <v>1102</v>
      </c>
      <c r="C121" s="22" t="s">
        <v>225</v>
      </c>
      <c r="D121" s="22" t="s">
        <v>226</v>
      </c>
      <c r="E121" s="22">
        <f t="shared" si="3"/>
        <v>21</v>
      </c>
      <c r="F121" s="22">
        <v>57</v>
      </c>
      <c r="G121" s="7">
        <v>17</v>
      </c>
      <c r="H121" s="22" t="s">
        <v>261</v>
      </c>
      <c r="I121" s="12">
        <v>11400</v>
      </c>
      <c r="J121" s="12">
        <v>5700</v>
      </c>
      <c r="K121" s="12" t="s">
        <v>214</v>
      </c>
      <c r="L121" s="12"/>
      <c r="O121" s="2" t="s">
        <v>234</v>
      </c>
      <c r="P121" s="24">
        <v>112</v>
      </c>
      <c r="Q121" s="25" t="s">
        <v>218</v>
      </c>
    </row>
    <row r="122" customHeight="1" spans="1:17">
      <c r="A122" s="22">
        <f t="shared" si="6"/>
        <v>1102058</v>
      </c>
      <c r="B122" s="22">
        <v>1102</v>
      </c>
      <c r="C122" s="22" t="s">
        <v>225</v>
      </c>
      <c r="D122" s="22" t="s">
        <v>226</v>
      </c>
      <c r="E122" s="22">
        <f t="shared" si="3"/>
        <v>22</v>
      </c>
      <c r="F122" s="22">
        <v>58</v>
      </c>
      <c r="G122" s="7">
        <v>17</v>
      </c>
      <c r="H122" s="22" t="s">
        <v>262</v>
      </c>
      <c r="I122" s="12">
        <v>11600</v>
      </c>
      <c r="J122" s="12">
        <v>5800</v>
      </c>
      <c r="K122" s="12" t="s">
        <v>217</v>
      </c>
      <c r="L122" s="12"/>
      <c r="O122" s="2" t="s">
        <v>234</v>
      </c>
      <c r="P122" s="24">
        <v>114</v>
      </c>
      <c r="Q122" s="25" t="s">
        <v>221</v>
      </c>
    </row>
    <row r="123" customHeight="1" spans="1:17">
      <c r="A123" s="22">
        <f t="shared" si="6"/>
        <v>1102059</v>
      </c>
      <c r="B123" s="22">
        <v>1102</v>
      </c>
      <c r="C123" s="22" t="s">
        <v>225</v>
      </c>
      <c r="D123" s="22" t="s">
        <v>226</v>
      </c>
      <c r="E123" s="22">
        <f t="shared" si="3"/>
        <v>22</v>
      </c>
      <c r="F123" s="22">
        <v>59</v>
      </c>
      <c r="G123" s="7">
        <v>17</v>
      </c>
      <c r="H123" s="22" t="s">
        <v>263</v>
      </c>
      <c r="I123" s="12">
        <v>11800</v>
      </c>
      <c r="J123" s="12">
        <v>5900</v>
      </c>
      <c r="K123" s="12" t="s">
        <v>220</v>
      </c>
      <c r="L123" s="12"/>
      <c r="O123" s="2" t="s">
        <v>234</v>
      </c>
      <c r="P123" s="24">
        <v>116</v>
      </c>
      <c r="Q123" s="25" t="s">
        <v>224</v>
      </c>
    </row>
    <row r="124" customHeight="1" spans="1:17">
      <c r="A124" s="22">
        <f t="shared" si="6"/>
        <v>1102060</v>
      </c>
      <c r="B124" s="22">
        <v>1102</v>
      </c>
      <c r="C124" s="22" t="s">
        <v>225</v>
      </c>
      <c r="D124" s="22" t="s">
        <v>226</v>
      </c>
      <c r="E124" s="22">
        <v>9999</v>
      </c>
      <c r="F124" s="22">
        <v>60</v>
      </c>
      <c r="G124" s="7">
        <v>17</v>
      </c>
      <c r="H124" s="22" t="s">
        <v>264</v>
      </c>
      <c r="I124" s="12">
        <v>12000</v>
      </c>
      <c r="J124" s="12">
        <v>6000</v>
      </c>
      <c r="K124" s="12" t="s">
        <v>223</v>
      </c>
      <c r="L124" s="12"/>
      <c r="O124" s="2" t="s">
        <v>234</v>
      </c>
      <c r="P124" s="24"/>
      <c r="Q124" s="25" t="s">
        <v>265</v>
      </c>
    </row>
    <row r="125" s="9" customFormat="1" customHeight="1" spans="1:17">
      <c r="A125" s="26">
        <f t="shared" si="6"/>
        <v>1103001</v>
      </c>
      <c r="B125" s="26">
        <v>1103</v>
      </c>
      <c r="C125" s="26" t="s">
        <v>266</v>
      </c>
      <c r="D125" s="26" t="s">
        <v>267</v>
      </c>
      <c r="E125" s="22">
        <v>18</v>
      </c>
      <c r="F125" s="26">
        <v>1</v>
      </c>
      <c r="G125" s="26">
        <v>11</v>
      </c>
      <c r="H125" s="26" t="s">
        <v>38</v>
      </c>
      <c r="I125" s="27">
        <v>800</v>
      </c>
      <c r="J125" s="12">
        <v>100</v>
      </c>
      <c r="K125" s="12" t="s">
        <v>39</v>
      </c>
      <c r="L125" s="27"/>
      <c r="M125" s="28" t="s">
        <v>268</v>
      </c>
      <c r="N125" s="28" t="s">
        <v>269</v>
      </c>
      <c r="O125" s="3" t="s">
        <v>270</v>
      </c>
      <c r="P125" s="29">
        <v>2</v>
      </c>
      <c r="Q125" s="25" t="s">
        <v>68</v>
      </c>
    </row>
    <row r="126" s="9" customFormat="1" customHeight="1" spans="1:17">
      <c r="A126" s="26">
        <f t="shared" si="6"/>
        <v>1103002</v>
      </c>
      <c r="B126" s="26">
        <v>1103</v>
      </c>
      <c r="C126" s="26" t="s">
        <v>266</v>
      </c>
      <c r="D126" s="26" t="s">
        <v>267</v>
      </c>
      <c r="E126" s="22">
        <v>18</v>
      </c>
      <c r="F126" s="26">
        <v>2</v>
      </c>
      <c r="G126" s="26">
        <v>13</v>
      </c>
      <c r="H126" s="26" t="s">
        <v>49</v>
      </c>
      <c r="I126" s="27">
        <v>1600</v>
      </c>
      <c r="J126" s="12">
        <v>200</v>
      </c>
      <c r="K126" s="12" t="s">
        <v>45</v>
      </c>
      <c r="L126" s="27"/>
      <c r="M126" s="28" t="s">
        <v>271</v>
      </c>
      <c r="N126" s="28" t="s">
        <v>272</v>
      </c>
      <c r="O126" s="3">
        <v>1103263</v>
      </c>
      <c r="P126" s="29">
        <v>4</v>
      </c>
      <c r="Q126" s="25" t="s">
        <v>71</v>
      </c>
    </row>
    <row r="127" s="9" customFormat="1" customHeight="1" spans="1:17">
      <c r="A127" s="26">
        <f t="shared" si="6"/>
        <v>1103003</v>
      </c>
      <c r="B127" s="26">
        <v>1103</v>
      </c>
      <c r="C127" s="26" t="s">
        <v>266</v>
      </c>
      <c r="D127" s="26" t="s">
        <v>267</v>
      </c>
      <c r="E127" s="22">
        <v>18</v>
      </c>
      <c r="F127" s="26">
        <v>3</v>
      </c>
      <c r="G127" s="26">
        <v>15</v>
      </c>
      <c r="H127" s="26" t="s">
        <v>57</v>
      </c>
      <c r="I127" s="27">
        <v>2400</v>
      </c>
      <c r="J127" s="12">
        <v>300</v>
      </c>
      <c r="K127" s="12" t="s">
        <v>50</v>
      </c>
      <c r="L127" s="27"/>
      <c r="M127" s="28" t="s">
        <v>273</v>
      </c>
      <c r="N127" s="28" t="s">
        <v>274</v>
      </c>
      <c r="O127" s="3">
        <v>1103256</v>
      </c>
      <c r="P127" s="29">
        <v>8</v>
      </c>
      <c r="Q127" s="25" t="s">
        <v>74</v>
      </c>
    </row>
    <row r="128" s="9" customFormat="1" customHeight="1" spans="1:17">
      <c r="A128" s="26">
        <f t="shared" si="6"/>
        <v>1103004</v>
      </c>
      <c r="B128" s="26">
        <v>1103</v>
      </c>
      <c r="C128" s="26" t="s">
        <v>266</v>
      </c>
      <c r="D128" s="26" t="s">
        <v>267</v>
      </c>
      <c r="E128" s="22">
        <f t="shared" ref="E128:E184" si="7">E125+1</f>
        <v>19</v>
      </c>
      <c r="F128" s="26">
        <v>4</v>
      </c>
      <c r="G128" s="26">
        <v>15</v>
      </c>
      <c r="H128" s="26" t="s">
        <v>63</v>
      </c>
      <c r="I128" s="27">
        <v>3200</v>
      </c>
      <c r="J128" s="12">
        <v>400</v>
      </c>
      <c r="K128" s="12" t="s">
        <v>55</v>
      </c>
      <c r="L128" s="27"/>
      <c r="M128" s="28"/>
      <c r="N128" s="28"/>
      <c r="O128" s="3">
        <v>1103257</v>
      </c>
      <c r="P128" s="29">
        <v>12</v>
      </c>
      <c r="Q128" s="25" t="s">
        <v>77</v>
      </c>
    </row>
    <row r="129" s="9" customFormat="1" customHeight="1" spans="1:17">
      <c r="A129" s="26">
        <f t="shared" si="6"/>
        <v>1103005</v>
      </c>
      <c r="B129" s="26">
        <v>1103</v>
      </c>
      <c r="C129" s="26" t="s">
        <v>266</v>
      </c>
      <c r="D129" s="26" t="s">
        <v>267</v>
      </c>
      <c r="E129" s="22">
        <f t="shared" si="7"/>
        <v>19</v>
      </c>
      <c r="F129" s="26">
        <v>5</v>
      </c>
      <c r="G129" s="26">
        <v>15</v>
      </c>
      <c r="H129" s="26" t="s">
        <v>69</v>
      </c>
      <c r="I129" s="27">
        <v>4000</v>
      </c>
      <c r="J129" s="12">
        <v>500</v>
      </c>
      <c r="K129" s="12" t="s">
        <v>58</v>
      </c>
      <c r="L129" s="27"/>
      <c r="M129" s="28"/>
      <c r="N129" s="28"/>
      <c r="O129" s="3">
        <v>1103262</v>
      </c>
      <c r="P129" s="29">
        <v>16</v>
      </c>
      <c r="Q129" s="25" t="s">
        <v>80</v>
      </c>
    </row>
    <row r="130" s="9" customFormat="1" customHeight="1" spans="1:17">
      <c r="A130" s="26">
        <f t="shared" si="6"/>
        <v>1103006</v>
      </c>
      <c r="B130" s="26">
        <v>1103</v>
      </c>
      <c r="C130" s="26" t="s">
        <v>266</v>
      </c>
      <c r="D130" s="26" t="s">
        <v>267</v>
      </c>
      <c r="E130" s="22">
        <f t="shared" si="7"/>
        <v>19</v>
      </c>
      <c r="F130" s="26">
        <v>6</v>
      </c>
      <c r="G130" s="26">
        <v>15</v>
      </c>
      <c r="H130" s="26" t="s">
        <v>75</v>
      </c>
      <c r="I130" s="27">
        <v>4800</v>
      </c>
      <c r="J130" s="12">
        <v>600</v>
      </c>
      <c r="K130" s="12" t="s">
        <v>61</v>
      </c>
      <c r="L130" s="27"/>
      <c r="M130" s="28"/>
      <c r="N130" s="28"/>
      <c r="O130" s="3">
        <v>1103251</v>
      </c>
      <c r="P130" s="29">
        <v>20</v>
      </c>
      <c r="Q130" s="25" t="s">
        <v>83</v>
      </c>
    </row>
    <row r="131" s="9" customFormat="1" customHeight="1" spans="1:17">
      <c r="A131" s="26">
        <f t="shared" si="6"/>
        <v>1103007</v>
      </c>
      <c r="B131" s="26">
        <v>1103</v>
      </c>
      <c r="C131" s="26" t="s">
        <v>266</v>
      </c>
      <c r="D131" s="26" t="s">
        <v>267</v>
      </c>
      <c r="E131" s="22">
        <f t="shared" si="7"/>
        <v>20</v>
      </c>
      <c r="F131" s="26">
        <v>7</v>
      </c>
      <c r="G131" s="26">
        <v>15</v>
      </c>
      <c r="H131" s="26" t="s">
        <v>81</v>
      </c>
      <c r="I131" s="27">
        <v>5600</v>
      </c>
      <c r="J131" s="12">
        <v>700</v>
      </c>
      <c r="K131" s="12" t="s">
        <v>64</v>
      </c>
      <c r="L131" s="27"/>
      <c r="M131" s="28"/>
      <c r="N131" s="28"/>
      <c r="O131" s="3">
        <v>1103252</v>
      </c>
      <c r="P131" s="29">
        <v>24</v>
      </c>
      <c r="Q131" s="25" t="s">
        <v>86</v>
      </c>
    </row>
    <row r="132" s="9" customFormat="1" customHeight="1" spans="1:17">
      <c r="A132" s="26">
        <f t="shared" si="6"/>
        <v>1103008</v>
      </c>
      <c r="B132" s="26">
        <v>1103</v>
      </c>
      <c r="C132" s="26" t="s">
        <v>266</v>
      </c>
      <c r="D132" s="26" t="s">
        <v>267</v>
      </c>
      <c r="E132" s="22">
        <f t="shared" si="7"/>
        <v>20</v>
      </c>
      <c r="F132" s="26">
        <v>8</v>
      </c>
      <c r="G132" s="26">
        <v>15</v>
      </c>
      <c r="H132" s="26" t="s">
        <v>87</v>
      </c>
      <c r="I132" s="27">
        <v>6400</v>
      </c>
      <c r="J132" s="12">
        <v>800</v>
      </c>
      <c r="K132" s="12" t="s">
        <v>67</v>
      </c>
      <c r="L132" s="27"/>
      <c r="M132" s="28"/>
      <c r="N132" s="28"/>
      <c r="O132" s="3">
        <v>1103253</v>
      </c>
      <c r="P132" s="29">
        <v>28</v>
      </c>
      <c r="Q132" s="25" t="s">
        <v>89</v>
      </c>
    </row>
    <row r="133" s="9" customFormat="1" customHeight="1" spans="1:17">
      <c r="A133" s="26">
        <f t="shared" si="6"/>
        <v>1103009</v>
      </c>
      <c r="B133" s="26">
        <v>1103</v>
      </c>
      <c r="C133" s="26" t="s">
        <v>266</v>
      </c>
      <c r="D133" s="26" t="s">
        <v>267</v>
      </c>
      <c r="E133" s="22">
        <f t="shared" si="7"/>
        <v>20</v>
      </c>
      <c r="F133" s="26">
        <v>9</v>
      </c>
      <c r="G133" s="26">
        <v>15</v>
      </c>
      <c r="H133" s="26" t="s">
        <v>93</v>
      </c>
      <c r="I133" s="27">
        <v>7200</v>
      </c>
      <c r="J133" s="12">
        <v>900</v>
      </c>
      <c r="K133" s="12" t="s">
        <v>70</v>
      </c>
      <c r="L133" s="27"/>
      <c r="M133" s="28"/>
      <c r="N133" s="28"/>
      <c r="O133" s="3">
        <v>1103273</v>
      </c>
      <c r="P133" s="29">
        <v>32</v>
      </c>
      <c r="Q133" s="25" t="s">
        <v>92</v>
      </c>
    </row>
    <row r="134" s="9" customFormat="1" customHeight="1" spans="1:17">
      <c r="A134" s="26">
        <f t="shared" si="6"/>
        <v>1103010</v>
      </c>
      <c r="B134" s="26">
        <v>1103</v>
      </c>
      <c r="C134" s="26" t="s">
        <v>266</v>
      </c>
      <c r="D134" s="26" t="s">
        <v>267</v>
      </c>
      <c r="E134" s="22">
        <f t="shared" si="7"/>
        <v>21</v>
      </c>
      <c r="F134" s="26">
        <v>10</v>
      </c>
      <c r="G134" s="26">
        <v>15</v>
      </c>
      <c r="H134" s="26" t="s">
        <v>99</v>
      </c>
      <c r="I134" s="27">
        <v>8000</v>
      </c>
      <c r="J134" s="12">
        <v>1000</v>
      </c>
      <c r="K134" s="12" t="s">
        <v>73</v>
      </c>
      <c r="L134" s="27"/>
      <c r="M134" s="28"/>
      <c r="N134" s="28"/>
      <c r="O134" s="3">
        <v>1103274</v>
      </c>
      <c r="P134" s="29">
        <v>36</v>
      </c>
      <c r="Q134" s="25" t="s">
        <v>95</v>
      </c>
    </row>
    <row r="135" s="10" customFormat="1" customHeight="1" spans="1:17">
      <c r="A135" s="26">
        <f t="shared" ref="A135:A166" si="8">B135*1000+F135</f>
        <v>1103011</v>
      </c>
      <c r="B135" s="26">
        <v>1103</v>
      </c>
      <c r="C135" s="26" t="s">
        <v>266</v>
      </c>
      <c r="D135" s="26" t="s">
        <v>267</v>
      </c>
      <c r="E135" s="22">
        <f t="shared" si="7"/>
        <v>21</v>
      </c>
      <c r="F135" s="26">
        <v>11</v>
      </c>
      <c r="G135" s="26">
        <v>15</v>
      </c>
      <c r="H135" s="26" t="s">
        <v>105</v>
      </c>
      <c r="I135" s="27">
        <v>8800</v>
      </c>
      <c r="J135" s="12">
        <v>1100</v>
      </c>
      <c r="K135" s="12" t="s">
        <v>76</v>
      </c>
      <c r="L135" s="27"/>
      <c r="M135" s="28"/>
      <c r="N135" s="28"/>
      <c r="O135" s="3">
        <v>1103275</v>
      </c>
      <c r="P135" s="29">
        <v>40</v>
      </c>
      <c r="Q135" s="25" t="s">
        <v>98</v>
      </c>
    </row>
    <row r="136" s="10" customFormat="1" customHeight="1" spans="1:17">
      <c r="A136" s="26">
        <f t="shared" si="8"/>
        <v>1103012</v>
      </c>
      <c r="B136" s="26">
        <v>1103</v>
      </c>
      <c r="C136" s="26" t="s">
        <v>266</v>
      </c>
      <c r="D136" s="26" t="s">
        <v>267</v>
      </c>
      <c r="E136" s="22">
        <f t="shared" si="7"/>
        <v>21</v>
      </c>
      <c r="F136" s="26">
        <v>12</v>
      </c>
      <c r="G136" s="26">
        <v>15</v>
      </c>
      <c r="H136" s="26" t="s">
        <v>111</v>
      </c>
      <c r="I136" s="27">
        <v>9600</v>
      </c>
      <c r="J136" s="12">
        <v>1200</v>
      </c>
      <c r="K136" s="12" t="s">
        <v>79</v>
      </c>
      <c r="L136" s="27"/>
      <c r="M136" s="28"/>
      <c r="N136" s="28"/>
      <c r="O136" s="3">
        <v>1103268</v>
      </c>
      <c r="P136" s="29">
        <v>44</v>
      </c>
      <c r="Q136" s="25" t="s">
        <v>101</v>
      </c>
    </row>
    <row r="137" s="10" customFormat="1" customHeight="1" spans="1:17">
      <c r="A137" s="26">
        <f t="shared" si="8"/>
        <v>1103013</v>
      </c>
      <c r="B137" s="26">
        <v>1103</v>
      </c>
      <c r="C137" s="26" t="s">
        <v>266</v>
      </c>
      <c r="D137" s="26" t="s">
        <v>267</v>
      </c>
      <c r="E137" s="22">
        <f t="shared" si="7"/>
        <v>22</v>
      </c>
      <c r="F137" s="26">
        <v>13</v>
      </c>
      <c r="G137" s="26">
        <v>15</v>
      </c>
      <c r="H137" s="26" t="s">
        <v>117</v>
      </c>
      <c r="I137" s="27">
        <v>10400</v>
      </c>
      <c r="J137" s="12">
        <v>1300</v>
      </c>
      <c r="K137" s="12" t="s">
        <v>82</v>
      </c>
      <c r="L137" s="27"/>
      <c r="M137" s="28"/>
      <c r="N137" s="28"/>
      <c r="O137" s="3">
        <v>1103270</v>
      </c>
      <c r="P137" s="29">
        <v>48</v>
      </c>
      <c r="Q137" s="25" t="s">
        <v>104</v>
      </c>
    </row>
    <row r="138" s="10" customFormat="1" customHeight="1" spans="1:17">
      <c r="A138" s="26">
        <f t="shared" si="8"/>
        <v>1103014</v>
      </c>
      <c r="B138" s="26">
        <v>1103</v>
      </c>
      <c r="C138" s="26" t="s">
        <v>266</v>
      </c>
      <c r="D138" s="26" t="s">
        <v>267</v>
      </c>
      <c r="E138" s="22">
        <f t="shared" si="7"/>
        <v>22</v>
      </c>
      <c r="F138" s="26">
        <v>14</v>
      </c>
      <c r="G138" s="26">
        <v>15</v>
      </c>
      <c r="H138" s="26" t="s">
        <v>123</v>
      </c>
      <c r="I138" s="27">
        <v>11200</v>
      </c>
      <c r="J138" s="12">
        <v>1400</v>
      </c>
      <c r="K138" s="12" t="s">
        <v>85</v>
      </c>
      <c r="L138" s="27"/>
      <c r="M138" s="28"/>
      <c r="N138" s="28"/>
      <c r="O138" s="3">
        <v>1103265</v>
      </c>
      <c r="P138" s="29">
        <v>52</v>
      </c>
      <c r="Q138" s="25" t="s">
        <v>107</v>
      </c>
    </row>
    <row r="139" s="10" customFormat="1" customHeight="1" spans="1:17">
      <c r="A139" s="26">
        <f t="shared" si="8"/>
        <v>1103015</v>
      </c>
      <c r="B139" s="26">
        <v>1103</v>
      </c>
      <c r="C139" s="26" t="s">
        <v>266</v>
      </c>
      <c r="D139" s="26" t="s">
        <v>267</v>
      </c>
      <c r="E139" s="22">
        <f t="shared" si="7"/>
        <v>22</v>
      </c>
      <c r="F139" s="26">
        <v>15</v>
      </c>
      <c r="G139" s="26">
        <v>15</v>
      </c>
      <c r="H139" s="26" t="s">
        <v>129</v>
      </c>
      <c r="I139" s="27">
        <v>12000</v>
      </c>
      <c r="J139" s="12">
        <v>1500</v>
      </c>
      <c r="K139" s="12" t="s">
        <v>88</v>
      </c>
      <c r="L139" s="27"/>
      <c r="M139" s="28"/>
      <c r="N139" s="28"/>
      <c r="O139" s="3">
        <v>1103266</v>
      </c>
      <c r="P139" s="29">
        <v>56</v>
      </c>
      <c r="Q139" s="25" t="s">
        <v>110</v>
      </c>
    </row>
    <row r="140" s="10" customFormat="1" customHeight="1" spans="1:17">
      <c r="A140" s="26">
        <f t="shared" si="8"/>
        <v>1103016</v>
      </c>
      <c r="B140" s="26">
        <v>1103</v>
      </c>
      <c r="C140" s="26" t="s">
        <v>266</v>
      </c>
      <c r="D140" s="26" t="s">
        <v>267</v>
      </c>
      <c r="E140" s="22">
        <f t="shared" si="7"/>
        <v>23</v>
      </c>
      <c r="F140" s="26">
        <v>16</v>
      </c>
      <c r="G140" s="26">
        <v>15</v>
      </c>
      <c r="H140" s="26" t="s">
        <v>135</v>
      </c>
      <c r="I140" s="27">
        <v>12800</v>
      </c>
      <c r="J140" s="12">
        <v>1600</v>
      </c>
      <c r="K140" s="12" t="s">
        <v>91</v>
      </c>
      <c r="L140" s="27"/>
      <c r="M140" s="28"/>
      <c r="N140" s="28"/>
      <c r="O140" s="3">
        <v>1103267</v>
      </c>
      <c r="P140" s="29">
        <v>60</v>
      </c>
      <c r="Q140" s="25" t="s">
        <v>113</v>
      </c>
    </row>
    <row r="141" s="10" customFormat="1" customHeight="1" spans="1:17">
      <c r="A141" s="26">
        <f t="shared" si="8"/>
        <v>1103017</v>
      </c>
      <c r="B141" s="26">
        <v>1103</v>
      </c>
      <c r="C141" s="26" t="s">
        <v>266</v>
      </c>
      <c r="D141" s="26" t="s">
        <v>267</v>
      </c>
      <c r="E141" s="22">
        <f t="shared" si="7"/>
        <v>23</v>
      </c>
      <c r="F141" s="26">
        <v>17</v>
      </c>
      <c r="G141" s="26">
        <v>15</v>
      </c>
      <c r="H141" s="26" t="s">
        <v>141</v>
      </c>
      <c r="I141" s="27">
        <v>13600</v>
      </c>
      <c r="J141" s="12">
        <v>1700</v>
      </c>
      <c r="K141" s="12" t="s">
        <v>94</v>
      </c>
      <c r="L141" s="27"/>
      <c r="M141" s="28"/>
      <c r="N141" s="28"/>
      <c r="O141" s="3">
        <v>1103271</v>
      </c>
      <c r="P141" s="29">
        <v>64</v>
      </c>
      <c r="Q141" s="25" t="s">
        <v>116</v>
      </c>
    </row>
    <row r="142" s="10" customFormat="1" customHeight="1" spans="1:17">
      <c r="A142" s="26">
        <f t="shared" si="8"/>
        <v>1103018</v>
      </c>
      <c r="B142" s="26">
        <v>1103</v>
      </c>
      <c r="C142" s="26" t="s">
        <v>266</v>
      </c>
      <c r="D142" s="26" t="s">
        <v>267</v>
      </c>
      <c r="E142" s="22">
        <f t="shared" si="7"/>
        <v>23</v>
      </c>
      <c r="F142" s="26">
        <v>18</v>
      </c>
      <c r="G142" s="26">
        <v>15</v>
      </c>
      <c r="H142" s="26" t="s">
        <v>147</v>
      </c>
      <c r="I142" s="27">
        <v>14400</v>
      </c>
      <c r="J142" s="12">
        <v>1800</v>
      </c>
      <c r="K142" s="12" t="s">
        <v>97</v>
      </c>
      <c r="L142" s="27"/>
      <c r="M142" s="28"/>
      <c r="N142" s="28"/>
      <c r="P142" s="29">
        <v>68</v>
      </c>
      <c r="Q142" s="25" t="s">
        <v>119</v>
      </c>
    </row>
    <row r="143" s="10" customFormat="1" customHeight="1" spans="1:17">
      <c r="A143" s="26">
        <f t="shared" si="8"/>
        <v>1103019</v>
      </c>
      <c r="B143" s="26">
        <v>1103</v>
      </c>
      <c r="C143" s="26" t="s">
        <v>266</v>
      </c>
      <c r="D143" s="26" t="s">
        <v>267</v>
      </c>
      <c r="E143" s="22">
        <f t="shared" si="7"/>
        <v>24</v>
      </c>
      <c r="F143" s="26">
        <v>19</v>
      </c>
      <c r="G143" s="26">
        <v>15</v>
      </c>
      <c r="H143" s="26" t="s">
        <v>153</v>
      </c>
      <c r="I143" s="27">
        <v>15200</v>
      </c>
      <c r="J143" s="12">
        <v>1900</v>
      </c>
      <c r="K143" s="12" t="s">
        <v>100</v>
      </c>
      <c r="L143" s="27"/>
      <c r="M143" s="28"/>
      <c r="N143" s="28"/>
      <c r="P143" s="29">
        <v>72</v>
      </c>
      <c r="Q143" s="25" t="s">
        <v>122</v>
      </c>
    </row>
    <row r="144" s="10" customFormat="1" customHeight="1" spans="1:17">
      <c r="A144" s="26">
        <f t="shared" si="8"/>
        <v>1103020</v>
      </c>
      <c r="B144" s="26">
        <v>1103</v>
      </c>
      <c r="C144" s="26" t="s">
        <v>266</v>
      </c>
      <c r="D144" s="26" t="s">
        <v>267</v>
      </c>
      <c r="E144" s="22">
        <f t="shared" si="7"/>
        <v>24</v>
      </c>
      <c r="F144" s="26">
        <v>20</v>
      </c>
      <c r="G144" s="26">
        <v>15</v>
      </c>
      <c r="H144" s="26" t="s">
        <v>159</v>
      </c>
      <c r="I144" s="27">
        <v>16000</v>
      </c>
      <c r="J144" s="12">
        <v>2000</v>
      </c>
      <c r="K144" s="12" t="s">
        <v>103</v>
      </c>
      <c r="L144" s="27"/>
      <c r="M144" s="28"/>
      <c r="N144" s="28"/>
      <c r="P144" s="29">
        <v>76</v>
      </c>
      <c r="Q144" s="25" t="s">
        <v>125</v>
      </c>
    </row>
    <row r="145" s="10" customFormat="1" customHeight="1" spans="1:17">
      <c r="A145" s="26">
        <f t="shared" si="8"/>
        <v>1103021</v>
      </c>
      <c r="B145" s="26">
        <v>1103</v>
      </c>
      <c r="C145" s="26" t="s">
        <v>266</v>
      </c>
      <c r="D145" s="26" t="s">
        <v>267</v>
      </c>
      <c r="E145" s="22">
        <f t="shared" si="7"/>
        <v>24</v>
      </c>
      <c r="F145" s="26">
        <v>21</v>
      </c>
      <c r="G145" s="26">
        <v>15</v>
      </c>
      <c r="H145" s="26" t="s">
        <v>165</v>
      </c>
      <c r="I145" s="27">
        <v>16800</v>
      </c>
      <c r="J145" s="12">
        <v>2100</v>
      </c>
      <c r="K145" s="12" t="s">
        <v>106</v>
      </c>
      <c r="L145" s="27"/>
      <c r="M145" s="28"/>
      <c r="N145" s="28"/>
      <c r="P145" s="29">
        <v>80</v>
      </c>
      <c r="Q145" s="25" t="s">
        <v>128</v>
      </c>
    </row>
    <row r="146" s="10" customFormat="1" customHeight="1" spans="1:17">
      <c r="A146" s="26">
        <f t="shared" si="8"/>
        <v>1103022</v>
      </c>
      <c r="B146" s="26">
        <v>1103</v>
      </c>
      <c r="C146" s="26" t="s">
        <v>266</v>
      </c>
      <c r="D146" s="26" t="s">
        <v>267</v>
      </c>
      <c r="E146" s="22">
        <f t="shared" si="7"/>
        <v>25</v>
      </c>
      <c r="F146" s="26">
        <v>22</v>
      </c>
      <c r="G146" s="26">
        <v>15</v>
      </c>
      <c r="H146" s="26" t="s">
        <v>171</v>
      </c>
      <c r="I146" s="27">
        <v>17600</v>
      </c>
      <c r="J146" s="12">
        <v>2200</v>
      </c>
      <c r="K146" s="12" t="s">
        <v>109</v>
      </c>
      <c r="L146" s="27"/>
      <c r="M146" s="28"/>
      <c r="N146" s="28"/>
      <c r="P146" s="29">
        <v>84</v>
      </c>
      <c r="Q146" s="25" t="s">
        <v>131</v>
      </c>
    </row>
    <row r="147" s="10" customFormat="1" customHeight="1" spans="1:17">
      <c r="A147" s="26">
        <f t="shared" si="8"/>
        <v>1103023</v>
      </c>
      <c r="B147" s="26">
        <v>1103</v>
      </c>
      <c r="C147" s="26" t="s">
        <v>266</v>
      </c>
      <c r="D147" s="26" t="s">
        <v>267</v>
      </c>
      <c r="E147" s="22">
        <f t="shared" si="7"/>
        <v>25</v>
      </c>
      <c r="F147" s="26">
        <v>23</v>
      </c>
      <c r="G147" s="26">
        <v>15</v>
      </c>
      <c r="H147" s="26" t="s">
        <v>177</v>
      </c>
      <c r="I147" s="27">
        <v>18400</v>
      </c>
      <c r="J147" s="12">
        <v>2300</v>
      </c>
      <c r="K147" s="12" t="s">
        <v>112</v>
      </c>
      <c r="L147" s="27"/>
      <c r="M147" s="28"/>
      <c r="N147" s="28"/>
      <c r="P147" s="29">
        <v>88</v>
      </c>
      <c r="Q147" s="25" t="s">
        <v>134</v>
      </c>
    </row>
    <row r="148" s="10" customFormat="1" customHeight="1" spans="1:17">
      <c r="A148" s="26">
        <f t="shared" si="8"/>
        <v>1103024</v>
      </c>
      <c r="B148" s="26">
        <v>1103</v>
      </c>
      <c r="C148" s="26" t="s">
        <v>266</v>
      </c>
      <c r="D148" s="26" t="s">
        <v>267</v>
      </c>
      <c r="E148" s="22">
        <f t="shared" si="7"/>
        <v>25</v>
      </c>
      <c r="F148" s="26">
        <v>24</v>
      </c>
      <c r="G148" s="26">
        <v>15</v>
      </c>
      <c r="H148" s="26" t="s">
        <v>183</v>
      </c>
      <c r="I148" s="27">
        <v>19200</v>
      </c>
      <c r="J148" s="12">
        <v>2400</v>
      </c>
      <c r="K148" s="12" t="s">
        <v>115</v>
      </c>
      <c r="L148" s="27"/>
      <c r="M148" s="28"/>
      <c r="N148" s="28"/>
      <c r="P148" s="29">
        <v>92</v>
      </c>
      <c r="Q148" s="25" t="s">
        <v>137</v>
      </c>
    </row>
    <row r="149" s="10" customFormat="1" customHeight="1" spans="1:17">
      <c r="A149" s="26">
        <f t="shared" si="8"/>
        <v>1103025</v>
      </c>
      <c r="B149" s="26">
        <v>1103</v>
      </c>
      <c r="C149" s="26" t="s">
        <v>266</v>
      </c>
      <c r="D149" s="26" t="s">
        <v>267</v>
      </c>
      <c r="E149" s="22">
        <f t="shared" si="7"/>
        <v>26</v>
      </c>
      <c r="F149" s="26">
        <v>25</v>
      </c>
      <c r="G149" s="26">
        <v>15</v>
      </c>
      <c r="H149" s="26" t="s">
        <v>189</v>
      </c>
      <c r="I149" s="27">
        <v>20000</v>
      </c>
      <c r="J149" s="12">
        <v>2500</v>
      </c>
      <c r="K149" s="12" t="s">
        <v>118</v>
      </c>
      <c r="L149" s="27"/>
      <c r="M149" s="28"/>
      <c r="N149" s="28"/>
      <c r="O149" s="4"/>
      <c r="P149" s="29">
        <v>96</v>
      </c>
      <c r="Q149" s="25" t="s">
        <v>140</v>
      </c>
    </row>
    <row r="150" s="10" customFormat="1" customHeight="1" spans="1:17">
      <c r="A150" s="26">
        <f t="shared" si="8"/>
        <v>1103026</v>
      </c>
      <c r="B150" s="26">
        <v>1103</v>
      </c>
      <c r="C150" s="26" t="s">
        <v>266</v>
      </c>
      <c r="D150" s="26" t="s">
        <v>267</v>
      </c>
      <c r="E150" s="22">
        <f t="shared" si="7"/>
        <v>26</v>
      </c>
      <c r="F150" s="26">
        <v>26</v>
      </c>
      <c r="G150" s="26">
        <v>15</v>
      </c>
      <c r="H150" s="26" t="s">
        <v>195</v>
      </c>
      <c r="I150" s="27">
        <v>20800</v>
      </c>
      <c r="J150" s="12">
        <v>2600</v>
      </c>
      <c r="K150" s="12" t="s">
        <v>121</v>
      </c>
      <c r="L150" s="27"/>
      <c r="M150" s="28"/>
      <c r="N150" s="28"/>
      <c r="O150" s="30" t="s">
        <v>234</v>
      </c>
      <c r="P150" s="29">
        <v>100</v>
      </c>
      <c r="Q150" s="25" t="s">
        <v>143</v>
      </c>
    </row>
    <row r="151" s="10" customFormat="1" customHeight="1" spans="1:17">
      <c r="A151" s="26">
        <f t="shared" si="8"/>
        <v>1103027</v>
      </c>
      <c r="B151" s="26">
        <v>1103</v>
      </c>
      <c r="C151" s="26" t="s">
        <v>266</v>
      </c>
      <c r="D151" s="26" t="s">
        <v>267</v>
      </c>
      <c r="E151" s="22">
        <f t="shared" si="7"/>
        <v>26</v>
      </c>
      <c r="F151" s="26">
        <v>27</v>
      </c>
      <c r="G151" s="26">
        <v>15</v>
      </c>
      <c r="H151" s="26" t="s">
        <v>201</v>
      </c>
      <c r="I151" s="27">
        <v>21600</v>
      </c>
      <c r="J151" s="12">
        <v>2700</v>
      </c>
      <c r="K151" s="12" t="s">
        <v>124</v>
      </c>
      <c r="L151" s="27"/>
      <c r="M151" s="28"/>
      <c r="N151" s="28"/>
      <c r="O151" s="30" t="s">
        <v>234</v>
      </c>
      <c r="P151" s="29">
        <v>104</v>
      </c>
      <c r="Q151" s="25" t="s">
        <v>146</v>
      </c>
    </row>
    <row r="152" s="10" customFormat="1" customHeight="1" spans="1:17">
      <c r="A152" s="26">
        <f t="shared" si="8"/>
        <v>1103028</v>
      </c>
      <c r="B152" s="26">
        <v>1103</v>
      </c>
      <c r="C152" s="26" t="s">
        <v>266</v>
      </c>
      <c r="D152" s="26" t="s">
        <v>267</v>
      </c>
      <c r="E152" s="22">
        <f t="shared" si="7"/>
        <v>27</v>
      </c>
      <c r="F152" s="26">
        <v>28</v>
      </c>
      <c r="G152" s="26">
        <v>15</v>
      </c>
      <c r="H152" s="26" t="s">
        <v>207</v>
      </c>
      <c r="I152" s="27">
        <v>22400</v>
      </c>
      <c r="J152" s="12">
        <v>2800</v>
      </c>
      <c r="K152" s="12" t="s">
        <v>127</v>
      </c>
      <c r="L152" s="27"/>
      <c r="M152" s="28"/>
      <c r="N152" s="28"/>
      <c r="O152" s="30" t="s">
        <v>234</v>
      </c>
      <c r="P152" s="29">
        <v>108</v>
      </c>
      <c r="Q152" s="25" t="s">
        <v>149</v>
      </c>
    </row>
    <row r="153" s="10" customFormat="1" customHeight="1" spans="1:17">
      <c r="A153" s="26">
        <f t="shared" si="8"/>
        <v>1103029</v>
      </c>
      <c r="B153" s="26">
        <v>1103</v>
      </c>
      <c r="C153" s="26" t="s">
        <v>266</v>
      </c>
      <c r="D153" s="26" t="s">
        <v>267</v>
      </c>
      <c r="E153" s="22">
        <f t="shared" si="7"/>
        <v>27</v>
      </c>
      <c r="F153" s="26">
        <v>29</v>
      </c>
      <c r="G153" s="26">
        <v>15</v>
      </c>
      <c r="H153" s="26" t="s">
        <v>213</v>
      </c>
      <c r="I153" s="27">
        <v>23200</v>
      </c>
      <c r="J153" s="12">
        <v>2900</v>
      </c>
      <c r="K153" s="12" t="s">
        <v>130</v>
      </c>
      <c r="L153" s="27"/>
      <c r="M153" s="28"/>
      <c r="N153" s="28"/>
      <c r="O153" s="30" t="s">
        <v>234</v>
      </c>
      <c r="P153" s="29">
        <v>112</v>
      </c>
      <c r="Q153" s="25" t="s">
        <v>152</v>
      </c>
    </row>
    <row r="154" s="10" customFormat="1" customHeight="1" spans="1:17">
      <c r="A154" s="26">
        <f t="shared" si="8"/>
        <v>1103030</v>
      </c>
      <c r="B154" s="26">
        <v>1103</v>
      </c>
      <c r="C154" s="26" t="s">
        <v>266</v>
      </c>
      <c r="D154" s="26" t="s">
        <v>267</v>
      </c>
      <c r="E154" s="22">
        <f t="shared" si="7"/>
        <v>27</v>
      </c>
      <c r="F154" s="26">
        <v>30</v>
      </c>
      <c r="G154" s="26">
        <v>15</v>
      </c>
      <c r="H154" s="26" t="s">
        <v>219</v>
      </c>
      <c r="I154" s="27">
        <v>24000</v>
      </c>
      <c r="J154" s="12">
        <v>3000</v>
      </c>
      <c r="K154" s="12" t="s">
        <v>133</v>
      </c>
      <c r="L154" s="27"/>
      <c r="M154" s="28"/>
      <c r="N154" s="28"/>
      <c r="O154" s="30" t="s">
        <v>234</v>
      </c>
      <c r="P154" s="29">
        <v>116</v>
      </c>
      <c r="Q154" s="25" t="s">
        <v>155</v>
      </c>
    </row>
    <row r="155" s="10" customFormat="1" customHeight="1" spans="1:17">
      <c r="A155" s="26">
        <f t="shared" si="8"/>
        <v>1103031</v>
      </c>
      <c r="B155" s="26">
        <v>1103</v>
      </c>
      <c r="C155" s="26" t="s">
        <v>266</v>
      </c>
      <c r="D155" s="26" t="s">
        <v>267</v>
      </c>
      <c r="E155" s="22">
        <f t="shared" si="7"/>
        <v>28</v>
      </c>
      <c r="F155" s="26">
        <v>31</v>
      </c>
      <c r="G155" s="26">
        <v>15</v>
      </c>
      <c r="H155" s="26" t="s">
        <v>235</v>
      </c>
      <c r="I155" s="27">
        <v>24800</v>
      </c>
      <c r="J155" s="12">
        <v>3100</v>
      </c>
      <c r="K155" s="12" t="s">
        <v>136</v>
      </c>
      <c r="L155" s="27"/>
      <c r="M155" s="28"/>
      <c r="N155" s="28"/>
      <c r="O155" s="30" t="s">
        <v>234</v>
      </c>
      <c r="P155" s="29">
        <v>120</v>
      </c>
      <c r="Q155" s="25" t="s">
        <v>158</v>
      </c>
    </row>
    <row r="156" s="10" customFormat="1" customHeight="1" spans="1:17">
      <c r="A156" s="26">
        <f t="shared" si="8"/>
        <v>1103032</v>
      </c>
      <c r="B156" s="26">
        <v>1103</v>
      </c>
      <c r="C156" s="26" t="s">
        <v>266</v>
      </c>
      <c r="D156" s="26" t="s">
        <v>267</v>
      </c>
      <c r="E156" s="22">
        <f t="shared" si="7"/>
        <v>28</v>
      </c>
      <c r="F156" s="26">
        <v>32</v>
      </c>
      <c r="G156" s="26">
        <v>15</v>
      </c>
      <c r="H156" s="26" t="s">
        <v>236</v>
      </c>
      <c r="I156" s="27">
        <v>25600</v>
      </c>
      <c r="J156" s="12">
        <v>3200</v>
      </c>
      <c r="K156" s="12" t="s">
        <v>139</v>
      </c>
      <c r="L156" s="27"/>
      <c r="M156" s="28"/>
      <c r="N156" s="28"/>
      <c r="O156" s="30" t="s">
        <v>234</v>
      </c>
      <c r="P156" s="29">
        <v>124</v>
      </c>
      <c r="Q156" s="25" t="s">
        <v>161</v>
      </c>
    </row>
    <row r="157" s="10" customFormat="1" customHeight="1" spans="1:17">
      <c r="A157" s="26">
        <f t="shared" si="8"/>
        <v>1103033</v>
      </c>
      <c r="B157" s="26">
        <v>1103</v>
      </c>
      <c r="C157" s="26" t="s">
        <v>266</v>
      </c>
      <c r="D157" s="26" t="s">
        <v>267</v>
      </c>
      <c r="E157" s="22">
        <f t="shared" si="7"/>
        <v>28</v>
      </c>
      <c r="F157" s="26">
        <v>33</v>
      </c>
      <c r="G157" s="26">
        <v>15</v>
      </c>
      <c r="H157" s="26" t="s">
        <v>237</v>
      </c>
      <c r="I157" s="27">
        <v>26400</v>
      </c>
      <c r="J157" s="12">
        <v>3300</v>
      </c>
      <c r="K157" s="12" t="s">
        <v>142</v>
      </c>
      <c r="L157" s="27"/>
      <c r="M157" s="28"/>
      <c r="N157" s="28"/>
      <c r="O157" s="30" t="s">
        <v>234</v>
      </c>
      <c r="P157" s="29">
        <v>128</v>
      </c>
      <c r="Q157" s="25" t="s">
        <v>164</v>
      </c>
    </row>
    <row r="158" s="10" customFormat="1" customHeight="1" spans="1:17">
      <c r="A158" s="26">
        <f t="shared" si="8"/>
        <v>1103034</v>
      </c>
      <c r="B158" s="26">
        <v>1103</v>
      </c>
      <c r="C158" s="26" t="s">
        <v>266</v>
      </c>
      <c r="D158" s="26" t="s">
        <v>267</v>
      </c>
      <c r="E158" s="22">
        <f t="shared" si="7"/>
        <v>29</v>
      </c>
      <c r="F158" s="26">
        <v>34</v>
      </c>
      <c r="G158" s="26">
        <v>15</v>
      </c>
      <c r="H158" s="26" t="s">
        <v>238</v>
      </c>
      <c r="I158" s="27">
        <v>27200</v>
      </c>
      <c r="J158" s="12">
        <v>3400</v>
      </c>
      <c r="K158" s="12" t="s">
        <v>145</v>
      </c>
      <c r="L158" s="27"/>
      <c r="M158" s="28"/>
      <c r="N158" s="28"/>
      <c r="O158" s="30" t="s">
        <v>234</v>
      </c>
      <c r="P158" s="29">
        <v>132</v>
      </c>
      <c r="Q158" s="25" t="s">
        <v>167</v>
      </c>
    </row>
    <row r="159" s="10" customFormat="1" customHeight="1" spans="1:17">
      <c r="A159" s="26">
        <f t="shared" si="8"/>
        <v>1103035</v>
      </c>
      <c r="B159" s="26">
        <v>1103</v>
      </c>
      <c r="C159" s="26" t="s">
        <v>266</v>
      </c>
      <c r="D159" s="26" t="s">
        <v>267</v>
      </c>
      <c r="E159" s="22">
        <f t="shared" si="7"/>
        <v>29</v>
      </c>
      <c r="F159" s="26">
        <v>35</v>
      </c>
      <c r="G159" s="26">
        <v>15</v>
      </c>
      <c r="H159" s="26" t="s">
        <v>239</v>
      </c>
      <c r="I159" s="27">
        <v>28000</v>
      </c>
      <c r="J159" s="12">
        <v>3500</v>
      </c>
      <c r="K159" s="12" t="s">
        <v>148</v>
      </c>
      <c r="L159" s="27"/>
      <c r="M159" s="28"/>
      <c r="N159" s="28"/>
      <c r="O159" s="30" t="s">
        <v>234</v>
      </c>
      <c r="P159" s="29">
        <v>136</v>
      </c>
      <c r="Q159" s="25" t="s">
        <v>170</v>
      </c>
    </row>
    <row r="160" s="10" customFormat="1" customHeight="1" spans="1:17">
      <c r="A160" s="26">
        <f t="shared" si="8"/>
        <v>1103036</v>
      </c>
      <c r="B160" s="26">
        <v>1103</v>
      </c>
      <c r="C160" s="26" t="s">
        <v>266</v>
      </c>
      <c r="D160" s="26" t="s">
        <v>267</v>
      </c>
      <c r="E160" s="22">
        <f t="shared" si="7"/>
        <v>29</v>
      </c>
      <c r="F160" s="26">
        <v>36</v>
      </c>
      <c r="G160" s="26">
        <v>15</v>
      </c>
      <c r="H160" s="26" t="s">
        <v>240</v>
      </c>
      <c r="I160" s="27">
        <v>28800</v>
      </c>
      <c r="J160" s="12">
        <v>3600</v>
      </c>
      <c r="K160" s="12" t="s">
        <v>151</v>
      </c>
      <c r="L160" s="27"/>
      <c r="M160" s="28"/>
      <c r="N160" s="28"/>
      <c r="O160" s="30" t="s">
        <v>234</v>
      </c>
      <c r="P160" s="29">
        <v>140</v>
      </c>
      <c r="Q160" s="25" t="s">
        <v>173</v>
      </c>
    </row>
    <row r="161" s="10" customFormat="1" customHeight="1" spans="1:17">
      <c r="A161" s="26">
        <f t="shared" si="8"/>
        <v>1103037</v>
      </c>
      <c r="B161" s="26">
        <v>1103</v>
      </c>
      <c r="C161" s="26" t="s">
        <v>266</v>
      </c>
      <c r="D161" s="26" t="s">
        <v>267</v>
      </c>
      <c r="E161" s="22">
        <f t="shared" si="7"/>
        <v>30</v>
      </c>
      <c r="F161" s="26">
        <v>37</v>
      </c>
      <c r="G161" s="26">
        <v>15</v>
      </c>
      <c r="H161" s="26" t="s">
        <v>241</v>
      </c>
      <c r="I161" s="27">
        <v>29600</v>
      </c>
      <c r="J161" s="12">
        <v>3700</v>
      </c>
      <c r="K161" s="12" t="s">
        <v>154</v>
      </c>
      <c r="L161" s="27"/>
      <c r="M161" s="28"/>
      <c r="N161" s="28"/>
      <c r="O161" s="30" t="s">
        <v>234</v>
      </c>
      <c r="P161" s="29">
        <v>144</v>
      </c>
      <c r="Q161" s="25" t="s">
        <v>176</v>
      </c>
    </row>
    <row r="162" s="10" customFormat="1" customHeight="1" spans="1:17">
      <c r="A162" s="26">
        <f t="shared" si="8"/>
        <v>1103038</v>
      </c>
      <c r="B162" s="26">
        <v>1103</v>
      </c>
      <c r="C162" s="26" t="s">
        <v>266</v>
      </c>
      <c r="D162" s="26" t="s">
        <v>267</v>
      </c>
      <c r="E162" s="22">
        <f t="shared" si="7"/>
        <v>30</v>
      </c>
      <c r="F162" s="26">
        <v>38</v>
      </c>
      <c r="G162" s="26">
        <v>15</v>
      </c>
      <c r="H162" s="26" t="s">
        <v>242</v>
      </c>
      <c r="I162" s="27">
        <v>30400</v>
      </c>
      <c r="J162" s="12">
        <v>3800</v>
      </c>
      <c r="K162" s="12" t="s">
        <v>157</v>
      </c>
      <c r="L162" s="27"/>
      <c r="M162" s="28"/>
      <c r="N162" s="28"/>
      <c r="O162" s="30" t="s">
        <v>234</v>
      </c>
      <c r="P162" s="29">
        <v>148</v>
      </c>
      <c r="Q162" s="25" t="s">
        <v>179</v>
      </c>
    </row>
    <row r="163" s="10" customFormat="1" customHeight="1" spans="1:17">
      <c r="A163" s="26">
        <f t="shared" si="8"/>
        <v>1103039</v>
      </c>
      <c r="B163" s="26">
        <v>1103</v>
      </c>
      <c r="C163" s="26" t="s">
        <v>266</v>
      </c>
      <c r="D163" s="26" t="s">
        <v>267</v>
      </c>
      <c r="E163" s="22">
        <f t="shared" si="7"/>
        <v>30</v>
      </c>
      <c r="F163" s="26">
        <v>39</v>
      </c>
      <c r="G163" s="26">
        <v>15</v>
      </c>
      <c r="H163" s="26" t="s">
        <v>243</v>
      </c>
      <c r="I163" s="27">
        <v>31200</v>
      </c>
      <c r="J163" s="12">
        <v>3900</v>
      </c>
      <c r="K163" s="12" t="s">
        <v>160</v>
      </c>
      <c r="L163" s="27"/>
      <c r="M163" s="28"/>
      <c r="N163" s="28"/>
      <c r="O163" s="30" t="s">
        <v>234</v>
      </c>
      <c r="P163" s="29">
        <v>152</v>
      </c>
      <c r="Q163" s="25" t="s">
        <v>182</v>
      </c>
    </row>
    <row r="164" s="10" customFormat="1" customHeight="1" spans="1:17">
      <c r="A164" s="26">
        <f t="shared" si="8"/>
        <v>1103040</v>
      </c>
      <c r="B164" s="26">
        <v>1103</v>
      </c>
      <c r="C164" s="26" t="s">
        <v>266</v>
      </c>
      <c r="D164" s="26" t="s">
        <v>267</v>
      </c>
      <c r="E164" s="22">
        <f t="shared" si="7"/>
        <v>31</v>
      </c>
      <c r="F164" s="26">
        <v>40</v>
      </c>
      <c r="G164" s="26">
        <v>15</v>
      </c>
      <c r="H164" s="26" t="s">
        <v>244</v>
      </c>
      <c r="I164" s="27">
        <v>32000</v>
      </c>
      <c r="J164" s="12">
        <v>4000</v>
      </c>
      <c r="K164" s="12" t="s">
        <v>163</v>
      </c>
      <c r="L164" s="27"/>
      <c r="M164" s="28"/>
      <c r="N164" s="28"/>
      <c r="O164" s="30" t="s">
        <v>234</v>
      </c>
      <c r="P164" s="29">
        <v>156</v>
      </c>
      <c r="Q164" s="25" t="s">
        <v>185</v>
      </c>
    </row>
    <row r="165" s="10" customFormat="1" customHeight="1" spans="1:17">
      <c r="A165" s="26">
        <f t="shared" si="8"/>
        <v>1103041</v>
      </c>
      <c r="B165" s="26">
        <v>1103</v>
      </c>
      <c r="C165" s="26" t="s">
        <v>266</v>
      </c>
      <c r="D165" s="26" t="s">
        <v>267</v>
      </c>
      <c r="E165" s="22">
        <f t="shared" si="7"/>
        <v>31</v>
      </c>
      <c r="F165" s="26">
        <v>41</v>
      </c>
      <c r="G165" s="26">
        <v>15</v>
      </c>
      <c r="H165" s="26" t="s">
        <v>245</v>
      </c>
      <c r="I165" s="27">
        <v>32800</v>
      </c>
      <c r="J165" s="12">
        <v>4100</v>
      </c>
      <c r="K165" s="12" t="s">
        <v>166</v>
      </c>
      <c r="L165" s="27"/>
      <c r="M165" s="28"/>
      <c r="N165" s="28"/>
      <c r="O165" s="30" t="s">
        <v>234</v>
      </c>
      <c r="P165" s="29">
        <v>160</v>
      </c>
      <c r="Q165" s="25" t="s">
        <v>188</v>
      </c>
    </row>
    <row r="166" s="10" customFormat="1" customHeight="1" spans="1:17">
      <c r="A166" s="26">
        <f t="shared" si="8"/>
        <v>1103042</v>
      </c>
      <c r="B166" s="26">
        <v>1103</v>
      </c>
      <c r="C166" s="26" t="s">
        <v>266</v>
      </c>
      <c r="D166" s="26" t="s">
        <v>267</v>
      </c>
      <c r="E166" s="22">
        <f t="shared" si="7"/>
        <v>31</v>
      </c>
      <c r="F166" s="26">
        <v>42</v>
      </c>
      <c r="G166" s="26">
        <v>15</v>
      </c>
      <c r="H166" s="26" t="s">
        <v>246</v>
      </c>
      <c r="I166" s="27">
        <v>33600</v>
      </c>
      <c r="J166" s="12">
        <v>4200</v>
      </c>
      <c r="K166" s="12" t="s">
        <v>169</v>
      </c>
      <c r="L166" s="27"/>
      <c r="M166" s="28"/>
      <c r="N166" s="28"/>
      <c r="O166" s="3" t="s">
        <v>234</v>
      </c>
      <c r="P166" s="29">
        <v>164</v>
      </c>
      <c r="Q166" s="25" t="s">
        <v>191</v>
      </c>
    </row>
    <row r="167" s="10" customFormat="1" customHeight="1" spans="1:17">
      <c r="A167" s="26">
        <f t="shared" ref="A167:A194" si="9">B167*1000+F167</f>
        <v>1103043</v>
      </c>
      <c r="B167" s="26">
        <v>1103</v>
      </c>
      <c r="C167" s="26" t="s">
        <v>266</v>
      </c>
      <c r="D167" s="26" t="s">
        <v>267</v>
      </c>
      <c r="E167" s="22">
        <f t="shared" si="7"/>
        <v>32</v>
      </c>
      <c r="F167" s="26">
        <v>43</v>
      </c>
      <c r="G167" s="26">
        <v>15</v>
      </c>
      <c r="H167" s="26" t="s">
        <v>247</v>
      </c>
      <c r="I167" s="27">
        <v>34400</v>
      </c>
      <c r="J167" s="12">
        <v>4300</v>
      </c>
      <c r="K167" s="12" t="s">
        <v>172</v>
      </c>
      <c r="L167" s="27"/>
      <c r="M167" s="28"/>
      <c r="N167" s="28"/>
      <c r="O167" s="3" t="s">
        <v>234</v>
      </c>
      <c r="P167" s="29">
        <v>168</v>
      </c>
      <c r="Q167" s="25" t="s">
        <v>194</v>
      </c>
    </row>
    <row r="168" s="10" customFormat="1" customHeight="1" spans="1:17">
      <c r="A168" s="26">
        <f t="shared" si="9"/>
        <v>1103044</v>
      </c>
      <c r="B168" s="26">
        <v>1103</v>
      </c>
      <c r="C168" s="26" t="s">
        <v>266</v>
      </c>
      <c r="D168" s="26" t="s">
        <v>267</v>
      </c>
      <c r="E168" s="22">
        <f t="shared" si="7"/>
        <v>32</v>
      </c>
      <c r="F168" s="26">
        <v>44</v>
      </c>
      <c r="G168" s="26">
        <v>15</v>
      </c>
      <c r="H168" s="26" t="s">
        <v>248</v>
      </c>
      <c r="I168" s="27">
        <v>35200</v>
      </c>
      <c r="J168" s="12">
        <v>4400</v>
      </c>
      <c r="K168" s="12" t="s">
        <v>175</v>
      </c>
      <c r="L168" s="27"/>
      <c r="M168" s="28"/>
      <c r="N168" s="28"/>
      <c r="O168" s="3" t="s">
        <v>234</v>
      </c>
      <c r="P168" s="29">
        <v>172</v>
      </c>
      <c r="Q168" s="25" t="s">
        <v>197</v>
      </c>
    </row>
    <row r="169" s="10" customFormat="1" customHeight="1" spans="1:17">
      <c r="A169" s="26">
        <f t="shared" si="9"/>
        <v>1103045</v>
      </c>
      <c r="B169" s="26">
        <v>1103</v>
      </c>
      <c r="C169" s="26" t="s">
        <v>266</v>
      </c>
      <c r="D169" s="26" t="s">
        <v>267</v>
      </c>
      <c r="E169" s="22">
        <f t="shared" si="7"/>
        <v>32</v>
      </c>
      <c r="F169" s="26">
        <v>45</v>
      </c>
      <c r="G169" s="26">
        <v>15</v>
      </c>
      <c r="H169" s="26" t="s">
        <v>249</v>
      </c>
      <c r="I169" s="27">
        <v>36000</v>
      </c>
      <c r="J169" s="12">
        <v>4500</v>
      </c>
      <c r="K169" s="12" t="s">
        <v>178</v>
      </c>
      <c r="L169" s="27"/>
      <c r="M169" s="28"/>
      <c r="N169" s="28"/>
      <c r="O169" s="3" t="s">
        <v>234</v>
      </c>
      <c r="P169" s="29">
        <v>176</v>
      </c>
      <c r="Q169" s="25" t="s">
        <v>200</v>
      </c>
    </row>
    <row r="170" s="10" customFormat="1" customHeight="1" spans="1:17">
      <c r="A170" s="26">
        <f t="shared" si="9"/>
        <v>1103046</v>
      </c>
      <c r="B170" s="26">
        <v>1103</v>
      </c>
      <c r="C170" s="26" t="s">
        <v>266</v>
      </c>
      <c r="D170" s="26" t="s">
        <v>267</v>
      </c>
      <c r="E170" s="22">
        <f t="shared" si="7"/>
        <v>33</v>
      </c>
      <c r="F170" s="26">
        <v>46</v>
      </c>
      <c r="G170" s="26">
        <v>15</v>
      </c>
      <c r="H170" s="26" t="s">
        <v>250</v>
      </c>
      <c r="I170" s="27">
        <v>36800</v>
      </c>
      <c r="J170" s="12">
        <v>4600</v>
      </c>
      <c r="K170" s="12" t="s">
        <v>181</v>
      </c>
      <c r="L170" s="27"/>
      <c r="M170" s="28"/>
      <c r="N170" s="28"/>
      <c r="O170" s="3" t="s">
        <v>234</v>
      </c>
      <c r="P170" s="29">
        <v>180</v>
      </c>
      <c r="Q170" s="25" t="s">
        <v>203</v>
      </c>
    </row>
    <row r="171" s="10" customFormat="1" customHeight="1" spans="1:17">
      <c r="A171" s="26">
        <f t="shared" si="9"/>
        <v>1103047</v>
      </c>
      <c r="B171" s="26">
        <v>1103</v>
      </c>
      <c r="C171" s="26" t="s">
        <v>266</v>
      </c>
      <c r="D171" s="26" t="s">
        <v>267</v>
      </c>
      <c r="E171" s="22">
        <f t="shared" si="7"/>
        <v>33</v>
      </c>
      <c r="F171" s="26">
        <v>47</v>
      </c>
      <c r="G171" s="26">
        <v>15</v>
      </c>
      <c r="H171" s="26" t="s">
        <v>251</v>
      </c>
      <c r="I171" s="27">
        <v>37600</v>
      </c>
      <c r="J171" s="12">
        <v>4700</v>
      </c>
      <c r="K171" s="12" t="s">
        <v>184</v>
      </c>
      <c r="L171" s="27"/>
      <c r="M171" s="28"/>
      <c r="N171" s="28"/>
      <c r="O171" s="3" t="s">
        <v>234</v>
      </c>
      <c r="P171" s="29">
        <v>184</v>
      </c>
      <c r="Q171" s="25" t="s">
        <v>206</v>
      </c>
    </row>
    <row r="172" s="10" customFormat="1" customHeight="1" spans="1:17">
      <c r="A172" s="26">
        <f t="shared" si="9"/>
        <v>1103048</v>
      </c>
      <c r="B172" s="26">
        <v>1103</v>
      </c>
      <c r="C172" s="26" t="s">
        <v>266</v>
      </c>
      <c r="D172" s="26" t="s">
        <v>267</v>
      </c>
      <c r="E172" s="22">
        <f t="shared" si="7"/>
        <v>33</v>
      </c>
      <c r="F172" s="26">
        <v>48</v>
      </c>
      <c r="G172" s="26">
        <v>15</v>
      </c>
      <c r="H172" s="26" t="s">
        <v>252</v>
      </c>
      <c r="I172" s="27">
        <v>38400</v>
      </c>
      <c r="J172" s="12">
        <v>4800</v>
      </c>
      <c r="K172" s="12" t="s">
        <v>187</v>
      </c>
      <c r="L172" s="27"/>
      <c r="M172" s="28"/>
      <c r="N172" s="28"/>
      <c r="O172" s="3" t="s">
        <v>234</v>
      </c>
      <c r="P172" s="29">
        <v>188</v>
      </c>
      <c r="Q172" s="25" t="s">
        <v>209</v>
      </c>
    </row>
    <row r="173" s="10" customFormat="1" customHeight="1" spans="1:17">
      <c r="A173" s="26">
        <f t="shared" si="9"/>
        <v>1103049</v>
      </c>
      <c r="B173" s="26">
        <v>1103</v>
      </c>
      <c r="C173" s="26" t="s">
        <v>266</v>
      </c>
      <c r="D173" s="26" t="s">
        <v>267</v>
      </c>
      <c r="E173" s="22">
        <f t="shared" si="7"/>
        <v>34</v>
      </c>
      <c r="F173" s="26">
        <v>49</v>
      </c>
      <c r="G173" s="26">
        <v>15</v>
      </c>
      <c r="H173" s="26" t="s">
        <v>253</v>
      </c>
      <c r="I173" s="27">
        <v>39200</v>
      </c>
      <c r="J173" s="12">
        <v>4900</v>
      </c>
      <c r="K173" s="12" t="s">
        <v>190</v>
      </c>
      <c r="L173" s="27"/>
      <c r="M173" s="28"/>
      <c r="N173" s="28"/>
      <c r="O173" s="3" t="s">
        <v>234</v>
      </c>
      <c r="P173" s="29">
        <v>192</v>
      </c>
      <c r="Q173" s="25" t="s">
        <v>212</v>
      </c>
    </row>
    <row r="174" s="10" customFormat="1" customHeight="1" spans="1:17">
      <c r="A174" s="26">
        <f t="shared" si="9"/>
        <v>1103050</v>
      </c>
      <c r="B174" s="26">
        <v>1103</v>
      </c>
      <c r="C174" s="26" t="s">
        <v>266</v>
      </c>
      <c r="D174" s="26" t="s">
        <v>267</v>
      </c>
      <c r="E174" s="22">
        <f t="shared" si="7"/>
        <v>34</v>
      </c>
      <c r="F174" s="26">
        <v>50</v>
      </c>
      <c r="G174" s="26">
        <v>15</v>
      </c>
      <c r="H174" s="26" t="s">
        <v>254</v>
      </c>
      <c r="I174" s="27">
        <v>40000</v>
      </c>
      <c r="J174" s="12">
        <v>5000</v>
      </c>
      <c r="K174" s="12" t="s">
        <v>193</v>
      </c>
      <c r="L174" s="27"/>
      <c r="M174" s="28"/>
      <c r="N174" s="28"/>
      <c r="O174" s="3" t="s">
        <v>234</v>
      </c>
      <c r="P174" s="29">
        <v>196</v>
      </c>
      <c r="Q174" s="25" t="s">
        <v>215</v>
      </c>
    </row>
    <row r="175" s="10" customFormat="1" customHeight="1" spans="1:17">
      <c r="A175" s="26">
        <f t="shared" si="9"/>
        <v>1103051</v>
      </c>
      <c r="B175" s="26">
        <v>1103</v>
      </c>
      <c r="C175" s="26" t="s">
        <v>266</v>
      </c>
      <c r="D175" s="26" t="s">
        <v>267</v>
      </c>
      <c r="E175" s="22">
        <f t="shared" si="7"/>
        <v>34</v>
      </c>
      <c r="F175" s="26">
        <v>51</v>
      </c>
      <c r="G175" s="26">
        <v>15</v>
      </c>
      <c r="H175" s="26" t="s">
        <v>255</v>
      </c>
      <c r="I175" s="27">
        <v>40800</v>
      </c>
      <c r="J175" s="12">
        <v>5100</v>
      </c>
      <c r="K175" s="12" t="s">
        <v>196</v>
      </c>
      <c r="L175" s="27"/>
      <c r="M175" s="28"/>
      <c r="N175" s="28"/>
      <c r="O175" s="3" t="s">
        <v>234</v>
      </c>
      <c r="P175" s="29">
        <v>200</v>
      </c>
      <c r="Q175" s="25" t="s">
        <v>218</v>
      </c>
    </row>
    <row r="176" s="10" customFormat="1" customHeight="1" spans="1:17">
      <c r="A176" s="26">
        <f t="shared" si="9"/>
        <v>1103052</v>
      </c>
      <c r="B176" s="26">
        <v>1103</v>
      </c>
      <c r="C176" s="26" t="s">
        <v>266</v>
      </c>
      <c r="D176" s="26" t="s">
        <v>267</v>
      </c>
      <c r="E176" s="22">
        <f t="shared" si="7"/>
        <v>35</v>
      </c>
      <c r="F176" s="26">
        <v>52</v>
      </c>
      <c r="G176" s="26">
        <v>15</v>
      </c>
      <c r="H176" s="26" t="s">
        <v>256</v>
      </c>
      <c r="I176" s="27">
        <v>41600</v>
      </c>
      <c r="J176" s="12">
        <v>5200</v>
      </c>
      <c r="K176" s="12" t="s">
        <v>199</v>
      </c>
      <c r="L176" s="27"/>
      <c r="M176" s="28"/>
      <c r="N176" s="28"/>
      <c r="O176" s="3" t="s">
        <v>234</v>
      </c>
      <c r="P176" s="29">
        <v>204</v>
      </c>
      <c r="Q176" s="25" t="s">
        <v>221</v>
      </c>
    </row>
    <row r="177" s="10" customFormat="1" customHeight="1" spans="1:17">
      <c r="A177" s="26">
        <f t="shared" si="9"/>
        <v>1103053</v>
      </c>
      <c r="B177" s="26">
        <v>1103</v>
      </c>
      <c r="C177" s="26" t="s">
        <v>266</v>
      </c>
      <c r="D177" s="26" t="s">
        <v>267</v>
      </c>
      <c r="E177" s="22">
        <f t="shared" si="7"/>
        <v>35</v>
      </c>
      <c r="F177" s="26">
        <v>53</v>
      </c>
      <c r="G177" s="26">
        <v>15</v>
      </c>
      <c r="H177" s="26" t="s">
        <v>257</v>
      </c>
      <c r="I177" s="27">
        <v>42400</v>
      </c>
      <c r="J177" s="12">
        <v>5300</v>
      </c>
      <c r="K177" s="12" t="s">
        <v>202</v>
      </c>
      <c r="L177" s="27"/>
      <c r="M177" s="28"/>
      <c r="N177" s="28"/>
      <c r="O177" s="3" t="s">
        <v>234</v>
      </c>
      <c r="P177" s="29">
        <v>208</v>
      </c>
      <c r="Q177" s="25" t="s">
        <v>224</v>
      </c>
    </row>
    <row r="178" s="10" customFormat="1" customHeight="1" spans="1:17">
      <c r="A178" s="26">
        <f t="shared" si="9"/>
        <v>1103054</v>
      </c>
      <c r="B178" s="26">
        <v>1103</v>
      </c>
      <c r="C178" s="26" t="s">
        <v>266</v>
      </c>
      <c r="D178" s="26" t="s">
        <v>267</v>
      </c>
      <c r="E178" s="22">
        <f t="shared" si="7"/>
        <v>35</v>
      </c>
      <c r="F178" s="26">
        <v>54</v>
      </c>
      <c r="G178" s="26">
        <v>15</v>
      </c>
      <c r="H178" s="26" t="s">
        <v>258</v>
      </c>
      <c r="I178" s="27">
        <v>43200</v>
      </c>
      <c r="J178" s="12">
        <v>5400</v>
      </c>
      <c r="K178" s="12" t="s">
        <v>205</v>
      </c>
      <c r="L178" s="27"/>
      <c r="M178" s="28"/>
      <c r="N178" s="28"/>
      <c r="O178" s="3" t="s">
        <v>234</v>
      </c>
      <c r="P178" s="29">
        <v>212</v>
      </c>
      <c r="Q178" s="25" t="s">
        <v>265</v>
      </c>
    </row>
    <row r="179" s="10" customFormat="1" customHeight="1" spans="1:17">
      <c r="A179" s="26">
        <f t="shared" si="9"/>
        <v>1103055</v>
      </c>
      <c r="B179" s="26">
        <v>1103</v>
      </c>
      <c r="C179" s="26" t="s">
        <v>266</v>
      </c>
      <c r="D179" s="26" t="s">
        <v>267</v>
      </c>
      <c r="E179" s="22">
        <f t="shared" si="7"/>
        <v>36</v>
      </c>
      <c r="F179" s="26">
        <v>55</v>
      </c>
      <c r="G179" s="26">
        <v>15</v>
      </c>
      <c r="H179" s="26" t="s">
        <v>259</v>
      </c>
      <c r="I179" s="27">
        <v>44000</v>
      </c>
      <c r="J179" s="12">
        <v>5500</v>
      </c>
      <c r="K179" s="12" t="s">
        <v>208</v>
      </c>
      <c r="L179" s="27"/>
      <c r="M179" s="28"/>
      <c r="N179" s="28"/>
      <c r="O179" s="3" t="s">
        <v>234</v>
      </c>
      <c r="P179" s="29">
        <v>216</v>
      </c>
      <c r="Q179" s="25" t="s">
        <v>275</v>
      </c>
    </row>
    <row r="180" s="10" customFormat="1" customHeight="1" spans="1:17">
      <c r="A180" s="26">
        <f t="shared" si="9"/>
        <v>1103056</v>
      </c>
      <c r="B180" s="26">
        <v>1103</v>
      </c>
      <c r="C180" s="26" t="s">
        <v>266</v>
      </c>
      <c r="D180" s="26" t="s">
        <v>267</v>
      </c>
      <c r="E180" s="22">
        <f t="shared" si="7"/>
        <v>36</v>
      </c>
      <c r="F180" s="26">
        <v>56</v>
      </c>
      <c r="G180" s="26">
        <v>15</v>
      </c>
      <c r="H180" s="26" t="s">
        <v>260</v>
      </c>
      <c r="I180" s="27">
        <v>44800</v>
      </c>
      <c r="J180" s="12">
        <v>5600</v>
      </c>
      <c r="K180" s="12" t="s">
        <v>211</v>
      </c>
      <c r="L180" s="27"/>
      <c r="M180" s="28"/>
      <c r="N180" s="28"/>
      <c r="O180" s="3" t="s">
        <v>234</v>
      </c>
      <c r="P180" s="29">
        <v>220</v>
      </c>
      <c r="Q180" s="25" t="s">
        <v>276</v>
      </c>
    </row>
    <row r="181" s="10" customFormat="1" customHeight="1" spans="1:17">
      <c r="A181" s="26">
        <f t="shared" si="9"/>
        <v>1103057</v>
      </c>
      <c r="B181" s="26">
        <v>1103</v>
      </c>
      <c r="C181" s="26" t="s">
        <v>266</v>
      </c>
      <c r="D181" s="26" t="s">
        <v>267</v>
      </c>
      <c r="E181" s="22">
        <f t="shared" si="7"/>
        <v>36</v>
      </c>
      <c r="F181" s="26">
        <v>57</v>
      </c>
      <c r="G181" s="26">
        <v>15</v>
      </c>
      <c r="H181" s="26" t="s">
        <v>261</v>
      </c>
      <c r="I181" s="27">
        <v>45600</v>
      </c>
      <c r="J181" s="12">
        <v>5700</v>
      </c>
      <c r="K181" s="12" t="s">
        <v>214</v>
      </c>
      <c r="L181" s="27"/>
      <c r="M181" s="28"/>
      <c r="N181" s="28"/>
      <c r="O181" s="3" t="s">
        <v>234</v>
      </c>
      <c r="P181" s="29">
        <v>224</v>
      </c>
      <c r="Q181" s="25" t="s">
        <v>277</v>
      </c>
    </row>
    <row r="182" s="10" customFormat="1" customHeight="1" spans="1:17">
      <c r="A182" s="26">
        <f t="shared" si="9"/>
        <v>1103058</v>
      </c>
      <c r="B182" s="26">
        <v>1103</v>
      </c>
      <c r="C182" s="26" t="s">
        <v>266</v>
      </c>
      <c r="D182" s="26" t="s">
        <v>267</v>
      </c>
      <c r="E182" s="22">
        <f t="shared" si="7"/>
        <v>37</v>
      </c>
      <c r="F182" s="26">
        <v>58</v>
      </c>
      <c r="G182" s="26">
        <v>15</v>
      </c>
      <c r="H182" s="26" t="s">
        <v>262</v>
      </c>
      <c r="I182" s="27">
        <v>46400</v>
      </c>
      <c r="J182" s="12">
        <v>5800</v>
      </c>
      <c r="K182" s="12" t="s">
        <v>217</v>
      </c>
      <c r="L182" s="27"/>
      <c r="M182" s="28"/>
      <c r="N182" s="28"/>
      <c r="O182" s="3" t="s">
        <v>234</v>
      </c>
      <c r="P182" s="29">
        <v>228</v>
      </c>
      <c r="Q182" s="25" t="s">
        <v>278</v>
      </c>
    </row>
    <row r="183" s="10" customFormat="1" customHeight="1" spans="1:17">
      <c r="A183" s="26">
        <f t="shared" si="9"/>
        <v>1103059</v>
      </c>
      <c r="B183" s="26">
        <v>1103</v>
      </c>
      <c r="C183" s="26" t="s">
        <v>266</v>
      </c>
      <c r="D183" s="26" t="s">
        <v>267</v>
      </c>
      <c r="E183" s="22">
        <f t="shared" si="7"/>
        <v>37</v>
      </c>
      <c r="F183" s="26">
        <v>59</v>
      </c>
      <c r="G183" s="26">
        <v>15</v>
      </c>
      <c r="H183" s="26" t="s">
        <v>263</v>
      </c>
      <c r="I183" s="27">
        <v>47200</v>
      </c>
      <c r="J183" s="12">
        <v>5900</v>
      </c>
      <c r="K183" s="12" t="s">
        <v>220</v>
      </c>
      <c r="L183" s="27"/>
      <c r="M183" s="28"/>
      <c r="N183" s="28"/>
      <c r="O183" s="3" t="s">
        <v>234</v>
      </c>
      <c r="P183" s="29">
        <v>232</v>
      </c>
      <c r="Q183" s="25" t="s">
        <v>279</v>
      </c>
    </row>
    <row r="184" s="10" customFormat="1" customHeight="1" spans="1:17">
      <c r="A184" s="26">
        <f t="shared" si="9"/>
        <v>1103060</v>
      </c>
      <c r="B184" s="26">
        <v>1103</v>
      </c>
      <c r="C184" s="26" t="s">
        <v>266</v>
      </c>
      <c r="D184" s="26" t="s">
        <v>267</v>
      </c>
      <c r="E184" s="22">
        <v>9999</v>
      </c>
      <c r="F184" s="26">
        <v>60</v>
      </c>
      <c r="G184" s="26">
        <v>15</v>
      </c>
      <c r="H184" s="26" t="s">
        <v>264</v>
      </c>
      <c r="I184" s="27">
        <v>48000</v>
      </c>
      <c r="J184" s="12">
        <v>6000</v>
      </c>
      <c r="K184" s="12" t="s">
        <v>223</v>
      </c>
      <c r="L184" s="27"/>
      <c r="M184" s="28"/>
      <c r="N184" s="28"/>
      <c r="O184" s="3" t="s">
        <v>234</v>
      </c>
      <c r="P184" s="29"/>
      <c r="Q184" s="25" t="s">
        <v>280</v>
      </c>
    </row>
    <row r="185" customHeight="1" spans="1:17">
      <c r="A185" s="22">
        <f t="shared" si="9"/>
        <v>1104001</v>
      </c>
      <c r="B185" s="22">
        <v>1104</v>
      </c>
      <c r="C185" s="22" t="s">
        <v>281</v>
      </c>
      <c r="D185" s="22" t="s">
        <v>282</v>
      </c>
      <c r="E185" s="22">
        <v>16</v>
      </c>
      <c r="F185" s="22">
        <v>1</v>
      </c>
      <c r="G185" s="22">
        <v>11</v>
      </c>
      <c r="H185" s="22" t="s">
        <v>38</v>
      </c>
      <c r="I185" s="12">
        <v>700</v>
      </c>
      <c r="J185" s="12">
        <v>100</v>
      </c>
      <c r="K185" s="12" t="s">
        <v>39</v>
      </c>
      <c r="L185" s="12"/>
      <c r="M185" s="11" t="s">
        <v>283</v>
      </c>
      <c r="N185" s="11" t="s">
        <v>284</v>
      </c>
      <c r="O185" s="2" t="s">
        <v>285</v>
      </c>
      <c r="P185" s="24">
        <v>2</v>
      </c>
      <c r="Q185" s="25" t="s">
        <v>65</v>
      </c>
    </row>
    <row r="186" customHeight="1" spans="1:17">
      <c r="A186" s="22">
        <f t="shared" si="9"/>
        <v>1104002</v>
      </c>
      <c r="B186" s="22">
        <v>1104</v>
      </c>
      <c r="C186" s="22" t="s">
        <v>281</v>
      </c>
      <c r="D186" s="22" t="s">
        <v>282</v>
      </c>
      <c r="E186" s="22">
        <v>16</v>
      </c>
      <c r="F186" s="22">
        <v>2</v>
      </c>
      <c r="G186" s="22">
        <v>13</v>
      </c>
      <c r="H186" s="22" t="s">
        <v>49</v>
      </c>
      <c r="I186" s="12">
        <v>1400</v>
      </c>
      <c r="J186" s="12">
        <v>200</v>
      </c>
      <c r="K186" s="12" t="s">
        <v>45</v>
      </c>
      <c r="L186" s="12"/>
      <c r="M186" s="11" t="s">
        <v>286</v>
      </c>
      <c r="N186" s="11" t="s">
        <v>287</v>
      </c>
      <c r="O186" s="2">
        <v>1104256</v>
      </c>
      <c r="P186" s="24">
        <v>4</v>
      </c>
      <c r="Q186" s="25" t="s">
        <v>68</v>
      </c>
    </row>
    <row r="187" customHeight="1" spans="1:17">
      <c r="A187" s="22">
        <f t="shared" si="9"/>
        <v>1104003</v>
      </c>
      <c r="B187" s="22">
        <v>1104</v>
      </c>
      <c r="C187" s="22" t="s">
        <v>281</v>
      </c>
      <c r="D187" s="22" t="s">
        <v>282</v>
      </c>
      <c r="E187" s="22">
        <v>16</v>
      </c>
      <c r="F187" s="22">
        <v>3</v>
      </c>
      <c r="G187" s="22">
        <v>15</v>
      </c>
      <c r="H187" s="22" t="s">
        <v>57</v>
      </c>
      <c r="I187" s="12">
        <v>2100</v>
      </c>
      <c r="J187" s="12">
        <v>300</v>
      </c>
      <c r="K187" s="12" t="s">
        <v>50</v>
      </c>
      <c r="L187" s="12"/>
      <c r="M187" s="11" t="s">
        <v>288</v>
      </c>
      <c r="N187" s="11" t="s">
        <v>289</v>
      </c>
      <c r="O187" s="2">
        <v>1104259</v>
      </c>
      <c r="P187" s="24">
        <v>8</v>
      </c>
      <c r="Q187" s="25" t="s">
        <v>71</v>
      </c>
    </row>
    <row r="188" customHeight="1" spans="1:17">
      <c r="A188" s="22">
        <f t="shared" si="9"/>
        <v>1104004</v>
      </c>
      <c r="B188" s="22">
        <v>1104</v>
      </c>
      <c r="C188" s="22" t="s">
        <v>281</v>
      </c>
      <c r="D188" s="22" t="s">
        <v>282</v>
      </c>
      <c r="E188" s="22">
        <f t="shared" ref="E188:E244" si="10">E185+1</f>
        <v>17</v>
      </c>
      <c r="F188" s="22">
        <v>4</v>
      </c>
      <c r="G188" s="22">
        <v>15</v>
      </c>
      <c r="H188" s="22" t="s">
        <v>63</v>
      </c>
      <c r="I188" s="12">
        <v>2800</v>
      </c>
      <c r="J188" s="12">
        <v>400</v>
      </c>
      <c r="K188" s="12" t="s">
        <v>55</v>
      </c>
      <c r="L188" s="12"/>
      <c r="O188" s="2">
        <v>1104261</v>
      </c>
      <c r="P188" s="24">
        <v>12</v>
      </c>
      <c r="Q188" s="25" t="s">
        <v>74</v>
      </c>
    </row>
    <row r="189" customHeight="1" spans="1:17">
      <c r="A189" s="22">
        <f t="shared" si="9"/>
        <v>1104005</v>
      </c>
      <c r="B189" s="22">
        <v>1104</v>
      </c>
      <c r="C189" s="22" t="s">
        <v>281</v>
      </c>
      <c r="D189" s="22" t="s">
        <v>282</v>
      </c>
      <c r="E189" s="22">
        <f t="shared" si="10"/>
        <v>17</v>
      </c>
      <c r="F189" s="22">
        <v>5</v>
      </c>
      <c r="G189" s="22">
        <v>15</v>
      </c>
      <c r="H189" s="22" t="s">
        <v>69</v>
      </c>
      <c r="I189" s="12">
        <v>3500</v>
      </c>
      <c r="J189" s="12">
        <v>500</v>
      </c>
      <c r="K189" s="12" t="s">
        <v>58</v>
      </c>
      <c r="L189" s="12"/>
      <c r="O189" s="2">
        <v>1104251</v>
      </c>
      <c r="P189" s="24">
        <v>16</v>
      </c>
      <c r="Q189" s="25" t="s">
        <v>77</v>
      </c>
    </row>
    <row r="190" customHeight="1" spans="1:17">
      <c r="A190" s="22">
        <f t="shared" si="9"/>
        <v>1104006</v>
      </c>
      <c r="B190" s="22">
        <v>1104</v>
      </c>
      <c r="C190" s="22" t="s">
        <v>281</v>
      </c>
      <c r="D190" s="22" t="s">
        <v>282</v>
      </c>
      <c r="E190" s="22">
        <f t="shared" si="10"/>
        <v>17</v>
      </c>
      <c r="F190" s="22">
        <v>6</v>
      </c>
      <c r="G190" s="22">
        <v>15</v>
      </c>
      <c r="H190" s="22" t="s">
        <v>75</v>
      </c>
      <c r="I190" s="12">
        <v>4200</v>
      </c>
      <c r="J190" s="12">
        <v>600</v>
      </c>
      <c r="K190" s="12" t="s">
        <v>61</v>
      </c>
      <c r="L190" s="12"/>
      <c r="O190" s="2">
        <v>1104252</v>
      </c>
      <c r="P190" s="24">
        <v>20</v>
      </c>
      <c r="Q190" s="25" t="s">
        <v>80</v>
      </c>
    </row>
    <row r="191" customHeight="1" spans="1:17">
      <c r="A191" s="22">
        <f t="shared" si="9"/>
        <v>1104007</v>
      </c>
      <c r="B191" s="22">
        <v>1104</v>
      </c>
      <c r="C191" s="22" t="s">
        <v>281</v>
      </c>
      <c r="D191" s="22" t="s">
        <v>282</v>
      </c>
      <c r="E191" s="22">
        <f t="shared" si="10"/>
        <v>18</v>
      </c>
      <c r="F191" s="22">
        <v>7</v>
      </c>
      <c r="G191" s="22">
        <v>15</v>
      </c>
      <c r="H191" s="22" t="s">
        <v>81</v>
      </c>
      <c r="I191" s="12">
        <v>4900</v>
      </c>
      <c r="J191" s="12">
        <v>700</v>
      </c>
      <c r="K191" s="12" t="s">
        <v>64</v>
      </c>
      <c r="L191" s="12"/>
      <c r="O191" s="2">
        <v>1104253</v>
      </c>
      <c r="P191" s="24">
        <v>24</v>
      </c>
      <c r="Q191" s="25" t="s">
        <v>83</v>
      </c>
    </row>
    <row r="192" customHeight="1" spans="1:17">
      <c r="A192" s="22">
        <f t="shared" si="9"/>
        <v>1104008</v>
      </c>
      <c r="B192" s="22">
        <v>1104</v>
      </c>
      <c r="C192" s="22" t="s">
        <v>281</v>
      </c>
      <c r="D192" s="22" t="s">
        <v>282</v>
      </c>
      <c r="E192" s="22">
        <f t="shared" si="10"/>
        <v>18</v>
      </c>
      <c r="F192" s="22">
        <v>8</v>
      </c>
      <c r="G192" s="22">
        <v>15</v>
      </c>
      <c r="H192" s="22" t="s">
        <v>87</v>
      </c>
      <c r="I192" s="12">
        <v>5600</v>
      </c>
      <c r="J192" s="12">
        <v>800</v>
      </c>
      <c r="K192" s="12" t="s">
        <v>67</v>
      </c>
      <c r="L192" s="12"/>
      <c r="O192" s="2">
        <v>1104270</v>
      </c>
      <c r="P192" s="24">
        <v>28</v>
      </c>
      <c r="Q192" s="25" t="s">
        <v>86</v>
      </c>
    </row>
    <row r="193" customHeight="1" spans="1:17">
      <c r="A193" s="22">
        <f t="shared" si="9"/>
        <v>1104009</v>
      </c>
      <c r="B193" s="22">
        <v>1104</v>
      </c>
      <c r="C193" s="22" t="s">
        <v>281</v>
      </c>
      <c r="D193" s="22" t="s">
        <v>282</v>
      </c>
      <c r="E193" s="22">
        <f t="shared" si="10"/>
        <v>18</v>
      </c>
      <c r="F193" s="22">
        <v>9</v>
      </c>
      <c r="G193" s="22">
        <v>15</v>
      </c>
      <c r="H193" s="22" t="s">
        <v>93</v>
      </c>
      <c r="I193" s="12">
        <v>6300</v>
      </c>
      <c r="J193" s="12">
        <v>900</v>
      </c>
      <c r="K193" s="12" t="s">
        <v>70</v>
      </c>
      <c r="L193" s="12"/>
      <c r="O193" s="2">
        <v>1104271</v>
      </c>
      <c r="P193" s="24">
        <v>32</v>
      </c>
      <c r="Q193" s="25" t="s">
        <v>89</v>
      </c>
    </row>
    <row r="194" customHeight="1" spans="1:17">
      <c r="A194" s="22">
        <f t="shared" si="9"/>
        <v>1104010</v>
      </c>
      <c r="B194" s="22">
        <v>1104</v>
      </c>
      <c r="C194" s="22" t="s">
        <v>281</v>
      </c>
      <c r="D194" s="22" t="s">
        <v>282</v>
      </c>
      <c r="E194" s="22">
        <f t="shared" si="10"/>
        <v>19</v>
      </c>
      <c r="F194" s="22">
        <v>10</v>
      </c>
      <c r="G194" s="22">
        <v>15</v>
      </c>
      <c r="H194" s="22" t="s">
        <v>99</v>
      </c>
      <c r="I194" s="12">
        <v>7000</v>
      </c>
      <c r="J194" s="12">
        <v>1000</v>
      </c>
      <c r="K194" s="12" t="s">
        <v>73</v>
      </c>
      <c r="L194" s="12"/>
      <c r="O194" s="2">
        <v>1104272</v>
      </c>
      <c r="P194" s="24">
        <v>36</v>
      </c>
      <c r="Q194" s="25" t="s">
        <v>92</v>
      </c>
    </row>
    <row r="195" customHeight="1" spans="1:17">
      <c r="A195" s="22">
        <f t="shared" ref="A195:A226" si="11">B195*1000+F195</f>
        <v>1104011</v>
      </c>
      <c r="B195" s="22">
        <v>1104</v>
      </c>
      <c r="C195" s="22" t="s">
        <v>281</v>
      </c>
      <c r="D195" s="22" t="s">
        <v>282</v>
      </c>
      <c r="E195" s="22">
        <f t="shared" si="10"/>
        <v>19</v>
      </c>
      <c r="F195" s="22">
        <v>11</v>
      </c>
      <c r="G195" s="22">
        <v>15</v>
      </c>
      <c r="H195" s="22" t="s">
        <v>105</v>
      </c>
      <c r="I195" s="12">
        <v>7700</v>
      </c>
      <c r="J195" s="12">
        <v>1100</v>
      </c>
      <c r="K195" s="12" t="s">
        <v>76</v>
      </c>
      <c r="L195" s="12"/>
      <c r="O195" s="2">
        <v>1104265</v>
      </c>
      <c r="P195" s="24">
        <v>40</v>
      </c>
      <c r="Q195" s="25" t="s">
        <v>95</v>
      </c>
    </row>
    <row r="196" customHeight="1" spans="1:17">
      <c r="A196" s="22">
        <f t="shared" si="11"/>
        <v>1104012</v>
      </c>
      <c r="B196" s="22">
        <v>1104</v>
      </c>
      <c r="C196" s="22" t="s">
        <v>281</v>
      </c>
      <c r="D196" s="22" t="s">
        <v>282</v>
      </c>
      <c r="E196" s="22">
        <f t="shared" si="10"/>
        <v>19</v>
      </c>
      <c r="F196" s="22">
        <v>12</v>
      </c>
      <c r="G196" s="22">
        <v>15</v>
      </c>
      <c r="H196" s="22" t="s">
        <v>111</v>
      </c>
      <c r="I196" s="12">
        <v>8400</v>
      </c>
      <c r="J196" s="12">
        <v>1200</v>
      </c>
      <c r="K196" s="12" t="s">
        <v>79</v>
      </c>
      <c r="L196" s="12"/>
      <c r="O196" s="2">
        <v>1104267</v>
      </c>
      <c r="P196" s="24">
        <v>44</v>
      </c>
      <c r="Q196" s="25" t="s">
        <v>98</v>
      </c>
    </row>
    <row r="197" customHeight="1" spans="1:17">
      <c r="A197" s="22">
        <f t="shared" si="11"/>
        <v>1104013</v>
      </c>
      <c r="B197" s="22">
        <v>1104</v>
      </c>
      <c r="C197" s="22" t="s">
        <v>281</v>
      </c>
      <c r="D197" s="22" t="s">
        <v>282</v>
      </c>
      <c r="E197" s="22">
        <f t="shared" si="10"/>
        <v>20</v>
      </c>
      <c r="F197" s="22">
        <v>13</v>
      </c>
      <c r="G197" s="22">
        <v>15</v>
      </c>
      <c r="H197" s="22" t="s">
        <v>117</v>
      </c>
      <c r="I197" s="12">
        <v>9100</v>
      </c>
      <c r="J197" s="12">
        <v>1300</v>
      </c>
      <c r="K197" s="12" t="s">
        <v>82</v>
      </c>
      <c r="L197" s="12"/>
      <c r="O197" s="2">
        <v>1104262</v>
      </c>
      <c r="P197" s="24">
        <v>48</v>
      </c>
      <c r="Q197" s="25" t="s">
        <v>101</v>
      </c>
    </row>
    <row r="198" customHeight="1" spans="1:17">
      <c r="A198" s="22">
        <f t="shared" si="11"/>
        <v>1104014</v>
      </c>
      <c r="B198" s="22">
        <v>1104</v>
      </c>
      <c r="C198" s="22" t="s">
        <v>281</v>
      </c>
      <c r="D198" s="22" t="s">
        <v>282</v>
      </c>
      <c r="E198" s="22">
        <f t="shared" si="10"/>
        <v>20</v>
      </c>
      <c r="F198" s="22">
        <v>14</v>
      </c>
      <c r="G198" s="22">
        <v>15</v>
      </c>
      <c r="H198" s="22" t="s">
        <v>123</v>
      </c>
      <c r="I198" s="12">
        <v>9800</v>
      </c>
      <c r="J198" s="12">
        <v>1400</v>
      </c>
      <c r="K198" s="12" t="s">
        <v>85</v>
      </c>
      <c r="L198" s="12"/>
      <c r="O198" s="2">
        <v>1104263</v>
      </c>
      <c r="P198" s="24">
        <v>52</v>
      </c>
      <c r="Q198" s="25" t="s">
        <v>104</v>
      </c>
    </row>
    <row r="199" customHeight="1" spans="1:17">
      <c r="A199" s="22">
        <f t="shared" si="11"/>
        <v>1104015</v>
      </c>
      <c r="B199" s="22">
        <v>1104</v>
      </c>
      <c r="C199" s="22" t="s">
        <v>281</v>
      </c>
      <c r="D199" s="22" t="s">
        <v>282</v>
      </c>
      <c r="E199" s="22">
        <f t="shared" si="10"/>
        <v>20</v>
      </c>
      <c r="F199" s="22">
        <v>15</v>
      </c>
      <c r="G199" s="22">
        <v>15</v>
      </c>
      <c r="H199" s="22" t="s">
        <v>129</v>
      </c>
      <c r="I199" s="12">
        <v>10500</v>
      </c>
      <c r="J199" s="12">
        <v>1500</v>
      </c>
      <c r="K199" s="12" t="s">
        <v>88</v>
      </c>
      <c r="L199" s="12"/>
      <c r="O199" s="2">
        <v>1104264</v>
      </c>
      <c r="P199" s="24">
        <v>56</v>
      </c>
      <c r="Q199" s="25" t="s">
        <v>107</v>
      </c>
    </row>
    <row r="200" customHeight="1" spans="1:17">
      <c r="A200" s="22">
        <f t="shared" si="11"/>
        <v>1104016</v>
      </c>
      <c r="B200" s="22">
        <v>1104</v>
      </c>
      <c r="C200" s="22" t="s">
        <v>281</v>
      </c>
      <c r="D200" s="22" t="s">
        <v>282</v>
      </c>
      <c r="E200" s="22">
        <f t="shared" si="10"/>
        <v>21</v>
      </c>
      <c r="F200" s="22">
        <v>16</v>
      </c>
      <c r="G200" s="22">
        <v>15</v>
      </c>
      <c r="H200" s="22" t="s">
        <v>135</v>
      </c>
      <c r="I200" s="12">
        <v>11200</v>
      </c>
      <c r="J200" s="12">
        <v>1600</v>
      </c>
      <c r="K200" s="12" t="s">
        <v>91</v>
      </c>
      <c r="L200" s="12"/>
      <c r="O200" s="2">
        <v>1104268</v>
      </c>
      <c r="P200" s="24">
        <v>60</v>
      </c>
      <c r="Q200" s="25" t="s">
        <v>110</v>
      </c>
    </row>
    <row r="201" customHeight="1" spans="1:17">
      <c r="A201" s="22">
        <f t="shared" si="11"/>
        <v>1104017</v>
      </c>
      <c r="B201" s="22">
        <v>1104</v>
      </c>
      <c r="C201" s="22" t="s">
        <v>281</v>
      </c>
      <c r="D201" s="22" t="s">
        <v>282</v>
      </c>
      <c r="E201" s="22">
        <f t="shared" si="10"/>
        <v>21</v>
      </c>
      <c r="F201" s="22">
        <v>17</v>
      </c>
      <c r="G201" s="22">
        <v>15</v>
      </c>
      <c r="H201" s="22" t="s">
        <v>141</v>
      </c>
      <c r="I201" s="12">
        <v>11900</v>
      </c>
      <c r="J201" s="12">
        <v>1700</v>
      </c>
      <c r="K201" s="12" t="s">
        <v>94</v>
      </c>
      <c r="L201" s="12"/>
      <c r="P201" s="24">
        <v>64</v>
      </c>
      <c r="Q201" s="25" t="s">
        <v>113</v>
      </c>
    </row>
    <row r="202" customHeight="1" spans="1:17">
      <c r="A202" s="22">
        <f t="shared" si="11"/>
        <v>1104018</v>
      </c>
      <c r="B202" s="22">
        <v>1104</v>
      </c>
      <c r="C202" s="22" t="s">
        <v>281</v>
      </c>
      <c r="D202" s="22" t="s">
        <v>282</v>
      </c>
      <c r="E202" s="22">
        <f t="shared" si="10"/>
        <v>21</v>
      </c>
      <c r="F202" s="22">
        <v>18</v>
      </c>
      <c r="G202" s="22">
        <v>15</v>
      </c>
      <c r="H202" s="22" t="s">
        <v>147</v>
      </c>
      <c r="I202" s="12">
        <v>12600</v>
      </c>
      <c r="J202" s="12">
        <v>1800</v>
      </c>
      <c r="K202" s="12" t="s">
        <v>97</v>
      </c>
      <c r="L202" s="12"/>
      <c r="P202" s="24">
        <v>68</v>
      </c>
      <c r="Q202" s="25" t="s">
        <v>116</v>
      </c>
    </row>
    <row r="203" customHeight="1" spans="1:17">
      <c r="A203" s="22">
        <f t="shared" si="11"/>
        <v>1104019</v>
      </c>
      <c r="B203" s="22">
        <v>1104</v>
      </c>
      <c r="C203" s="22" t="s">
        <v>281</v>
      </c>
      <c r="D203" s="22" t="s">
        <v>282</v>
      </c>
      <c r="E203" s="22">
        <f t="shared" si="10"/>
        <v>22</v>
      </c>
      <c r="F203" s="22">
        <v>19</v>
      </c>
      <c r="G203" s="22">
        <v>15</v>
      </c>
      <c r="H203" s="22" t="s">
        <v>153</v>
      </c>
      <c r="I203" s="12">
        <v>13300</v>
      </c>
      <c r="J203" s="12">
        <v>1900</v>
      </c>
      <c r="K203" s="12" t="s">
        <v>100</v>
      </c>
      <c r="L203" s="12"/>
      <c r="P203" s="24">
        <v>72</v>
      </c>
      <c r="Q203" s="25" t="s">
        <v>119</v>
      </c>
    </row>
    <row r="204" customHeight="1" spans="1:17">
      <c r="A204" s="22">
        <f t="shared" si="11"/>
        <v>1104020</v>
      </c>
      <c r="B204" s="22">
        <v>1104</v>
      </c>
      <c r="C204" s="22" t="s">
        <v>281</v>
      </c>
      <c r="D204" s="22" t="s">
        <v>282</v>
      </c>
      <c r="E204" s="22">
        <f t="shared" si="10"/>
        <v>22</v>
      </c>
      <c r="F204" s="22">
        <v>20</v>
      </c>
      <c r="G204" s="22">
        <v>15</v>
      </c>
      <c r="H204" s="22" t="s">
        <v>159</v>
      </c>
      <c r="I204" s="12">
        <v>14000</v>
      </c>
      <c r="J204" s="12">
        <v>2000</v>
      </c>
      <c r="K204" s="12" t="s">
        <v>103</v>
      </c>
      <c r="L204" s="12"/>
      <c r="P204" s="24">
        <v>76</v>
      </c>
      <c r="Q204" s="25" t="s">
        <v>122</v>
      </c>
    </row>
    <row r="205" customHeight="1" spans="1:17">
      <c r="A205" s="22">
        <f t="shared" si="11"/>
        <v>1104021</v>
      </c>
      <c r="B205" s="22">
        <v>1104</v>
      </c>
      <c r="C205" s="22" t="s">
        <v>281</v>
      </c>
      <c r="D205" s="22" t="s">
        <v>282</v>
      </c>
      <c r="E205" s="22">
        <f t="shared" si="10"/>
        <v>22</v>
      </c>
      <c r="F205" s="22">
        <v>21</v>
      </c>
      <c r="G205" s="22">
        <v>15</v>
      </c>
      <c r="H205" s="22" t="s">
        <v>165</v>
      </c>
      <c r="I205" s="12">
        <v>14700</v>
      </c>
      <c r="J205" s="12">
        <v>2100</v>
      </c>
      <c r="K205" s="12" t="s">
        <v>106</v>
      </c>
      <c r="L205" s="12"/>
      <c r="P205" s="24">
        <v>80</v>
      </c>
      <c r="Q205" s="25" t="s">
        <v>125</v>
      </c>
    </row>
    <row r="206" customHeight="1" spans="1:17">
      <c r="A206" s="22">
        <f t="shared" si="11"/>
        <v>1104022</v>
      </c>
      <c r="B206" s="22">
        <v>1104</v>
      </c>
      <c r="C206" s="22" t="s">
        <v>281</v>
      </c>
      <c r="D206" s="22" t="s">
        <v>282</v>
      </c>
      <c r="E206" s="22">
        <f t="shared" si="10"/>
        <v>23</v>
      </c>
      <c r="F206" s="22">
        <v>22</v>
      </c>
      <c r="G206" s="22">
        <v>15</v>
      </c>
      <c r="H206" s="22" t="s">
        <v>171</v>
      </c>
      <c r="I206" s="12">
        <v>15400</v>
      </c>
      <c r="J206" s="12">
        <v>2200</v>
      </c>
      <c r="K206" s="12" t="s">
        <v>109</v>
      </c>
      <c r="L206" s="12"/>
      <c r="P206" s="24">
        <v>84</v>
      </c>
      <c r="Q206" s="25" t="s">
        <v>128</v>
      </c>
    </row>
    <row r="207" customHeight="1" spans="1:17">
      <c r="A207" s="22">
        <f t="shared" si="11"/>
        <v>1104023</v>
      </c>
      <c r="B207" s="22">
        <v>1104</v>
      </c>
      <c r="C207" s="22" t="s">
        <v>281</v>
      </c>
      <c r="D207" s="22" t="s">
        <v>282</v>
      </c>
      <c r="E207" s="22">
        <f t="shared" si="10"/>
        <v>23</v>
      </c>
      <c r="F207" s="22">
        <v>23</v>
      </c>
      <c r="G207" s="22">
        <v>15</v>
      </c>
      <c r="H207" s="22" t="s">
        <v>177</v>
      </c>
      <c r="I207" s="12">
        <v>16100</v>
      </c>
      <c r="J207" s="12">
        <v>2300</v>
      </c>
      <c r="K207" s="12" t="s">
        <v>112</v>
      </c>
      <c r="L207" s="12"/>
      <c r="O207" s="2" t="s">
        <v>234</v>
      </c>
      <c r="P207" s="24">
        <v>88</v>
      </c>
      <c r="Q207" s="25" t="s">
        <v>131</v>
      </c>
    </row>
    <row r="208" customHeight="1" spans="1:17">
      <c r="A208" s="22">
        <f t="shared" si="11"/>
        <v>1104024</v>
      </c>
      <c r="B208" s="22">
        <v>1104</v>
      </c>
      <c r="C208" s="22" t="s">
        <v>281</v>
      </c>
      <c r="D208" s="22" t="s">
        <v>282</v>
      </c>
      <c r="E208" s="22">
        <f t="shared" si="10"/>
        <v>23</v>
      </c>
      <c r="F208" s="22">
        <v>24</v>
      </c>
      <c r="G208" s="22">
        <v>15</v>
      </c>
      <c r="H208" s="22" t="s">
        <v>183</v>
      </c>
      <c r="I208" s="12">
        <v>16800</v>
      </c>
      <c r="J208" s="12">
        <v>2400</v>
      </c>
      <c r="K208" s="12" t="s">
        <v>115</v>
      </c>
      <c r="L208" s="12"/>
      <c r="O208" s="2" t="s">
        <v>234</v>
      </c>
      <c r="P208" s="24">
        <v>92</v>
      </c>
      <c r="Q208" s="25" t="s">
        <v>134</v>
      </c>
    </row>
    <row r="209" customHeight="1" spans="1:17">
      <c r="A209" s="22">
        <f t="shared" si="11"/>
        <v>1104025</v>
      </c>
      <c r="B209" s="22">
        <v>1104</v>
      </c>
      <c r="C209" s="22" t="s">
        <v>281</v>
      </c>
      <c r="D209" s="22" t="s">
        <v>282</v>
      </c>
      <c r="E209" s="22">
        <f t="shared" si="10"/>
        <v>24</v>
      </c>
      <c r="F209" s="22">
        <v>25</v>
      </c>
      <c r="G209" s="22">
        <v>15</v>
      </c>
      <c r="H209" s="22" t="s">
        <v>189</v>
      </c>
      <c r="I209" s="12">
        <v>17500</v>
      </c>
      <c r="J209" s="12">
        <v>2500</v>
      </c>
      <c r="K209" s="12" t="s">
        <v>118</v>
      </c>
      <c r="L209" s="12"/>
      <c r="O209" s="2" t="s">
        <v>234</v>
      </c>
      <c r="P209" s="24">
        <v>96</v>
      </c>
      <c r="Q209" s="25" t="s">
        <v>137</v>
      </c>
    </row>
    <row r="210" customHeight="1" spans="1:17">
      <c r="A210" s="22">
        <f t="shared" si="11"/>
        <v>1104026</v>
      </c>
      <c r="B210" s="22">
        <v>1104</v>
      </c>
      <c r="C210" s="22" t="s">
        <v>281</v>
      </c>
      <c r="D210" s="22" t="s">
        <v>282</v>
      </c>
      <c r="E210" s="22">
        <f t="shared" si="10"/>
        <v>24</v>
      </c>
      <c r="F210" s="22">
        <v>26</v>
      </c>
      <c r="G210" s="22">
        <v>15</v>
      </c>
      <c r="H210" s="22" t="s">
        <v>195</v>
      </c>
      <c r="I210" s="12">
        <v>18200</v>
      </c>
      <c r="J210" s="12">
        <v>2600</v>
      </c>
      <c r="K210" s="12" t="s">
        <v>121</v>
      </c>
      <c r="L210" s="12"/>
      <c r="O210" s="2" t="s">
        <v>234</v>
      </c>
      <c r="P210" s="24">
        <v>100</v>
      </c>
      <c r="Q210" s="25" t="s">
        <v>140</v>
      </c>
    </row>
    <row r="211" customHeight="1" spans="1:17">
      <c r="A211" s="22">
        <f t="shared" si="11"/>
        <v>1104027</v>
      </c>
      <c r="B211" s="22">
        <v>1104</v>
      </c>
      <c r="C211" s="22" t="s">
        <v>281</v>
      </c>
      <c r="D211" s="22" t="s">
        <v>282</v>
      </c>
      <c r="E211" s="22">
        <f t="shared" si="10"/>
        <v>24</v>
      </c>
      <c r="F211" s="22">
        <v>27</v>
      </c>
      <c r="G211" s="22">
        <v>15</v>
      </c>
      <c r="H211" s="22" t="s">
        <v>201</v>
      </c>
      <c r="I211" s="12">
        <v>18900</v>
      </c>
      <c r="J211" s="12">
        <v>2700</v>
      </c>
      <c r="K211" s="12" t="s">
        <v>124</v>
      </c>
      <c r="L211" s="12"/>
      <c r="O211" s="2" t="s">
        <v>234</v>
      </c>
      <c r="P211" s="24">
        <v>104</v>
      </c>
      <c r="Q211" s="25" t="s">
        <v>143</v>
      </c>
    </row>
    <row r="212" customHeight="1" spans="1:17">
      <c r="A212" s="22">
        <f t="shared" si="11"/>
        <v>1104028</v>
      </c>
      <c r="B212" s="22">
        <v>1104</v>
      </c>
      <c r="C212" s="22" t="s">
        <v>281</v>
      </c>
      <c r="D212" s="22" t="s">
        <v>282</v>
      </c>
      <c r="E212" s="22">
        <f t="shared" si="10"/>
        <v>25</v>
      </c>
      <c r="F212" s="22">
        <v>28</v>
      </c>
      <c r="G212" s="22">
        <v>15</v>
      </c>
      <c r="H212" s="22" t="s">
        <v>207</v>
      </c>
      <c r="I212" s="12">
        <v>19600</v>
      </c>
      <c r="J212" s="12">
        <v>2800</v>
      </c>
      <c r="K212" s="12" t="s">
        <v>127</v>
      </c>
      <c r="L212" s="12"/>
      <c r="O212" s="2" t="s">
        <v>234</v>
      </c>
      <c r="P212" s="24">
        <v>108</v>
      </c>
      <c r="Q212" s="25" t="s">
        <v>146</v>
      </c>
    </row>
    <row r="213" customHeight="1" spans="1:17">
      <c r="A213" s="22">
        <f t="shared" si="11"/>
        <v>1104029</v>
      </c>
      <c r="B213" s="22">
        <v>1104</v>
      </c>
      <c r="C213" s="22" t="s">
        <v>281</v>
      </c>
      <c r="D213" s="22" t="s">
        <v>282</v>
      </c>
      <c r="E213" s="22">
        <f t="shared" si="10"/>
        <v>25</v>
      </c>
      <c r="F213" s="22">
        <v>29</v>
      </c>
      <c r="G213" s="22">
        <v>15</v>
      </c>
      <c r="H213" s="22" t="s">
        <v>213</v>
      </c>
      <c r="I213" s="12">
        <v>20300</v>
      </c>
      <c r="J213" s="12">
        <v>2900</v>
      </c>
      <c r="K213" s="12" t="s">
        <v>130</v>
      </c>
      <c r="L213" s="12"/>
      <c r="O213" s="2" t="s">
        <v>234</v>
      </c>
      <c r="P213" s="24">
        <v>112</v>
      </c>
      <c r="Q213" s="25" t="s">
        <v>149</v>
      </c>
    </row>
    <row r="214" customHeight="1" spans="1:17">
      <c r="A214" s="22">
        <f t="shared" si="11"/>
        <v>1104030</v>
      </c>
      <c r="B214" s="22">
        <v>1104</v>
      </c>
      <c r="C214" s="22" t="s">
        <v>281</v>
      </c>
      <c r="D214" s="22" t="s">
        <v>282</v>
      </c>
      <c r="E214" s="22">
        <f t="shared" si="10"/>
        <v>25</v>
      </c>
      <c r="F214" s="22">
        <v>30</v>
      </c>
      <c r="G214" s="22">
        <v>15</v>
      </c>
      <c r="H214" s="22" t="s">
        <v>219</v>
      </c>
      <c r="I214" s="12">
        <v>21000</v>
      </c>
      <c r="J214" s="12">
        <v>3000</v>
      </c>
      <c r="K214" s="12" t="s">
        <v>133</v>
      </c>
      <c r="L214" s="12"/>
      <c r="O214" s="2" t="s">
        <v>234</v>
      </c>
      <c r="P214" s="24">
        <v>116</v>
      </c>
      <c r="Q214" s="25" t="s">
        <v>152</v>
      </c>
    </row>
    <row r="215" customHeight="1" spans="1:17">
      <c r="A215" s="22">
        <f t="shared" si="11"/>
        <v>1104031</v>
      </c>
      <c r="B215" s="22">
        <v>1104</v>
      </c>
      <c r="C215" s="22" t="s">
        <v>281</v>
      </c>
      <c r="D215" s="22" t="s">
        <v>282</v>
      </c>
      <c r="E215" s="22">
        <f t="shared" si="10"/>
        <v>26</v>
      </c>
      <c r="F215" s="22">
        <v>31</v>
      </c>
      <c r="G215" s="22">
        <v>15</v>
      </c>
      <c r="H215" s="22" t="s">
        <v>235</v>
      </c>
      <c r="I215" s="12">
        <v>21700</v>
      </c>
      <c r="J215" s="12">
        <v>3100</v>
      </c>
      <c r="K215" s="12" t="s">
        <v>136</v>
      </c>
      <c r="L215" s="12"/>
      <c r="O215" s="2" t="s">
        <v>234</v>
      </c>
      <c r="P215" s="24">
        <v>120</v>
      </c>
      <c r="Q215" s="25" t="s">
        <v>155</v>
      </c>
    </row>
    <row r="216" customHeight="1" spans="1:17">
      <c r="A216" s="22">
        <f t="shared" si="11"/>
        <v>1104032</v>
      </c>
      <c r="B216" s="22">
        <v>1104</v>
      </c>
      <c r="C216" s="22" t="s">
        <v>281</v>
      </c>
      <c r="D216" s="22" t="s">
        <v>282</v>
      </c>
      <c r="E216" s="22">
        <f t="shared" si="10"/>
        <v>26</v>
      </c>
      <c r="F216" s="22">
        <v>32</v>
      </c>
      <c r="G216" s="22">
        <v>15</v>
      </c>
      <c r="H216" s="22" t="s">
        <v>236</v>
      </c>
      <c r="I216" s="12">
        <v>22400</v>
      </c>
      <c r="J216" s="12">
        <v>3200</v>
      </c>
      <c r="K216" s="12" t="s">
        <v>139</v>
      </c>
      <c r="L216" s="12"/>
      <c r="O216" s="2" t="s">
        <v>234</v>
      </c>
      <c r="P216" s="24">
        <v>124</v>
      </c>
      <c r="Q216" s="25" t="s">
        <v>158</v>
      </c>
    </row>
    <row r="217" customHeight="1" spans="1:17">
      <c r="A217" s="22">
        <f t="shared" si="11"/>
        <v>1104033</v>
      </c>
      <c r="B217" s="22">
        <v>1104</v>
      </c>
      <c r="C217" s="22" t="s">
        <v>281</v>
      </c>
      <c r="D217" s="22" t="s">
        <v>282</v>
      </c>
      <c r="E217" s="22">
        <f t="shared" si="10"/>
        <v>26</v>
      </c>
      <c r="F217" s="22">
        <v>33</v>
      </c>
      <c r="G217" s="22">
        <v>15</v>
      </c>
      <c r="H217" s="22" t="s">
        <v>237</v>
      </c>
      <c r="I217" s="12">
        <v>23100</v>
      </c>
      <c r="J217" s="12">
        <v>3300</v>
      </c>
      <c r="K217" s="12" t="s">
        <v>142</v>
      </c>
      <c r="L217" s="12"/>
      <c r="O217" s="2" t="s">
        <v>234</v>
      </c>
      <c r="P217" s="24">
        <v>128</v>
      </c>
      <c r="Q217" s="25" t="s">
        <v>161</v>
      </c>
    </row>
    <row r="218" customHeight="1" spans="1:17">
      <c r="A218" s="22">
        <f t="shared" si="11"/>
        <v>1104034</v>
      </c>
      <c r="B218" s="22">
        <v>1104</v>
      </c>
      <c r="C218" s="22" t="s">
        <v>281</v>
      </c>
      <c r="D218" s="22" t="s">
        <v>282</v>
      </c>
      <c r="E218" s="22">
        <f t="shared" si="10"/>
        <v>27</v>
      </c>
      <c r="F218" s="22">
        <v>34</v>
      </c>
      <c r="G218" s="22">
        <v>15</v>
      </c>
      <c r="H218" s="22" t="s">
        <v>238</v>
      </c>
      <c r="I218" s="12">
        <v>23800</v>
      </c>
      <c r="J218" s="12">
        <v>3400</v>
      </c>
      <c r="K218" s="12" t="s">
        <v>145</v>
      </c>
      <c r="L218" s="12"/>
      <c r="O218" s="2" t="s">
        <v>234</v>
      </c>
      <c r="P218" s="24">
        <v>132</v>
      </c>
      <c r="Q218" s="25" t="s">
        <v>164</v>
      </c>
    </row>
    <row r="219" customHeight="1" spans="1:17">
      <c r="A219" s="22">
        <f t="shared" si="11"/>
        <v>1104035</v>
      </c>
      <c r="B219" s="22">
        <v>1104</v>
      </c>
      <c r="C219" s="22" t="s">
        <v>281</v>
      </c>
      <c r="D219" s="22" t="s">
        <v>282</v>
      </c>
      <c r="E219" s="22">
        <f t="shared" si="10"/>
        <v>27</v>
      </c>
      <c r="F219" s="22">
        <v>35</v>
      </c>
      <c r="G219" s="22">
        <v>15</v>
      </c>
      <c r="H219" s="22" t="s">
        <v>239</v>
      </c>
      <c r="I219" s="12">
        <v>24500</v>
      </c>
      <c r="J219" s="12">
        <v>3500</v>
      </c>
      <c r="K219" s="12" t="s">
        <v>148</v>
      </c>
      <c r="L219" s="12"/>
      <c r="O219" s="2" t="s">
        <v>234</v>
      </c>
      <c r="P219" s="24">
        <v>136</v>
      </c>
      <c r="Q219" s="25" t="s">
        <v>167</v>
      </c>
    </row>
    <row r="220" customHeight="1" spans="1:17">
      <c r="A220" s="22">
        <f t="shared" si="11"/>
        <v>1104036</v>
      </c>
      <c r="B220" s="22">
        <v>1104</v>
      </c>
      <c r="C220" s="22" t="s">
        <v>281</v>
      </c>
      <c r="D220" s="22" t="s">
        <v>282</v>
      </c>
      <c r="E220" s="22">
        <f t="shared" si="10"/>
        <v>27</v>
      </c>
      <c r="F220" s="22">
        <v>36</v>
      </c>
      <c r="G220" s="22">
        <v>15</v>
      </c>
      <c r="H220" s="22" t="s">
        <v>240</v>
      </c>
      <c r="I220" s="12">
        <v>25200</v>
      </c>
      <c r="J220" s="12">
        <v>3600</v>
      </c>
      <c r="K220" s="12" t="s">
        <v>151</v>
      </c>
      <c r="L220" s="12"/>
      <c r="O220" s="2" t="s">
        <v>234</v>
      </c>
      <c r="P220" s="24">
        <v>140</v>
      </c>
      <c r="Q220" s="25" t="s">
        <v>170</v>
      </c>
    </row>
    <row r="221" customHeight="1" spans="1:17">
      <c r="A221" s="22">
        <f t="shared" si="11"/>
        <v>1104037</v>
      </c>
      <c r="B221" s="22">
        <v>1104</v>
      </c>
      <c r="C221" s="22" t="s">
        <v>281</v>
      </c>
      <c r="D221" s="22" t="s">
        <v>282</v>
      </c>
      <c r="E221" s="22">
        <f t="shared" si="10"/>
        <v>28</v>
      </c>
      <c r="F221" s="22">
        <v>37</v>
      </c>
      <c r="G221" s="22">
        <v>15</v>
      </c>
      <c r="H221" s="22" t="s">
        <v>241</v>
      </c>
      <c r="I221" s="12">
        <v>25900</v>
      </c>
      <c r="J221" s="12">
        <v>3700</v>
      </c>
      <c r="K221" s="12" t="s">
        <v>154</v>
      </c>
      <c r="L221" s="12"/>
      <c r="O221" s="2" t="s">
        <v>234</v>
      </c>
      <c r="P221" s="24">
        <v>144</v>
      </c>
      <c r="Q221" s="25" t="s">
        <v>173</v>
      </c>
    </row>
    <row r="222" customHeight="1" spans="1:17">
      <c r="A222" s="22">
        <f t="shared" si="11"/>
        <v>1104038</v>
      </c>
      <c r="B222" s="22">
        <v>1104</v>
      </c>
      <c r="C222" s="22" t="s">
        <v>281</v>
      </c>
      <c r="D222" s="22" t="s">
        <v>282</v>
      </c>
      <c r="E222" s="22">
        <f t="shared" si="10"/>
        <v>28</v>
      </c>
      <c r="F222" s="22">
        <v>38</v>
      </c>
      <c r="G222" s="22">
        <v>15</v>
      </c>
      <c r="H222" s="22" t="s">
        <v>242</v>
      </c>
      <c r="I222" s="12">
        <v>26600</v>
      </c>
      <c r="J222" s="12">
        <v>3800</v>
      </c>
      <c r="K222" s="12" t="s">
        <v>157</v>
      </c>
      <c r="L222" s="12"/>
      <c r="O222" s="2" t="s">
        <v>234</v>
      </c>
      <c r="P222" s="24">
        <v>148</v>
      </c>
      <c r="Q222" s="25" t="s">
        <v>176</v>
      </c>
    </row>
    <row r="223" customHeight="1" spans="1:17">
      <c r="A223" s="22">
        <f t="shared" si="11"/>
        <v>1104039</v>
      </c>
      <c r="B223" s="22">
        <v>1104</v>
      </c>
      <c r="C223" s="22" t="s">
        <v>281</v>
      </c>
      <c r="D223" s="22" t="s">
        <v>282</v>
      </c>
      <c r="E223" s="22">
        <f t="shared" si="10"/>
        <v>28</v>
      </c>
      <c r="F223" s="22">
        <v>39</v>
      </c>
      <c r="G223" s="22">
        <v>15</v>
      </c>
      <c r="H223" s="22" t="s">
        <v>243</v>
      </c>
      <c r="I223" s="12">
        <v>27300</v>
      </c>
      <c r="J223" s="12">
        <v>3900</v>
      </c>
      <c r="K223" s="12" t="s">
        <v>160</v>
      </c>
      <c r="L223" s="12"/>
      <c r="O223" s="2" t="s">
        <v>234</v>
      </c>
      <c r="P223" s="24">
        <v>152</v>
      </c>
      <c r="Q223" s="25" t="s">
        <v>179</v>
      </c>
    </row>
    <row r="224" customHeight="1" spans="1:17">
      <c r="A224" s="22">
        <f t="shared" si="11"/>
        <v>1104040</v>
      </c>
      <c r="B224" s="22">
        <v>1104</v>
      </c>
      <c r="C224" s="22" t="s">
        <v>281</v>
      </c>
      <c r="D224" s="22" t="s">
        <v>282</v>
      </c>
      <c r="E224" s="22">
        <f t="shared" si="10"/>
        <v>29</v>
      </c>
      <c r="F224" s="22">
        <v>40</v>
      </c>
      <c r="G224" s="22">
        <v>15</v>
      </c>
      <c r="H224" s="22" t="s">
        <v>244</v>
      </c>
      <c r="I224" s="12">
        <v>28000</v>
      </c>
      <c r="J224" s="12">
        <v>4000</v>
      </c>
      <c r="K224" s="12" t="s">
        <v>163</v>
      </c>
      <c r="L224" s="12"/>
      <c r="O224" s="2" t="s">
        <v>234</v>
      </c>
      <c r="P224" s="24">
        <v>156</v>
      </c>
      <c r="Q224" s="25" t="s">
        <v>182</v>
      </c>
    </row>
    <row r="225" customHeight="1" spans="1:17">
      <c r="A225" s="22">
        <f t="shared" si="11"/>
        <v>1104041</v>
      </c>
      <c r="B225" s="22">
        <v>1104</v>
      </c>
      <c r="C225" s="22" t="s">
        <v>281</v>
      </c>
      <c r="D225" s="22" t="s">
        <v>282</v>
      </c>
      <c r="E225" s="22">
        <f t="shared" si="10"/>
        <v>29</v>
      </c>
      <c r="F225" s="22">
        <v>41</v>
      </c>
      <c r="G225" s="22">
        <v>15</v>
      </c>
      <c r="H225" s="22" t="s">
        <v>245</v>
      </c>
      <c r="I225" s="12">
        <v>28700</v>
      </c>
      <c r="J225" s="12">
        <v>4100</v>
      </c>
      <c r="K225" s="12" t="s">
        <v>166</v>
      </c>
      <c r="L225" s="12"/>
      <c r="O225" s="2" t="s">
        <v>234</v>
      </c>
      <c r="P225" s="24">
        <v>160</v>
      </c>
      <c r="Q225" s="25" t="s">
        <v>185</v>
      </c>
    </row>
    <row r="226" customHeight="1" spans="1:17">
      <c r="A226" s="22">
        <f t="shared" si="11"/>
        <v>1104042</v>
      </c>
      <c r="B226" s="22">
        <v>1104</v>
      </c>
      <c r="C226" s="22" t="s">
        <v>281</v>
      </c>
      <c r="D226" s="22" t="s">
        <v>282</v>
      </c>
      <c r="E226" s="22">
        <f t="shared" si="10"/>
        <v>29</v>
      </c>
      <c r="F226" s="22">
        <v>42</v>
      </c>
      <c r="G226" s="22">
        <v>15</v>
      </c>
      <c r="H226" s="22" t="s">
        <v>246</v>
      </c>
      <c r="I226" s="12">
        <v>29400</v>
      </c>
      <c r="J226" s="12">
        <v>4200</v>
      </c>
      <c r="K226" s="12" t="s">
        <v>169</v>
      </c>
      <c r="L226" s="12"/>
      <c r="O226" s="2" t="s">
        <v>234</v>
      </c>
      <c r="P226" s="24">
        <v>164</v>
      </c>
      <c r="Q226" s="25" t="s">
        <v>188</v>
      </c>
    </row>
    <row r="227" customHeight="1" spans="1:17">
      <c r="A227" s="22">
        <f t="shared" ref="A227:A254" si="12">B227*1000+F227</f>
        <v>1104043</v>
      </c>
      <c r="B227" s="22">
        <v>1104</v>
      </c>
      <c r="C227" s="22" t="s">
        <v>281</v>
      </c>
      <c r="D227" s="22" t="s">
        <v>282</v>
      </c>
      <c r="E227" s="22">
        <f t="shared" si="10"/>
        <v>30</v>
      </c>
      <c r="F227" s="22">
        <v>43</v>
      </c>
      <c r="G227" s="22">
        <v>15</v>
      </c>
      <c r="H227" s="22" t="s">
        <v>247</v>
      </c>
      <c r="I227" s="12">
        <v>30100</v>
      </c>
      <c r="J227" s="12">
        <v>4300</v>
      </c>
      <c r="K227" s="12" t="s">
        <v>172</v>
      </c>
      <c r="L227" s="12"/>
      <c r="O227" s="2" t="s">
        <v>234</v>
      </c>
      <c r="P227" s="24">
        <v>168</v>
      </c>
      <c r="Q227" s="25" t="s">
        <v>191</v>
      </c>
    </row>
    <row r="228" customHeight="1" spans="1:17">
      <c r="A228" s="22">
        <f t="shared" si="12"/>
        <v>1104044</v>
      </c>
      <c r="B228" s="22">
        <v>1104</v>
      </c>
      <c r="C228" s="22" t="s">
        <v>281</v>
      </c>
      <c r="D228" s="22" t="s">
        <v>282</v>
      </c>
      <c r="E228" s="22">
        <f t="shared" si="10"/>
        <v>30</v>
      </c>
      <c r="F228" s="22">
        <v>44</v>
      </c>
      <c r="G228" s="22">
        <v>15</v>
      </c>
      <c r="H228" s="22" t="s">
        <v>248</v>
      </c>
      <c r="I228" s="12">
        <v>30800</v>
      </c>
      <c r="J228" s="12">
        <v>4400</v>
      </c>
      <c r="K228" s="12" t="s">
        <v>175</v>
      </c>
      <c r="L228" s="12"/>
      <c r="O228" s="2" t="s">
        <v>234</v>
      </c>
      <c r="P228" s="24">
        <v>172</v>
      </c>
      <c r="Q228" s="25" t="s">
        <v>194</v>
      </c>
    </row>
    <row r="229" customHeight="1" spans="1:17">
      <c r="A229" s="22">
        <f t="shared" si="12"/>
        <v>1104045</v>
      </c>
      <c r="B229" s="22">
        <v>1104</v>
      </c>
      <c r="C229" s="22" t="s">
        <v>281</v>
      </c>
      <c r="D229" s="22" t="s">
        <v>282</v>
      </c>
      <c r="E229" s="22">
        <f t="shared" si="10"/>
        <v>30</v>
      </c>
      <c r="F229" s="22">
        <v>45</v>
      </c>
      <c r="G229" s="22">
        <v>15</v>
      </c>
      <c r="H229" s="22" t="s">
        <v>249</v>
      </c>
      <c r="I229" s="12">
        <v>31500</v>
      </c>
      <c r="J229" s="12">
        <v>4500</v>
      </c>
      <c r="K229" s="12" t="s">
        <v>178</v>
      </c>
      <c r="L229" s="12"/>
      <c r="O229" s="2" t="s">
        <v>234</v>
      </c>
      <c r="P229" s="24">
        <v>176</v>
      </c>
      <c r="Q229" s="25" t="s">
        <v>197</v>
      </c>
    </row>
    <row r="230" customHeight="1" spans="1:17">
      <c r="A230" s="22">
        <f t="shared" si="12"/>
        <v>1104046</v>
      </c>
      <c r="B230" s="22">
        <v>1104</v>
      </c>
      <c r="C230" s="22" t="s">
        <v>281</v>
      </c>
      <c r="D230" s="22" t="s">
        <v>282</v>
      </c>
      <c r="E230" s="22">
        <f t="shared" si="10"/>
        <v>31</v>
      </c>
      <c r="F230" s="22">
        <v>46</v>
      </c>
      <c r="G230" s="22">
        <v>15</v>
      </c>
      <c r="H230" s="22" t="s">
        <v>250</v>
      </c>
      <c r="I230" s="12">
        <v>32200</v>
      </c>
      <c r="J230" s="12">
        <v>4600</v>
      </c>
      <c r="K230" s="12" t="s">
        <v>181</v>
      </c>
      <c r="L230" s="12"/>
      <c r="O230" s="2" t="s">
        <v>234</v>
      </c>
      <c r="P230" s="24">
        <v>180</v>
      </c>
      <c r="Q230" s="25" t="s">
        <v>200</v>
      </c>
    </row>
    <row r="231" customHeight="1" spans="1:17">
      <c r="A231" s="22">
        <f t="shared" si="12"/>
        <v>1104047</v>
      </c>
      <c r="B231" s="22">
        <v>1104</v>
      </c>
      <c r="C231" s="22" t="s">
        <v>281</v>
      </c>
      <c r="D231" s="22" t="s">
        <v>282</v>
      </c>
      <c r="E231" s="22">
        <f t="shared" si="10"/>
        <v>31</v>
      </c>
      <c r="F231" s="22">
        <v>47</v>
      </c>
      <c r="G231" s="22">
        <v>15</v>
      </c>
      <c r="H231" s="22" t="s">
        <v>251</v>
      </c>
      <c r="I231" s="12">
        <v>32900</v>
      </c>
      <c r="J231" s="12">
        <v>4700</v>
      </c>
      <c r="K231" s="12" t="s">
        <v>184</v>
      </c>
      <c r="L231" s="12"/>
      <c r="O231" s="2" t="s">
        <v>234</v>
      </c>
      <c r="P231" s="24">
        <v>184</v>
      </c>
      <c r="Q231" s="25" t="s">
        <v>203</v>
      </c>
    </row>
    <row r="232" customHeight="1" spans="1:17">
      <c r="A232" s="22">
        <f t="shared" si="12"/>
        <v>1104048</v>
      </c>
      <c r="B232" s="22">
        <v>1104</v>
      </c>
      <c r="C232" s="22" t="s">
        <v>281</v>
      </c>
      <c r="D232" s="22" t="s">
        <v>282</v>
      </c>
      <c r="E232" s="22">
        <f t="shared" si="10"/>
        <v>31</v>
      </c>
      <c r="F232" s="22">
        <v>48</v>
      </c>
      <c r="G232" s="22">
        <v>15</v>
      </c>
      <c r="H232" s="22" t="s">
        <v>252</v>
      </c>
      <c r="I232" s="12">
        <v>33600</v>
      </c>
      <c r="J232" s="12">
        <v>4800</v>
      </c>
      <c r="K232" s="12" t="s">
        <v>187</v>
      </c>
      <c r="L232" s="12"/>
      <c r="O232" s="2" t="s">
        <v>234</v>
      </c>
      <c r="P232" s="24">
        <v>188</v>
      </c>
      <c r="Q232" s="25" t="s">
        <v>206</v>
      </c>
    </row>
    <row r="233" customHeight="1" spans="1:17">
      <c r="A233" s="22">
        <f t="shared" si="12"/>
        <v>1104049</v>
      </c>
      <c r="B233" s="22">
        <v>1104</v>
      </c>
      <c r="C233" s="22" t="s">
        <v>281</v>
      </c>
      <c r="D233" s="22" t="s">
        <v>282</v>
      </c>
      <c r="E233" s="22">
        <f t="shared" si="10"/>
        <v>32</v>
      </c>
      <c r="F233" s="22">
        <v>49</v>
      </c>
      <c r="G233" s="22">
        <v>15</v>
      </c>
      <c r="H233" s="22" t="s">
        <v>253</v>
      </c>
      <c r="I233" s="12">
        <v>34300</v>
      </c>
      <c r="J233" s="12">
        <v>4900</v>
      </c>
      <c r="K233" s="12" t="s">
        <v>190</v>
      </c>
      <c r="L233" s="12"/>
      <c r="O233" s="2" t="s">
        <v>234</v>
      </c>
      <c r="P233" s="24">
        <v>192</v>
      </c>
      <c r="Q233" s="25" t="s">
        <v>209</v>
      </c>
    </row>
    <row r="234" customHeight="1" spans="1:17">
      <c r="A234" s="22">
        <f t="shared" si="12"/>
        <v>1104050</v>
      </c>
      <c r="B234" s="22">
        <v>1104</v>
      </c>
      <c r="C234" s="22" t="s">
        <v>281</v>
      </c>
      <c r="D234" s="22" t="s">
        <v>282</v>
      </c>
      <c r="E234" s="22">
        <f t="shared" si="10"/>
        <v>32</v>
      </c>
      <c r="F234" s="22">
        <v>50</v>
      </c>
      <c r="G234" s="22">
        <v>15</v>
      </c>
      <c r="H234" s="22" t="s">
        <v>254</v>
      </c>
      <c r="I234" s="12">
        <v>35000</v>
      </c>
      <c r="J234" s="12">
        <v>5000</v>
      </c>
      <c r="K234" s="12" t="s">
        <v>193</v>
      </c>
      <c r="L234" s="12"/>
      <c r="O234" s="2" t="s">
        <v>234</v>
      </c>
      <c r="P234" s="24">
        <v>196</v>
      </c>
      <c r="Q234" s="25" t="s">
        <v>212</v>
      </c>
    </row>
    <row r="235" customHeight="1" spans="1:17">
      <c r="A235" s="22">
        <f t="shared" si="12"/>
        <v>1104051</v>
      </c>
      <c r="B235" s="22">
        <v>1104</v>
      </c>
      <c r="C235" s="22" t="s">
        <v>281</v>
      </c>
      <c r="D235" s="22" t="s">
        <v>282</v>
      </c>
      <c r="E235" s="22">
        <f t="shared" si="10"/>
        <v>32</v>
      </c>
      <c r="F235" s="22">
        <v>51</v>
      </c>
      <c r="G235" s="22">
        <v>15</v>
      </c>
      <c r="H235" s="22" t="s">
        <v>255</v>
      </c>
      <c r="I235" s="12">
        <v>35700</v>
      </c>
      <c r="J235" s="12">
        <v>5100</v>
      </c>
      <c r="K235" s="12" t="s">
        <v>196</v>
      </c>
      <c r="L235" s="12"/>
      <c r="O235" s="2" t="s">
        <v>234</v>
      </c>
      <c r="P235" s="24">
        <v>200</v>
      </c>
      <c r="Q235" s="25" t="s">
        <v>215</v>
      </c>
    </row>
    <row r="236" customHeight="1" spans="1:17">
      <c r="A236" s="22">
        <f t="shared" si="12"/>
        <v>1104052</v>
      </c>
      <c r="B236" s="22">
        <v>1104</v>
      </c>
      <c r="C236" s="22" t="s">
        <v>281</v>
      </c>
      <c r="D236" s="22" t="s">
        <v>282</v>
      </c>
      <c r="E236" s="22">
        <f t="shared" si="10"/>
        <v>33</v>
      </c>
      <c r="F236" s="22">
        <v>52</v>
      </c>
      <c r="G236" s="22">
        <v>15</v>
      </c>
      <c r="H236" s="22" t="s">
        <v>256</v>
      </c>
      <c r="I236" s="12">
        <v>36400</v>
      </c>
      <c r="J236" s="12">
        <v>5200</v>
      </c>
      <c r="K236" s="12" t="s">
        <v>199</v>
      </c>
      <c r="L236" s="12"/>
      <c r="O236" s="2" t="s">
        <v>234</v>
      </c>
      <c r="P236" s="24">
        <v>204</v>
      </c>
      <c r="Q236" s="25" t="s">
        <v>218</v>
      </c>
    </row>
    <row r="237" customHeight="1" spans="1:17">
      <c r="A237" s="22">
        <f t="shared" si="12"/>
        <v>1104053</v>
      </c>
      <c r="B237" s="22">
        <v>1104</v>
      </c>
      <c r="C237" s="22" t="s">
        <v>281</v>
      </c>
      <c r="D237" s="22" t="s">
        <v>282</v>
      </c>
      <c r="E237" s="22">
        <f t="shared" si="10"/>
        <v>33</v>
      </c>
      <c r="F237" s="22">
        <v>53</v>
      </c>
      <c r="G237" s="22">
        <v>15</v>
      </c>
      <c r="H237" s="22" t="s">
        <v>257</v>
      </c>
      <c r="I237" s="12">
        <v>37100</v>
      </c>
      <c r="J237" s="12">
        <v>5300</v>
      </c>
      <c r="K237" s="12" t="s">
        <v>202</v>
      </c>
      <c r="L237" s="12"/>
      <c r="O237" s="2" t="s">
        <v>234</v>
      </c>
      <c r="P237" s="24">
        <v>208</v>
      </c>
      <c r="Q237" s="25" t="s">
        <v>221</v>
      </c>
    </row>
    <row r="238" customHeight="1" spans="1:17">
      <c r="A238" s="22">
        <f t="shared" si="12"/>
        <v>1104054</v>
      </c>
      <c r="B238" s="22">
        <v>1104</v>
      </c>
      <c r="C238" s="22" t="s">
        <v>281</v>
      </c>
      <c r="D238" s="22" t="s">
        <v>282</v>
      </c>
      <c r="E238" s="22">
        <f t="shared" si="10"/>
        <v>33</v>
      </c>
      <c r="F238" s="22">
        <v>54</v>
      </c>
      <c r="G238" s="22">
        <v>15</v>
      </c>
      <c r="H238" s="22" t="s">
        <v>258</v>
      </c>
      <c r="I238" s="12">
        <v>37800</v>
      </c>
      <c r="J238" s="12">
        <v>5400</v>
      </c>
      <c r="K238" s="12" t="s">
        <v>205</v>
      </c>
      <c r="L238" s="12"/>
      <c r="O238" s="2" t="s">
        <v>234</v>
      </c>
      <c r="P238" s="24">
        <v>212</v>
      </c>
      <c r="Q238" s="25" t="s">
        <v>224</v>
      </c>
    </row>
    <row r="239" customHeight="1" spans="1:17">
      <c r="A239" s="22">
        <f t="shared" si="12"/>
        <v>1104055</v>
      </c>
      <c r="B239" s="22">
        <v>1104</v>
      </c>
      <c r="C239" s="22" t="s">
        <v>281</v>
      </c>
      <c r="D239" s="22" t="s">
        <v>282</v>
      </c>
      <c r="E239" s="22">
        <f t="shared" si="10"/>
        <v>34</v>
      </c>
      <c r="F239" s="22">
        <v>55</v>
      </c>
      <c r="G239" s="22">
        <v>15</v>
      </c>
      <c r="H239" s="22" t="s">
        <v>259</v>
      </c>
      <c r="I239" s="12">
        <v>38500</v>
      </c>
      <c r="J239" s="12">
        <v>5500</v>
      </c>
      <c r="K239" s="12" t="s">
        <v>208</v>
      </c>
      <c r="L239" s="12"/>
      <c r="O239" s="2" t="s">
        <v>234</v>
      </c>
      <c r="P239" s="24">
        <v>216</v>
      </c>
      <c r="Q239" s="25" t="s">
        <v>265</v>
      </c>
    </row>
    <row r="240" customHeight="1" spans="1:17">
      <c r="A240" s="22">
        <f t="shared" si="12"/>
        <v>1104056</v>
      </c>
      <c r="B240" s="22">
        <v>1104</v>
      </c>
      <c r="C240" s="22" t="s">
        <v>281</v>
      </c>
      <c r="D240" s="22" t="s">
        <v>282</v>
      </c>
      <c r="E240" s="22">
        <f t="shared" si="10"/>
        <v>34</v>
      </c>
      <c r="F240" s="22">
        <v>56</v>
      </c>
      <c r="G240" s="22">
        <v>15</v>
      </c>
      <c r="H240" s="22" t="s">
        <v>260</v>
      </c>
      <c r="I240" s="12">
        <v>39200</v>
      </c>
      <c r="J240" s="12">
        <v>5600</v>
      </c>
      <c r="K240" s="12" t="s">
        <v>211</v>
      </c>
      <c r="L240" s="12"/>
      <c r="O240" s="2" t="s">
        <v>234</v>
      </c>
      <c r="P240" s="24">
        <v>220</v>
      </c>
      <c r="Q240" s="25" t="s">
        <v>275</v>
      </c>
    </row>
    <row r="241" customHeight="1" spans="1:17">
      <c r="A241" s="22">
        <f t="shared" si="12"/>
        <v>1104057</v>
      </c>
      <c r="B241" s="22">
        <v>1104</v>
      </c>
      <c r="C241" s="22" t="s">
        <v>281</v>
      </c>
      <c r="D241" s="22" t="s">
        <v>282</v>
      </c>
      <c r="E241" s="22">
        <f t="shared" si="10"/>
        <v>34</v>
      </c>
      <c r="F241" s="22">
        <v>57</v>
      </c>
      <c r="G241" s="22">
        <v>15</v>
      </c>
      <c r="H241" s="22" t="s">
        <v>261</v>
      </c>
      <c r="I241" s="12">
        <v>39900</v>
      </c>
      <c r="J241" s="12">
        <v>5700</v>
      </c>
      <c r="K241" s="12" t="s">
        <v>214</v>
      </c>
      <c r="L241" s="12"/>
      <c r="O241" s="2" t="s">
        <v>234</v>
      </c>
      <c r="P241" s="24">
        <v>224</v>
      </c>
      <c r="Q241" s="25" t="s">
        <v>276</v>
      </c>
    </row>
    <row r="242" customHeight="1" spans="1:17">
      <c r="A242" s="22">
        <f t="shared" si="12"/>
        <v>1104058</v>
      </c>
      <c r="B242" s="22">
        <v>1104</v>
      </c>
      <c r="C242" s="22" t="s">
        <v>281</v>
      </c>
      <c r="D242" s="22" t="s">
        <v>282</v>
      </c>
      <c r="E242" s="22">
        <f t="shared" si="10"/>
        <v>35</v>
      </c>
      <c r="F242" s="22">
        <v>58</v>
      </c>
      <c r="G242" s="22">
        <v>15</v>
      </c>
      <c r="H242" s="22" t="s">
        <v>262</v>
      </c>
      <c r="I242" s="12">
        <v>40600</v>
      </c>
      <c r="J242" s="12">
        <v>5800</v>
      </c>
      <c r="K242" s="12" t="s">
        <v>217</v>
      </c>
      <c r="L242" s="12"/>
      <c r="O242" s="2" t="s">
        <v>234</v>
      </c>
      <c r="P242" s="24">
        <v>228</v>
      </c>
      <c r="Q242" s="25" t="s">
        <v>277</v>
      </c>
    </row>
    <row r="243" customHeight="1" spans="1:17">
      <c r="A243" s="22">
        <f t="shared" si="12"/>
        <v>1104059</v>
      </c>
      <c r="B243" s="22">
        <v>1104</v>
      </c>
      <c r="C243" s="22" t="s">
        <v>281</v>
      </c>
      <c r="D243" s="22" t="s">
        <v>282</v>
      </c>
      <c r="E243" s="22">
        <f t="shared" si="10"/>
        <v>35</v>
      </c>
      <c r="F243" s="22">
        <v>59</v>
      </c>
      <c r="G243" s="22">
        <v>15</v>
      </c>
      <c r="H243" s="22" t="s">
        <v>263</v>
      </c>
      <c r="I243" s="12">
        <v>41300</v>
      </c>
      <c r="J243" s="12">
        <v>5900</v>
      </c>
      <c r="K243" s="12" t="s">
        <v>220</v>
      </c>
      <c r="L243" s="12"/>
      <c r="O243" s="2" t="s">
        <v>234</v>
      </c>
      <c r="P243" s="24">
        <v>232</v>
      </c>
      <c r="Q243" s="25" t="s">
        <v>278</v>
      </c>
    </row>
    <row r="244" customHeight="1" spans="1:17">
      <c r="A244" s="22">
        <f t="shared" si="12"/>
        <v>1104060</v>
      </c>
      <c r="B244" s="22">
        <v>1104</v>
      </c>
      <c r="C244" s="22" t="s">
        <v>281</v>
      </c>
      <c r="D244" s="22" t="s">
        <v>282</v>
      </c>
      <c r="E244" s="22">
        <v>9999</v>
      </c>
      <c r="F244" s="22">
        <v>60</v>
      </c>
      <c r="G244" s="22">
        <v>15</v>
      </c>
      <c r="H244" s="22" t="s">
        <v>264</v>
      </c>
      <c r="I244" s="12">
        <v>42000</v>
      </c>
      <c r="J244" s="12">
        <v>6000</v>
      </c>
      <c r="K244" s="12" t="s">
        <v>223</v>
      </c>
      <c r="L244" s="12"/>
      <c r="O244" s="2" t="s">
        <v>234</v>
      </c>
      <c r="P244" s="24"/>
      <c r="Q244" s="25" t="s">
        <v>279</v>
      </c>
    </row>
    <row r="245" s="9" customFormat="1" customHeight="1" spans="1:17">
      <c r="A245" s="26">
        <f t="shared" si="12"/>
        <v>1105001</v>
      </c>
      <c r="B245" s="26">
        <v>1105</v>
      </c>
      <c r="C245" s="26" t="s">
        <v>290</v>
      </c>
      <c r="D245" s="26" t="s">
        <v>291</v>
      </c>
      <c r="E245" s="22">
        <v>14</v>
      </c>
      <c r="F245" s="26">
        <v>1</v>
      </c>
      <c r="G245" s="26">
        <v>11</v>
      </c>
      <c r="H245" s="26" t="s">
        <v>38</v>
      </c>
      <c r="I245" s="27">
        <v>600</v>
      </c>
      <c r="J245" s="12">
        <v>100</v>
      </c>
      <c r="K245" s="12" t="s">
        <v>39</v>
      </c>
      <c r="L245" s="27"/>
      <c r="M245" s="28" t="s">
        <v>292</v>
      </c>
      <c r="N245" s="31" t="s">
        <v>293</v>
      </c>
      <c r="O245" s="3" t="s">
        <v>294</v>
      </c>
      <c r="P245" s="29">
        <v>2</v>
      </c>
      <c r="Q245" s="25" t="s">
        <v>62</v>
      </c>
    </row>
    <row r="246" s="9" customFormat="1" customHeight="1" spans="1:17">
      <c r="A246" s="26">
        <f t="shared" si="12"/>
        <v>1105002</v>
      </c>
      <c r="B246" s="26">
        <v>1105</v>
      </c>
      <c r="C246" s="26" t="s">
        <v>290</v>
      </c>
      <c r="D246" s="26" t="s">
        <v>291</v>
      </c>
      <c r="E246" s="22">
        <v>14</v>
      </c>
      <c r="F246" s="26">
        <v>2</v>
      </c>
      <c r="G246" s="26">
        <v>13</v>
      </c>
      <c r="H246" s="26" t="s">
        <v>49</v>
      </c>
      <c r="I246" s="27">
        <v>1200</v>
      </c>
      <c r="J246" s="12">
        <v>200</v>
      </c>
      <c r="K246" s="12" t="s">
        <v>45</v>
      </c>
      <c r="L246" s="27"/>
      <c r="M246" s="28" t="s">
        <v>295</v>
      </c>
      <c r="N246" s="31" t="s">
        <v>296</v>
      </c>
      <c r="O246" s="3">
        <v>1105263</v>
      </c>
      <c r="P246" s="29">
        <v>4</v>
      </c>
      <c r="Q246" s="25" t="s">
        <v>65</v>
      </c>
    </row>
    <row r="247" s="9" customFormat="1" customHeight="1" spans="1:17">
      <c r="A247" s="26">
        <f t="shared" si="12"/>
        <v>1105003</v>
      </c>
      <c r="B247" s="26">
        <v>1105</v>
      </c>
      <c r="C247" s="26" t="s">
        <v>290</v>
      </c>
      <c r="D247" s="26" t="s">
        <v>291</v>
      </c>
      <c r="E247" s="22">
        <v>14</v>
      </c>
      <c r="F247" s="26">
        <v>3</v>
      </c>
      <c r="G247" s="26">
        <v>15</v>
      </c>
      <c r="H247" s="26" t="s">
        <v>57</v>
      </c>
      <c r="I247" s="27">
        <v>1800</v>
      </c>
      <c r="J247" s="12">
        <v>300</v>
      </c>
      <c r="K247" s="12" t="s">
        <v>50</v>
      </c>
      <c r="L247" s="27"/>
      <c r="M247" s="28" t="s">
        <v>297</v>
      </c>
      <c r="N247" s="31" t="s">
        <v>298</v>
      </c>
      <c r="O247" s="3">
        <v>1105256</v>
      </c>
      <c r="P247" s="29">
        <v>8</v>
      </c>
      <c r="Q247" s="25" t="s">
        <v>68</v>
      </c>
    </row>
    <row r="248" s="9" customFormat="1" customHeight="1" spans="1:17">
      <c r="A248" s="26">
        <f t="shared" si="12"/>
        <v>1105004</v>
      </c>
      <c r="B248" s="26">
        <v>1105</v>
      </c>
      <c r="C248" s="26" t="s">
        <v>290</v>
      </c>
      <c r="D248" s="26" t="s">
        <v>291</v>
      </c>
      <c r="E248" s="22">
        <f t="shared" ref="E248:E304" si="13">E245+1</f>
        <v>15</v>
      </c>
      <c r="F248" s="26">
        <v>4</v>
      </c>
      <c r="G248" s="26">
        <v>15</v>
      </c>
      <c r="H248" s="26" t="s">
        <v>63</v>
      </c>
      <c r="I248" s="27">
        <v>2400</v>
      </c>
      <c r="J248" s="12">
        <v>400</v>
      </c>
      <c r="K248" s="12" t="s">
        <v>55</v>
      </c>
      <c r="L248" s="27"/>
      <c r="M248" s="28"/>
      <c r="N248" s="31"/>
      <c r="O248" s="3">
        <v>1105257</v>
      </c>
      <c r="P248" s="29">
        <v>12</v>
      </c>
      <c r="Q248" s="25" t="s">
        <v>71</v>
      </c>
    </row>
    <row r="249" s="9" customFormat="1" customHeight="1" spans="1:17">
      <c r="A249" s="26">
        <f t="shared" si="12"/>
        <v>1105005</v>
      </c>
      <c r="B249" s="26">
        <v>1105</v>
      </c>
      <c r="C249" s="26" t="s">
        <v>290</v>
      </c>
      <c r="D249" s="26" t="s">
        <v>291</v>
      </c>
      <c r="E249" s="22">
        <f t="shared" si="13"/>
        <v>15</v>
      </c>
      <c r="F249" s="26">
        <v>5</v>
      </c>
      <c r="G249" s="26">
        <v>15</v>
      </c>
      <c r="H249" s="26" t="s">
        <v>69</v>
      </c>
      <c r="I249" s="27">
        <v>3000</v>
      </c>
      <c r="J249" s="12">
        <v>500</v>
      </c>
      <c r="K249" s="12" t="s">
        <v>58</v>
      </c>
      <c r="L249" s="27"/>
      <c r="M249" s="28"/>
      <c r="N249" s="31"/>
      <c r="O249" s="3">
        <v>1105262</v>
      </c>
      <c r="P249" s="29">
        <v>16</v>
      </c>
      <c r="Q249" s="25" t="s">
        <v>74</v>
      </c>
    </row>
    <row r="250" s="9" customFormat="1" customHeight="1" spans="1:17">
      <c r="A250" s="26">
        <f t="shared" si="12"/>
        <v>1105006</v>
      </c>
      <c r="B250" s="26">
        <v>1105</v>
      </c>
      <c r="C250" s="26" t="s">
        <v>290</v>
      </c>
      <c r="D250" s="26" t="s">
        <v>291</v>
      </c>
      <c r="E250" s="22">
        <f t="shared" si="13"/>
        <v>15</v>
      </c>
      <c r="F250" s="26">
        <v>6</v>
      </c>
      <c r="G250" s="26">
        <v>15</v>
      </c>
      <c r="H250" s="26" t="s">
        <v>75</v>
      </c>
      <c r="I250" s="27">
        <v>3600</v>
      </c>
      <c r="J250" s="12">
        <v>600</v>
      </c>
      <c r="K250" s="12" t="s">
        <v>61</v>
      </c>
      <c r="L250" s="27"/>
      <c r="M250" s="28"/>
      <c r="N250" s="31"/>
      <c r="O250" s="3">
        <v>1105251</v>
      </c>
      <c r="P250" s="29">
        <v>20</v>
      </c>
      <c r="Q250" s="25" t="s">
        <v>77</v>
      </c>
    </row>
    <row r="251" s="9" customFormat="1" customHeight="1" spans="1:17">
      <c r="A251" s="26">
        <f t="shared" si="12"/>
        <v>1105007</v>
      </c>
      <c r="B251" s="26">
        <v>1105</v>
      </c>
      <c r="C251" s="26" t="s">
        <v>290</v>
      </c>
      <c r="D251" s="26" t="s">
        <v>291</v>
      </c>
      <c r="E251" s="22">
        <f t="shared" si="13"/>
        <v>16</v>
      </c>
      <c r="F251" s="26">
        <v>7</v>
      </c>
      <c r="G251" s="26">
        <v>15</v>
      </c>
      <c r="H251" s="26" t="s">
        <v>81</v>
      </c>
      <c r="I251" s="27">
        <v>4200</v>
      </c>
      <c r="J251" s="12">
        <v>700</v>
      </c>
      <c r="K251" s="12" t="s">
        <v>64</v>
      </c>
      <c r="L251" s="27"/>
      <c r="M251" s="28"/>
      <c r="N251" s="31"/>
      <c r="O251" s="3">
        <v>1105252</v>
      </c>
      <c r="P251" s="29">
        <v>24</v>
      </c>
      <c r="Q251" s="25" t="s">
        <v>80</v>
      </c>
    </row>
    <row r="252" s="9" customFormat="1" customHeight="1" spans="1:17">
      <c r="A252" s="26">
        <f t="shared" si="12"/>
        <v>1105008</v>
      </c>
      <c r="B252" s="26">
        <v>1105</v>
      </c>
      <c r="C252" s="26" t="s">
        <v>290</v>
      </c>
      <c r="D252" s="26" t="s">
        <v>291</v>
      </c>
      <c r="E252" s="22">
        <f t="shared" si="13"/>
        <v>16</v>
      </c>
      <c r="F252" s="26">
        <v>8</v>
      </c>
      <c r="G252" s="26">
        <v>15</v>
      </c>
      <c r="H252" s="26" t="s">
        <v>87</v>
      </c>
      <c r="I252" s="27">
        <v>4800</v>
      </c>
      <c r="J252" s="12">
        <v>800</v>
      </c>
      <c r="K252" s="12" t="s">
        <v>67</v>
      </c>
      <c r="L252" s="27"/>
      <c r="M252" s="28"/>
      <c r="N252" s="31"/>
      <c r="O252" s="3">
        <v>1105253</v>
      </c>
      <c r="P252" s="29">
        <v>28</v>
      </c>
      <c r="Q252" s="25" t="s">
        <v>83</v>
      </c>
    </row>
    <row r="253" s="9" customFormat="1" customHeight="1" spans="1:17">
      <c r="A253" s="26">
        <f t="shared" si="12"/>
        <v>1105009</v>
      </c>
      <c r="B253" s="26">
        <v>1105</v>
      </c>
      <c r="C253" s="26" t="s">
        <v>290</v>
      </c>
      <c r="D253" s="26" t="s">
        <v>291</v>
      </c>
      <c r="E253" s="22">
        <f t="shared" si="13"/>
        <v>16</v>
      </c>
      <c r="F253" s="26">
        <v>9</v>
      </c>
      <c r="G253" s="26">
        <v>15</v>
      </c>
      <c r="H253" s="26" t="s">
        <v>93</v>
      </c>
      <c r="I253" s="27">
        <v>5400</v>
      </c>
      <c r="J253" s="12">
        <v>900</v>
      </c>
      <c r="K253" s="12" t="s">
        <v>70</v>
      </c>
      <c r="L253" s="27"/>
      <c r="M253" s="28"/>
      <c r="N253" s="31"/>
      <c r="O253" s="3">
        <v>1105272</v>
      </c>
      <c r="P253" s="29">
        <v>32</v>
      </c>
      <c r="Q253" s="25" t="s">
        <v>86</v>
      </c>
    </row>
    <row r="254" s="9" customFormat="1" customHeight="1" spans="1:17">
      <c r="A254" s="26">
        <f t="shared" si="12"/>
        <v>1105010</v>
      </c>
      <c r="B254" s="26">
        <v>1105</v>
      </c>
      <c r="C254" s="26" t="s">
        <v>290</v>
      </c>
      <c r="D254" s="26" t="s">
        <v>291</v>
      </c>
      <c r="E254" s="22">
        <f t="shared" si="13"/>
        <v>17</v>
      </c>
      <c r="F254" s="26">
        <v>10</v>
      </c>
      <c r="G254" s="26">
        <v>15</v>
      </c>
      <c r="H254" s="26" t="s">
        <v>99</v>
      </c>
      <c r="I254" s="27">
        <v>6000</v>
      </c>
      <c r="J254" s="12">
        <v>1000</v>
      </c>
      <c r="K254" s="12" t="s">
        <v>73</v>
      </c>
      <c r="L254" s="27"/>
      <c r="M254" s="28"/>
      <c r="N254" s="31"/>
      <c r="O254" s="3">
        <v>1105273</v>
      </c>
      <c r="P254" s="29">
        <v>36</v>
      </c>
      <c r="Q254" s="25" t="s">
        <v>89</v>
      </c>
    </row>
    <row r="255" s="10" customFormat="1" customHeight="1" spans="1:17">
      <c r="A255" s="26">
        <f t="shared" ref="A255:A286" si="14">B255*1000+F255</f>
        <v>1105011</v>
      </c>
      <c r="B255" s="26">
        <v>1105</v>
      </c>
      <c r="C255" s="26" t="s">
        <v>290</v>
      </c>
      <c r="D255" s="26" t="s">
        <v>291</v>
      </c>
      <c r="E255" s="22">
        <f t="shared" si="13"/>
        <v>17</v>
      </c>
      <c r="F255" s="26">
        <v>11</v>
      </c>
      <c r="G255" s="26">
        <v>15</v>
      </c>
      <c r="H255" s="26" t="s">
        <v>105</v>
      </c>
      <c r="I255" s="27">
        <v>6600</v>
      </c>
      <c r="J255" s="12">
        <v>1100</v>
      </c>
      <c r="K255" s="12" t="s">
        <v>76</v>
      </c>
      <c r="L255" s="27"/>
      <c r="M255" s="28"/>
      <c r="N255" s="31"/>
      <c r="O255" s="3">
        <v>1105274</v>
      </c>
      <c r="P255" s="29">
        <v>40</v>
      </c>
      <c r="Q255" s="25" t="s">
        <v>92</v>
      </c>
    </row>
    <row r="256" s="10" customFormat="1" customHeight="1" spans="1:17">
      <c r="A256" s="26">
        <f t="shared" si="14"/>
        <v>1105012</v>
      </c>
      <c r="B256" s="26">
        <v>1105</v>
      </c>
      <c r="C256" s="26" t="s">
        <v>290</v>
      </c>
      <c r="D256" s="26" t="s">
        <v>291</v>
      </c>
      <c r="E256" s="22">
        <f t="shared" si="13"/>
        <v>17</v>
      </c>
      <c r="F256" s="26">
        <v>12</v>
      </c>
      <c r="G256" s="26">
        <v>15</v>
      </c>
      <c r="H256" s="26" t="s">
        <v>111</v>
      </c>
      <c r="I256" s="27">
        <v>7200</v>
      </c>
      <c r="J256" s="12">
        <v>1200</v>
      </c>
      <c r="K256" s="12" t="s">
        <v>79</v>
      </c>
      <c r="L256" s="27"/>
      <c r="M256" s="28"/>
      <c r="N256" s="31"/>
      <c r="O256" s="3">
        <v>1105267</v>
      </c>
      <c r="P256" s="29">
        <v>44</v>
      </c>
      <c r="Q256" s="25" t="s">
        <v>95</v>
      </c>
    </row>
    <row r="257" s="10" customFormat="1" customHeight="1" spans="1:17">
      <c r="A257" s="26">
        <f t="shared" si="14"/>
        <v>1105013</v>
      </c>
      <c r="B257" s="26">
        <v>1105</v>
      </c>
      <c r="C257" s="26" t="s">
        <v>290</v>
      </c>
      <c r="D257" s="26" t="s">
        <v>291</v>
      </c>
      <c r="E257" s="22">
        <f t="shared" si="13"/>
        <v>18</v>
      </c>
      <c r="F257" s="26">
        <v>13</v>
      </c>
      <c r="G257" s="26">
        <v>15</v>
      </c>
      <c r="H257" s="26" t="s">
        <v>117</v>
      </c>
      <c r="I257" s="27">
        <v>7800</v>
      </c>
      <c r="J257" s="12">
        <v>1300</v>
      </c>
      <c r="K257" s="12" t="s">
        <v>82</v>
      </c>
      <c r="L257" s="27"/>
      <c r="M257" s="28"/>
      <c r="N257" s="31"/>
      <c r="O257" s="3">
        <v>1105269</v>
      </c>
      <c r="P257" s="29">
        <v>48</v>
      </c>
      <c r="Q257" s="25" t="s">
        <v>98</v>
      </c>
    </row>
    <row r="258" s="10" customFormat="1" customHeight="1" spans="1:17">
      <c r="A258" s="26">
        <f t="shared" si="14"/>
        <v>1105014</v>
      </c>
      <c r="B258" s="26">
        <v>1105</v>
      </c>
      <c r="C258" s="26" t="s">
        <v>290</v>
      </c>
      <c r="D258" s="26" t="s">
        <v>291</v>
      </c>
      <c r="E258" s="22">
        <f t="shared" si="13"/>
        <v>18</v>
      </c>
      <c r="F258" s="26">
        <v>14</v>
      </c>
      <c r="G258" s="26">
        <v>15</v>
      </c>
      <c r="H258" s="26" t="s">
        <v>123</v>
      </c>
      <c r="I258" s="27">
        <v>8400</v>
      </c>
      <c r="J258" s="12">
        <v>1400</v>
      </c>
      <c r="K258" s="12" t="s">
        <v>85</v>
      </c>
      <c r="L258" s="27"/>
      <c r="M258" s="28"/>
      <c r="N258" s="31"/>
      <c r="O258" s="3">
        <v>1105264</v>
      </c>
      <c r="P258" s="29">
        <v>52</v>
      </c>
      <c r="Q258" s="25" t="s">
        <v>101</v>
      </c>
    </row>
    <row r="259" s="10" customFormat="1" customHeight="1" spans="1:17">
      <c r="A259" s="26">
        <f t="shared" si="14"/>
        <v>1105015</v>
      </c>
      <c r="B259" s="26">
        <v>1105</v>
      </c>
      <c r="C259" s="26" t="s">
        <v>290</v>
      </c>
      <c r="D259" s="26" t="s">
        <v>291</v>
      </c>
      <c r="E259" s="22">
        <f t="shared" si="13"/>
        <v>18</v>
      </c>
      <c r="F259" s="26">
        <v>15</v>
      </c>
      <c r="G259" s="26">
        <v>15</v>
      </c>
      <c r="H259" s="26" t="s">
        <v>129</v>
      </c>
      <c r="I259" s="27">
        <v>9000</v>
      </c>
      <c r="J259" s="12">
        <v>1500</v>
      </c>
      <c r="K259" s="12" t="s">
        <v>88</v>
      </c>
      <c r="L259" s="27"/>
      <c r="M259" s="28"/>
      <c r="N259" s="31"/>
      <c r="O259" s="3">
        <v>1105265</v>
      </c>
      <c r="P259" s="29">
        <v>56</v>
      </c>
      <c r="Q259" s="25" t="s">
        <v>104</v>
      </c>
    </row>
    <row r="260" s="10" customFormat="1" customHeight="1" spans="1:17">
      <c r="A260" s="26">
        <f t="shared" si="14"/>
        <v>1105016</v>
      </c>
      <c r="B260" s="26">
        <v>1105</v>
      </c>
      <c r="C260" s="26" t="s">
        <v>290</v>
      </c>
      <c r="D260" s="26" t="s">
        <v>291</v>
      </c>
      <c r="E260" s="22">
        <f t="shared" si="13"/>
        <v>19</v>
      </c>
      <c r="F260" s="26">
        <v>16</v>
      </c>
      <c r="G260" s="26">
        <v>15</v>
      </c>
      <c r="H260" s="26" t="s">
        <v>135</v>
      </c>
      <c r="I260" s="27">
        <v>9600</v>
      </c>
      <c r="J260" s="12">
        <v>1600</v>
      </c>
      <c r="K260" s="12" t="s">
        <v>91</v>
      </c>
      <c r="L260" s="27"/>
      <c r="M260" s="28"/>
      <c r="N260" s="31"/>
      <c r="O260" s="3">
        <v>1105266</v>
      </c>
      <c r="P260" s="29">
        <v>60</v>
      </c>
      <c r="Q260" s="25" t="s">
        <v>107</v>
      </c>
    </row>
    <row r="261" s="10" customFormat="1" customHeight="1" spans="1:17">
      <c r="A261" s="26">
        <f t="shared" si="14"/>
        <v>1105017</v>
      </c>
      <c r="B261" s="26">
        <v>1105</v>
      </c>
      <c r="C261" s="26" t="s">
        <v>290</v>
      </c>
      <c r="D261" s="26" t="s">
        <v>291</v>
      </c>
      <c r="E261" s="22">
        <f t="shared" si="13"/>
        <v>19</v>
      </c>
      <c r="F261" s="26">
        <v>17</v>
      </c>
      <c r="G261" s="26">
        <v>15</v>
      </c>
      <c r="H261" s="26" t="s">
        <v>141</v>
      </c>
      <c r="I261" s="27">
        <v>10200</v>
      </c>
      <c r="J261" s="12">
        <v>1700</v>
      </c>
      <c r="K261" s="12" t="s">
        <v>94</v>
      </c>
      <c r="L261" s="27"/>
      <c r="M261" s="28"/>
      <c r="N261" s="28"/>
      <c r="O261" s="3">
        <v>1105270</v>
      </c>
      <c r="P261" s="29">
        <v>64</v>
      </c>
      <c r="Q261" s="25" t="s">
        <v>110</v>
      </c>
    </row>
    <row r="262" s="10" customFormat="1" customHeight="1" spans="1:17">
      <c r="A262" s="26">
        <f t="shared" si="14"/>
        <v>1105018</v>
      </c>
      <c r="B262" s="26">
        <v>1105</v>
      </c>
      <c r="C262" s="26" t="s">
        <v>290</v>
      </c>
      <c r="D262" s="26" t="s">
        <v>291</v>
      </c>
      <c r="E262" s="22">
        <f t="shared" si="13"/>
        <v>19</v>
      </c>
      <c r="F262" s="26">
        <v>18</v>
      </c>
      <c r="G262" s="26">
        <v>15</v>
      </c>
      <c r="H262" s="26" t="s">
        <v>147</v>
      </c>
      <c r="I262" s="27">
        <v>10800</v>
      </c>
      <c r="J262" s="12">
        <v>1800</v>
      </c>
      <c r="K262" s="12" t="s">
        <v>97</v>
      </c>
      <c r="L262" s="27"/>
      <c r="M262" s="28"/>
      <c r="N262" s="28"/>
      <c r="P262" s="29">
        <v>68</v>
      </c>
      <c r="Q262" s="25" t="s">
        <v>113</v>
      </c>
    </row>
    <row r="263" s="10" customFormat="1" customHeight="1" spans="1:17">
      <c r="A263" s="26">
        <f t="shared" si="14"/>
        <v>1105019</v>
      </c>
      <c r="B263" s="26">
        <v>1105</v>
      </c>
      <c r="C263" s="26" t="s">
        <v>290</v>
      </c>
      <c r="D263" s="26" t="s">
        <v>291</v>
      </c>
      <c r="E263" s="22">
        <f t="shared" si="13"/>
        <v>20</v>
      </c>
      <c r="F263" s="26">
        <v>19</v>
      </c>
      <c r="G263" s="26">
        <v>15</v>
      </c>
      <c r="H263" s="26" t="s">
        <v>153</v>
      </c>
      <c r="I263" s="27">
        <v>11400</v>
      </c>
      <c r="J263" s="12">
        <v>1900</v>
      </c>
      <c r="K263" s="12" t="s">
        <v>100</v>
      </c>
      <c r="L263" s="27"/>
      <c r="M263" s="28"/>
      <c r="N263" s="28"/>
      <c r="P263" s="29">
        <v>72</v>
      </c>
      <c r="Q263" s="25" t="s">
        <v>116</v>
      </c>
    </row>
    <row r="264" s="10" customFormat="1" customHeight="1" spans="1:17">
      <c r="A264" s="26">
        <f t="shared" si="14"/>
        <v>1105020</v>
      </c>
      <c r="B264" s="26">
        <v>1105</v>
      </c>
      <c r="C264" s="26" t="s">
        <v>290</v>
      </c>
      <c r="D264" s="26" t="s">
        <v>291</v>
      </c>
      <c r="E264" s="22">
        <f t="shared" si="13"/>
        <v>20</v>
      </c>
      <c r="F264" s="26">
        <v>20</v>
      </c>
      <c r="G264" s="26">
        <v>15</v>
      </c>
      <c r="H264" s="26" t="s">
        <v>159</v>
      </c>
      <c r="I264" s="27">
        <v>12000</v>
      </c>
      <c r="J264" s="12">
        <v>2000</v>
      </c>
      <c r="K264" s="12" t="s">
        <v>103</v>
      </c>
      <c r="L264" s="27"/>
      <c r="M264" s="28"/>
      <c r="N264" s="28"/>
      <c r="P264" s="29">
        <v>76</v>
      </c>
      <c r="Q264" s="25" t="s">
        <v>119</v>
      </c>
    </row>
    <row r="265" s="10" customFormat="1" customHeight="1" spans="1:17">
      <c r="A265" s="26">
        <f t="shared" si="14"/>
        <v>1105021</v>
      </c>
      <c r="B265" s="26">
        <v>1105</v>
      </c>
      <c r="C265" s="26" t="s">
        <v>290</v>
      </c>
      <c r="D265" s="26" t="s">
        <v>291</v>
      </c>
      <c r="E265" s="22">
        <f t="shared" si="13"/>
        <v>20</v>
      </c>
      <c r="F265" s="26">
        <v>21</v>
      </c>
      <c r="G265" s="26">
        <v>15</v>
      </c>
      <c r="H265" s="26" t="s">
        <v>165</v>
      </c>
      <c r="I265" s="27">
        <v>12600</v>
      </c>
      <c r="J265" s="12">
        <v>2100</v>
      </c>
      <c r="K265" s="12" t="s">
        <v>106</v>
      </c>
      <c r="L265" s="27"/>
      <c r="M265" s="28"/>
      <c r="N265" s="28"/>
      <c r="P265" s="29">
        <v>80</v>
      </c>
      <c r="Q265" s="25" t="s">
        <v>122</v>
      </c>
    </row>
    <row r="266" s="10" customFormat="1" customHeight="1" spans="1:17">
      <c r="A266" s="26">
        <f t="shared" si="14"/>
        <v>1105022</v>
      </c>
      <c r="B266" s="26">
        <v>1105</v>
      </c>
      <c r="C266" s="26" t="s">
        <v>290</v>
      </c>
      <c r="D266" s="26" t="s">
        <v>291</v>
      </c>
      <c r="E266" s="22">
        <f t="shared" si="13"/>
        <v>21</v>
      </c>
      <c r="F266" s="26">
        <v>22</v>
      </c>
      <c r="G266" s="26">
        <v>15</v>
      </c>
      <c r="H266" s="26" t="s">
        <v>171</v>
      </c>
      <c r="I266" s="27">
        <v>13200</v>
      </c>
      <c r="J266" s="12">
        <v>2200</v>
      </c>
      <c r="K266" s="12" t="s">
        <v>109</v>
      </c>
      <c r="L266" s="27"/>
      <c r="M266" s="28"/>
      <c r="N266" s="28"/>
      <c r="P266" s="29">
        <v>84</v>
      </c>
      <c r="Q266" s="25" t="s">
        <v>125</v>
      </c>
    </row>
    <row r="267" s="10" customFormat="1" customHeight="1" spans="1:17">
      <c r="A267" s="26">
        <f t="shared" si="14"/>
        <v>1105023</v>
      </c>
      <c r="B267" s="26">
        <v>1105</v>
      </c>
      <c r="C267" s="26" t="s">
        <v>290</v>
      </c>
      <c r="D267" s="26" t="s">
        <v>291</v>
      </c>
      <c r="E267" s="22">
        <f t="shared" si="13"/>
        <v>21</v>
      </c>
      <c r="F267" s="26">
        <v>23</v>
      </c>
      <c r="G267" s="26">
        <v>15</v>
      </c>
      <c r="H267" s="26" t="s">
        <v>177</v>
      </c>
      <c r="I267" s="27">
        <v>13800</v>
      </c>
      <c r="J267" s="12">
        <v>2300</v>
      </c>
      <c r="K267" s="12" t="s">
        <v>112</v>
      </c>
      <c r="L267" s="27"/>
      <c r="M267" s="28"/>
      <c r="N267" s="28"/>
      <c r="P267" s="29">
        <v>88</v>
      </c>
      <c r="Q267" s="25" t="s">
        <v>128</v>
      </c>
    </row>
    <row r="268" s="10" customFormat="1" customHeight="1" spans="1:17">
      <c r="A268" s="26">
        <f t="shared" si="14"/>
        <v>1105024</v>
      </c>
      <c r="B268" s="26">
        <v>1105</v>
      </c>
      <c r="C268" s="26" t="s">
        <v>290</v>
      </c>
      <c r="D268" s="26" t="s">
        <v>291</v>
      </c>
      <c r="E268" s="22">
        <f t="shared" si="13"/>
        <v>21</v>
      </c>
      <c r="F268" s="26">
        <v>24</v>
      </c>
      <c r="G268" s="26">
        <v>15</v>
      </c>
      <c r="H268" s="26" t="s">
        <v>183</v>
      </c>
      <c r="I268" s="27">
        <v>14400</v>
      </c>
      <c r="J268" s="12">
        <v>2400</v>
      </c>
      <c r="K268" s="12" t="s">
        <v>115</v>
      </c>
      <c r="L268" s="27"/>
      <c r="M268" s="28"/>
      <c r="N268" s="28"/>
      <c r="P268" s="29">
        <v>92</v>
      </c>
      <c r="Q268" s="25" t="s">
        <v>131</v>
      </c>
    </row>
    <row r="269" s="10" customFormat="1" customHeight="1" spans="1:17">
      <c r="A269" s="26">
        <f t="shared" si="14"/>
        <v>1105025</v>
      </c>
      <c r="B269" s="26">
        <v>1105</v>
      </c>
      <c r="C269" s="26" t="s">
        <v>290</v>
      </c>
      <c r="D269" s="26" t="s">
        <v>291</v>
      </c>
      <c r="E269" s="22">
        <f t="shared" si="13"/>
        <v>22</v>
      </c>
      <c r="F269" s="26">
        <v>25</v>
      </c>
      <c r="G269" s="26">
        <v>15</v>
      </c>
      <c r="H269" s="26" t="s">
        <v>189</v>
      </c>
      <c r="I269" s="27">
        <v>15000</v>
      </c>
      <c r="J269" s="12">
        <v>2500</v>
      </c>
      <c r="K269" s="12" t="s">
        <v>118</v>
      </c>
      <c r="L269" s="27"/>
      <c r="M269" s="28"/>
      <c r="N269" s="28"/>
      <c r="O269" s="4"/>
      <c r="P269" s="29">
        <v>96</v>
      </c>
      <c r="Q269" s="25" t="s">
        <v>134</v>
      </c>
    </row>
    <row r="270" s="10" customFormat="1" customHeight="1" spans="1:17">
      <c r="A270" s="26">
        <f t="shared" si="14"/>
        <v>1105026</v>
      </c>
      <c r="B270" s="26">
        <v>1105</v>
      </c>
      <c r="C270" s="26" t="s">
        <v>290</v>
      </c>
      <c r="D270" s="26" t="s">
        <v>291</v>
      </c>
      <c r="E270" s="22">
        <f t="shared" si="13"/>
        <v>22</v>
      </c>
      <c r="F270" s="26">
        <v>26</v>
      </c>
      <c r="G270" s="26">
        <v>15</v>
      </c>
      <c r="H270" s="26" t="s">
        <v>195</v>
      </c>
      <c r="I270" s="27">
        <v>15600</v>
      </c>
      <c r="J270" s="12">
        <v>2600</v>
      </c>
      <c r="K270" s="12" t="s">
        <v>121</v>
      </c>
      <c r="L270" s="27"/>
      <c r="M270" s="28"/>
      <c r="N270" s="28"/>
      <c r="O270" s="30" t="s">
        <v>234</v>
      </c>
      <c r="P270" s="29">
        <v>100</v>
      </c>
      <c r="Q270" s="25" t="s">
        <v>137</v>
      </c>
    </row>
    <row r="271" s="10" customFormat="1" customHeight="1" spans="1:17">
      <c r="A271" s="26">
        <f t="shared" si="14"/>
        <v>1105027</v>
      </c>
      <c r="B271" s="26">
        <v>1105</v>
      </c>
      <c r="C271" s="26" t="s">
        <v>290</v>
      </c>
      <c r="D271" s="26" t="s">
        <v>291</v>
      </c>
      <c r="E271" s="22">
        <f t="shared" si="13"/>
        <v>22</v>
      </c>
      <c r="F271" s="26">
        <v>27</v>
      </c>
      <c r="G271" s="26">
        <v>15</v>
      </c>
      <c r="H271" s="26" t="s">
        <v>201</v>
      </c>
      <c r="I271" s="27">
        <v>16200</v>
      </c>
      <c r="J271" s="12">
        <v>2700</v>
      </c>
      <c r="K271" s="12" t="s">
        <v>124</v>
      </c>
      <c r="L271" s="27"/>
      <c r="M271" s="28"/>
      <c r="N271" s="28"/>
      <c r="O271" s="30" t="s">
        <v>234</v>
      </c>
      <c r="P271" s="29">
        <v>104</v>
      </c>
      <c r="Q271" s="25" t="s">
        <v>140</v>
      </c>
    </row>
    <row r="272" s="10" customFormat="1" customHeight="1" spans="1:17">
      <c r="A272" s="26">
        <f t="shared" si="14"/>
        <v>1105028</v>
      </c>
      <c r="B272" s="26">
        <v>1105</v>
      </c>
      <c r="C272" s="26" t="s">
        <v>290</v>
      </c>
      <c r="D272" s="26" t="s">
        <v>291</v>
      </c>
      <c r="E272" s="22">
        <f t="shared" si="13"/>
        <v>23</v>
      </c>
      <c r="F272" s="26">
        <v>28</v>
      </c>
      <c r="G272" s="26">
        <v>15</v>
      </c>
      <c r="H272" s="26" t="s">
        <v>207</v>
      </c>
      <c r="I272" s="27">
        <v>16800</v>
      </c>
      <c r="J272" s="12">
        <v>2800</v>
      </c>
      <c r="K272" s="12" t="s">
        <v>127</v>
      </c>
      <c r="L272" s="27"/>
      <c r="M272" s="28"/>
      <c r="N272" s="28"/>
      <c r="O272" s="30" t="s">
        <v>234</v>
      </c>
      <c r="P272" s="29">
        <v>108</v>
      </c>
      <c r="Q272" s="25" t="s">
        <v>143</v>
      </c>
    </row>
    <row r="273" s="10" customFormat="1" customHeight="1" spans="1:17">
      <c r="A273" s="26">
        <f t="shared" si="14"/>
        <v>1105029</v>
      </c>
      <c r="B273" s="26">
        <v>1105</v>
      </c>
      <c r="C273" s="26" t="s">
        <v>290</v>
      </c>
      <c r="D273" s="26" t="s">
        <v>291</v>
      </c>
      <c r="E273" s="22">
        <f t="shared" si="13"/>
        <v>23</v>
      </c>
      <c r="F273" s="26">
        <v>29</v>
      </c>
      <c r="G273" s="26">
        <v>15</v>
      </c>
      <c r="H273" s="26" t="s">
        <v>213</v>
      </c>
      <c r="I273" s="27">
        <v>17400</v>
      </c>
      <c r="J273" s="12">
        <v>2900</v>
      </c>
      <c r="K273" s="12" t="s">
        <v>130</v>
      </c>
      <c r="L273" s="27"/>
      <c r="M273" s="28"/>
      <c r="N273" s="28"/>
      <c r="O273" s="30" t="s">
        <v>234</v>
      </c>
      <c r="P273" s="29">
        <v>112</v>
      </c>
      <c r="Q273" s="25" t="s">
        <v>146</v>
      </c>
    </row>
    <row r="274" s="10" customFormat="1" customHeight="1" spans="1:17">
      <c r="A274" s="26">
        <f t="shared" si="14"/>
        <v>1105030</v>
      </c>
      <c r="B274" s="26">
        <v>1105</v>
      </c>
      <c r="C274" s="26" t="s">
        <v>290</v>
      </c>
      <c r="D274" s="26" t="s">
        <v>291</v>
      </c>
      <c r="E274" s="22">
        <f t="shared" si="13"/>
        <v>23</v>
      </c>
      <c r="F274" s="26">
        <v>30</v>
      </c>
      <c r="G274" s="26">
        <v>15</v>
      </c>
      <c r="H274" s="26" t="s">
        <v>219</v>
      </c>
      <c r="I274" s="27">
        <v>18000</v>
      </c>
      <c r="J274" s="12">
        <v>3000</v>
      </c>
      <c r="K274" s="12" t="s">
        <v>133</v>
      </c>
      <c r="L274" s="27"/>
      <c r="M274" s="28"/>
      <c r="N274" s="28"/>
      <c r="O274" s="30" t="s">
        <v>234</v>
      </c>
      <c r="P274" s="29">
        <v>116</v>
      </c>
      <c r="Q274" s="25" t="s">
        <v>149</v>
      </c>
    </row>
    <row r="275" s="10" customFormat="1" customHeight="1" spans="1:17">
      <c r="A275" s="26">
        <f t="shared" si="14"/>
        <v>1105031</v>
      </c>
      <c r="B275" s="26">
        <v>1105</v>
      </c>
      <c r="C275" s="26" t="s">
        <v>290</v>
      </c>
      <c r="D275" s="26" t="s">
        <v>291</v>
      </c>
      <c r="E275" s="22">
        <f t="shared" si="13"/>
        <v>24</v>
      </c>
      <c r="F275" s="26">
        <v>31</v>
      </c>
      <c r="G275" s="26">
        <v>15</v>
      </c>
      <c r="H275" s="26" t="s">
        <v>235</v>
      </c>
      <c r="I275" s="27">
        <v>18600</v>
      </c>
      <c r="J275" s="12">
        <v>3100</v>
      </c>
      <c r="K275" s="12" t="s">
        <v>136</v>
      </c>
      <c r="L275" s="27"/>
      <c r="M275" s="28"/>
      <c r="N275" s="28"/>
      <c r="O275" s="30" t="s">
        <v>234</v>
      </c>
      <c r="P275" s="29">
        <v>120</v>
      </c>
      <c r="Q275" s="25" t="s">
        <v>152</v>
      </c>
    </row>
    <row r="276" s="10" customFormat="1" customHeight="1" spans="1:17">
      <c r="A276" s="26">
        <f t="shared" si="14"/>
        <v>1105032</v>
      </c>
      <c r="B276" s="26">
        <v>1105</v>
      </c>
      <c r="C276" s="26" t="s">
        <v>290</v>
      </c>
      <c r="D276" s="26" t="s">
        <v>291</v>
      </c>
      <c r="E276" s="22">
        <f t="shared" si="13"/>
        <v>24</v>
      </c>
      <c r="F276" s="26">
        <v>32</v>
      </c>
      <c r="G276" s="26">
        <v>15</v>
      </c>
      <c r="H276" s="26" t="s">
        <v>236</v>
      </c>
      <c r="I276" s="27">
        <v>19200</v>
      </c>
      <c r="J276" s="12">
        <v>3200</v>
      </c>
      <c r="K276" s="12" t="s">
        <v>139</v>
      </c>
      <c r="L276" s="27"/>
      <c r="M276" s="28"/>
      <c r="N276" s="28"/>
      <c r="O276" s="30" t="s">
        <v>234</v>
      </c>
      <c r="P276" s="29">
        <v>124</v>
      </c>
      <c r="Q276" s="25" t="s">
        <v>155</v>
      </c>
    </row>
    <row r="277" s="10" customFormat="1" customHeight="1" spans="1:17">
      <c r="A277" s="26">
        <f t="shared" si="14"/>
        <v>1105033</v>
      </c>
      <c r="B277" s="26">
        <v>1105</v>
      </c>
      <c r="C277" s="26" t="s">
        <v>290</v>
      </c>
      <c r="D277" s="26" t="s">
        <v>291</v>
      </c>
      <c r="E277" s="22">
        <f t="shared" si="13"/>
        <v>24</v>
      </c>
      <c r="F277" s="26">
        <v>33</v>
      </c>
      <c r="G277" s="26">
        <v>15</v>
      </c>
      <c r="H277" s="26" t="s">
        <v>237</v>
      </c>
      <c r="I277" s="27">
        <v>19800</v>
      </c>
      <c r="J277" s="12">
        <v>3300</v>
      </c>
      <c r="K277" s="12" t="s">
        <v>142</v>
      </c>
      <c r="L277" s="27"/>
      <c r="M277" s="28"/>
      <c r="N277" s="28"/>
      <c r="O277" s="30" t="s">
        <v>234</v>
      </c>
      <c r="P277" s="29">
        <v>128</v>
      </c>
      <c r="Q277" s="25" t="s">
        <v>158</v>
      </c>
    </row>
    <row r="278" s="10" customFormat="1" customHeight="1" spans="1:17">
      <c r="A278" s="26">
        <f t="shared" si="14"/>
        <v>1105034</v>
      </c>
      <c r="B278" s="26">
        <v>1105</v>
      </c>
      <c r="C278" s="26" t="s">
        <v>290</v>
      </c>
      <c r="D278" s="26" t="s">
        <v>291</v>
      </c>
      <c r="E278" s="22">
        <f t="shared" si="13"/>
        <v>25</v>
      </c>
      <c r="F278" s="26">
        <v>34</v>
      </c>
      <c r="G278" s="26">
        <v>15</v>
      </c>
      <c r="H278" s="26" t="s">
        <v>238</v>
      </c>
      <c r="I278" s="27">
        <v>20400</v>
      </c>
      <c r="J278" s="12">
        <v>3400</v>
      </c>
      <c r="K278" s="12" t="s">
        <v>145</v>
      </c>
      <c r="L278" s="27"/>
      <c r="M278" s="28"/>
      <c r="N278" s="28"/>
      <c r="O278" s="30" t="s">
        <v>234</v>
      </c>
      <c r="P278" s="29">
        <v>132</v>
      </c>
      <c r="Q278" s="25" t="s">
        <v>161</v>
      </c>
    </row>
    <row r="279" s="10" customFormat="1" customHeight="1" spans="1:17">
      <c r="A279" s="26">
        <f t="shared" si="14"/>
        <v>1105035</v>
      </c>
      <c r="B279" s="26">
        <v>1105</v>
      </c>
      <c r="C279" s="26" t="s">
        <v>290</v>
      </c>
      <c r="D279" s="26" t="s">
        <v>291</v>
      </c>
      <c r="E279" s="22">
        <f t="shared" si="13"/>
        <v>25</v>
      </c>
      <c r="F279" s="26">
        <v>35</v>
      </c>
      <c r="G279" s="26">
        <v>15</v>
      </c>
      <c r="H279" s="26" t="s">
        <v>239</v>
      </c>
      <c r="I279" s="27">
        <v>21000</v>
      </c>
      <c r="J279" s="12">
        <v>3500</v>
      </c>
      <c r="K279" s="12" t="s">
        <v>148</v>
      </c>
      <c r="L279" s="27"/>
      <c r="M279" s="28"/>
      <c r="N279" s="28"/>
      <c r="O279" s="30" t="s">
        <v>234</v>
      </c>
      <c r="P279" s="29">
        <v>136</v>
      </c>
      <c r="Q279" s="25" t="s">
        <v>164</v>
      </c>
    </row>
    <row r="280" s="10" customFormat="1" customHeight="1" spans="1:17">
      <c r="A280" s="26">
        <f t="shared" si="14"/>
        <v>1105036</v>
      </c>
      <c r="B280" s="26">
        <v>1105</v>
      </c>
      <c r="C280" s="26" t="s">
        <v>290</v>
      </c>
      <c r="D280" s="26" t="s">
        <v>291</v>
      </c>
      <c r="E280" s="22">
        <f t="shared" si="13"/>
        <v>25</v>
      </c>
      <c r="F280" s="26">
        <v>36</v>
      </c>
      <c r="G280" s="26">
        <v>15</v>
      </c>
      <c r="H280" s="26" t="s">
        <v>240</v>
      </c>
      <c r="I280" s="27">
        <v>21600</v>
      </c>
      <c r="J280" s="12">
        <v>3600</v>
      </c>
      <c r="K280" s="12" t="s">
        <v>151</v>
      </c>
      <c r="L280" s="27"/>
      <c r="M280" s="28"/>
      <c r="N280" s="28"/>
      <c r="O280" s="30" t="s">
        <v>234</v>
      </c>
      <c r="P280" s="29">
        <v>140</v>
      </c>
      <c r="Q280" s="25" t="s">
        <v>167</v>
      </c>
    </row>
    <row r="281" s="10" customFormat="1" customHeight="1" spans="1:17">
      <c r="A281" s="26">
        <f t="shared" si="14"/>
        <v>1105037</v>
      </c>
      <c r="B281" s="26">
        <v>1105</v>
      </c>
      <c r="C281" s="26" t="s">
        <v>290</v>
      </c>
      <c r="D281" s="26" t="s">
        <v>291</v>
      </c>
      <c r="E281" s="22">
        <f t="shared" si="13"/>
        <v>26</v>
      </c>
      <c r="F281" s="26">
        <v>37</v>
      </c>
      <c r="G281" s="26">
        <v>15</v>
      </c>
      <c r="H281" s="26" t="s">
        <v>241</v>
      </c>
      <c r="I281" s="27">
        <v>22200</v>
      </c>
      <c r="J281" s="12">
        <v>3700</v>
      </c>
      <c r="K281" s="12" t="s">
        <v>154</v>
      </c>
      <c r="L281" s="27"/>
      <c r="M281" s="28"/>
      <c r="N281" s="28"/>
      <c r="O281" s="30" t="s">
        <v>234</v>
      </c>
      <c r="P281" s="29">
        <v>144</v>
      </c>
      <c r="Q281" s="25" t="s">
        <v>170</v>
      </c>
    </row>
    <row r="282" s="10" customFormat="1" customHeight="1" spans="1:17">
      <c r="A282" s="26">
        <f t="shared" si="14"/>
        <v>1105038</v>
      </c>
      <c r="B282" s="26">
        <v>1105</v>
      </c>
      <c r="C282" s="26" t="s">
        <v>290</v>
      </c>
      <c r="D282" s="26" t="s">
        <v>291</v>
      </c>
      <c r="E282" s="22">
        <f t="shared" si="13"/>
        <v>26</v>
      </c>
      <c r="F282" s="26">
        <v>38</v>
      </c>
      <c r="G282" s="26">
        <v>15</v>
      </c>
      <c r="H282" s="26" t="s">
        <v>242</v>
      </c>
      <c r="I282" s="27">
        <v>22800</v>
      </c>
      <c r="J282" s="12">
        <v>3800</v>
      </c>
      <c r="K282" s="12" t="s">
        <v>157</v>
      </c>
      <c r="L282" s="27"/>
      <c r="M282" s="28"/>
      <c r="N282" s="28"/>
      <c r="O282" s="30" t="s">
        <v>234</v>
      </c>
      <c r="P282" s="29">
        <v>148</v>
      </c>
      <c r="Q282" s="25" t="s">
        <v>173</v>
      </c>
    </row>
    <row r="283" s="10" customFormat="1" customHeight="1" spans="1:17">
      <c r="A283" s="26">
        <f t="shared" si="14"/>
        <v>1105039</v>
      </c>
      <c r="B283" s="26">
        <v>1105</v>
      </c>
      <c r="C283" s="26" t="s">
        <v>290</v>
      </c>
      <c r="D283" s="26" t="s">
        <v>291</v>
      </c>
      <c r="E283" s="22">
        <f t="shared" si="13"/>
        <v>26</v>
      </c>
      <c r="F283" s="26">
        <v>39</v>
      </c>
      <c r="G283" s="26">
        <v>15</v>
      </c>
      <c r="H283" s="26" t="s">
        <v>243</v>
      </c>
      <c r="I283" s="27">
        <v>23400</v>
      </c>
      <c r="J283" s="12">
        <v>3900</v>
      </c>
      <c r="K283" s="12" t="s">
        <v>160</v>
      </c>
      <c r="L283" s="27"/>
      <c r="M283" s="28"/>
      <c r="N283" s="28"/>
      <c r="O283" s="30" t="s">
        <v>234</v>
      </c>
      <c r="P283" s="29">
        <v>152</v>
      </c>
      <c r="Q283" s="25" t="s">
        <v>176</v>
      </c>
    </row>
    <row r="284" s="10" customFormat="1" customHeight="1" spans="1:17">
      <c r="A284" s="26">
        <f t="shared" si="14"/>
        <v>1105040</v>
      </c>
      <c r="B284" s="26">
        <v>1105</v>
      </c>
      <c r="C284" s="26" t="s">
        <v>290</v>
      </c>
      <c r="D284" s="26" t="s">
        <v>291</v>
      </c>
      <c r="E284" s="22">
        <f t="shared" si="13"/>
        <v>27</v>
      </c>
      <c r="F284" s="26">
        <v>40</v>
      </c>
      <c r="G284" s="26">
        <v>15</v>
      </c>
      <c r="H284" s="26" t="s">
        <v>244</v>
      </c>
      <c r="I284" s="27">
        <v>24000</v>
      </c>
      <c r="J284" s="12">
        <v>4000</v>
      </c>
      <c r="K284" s="12" t="s">
        <v>163</v>
      </c>
      <c r="L284" s="27"/>
      <c r="M284" s="28"/>
      <c r="N284" s="28"/>
      <c r="O284" s="30" t="s">
        <v>234</v>
      </c>
      <c r="P284" s="29">
        <v>156</v>
      </c>
      <c r="Q284" s="25" t="s">
        <v>179</v>
      </c>
    </row>
    <row r="285" s="10" customFormat="1" customHeight="1" spans="1:17">
      <c r="A285" s="26">
        <f t="shared" si="14"/>
        <v>1105041</v>
      </c>
      <c r="B285" s="26">
        <v>1105</v>
      </c>
      <c r="C285" s="26" t="s">
        <v>290</v>
      </c>
      <c r="D285" s="26" t="s">
        <v>291</v>
      </c>
      <c r="E285" s="22">
        <f t="shared" si="13"/>
        <v>27</v>
      </c>
      <c r="F285" s="26">
        <v>41</v>
      </c>
      <c r="G285" s="26">
        <v>15</v>
      </c>
      <c r="H285" s="26" t="s">
        <v>245</v>
      </c>
      <c r="I285" s="27">
        <v>24600</v>
      </c>
      <c r="J285" s="12">
        <v>4100</v>
      </c>
      <c r="K285" s="12" t="s">
        <v>166</v>
      </c>
      <c r="L285" s="27"/>
      <c r="M285" s="28"/>
      <c r="N285" s="28"/>
      <c r="O285" s="30" t="s">
        <v>234</v>
      </c>
      <c r="P285" s="29">
        <v>160</v>
      </c>
      <c r="Q285" s="25" t="s">
        <v>182</v>
      </c>
    </row>
    <row r="286" s="10" customFormat="1" customHeight="1" spans="1:17">
      <c r="A286" s="26">
        <f t="shared" si="14"/>
        <v>1105042</v>
      </c>
      <c r="B286" s="26">
        <v>1105</v>
      </c>
      <c r="C286" s="26" t="s">
        <v>290</v>
      </c>
      <c r="D286" s="26" t="s">
        <v>291</v>
      </c>
      <c r="E286" s="22">
        <f t="shared" si="13"/>
        <v>27</v>
      </c>
      <c r="F286" s="26">
        <v>42</v>
      </c>
      <c r="G286" s="26">
        <v>15</v>
      </c>
      <c r="H286" s="26" t="s">
        <v>246</v>
      </c>
      <c r="I286" s="27">
        <v>25200</v>
      </c>
      <c r="J286" s="12">
        <v>4200</v>
      </c>
      <c r="K286" s="12" t="s">
        <v>169</v>
      </c>
      <c r="L286" s="27"/>
      <c r="M286" s="28"/>
      <c r="N286" s="28"/>
      <c r="O286" s="3" t="s">
        <v>234</v>
      </c>
      <c r="P286" s="29">
        <v>164</v>
      </c>
      <c r="Q286" s="25" t="s">
        <v>185</v>
      </c>
    </row>
    <row r="287" s="10" customFormat="1" customHeight="1" spans="1:17">
      <c r="A287" s="26">
        <f t="shared" ref="A287:A304" si="15">B287*1000+F287</f>
        <v>1105043</v>
      </c>
      <c r="B287" s="26">
        <v>1105</v>
      </c>
      <c r="C287" s="26" t="s">
        <v>290</v>
      </c>
      <c r="D287" s="26" t="s">
        <v>291</v>
      </c>
      <c r="E287" s="22">
        <f t="shared" si="13"/>
        <v>28</v>
      </c>
      <c r="F287" s="26">
        <v>43</v>
      </c>
      <c r="G287" s="26">
        <v>15</v>
      </c>
      <c r="H287" s="26" t="s">
        <v>247</v>
      </c>
      <c r="I287" s="27">
        <v>25800</v>
      </c>
      <c r="J287" s="12">
        <v>4300</v>
      </c>
      <c r="K287" s="12" t="s">
        <v>172</v>
      </c>
      <c r="L287" s="27"/>
      <c r="M287" s="28"/>
      <c r="N287" s="28"/>
      <c r="O287" s="3" t="s">
        <v>234</v>
      </c>
      <c r="P287" s="29">
        <v>168</v>
      </c>
      <c r="Q287" s="25" t="s">
        <v>188</v>
      </c>
    </row>
    <row r="288" s="10" customFormat="1" customHeight="1" spans="1:17">
      <c r="A288" s="26">
        <f t="shared" si="15"/>
        <v>1105044</v>
      </c>
      <c r="B288" s="26">
        <v>1105</v>
      </c>
      <c r="C288" s="26" t="s">
        <v>290</v>
      </c>
      <c r="D288" s="26" t="s">
        <v>291</v>
      </c>
      <c r="E288" s="22">
        <f t="shared" si="13"/>
        <v>28</v>
      </c>
      <c r="F288" s="26">
        <v>44</v>
      </c>
      <c r="G288" s="26">
        <v>15</v>
      </c>
      <c r="H288" s="26" t="s">
        <v>248</v>
      </c>
      <c r="I288" s="27">
        <v>26400</v>
      </c>
      <c r="J288" s="12">
        <v>4400</v>
      </c>
      <c r="K288" s="12" t="s">
        <v>175</v>
      </c>
      <c r="L288" s="27"/>
      <c r="M288" s="28"/>
      <c r="N288" s="28"/>
      <c r="O288" s="3" t="s">
        <v>234</v>
      </c>
      <c r="P288" s="29">
        <v>172</v>
      </c>
      <c r="Q288" s="25" t="s">
        <v>191</v>
      </c>
    </row>
    <row r="289" s="10" customFormat="1" customHeight="1" spans="1:17">
      <c r="A289" s="26">
        <f t="shared" si="15"/>
        <v>1105045</v>
      </c>
      <c r="B289" s="26">
        <v>1105</v>
      </c>
      <c r="C289" s="26" t="s">
        <v>290</v>
      </c>
      <c r="D289" s="26" t="s">
        <v>291</v>
      </c>
      <c r="E289" s="22">
        <f t="shared" si="13"/>
        <v>28</v>
      </c>
      <c r="F289" s="26">
        <v>45</v>
      </c>
      <c r="G289" s="26">
        <v>15</v>
      </c>
      <c r="H289" s="26" t="s">
        <v>249</v>
      </c>
      <c r="I289" s="27">
        <v>27000</v>
      </c>
      <c r="J289" s="12">
        <v>4500</v>
      </c>
      <c r="K289" s="12" t="s">
        <v>178</v>
      </c>
      <c r="L289" s="27"/>
      <c r="M289" s="28"/>
      <c r="N289" s="28"/>
      <c r="O289" s="3" t="s">
        <v>234</v>
      </c>
      <c r="P289" s="29">
        <v>176</v>
      </c>
      <c r="Q289" s="25" t="s">
        <v>194</v>
      </c>
    </row>
    <row r="290" s="10" customFormat="1" customHeight="1" spans="1:17">
      <c r="A290" s="26">
        <f t="shared" si="15"/>
        <v>1105046</v>
      </c>
      <c r="B290" s="26">
        <v>1105</v>
      </c>
      <c r="C290" s="26" t="s">
        <v>290</v>
      </c>
      <c r="D290" s="26" t="s">
        <v>291</v>
      </c>
      <c r="E290" s="22">
        <f t="shared" si="13"/>
        <v>29</v>
      </c>
      <c r="F290" s="26">
        <v>46</v>
      </c>
      <c r="G290" s="26">
        <v>15</v>
      </c>
      <c r="H290" s="26" t="s">
        <v>250</v>
      </c>
      <c r="I290" s="27">
        <v>27600</v>
      </c>
      <c r="J290" s="12">
        <v>4600</v>
      </c>
      <c r="K290" s="12" t="s">
        <v>181</v>
      </c>
      <c r="L290" s="27"/>
      <c r="M290" s="28"/>
      <c r="N290" s="28"/>
      <c r="O290" s="3" t="s">
        <v>234</v>
      </c>
      <c r="P290" s="29">
        <v>180</v>
      </c>
      <c r="Q290" s="25" t="s">
        <v>197</v>
      </c>
    </row>
    <row r="291" s="10" customFormat="1" customHeight="1" spans="1:17">
      <c r="A291" s="26">
        <f t="shared" si="15"/>
        <v>1105047</v>
      </c>
      <c r="B291" s="26">
        <v>1105</v>
      </c>
      <c r="C291" s="26" t="s">
        <v>290</v>
      </c>
      <c r="D291" s="26" t="s">
        <v>291</v>
      </c>
      <c r="E291" s="22">
        <f t="shared" si="13"/>
        <v>29</v>
      </c>
      <c r="F291" s="26">
        <v>47</v>
      </c>
      <c r="G291" s="26">
        <v>15</v>
      </c>
      <c r="H291" s="26" t="s">
        <v>251</v>
      </c>
      <c r="I291" s="27">
        <v>28200</v>
      </c>
      <c r="J291" s="12">
        <v>4700</v>
      </c>
      <c r="K291" s="12" t="s">
        <v>184</v>
      </c>
      <c r="L291" s="27"/>
      <c r="M291" s="28"/>
      <c r="N291" s="28"/>
      <c r="O291" s="3" t="s">
        <v>234</v>
      </c>
      <c r="P291" s="29">
        <v>184</v>
      </c>
      <c r="Q291" s="25" t="s">
        <v>200</v>
      </c>
    </row>
    <row r="292" s="10" customFormat="1" customHeight="1" spans="1:17">
      <c r="A292" s="26">
        <f t="shared" si="15"/>
        <v>1105048</v>
      </c>
      <c r="B292" s="26">
        <v>1105</v>
      </c>
      <c r="C292" s="26" t="s">
        <v>290</v>
      </c>
      <c r="D292" s="26" t="s">
        <v>291</v>
      </c>
      <c r="E292" s="22">
        <f t="shared" si="13"/>
        <v>29</v>
      </c>
      <c r="F292" s="26">
        <v>48</v>
      </c>
      <c r="G292" s="26">
        <v>15</v>
      </c>
      <c r="H292" s="26" t="s">
        <v>252</v>
      </c>
      <c r="I292" s="27">
        <v>28800</v>
      </c>
      <c r="J292" s="12">
        <v>4800</v>
      </c>
      <c r="K292" s="12" t="s">
        <v>187</v>
      </c>
      <c r="L292" s="27"/>
      <c r="M292" s="28"/>
      <c r="N292" s="28"/>
      <c r="O292" s="3" t="s">
        <v>234</v>
      </c>
      <c r="P292" s="29">
        <v>188</v>
      </c>
      <c r="Q292" s="25" t="s">
        <v>203</v>
      </c>
    </row>
    <row r="293" s="10" customFormat="1" customHeight="1" spans="1:17">
      <c r="A293" s="26">
        <f t="shared" si="15"/>
        <v>1105049</v>
      </c>
      <c r="B293" s="26">
        <v>1105</v>
      </c>
      <c r="C293" s="26" t="s">
        <v>290</v>
      </c>
      <c r="D293" s="26" t="s">
        <v>291</v>
      </c>
      <c r="E293" s="22">
        <f t="shared" si="13"/>
        <v>30</v>
      </c>
      <c r="F293" s="26">
        <v>49</v>
      </c>
      <c r="G293" s="26">
        <v>15</v>
      </c>
      <c r="H293" s="26" t="s">
        <v>253</v>
      </c>
      <c r="I293" s="27">
        <v>29400</v>
      </c>
      <c r="J293" s="12">
        <v>4900</v>
      </c>
      <c r="K293" s="12" t="s">
        <v>190</v>
      </c>
      <c r="L293" s="27"/>
      <c r="M293" s="28"/>
      <c r="N293" s="28"/>
      <c r="O293" s="3" t="s">
        <v>234</v>
      </c>
      <c r="P293" s="29">
        <v>192</v>
      </c>
      <c r="Q293" s="25" t="s">
        <v>206</v>
      </c>
    </row>
    <row r="294" s="10" customFormat="1" customHeight="1" spans="1:17">
      <c r="A294" s="26">
        <f t="shared" si="15"/>
        <v>1105050</v>
      </c>
      <c r="B294" s="26">
        <v>1105</v>
      </c>
      <c r="C294" s="26" t="s">
        <v>290</v>
      </c>
      <c r="D294" s="26" t="s">
        <v>291</v>
      </c>
      <c r="E294" s="22">
        <f t="shared" si="13"/>
        <v>30</v>
      </c>
      <c r="F294" s="26">
        <v>50</v>
      </c>
      <c r="G294" s="26">
        <v>15</v>
      </c>
      <c r="H294" s="26" t="s">
        <v>254</v>
      </c>
      <c r="I294" s="27">
        <v>30000</v>
      </c>
      <c r="J294" s="12">
        <v>5000</v>
      </c>
      <c r="K294" s="12" t="s">
        <v>193</v>
      </c>
      <c r="L294" s="27"/>
      <c r="M294" s="28"/>
      <c r="N294" s="28"/>
      <c r="O294" s="3" t="s">
        <v>234</v>
      </c>
      <c r="P294" s="29">
        <v>196</v>
      </c>
      <c r="Q294" s="25" t="s">
        <v>209</v>
      </c>
    </row>
    <row r="295" s="10" customFormat="1" customHeight="1" spans="1:17">
      <c r="A295" s="26">
        <f t="shared" si="15"/>
        <v>1105051</v>
      </c>
      <c r="B295" s="26">
        <v>1105</v>
      </c>
      <c r="C295" s="26" t="s">
        <v>290</v>
      </c>
      <c r="D295" s="26" t="s">
        <v>291</v>
      </c>
      <c r="E295" s="22">
        <f t="shared" si="13"/>
        <v>30</v>
      </c>
      <c r="F295" s="26">
        <v>51</v>
      </c>
      <c r="G295" s="26">
        <v>15</v>
      </c>
      <c r="H295" s="26" t="s">
        <v>255</v>
      </c>
      <c r="I295" s="27">
        <v>30600</v>
      </c>
      <c r="J295" s="12">
        <v>5100</v>
      </c>
      <c r="K295" s="12" t="s">
        <v>196</v>
      </c>
      <c r="L295" s="27"/>
      <c r="M295" s="28"/>
      <c r="N295" s="28"/>
      <c r="O295" s="3" t="s">
        <v>234</v>
      </c>
      <c r="P295" s="29">
        <v>200</v>
      </c>
      <c r="Q295" s="25" t="s">
        <v>212</v>
      </c>
    </row>
    <row r="296" s="10" customFormat="1" customHeight="1" spans="1:17">
      <c r="A296" s="26">
        <f t="shared" si="15"/>
        <v>1105052</v>
      </c>
      <c r="B296" s="26">
        <v>1105</v>
      </c>
      <c r="C296" s="26" t="s">
        <v>290</v>
      </c>
      <c r="D296" s="26" t="s">
        <v>291</v>
      </c>
      <c r="E296" s="22">
        <f t="shared" si="13"/>
        <v>31</v>
      </c>
      <c r="F296" s="26">
        <v>52</v>
      </c>
      <c r="G296" s="26">
        <v>15</v>
      </c>
      <c r="H296" s="26" t="s">
        <v>256</v>
      </c>
      <c r="I296" s="27">
        <v>31200</v>
      </c>
      <c r="J296" s="12">
        <v>5200</v>
      </c>
      <c r="K296" s="12" t="s">
        <v>199</v>
      </c>
      <c r="L296" s="27"/>
      <c r="M296" s="28"/>
      <c r="N296" s="28"/>
      <c r="O296" s="3" t="s">
        <v>234</v>
      </c>
      <c r="P296" s="29">
        <v>204</v>
      </c>
      <c r="Q296" s="25" t="s">
        <v>215</v>
      </c>
    </row>
    <row r="297" s="10" customFormat="1" customHeight="1" spans="1:17">
      <c r="A297" s="26">
        <f t="shared" si="15"/>
        <v>1105053</v>
      </c>
      <c r="B297" s="26">
        <v>1105</v>
      </c>
      <c r="C297" s="26" t="s">
        <v>290</v>
      </c>
      <c r="D297" s="26" t="s">
        <v>291</v>
      </c>
      <c r="E297" s="22">
        <f t="shared" si="13"/>
        <v>31</v>
      </c>
      <c r="F297" s="26">
        <v>53</v>
      </c>
      <c r="G297" s="26">
        <v>15</v>
      </c>
      <c r="H297" s="26" t="s">
        <v>257</v>
      </c>
      <c r="I297" s="27">
        <v>31800</v>
      </c>
      <c r="J297" s="12">
        <v>5300</v>
      </c>
      <c r="K297" s="12" t="s">
        <v>202</v>
      </c>
      <c r="L297" s="27"/>
      <c r="M297" s="28"/>
      <c r="N297" s="28"/>
      <c r="O297" s="3" t="s">
        <v>234</v>
      </c>
      <c r="P297" s="29">
        <v>208</v>
      </c>
      <c r="Q297" s="25" t="s">
        <v>218</v>
      </c>
    </row>
    <row r="298" s="10" customFormat="1" customHeight="1" spans="1:17">
      <c r="A298" s="26">
        <f t="shared" si="15"/>
        <v>1105054</v>
      </c>
      <c r="B298" s="26">
        <v>1105</v>
      </c>
      <c r="C298" s="26" t="s">
        <v>290</v>
      </c>
      <c r="D298" s="26" t="s">
        <v>291</v>
      </c>
      <c r="E298" s="22">
        <f t="shared" si="13"/>
        <v>31</v>
      </c>
      <c r="F298" s="26">
        <v>54</v>
      </c>
      <c r="G298" s="26">
        <v>15</v>
      </c>
      <c r="H298" s="26" t="s">
        <v>258</v>
      </c>
      <c r="I298" s="27">
        <v>32400</v>
      </c>
      <c r="J298" s="12">
        <v>5400</v>
      </c>
      <c r="K298" s="12" t="s">
        <v>205</v>
      </c>
      <c r="L298" s="27"/>
      <c r="M298" s="28"/>
      <c r="N298" s="28"/>
      <c r="O298" s="3" t="s">
        <v>234</v>
      </c>
      <c r="P298" s="29">
        <v>212</v>
      </c>
      <c r="Q298" s="25" t="s">
        <v>221</v>
      </c>
    </row>
    <row r="299" s="10" customFormat="1" customHeight="1" spans="1:17">
      <c r="A299" s="26">
        <f t="shared" si="15"/>
        <v>1105055</v>
      </c>
      <c r="B299" s="26">
        <v>1105</v>
      </c>
      <c r="C299" s="26" t="s">
        <v>290</v>
      </c>
      <c r="D299" s="26" t="s">
        <v>291</v>
      </c>
      <c r="E299" s="22">
        <f t="shared" si="13"/>
        <v>32</v>
      </c>
      <c r="F299" s="26">
        <v>55</v>
      </c>
      <c r="G299" s="26">
        <v>15</v>
      </c>
      <c r="H299" s="26" t="s">
        <v>259</v>
      </c>
      <c r="I299" s="27">
        <v>33000</v>
      </c>
      <c r="J299" s="12">
        <v>5500</v>
      </c>
      <c r="K299" s="12" t="s">
        <v>208</v>
      </c>
      <c r="L299" s="27"/>
      <c r="M299" s="28"/>
      <c r="N299" s="28"/>
      <c r="O299" s="3" t="s">
        <v>234</v>
      </c>
      <c r="P299" s="29">
        <v>216</v>
      </c>
      <c r="Q299" s="25" t="s">
        <v>224</v>
      </c>
    </row>
    <row r="300" s="10" customFormat="1" customHeight="1" spans="1:17">
      <c r="A300" s="26">
        <f t="shared" si="15"/>
        <v>1105056</v>
      </c>
      <c r="B300" s="26">
        <v>1105</v>
      </c>
      <c r="C300" s="26" t="s">
        <v>290</v>
      </c>
      <c r="D300" s="26" t="s">
        <v>291</v>
      </c>
      <c r="E300" s="22">
        <f t="shared" si="13"/>
        <v>32</v>
      </c>
      <c r="F300" s="26">
        <v>56</v>
      </c>
      <c r="G300" s="26">
        <v>15</v>
      </c>
      <c r="H300" s="26" t="s">
        <v>260</v>
      </c>
      <c r="I300" s="27">
        <v>33600</v>
      </c>
      <c r="J300" s="12">
        <v>5600</v>
      </c>
      <c r="K300" s="12" t="s">
        <v>211</v>
      </c>
      <c r="L300" s="27"/>
      <c r="M300" s="28"/>
      <c r="N300" s="28"/>
      <c r="O300" s="3" t="s">
        <v>234</v>
      </c>
      <c r="P300" s="29">
        <v>220</v>
      </c>
      <c r="Q300" s="25" t="s">
        <v>265</v>
      </c>
    </row>
    <row r="301" s="10" customFormat="1" customHeight="1" spans="1:17">
      <c r="A301" s="26">
        <f t="shared" si="15"/>
        <v>1105057</v>
      </c>
      <c r="B301" s="26">
        <v>1105</v>
      </c>
      <c r="C301" s="26" t="s">
        <v>290</v>
      </c>
      <c r="D301" s="26" t="s">
        <v>291</v>
      </c>
      <c r="E301" s="22">
        <f t="shared" si="13"/>
        <v>32</v>
      </c>
      <c r="F301" s="26">
        <v>57</v>
      </c>
      <c r="G301" s="26">
        <v>15</v>
      </c>
      <c r="H301" s="26" t="s">
        <v>261</v>
      </c>
      <c r="I301" s="27">
        <v>34200</v>
      </c>
      <c r="J301" s="12">
        <v>5700</v>
      </c>
      <c r="K301" s="12" t="s">
        <v>214</v>
      </c>
      <c r="L301" s="27"/>
      <c r="M301" s="28"/>
      <c r="N301" s="28"/>
      <c r="O301" s="3" t="s">
        <v>234</v>
      </c>
      <c r="P301" s="29">
        <v>224</v>
      </c>
      <c r="Q301" s="25" t="s">
        <v>275</v>
      </c>
    </row>
    <row r="302" s="10" customFormat="1" customHeight="1" spans="1:17">
      <c r="A302" s="26">
        <f t="shared" si="15"/>
        <v>1105058</v>
      </c>
      <c r="B302" s="26">
        <v>1105</v>
      </c>
      <c r="C302" s="26" t="s">
        <v>290</v>
      </c>
      <c r="D302" s="26" t="s">
        <v>291</v>
      </c>
      <c r="E302" s="22">
        <f t="shared" si="13"/>
        <v>33</v>
      </c>
      <c r="F302" s="26">
        <v>58</v>
      </c>
      <c r="G302" s="26">
        <v>15</v>
      </c>
      <c r="H302" s="26" t="s">
        <v>262</v>
      </c>
      <c r="I302" s="27">
        <v>34800</v>
      </c>
      <c r="J302" s="12">
        <v>5800</v>
      </c>
      <c r="K302" s="12" t="s">
        <v>217</v>
      </c>
      <c r="L302" s="27"/>
      <c r="M302" s="28"/>
      <c r="N302" s="28"/>
      <c r="O302" s="3" t="s">
        <v>234</v>
      </c>
      <c r="P302" s="29">
        <v>228</v>
      </c>
      <c r="Q302" s="25" t="s">
        <v>276</v>
      </c>
    </row>
    <row r="303" s="10" customFormat="1" customHeight="1" spans="1:17">
      <c r="A303" s="26">
        <f t="shared" si="15"/>
        <v>1105059</v>
      </c>
      <c r="B303" s="26">
        <v>1105</v>
      </c>
      <c r="C303" s="26" t="s">
        <v>290</v>
      </c>
      <c r="D303" s="26" t="s">
        <v>291</v>
      </c>
      <c r="E303" s="22">
        <f t="shared" si="13"/>
        <v>33</v>
      </c>
      <c r="F303" s="26">
        <v>59</v>
      </c>
      <c r="G303" s="26">
        <v>15</v>
      </c>
      <c r="H303" s="26" t="s">
        <v>263</v>
      </c>
      <c r="I303" s="27">
        <v>35400</v>
      </c>
      <c r="J303" s="12">
        <v>5900</v>
      </c>
      <c r="K303" s="12" t="s">
        <v>220</v>
      </c>
      <c r="L303" s="27"/>
      <c r="M303" s="28"/>
      <c r="N303" s="28"/>
      <c r="O303" s="3" t="s">
        <v>234</v>
      </c>
      <c r="P303" s="29">
        <v>232</v>
      </c>
      <c r="Q303" s="25" t="s">
        <v>277</v>
      </c>
    </row>
    <row r="304" s="10" customFormat="1" customHeight="1" spans="1:17">
      <c r="A304" s="26">
        <f t="shared" si="15"/>
        <v>1105060</v>
      </c>
      <c r="B304" s="26">
        <v>1105</v>
      </c>
      <c r="C304" s="26" t="s">
        <v>290</v>
      </c>
      <c r="D304" s="26" t="s">
        <v>291</v>
      </c>
      <c r="E304" s="22">
        <v>9999</v>
      </c>
      <c r="F304" s="26">
        <v>60</v>
      </c>
      <c r="G304" s="26">
        <v>15</v>
      </c>
      <c r="H304" s="26" t="s">
        <v>264</v>
      </c>
      <c r="I304" s="27">
        <v>36000</v>
      </c>
      <c r="J304" s="12">
        <v>6000</v>
      </c>
      <c r="K304" s="12" t="s">
        <v>223</v>
      </c>
      <c r="L304" s="27"/>
      <c r="M304" s="28"/>
      <c r="N304" s="28"/>
      <c r="O304" s="3" t="s">
        <v>234</v>
      </c>
      <c r="P304" s="29"/>
      <c r="Q304" s="25" t="s">
        <v>278</v>
      </c>
    </row>
    <row r="305" customHeight="1" spans="1:17">
      <c r="A305" s="22">
        <f t="shared" ref="A305:A319" si="16">B305*1000+F305</f>
        <v>1106001</v>
      </c>
      <c r="B305" s="22">
        <v>1106</v>
      </c>
      <c r="C305" s="22" t="s">
        <v>299</v>
      </c>
      <c r="D305" s="22" t="s">
        <v>300</v>
      </c>
      <c r="E305" s="22">
        <v>12</v>
      </c>
      <c r="F305" s="22">
        <v>1</v>
      </c>
      <c r="G305" s="22">
        <v>11</v>
      </c>
      <c r="H305" s="22" t="s">
        <v>38</v>
      </c>
      <c r="I305" s="12">
        <v>500</v>
      </c>
      <c r="J305" s="12">
        <v>100</v>
      </c>
      <c r="K305" s="12" t="s">
        <v>39</v>
      </c>
      <c r="L305" s="12"/>
      <c r="M305" s="11" t="s">
        <v>301</v>
      </c>
      <c r="N305" s="5" t="s">
        <v>302</v>
      </c>
      <c r="O305" s="2" t="s">
        <v>303</v>
      </c>
      <c r="P305" s="24">
        <v>2</v>
      </c>
      <c r="Q305" s="25" t="s">
        <v>59</v>
      </c>
    </row>
    <row r="306" customHeight="1" spans="1:17">
      <c r="A306" s="22">
        <f t="shared" si="16"/>
        <v>1106002</v>
      </c>
      <c r="B306" s="22">
        <v>1106</v>
      </c>
      <c r="C306" s="22" t="s">
        <v>299</v>
      </c>
      <c r="D306" s="22" t="s">
        <v>300</v>
      </c>
      <c r="E306" s="22">
        <v>12</v>
      </c>
      <c r="F306" s="22">
        <v>2</v>
      </c>
      <c r="G306" s="22">
        <v>13</v>
      </c>
      <c r="H306" s="22" t="s">
        <v>49</v>
      </c>
      <c r="I306" s="12">
        <v>1000</v>
      </c>
      <c r="J306" s="12">
        <v>200</v>
      </c>
      <c r="K306" s="12" t="s">
        <v>45</v>
      </c>
      <c r="L306" s="12"/>
      <c r="M306" s="11" t="s">
        <v>304</v>
      </c>
      <c r="N306" s="5" t="s">
        <v>305</v>
      </c>
      <c r="O306" s="2">
        <v>1106263</v>
      </c>
      <c r="P306" s="24">
        <v>4</v>
      </c>
      <c r="Q306" s="25" t="s">
        <v>62</v>
      </c>
    </row>
    <row r="307" customHeight="1" spans="1:17">
      <c r="A307" s="22">
        <f t="shared" si="16"/>
        <v>1106003</v>
      </c>
      <c r="B307" s="22">
        <v>1106</v>
      </c>
      <c r="C307" s="22" t="s">
        <v>299</v>
      </c>
      <c r="D307" s="22" t="s">
        <v>300</v>
      </c>
      <c r="E307" s="22">
        <v>12</v>
      </c>
      <c r="F307" s="22">
        <v>3</v>
      </c>
      <c r="G307" s="22">
        <v>15</v>
      </c>
      <c r="H307" s="22" t="s">
        <v>57</v>
      </c>
      <c r="I307" s="12">
        <v>1500</v>
      </c>
      <c r="J307" s="12">
        <v>300</v>
      </c>
      <c r="K307" s="12" t="s">
        <v>50</v>
      </c>
      <c r="L307" s="12"/>
      <c r="M307" s="11" t="s">
        <v>306</v>
      </c>
      <c r="N307" s="5" t="s">
        <v>307</v>
      </c>
      <c r="O307" s="2">
        <v>1106261</v>
      </c>
      <c r="P307" s="24">
        <v>8</v>
      </c>
      <c r="Q307" s="25" t="s">
        <v>65</v>
      </c>
    </row>
    <row r="308" customHeight="1" spans="1:17">
      <c r="A308" s="22">
        <f t="shared" si="16"/>
        <v>1106004</v>
      </c>
      <c r="B308" s="22">
        <v>1106</v>
      </c>
      <c r="C308" s="22" t="s">
        <v>299</v>
      </c>
      <c r="D308" s="22" t="s">
        <v>300</v>
      </c>
      <c r="E308" s="22">
        <f t="shared" ref="E308:E364" si="17">E305+1</f>
        <v>13</v>
      </c>
      <c r="F308" s="22">
        <v>4</v>
      </c>
      <c r="G308" s="22">
        <v>15</v>
      </c>
      <c r="H308" s="22" t="s">
        <v>63</v>
      </c>
      <c r="I308" s="12">
        <v>2000</v>
      </c>
      <c r="J308" s="12">
        <v>400</v>
      </c>
      <c r="K308" s="12" t="s">
        <v>55</v>
      </c>
      <c r="L308" s="12"/>
      <c r="N308" s="5"/>
      <c r="O308" s="2">
        <v>1106254</v>
      </c>
      <c r="P308" s="24">
        <v>12</v>
      </c>
      <c r="Q308" s="25" t="s">
        <v>68</v>
      </c>
    </row>
    <row r="309" customHeight="1" spans="1:17">
      <c r="A309" s="22">
        <f t="shared" si="16"/>
        <v>1106005</v>
      </c>
      <c r="B309" s="22">
        <v>1106</v>
      </c>
      <c r="C309" s="22" t="s">
        <v>299</v>
      </c>
      <c r="D309" s="22" t="s">
        <v>300</v>
      </c>
      <c r="E309" s="22">
        <f t="shared" si="17"/>
        <v>13</v>
      </c>
      <c r="F309" s="22">
        <v>5</v>
      </c>
      <c r="G309" s="22">
        <v>15</v>
      </c>
      <c r="H309" s="22" t="s">
        <v>69</v>
      </c>
      <c r="I309" s="12">
        <v>2500</v>
      </c>
      <c r="J309" s="12">
        <v>500</v>
      </c>
      <c r="K309" s="12" t="s">
        <v>58</v>
      </c>
      <c r="L309" s="12"/>
      <c r="N309" s="5"/>
      <c r="O309" s="2">
        <v>1106253</v>
      </c>
      <c r="P309" s="24">
        <v>16</v>
      </c>
      <c r="Q309" s="25" t="s">
        <v>71</v>
      </c>
    </row>
    <row r="310" customHeight="1" spans="1:17">
      <c r="A310" s="22">
        <f t="shared" si="16"/>
        <v>1106006</v>
      </c>
      <c r="B310" s="22">
        <v>1106</v>
      </c>
      <c r="C310" s="22" t="s">
        <v>299</v>
      </c>
      <c r="D310" s="22" t="s">
        <v>300</v>
      </c>
      <c r="E310" s="22">
        <f t="shared" si="17"/>
        <v>13</v>
      </c>
      <c r="F310" s="22">
        <v>6</v>
      </c>
      <c r="G310" s="22">
        <v>15</v>
      </c>
      <c r="H310" s="22" t="s">
        <v>75</v>
      </c>
      <c r="I310" s="12">
        <v>3000</v>
      </c>
      <c r="J310" s="12">
        <v>600</v>
      </c>
      <c r="K310" s="12" t="s">
        <v>61</v>
      </c>
      <c r="L310" s="12"/>
      <c r="N310" s="5"/>
      <c r="O310" s="2">
        <v>1106251</v>
      </c>
      <c r="P310" s="24">
        <v>20</v>
      </c>
      <c r="Q310" s="25" t="s">
        <v>74</v>
      </c>
    </row>
    <row r="311" customHeight="1" spans="1:17">
      <c r="A311" s="22">
        <f t="shared" si="16"/>
        <v>1106007</v>
      </c>
      <c r="B311" s="22">
        <v>1106</v>
      </c>
      <c r="C311" s="22" t="s">
        <v>299</v>
      </c>
      <c r="D311" s="22" t="s">
        <v>300</v>
      </c>
      <c r="E311" s="22">
        <f t="shared" si="17"/>
        <v>14</v>
      </c>
      <c r="F311" s="22">
        <v>7</v>
      </c>
      <c r="G311" s="22">
        <v>15</v>
      </c>
      <c r="H311" s="22" t="s">
        <v>81</v>
      </c>
      <c r="I311" s="12">
        <v>3500</v>
      </c>
      <c r="J311" s="12">
        <v>700</v>
      </c>
      <c r="K311" s="12" t="s">
        <v>64</v>
      </c>
      <c r="L311" s="12"/>
      <c r="N311" s="5"/>
      <c r="O311" s="2">
        <v>1106252</v>
      </c>
      <c r="P311" s="24">
        <v>24</v>
      </c>
      <c r="Q311" s="25" t="s">
        <v>77</v>
      </c>
    </row>
    <row r="312" customHeight="1" spans="1:17">
      <c r="A312" s="22">
        <f t="shared" si="16"/>
        <v>1106008</v>
      </c>
      <c r="B312" s="22">
        <v>1106</v>
      </c>
      <c r="C312" s="22" t="s">
        <v>299</v>
      </c>
      <c r="D312" s="22" t="s">
        <v>300</v>
      </c>
      <c r="E312" s="22">
        <f t="shared" si="17"/>
        <v>14</v>
      </c>
      <c r="F312" s="22">
        <v>8</v>
      </c>
      <c r="G312" s="22">
        <v>15</v>
      </c>
      <c r="H312" s="22" t="s">
        <v>87</v>
      </c>
      <c r="I312" s="12">
        <v>4000</v>
      </c>
      <c r="J312" s="12">
        <v>800</v>
      </c>
      <c r="K312" s="12" t="s">
        <v>67</v>
      </c>
      <c r="L312" s="12"/>
      <c r="N312" s="5"/>
      <c r="O312" s="2">
        <v>1106256</v>
      </c>
      <c r="P312" s="24">
        <v>28</v>
      </c>
      <c r="Q312" s="25" t="s">
        <v>80</v>
      </c>
    </row>
    <row r="313" customHeight="1" spans="1:17">
      <c r="A313" s="22">
        <f t="shared" si="16"/>
        <v>1106009</v>
      </c>
      <c r="B313" s="22">
        <v>1106</v>
      </c>
      <c r="C313" s="22" t="s">
        <v>299</v>
      </c>
      <c r="D313" s="22" t="s">
        <v>300</v>
      </c>
      <c r="E313" s="22">
        <f t="shared" si="17"/>
        <v>14</v>
      </c>
      <c r="F313" s="22">
        <v>9</v>
      </c>
      <c r="G313" s="22">
        <v>15</v>
      </c>
      <c r="H313" s="22" t="s">
        <v>93</v>
      </c>
      <c r="I313" s="12">
        <v>4500</v>
      </c>
      <c r="J313" s="12">
        <v>900</v>
      </c>
      <c r="K313" s="12" t="s">
        <v>70</v>
      </c>
      <c r="L313" s="12"/>
      <c r="N313" s="5"/>
      <c r="O313" s="2">
        <v>1106265</v>
      </c>
      <c r="P313" s="24">
        <v>32</v>
      </c>
      <c r="Q313" s="25" t="s">
        <v>83</v>
      </c>
    </row>
    <row r="314" customHeight="1" spans="1:17">
      <c r="A314" s="22">
        <f t="shared" si="16"/>
        <v>1106010</v>
      </c>
      <c r="B314" s="22">
        <v>1106</v>
      </c>
      <c r="C314" s="22" t="s">
        <v>299</v>
      </c>
      <c r="D314" s="22" t="s">
        <v>300</v>
      </c>
      <c r="E314" s="22">
        <f t="shared" si="17"/>
        <v>15</v>
      </c>
      <c r="F314" s="22">
        <v>10</v>
      </c>
      <c r="G314" s="22">
        <v>15</v>
      </c>
      <c r="H314" s="22" t="s">
        <v>99</v>
      </c>
      <c r="I314" s="12">
        <v>5000</v>
      </c>
      <c r="J314" s="12">
        <v>1000</v>
      </c>
      <c r="K314" s="12" t="s">
        <v>73</v>
      </c>
      <c r="L314" s="12"/>
      <c r="N314" s="5"/>
      <c r="O314" s="2">
        <v>1106267</v>
      </c>
      <c r="P314" s="24">
        <v>36</v>
      </c>
      <c r="Q314" s="25" t="s">
        <v>86</v>
      </c>
    </row>
    <row r="315" customHeight="1" spans="1:17">
      <c r="A315" s="22">
        <f t="shared" ref="A315:A346" si="18">B315*1000+F315</f>
        <v>1106011</v>
      </c>
      <c r="B315" s="22">
        <v>1106</v>
      </c>
      <c r="C315" s="22" t="s">
        <v>299</v>
      </c>
      <c r="D315" s="22" t="s">
        <v>300</v>
      </c>
      <c r="E315" s="22">
        <f t="shared" si="17"/>
        <v>15</v>
      </c>
      <c r="F315" s="22">
        <v>11</v>
      </c>
      <c r="G315" s="22">
        <v>15</v>
      </c>
      <c r="H315" s="22" t="s">
        <v>105</v>
      </c>
      <c r="I315" s="12">
        <v>5500</v>
      </c>
      <c r="J315" s="12">
        <v>1100</v>
      </c>
      <c r="K315" s="12" t="s">
        <v>76</v>
      </c>
      <c r="L315" s="12"/>
      <c r="N315" s="5"/>
      <c r="O315" s="2">
        <v>1106269</v>
      </c>
      <c r="P315" s="24">
        <v>40</v>
      </c>
      <c r="Q315" s="25" t="s">
        <v>89</v>
      </c>
    </row>
    <row r="316" customHeight="1" spans="1:17">
      <c r="A316" s="22">
        <f t="shared" si="18"/>
        <v>1106012</v>
      </c>
      <c r="B316" s="22">
        <v>1106</v>
      </c>
      <c r="C316" s="22" t="s">
        <v>299</v>
      </c>
      <c r="D316" s="22" t="s">
        <v>300</v>
      </c>
      <c r="E316" s="22">
        <f t="shared" si="17"/>
        <v>15</v>
      </c>
      <c r="F316" s="22">
        <v>12</v>
      </c>
      <c r="G316" s="22">
        <v>15</v>
      </c>
      <c r="H316" s="22" t="s">
        <v>111</v>
      </c>
      <c r="I316" s="12">
        <v>6000</v>
      </c>
      <c r="J316" s="12">
        <v>1200</v>
      </c>
      <c r="K316" s="12" t="s">
        <v>79</v>
      </c>
      <c r="L316" s="12"/>
      <c r="N316" s="5"/>
      <c r="O316" s="2">
        <v>1106270</v>
      </c>
      <c r="P316" s="24">
        <v>44</v>
      </c>
      <c r="Q316" s="25" t="s">
        <v>92</v>
      </c>
    </row>
    <row r="317" customHeight="1" spans="1:17">
      <c r="A317" s="22">
        <f t="shared" si="18"/>
        <v>1106013</v>
      </c>
      <c r="B317" s="22">
        <v>1106</v>
      </c>
      <c r="C317" s="22" t="s">
        <v>299</v>
      </c>
      <c r="D317" s="22" t="s">
        <v>300</v>
      </c>
      <c r="E317" s="22">
        <f t="shared" si="17"/>
        <v>16</v>
      </c>
      <c r="F317" s="22">
        <v>13</v>
      </c>
      <c r="G317" s="22">
        <v>15</v>
      </c>
      <c r="H317" s="22" t="s">
        <v>117</v>
      </c>
      <c r="I317" s="12">
        <v>6500</v>
      </c>
      <c r="J317" s="12">
        <v>1300</v>
      </c>
      <c r="K317" s="12" t="s">
        <v>82</v>
      </c>
      <c r="L317" s="12"/>
      <c r="N317" s="5"/>
      <c r="O317" s="2">
        <v>1106271</v>
      </c>
      <c r="P317" s="24">
        <v>48</v>
      </c>
      <c r="Q317" s="25" t="s">
        <v>95</v>
      </c>
    </row>
    <row r="318" customHeight="1" spans="1:17">
      <c r="A318" s="22">
        <f t="shared" si="18"/>
        <v>1106014</v>
      </c>
      <c r="B318" s="22">
        <v>1106</v>
      </c>
      <c r="C318" s="22" t="s">
        <v>299</v>
      </c>
      <c r="D318" s="22" t="s">
        <v>300</v>
      </c>
      <c r="E318" s="22">
        <f t="shared" si="17"/>
        <v>16</v>
      </c>
      <c r="F318" s="22">
        <v>14</v>
      </c>
      <c r="G318" s="22">
        <v>15</v>
      </c>
      <c r="H318" s="22" t="s">
        <v>123</v>
      </c>
      <c r="I318" s="12">
        <v>7000</v>
      </c>
      <c r="J318" s="12">
        <v>1400</v>
      </c>
      <c r="K318" s="12" t="s">
        <v>85</v>
      </c>
      <c r="L318" s="12"/>
      <c r="N318" s="5"/>
      <c r="P318" s="24">
        <v>52</v>
      </c>
      <c r="Q318" s="25" t="s">
        <v>98</v>
      </c>
    </row>
    <row r="319" customHeight="1" spans="1:17">
      <c r="A319" s="22">
        <f t="shared" si="18"/>
        <v>1106015</v>
      </c>
      <c r="B319" s="22">
        <v>1106</v>
      </c>
      <c r="C319" s="22" t="s">
        <v>299</v>
      </c>
      <c r="D319" s="22" t="s">
        <v>300</v>
      </c>
      <c r="E319" s="22">
        <f t="shared" si="17"/>
        <v>16</v>
      </c>
      <c r="F319" s="22">
        <v>15</v>
      </c>
      <c r="G319" s="22">
        <v>15</v>
      </c>
      <c r="H319" s="22" t="s">
        <v>129</v>
      </c>
      <c r="I319" s="12">
        <v>7500</v>
      </c>
      <c r="J319" s="12">
        <v>1500</v>
      </c>
      <c r="K319" s="12" t="s">
        <v>88</v>
      </c>
      <c r="L319" s="12"/>
      <c r="N319" s="5"/>
      <c r="P319" s="24">
        <v>56</v>
      </c>
      <c r="Q319" s="25" t="s">
        <v>101</v>
      </c>
    </row>
    <row r="320" customHeight="1" spans="1:17">
      <c r="A320" s="22">
        <f t="shared" si="18"/>
        <v>1106016</v>
      </c>
      <c r="B320" s="22">
        <v>1106</v>
      </c>
      <c r="C320" s="22" t="s">
        <v>299</v>
      </c>
      <c r="D320" s="22" t="s">
        <v>300</v>
      </c>
      <c r="E320" s="22">
        <f t="shared" si="17"/>
        <v>17</v>
      </c>
      <c r="F320" s="22">
        <v>16</v>
      </c>
      <c r="G320" s="22">
        <v>15</v>
      </c>
      <c r="H320" s="22" t="s">
        <v>135</v>
      </c>
      <c r="I320" s="12">
        <v>8000</v>
      </c>
      <c r="J320" s="12">
        <v>1600</v>
      </c>
      <c r="K320" s="12" t="s">
        <v>91</v>
      </c>
      <c r="L320" s="12"/>
      <c r="N320" s="5"/>
      <c r="P320" s="24">
        <v>60</v>
      </c>
      <c r="Q320" s="25" t="s">
        <v>104</v>
      </c>
    </row>
    <row r="321" customHeight="1" spans="1:17">
      <c r="A321" s="22">
        <f t="shared" si="18"/>
        <v>1106017</v>
      </c>
      <c r="B321" s="22">
        <v>1106</v>
      </c>
      <c r="C321" s="22" t="s">
        <v>299</v>
      </c>
      <c r="D321" s="22" t="s">
        <v>300</v>
      </c>
      <c r="E321" s="22">
        <f t="shared" si="17"/>
        <v>17</v>
      </c>
      <c r="F321" s="22">
        <v>17</v>
      </c>
      <c r="G321" s="22">
        <v>15</v>
      </c>
      <c r="H321" s="22" t="s">
        <v>141</v>
      </c>
      <c r="I321" s="12">
        <v>8500</v>
      </c>
      <c r="J321" s="12">
        <v>1700</v>
      </c>
      <c r="K321" s="12" t="s">
        <v>94</v>
      </c>
      <c r="L321" s="12"/>
      <c r="P321" s="24">
        <v>64</v>
      </c>
      <c r="Q321" s="25" t="s">
        <v>107</v>
      </c>
    </row>
    <row r="322" customHeight="1" spans="1:17">
      <c r="A322" s="22">
        <f t="shared" si="18"/>
        <v>1106018</v>
      </c>
      <c r="B322" s="22">
        <v>1106</v>
      </c>
      <c r="C322" s="22" t="s">
        <v>299</v>
      </c>
      <c r="D322" s="22" t="s">
        <v>300</v>
      </c>
      <c r="E322" s="22">
        <f t="shared" si="17"/>
        <v>17</v>
      </c>
      <c r="F322" s="22">
        <v>18</v>
      </c>
      <c r="G322" s="22">
        <v>15</v>
      </c>
      <c r="H322" s="22" t="s">
        <v>147</v>
      </c>
      <c r="I322" s="12">
        <v>9000</v>
      </c>
      <c r="J322" s="12">
        <v>1800</v>
      </c>
      <c r="K322" s="12" t="s">
        <v>97</v>
      </c>
      <c r="L322" s="12"/>
      <c r="P322" s="24">
        <v>68</v>
      </c>
      <c r="Q322" s="25" t="s">
        <v>110</v>
      </c>
    </row>
    <row r="323" customHeight="1" spans="1:17">
      <c r="A323" s="22">
        <f t="shared" si="18"/>
        <v>1106019</v>
      </c>
      <c r="B323" s="22">
        <v>1106</v>
      </c>
      <c r="C323" s="22" t="s">
        <v>299</v>
      </c>
      <c r="D323" s="22" t="s">
        <v>300</v>
      </c>
      <c r="E323" s="22">
        <f t="shared" si="17"/>
        <v>18</v>
      </c>
      <c r="F323" s="22">
        <v>19</v>
      </c>
      <c r="G323" s="22">
        <v>15</v>
      </c>
      <c r="H323" s="22" t="s">
        <v>153</v>
      </c>
      <c r="I323" s="12">
        <v>9500</v>
      </c>
      <c r="J323" s="12">
        <v>1900</v>
      </c>
      <c r="K323" s="12" t="s">
        <v>100</v>
      </c>
      <c r="L323" s="12"/>
      <c r="P323" s="24">
        <v>72</v>
      </c>
      <c r="Q323" s="25" t="s">
        <v>113</v>
      </c>
    </row>
    <row r="324" customHeight="1" spans="1:17">
      <c r="A324" s="22">
        <f t="shared" si="18"/>
        <v>1106020</v>
      </c>
      <c r="B324" s="22">
        <v>1106</v>
      </c>
      <c r="C324" s="22" t="s">
        <v>299</v>
      </c>
      <c r="D324" s="22" t="s">
        <v>300</v>
      </c>
      <c r="E324" s="22">
        <f t="shared" si="17"/>
        <v>18</v>
      </c>
      <c r="F324" s="22">
        <v>20</v>
      </c>
      <c r="G324" s="22">
        <v>15</v>
      </c>
      <c r="H324" s="22" t="s">
        <v>159</v>
      </c>
      <c r="I324" s="12">
        <v>10000</v>
      </c>
      <c r="J324" s="12">
        <v>2000</v>
      </c>
      <c r="K324" s="12" t="s">
        <v>103</v>
      </c>
      <c r="L324" s="12"/>
      <c r="P324" s="24">
        <v>76</v>
      </c>
      <c r="Q324" s="25" t="s">
        <v>116</v>
      </c>
    </row>
    <row r="325" customHeight="1" spans="1:17">
      <c r="A325" s="22">
        <f t="shared" si="18"/>
        <v>1106021</v>
      </c>
      <c r="B325" s="22">
        <v>1106</v>
      </c>
      <c r="C325" s="22" t="s">
        <v>299</v>
      </c>
      <c r="D325" s="22" t="s">
        <v>300</v>
      </c>
      <c r="E325" s="22">
        <f t="shared" si="17"/>
        <v>18</v>
      </c>
      <c r="F325" s="22">
        <v>21</v>
      </c>
      <c r="G325" s="22">
        <v>15</v>
      </c>
      <c r="H325" s="22" t="s">
        <v>165</v>
      </c>
      <c r="I325" s="12">
        <v>10500</v>
      </c>
      <c r="J325" s="12">
        <v>2100</v>
      </c>
      <c r="K325" s="12" t="s">
        <v>106</v>
      </c>
      <c r="L325" s="12"/>
      <c r="O325" s="2" t="s">
        <v>234</v>
      </c>
      <c r="P325" s="24">
        <v>80</v>
      </c>
      <c r="Q325" s="25" t="s">
        <v>119</v>
      </c>
    </row>
    <row r="326" customHeight="1" spans="1:17">
      <c r="A326" s="22">
        <f t="shared" si="18"/>
        <v>1106022</v>
      </c>
      <c r="B326" s="22">
        <v>1106</v>
      </c>
      <c r="C326" s="22" t="s">
        <v>299</v>
      </c>
      <c r="D326" s="22" t="s">
        <v>300</v>
      </c>
      <c r="E326" s="22">
        <f t="shared" si="17"/>
        <v>19</v>
      </c>
      <c r="F326" s="22">
        <v>22</v>
      </c>
      <c r="G326" s="22">
        <v>15</v>
      </c>
      <c r="H326" s="22" t="s">
        <v>171</v>
      </c>
      <c r="I326" s="12">
        <v>11000</v>
      </c>
      <c r="J326" s="12">
        <v>2200</v>
      </c>
      <c r="K326" s="12" t="s">
        <v>109</v>
      </c>
      <c r="L326" s="12"/>
      <c r="O326" s="2" t="s">
        <v>234</v>
      </c>
      <c r="P326" s="24">
        <v>84</v>
      </c>
      <c r="Q326" s="25" t="s">
        <v>122</v>
      </c>
    </row>
    <row r="327" customHeight="1" spans="1:17">
      <c r="A327" s="22">
        <f t="shared" si="18"/>
        <v>1106023</v>
      </c>
      <c r="B327" s="22">
        <v>1106</v>
      </c>
      <c r="C327" s="22" t="s">
        <v>299</v>
      </c>
      <c r="D327" s="22" t="s">
        <v>300</v>
      </c>
      <c r="E327" s="22">
        <f t="shared" si="17"/>
        <v>19</v>
      </c>
      <c r="F327" s="22">
        <v>23</v>
      </c>
      <c r="G327" s="22">
        <v>15</v>
      </c>
      <c r="H327" s="22" t="s">
        <v>177</v>
      </c>
      <c r="I327" s="12">
        <v>11500</v>
      </c>
      <c r="J327" s="12">
        <v>2300</v>
      </c>
      <c r="K327" s="12" t="s">
        <v>112</v>
      </c>
      <c r="L327" s="12"/>
      <c r="O327" s="2" t="s">
        <v>234</v>
      </c>
      <c r="P327" s="24">
        <v>88</v>
      </c>
      <c r="Q327" s="25" t="s">
        <v>125</v>
      </c>
    </row>
    <row r="328" customHeight="1" spans="1:17">
      <c r="A328" s="22">
        <f t="shared" si="18"/>
        <v>1106024</v>
      </c>
      <c r="B328" s="22">
        <v>1106</v>
      </c>
      <c r="C328" s="22" t="s">
        <v>299</v>
      </c>
      <c r="D328" s="22" t="s">
        <v>300</v>
      </c>
      <c r="E328" s="22">
        <f t="shared" si="17"/>
        <v>19</v>
      </c>
      <c r="F328" s="22">
        <v>24</v>
      </c>
      <c r="G328" s="22">
        <v>15</v>
      </c>
      <c r="H328" s="22" t="s">
        <v>183</v>
      </c>
      <c r="I328" s="12">
        <v>12000</v>
      </c>
      <c r="J328" s="12">
        <v>2400</v>
      </c>
      <c r="K328" s="12" t="s">
        <v>115</v>
      </c>
      <c r="L328" s="12"/>
      <c r="O328" s="2" t="s">
        <v>234</v>
      </c>
      <c r="P328" s="24">
        <v>92</v>
      </c>
      <c r="Q328" s="25" t="s">
        <v>128</v>
      </c>
    </row>
    <row r="329" customHeight="1" spans="1:17">
      <c r="A329" s="22">
        <f t="shared" si="18"/>
        <v>1106025</v>
      </c>
      <c r="B329" s="22">
        <v>1106</v>
      </c>
      <c r="C329" s="22" t="s">
        <v>299</v>
      </c>
      <c r="D329" s="22" t="s">
        <v>300</v>
      </c>
      <c r="E329" s="22">
        <f t="shared" si="17"/>
        <v>20</v>
      </c>
      <c r="F329" s="22">
        <v>25</v>
      </c>
      <c r="G329" s="22">
        <v>15</v>
      </c>
      <c r="H329" s="22" t="s">
        <v>189</v>
      </c>
      <c r="I329" s="12">
        <v>12500</v>
      </c>
      <c r="J329" s="12">
        <v>2500</v>
      </c>
      <c r="K329" s="12" t="s">
        <v>118</v>
      </c>
      <c r="L329" s="12"/>
      <c r="O329" s="2" t="s">
        <v>234</v>
      </c>
      <c r="P329" s="24">
        <v>96</v>
      </c>
      <c r="Q329" s="25" t="s">
        <v>131</v>
      </c>
    </row>
    <row r="330" customHeight="1" spans="1:17">
      <c r="A330" s="22">
        <f t="shared" si="18"/>
        <v>1106026</v>
      </c>
      <c r="B330" s="22">
        <v>1106</v>
      </c>
      <c r="C330" s="22" t="s">
        <v>299</v>
      </c>
      <c r="D330" s="22" t="s">
        <v>300</v>
      </c>
      <c r="E330" s="22">
        <f t="shared" si="17"/>
        <v>20</v>
      </c>
      <c r="F330" s="22">
        <v>26</v>
      </c>
      <c r="G330" s="22">
        <v>15</v>
      </c>
      <c r="H330" s="22" t="s">
        <v>195</v>
      </c>
      <c r="I330" s="12">
        <v>13000</v>
      </c>
      <c r="J330" s="12">
        <v>2600</v>
      </c>
      <c r="K330" s="12" t="s">
        <v>121</v>
      </c>
      <c r="L330" s="12"/>
      <c r="O330" s="2" t="s">
        <v>234</v>
      </c>
      <c r="P330" s="24">
        <v>100</v>
      </c>
      <c r="Q330" s="25" t="s">
        <v>134</v>
      </c>
    </row>
    <row r="331" customHeight="1" spans="1:17">
      <c r="A331" s="22">
        <f t="shared" si="18"/>
        <v>1106027</v>
      </c>
      <c r="B331" s="22">
        <v>1106</v>
      </c>
      <c r="C331" s="22" t="s">
        <v>299</v>
      </c>
      <c r="D331" s="22" t="s">
        <v>300</v>
      </c>
      <c r="E331" s="22">
        <f t="shared" si="17"/>
        <v>20</v>
      </c>
      <c r="F331" s="22">
        <v>27</v>
      </c>
      <c r="G331" s="22">
        <v>15</v>
      </c>
      <c r="H331" s="22" t="s">
        <v>201</v>
      </c>
      <c r="I331" s="12">
        <v>13500</v>
      </c>
      <c r="J331" s="12">
        <v>2700</v>
      </c>
      <c r="K331" s="12" t="s">
        <v>124</v>
      </c>
      <c r="L331" s="12"/>
      <c r="O331" s="2" t="s">
        <v>234</v>
      </c>
      <c r="P331" s="24">
        <v>104</v>
      </c>
      <c r="Q331" s="25" t="s">
        <v>137</v>
      </c>
    </row>
    <row r="332" customHeight="1" spans="1:17">
      <c r="A332" s="22">
        <f t="shared" si="18"/>
        <v>1106028</v>
      </c>
      <c r="B332" s="22">
        <v>1106</v>
      </c>
      <c r="C332" s="22" t="s">
        <v>299</v>
      </c>
      <c r="D332" s="22" t="s">
        <v>300</v>
      </c>
      <c r="E332" s="22">
        <f t="shared" si="17"/>
        <v>21</v>
      </c>
      <c r="F332" s="22">
        <v>28</v>
      </c>
      <c r="G332" s="22">
        <v>15</v>
      </c>
      <c r="H332" s="22" t="s">
        <v>207</v>
      </c>
      <c r="I332" s="12">
        <v>14000</v>
      </c>
      <c r="J332" s="12">
        <v>2800</v>
      </c>
      <c r="K332" s="12" t="s">
        <v>127</v>
      </c>
      <c r="L332" s="12"/>
      <c r="O332" s="2" t="s">
        <v>234</v>
      </c>
      <c r="P332" s="24">
        <v>108</v>
      </c>
      <c r="Q332" s="25" t="s">
        <v>140</v>
      </c>
    </row>
    <row r="333" customHeight="1" spans="1:17">
      <c r="A333" s="22">
        <f t="shared" si="18"/>
        <v>1106029</v>
      </c>
      <c r="B333" s="22">
        <v>1106</v>
      </c>
      <c r="C333" s="22" t="s">
        <v>299</v>
      </c>
      <c r="D333" s="22" t="s">
        <v>300</v>
      </c>
      <c r="E333" s="22">
        <f t="shared" si="17"/>
        <v>21</v>
      </c>
      <c r="F333" s="22">
        <v>29</v>
      </c>
      <c r="G333" s="22">
        <v>15</v>
      </c>
      <c r="H333" s="22" t="s">
        <v>213</v>
      </c>
      <c r="I333" s="12">
        <v>14500</v>
      </c>
      <c r="J333" s="12">
        <v>2900</v>
      </c>
      <c r="K333" s="12" t="s">
        <v>130</v>
      </c>
      <c r="L333" s="12"/>
      <c r="O333" s="2" t="s">
        <v>234</v>
      </c>
      <c r="P333" s="24">
        <v>112</v>
      </c>
      <c r="Q333" s="25" t="s">
        <v>143</v>
      </c>
    </row>
    <row r="334" customHeight="1" spans="1:17">
      <c r="A334" s="22">
        <f t="shared" si="18"/>
        <v>1106030</v>
      </c>
      <c r="B334" s="22">
        <v>1106</v>
      </c>
      <c r="C334" s="22" t="s">
        <v>299</v>
      </c>
      <c r="D334" s="22" t="s">
        <v>300</v>
      </c>
      <c r="E334" s="22">
        <f t="shared" si="17"/>
        <v>21</v>
      </c>
      <c r="F334" s="22">
        <v>30</v>
      </c>
      <c r="G334" s="22">
        <v>15</v>
      </c>
      <c r="H334" s="22" t="s">
        <v>219</v>
      </c>
      <c r="I334" s="12">
        <v>15000</v>
      </c>
      <c r="J334" s="12">
        <v>3000</v>
      </c>
      <c r="K334" s="12" t="s">
        <v>133</v>
      </c>
      <c r="L334" s="12"/>
      <c r="O334" s="2" t="s">
        <v>234</v>
      </c>
      <c r="P334" s="24">
        <v>116</v>
      </c>
      <c r="Q334" s="25" t="s">
        <v>146</v>
      </c>
    </row>
    <row r="335" customHeight="1" spans="1:17">
      <c r="A335" s="22">
        <f t="shared" si="18"/>
        <v>1106031</v>
      </c>
      <c r="B335" s="22">
        <v>1106</v>
      </c>
      <c r="C335" s="22" t="s">
        <v>299</v>
      </c>
      <c r="D335" s="22" t="s">
        <v>300</v>
      </c>
      <c r="E335" s="22">
        <f t="shared" si="17"/>
        <v>22</v>
      </c>
      <c r="F335" s="22">
        <v>31</v>
      </c>
      <c r="G335" s="22">
        <v>15</v>
      </c>
      <c r="H335" s="22" t="s">
        <v>235</v>
      </c>
      <c r="I335" s="12">
        <v>15500</v>
      </c>
      <c r="J335" s="12">
        <v>3100</v>
      </c>
      <c r="K335" s="12" t="s">
        <v>136</v>
      </c>
      <c r="L335" s="12"/>
      <c r="O335" s="2" t="s">
        <v>234</v>
      </c>
      <c r="P335" s="24">
        <v>120</v>
      </c>
      <c r="Q335" s="25" t="s">
        <v>149</v>
      </c>
    </row>
    <row r="336" customHeight="1" spans="1:17">
      <c r="A336" s="22">
        <f t="shared" si="18"/>
        <v>1106032</v>
      </c>
      <c r="B336" s="22">
        <v>1106</v>
      </c>
      <c r="C336" s="22" t="s">
        <v>299</v>
      </c>
      <c r="D336" s="22" t="s">
        <v>300</v>
      </c>
      <c r="E336" s="22">
        <f t="shared" si="17"/>
        <v>22</v>
      </c>
      <c r="F336" s="22">
        <v>32</v>
      </c>
      <c r="G336" s="22">
        <v>15</v>
      </c>
      <c r="H336" s="22" t="s">
        <v>236</v>
      </c>
      <c r="I336" s="12">
        <v>16000</v>
      </c>
      <c r="J336" s="12">
        <v>3200</v>
      </c>
      <c r="K336" s="12" t="s">
        <v>139</v>
      </c>
      <c r="L336" s="12"/>
      <c r="O336" s="2" t="s">
        <v>234</v>
      </c>
      <c r="P336" s="24">
        <v>124</v>
      </c>
      <c r="Q336" s="25" t="s">
        <v>152</v>
      </c>
    </row>
    <row r="337" customHeight="1" spans="1:17">
      <c r="A337" s="22">
        <f t="shared" si="18"/>
        <v>1106033</v>
      </c>
      <c r="B337" s="22">
        <v>1106</v>
      </c>
      <c r="C337" s="22" t="s">
        <v>299</v>
      </c>
      <c r="D337" s="22" t="s">
        <v>300</v>
      </c>
      <c r="E337" s="22">
        <f t="shared" si="17"/>
        <v>22</v>
      </c>
      <c r="F337" s="22">
        <v>33</v>
      </c>
      <c r="G337" s="22">
        <v>15</v>
      </c>
      <c r="H337" s="22" t="s">
        <v>237</v>
      </c>
      <c r="I337" s="12">
        <v>16500</v>
      </c>
      <c r="J337" s="12">
        <v>3300</v>
      </c>
      <c r="K337" s="12" t="s">
        <v>142</v>
      </c>
      <c r="L337" s="12"/>
      <c r="O337" s="2" t="s">
        <v>234</v>
      </c>
      <c r="P337" s="24">
        <v>128</v>
      </c>
      <c r="Q337" s="25" t="s">
        <v>155</v>
      </c>
    </row>
    <row r="338" customHeight="1" spans="1:17">
      <c r="A338" s="22">
        <f t="shared" si="18"/>
        <v>1106034</v>
      </c>
      <c r="B338" s="22">
        <v>1106</v>
      </c>
      <c r="C338" s="22" t="s">
        <v>299</v>
      </c>
      <c r="D338" s="22" t="s">
        <v>300</v>
      </c>
      <c r="E338" s="22">
        <f t="shared" si="17"/>
        <v>23</v>
      </c>
      <c r="F338" s="22">
        <v>34</v>
      </c>
      <c r="G338" s="22">
        <v>15</v>
      </c>
      <c r="H338" s="22" t="s">
        <v>238</v>
      </c>
      <c r="I338" s="12">
        <v>17000</v>
      </c>
      <c r="J338" s="12">
        <v>3400</v>
      </c>
      <c r="K338" s="12" t="s">
        <v>145</v>
      </c>
      <c r="L338" s="12"/>
      <c r="O338" s="2" t="s">
        <v>234</v>
      </c>
      <c r="P338" s="24">
        <v>132</v>
      </c>
      <c r="Q338" s="25" t="s">
        <v>158</v>
      </c>
    </row>
    <row r="339" customHeight="1" spans="1:17">
      <c r="A339" s="22">
        <f t="shared" si="18"/>
        <v>1106035</v>
      </c>
      <c r="B339" s="22">
        <v>1106</v>
      </c>
      <c r="C339" s="22" t="s">
        <v>299</v>
      </c>
      <c r="D339" s="22" t="s">
        <v>300</v>
      </c>
      <c r="E339" s="22">
        <f t="shared" si="17"/>
        <v>23</v>
      </c>
      <c r="F339" s="22">
        <v>35</v>
      </c>
      <c r="G339" s="22">
        <v>15</v>
      </c>
      <c r="H339" s="22" t="s">
        <v>239</v>
      </c>
      <c r="I339" s="12">
        <v>17500</v>
      </c>
      <c r="J339" s="12">
        <v>3500</v>
      </c>
      <c r="K339" s="12" t="s">
        <v>148</v>
      </c>
      <c r="L339" s="12"/>
      <c r="O339" s="2" t="s">
        <v>234</v>
      </c>
      <c r="P339" s="24">
        <v>136</v>
      </c>
      <c r="Q339" s="25" t="s">
        <v>161</v>
      </c>
    </row>
    <row r="340" customHeight="1" spans="1:17">
      <c r="A340" s="22">
        <f t="shared" si="18"/>
        <v>1106036</v>
      </c>
      <c r="B340" s="22">
        <v>1106</v>
      </c>
      <c r="C340" s="22" t="s">
        <v>299</v>
      </c>
      <c r="D340" s="22" t="s">
        <v>300</v>
      </c>
      <c r="E340" s="22">
        <f t="shared" si="17"/>
        <v>23</v>
      </c>
      <c r="F340" s="22">
        <v>36</v>
      </c>
      <c r="G340" s="22">
        <v>15</v>
      </c>
      <c r="H340" s="22" t="s">
        <v>240</v>
      </c>
      <c r="I340" s="12">
        <v>18000</v>
      </c>
      <c r="J340" s="12">
        <v>3600</v>
      </c>
      <c r="K340" s="12" t="s">
        <v>151</v>
      </c>
      <c r="L340" s="12"/>
      <c r="O340" s="2" t="s">
        <v>234</v>
      </c>
      <c r="P340" s="24">
        <v>140</v>
      </c>
      <c r="Q340" s="25" t="s">
        <v>164</v>
      </c>
    </row>
    <row r="341" customHeight="1" spans="1:17">
      <c r="A341" s="22">
        <f t="shared" si="18"/>
        <v>1106037</v>
      </c>
      <c r="B341" s="22">
        <v>1106</v>
      </c>
      <c r="C341" s="22" t="s">
        <v>299</v>
      </c>
      <c r="D341" s="22" t="s">
        <v>300</v>
      </c>
      <c r="E341" s="22">
        <f t="shared" si="17"/>
        <v>24</v>
      </c>
      <c r="F341" s="22">
        <v>37</v>
      </c>
      <c r="G341" s="22">
        <v>15</v>
      </c>
      <c r="H341" s="22" t="s">
        <v>241</v>
      </c>
      <c r="I341" s="12">
        <v>18500</v>
      </c>
      <c r="J341" s="12">
        <v>3700</v>
      </c>
      <c r="K341" s="12" t="s">
        <v>154</v>
      </c>
      <c r="L341" s="12"/>
      <c r="O341" s="2" t="s">
        <v>234</v>
      </c>
      <c r="P341" s="24">
        <v>144</v>
      </c>
      <c r="Q341" s="25" t="s">
        <v>167</v>
      </c>
    </row>
    <row r="342" customHeight="1" spans="1:17">
      <c r="A342" s="22">
        <f t="shared" si="18"/>
        <v>1106038</v>
      </c>
      <c r="B342" s="22">
        <v>1106</v>
      </c>
      <c r="C342" s="22" t="s">
        <v>299</v>
      </c>
      <c r="D342" s="22" t="s">
        <v>300</v>
      </c>
      <c r="E342" s="22">
        <f t="shared" si="17"/>
        <v>24</v>
      </c>
      <c r="F342" s="22">
        <v>38</v>
      </c>
      <c r="G342" s="22">
        <v>15</v>
      </c>
      <c r="H342" s="22" t="s">
        <v>242</v>
      </c>
      <c r="I342" s="12">
        <v>19000</v>
      </c>
      <c r="J342" s="12">
        <v>3800</v>
      </c>
      <c r="K342" s="12" t="s">
        <v>157</v>
      </c>
      <c r="L342" s="12"/>
      <c r="O342" s="2" t="s">
        <v>234</v>
      </c>
      <c r="P342" s="24">
        <v>148</v>
      </c>
      <c r="Q342" s="25" t="s">
        <v>170</v>
      </c>
    </row>
    <row r="343" customHeight="1" spans="1:17">
      <c r="A343" s="22">
        <f t="shared" si="18"/>
        <v>1106039</v>
      </c>
      <c r="B343" s="22">
        <v>1106</v>
      </c>
      <c r="C343" s="22" t="s">
        <v>299</v>
      </c>
      <c r="D343" s="22" t="s">
        <v>300</v>
      </c>
      <c r="E343" s="22">
        <f t="shared" si="17"/>
        <v>24</v>
      </c>
      <c r="F343" s="22">
        <v>39</v>
      </c>
      <c r="G343" s="22">
        <v>15</v>
      </c>
      <c r="H343" s="22" t="s">
        <v>243</v>
      </c>
      <c r="I343" s="12">
        <v>19500</v>
      </c>
      <c r="J343" s="12">
        <v>3900</v>
      </c>
      <c r="K343" s="12" t="s">
        <v>160</v>
      </c>
      <c r="L343" s="12"/>
      <c r="O343" s="2" t="s">
        <v>234</v>
      </c>
      <c r="P343" s="24">
        <v>152</v>
      </c>
      <c r="Q343" s="25" t="s">
        <v>173</v>
      </c>
    </row>
    <row r="344" customHeight="1" spans="1:17">
      <c r="A344" s="22">
        <f t="shared" si="18"/>
        <v>1106040</v>
      </c>
      <c r="B344" s="22">
        <v>1106</v>
      </c>
      <c r="C344" s="22" t="s">
        <v>299</v>
      </c>
      <c r="D344" s="22" t="s">
        <v>300</v>
      </c>
      <c r="E344" s="22">
        <f t="shared" si="17"/>
        <v>25</v>
      </c>
      <c r="F344" s="22">
        <v>40</v>
      </c>
      <c r="G344" s="22">
        <v>15</v>
      </c>
      <c r="H344" s="22" t="s">
        <v>244</v>
      </c>
      <c r="I344" s="12">
        <v>20000</v>
      </c>
      <c r="J344" s="12">
        <v>4000</v>
      </c>
      <c r="K344" s="12" t="s">
        <v>163</v>
      </c>
      <c r="L344" s="12"/>
      <c r="O344" s="2" t="s">
        <v>234</v>
      </c>
      <c r="P344" s="24">
        <v>156</v>
      </c>
      <c r="Q344" s="25" t="s">
        <v>176</v>
      </c>
    </row>
    <row r="345" customHeight="1" spans="1:17">
      <c r="A345" s="22">
        <f t="shared" si="18"/>
        <v>1106041</v>
      </c>
      <c r="B345" s="22">
        <v>1106</v>
      </c>
      <c r="C345" s="22" t="s">
        <v>299</v>
      </c>
      <c r="D345" s="22" t="s">
        <v>300</v>
      </c>
      <c r="E345" s="22">
        <f t="shared" si="17"/>
        <v>25</v>
      </c>
      <c r="F345" s="22">
        <v>41</v>
      </c>
      <c r="G345" s="22">
        <v>15</v>
      </c>
      <c r="H345" s="22" t="s">
        <v>245</v>
      </c>
      <c r="I345" s="12">
        <v>20500</v>
      </c>
      <c r="J345" s="12">
        <v>4100</v>
      </c>
      <c r="K345" s="12" t="s">
        <v>166</v>
      </c>
      <c r="L345" s="12"/>
      <c r="O345" s="2" t="s">
        <v>234</v>
      </c>
      <c r="P345" s="24">
        <v>160</v>
      </c>
      <c r="Q345" s="25" t="s">
        <v>179</v>
      </c>
    </row>
    <row r="346" customHeight="1" spans="1:17">
      <c r="A346" s="22">
        <f t="shared" si="18"/>
        <v>1106042</v>
      </c>
      <c r="B346" s="22">
        <v>1106</v>
      </c>
      <c r="C346" s="22" t="s">
        <v>299</v>
      </c>
      <c r="D346" s="22" t="s">
        <v>300</v>
      </c>
      <c r="E346" s="22">
        <f t="shared" si="17"/>
        <v>25</v>
      </c>
      <c r="F346" s="22">
        <v>42</v>
      </c>
      <c r="G346" s="22">
        <v>15</v>
      </c>
      <c r="H346" s="22" t="s">
        <v>246</v>
      </c>
      <c r="I346" s="12">
        <v>21000</v>
      </c>
      <c r="J346" s="12">
        <v>4200</v>
      </c>
      <c r="K346" s="12" t="s">
        <v>169</v>
      </c>
      <c r="L346" s="12"/>
      <c r="O346" s="2" t="s">
        <v>234</v>
      </c>
      <c r="P346" s="24">
        <v>164</v>
      </c>
      <c r="Q346" s="25" t="s">
        <v>182</v>
      </c>
    </row>
    <row r="347" customHeight="1" spans="1:17">
      <c r="A347" s="22">
        <f t="shared" ref="A347:A374" si="19">B347*1000+F347</f>
        <v>1106043</v>
      </c>
      <c r="B347" s="22">
        <v>1106</v>
      </c>
      <c r="C347" s="22" t="s">
        <v>299</v>
      </c>
      <c r="D347" s="22" t="s">
        <v>300</v>
      </c>
      <c r="E347" s="22">
        <f t="shared" si="17"/>
        <v>26</v>
      </c>
      <c r="F347" s="22">
        <v>43</v>
      </c>
      <c r="G347" s="22">
        <v>15</v>
      </c>
      <c r="H347" s="22" t="s">
        <v>247</v>
      </c>
      <c r="I347" s="12">
        <v>21500</v>
      </c>
      <c r="J347" s="12">
        <v>4300</v>
      </c>
      <c r="K347" s="12" t="s">
        <v>172</v>
      </c>
      <c r="L347" s="12"/>
      <c r="O347" s="2" t="s">
        <v>234</v>
      </c>
      <c r="P347" s="24">
        <v>168</v>
      </c>
      <c r="Q347" s="25" t="s">
        <v>185</v>
      </c>
    </row>
    <row r="348" customHeight="1" spans="1:17">
      <c r="A348" s="22">
        <f t="shared" si="19"/>
        <v>1106044</v>
      </c>
      <c r="B348" s="22">
        <v>1106</v>
      </c>
      <c r="C348" s="22" t="s">
        <v>299</v>
      </c>
      <c r="D348" s="22" t="s">
        <v>300</v>
      </c>
      <c r="E348" s="22">
        <f t="shared" si="17"/>
        <v>26</v>
      </c>
      <c r="F348" s="22">
        <v>44</v>
      </c>
      <c r="G348" s="22">
        <v>15</v>
      </c>
      <c r="H348" s="22" t="s">
        <v>248</v>
      </c>
      <c r="I348" s="12">
        <v>22000</v>
      </c>
      <c r="J348" s="12">
        <v>4400</v>
      </c>
      <c r="K348" s="12" t="s">
        <v>175</v>
      </c>
      <c r="L348" s="12"/>
      <c r="O348" s="2" t="s">
        <v>234</v>
      </c>
      <c r="P348" s="24">
        <v>172</v>
      </c>
      <c r="Q348" s="25" t="s">
        <v>188</v>
      </c>
    </row>
    <row r="349" customHeight="1" spans="1:17">
      <c r="A349" s="22">
        <f t="shared" si="19"/>
        <v>1106045</v>
      </c>
      <c r="B349" s="22">
        <v>1106</v>
      </c>
      <c r="C349" s="22" t="s">
        <v>299</v>
      </c>
      <c r="D349" s="22" t="s">
        <v>300</v>
      </c>
      <c r="E349" s="22">
        <f t="shared" si="17"/>
        <v>26</v>
      </c>
      <c r="F349" s="22">
        <v>45</v>
      </c>
      <c r="G349" s="22">
        <v>15</v>
      </c>
      <c r="H349" s="22" t="s">
        <v>249</v>
      </c>
      <c r="I349" s="12">
        <v>22500</v>
      </c>
      <c r="J349" s="12">
        <v>4500</v>
      </c>
      <c r="K349" s="12" t="s">
        <v>178</v>
      </c>
      <c r="L349" s="12"/>
      <c r="O349" s="2" t="s">
        <v>234</v>
      </c>
      <c r="P349" s="24">
        <v>176</v>
      </c>
      <c r="Q349" s="25" t="s">
        <v>191</v>
      </c>
    </row>
    <row r="350" customHeight="1" spans="1:17">
      <c r="A350" s="22">
        <f t="shared" si="19"/>
        <v>1106046</v>
      </c>
      <c r="B350" s="22">
        <v>1106</v>
      </c>
      <c r="C350" s="22" t="s">
        <v>299</v>
      </c>
      <c r="D350" s="22" t="s">
        <v>300</v>
      </c>
      <c r="E350" s="22">
        <f t="shared" si="17"/>
        <v>27</v>
      </c>
      <c r="F350" s="22">
        <v>46</v>
      </c>
      <c r="G350" s="22">
        <v>15</v>
      </c>
      <c r="H350" s="22" t="s">
        <v>250</v>
      </c>
      <c r="I350" s="12">
        <v>23000</v>
      </c>
      <c r="J350" s="12">
        <v>4600</v>
      </c>
      <c r="K350" s="12" t="s">
        <v>181</v>
      </c>
      <c r="L350" s="12"/>
      <c r="O350" s="2" t="s">
        <v>234</v>
      </c>
      <c r="P350" s="24">
        <v>180</v>
      </c>
      <c r="Q350" s="25" t="s">
        <v>194</v>
      </c>
    </row>
    <row r="351" customHeight="1" spans="1:17">
      <c r="A351" s="22">
        <f t="shared" si="19"/>
        <v>1106047</v>
      </c>
      <c r="B351" s="22">
        <v>1106</v>
      </c>
      <c r="C351" s="22" t="s">
        <v>299</v>
      </c>
      <c r="D351" s="22" t="s">
        <v>300</v>
      </c>
      <c r="E351" s="22">
        <f t="shared" si="17"/>
        <v>27</v>
      </c>
      <c r="F351" s="22">
        <v>47</v>
      </c>
      <c r="G351" s="22">
        <v>15</v>
      </c>
      <c r="H351" s="22" t="s">
        <v>251</v>
      </c>
      <c r="I351" s="12">
        <v>23500</v>
      </c>
      <c r="J351" s="12">
        <v>4700</v>
      </c>
      <c r="K351" s="12" t="s">
        <v>184</v>
      </c>
      <c r="L351" s="12"/>
      <c r="O351" s="2" t="s">
        <v>234</v>
      </c>
      <c r="P351" s="24">
        <v>184</v>
      </c>
      <c r="Q351" s="25" t="s">
        <v>197</v>
      </c>
    </row>
    <row r="352" customHeight="1" spans="1:17">
      <c r="A352" s="22">
        <f t="shared" si="19"/>
        <v>1106048</v>
      </c>
      <c r="B352" s="22">
        <v>1106</v>
      </c>
      <c r="C352" s="22" t="s">
        <v>299</v>
      </c>
      <c r="D352" s="22" t="s">
        <v>300</v>
      </c>
      <c r="E352" s="22">
        <f t="shared" si="17"/>
        <v>27</v>
      </c>
      <c r="F352" s="22">
        <v>48</v>
      </c>
      <c r="G352" s="22">
        <v>15</v>
      </c>
      <c r="H352" s="22" t="s">
        <v>252</v>
      </c>
      <c r="I352" s="12">
        <v>24000</v>
      </c>
      <c r="J352" s="12">
        <v>4800</v>
      </c>
      <c r="K352" s="12" t="s">
        <v>187</v>
      </c>
      <c r="L352" s="12"/>
      <c r="O352" s="2" t="s">
        <v>234</v>
      </c>
      <c r="P352" s="24">
        <v>188</v>
      </c>
      <c r="Q352" s="25" t="s">
        <v>200</v>
      </c>
    </row>
    <row r="353" customHeight="1" spans="1:17">
      <c r="A353" s="22">
        <f t="shared" si="19"/>
        <v>1106049</v>
      </c>
      <c r="B353" s="22">
        <v>1106</v>
      </c>
      <c r="C353" s="22" t="s">
        <v>299</v>
      </c>
      <c r="D353" s="22" t="s">
        <v>300</v>
      </c>
      <c r="E353" s="22">
        <f t="shared" si="17"/>
        <v>28</v>
      </c>
      <c r="F353" s="22">
        <v>49</v>
      </c>
      <c r="G353" s="22">
        <v>15</v>
      </c>
      <c r="H353" s="22" t="s">
        <v>253</v>
      </c>
      <c r="I353" s="12">
        <v>24500</v>
      </c>
      <c r="J353" s="12">
        <v>4900</v>
      </c>
      <c r="K353" s="12" t="s">
        <v>190</v>
      </c>
      <c r="L353" s="12"/>
      <c r="O353" s="2" t="s">
        <v>234</v>
      </c>
      <c r="P353" s="24">
        <v>192</v>
      </c>
      <c r="Q353" s="25" t="s">
        <v>203</v>
      </c>
    </row>
    <row r="354" customHeight="1" spans="1:17">
      <c r="A354" s="22">
        <f t="shared" si="19"/>
        <v>1106050</v>
      </c>
      <c r="B354" s="22">
        <v>1106</v>
      </c>
      <c r="C354" s="22" t="s">
        <v>299</v>
      </c>
      <c r="D354" s="22" t="s">
        <v>300</v>
      </c>
      <c r="E354" s="22">
        <f t="shared" si="17"/>
        <v>28</v>
      </c>
      <c r="F354" s="22">
        <v>50</v>
      </c>
      <c r="G354" s="22">
        <v>15</v>
      </c>
      <c r="H354" s="22" t="s">
        <v>254</v>
      </c>
      <c r="I354" s="12">
        <v>25000</v>
      </c>
      <c r="J354" s="12">
        <v>5000</v>
      </c>
      <c r="K354" s="12" t="s">
        <v>193</v>
      </c>
      <c r="L354" s="12"/>
      <c r="O354" s="2" t="s">
        <v>234</v>
      </c>
      <c r="P354" s="24">
        <v>196</v>
      </c>
      <c r="Q354" s="25" t="s">
        <v>206</v>
      </c>
    </row>
    <row r="355" customHeight="1" spans="1:17">
      <c r="A355" s="22">
        <f t="shared" si="19"/>
        <v>1106051</v>
      </c>
      <c r="B355" s="22">
        <v>1106</v>
      </c>
      <c r="C355" s="22" t="s">
        <v>299</v>
      </c>
      <c r="D355" s="22" t="s">
        <v>300</v>
      </c>
      <c r="E355" s="22">
        <f t="shared" si="17"/>
        <v>28</v>
      </c>
      <c r="F355" s="22">
        <v>51</v>
      </c>
      <c r="G355" s="22">
        <v>15</v>
      </c>
      <c r="H355" s="22" t="s">
        <v>255</v>
      </c>
      <c r="I355" s="12">
        <v>25500</v>
      </c>
      <c r="J355" s="12">
        <v>5100</v>
      </c>
      <c r="K355" s="12" t="s">
        <v>196</v>
      </c>
      <c r="L355" s="12"/>
      <c r="O355" s="2" t="s">
        <v>234</v>
      </c>
      <c r="P355" s="24">
        <v>200</v>
      </c>
      <c r="Q355" s="25" t="s">
        <v>209</v>
      </c>
    </row>
    <row r="356" customHeight="1" spans="1:17">
      <c r="A356" s="22">
        <f t="shared" si="19"/>
        <v>1106052</v>
      </c>
      <c r="B356" s="22">
        <v>1106</v>
      </c>
      <c r="C356" s="22" t="s">
        <v>299</v>
      </c>
      <c r="D356" s="22" t="s">
        <v>300</v>
      </c>
      <c r="E356" s="22">
        <f t="shared" si="17"/>
        <v>29</v>
      </c>
      <c r="F356" s="22">
        <v>52</v>
      </c>
      <c r="G356" s="22">
        <v>15</v>
      </c>
      <c r="H356" s="22" t="s">
        <v>256</v>
      </c>
      <c r="I356" s="12">
        <v>26000</v>
      </c>
      <c r="J356" s="12">
        <v>5200</v>
      </c>
      <c r="K356" s="12" t="s">
        <v>199</v>
      </c>
      <c r="L356" s="12"/>
      <c r="O356" s="2" t="s">
        <v>234</v>
      </c>
      <c r="P356" s="24">
        <v>204</v>
      </c>
      <c r="Q356" s="25" t="s">
        <v>212</v>
      </c>
    </row>
    <row r="357" customHeight="1" spans="1:17">
      <c r="A357" s="22">
        <f t="shared" si="19"/>
        <v>1106053</v>
      </c>
      <c r="B357" s="22">
        <v>1106</v>
      </c>
      <c r="C357" s="22" t="s">
        <v>299</v>
      </c>
      <c r="D357" s="22" t="s">
        <v>300</v>
      </c>
      <c r="E357" s="22">
        <f t="shared" si="17"/>
        <v>29</v>
      </c>
      <c r="F357" s="22">
        <v>53</v>
      </c>
      <c r="G357" s="22">
        <v>15</v>
      </c>
      <c r="H357" s="22" t="s">
        <v>257</v>
      </c>
      <c r="I357" s="12">
        <v>26500</v>
      </c>
      <c r="J357" s="12">
        <v>5300</v>
      </c>
      <c r="K357" s="12" t="s">
        <v>202</v>
      </c>
      <c r="L357" s="12"/>
      <c r="O357" s="2" t="s">
        <v>234</v>
      </c>
      <c r="P357" s="24">
        <v>208</v>
      </c>
      <c r="Q357" s="25" t="s">
        <v>215</v>
      </c>
    </row>
    <row r="358" customHeight="1" spans="1:17">
      <c r="A358" s="22">
        <f t="shared" si="19"/>
        <v>1106054</v>
      </c>
      <c r="B358" s="22">
        <v>1106</v>
      </c>
      <c r="C358" s="22" t="s">
        <v>299</v>
      </c>
      <c r="D358" s="22" t="s">
        <v>300</v>
      </c>
      <c r="E358" s="22">
        <f t="shared" si="17"/>
        <v>29</v>
      </c>
      <c r="F358" s="22">
        <v>54</v>
      </c>
      <c r="G358" s="22">
        <v>15</v>
      </c>
      <c r="H358" s="22" t="s">
        <v>258</v>
      </c>
      <c r="I358" s="12">
        <v>27000</v>
      </c>
      <c r="J358" s="12">
        <v>5400</v>
      </c>
      <c r="K358" s="12" t="s">
        <v>205</v>
      </c>
      <c r="L358" s="12"/>
      <c r="O358" s="2" t="s">
        <v>234</v>
      </c>
      <c r="P358" s="24">
        <v>212</v>
      </c>
      <c r="Q358" s="25" t="s">
        <v>218</v>
      </c>
    </row>
    <row r="359" customHeight="1" spans="1:17">
      <c r="A359" s="22">
        <f t="shared" si="19"/>
        <v>1106055</v>
      </c>
      <c r="B359" s="22">
        <v>1106</v>
      </c>
      <c r="C359" s="22" t="s">
        <v>299</v>
      </c>
      <c r="D359" s="22" t="s">
        <v>300</v>
      </c>
      <c r="E359" s="22">
        <f t="shared" si="17"/>
        <v>30</v>
      </c>
      <c r="F359" s="22">
        <v>55</v>
      </c>
      <c r="G359" s="22">
        <v>15</v>
      </c>
      <c r="H359" s="22" t="s">
        <v>259</v>
      </c>
      <c r="I359" s="12">
        <v>27500</v>
      </c>
      <c r="J359" s="12">
        <v>5500</v>
      </c>
      <c r="K359" s="12" t="s">
        <v>208</v>
      </c>
      <c r="L359" s="12"/>
      <c r="O359" s="2" t="s">
        <v>234</v>
      </c>
      <c r="P359" s="24">
        <v>216</v>
      </c>
      <c r="Q359" s="25" t="s">
        <v>221</v>
      </c>
    </row>
    <row r="360" customHeight="1" spans="1:17">
      <c r="A360" s="22">
        <f t="shared" si="19"/>
        <v>1106056</v>
      </c>
      <c r="B360" s="22">
        <v>1106</v>
      </c>
      <c r="C360" s="22" t="s">
        <v>299</v>
      </c>
      <c r="D360" s="22" t="s">
        <v>300</v>
      </c>
      <c r="E360" s="22">
        <f t="shared" si="17"/>
        <v>30</v>
      </c>
      <c r="F360" s="22">
        <v>56</v>
      </c>
      <c r="G360" s="22">
        <v>15</v>
      </c>
      <c r="H360" s="22" t="s">
        <v>260</v>
      </c>
      <c r="I360" s="12">
        <v>28000</v>
      </c>
      <c r="J360" s="12">
        <v>5600</v>
      </c>
      <c r="K360" s="12" t="s">
        <v>211</v>
      </c>
      <c r="L360" s="12"/>
      <c r="O360" s="2" t="s">
        <v>234</v>
      </c>
      <c r="P360" s="24">
        <v>220</v>
      </c>
      <c r="Q360" s="25" t="s">
        <v>224</v>
      </c>
    </row>
    <row r="361" customHeight="1" spans="1:17">
      <c r="A361" s="22">
        <f t="shared" si="19"/>
        <v>1106057</v>
      </c>
      <c r="B361" s="22">
        <v>1106</v>
      </c>
      <c r="C361" s="22" t="s">
        <v>299</v>
      </c>
      <c r="D361" s="22" t="s">
        <v>300</v>
      </c>
      <c r="E361" s="22">
        <f t="shared" si="17"/>
        <v>30</v>
      </c>
      <c r="F361" s="22">
        <v>57</v>
      </c>
      <c r="G361" s="22">
        <v>15</v>
      </c>
      <c r="H361" s="22" t="s">
        <v>261</v>
      </c>
      <c r="I361" s="12">
        <v>28500</v>
      </c>
      <c r="J361" s="12">
        <v>5700</v>
      </c>
      <c r="K361" s="12" t="s">
        <v>214</v>
      </c>
      <c r="L361" s="12"/>
      <c r="O361" s="2" t="s">
        <v>234</v>
      </c>
      <c r="P361" s="24">
        <v>224</v>
      </c>
      <c r="Q361" s="25" t="s">
        <v>265</v>
      </c>
    </row>
    <row r="362" customHeight="1" spans="1:17">
      <c r="A362" s="22">
        <f t="shared" si="19"/>
        <v>1106058</v>
      </c>
      <c r="B362" s="22">
        <v>1106</v>
      </c>
      <c r="C362" s="22" t="s">
        <v>299</v>
      </c>
      <c r="D362" s="22" t="s">
        <v>300</v>
      </c>
      <c r="E362" s="22">
        <f t="shared" si="17"/>
        <v>31</v>
      </c>
      <c r="F362" s="22">
        <v>58</v>
      </c>
      <c r="G362" s="22">
        <v>15</v>
      </c>
      <c r="H362" s="22" t="s">
        <v>262</v>
      </c>
      <c r="I362" s="12">
        <v>29000</v>
      </c>
      <c r="J362" s="12">
        <v>5800</v>
      </c>
      <c r="K362" s="12" t="s">
        <v>217</v>
      </c>
      <c r="L362" s="12"/>
      <c r="O362" s="2" t="s">
        <v>234</v>
      </c>
      <c r="P362" s="24">
        <v>228</v>
      </c>
      <c r="Q362" s="25" t="s">
        <v>275</v>
      </c>
    </row>
    <row r="363" customHeight="1" spans="1:17">
      <c r="A363" s="22">
        <f t="shared" si="19"/>
        <v>1106059</v>
      </c>
      <c r="B363" s="22">
        <v>1106</v>
      </c>
      <c r="C363" s="22" t="s">
        <v>299</v>
      </c>
      <c r="D363" s="22" t="s">
        <v>300</v>
      </c>
      <c r="E363" s="22">
        <f t="shared" si="17"/>
        <v>31</v>
      </c>
      <c r="F363" s="22">
        <v>59</v>
      </c>
      <c r="G363" s="22">
        <v>15</v>
      </c>
      <c r="H363" s="22" t="s">
        <v>263</v>
      </c>
      <c r="I363" s="12">
        <v>29500</v>
      </c>
      <c r="J363" s="12">
        <v>5900</v>
      </c>
      <c r="K363" s="12" t="s">
        <v>220</v>
      </c>
      <c r="L363" s="12"/>
      <c r="O363" s="2" t="s">
        <v>234</v>
      </c>
      <c r="P363" s="24">
        <v>232</v>
      </c>
      <c r="Q363" s="25" t="s">
        <v>276</v>
      </c>
    </row>
    <row r="364" customHeight="1" spans="1:17">
      <c r="A364" s="22">
        <f t="shared" si="19"/>
        <v>1106060</v>
      </c>
      <c r="B364" s="22">
        <v>1106</v>
      </c>
      <c r="C364" s="22" t="s">
        <v>299</v>
      </c>
      <c r="D364" s="22" t="s">
        <v>300</v>
      </c>
      <c r="E364" s="22">
        <v>9999</v>
      </c>
      <c r="F364" s="22">
        <v>60</v>
      </c>
      <c r="G364" s="22">
        <v>15</v>
      </c>
      <c r="H364" s="22" t="s">
        <v>264</v>
      </c>
      <c r="I364" s="12">
        <v>30000</v>
      </c>
      <c r="J364" s="12">
        <v>6000</v>
      </c>
      <c r="K364" s="12" t="s">
        <v>223</v>
      </c>
      <c r="L364" s="12"/>
      <c r="O364" s="2" t="s">
        <v>234</v>
      </c>
      <c r="P364" s="24"/>
      <c r="Q364" s="25" t="s">
        <v>277</v>
      </c>
    </row>
    <row r="365" s="9" customFormat="1" customHeight="1" spans="1:17">
      <c r="A365" s="26">
        <f t="shared" si="19"/>
        <v>1107001</v>
      </c>
      <c r="B365" s="26">
        <v>1107</v>
      </c>
      <c r="C365" s="26" t="s">
        <v>308</v>
      </c>
      <c r="D365" s="26" t="s">
        <v>309</v>
      </c>
      <c r="E365" s="22">
        <v>10</v>
      </c>
      <c r="F365" s="26">
        <v>1</v>
      </c>
      <c r="G365" s="26">
        <v>11</v>
      </c>
      <c r="H365" s="26" t="s">
        <v>38</v>
      </c>
      <c r="I365" s="27">
        <v>400</v>
      </c>
      <c r="J365" s="12">
        <v>100</v>
      </c>
      <c r="K365" s="12" t="s">
        <v>39</v>
      </c>
      <c r="L365" s="27"/>
      <c r="M365" s="28" t="s">
        <v>310</v>
      </c>
      <c r="N365" s="28" t="s">
        <v>311</v>
      </c>
      <c r="O365" s="3" t="s">
        <v>312</v>
      </c>
      <c r="P365" s="29">
        <v>1</v>
      </c>
      <c r="Q365" s="32" t="s">
        <v>56</v>
      </c>
    </row>
    <row r="366" s="9" customFormat="1" customHeight="1" spans="1:17">
      <c r="A366" s="26">
        <f t="shared" si="19"/>
        <v>1107002</v>
      </c>
      <c r="B366" s="26">
        <v>1107</v>
      </c>
      <c r="C366" s="26" t="s">
        <v>308</v>
      </c>
      <c r="D366" s="26" t="s">
        <v>309</v>
      </c>
      <c r="E366" s="22">
        <v>10</v>
      </c>
      <c r="F366" s="26">
        <v>2</v>
      </c>
      <c r="G366" s="26">
        <v>14</v>
      </c>
      <c r="H366" s="26" t="s">
        <v>49</v>
      </c>
      <c r="I366" s="27">
        <v>800</v>
      </c>
      <c r="J366" s="12">
        <v>200</v>
      </c>
      <c r="K366" s="12" t="s">
        <v>45</v>
      </c>
      <c r="L366" s="27"/>
      <c r="M366" s="28" t="s">
        <v>313</v>
      </c>
      <c r="N366" s="28" t="s">
        <v>314</v>
      </c>
      <c r="O366" s="3">
        <v>1107258</v>
      </c>
      <c r="P366" s="29">
        <v>2</v>
      </c>
      <c r="Q366" s="32" t="s">
        <v>59</v>
      </c>
    </row>
    <row r="367" s="9" customFormat="1" customHeight="1" spans="1:17">
      <c r="A367" s="26">
        <f t="shared" si="19"/>
        <v>1107003</v>
      </c>
      <c r="B367" s="26">
        <v>1107</v>
      </c>
      <c r="C367" s="26" t="s">
        <v>308</v>
      </c>
      <c r="D367" s="26" t="s">
        <v>309</v>
      </c>
      <c r="E367" s="22">
        <v>10</v>
      </c>
      <c r="F367" s="26">
        <v>3</v>
      </c>
      <c r="G367" s="26">
        <v>17</v>
      </c>
      <c r="H367" s="26" t="s">
        <v>57</v>
      </c>
      <c r="I367" s="27">
        <v>1200</v>
      </c>
      <c r="J367" s="12">
        <v>300</v>
      </c>
      <c r="K367" s="12" t="s">
        <v>50</v>
      </c>
      <c r="L367" s="27"/>
      <c r="M367" s="28" t="s">
        <v>315</v>
      </c>
      <c r="N367" s="28" t="s">
        <v>316</v>
      </c>
      <c r="O367" s="3">
        <v>1107262</v>
      </c>
      <c r="P367" s="29">
        <v>4</v>
      </c>
      <c r="Q367" s="32" t="s">
        <v>62</v>
      </c>
    </row>
    <row r="368" s="9" customFormat="1" customHeight="1" spans="1:17">
      <c r="A368" s="26">
        <f t="shared" si="19"/>
        <v>1107004</v>
      </c>
      <c r="B368" s="26">
        <v>1107</v>
      </c>
      <c r="C368" s="26" t="s">
        <v>308</v>
      </c>
      <c r="D368" s="26" t="s">
        <v>309</v>
      </c>
      <c r="E368" s="22">
        <f t="shared" ref="E368:E424" si="20">E365+1</f>
        <v>11</v>
      </c>
      <c r="F368" s="26">
        <v>4</v>
      </c>
      <c r="G368" s="26">
        <v>17</v>
      </c>
      <c r="H368" s="26" t="s">
        <v>63</v>
      </c>
      <c r="I368" s="27">
        <v>1600</v>
      </c>
      <c r="J368" s="12">
        <v>400</v>
      </c>
      <c r="K368" s="12" t="s">
        <v>55</v>
      </c>
      <c r="L368" s="27"/>
      <c r="O368" s="3">
        <v>1107263</v>
      </c>
      <c r="P368" s="29">
        <v>6</v>
      </c>
      <c r="Q368" s="32" t="s">
        <v>65</v>
      </c>
    </row>
    <row r="369" s="9" customFormat="1" customHeight="1" spans="1:17">
      <c r="A369" s="26">
        <f t="shared" si="19"/>
        <v>1107005</v>
      </c>
      <c r="B369" s="26">
        <v>1107</v>
      </c>
      <c r="C369" s="26" t="s">
        <v>308</v>
      </c>
      <c r="D369" s="26" t="s">
        <v>309</v>
      </c>
      <c r="E369" s="22">
        <f t="shared" si="20"/>
        <v>11</v>
      </c>
      <c r="F369" s="26">
        <v>5</v>
      </c>
      <c r="G369" s="26">
        <v>17</v>
      </c>
      <c r="H369" s="26" t="s">
        <v>69</v>
      </c>
      <c r="I369" s="27">
        <v>2000</v>
      </c>
      <c r="J369" s="12">
        <v>500</v>
      </c>
      <c r="K369" s="12" t="s">
        <v>58</v>
      </c>
      <c r="L369" s="27"/>
      <c r="M369" s="28"/>
      <c r="N369" s="28"/>
      <c r="O369" s="3">
        <v>1107260</v>
      </c>
      <c r="P369" s="29">
        <v>8</v>
      </c>
      <c r="Q369" s="32" t="s">
        <v>68</v>
      </c>
    </row>
    <row r="370" s="9" customFormat="1" customHeight="1" spans="1:17">
      <c r="A370" s="26">
        <f t="shared" si="19"/>
        <v>1107006</v>
      </c>
      <c r="B370" s="26">
        <v>1107</v>
      </c>
      <c r="C370" s="26" t="s">
        <v>308</v>
      </c>
      <c r="D370" s="26" t="s">
        <v>309</v>
      </c>
      <c r="E370" s="22">
        <f t="shared" si="20"/>
        <v>11</v>
      </c>
      <c r="F370" s="26">
        <v>6</v>
      </c>
      <c r="G370" s="26">
        <v>17</v>
      </c>
      <c r="H370" s="26" t="s">
        <v>75</v>
      </c>
      <c r="I370" s="27">
        <v>2400</v>
      </c>
      <c r="J370" s="12">
        <v>600</v>
      </c>
      <c r="K370" s="12" t="s">
        <v>61</v>
      </c>
      <c r="L370" s="27"/>
      <c r="M370" s="28"/>
      <c r="N370" s="28"/>
      <c r="O370" s="3">
        <v>1107252</v>
      </c>
      <c r="P370" s="29">
        <v>10</v>
      </c>
      <c r="Q370" s="32" t="s">
        <v>71</v>
      </c>
    </row>
    <row r="371" s="9" customFormat="1" customHeight="1" spans="1:17">
      <c r="A371" s="26">
        <f t="shared" si="19"/>
        <v>1107007</v>
      </c>
      <c r="B371" s="26">
        <v>1107</v>
      </c>
      <c r="C371" s="26" t="s">
        <v>308</v>
      </c>
      <c r="D371" s="26" t="s">
        <v>309</v>
      </c>
      <c r="E371" s="22">
        <f t="shared" si="20"/>
        <v>12</v>
      </c>
      <c r="F371" s="26">
        <v>7</v>
      </c>
      <c r="G371" s="26">
        <v>17</v>
      </c>
      <c r="H371" s="26" t="s">
        <v>81</v>
      </c>
      <c r="I371" s="27">
        <v>2800</v>
      </c>
      <c r="J371" s="12">
        <v>700</v>
      </c>
      <c r="K371" s="12" t="s">
        <v>64</v>
      </c>
      <c r="L371" s="27"/>
      <c r="M371" s="28"/>
      <c r="N371" s="31"/>
      <c r="O371" s="3">
        <v>1107255</v>
      </c>
      <c r="P371" s="29">
        <v>12</v>
      </c>
      <c r="Q371" s="32" t="s">
        <v>74</v>
      </c>
    </row>
    <row r="372" s="9" customFormat="1" customHeight="1" spans="1:17">
      <c r="A372" s="26">
        <f t="shared" si="19"/>
        <v>1107008</v>
      </c>
      <c r="B372" s="26">
        <v>1107</v>
      </c>
      <c r="C372" s="26" t="s">
        <v>308</v>
      </c>
      <c r="D372" s="26" t="s">
        <v>309</v>
      </c>
      <c r="E372" s="22">
        <f t="shared" si="20"/>
        <v>12</v>
      </c>
      <c r="F372" s="26">
        <v>8</v>
      </c>
      <c r="G372" s="26">
        <v>17</v>
      </c>
      <c r="H372" s="26" t="s">
        <v>87</v>
      </c>
      <c r="I372" s="27">
        <v>3200</v>
      </c>
      <c r="J372" s="12">
        <v>800</v>
      </c>
      <c r="K372" s="12" t="s">
        <v>67</v>
      </c>
      <c r="L372" s="27"/>
      <c r="M372" s="28"/>
      <c r="N372" s="31"/>
      <c r="O372" s="3">
        <v>1107254</v>
      </c>
      <c r="P372" s="29">
        <v>14</v>
      </c>
      <c r="Q372" s="32" t="s">
        <v>77</v>
      </c>
    </row>
    <row r="373" s="9" customFormat="1" customHeight="1" spans="1:17">
      <c r="A373" s="26">
        <f t="shared" si="19"/>
        <v>1107009</v>
      </c>
      <c r="B373" s="26">
        <v>1107</v>
      </c>
      <c r="C373" s="26" t="s">
        <v>308</v>
      </c>
      <c r="D373" s="26" t="s">
        <v>309</v>
      </c>
      <c r="E373" s="22">
        <f t="shared" si="20"/>
        <v>12</v>
      </c>
      <c r="F373" s="26">
        <v>9</v>
      </c>
      <c r="G373" s="26">
        <v>17</v>
      </c>
      <c r="H373" s="26" t="s">
        <v>93</v>
      </c>
      <c r="I373" s="27">
        <v>3600</v>
      </c>
      <c r="J373" s="12">
        <v>900</v>
      </c>
      <c r="K373" s="12" t="s">
        <v>70</v>
      </c>
      <c r="L373" s="27"/>
      <c r="M373" s="28"/>
      <c r="N373" s="31"/>
      <c r="O373" s="3">
        <v>1107256</v>
      </c>
      <c r="P373" s="29">
        <v>16</v>
      </c>
      <c r="Q373" s="32" t="s">
        <v>80</v>
      </c>
    </row>
    <row r="374" s="9" customFormat="1" customHeight="1" spans="1:17">
      <c r="A374" s="26">
        <f t="shared" si="19"/>
        <v>1107010</v>
      </c>
      <c r="B374" s="26">
        <v>1107</v>
      </c>
      <c r="C374" s="26" t="s">
        <v>308</v>
      </c>
      <c r="D374" s="26" t="s">
        <v>309</v>
      </c>
      <c r="E374" s="22">
        <f t="shared" si="20"/>
        <v>13</v>
      </c>
      <c r="F374" s="26">
        <v>10</v>
      </c>
      <c r="G374" s="26">
        <v>17</v>
      </c>
      <c r="H374" s="26" t="s">
        <v>99</v>
      </c>
      <c r="I374" s="27">
        <v>4000</v>
      </c>
      <c r="J374" s="12">
        <v>1000</v>
      </c>
      <c r="K374" s="12" t="s">
        <v>73</v>
      </c>
      <c r="L374" s="27"/>
      <c r="M374" s="28"/>
      <c r="N374" s="31"/>
      <c r="O374" s="3">
        <v>1107257</v>
      </c>
      <c r="P374" s="29">
        <v>18</v>
      </c>
      <c r="Q374" s="32" t="s">
        <v>83</v>
      </c>
    </row>
    <row r="375" s="10" customFormat="1" customHeight="1" spans="1:17">
      <c r="A375" s="26">
        <f t="shared" ref="A375:A406" si="21">B375*1000+F375</f>
        <v>1107011</v>
      </c>
      <c r="B375" s="26">
        <v>1107</v>
      </c>
      <c r="C375" s="26" t="s">
        <v>308</v>
      </c>
      <c r="D375" s="26" t="s">
        <v>309</v>
      </c>
      <c r="E375" s="22">
        <f t="shared" si="20"/>
        <v>13</v>
      </c>
      <c r="F375" s="26">
        <v>11</v>
      </c>
      <c r="G375" s="26">
        <v>17</v>
      </c>
      <c r="H375" s="26" t="s">
        <v>105</v>
      </c>
      <c r="I375" s="27">
        <v>4400</v>
      </c>
      <c r="J375" s="12">
        <v>1100</v>
      </c>
      <c r="K375" s="12" t="s">
        <v>76</v>
      </c>
      <c r="L375" s="27"/>
      <c r="M375" s="28"/>
      <c r="N375" s="31"/>
      <c r="O375" s="3">
        <v>1107251</v>
      </c>
      <c r="P375" s="29">
        <v>20</v>
      </c>
      <c r="Q375" s="32" t="s">
        <v>86</v>
      </c>
    </row>
    <row r="376" s="10" customFormat="1" customHeight="1" spans="1:17">
      <c r="A376" s="26">
        <f t="shared" si="21"/>
        <v>1107012</v>
      </c>
      <c r="B376" s="26">
        <v>1107</v>
      </c>
      <c r="C376" s="26" t="s">
        <v>308</v>
      </c>
      <c r="D376" s="26" t="s">
        <v>309</v>
      </c>
      <c r="E376" s="22">
        <f t="shared" si="20"/>
        <v>13</v>
      </c>
      <c r="F376" s="26">
        <v>12</v>
      </c>
      <c r="G376" s="26">
        <v>17</v>
      </c>
      <c r="H376" s="26" t="s">
        <v>111</v>
      </c>
      <c r="I376" s="27">
        <v>4800</v>
      </c>
      <c r="J376" s="12">
        <v>1200</v>
      </c>
      <c r="K376" s="12" t="s">
        <v>79</v>
      </c>
      <c r="L376" s="27"/>
      <c r="M376" s="28"/>
      <c r="N376" s="31"/>
      <c r="O376" s="3">
        <v>1107264</v>
      </c>
      <c r="P376" s="29">
        <v>22</v>
      </c>
      <c r="Q376" s="32" t="s">
        <v>89</v>
      </c>
    </row>
    <row r="377" s="10" customFormat="1" customHeight="1" spans="1:17">
      <c r="A377" s="26">
        <f t="shared" si="21"/>
        <v>1107013</v>
      </c>
      <c r="B377" s="26">
        <v>1107</v>
      </c>
      <c r="C377" s="26" t="s">
        <v>308</v>
      </c>
      <c r="D377" s="26" t="s">
        <v>309</v>
      </c>
      <c r="E377" s="22">
        <f t="shared" si="20"/>
        <v>14</v>
      </c>
      <c r="F377" s="26">
        <v>13</v>
      </c>
      <c r="G377" s="26">
        <v>17</v>
      </c>
      <c r="H377" s="26" t="s">
        <v>117</v>
      </c>
      <c r="I377" s="27">
        <v>5200</v>
      </c>
      <c r="J377" s="12">
        <v>1300</v>
      </c>
      <c r="K377" s="12" t="s">
        <v>82</v>
      </c>
      <c r="L377" s="27"/>
      <c r="M377" s="28"/>
      <c r="N377" s="28"/>
      <c r="O377" s="3">
        <v>1107265</v>
      </c>
      <c r="P377" s="29">
        <v>24</v>
      </c>
      <c r="Q377" s="32" t="s">
        <v>92</v>
      </c>
    </row>
    <row r="378" s="10" customFormat="1" customHeight="1" spans="1:17">
      <c r="A378" s="26">
        <f t="shared" si="21"/>
        <v>1107014</v>
      </c>
      <c r="B378" s="26">
        <v>1107</v>
      </c>
      <c r="C378" s="26" t="s">
        <v>308</v>
      </c>
      <c r="D378" s="26" t="s">
        <v>309</v>
      </c>
      <c r="E378" s="22">
        <f t="shared" si="20"/>
        <v>14</v>
      </c>
      <c r="F378" s="26">
        <v>14</v>
      </c>
      <c r="G378" s="26">
        <v>17</v>
      </c>
      <c r="H378" s="26" t="s">
        <v>123</v>
      </c>
      <c r="I378" s="27">
        <v>5600</v>
      </c>
      <c r="J378" s="12">
        <v>1400</v>
      </c>
      <c r="K378" s="12" t="s">
        <v>85</v>
      </c>
      <c r="L378" s="27"/>
      <c r="M378" s="28"/>
      <c r="N378" s="28"/>
      <c r="O378" s="3">
        <v>1107266</v>
      </c>
      <c r="P378" s="29">
        <v>26</v>
      </c>
      <c r="Q378" s="32" t="s">
        <v>95</v>
      </c>
    </row>
    <row r="379" s="10" customFormat="1" customHeight="1" spans="1:17">
      <c r="A379" s="26">
        <f t="shared" si="21"/>
        <v>1107015</v>
      </c>
      <c r="B379" s="26">
        <v>1107</v>
      </c>
      <c r="C379" s="26" t="s">
        <v>308</v>
      </c>
      <c r="D379" s="26" t="s">
        <v>309</v>
      </c>
      <c r="E379" s="22">
        <f t="shared" si="20"/>
        <v>14</v>
      </c>
      <c r="F379" s="26">
        <v>15</v>
      </c>
      <c r="G379" s="26">
        <v>17</v>
      </c>
      <c r="H379" s="26" t="s">
        <v>129</v>
      </c>
      <c r="I379" s="27">
        <v>6000</v>
      </c>
      <c r="J379" s="12">
        <v>1500</v>
      </c>
      <c r="K379" s="12" t="s">
        <v>88</v>
      </c>
      <c r="L379" s="27"/>
      <c r="M379" s="28"/>
      <c r="N379" s="28"/>
      <c r="P379" s="29">
        <v>28</v>
      </c>
      <c r="Q379" s="32" t="s">
        <v>98</v>
      </c>
    </row>
    <row r="380" s="10" customFormat="1" customHeight="1" spans="1:17">
      <c r="A380" s="26">
        <f t="shared" si="21"/>
        <v>1107016</v>
      </c>
      <c r="B380" s="26">
        <v>1107</v>
      </c>
      <c r="C380" s="26" t="s">
        <v>308</v>
      </c>
      <c r="D380" s="26" t="s">
        <v>309</v>
      </c>
      <c r="E380" s="22">
        <f t="shared" si="20"/>
        <v>15</v>
      </c>
      <c r="F380" s="26">
        <v>16</v>
      </c>
      <c r="G380" s="26">
        <v>17</v>
      </c>
      <c r="H380" s="26" t="s">
        <v>135</v>
      </c>
      <c r="I380" s="27">
        <v>6400</v>
      </c>
      <c r="J380" s="12">
        <v>1600</v>
      </c>
      <c r="K380" s="12" t="s">
        <v>91</v>
      </c>
      <c r="L380" s="27"/>
      <c r="M380" s="28"/>
      <c r="N380" s="28"/>
      <c r="O380" s="3"/>
      <c r="P380" s="29">
        <v>30</v>
      </c>
      <c r="Q380" s="32" t="s">
        <v>101</v>
      </c>
    </row>
    <row r="381" s="10" customFormat="1" customHeight="1" spans="1:17">
      <c r="A381" s="26">
        <f t="shared" si="21"/>
        <v>1107017</v>
      </c>
      <c r="B381" s="26">
        <v>1107</v>
      </c>
      <c r="C381" s="26" t="s">
        <v>308</v>
      </c>
      <c r="D381" s="26" t="s">
        <v>309</v>
      </c>
      <c r="E381" s="22">
        <f t="shared" si="20"/>
        <v>15</v>
      </c>
      <c r="F381" s="26">
        <v>17</v>
      </c>
      <c r="G381" s="26">
        <v>17</v>
      </c>
      <c r="H381" s="26" t="s">
        <v>141</v>
      </c>
      <c r="I381" s="27">
        <v>6800</v>
      </c>
      <c r="J381" s="12">
        <v>1700</v>
      </c>
      <c r="K381" s="12" t="s">
        <v>94</v>
      </c>
      <c r="L381" s="27"/>
      <c r="M381" s="28"/>
      <c r="N381" s="28"/>
      <c r="O381" s="4"/>
      <c r="P381" s="29">
        <v>32</v>
      </c>
      <c r="Q381" s="32" t="s">
        <v>104</v>
      </c>
    </row>
    <row r="382" s="10" customFormat="1" customHeight="1" spans="1:17">
      <c r="A382" s="26">
        <f t="shared" si="21"/>
        <v>1107018</v>
      </c>
      <c r="B382" s="26">
        <v>1107</v>
      </c>
      <c r="C382" s="26" t="s">
        <v>308</v>
      </c>
      <c r="D382" s="26" t="s">
        <v>309</v>
      </c>
      <c r="E382" s="22">
        <f t="shared" si="20"/>
        <v>15</v>
      </c>
      <c r="F382" s="26">
        <v>18</v>
      </c>
      <c r="G382" s="26">
        <v>17</v>
      </c>
      <c r="H382" s="26" t="s">
        <v>147</v>
      </c>
      <c r="I382" s="27">
        <v>7200</v>
      </c>
      <c r="J382" s="12">
        <v>1800</v>
      </c>
      <c r="K382" s="12" t="s">
        <v>97</v>
      </c>
      <c r="L382" s="27"/>
      <c r="M382" s="28"/>
      <c r="N382" s="28"/>
      <c r="O382" s="3"/>
      <c r="P382" s="29">
        <v>34</v>
      </c>
      <c r="Q382" s="32" t="s">
        <v>107</v>
      </c>
    </row>
    <row r="383" s="10" customFormat="1" customHeight="1" spans="1:17">
      <c r="A383" s="26">
        <f t="shared" si="21"/>
        <v>1107019</v>
      </c>
      <c r="B383" s="26">
        <v>1107</v>
      </c>
      <c r="C383" s="26" t="s">
        <v>308</v>
      </c>
      <c r="D383" s="26" t="s">
        <v>309</v>
      </c>
      <c r="E383" s="22">
        <f t="shared" si="20"/>
        <v>16</v>
      </c>
      <c r="F383" s="26">
        <v>19</v>
      </c>
      <c r="G383" s="26">
        <v>17</v>
      </c>
      <c r="H383" s="26" t="s">
        <v>153</v>
      </c>
      <c r="I383" s="27">
        <v>7600</v>
      </c>
      <c r="J383" s="12">
        <v>1900</v>
      </c>
      <c r="K383" s="12" t="s">
        <v>100</v>
      </c>
      <c r="L383" s="27"/>
      <c r="M383" s="28"/>
      <c r="N383" s="28"/>
      <c r="O383" s="3"/>
      <c r="P383" s="29">
        <v>36</v>
      </c>
      <c r="Q383" s="32" t="s">
        <v>110</v>
      </c>
    </row>
    <row r="384" s="10" customFormat="1" customHeight="1" spans="1:17">
      <c r="A384" s="26">
        <f t="shared" si="21"/>
        <v>1107020</v>
      </c>
      <c r="B384" s="26">
        <v>1107</v>
      </c>
      <c r="C384" s="26" t="s">
        <v>308</v>
      </c>
      <c r="D384" s="26" t="s">
        <v>309</v>
      </c>
      <c r="E384" s="22">
        <f t="shared" si="20"/>
        <v>16</v>
      </c>
      <c r="F384" s="26">
        <v>20</v>
      </c>
      <c r="G384" s="26">
        <v>17</v>
      </c>
      <c r="H384" s="26" t="s">
        <v>159</v>
      </c>
      <c r="I384" s="27">
        <v>8000</v>
      </c>
      <c r="J384" s="12">
        <v>2000</v>
      </c>
      <c r="K384" s="12" t="s">
        <v>103</v>
      </c>
      <c r="L384" s="27"/>
      <c r="M384" s="28"/>
      <c r="N384" s="28"/>
      <c r="O384" s="3"/>
      <c r="P384" s="29">
        <v>38</v>
      </c>
      <c r="Q384" s="32" t="s">
        <v>113</v>
      </c>
    </row>
    <row r="385" s="10" customFormat="1" customHeight="1" spans="1:17">
      <c r="A385" s="26">
        <f t="shared" si="21"/>
        <v>1107021</v>
      </c>
      <c r="B385" s="26">
        <v>1107</v>
      </c>
      <c r="C385" s="26" t="s">
        <v>308</v>
      </c>
      <c r="D385" s="26" t="s">
        <v>309</v>
      </c>
      <c r="E385" s="22">
        <f t="shared" si="20"/>
        <v>16</v>
      </c>
      <c r="F385" s="26">
        <v>21</v>
      </c>
      <c r="G385" s="26">
        <v>17</v>
      </c>
      <c r="H385" s="26" t="s">
        <v>165</v>
      </c>
      <c r="I385" s="27">
        <v>8400</v>
      </c>
      <c r="J385" s="12">
        <v>2100</v>
      </c>
      <c r="K385" s="12" t="s">
        <v>106</v>
      </c>
      <c r="L385" s="27"/>
      <c r="M385" s="28"/>
      <c r="N385" s="28"/>
      <c r="O385" s="3"/>
      <c r="P385" s="29">
        <v>40</v>
      </c>
      <c r="Q385" s="32" t="s">
        <v>116</v>
      </c>
    </row>
    <row r="386" s="10" customFormat="1" customHeight="1" spans="1:17">
      <c r="A386" s="26">
        <f t="shared" si="21"/>
        <v>1107022</v>
      </c>
      <c r="B386" s="26">
        <v>1107</v>
      </c>
      <c r="C386" s="26" t="s">
        <v>308</v>
      </c>
      <c r="D386" s="26" t="s">
        <v>309</v>
      </c>
      <c r="E386" s="22">
        <f t="shared" si="20"/>
        <v>17</v>
      </c>
      <c r="F386" s="26">
        <v>22</v>
      </c>
      <c r="G386" s="26">
        <v>17</v>
      </c>
      <c r="H386" s="26" t="s">
        <v>171</v>
      </c>
      <c r="I386" s="27">
        <v>8800</v>
      </c>
      <c r="J386" s="12">
        <v>2200</v>
      </c>
      <c r="K386" s="12" t="s">
        <v>109</v>
      </c>
      <c r="L386" s="27"/>
      <c r="M386" s="28"/>
      <c r="N386" s="28"/>
      <c r="O386" s="3"/>
      <c r="P386" s="29">
        <v>42</v>
      </c>
      <c r="Q386" s="32" t="s">
        <v>119</v>
      </c>
    </row>
    <row r="387" s="10" customFormat="1" customHeight="1" spans="1:17">
      <c r="A387" s="26">
        <f t="shared" si="21"/>
        <v>1107023</v>
      </c>
      <c r="B387" s="26">
        <v>1107</v>
      </c>
      <c r="C387" s="26" t="s">
        <v>308</v>
      </c>
      <c r="D387" s="26" t="s">
        <v>309</v>
      </c>
      <c r="E387" s="22">
        <f t="shared" si="20"/>
        <v>17</v>
      </c>
      <c r="F387" s="26">
        <v>23</v>
      </c>
      <c r="G387" s="26">
        <v>17</v>
      </c>
      <c r="H387" s="26" t="s">
        <v>177</v>
      </c>
      <c r="I387" s="27">
        <v>9200</v>
      </c>
      <c r="J387" s="12">
        <v>2300</v>
      </c>
      <c r="K387" s="12" t="s">
        <v>112</v>
      </c>
      <c r="L387" s="27"/>
      <c r="M387" s="28"/>
      <c r="N387" s="28"/>
      <c r="O387" s="3"/>
      <c r="P387" s="29">
        <v>44</v>
      </c>
      <c r="Q387" s="32" t="s">
        <v>122</v>
      </c>
    </row>
    <row r="388" s="10" customFormat="1" customHeight="1" spans="1:17">
      <c r="A388" s="26">
        <f t="shared" si="21"/>
        <v>1107024</v>
      </c>
      <c r="B388" s="26">
        <v>1107</v>
      </c>
      <c r="C388" s="26" t="s">
        <v>308</v>
      </c>
      <c r="D388" s="26" t="s">
        <v>309</v>
      </c>
      <c r="E388" s="22">
        <f t="shared" si="20"/>
        <v>17</v>
      </c>
      <c r="F388" s="26">
        <v>24</v>
      </c>
      <c r="G388" s="26">
        <v>17</v>
      </c>
      <c r="H388" s="26" t="s">
        <v>183</v>
      </c>
      <c r="I388" s="27">
        <v>9600</v>
      </c>
      <c r="J388" s="12">
        <v>2400</v>
      </c>
      <c r="K388" s="12" t="s">
        <v>115</v>
      </c>
      <c r="L388" s="27"/>
      <c r="M388" s="28"/>
      <c r="N388" s="28"/>
      <c r="O388" s="3"/>
      <c r="P388" s="29">
        <v>46</v>
      </c>
      <c r="Q388" s="32" t="s">
        <v>125</v>
      </c>
    </row>
    <row r="389" s="10" customFormat="1" customHeight="1" spans="1:17">
      <c r="A389" s="26">
        <f t="shared" si="21"/>
        <v>1107025</v>
      </c>
      <c r="B389" s="26">
        <v>1107</v>
      </c>
      <c r="C389" s="26" t="s">
        <v>308</v>
      </c>
      <c r="D389" s="26" t="s">
        <v>309</v>
      </c>
      <c r="E389" s="22">
        <f t="shared" si="20"/>
        <v>18</v>
      </c>
      <c r="F389" s="26">
        <v>25</v>
      </c>
      <c r="G389" s="26">
        <v>17</v>
      </c>
      <c r="H389" s="26" t="s">
        <v>189</v>
      </c>
      <c r="I389" s="27">
        <v>10000</v>
      </c>
      <c r="J389" s="12">
        <v>2500</v>
      </c>
      <c r="K389" s="12" t="s">
        <v>118</v>
      </c>
      <c r="L389" s="27"/>
      <c r="M389" s="28"/>
      <c r="N389" s="28"/>
      <c r="O389" s="30"/>
      <c r="P389" s="29">
        <v>48</v>
      </c>
      <c r="Q389" s="32" t="s">
        <v>128</v>
      </c>
    </row>
    <row r="390" s="10" customFormat="1" customHeight="1" spans="1:17">
      <c r="A390" s="26">
        <f t="shared" si="21"/>
        <v>1107026</v>
      </c>
      <c r="B390" s="26">
        <v>1107</v>
      </c>
      <c r="C390" s="26" t="s">
        <v>308</v>
      </c>
      <c r="D390" s="26" t="s">
        <v>309</v>
      </c>
      <c r="E390" s="22">
        <f t="shared" si="20"/>
        <v>18</v>
      </c>
      <c r="F390" s="26">
        <v>26</v>
      </c>
      <c r="G390" s="26">
        <v>17</v>
      </c>
      <c r="H390" s="26" t="s">
        <v>195</v>
      </c>
      <c r="I390" s="27">
        <v>10400</v>
      </c>
      <c r="J390" s="12">
        <v>2600</v>
      </c>
      <c r="K390" s="12" t="s">
        <v>121</v>
      </c>
      <c r="L390" s="27"/>
      <c r="M390" s="28"/>
      <c r="N390" s="28"/>
      <c r="O390" s="30"/>
      <c r="P390" s="29">
        <v>50</v>
      </c>
      <c r="Q390" s="32" t="s">
        <v>131</v>
      </c>
    </row>
    <row r="391" s="10" customFormat="1" customHeight="1" spans="1:17">
      <c r="A391" s="26">
        <f t="shared" si="21"/>
        <v>1107027</v>
      </c>
      <c r="B391" s="26">
        <v>1107</v>
      </c>
      <c r="C391" s="26" t="s">
        <v>308</v>
      </c>
      <c r="D391" s="26" t="s">
        <v>309</v>
      </c>
      <c r="E391" s="22">
        <f t="shared" si="20"/>
        <v>18</v>
      </c>
      <c r="F391" s="26">
        <v>27</v>
      </c>
      <c r="G391" s="26">
        <v>17</v>
      </c>
      <c r="H391" s="26" t="s">
        <v>201</v>
      </c>
      <c r="I391" s="27">
        <v>10800</v>
      </c>
      <c r="J391" s="12">
        <v>2700</v>
      </c>
      <c r="K391" s="12" t="s">
        <v>124</v>
      </c>
      <c r="L391" s="27"/>
      <c r="M391" s="28"/>
      <c r="N391" s="28"/>
      <c r="O391" s="30" t="s">
        <v>234</v>
      </c>
      <c r="P391" s="29">
        <v>52</v>
      </c>
      <c r="Q391" s="32" t="s">
        <v>134</v>
      </c>
    </row>
    <row r="392" s="10" customFormat="1" customHeight="1" spans="1:17">
      <c r="A392" s="26">
        <f t="shared" si="21"/>
        <v>1107028</v>
      </c>
      <c r="B392" s="26">
        <v>1107</v>
      </c>
      <c r="C392" s="26" t="s">
        <v>308</v>
      </c>
      <c r="D392" s="26" t="s">
        <v>309</v>
      </c>
      <c r="E392" s="22">
        <f t="shared" si="20"/>
        <v>19</v>
      </c>
      <c r="F392" s="26">
        <v>28</v>
      </c>
      <c r="G392" s="26">
        <v>17</v>
      </c>
      <c r="H392" s="26" t="s">
        <v>207</v>
      </c>
      <c r="I392" s="27">
        <v>11200</v>
      </c>
      <c r="J392" s="12">
        <v>2800</v>
      </c>
      <c r="K392" s="12" t="s">
        <v>127</v>
      </c>
      <c r="L392" s="27"/>
      <c r="M392" s="28"/>
      <c r="N392" s="28"/>
      <c r="O392" s="30" t="s">
        <v>234</v>
      </c>
      <c r="P392" s="29">
        <v>54</v>
      </c>
      <c r="Q392" s="32" t="s">
        <v>137</v>
      </c>
    </row>
    <row r="393" s="10" customFormat="1" customHeight="1" spans="1:17">
      <c r="A393" s="26">
        <f t="shared" si="21"/>
        <v>1107029</v>
      </c>
      <c r="B393" s="26">
        <v>1107</v>
      </c>
      <c r="C393" s="26" t="s">
        <v>308</v>
      </c>
      <c r="D393" s="26" t="s">
        <v>309</v>
      </c>
      <c r="E393" s="22">
        <f t="shared" si="20"/>
        <v>19</v>
      </c>
      <c r="F393" s="26">
        <v>29</v>
      </c>
      <c r="G393" s="26">
        <v>17</v>
      </c>
      <c r="H393" s="26" t="s">
        <v>213</v>
      </c>
      <c r="I393" s="27">
        <v>11600</v>
      </c>
      <c r="J393" s="12">
        <v>2900</v>
      </c>
      <c r="K393" s="12" t="s">
        <v>130</v>
      </c>
      <c r="L393" s="27"/>
      <c r="M393" s="28"/>
      <c r="N393" s="28"/>
      <c r="O393" s="30" t="s">
        <v>234</v>
      </c>
      <c r="P393" s="29">
        <v>56</v>
      </c>
      <c r="Q393" s="32" t="s">
        <v>140</v>
      </c>
    </row>
    <row r="394" s="10" customFormat="1" customHeight="1" spans="1:17">
      <c r="A394" s="26">
        <f t="shared" si="21"/>
        <v>1107030</v>
      </c>
      <c r="B394" s="26">
        <v>1107</v>
      </c>
      <c r="C394" s="26" t="s">
        <v>308</v>
      </c>
      <c r="D394" s="26" t="s">
        <v>309</v>
      </c>
      <c r="E394" s="22">
        <f t="shared" si="20"/>
        <v>19</v>
      </c>
      <c r="F394" s="26">
        <v>30</v>
      </c>
      <c r="G394" s="26">
        <v>17</v>
      </c>
      <c r="H394" s="26" t="s">
        <v>219</v>
      </c>
      <c r="I394" s="27">
        <v>12000</v>
      </c>
      <c r="J394" s="12">
        <v>3000</v>
      </c>
      <c r="K394" s="12" t="s">
        <v>133</v>
      </c>
      <c r="L394" s="27"/>
      <c r="M394" s="28"/>
      <c r="N394" s="28"/>
      <c r="O394" s="30" t="s">
        <v>234</v>
      </c>
      <c r="P394" s="29">
        <v>58</v>
      </c>
      <c r="Q394" s="32" t="s">
        <v>143</v>
      </c>
    </row>
    <row r="395" s="10" customFormat="1" customHeight="1" spans="1:17">
      <c r="A395" s="26">
        <f t="shared" si="21"/>
        <v>1107031</v>
      </c>
      <c r="B395" s="26">
        <v>1107</v>
      </c>
      <c r="C395" s="26" t="s">
        <v>308</v>
      </c>
      <c r="D395" s="26" t="s">
        <v>309</v>
      </c>
      <c r="E395" s="22">
        <f t="shared" si="20"/>
        <v>20</v>
      </c>
      <c r="F395" s="26">
        <v>31</v>
      </c>
      <c r="G395" s="26">
        <v>17</v>
      </c>
      <c r="H395" s="26" t="s">
        <v>235</v>
      </c>
      <c r="I395" s="27">
        <v>12400</v>
      </c>
      <c r="J395" s="12">
        <v>3100</v>
      </c>
      <c r="K395" s="12" t="s">
        <v>136</v>
      </c>
      <c r="L395" s="27"/>
      <c r="M395" s="28"/>
      <c r="N395" s="28"/>
      <c r="O395" s="30" t="s">
        <v>234</v>
      </c>
      <c r="P395" s="29">
        <v>60</v>
      </c>
      <c r="Q395" s="32" t="s">
        <v>146</v>
      </c>
    </row>
    <row r="396" s="10" customFormat="1" customHeight="1" spans="1:17">
      <c r="A396" s="26">
        <f t="shared" si="21"/>
        <v>1107032</v>
      </c>
      <c r="B396" s="26">
        <v>1107</v>
      </c>
      <c r="C396" s="26" t="s">
        <v>308</v>
      </c>
      <c r="D396" s="26" t="s">
        <v>309</v>
      </c>
      <c r="E396" s="22">
        <f t="shared" si="20"/>
        <v>20</v>
      </c>
      <c r="F396" s="26">
        <v>32</v>
      </c>
      <c r="G396" s="26">
        <v>17</v>
      </c>
      <c r="H396" s="26" t="s">
        <v>236</v>
      </c>
      <c r="I396" s="27">
        <v>12800</v>
      </c>
      <c r="J396" s="12">
        <v>3200</v>
      </c>
      <c r="K396" s="12" t="s">
        <v>139</v>
      </c>
      <c r="L396" s="27"/>
      <c r="M396" s="28"/>
      <c r="N396" s="28"/>
      <c r="O396" s="30" t="s">
        <v>234</v>
      </c>
      <c r="P396" s="29">
        <v>62</v>
      </c>
      <c r="Q396" s="32" t="s">
        <v>149</v>
      </c>
    </row>
    <row r="397" s="10" customFormat="1" customHeight="1" spans="1:17">
      <c r="A397" s="26">
        <f t="shared" si="21"/>
        <v>1107033</v>
      </c>
      <c r="B397" s="26">
        <v>1107</v>
      </c>
      <c r="C397" s="26" t="s">
        <v>308</v>
      </c>
      <c r="D397" s="26" t="s">
        <v>309</v>
      </c>
      <c r="E397" s="22">
        <f t="shared" si="20"/>
        <v>20</v>
      </c>
      <c r="F397" s="26">
        <v>33</v>
      </c>
      <c r="G397" s="26">
        <v>17</v>
      </c>
      <c r="H397" s="26" t="s">
        <v>237</v>
      </c>
      <c r="I397" s="27">
        <v>13200</v>
      </c>
      <c r="J397" s="12">
        <v>3300</v>
      </c>
      <c r="K397" s="12" t="s">
        <v>142</v>
      </c>
      <c r="L397" s="27"/>
      <c r="M397" s="28"/>
      <c r="N397" s="28"/>
      <c r="O397" s="30" t="s">
        <v>234</v>
      </c>
      <c r="P397" s="29">
        <v>64</v>
      </c>
      <c r="Q397" s="32" t="s">
        <v>152</v>
      </c>
    </row>
    <row r="398" s="10" customFormat="1" customHeight="1" spans="1:17">
      <c r="A398" s="26">
        <f t="shared" si="21"/>
        <v>1107034</v>
      </c>
      <c r="B398" s="26">
        <v>1107</v>
      </c>
      <c r="C398" s="26" t="s">
        <v>308</v>
      </c>
      <c r="D398" s="26" t="s">
        <v>309</v>
      </c>
      <c r="E398" s="22">
        <f t="shared" si="20"/>
        <v>21</v>
      </c>
      <c r="F398" s="26">
        <v>34</v>
      </c>
      <c r="G398" s="26">
        <v>17</v>
      </c>
      <c r="H398" s="26" t="s">
        <v>238</v>
      </c>
      <c r="I398" s="27">
        <v>13600</v>
      </c>
      <c r="J398" s="12">
        <v>3400</v>
      </c>
      <c r="K398" s="12" t="s">
        <v>145</v>
      </c>
      <c r="L398" s="27"/>
      <c r="M398" s="28"/>
      <c r="N398" s="28"/>
      <c r="O398" s="30" t="s">
        <v>234</v>
      </c>
      <c r="P398" s="29">
        <v>66</v>
      </c>
      <c r="Q398" s="32" t="s">
        <v>155</v>
      </c>
    </row>
    <row r="399" s="10" customFormat="1" customHeight="1" spans="1:17">
      <c r="A399" s="26">
        <f t="shared" si="21"/>
        <v>1107035</v>
      </c>
      <c r="B399" s="26">
        <v>1107</v>
      </c>
      <c r="C399" s="26" t="s">
        <v>308</v>
      </c>
      <c r="D399" s="26" t="s">
        <v>309</v>
      </c>
      <c r="E399" s="22">
        <f t="shared" si="20"/>
        <v>21</v>
      </c>
      <c r="F399" s="26">
        <v>35</v>
      </c>
      <c r="G399" s="26">
        <v>17</v>
      </c>
      <c r="H399" s="26" t="s">
        <v>239</v>
      </c>
      <c r="I399" s="27">
        <v>14000</v>
      </c>
      <c r="J399" s="12">
        <v>3500</v>
      </c>
      <c r="K399" s="12" t="s">
        <v>148</v>
      </c>
      <c r="L399" s="27"/>
      <c r="M399" s="28"/>
      <c r="N399" s="28"/>
      <c r="O399" s="30" t="s">
        <v>234</v>
      </c>
      <c r="P399" s="29">
        <v>68</v>
      </c>
      <c r="Q399" s="32" t="s">
        <v>158</v>
      </c>
    </row>
    <row r="400" s="10" customFormat="1" customHeight="1" spans="1:17">
      <c r="A400" s="26">
        <f t="shared" si="21"/>
        <v>1107036</v>
      </c>
      <c r="B400" s="26">
        <v>1107</v>
      </c>
      <c r="C400" s="26" t="s">
        <v>308</v>
      </c>
      <c r="D400" s="26" t="s">
        <v>309</v>
      </c>
      <c r="E400" s="22">
        <f t="shared" si="20"/>
        <v>21</v>
      </c>
      <c r="F400" s="26">
        <v>36</v>
      </c>
      <c r="G400" s="26">
        <v>17</v>
      </c>
      <c r="H400" s="26" t="s">
        <v>240</v>
      </c>
      <c r="I400" s="27">
        <v>14400</v>
      </c>
      <c r="J400" s="12">
        <v>3600</v>
      </c>
      <c r="K400" s="12" t="s">
        <v>151</v>
      </c>
      <c r="L400" s="27"/>
      <c r="M400" s="28"/>
      <c r="N400" s="28"/>
      <c r="O400" s="30" t="s">
        <v>234</v>
      </c>
      <c r="P400" s="29">
        <v>70</v>
      </c>
      <c r="Q400" s="32" t="s">
        <v>161</v>
      </c>
    </row>
    <row r="401" s="10" customFormat="1" customHeight="1" spans="1:17">
      <c r="A401" s="26">
        <f t="shared" si="21"/>
        <v>1107037</v>
      </c>
      <c r="B401" s="26">
        <v>1107</v>
      </c>
      <c r="C401" s="26" t="s">
        <v>308</v>
      </c>
      <c r="D401" s="26" t="s">
        <v>309</v>
      </c>
      <c r="E401" s="22">
        <f t="shared" si="20"/>
        <v>22</v>
      </c>
      <c r="F401" s="26">
        <v>37</v>
      </c>
      <c r="G401" s="26">
        <v>17</v>
      </c>
      <c r="H401" s="26" t="s">
        <v>241</v>
      </c>
      <c r="I401" s="27">
        <v>14800</v>
      </c>
      <c r="J401" s="12">
        <v>3700</v>
      </c>
      <c r="K401" s="12" t="s">
        <v>154</v>
      </c>
      <c r="L401" s="27"/>
      <c r="M401" s="28"/>
      <c r="N401" s="28"/>
      <c r="O401" s="30" t="s">
        <v>234</v>
      </c>
      <c r="P401" s="29">
        <v>72</v>
      </c>
      <c r="Q401" s="32" t="s">
        <v>164</v>
      </c>
    </row>
    <row r="402" s="10" customFormat="1" customHeight="1" spans="1:17">
      <c r="A402" s="26">
        <f t="shared" si="21"/>
        <v>1107038</v>
      </c>
      <c r="B402" s="26">
        <v>1107</v>
      </c>
      <c r="C402" s="26" t="s">
        <v>308</v>
      </c>
      <c r="D402" s="26" t="s">
        <v>309</v>
      </c>
      <c r="E402" s="22">
        <f t="shared" si="20"/>
        <v>22</v>
      </c>
      <c r="F402" s="26">
        <v>38</v>
      </c>
      <c r="G402" s="26">
        <v>17</v>
      </c>
      <c r="H402" s="26" t="s">
        <v>242</v>
      </c>
      <c r="I402" s="27">
        <v>15200</v>
      </c>
      <c r="J402" s="12">
        <v>3800</v>
      </c>
      <c r="K402" s="12" t="s">
        <v>157</v>
      </c>
      <c r="L402" s="27"/>
      <c r="M402" s="28"/>
      <c r="N402" s="28"/>
      <c r="O402" s="30" t="s">
        <v>234</v>
      </c>
      <c r="P402" s="29">
        <v>74</v>
      </c>
      <c r="Q402" s="32" t="s">
        <v>167</v>
      </c>
    </row>
    <row r="403" s="10" customFormat="1" customHeight="1" spans="1:17">
      <c r="A403" s="26">
        <f t="shared" si="21"/>
        <v>1107039</v>
      </c>
      <c r="B403" s="26">
        <v>1107</v>
      </c>
      <c r="C403" s="26" t="s">
        <v>308</v>
      </c>
      <c r="D403" s="26" t="s">
        <v>309</v>
      </c>
      <c r="E403" s="22">
        <f t="shared" si="20"/>
        <v>22</v>
      </c>
      <c r="F403" s="26">
        <v>39</v>
      </c>
      <c r="G403" s="26">
        <v>17</v>
      </c>
      <c r="H403" s="26" t="s">
        <v>243</v>
      </c>
      <c r="I403" s="27">
        <v>15600</v>
      </c>
      <c r="J403" s="12">
        <v>3900</v>
      </c>
      <c r="K403" s="12" t="s">
        <v>160</v>
      </c>
      <c r="L403" s="27"/>
      <c r="M403" s="28"/>
      <c r="N403" s="28"/>
      <c r="O403" s="30" t="s">
        <v>234</v>
      </c>
      <c r="P403" s="29">
        <v>76</v>
      </c>
      <c r="Q403" s="32" t="s">
        <v>170</v>
      </c>
    </row>
    <row r="404" s="10" customFormat="1" customHeight="1" spans="1:17">
      <c r="A404" s="26">
        <f t="shared" si="21"/>
        <v>1107040</v>
      </c>
      <c r="B404" s="26">
        <v>1107</v>
      </c>
      <c r="C404" s="26" t="s">
        <v>308</v>
      </c>
      <c r="D404" s="26" t="s">
        <v>309</v>
      </c>
      <c r="E404" s="22">
        <f t="shared" si="20"/>
        <v>23</v>
      </c>
      <c r="F404" s="26">
        <v>40</v>
      </c>
      <c r="G404" s="26">
        <v>17</v>
      </c>
      <c r="H404" s="26" t="s">
        <v>244</v>
      </c>
      <c r="I404" s="27">
        <v>16000</v>
      </c>
      <c r="J404" s="12">
        <v>4000</v>
      </c>
      <c r="K404" s="12" t="s">
        <v>163</v>
      </c>
      <c r="L404" s="27"/>
      <c r="M404" s="28"/>
      <c r="N404" s="28"/>
      <c r="O404" s="30" t="s">
        <v>234</v>
      </c>
      <c r="P404" s="29">
        <v>78</v>
      </c>
      <c r="Q404" s="32" t="s">
        <v>173</v>
      </c>
    </row>
    <row r="405" s="10" customFormat="1" customHeight="1" spans="1:17">
      <c r="A405" s="26">
        <f t="shared" si="21"/>
        <v>1107041</v>
      </c>
      <c r="B405" s="26">
        <v>1107</v>
      </c>
      <c r="C405" s="26" t="s">
        <v>308</v>
      </c>
      <c r="D405" s="26" t="s">
        <v>309</v>
      </c>
      <c r="E405" s="22">
        <f t="shared" si="20"/>
        <v>23</v>
      </c>
      <c r="F405" s="26">
        <v>41</v>
      </c>
      <c r="G405" s="26">
        <v>17</v>
      </c>
      <c r="H405" s="26" t="s">
        <v>245</v>
      </c>
      <c r="I405" s="27">
        <v>16400</v>
      </c>
      <c r="J405" s="12">
        <v>4100</v>
      </c>
      <c r="K405" s="12" t="s">
        <v>166</v>
      </c>
      <c r="L405" s="27"/>
      <c r="M405" s="28"/>
      <c r="N405" s="28"/>
      <c r="O405" s="30" t="s">
        <v>234</v>
      </c>
      <c r="P405" s="29">
        <v>80</v>
      </c>
      <c r="Q405" s="32" t="s">
        <v>176</v>
      </c>
    </row>
    <row r="406" s="10" customFormat="1" customHeight="1" spans="1:17">
      <c r="A406" s="26">
        <f t="shared" si="21"/>
        <v>1107042</v>
      </c>
      <c r="B406" s="26">
        <v>1107</v>
      </c>
      <c r="C406" s="26" t="s">
        <v>308</v>
      </c>
      <c r="D406" s="26" t="s">
        <v>309</v>
      </c>
      <c r="E406" s="22">
        <f t="shared" si="20"/>
        <v>23</v>
      </c>
      <c r="F406" s="26">
        <v>42</v>
      </c>
      <c r="G406" s="26">
        <v>17</v>
      </c>
      <c r="H406" s="26" t="s">
        <v>246</v>
      </c>
      <c r="I406" s="27">
        <v>16800</v>
      </c>
      <c r="J406" s="12">
        <v>4200</v>
      </c>
      <c r="K406" s="12" t="s">
        <v>169</v>
      </c>
      <c r="L406" s="27"/>
      <c r="M406" s="28"/>
      <c r="N406" s="28"/>
      <c r="O406" s="3" t="s">
        <v>234</v>
      </c>
      <c r="P406" s="29">
        <v>82</v>
      </c>
      <c r="Q406" s="32" t="s">
        <v>179</v>
      </c>
    </row>
    <row r="407" s="10" customFormat="1" customHeight="1" spans="1:17">
      <c r="A407" s="26">
        <f t="shared" ref="A407:A434" si="22">B407*1000+F407</f>
        <v>1107043</v>
      </c>
      <c r="B407" s="26">
        <v>1107</v>
      </c>
      <c r="C407" s="26" t="s">
        <v>308</v>
      </c>
      <c r="D407" s="26" t="s">
        <v>309</v>
      </c>
      <c r="E407" s="22">
        <f t="shared" si="20"/>
        <v>24</v>
      </c>
      <c r="F407" s="26">
        <v>43</v>
      </c>
      <c r="G407" s="26">
        <v>17</v>
      </c>
      <c r="H407" s="26" t="s">
        <v>247</v>
      </c>
      <c r="I407" s="27">
        <v>17200</v>
      </c>
      <c r="J407" s="12">
        <v>4300</v>
      </c>
      <c r="K407" s="12" t="s">
        <v>172</v>
      </c>
      <c r="L407" s="27"/>
      <c r="M407" s="28"/>
      <c r="N407" s="28"/>
      <c r="O407" s="3" t="s">
        <v>234</v>
      </c>
      <c r="P407" s="29">
        <v>84</v>
      </c>
      <c r="Q407" s="32" t="s">
        <v>182</v>
      </c>
    </row>
    <row r="408" s="10" customFormat="1" customHeight="1" spans="1:17">
      <c r="A408" s="26">
        <f t="shared" si="22"/>
        <v>1107044</v>
      </c>
      <c r="B408" s="26">
        <v>1107</v>
      </c>
      <c r="C408" s="26" t="s">
        <v>308</v>
      </c>
      <c r="D408" s="26" t="s">
        <v>309</v>
      </c>
      <c r="E408" s="22">
        <f t="shared" si="20"/>
        <v>24</v>
      </c>
      <c r="F408" s="26">
        <v>44</v>
      </c>
      <c r="G408" s="26">
        <v>17</v>
      </c>
      <c r="H408" s="26" t="s">
        <v>248</v>
      </c>
      <c r="I408" s="27">
        <v>17600</v>
      </c>
      <c r="J408" s="12">
        <v>4400</v>
      </c>
      <c r="K408" s="12" t="s">
        <v>175</v>
      </c>
      <c r="L408" s="27"/>
      <c r="M408" s="28"/>
      <c r="N408" s="28"/>
      <c r="O408" s="3" t="s">
        <v>234</v>
      </c>
      <c r="P408" s="29">
        <v>86</v>
      </c>
      <c r="Q408" s="32" t="s">
        <v>185</v>
      </c>
    </row>
    <row r="409" s="10" customFormat="1" customHeight="1" spans="1:17">
      <c r="A409" s="26">
        <f t="shared" si="22"/>
        <v>1107045</v>
      </c>
      <c r="B409" s="26">
        <v>1107</v>
      </c>
      <c r="C409" s="26" t="s">
        <v>308</v>
      </c>
      <c r="D409" s="26" t="s">
        <v>309</v>
      </c>
      <c r="E409" s="22">
        <f t="shared" si="20"/>
        <v>24</v>
      </c>
      <c r="F409" s="26">
        <v>45</v>
      </c>
      <c r="G409" s="26">
        <v>17</v>
      </c>
      <c r="H409" s="26" t="s">
        <v>249</v>
      </c>
      <c r="I409" s="27">
        <v>18000</v>
      </c>
      <c r="J409" s="12">
        <v>4500</v>
      </c>
      <c r="K409" s="12" t="s">
        <v>178</v>
      </c>
      <c r="L409" s="27"/>
      <c r="M409" s="28"/>
      <c r="N409" s="28"/>
      <c r="O409" s="3" t="s">
        <v>234</v>
      </c>
      <c r="P409" s="29">
        <v>88</v>
      </c>
      <c r="Q409" s="32" t="s">
        <v>188</v>
      </c>
    </row>
    <row r="410" s="10" customFormat="1" customHeight="1" spans="1:17">
      <c r="A410" s="26">
        <f t="shared" si="22"/>
        <v>1107046</v>
      </c>
      <c r="B410" s="26">
        <v>1107</v>
      </c>
      <c r="C410" s="26" t="s">
        <v>308</v>
      </c>
      <c r="D410" s="26" t="s">
        <v>309</v>
      </c>
      <c r="E410" s="22">
        <f t="shared" si="20"/>
        <v>25</v>
      </c>
      <c r="F410" s="26">
        <v>46</v>
      </c>
      <c r="G410" s="26">
        <v>17</v>
      </c>
      <c r="H410" s="26" t="s">
        <v>250</v>
      </c>
      <c r="I410" s="27">
        <v>18400</v>
      </c>
      <c r="J410" s="12">
        <v>4600</v>
      </c>
      <c r="K410" s="12" t="s">
        <v>181</v>
      </c>
      <c r="L410" s="27"/>
      <c r="M410" s="28"/>
      <c r="N410" s="28"/>
      <c r="O410" s="3" t="s">
        <v>234</v>
      </c>
      <c r="P410" s="29">
        <v>90</v>
      </c>
      <c r="Q410" s="32" t="s">
        <v>191</v>
      </c>
    </row>
    <row r="411" s="10" customFormat="1" customHeight="1" spans="1:17">
      <c r="A411" s="26">
        <f t="shared" si="22"/>
        <v>1107047</v>
      </c>
      <c r="B411" s="26">
        <v>1107</v>
      </c>
      <c r="C411" s="26" t="s">
        <v>308</v>
      </c>
      <c r="D411" s="26" t="s">
        <v>309</v>
      </c>
      <c r="E411" s="22">
        <f t="shared" si="20"/>
        <v>25</v>
      </c>
      <c r="F411" s="26">
        <v>47</v>
      </c>
      <c r="G411" s="26">
        <v>17</v>
      </c>
      <c r="H411" s="26" t="s">
        <v>251</v>
      </c>
      <c r="I411" s="27">
        <v>18800</v>
      </c>
      <c r="J411" s="12">
        <v>4700</v>
      </c>
      <c r="K411" s="12" t="s">
        <v>184</v>
      </c>
      <c r="L411" s="27"/>
      <c r="M411" s="28"/>
      <c r="N411" s="28"/>
      <c r="O411" s="3" t="s">
        <v>234</v>
      </c>
      <c r="P411" s="29">
        <v>92</v>
      </c>
      <c r="Q411" s="32" t="s">
        <v>194</v>
      </c>
    </row>
    <row r="412" s="10" customFormat="1" customHeight="1" spans="1:17">
      <c r="A412" s="26">
        <f t="shared" si="22"/>
        <v>1107048</v>
      </c>
      <c r="B412" s="26">
        <v>1107</v>
      </c>
      <c r="C412" s="26" t="s">
        <v>308</v>
      </c>
      <c r="D412" s="26" t="s">
        <v>309</v>
      </c>
      <c r="E412" s="22">
        <f t="shared" si="20"/>
        <v>25</v>
      </c>
      <c r="F412" s="26">
        <v>48</v>
      </c>
      <c r="G412" s="26">
        <v>17</v>
      </c>
      <c r="H412" s="26" t="s">
        <v>252</v>
      </c>
      <c r="I412" s="27">
        <v>19200</v>
      </c>
      <c r="J412" s="12">
        <v>4800</v>
      </c>
      <c r="K412" s="12" t="s">
        <v>187</v>
      </c>
      <c r="L412" s="27"/>
      <c r="M412" s="28"/>
      <c r="N412" s="28"/>
      <c r="O412" s="3" t="s">
        <v>234</v>
      </c>
      <c r="P412" s="29">
        <v>94</v>
      </c>
      <c r="Q412" s="32" t="s">
        <v>197</v>
      </c>
    </row>
    <row r="413" s="10" customFormat="1" customHeight="1" spans="1:17">
      <c r="A413" s="26">
        <f t="shared" si="22"/>
        <v>1107049</v>
      </c>
      <c r="B413" s="26">
        <v>1107</v>
      </c>
      <c r="C413" s="26" t="s">
        <v>308</v>
      </c>
      <c r="D413" s="26" t="s">
        <v>309</v>
      </c>
      <c r="E413" s="22">
        <f t="shared" si="20"/>
        <v>26</v>
      </c>
      <c r="F413" s="26">
        <v>49</v>
      </c>
      <c r="G413" s="26">
        <v>17</v>
      </c>
      <c r="H413" s="26" t="s">
        <v>253</v>
      </c>
      <c r="I413" s="27">
        <v>19600</v>
      </c>
      <c r="J413" s="12">
        <v>4900</v>
      </c>
      <c r="K413" s="12" t="s">
        <v>190</v>
      </c>
      <c r="L413" s="27"/>
      <c r="M413" s="28"/>
      <c r="N413" s="28"/>
      <c r="O413" s="3" t="s">
        <v>234</v>
      </c>
      <c r="P413" s="29">
        <v>96</v>
      </c>
      <c r="Q413" s="32" t="s">
        <v>200</v>
      </c>
    </row>
    <row r="414" s="10" customFormat="1" customHeight="1" spans="1:17">
      <c r="A414" s="26">
        <f t="shared" si="22"/>
        <v>1107050</v>
      </c>
      <c r="B414" s="26">
        <v>1107</v>
      </c>
      <c r="C414" s="26" t="s">
        <v>308</v>
      </c>
      <c r="D414" s="26" t="s">
        <v>309</v>
      </c>
      <c r="E414" s="22">
        <f t="shared" si="20"/>
        <v>26</v>
      </c>
      <c r="F414" s="26">
        <v>50</v>
      </c>
      <c r="G414" s="26">
        <v>17</v>
      </c>
      <c r="H414" s="26" t="s">
        <v>254</v>
      </c>
      <c r="I414" s="27">
        <v>20000</v>
      </c>
      <c r="J414" s="12">
        <v>5000</v>
      </c>
      <c r="K414" s="12" t="s">
        <v>193</v>
      </c>
      <c r="L414" s="27"/>
      <c r="M414" s="28"/>
      <c r="N414" s="28"/>
      <c r="O414" s="3" t="s">
        <v>234</v>
      </c>
      <c r="P414" s="29">
        <v>98</v>
      </c>
      <c r="Q414" s="32" t="s">
        <v>203</v>
      </c>
    </row>
    <row r="415" s="10" customFormat="1" customHeight="1" spans="1:17">
      <c r="A415" s="26">
        <f t="shared" si="22"/>
        <v>1107051</v>
      </c>
      <c r="B415" s="26">
        <v>1107</v>
      </c>
      <c r="C415" s="26" t="s">
        <v>308</v>
      </c>
      <c r="D415" s="26" t="s">
        <v>309</v>
      </c>
      <c r="E415" s="22">
        <f t="shared" si="20"/>
        <v>26</v>
      </c>
      <c r="F415" s="26">
        <v>51</v>
      </c>
      <c r="G415" s="26">
        <v>17</v>
      </c>
      <c r="H415" s="26" t="s">
        <v>255</v>
      </c>
      <c r="I415" s="27">
        <v>20400</v>
      </c>
      <c r="J415" s="12">
        <v>5100</v>
      </c>
      <c r="K415" s="12" t="s">
        <v>196</v>
      </c>
      <c r="L415" s="27"/>
      <c r="M415" s="28"/>
      <c r="N415" s="28"/>
      <c r="O415" s="3" t="s">
        <v>234</v>
      </c>
      <c r="P415" s="29">
        <v>100</v>
      </c>
      <c r="Q415" s="32" t="s">
        <v>206</v>
      </c>
    </row>
    <row r="416" s="10" customFormat="1" customHeight="1" spans="1:17">
      <c r="A416" s="26">
        <f t="shared" si="22"/>
        <v>1107052</v>
      </c>
      <c r="B416" s="26">
        <v>1107</v>
      </c>
      <c r="C416" s="26" t="s">
        <v>308</v>
      </c>
      <c r="D416" s="26" t="s">
        <v>309</v>
      </c>
      <c r="E416" s="22">
        <f t="shared" si="20"/>
        <v>27</v>
      </c>
      <c r="F416" s="26">
        <v>52</v>
      </c>
      <c r="G416" s="26">
        <v>17</v>
      </c>
      <c r="H416" s="26" t="s">
        <v>256</v>
      </c>
      <c r="I416" s="27">
        <v>20800</v>
      </c>
      <c r="J416" s="12">
        <v>5200</v>
      </c>
      <c r="K416" s="12" t="s">
        <v>199</v>
      </c>
      <c r="L416" s="27"/>
      <c r="M416" s="28"/>
      <c r="N416" s="28"/>
      <c r="O416" s="3" t="s">
        <v>234</v>
      </c>
      <c r="P416" s="29">
        <v>102</v>
      </c>
      <c r="Q416" s="32" t="s">
        <v>209</v>
      </c>
    </row>
    <row r="417" s="10" customFormat="1" customHeight="1" spans="1:17">
      <c r="A417" s="26">
        <f t="shared" si="22"/>
        <v>1107053</v>
      </c>
      <c r="B417" s="26">
        <v>1107</v>
      </c>
      <c r="C417" s="26" t="s">
        <v>308</v>
      </c>
      <c r="D417" s="26" t="s">
        <v>309</v>
      </c>
      <c r="E417" s="22">
        <f t="shared" si="20"/>
        <v>27</v>
      </c>
      <c r="F417" s="26">
        <v>53</v>
      </c>
      <c r="G417" s="26">
        <v>17</v>
      </c>
      <c r="H417" s="26" t="s">
        <v>257</v>
      </c>
      <c r="I417" s="27">
        <v>21200</v>
      </c>
      <c r="J417" s="12">
        <v>5300</v>
      </c>
      <c r="K417" s="12" t="s">
        <v>202</v>
      </c>
      <c r="L417" s="27"/>
      <c r="M417" s="28"/>
      <c r="N417" s="28"/>
      <c r="O417" s="3" t="s">
        <v>234</v>
      </c>
      <c r="P417" s="29">
        <v>104</v>
      </c>
      <c r="Q417" s="32" t="s">
        <v>212</v>
      </c>
    </row>
    <row r="418" s="10" customFormat="1" customHeight="1" spans="1:17">
      <c r="A418" s="26">
        <f t="shared" si="22"/>
        <v>1107054</v>
      </c>
      <c r="B418" s="26">
        <v>1107</v>
      </c>
      <c r="C418" s="26" t="s">
        <v>308</v>
      </c>
      <c r="D418" s="26" t="s">
        <v>309</v>
      </c>
      <c r="E418" s="22">
        <f t="shared" si="20"/>
        <v>27</v>
      </c>
      <c r="F418" s="26">
        <v>54</v>
      </c>
      <c r="G418" s="26">
        <v>17</v>
      </c>
      <c r="H418" s="26" t="s">
        <v>258</v>
      </c>
      <c r="I418" s="27">
        <v>21600</v>
      </c>
      <c r="J418" s="12">
        <v>5400</v>
      </c>
      <c r="K418" s="12" t="s">
        <v>205</v>
      </c>
      <c r="L418" s="27"/>
      <c r="M418" s="28"/>
      <c r="N418" s="28"/>
      <c r="O418" s="3" t="s">
        <v>234</v>
      </c>
      <c r="P418" s="29">
        <v>106</v>
      </c>
      <c r="Q418" s="32" t="s">
        <v>215</v>
      </c>
    </row>
    <row r="419" s="10" customFormat="1" customHeight="1" spans="1:17">
      <c r="A419" s="26">
        <f t="shared" si="22"/>
        <v>1107055</v>
      </c>
      <c r="B419" s="26">
        <v>1107</v>
      </c>
      <c r="C419" s="26" t="s">
        <v>308</v>
      </c>
      <c r="D419" s="26" t="s">
        <v>309</v>
      </c>
      <c r="E419" s="22">
        <f t="shared" si="20"/>
        <v>28</v>
      </c>
      <c r="F419" s="26">
        <v>55</v>
      </c>
      <c r="G419" s="26">
        <v>17</v>
      </c>
      <c r="H419" s="26" t="s">
        <v>259</v>
      </c>
      <c r="I419" s="27">
        <v>22000</v>
      </c>
      <c r="J419" s="12">
        <v>5500</v>
      </c>
      <c r="K419" s="12" t="s">
        <v>208</v>
      </c>
      <c r="L419" s="27"/>
      <c r="M419" s="28"/>
      <c r="N419" s="28"/>
      <c r="O419" s="3" t="s">
        <v>234</v>
      </c>
      <c r="P419" s="29">
        <v>108</v>
      </c>
      <c r="Q419" s="32" t="s">
        <v>218</v>
      </c>
    </row>
    <row r="420" s="10" customFormat="1" customHeight="1" spans="1:17">
      <c r="A420" s="26">
        <f t="shared" si="22"/>
        <v>1107056</v>
      </c>
      <c r="B420" s="26">
        <v>1107</v>
      </c>
      <c r="C420" s="26" t="s">
        <v>308</v>
      </c>
      <c r="D420" s="26" t="s">
        <v>309</v>
      </c>
      <c r="E420" s="22">
        <f t="shared" si="20"/>
        <v>28</v>
      </c>
      <c r="F420" s="26">
        <v>56</v>
      </c>
      <c r="G420" s="26">
        <v>17</v>
      </c>
      <c r="H420" s="26" t="s">
        <v>260</v>
      </c>
      <c r="I420" s="27">
        <v>22400</v>
      </c>
      <c r="J420" s="12">
        <v>5600</v>
      </c>
      <c r="K420" s="12" t="s">
        <v>211</v>
      </c>
      <c r="L420" s="27"/>
      <c r="M420" s="28"/>
      <c r="N420" s="28"/>
      <c r="O420" s="3" t="s">
        <v>234</v>
      </c>
      <c r="P420" s="29">
        <v>110</v>
      </c>
      <c r="Q420" s="32" t="s">
        <v>221</v>
      </c>
    </row>
    <row r="421" s="10" customFormat="1" customHeight="1" spans="1:17">
      <c r="A421" s="26">
        <f t="shared" si="22"/>
        <v>1107057</v>
      </c>
      <c r="B421" s="26">
        <v>1107</v>
      </c>
      <c r="C421" s="26" t="s">
        <v>308</v>
      </c>
      <c r="D421" s="26" t="s">
        <v>309</v>
      </c>
      <c r="E421" s="22">
        <f t="shared" si="20"/>
        <v>28</v>
      </c>
      <c r="F421" s="26">
        <v>57</v>
      </c>
      <c r="G421" s="26">
        <v>17</v>
      </c>
      <c r="H421" s="26" t="s">
        <v>261</v>
      </c>
      <c r="I421" s="27">
        <v>22800</v>
      </c>
      <c r="J421" s="12">
        <v>5700</v>
      </c>
      <c r="K421" s="12" t="s">
        <v>214</v>
      </c>
      <c r="L421" s="27"/>
      <c r="M421" s="28"/>
      <c r="N421" s="28"/>
      <c r="O421" s="3" t="s">
        <v>234</v>
      </c>
      <c r="P421" s="29">
        <v>112</v>
      </c>
      <c r="Q421" s="32" t="s">
        <v>224</v>
      </c>
    </row>
    <row r="422" s="10" customFormat="1" customHeight="1" spans="1:17">
      <c r="A422" s="26">
        <f t="shared" si="22"/>
        <v>1107058</v>
      </c>
      <c r="B422" s="26">
        <v>1107</v>
      </c>
      <c r="C422" s="26" t="s">
        <v>308</v>
      </c>
      <c r="D422" s="26" t="s">
        <v>309</v>
      </c>
      <c r="E422" s="22">
        <f t="shared" si="20"/>
        <v>29</v>
      </c>
      <c r="F422" s="26">
        <v>58</v>
      </c>
      <c r="G422" s="26">
        <v>17</v>
      </c>
      <c r="H422" s="26" t="s">
        <v>262</v>
      </c>
      <c r="I422" s="27">
        <v>23200</v>
      </c>
      <c r="J422" s="12">
        <v>5800</v>
      </c>
      <c r="K422" s="12" t="s">
        <v>217</v>
      </c>
      <c r="L422" s="27"/>
      <c r="M422" s="28"/>
      <c r="N422" s="28"/>
      <c r="O422" s="3" t="s">
        <v>234</v>
      </c>
      <c r="P422" s="29">
        <v>114</v>
      </c>
      <c r="Q422" s="10" t="s">
        <v>265</v>
      </c>
    </row>
    <row r="423" s="10" customFormat="1" customHeight="1" spans="1:17">
      <c r="A423" s="26">
        <f t="shared" si="22"/>
        <v>1107059</v>
      </c>
      <c r="B423" s="26">
        <v>1107</v>
      </c>
      <c r="C423" s="26" t="s">
        <v>308</v>
      </c>
      <c r="D423" s="26" t="s">
        <v>309</v>
      </c>
      <c r="E423" s="22">
        <f t="shared" si="20"/>
        <v>29</v>
      </c>
      <c r="F423" s="26">
        <v>59</v>
      </c>
      <c r="G423" s="26">
        <v>17</v>
      </c>
      <c r="H423" s="26" t="s">
        <v>263</v>
      </c>
      <c r="I423" s="27">
        <v>23600</v>
      </c>
      <c r="J423" s="12">
        <v>5900</v>
      </c>
      <c r="K423" s="12" t="s">
        <v>220</v>
      </c>
      <c r="L423" s="27"/>
      <c r="M423" s="28"/>
      <c r="N423" s="28"/>
      <c r="O423" s="3" t="s">
        <v>234</v>
      </c>
      <c r="P423" s="29">
        <v>116</v>
      </c>
      <c r="Q423" s="10" t="s">
        <v>275</v>
      </c>
    </row>
    <row r="424" s="10" customFormat="1" customHeight="1" spans="1:17">
      <c r="A424" s="26">
        <f t="shared" si="22"/>
        <v>1107060</v>
      </c>
      <c r="B424" s="26">
        <v>1107</v>
      </c>
      <c r="C424" s="26" t="s">
        <v>308</v>
      </c>
      <c r="D424" s="26" t="s">
        <v>309</v>
      </c>
      <c r="E424" s="22">
        <v>9999</v>
      </c>
      <c r="F424" s="26">
        <v>60</v>
      </c>
      <c r="G424" s="26">
        <v>17</v>
      </c>
      <c r="H424" s="26" t="s">
        <v>264</v>
      </c>
      <c r="I424" s="27">
        <v>24000</v>
      </c>
      <c r="J424" s="12">
        <v>6000</v>
      </c>
      <c r="K424" s="12" t="s">
        <v>223</v>
      </c>
      <c r="L424" s="27"/>
      <c r="M424" s="28"/>
      <c r="N424" s="28"/>
      <c r="O424" s="3" t="s">
        <v>234</v>
      </c>
      <c r="P424" s="29"/>
      <c r="Q424" s="10" t="s">
        <v>276</v>
      </c>
    </row>
    <row r="425" customHeight="1" spans="1:17">
      <c r="A425" s="22">
        <f t="shared" si="22"/>
        <v>1108001</v>
      </c>
      <c r="B425" s="22">
        <v>1108</v>
      </c>
      <c r="C425" s="22" t="s">
        <v>317</v>
      </c>
      <c r="D425" s="22" t="s">
        <v>318</v>
      </c>
      <c r="E425" s="22">
        <v>22</v>
      </c>
      <c r="F425" s="22">
        <v>1</v>
      </c>
      <c r="G425" s="22">
        <v>11</v>
      </c>
      <c r="H425" s="22" t="s">
        <v>38</v>
      </c>
      <c r="I425" s="12">
        <v>1000</v>
      </c>
      <c r="J425" s="12">
        <v>100</v>
      </c>
      <c r="K425" s="12" t="s">
        <v>39</v>
      </c>
      <c r="L425" s="12"/>
      <c r="M425" s="11" t="s">
        <v>319</v>
      </c>
      <c r="N425" s="11" t="s">
        <v>320</v>
      </c>
      <c r="O425" s="2" t="s">
        <v>321</v>
      </c>
      <c r="P425" s="24">
        <v>2</v>
      </c>
      <c r="Q425" s="25" t="s">
        <v>74</v>
      </c>
    </row>
    <row r="426" customHeight="1" spans="1:17">
      <c r="A426" s="22">
        <f t="shared" si="22"/>
        <v>1108002</v>
      </c>
      <c r="B426" s="22">
        <v>1108</v>
      </c>
      <c r="C426" s="22" t="s">
        <v>317</v>
      </c>
      <c r="D426" s="22" t="s">
        <v>318</v>
      </c>
      <c r="E426" s="22">
        <v>22</v>
      </c>
      <c r="F426" s="22">
        <v>2</v>
      </c>
      <c r="G426" s="22">
        <v>13</v>
      </c>
      <c r="H426" s="22" t="s">
        <v>49</v>
      </c>
      <c r="I426" s="12">
        <v>2000</v>
      </c>
      <c r="J426" s="12">
        <v>200</v>
      </c>
      <c r="K426" s="12" t="s">
        <v>45</v>
      </c>
      <c r="L426" s="12"/>
      <c r="M426" s="11" t="s">
        <v>322</v>
      </c>
      <c r="N426" s="11" t="s">
        <v>323</v>
      </c>
      <c r="O426" s="2">
        <v>1108263</v>
      </c>
      <c r="P426" s="24">
        <v>4</v>
      </c>
      <c r="Q426" s="25" t="s">
        <v>77</v>
      </c>
    </row>
    <row r="427" customHeight="1" spans="1:17">
      <c r="A427" s="22">
        <f t="shared" si="22"/>
        <v>1108003</v>
      </c>
      <c r="B427" s="22">
        <v>1108</v>
      </c>
      <c r="C427" s="22" t="s">
        <v>317</v>
      </c>
      <c r="D427" s="22" t="s">
        <v>318</v>
      </c>
      <c r="E427" s="22">
        <v>22</v>
      </c>
      <c r="F427" s="22">
        <v>3</v>
      </c>
      <c r="G427" s="22">
        <v>15</v>
      </c>
      <c r="H427" s="22" t="s">
        <v>57</v>
      </c>
      <c r="I427" s="12">
        <v>3000</v>
      </c>
      <c r="J427" s="12">
        <v>300</v>
      </c>
      <c r="K427" s="12" t="s">
        <v>50</v>
      </c>
      <c r="L427" s="12"/>
      <c r="M427" s="11" t="s">
        <v>324</v>
      </c>
      <c r="N427" s="11" t="s">
        <v>325</v>
      </c>
      <c r="O427" s="2">
        <v>1108255</v>
      </c>
      <c r="P427" s="24">
        <v>8</v>
      </c>
      <c r="Q427" s="25" t="s">
        <v>80</v>
      </c>
    </row>
    <row r="428" customHeight="1" spans="1:17">
      <c r="A428" s="22">
        <f t="shared" si="22"/>
        <v>1108004</v>
      </c>
      <c r="B428" s="22">
        <v>1108</v>
      </c>
      <c r="C428" s="22" t="s">
        <v>317</v>
      </c>
      <c r="D428" s="22" t="s">
        <v>318</v>
      </c>
      <c r="E428" s="22">
        <f t="shared" ref="E428:E484" si="23">E425+1</f>
        <v>23</v>
      </c>
      <c r="F428" s="22">
        <v>4</v>
      </c>
      <c r="G428" s="22">
        <v>15</v>
      </c>
      <c r="H428" s="22" t="s">
        <v>63</v>
      </c>
      <c r="I428" s="12">
        <v>4000</v>
      </c>
      <c r="J428" s="12">
        <v>400</v>
      </c>
      <c r="K428" s="12" t="s">
        <v>55</v>
      </c>
      <c r="L428" s="12"/>
      <c r="O428" s="2">
        <v>1108264</v>
      </c>
      <c r="P428" s="24">
        <v>12</v>
      </c>
      <c r="Q428" s="25" t="s">
        <v>83</v>
      </c>
    </row>
    <row r="429" customHeight="1" spans="1:17">
      <c r="A429" s="22">
        <f t="shared" si="22"/>
        <v>1108005</v>
      </c>
      <c r="B429" s="22">
        <v>1108</v>
      </c>
      <c r="C429" s="22" t="s">
        <v>317</v>
      </c>
      <c r="D429" s="22" t="s">
        <v>318</v>
      </c>
      <c r="E429" s="22">
        <f t="shared" si="23"/>
        <v>23</v>
      </c>
      <c r="F429" s="22">
        <v>5</v>
      </c>
      <c r="G429" s="22">
        <v>15</v>
      </c>
      <c r="H429" s="22" t="s">
        <v>69</v>
      </c>
      <c r="I429" s="12">
        <v>5000</v>
      </c>
      <c r="J429" s="12">
        <v>500</v>
      </c>
      <c r="K429" s="12" t="s">
        <v>58</v>
      </c>
      <c r="L429" s="12"/>
      <c r="O429" s="2">
        <v>1108253</v>
      </c>
      <c r="P429" s="24">
        <v>16</v>
      </c>
      <c r="Q429" s="25" t="s">
        <v>86</v>
      </c>
    </row>
    <row r="430" customHeight="1" spans="1:17">
      <c r="A430" s="22">
        <f t="shared" si="22"/>
        <v>1108006</v>
      </c>
      <c r="B430" s="22">
        <v>1108</v>
      </c>
      <c r="C430" s="22" t="s">
        <v>317</v>
      </c>
      <c r="D430" s="22" t="s">
        <v>318</v>
      </c>
      <c r="E430" s="22">
        <f t="shared" si="23"/>
        <v>23</v>
      </c>
      <c r="F430" s="22">
        <v>6</v>
      </c>
      <c r="G430" s="22">
        <v>15</v>
      </c>
      <c r="H430" s="22" t="s">
        <v>75</v>
      </c>
      <c r="I430" s="12">
        <v>6000</v>
      </c>
      <c r="J430" s="12">
        <v>600</v>
      </c>
      <c r="K430" s="12" t="s">
        <v>61</v>
      </c>
      <c r="L430" s="12"/>
      <c r="O430" s="2">
        <v>1108254</v>
      </c>
      <c r="P430" s="24">
        <v>20</v>
      </c>
      <c r="Q430" s="25" t="s">
        <v>89</v>
      </c>
    </row>
    <row r="431" customHeight="1" spans="1:17">
      <c r="A431" s="22">
        <f t="shared" si="22"/>
        <v>1108007</v>
      </c>
      <c r="B431" s="22">
        <v>1108</v>
      </c>
      <c r="C431" s="22" t="s">
        <v>317</v>
      </c>
      <c r="D431" s="22" t="s">
        <v>318</v>
      </c>
      <c r="E431" s="22">
        <f t="shared" si="23"/>
        <v>24</v>
      </c>
      <c r="F431" s="22">
        <v>7</v>
      </c>
      <c r="G431" s="22">
        <v>15</v>
      </c>
      <c r="H431" s="22" t="s">
        <v>81</v>
      </c>
      <c r="I431" s="12">
        <v>7000</v>
      </c>
      <c r="J431" s="12">
        <v>700</v>
      </c>
      <c r="K431" s="12" t="s">
        <v>64</v>
      </c>
      <c r="L431" s="12"/>
      <c r="O431" s="2">
        <v>1108257</v>
      </c>
      <c r="P431" s="24">
        <v>24</v>
      </c>
      <c r="Q431" s="25" t="s">
        <v>92</v>
      </c>
    </row>
    <row r="432" customHeight="1" spans="1:17">
      <c r="A432" s="22">
        <f t="shared" si="22"/>
        <v>1108008</v>
      </c>
      <c r="B432" s="22">
        <v>1108</v>
      </c>
      <c r="C432" s="22" t="s">
        <v>317</v>
      </c>
      <c r="D432" s="22" t="s">
        <v>318</v>
      </c>
      <c r="E432" s="22">
        <f t="shared" si="23"/>
        <v>24</v>
      </c>
      <c r="F432" s="22">
        <v>8</v>
      </c>
      <c r="G432" s="22">
        <v>15</v>
      </c>
      <c r="H432" s="22" t="s">
        <v>87</v>
      </c>
      <c r="I432" s="12">
        <v>8000</v>
      </c>
      <c r="J432" s="12">
        <v>800</v>
      </c>
      <c r="K432" s="12" t="s">
        <v>67</v>
      </c>
      <c r="L432" s="12"/>
      <c r="O432" s="2">
        <v>1108256</v>
      </c>
      <c r="P432" s="24">
        <v>28</v>
      </c>
      <c r="Q432" s="25" t="s">
        <v>95</v>
      </c>
    </row>
    <row r="433" customHeight="1" spans="1:17">
      <c r="A433" s="22">
        <f t="shared" si="22"/>
        <v>1108009</v>
      </c>
      <c r="B433" s="22">
        <v>1108</v>
      </c>
      <c r="C433" s="22" t="s">
        <v>317</v>
      </c>
      <c r="D433" s="22" t="s">
        <v>318</v>
      </c>
      <c r="E433" s="22">
        <f t="shared" si="23"/>
        <v>24</v>
      </c>
      <c r="F433" s="22">
        <v>9</v>
      </c>
      <c r="G433" s="22">
        <v>15</v>
      </c>
      <c r="H433" s="22" t="s">
        <v>93</v>
      </c>
      <c r="I433" s="12">
        <v>9000</v>
      </c>
      <c r="J433" s="12">
        <v>900</v>
      </c>
      <c r="K433" s="12" t="s">
        <v>70</v>
      </c>
      <c r="L433" s="12"/>
      <c r="O433" s="2">
        <v>1108258</v>
      </c>
      <c r="P433" s="24">
        <v>32</v>
      </c>
      <c r="Q433" s="25" t="s">
        <v>98</v>
      </c>
    </row>
    <row r="434" customHeight="1" spans="1:17">
      <c r="A434" s="22">
        <f t="shared" si="22"/>
        <v>1108010</v>
      </c>
      <c r="B434" s="22">
        <v>1108</v>
      </c>
      <c r="C434" s="22" t="s">
        <v>317</v>
      </c>
      <c r="D434" s="22" t="s">
        <v>318</v>
      </c>
      <c r="E434" s="22">
        <f t="shared" si="23"/>
        <v>25</v>
      </c>
      <c r="F434" s="22">
        <v>10</v>
      </c>
      <c r="G434" s="22">
        <v>15</v>
      </c>
      <c r="H434" s="22" t="s">
        <v>99</v>
      </c>
      <c r="I434" s="12">
        <v>10000</v>
      </c>
      <c r="J434" s="12">
        <v>1000</v>
      </c>
      <c r="K434" s="12" t="s">
        <v>73</v>
      </c>
      <c r="L434" s="12"/>
      <c r="O434" s="2">
        <v>1108259</v>
      </c>
      <c r="P434" s="24">
        <v>36</v>
      </c>
      <c r="Q434" s="25" t="s">
        <v>101</v>
      </c>
    </row>
    <row r="435" customHeight="1" spans="1:17">
      <c r="A435" s="22">
        <f t="shared" ref="A435:A466" si="24">B435*1000+F435</f>
        <v>1108011</v>
      </c>
      <c r="B435" s="22">
        <v>1108</v>
      </c>
      <c r="C435" s="22" t="s">
        <v>317</v>
      </c>
      <c r="D435" s="22" t="s">
        <v>318</v>
      </c>
      <c r="E435" s="22">
        <f t="shared" si="23"/>
        <v>25</v>
      </c>
      <c r="F435" s="22">
        <v>11</v>
      </c>
      <c r="G435" s="22">
        <v>15</v>
      </c>
      <c r="H435" s="22" t="s">
        <v>105</v>
      </c>
      <c r="I435" s="12">
        <v>11000</v>
      </c>
      <c r="J435" s="12">
        <v>1100</v>
      </c>
      <c r="K435" s="12" t="s">
        <v>76</v>
      </c>
      <c r="L435" s="12"/>
      <c r="O435" s="2">
        <v>1108260</v>
      </c>
      <c r="P435" s="24">
        <v>40</v>
      </c>
      <c r="Q435" s="25" t="s">
        <v>104</v>
      </c>
    </row>
    <row r="436" customHeight="1" spans="1:17">
      <c r="A436" s="22">
        <f t="shared" si="24"/>
        <v>1108012</v>
      </c>
      <c r="B436" s="22">
        <v>1108</v>
      </c>
      <c r="C436" s="22" t="s">
        <v>317</v>
      </c>
      <c r="D436" s="22" t="s">
        <v>318</v>
      </c>
      <c r="E436" s="22">
        <f t="shared" si="23"/>
        <v>25</v>
      </c>
      <c r="F436" s="22">
        <v>12</v>
      </c>
      <c r="G436" s="22">
        <v>15</v>
      </c>
      <c r="H436" s="22" t="s">
        <v>111</v>
      </c>
      <c r="I436" s="12">
        <v>12000</v>
      </c>
      <c r="J436" s="12">
        <v>1200</v>
      </c>
      <c r="K436" s="12" t="s">
        <v>79</v>
      </c>
      <c r="L436" s="12"/>
      <c r="O436" s="2">
        <v>1108252</v>
      </c>
      <c r="P436" s="24">
        <v>44</v>
      </c>
      <c r="Q436" s="25" t="s">
        <v>107</v>
      </c>
    </row>
    <row r="437" customHeight="1" spans="1:17">
      <c r="A437" s="22">
        <f t="shared" si="24"/>
        <v>1108013</v>
      </c>
      <c r="B437" s="22">
        <v>1108</v>
      </c>
      <c r="C437" s="22" t="s">
        <v>317</v>
      </c>
      <c r="D437" s="22" t="s">
        <v>318</v>
      </c>
      <c r="E437" s="22">
        <f t="shared" si="23"/>
        <v>26</v>
      </c>
      <c r="F437" s="22">
        <v>13</v>
      </c>
      <c r="G437" s="22">
        <v>15</v>
      </c>
      <c r="H437" s="22" t="s">
        <v>117</v>
      </c>
      <c r="I437" s="12">
        <v>13000</v>
      </c>
      <c r="J437" s="12">
        <v>1300</v>
      </c>
      <c r="K437" s="12" t="s">
        <v>82</v>
      </c>
      <c r="L437" s="12"/>
      <c r="O437" s="2">
        <v>1108251</v>
      </c>
      <c r="P437" s="24">
        <v>48</v>
      </c>
      <c r="Q437" s="25" t="s">
        <v>110</v>
      </c>
    </row>
    <row r="438" customHeight="1" spans="1:17">
      <c r="A438" s="22">
        <f t="shared" si="24"/>
        <v>1108014</v>
      </c>
      <c r="B438" s="22">
        <v>1108</v>
      </c>
      <c r="C438" s="22" t="s">
        <v>317</v>
      </c>
      <c r="D438" s="22" t="s">
        <v>318</v>
      </c>
      <c r="E438" s="22">
        <f t="shared" si="23"/>
        <v>26</v>
      </c>
      <c r="F438" s="22">
        <v>14</v>
      </c>
      <c r="G438" s="22">
        <v>15</v>
      </c>
      <c r="H438" s="22" t="s">
        <v>123</v>
      </c>
      <c r="I438" s="12">
        <v>14000</v>
      </c>
      <c r="J438" s="12">
        <v>1400</v>
      </c>
      <c r="K438" s="12" t="s">
        <v>85</v>
      </c>
      <c r="L438" s="12"/>
      <c r="O438" s="2">
        <v>1108265</v>
      </c>
      <c r="P438" s="24">
        <v>52</v>
      </c>
      <c r="Q438" s="25" t="s">
        <v>113</v>
      </c>
    </row>
    <row r="439" customHeight="1" spans="1:17">
      <c r="A439" s="22">
        <f t="shared" si="24"/>
        <v>1108015</v>
      </c>
      <c r="B439" s="22">
        <v>1108</v>
      </c>
      <c r="C439" s="22" t="s">
        <v>317</v>
      </c>
      <c r="D439" s="22" t="s">
        <v>318</v>
      </c>
      <c r="E439" s="22">
        <f t="shared" si="23"/>
        <v>26</v>
      </c>
      <c r="F439" s="22">
        <v>15</v>
      </c>
      <c r="G439" s="22">
        <v>15</v>
      </c>
      <c r="H439" s="22" t="s">
        <v>129</v>
      </c>
      <c r="I439" s="12">
        <v>15000</v>
      </c>
      <c r="J439" s="12">
        <v>1500</v>
      </c>
      <c r="K439" s="12" t="s">
        <v>88</v>
      </c>
      <c r="L439" s="12"/>
      <c r="O439" s="2">
        <v>1108266</v>
      </c>
      <c r="P439" s="24">
        <v>56</v>
      </c>
      <c r="Q439" s="25" t="s">
        <v>116</v>
      </c>
    </row>
    <row r="440" customHeight="1" spans="1:17">
      <c r="A440" s="22">
        <f t="shared" si="24"/>
        <v>1108016</v>
      </c>
      <c r="B440" s="22">
        <v>1108</v>
      </c>
      <c r="C440" s="22" t="s">
        <v>317</v>
      </c>
      <c r="D440" s="22" t="s">
        <v>318</v>
      </c>
      <c r="E440" s="22">
        <f t="shared" si="23"/>
        <v>27</v>
      </c>
      <c r="F440" s="22">
        <v>16</v>
      </c>
      <c r="G440" s="22">
        <v>15</v>
      </c>
      <c r="H440" s="22" t="s">
        <v>135</v>
      </c>
      <c r="I440" s="12">
        <v>16000</v>
      </c>
      <c r="J440" s="12">
        <v>1600</v>
      </c>
      <c r="K440" s="12" t="s">
        <v>91</v>
      </c>
      <c r="L440" s="12"/>
      <c r="O440" s="2">
        <v>1108267</v>
      </c>
      <c r="P440" s="24">
        <v>60</v>
      </c>
      <c r="Q440" s="25" t="s">
        <v>119</v>
      </c>
    </row>
    <row r="441" customHeight="1" spans="1:17">
      <c r="A441" s="22">
        <f t="shared" si="24"/>
        <v>1108017</v>
      </c>
      <c r="B441" s="22">
        <v>1108</v>
      </c>
      <c r="C441" s="22" t="s">
        <v>317</v>
      </c>
      <c r="D441" s="22" t="s">
        <v>318</v>
      </c>
      <c r="E441" s="22">
        <f t="shared" si="23"/>
        <v>27</v>
      </c>
      <c r="F441" s="22">
        <v>17</v>
      </c>
      <c r="G441" s="22">
        <v>15</v>
      </c>
      <c r="H441" s="22" t="s">
        <v>141</v>
      </c>
      <c r="I441" s="12">
        <v>17000</v>
      </c>
      <c r="J441" s="12">
        <v>1700</v>
      </c>
      <c r="K441" s="12" t="s">
        <v>94</v>
      </c>
      <c r="L441" s="12"/>
      <c r="P441" s="24">
        <v>64</v>
      </c>
      <c r="Q441" s="25" t="s">
        <v>122</v>
      </c>
    </row>
    <row r="442" customHeight="1" spans="1:17">
      <c r="A442" s="22">
        <f t="shared" si="24"/>
        <v>1108018</v>
      </c>
      <c r="B442" s="22">
        <v>1108</v>
      </c>
      <c r="C442" s="22" t="s">
        <v>317</v>
      </c>
      <c r="D442" s="22" t="s">
        <v>318</v>
      </c>
      <c r="E442" s="22">
        <f t="shared" si="23"/>
        <v>27</v>
      </c>
      <c r="F442" s="22">
        <v>18</v>
      </c>
      <c r="G442" s="22">
        <v>15</v>
      </c>
      <c r="H442" s="22" t="s">
        <v>147</v>
      </c>
      <c r="I442" s="12">
        <v>18000</v>
      </c>
      <c r="J442" s="12">
        <v>1800</v>
      </c>
      <c r="K442" s="12" t="s">
        <v>97</v>
      </c>
      <c r="L442" s="12"/>
      <c r="P442" s="24">
        <v>68</v>
      </c>
      <c r="Q442" s="25" t="s">
        <v>125</v>
      </c>
    </row>
    <row r="443" customHeight="1" spans="1:17">
      <c r="A443" s="22">
        <f t="shared" si="24"/>
        <v>1108019</v>
      </c>
      <c r="B443" s="22">
        <v>1108</v>
      </c>
      <c r="C443" s="22" t="s">
        <v>317</v>
      </c>
      <c r="D443" s="22" t="s">
        <v>318</v>
      </c>
      <c r="E443" s="22">
        <f t="shared" si="23"/>
        <v>28</v>
      </c>
      <c r="F443" s="22">
        <v>19</v>
      </c>
      <c r="G443" s="22">
        <v>15</v>
      </c>
      <c r="H443" s="22" t="s">
        <v>153</v>
      </c>
      <c r="I443" s="12">
        <v>19000</v>
      </c>
      <c r="J443" s="12">
        <v>1900</v>
      </c>
      <c r="K443" s="12" t="s">
        <v>100</v>
      </c>
      <c r="L443" s="12"/>
      <c r="P443" s="24">
        <v>72</v>
      </c>
      <c r="Q443" s="25" t="s">
        <v>128</v>
      </c>
    </row>
    <row r="444" customHeight="1" spans="1:17">
      <c r="A444" s="22">
        <f t="shared" si="24"/>
        <v>1108020</v>
      </c>
      <c r="B444" s="22">
        <v>1108</v>
      </c>
      <c r="C444" s="22" t="s">
        <v>317</v>
      </c>
      <c r="D444" s="22" t="s">
        <v>318</v>
      </c>
      <c r="E444" s="22">
        <f t="shared" si="23"/>
        <v>28</v>
      </c>
      <c r="F444" s="22">
        <v>20</v>
      </c>
      <c r="G444" s="22">
        <v>15</v>
      </c>
      <c r="H444" s="22" t="s">
        <v>159</v>
      </c>
      <c r="I444" s="12">
        <v>20000</v>
      </c>
      <c r="J444" s="12">
        <v>2000</v>
      </c>
      <c r="K444" s="12" t="s">
        <v>103</v>
      </c>
      <c r="L444" s="12"/>
      <c r="P444" s="24">
        <v>76</v>
      </c>
      <c r="Q444" s="25" t="s">
        <v>131</v>
      </c>
    </row>
    <row r="445" customHeight="1" spans="1:17">
      <c r="A445" s="22">
        <f t="shared" si="24"/>
        <v>1108021</v>
      </c>
      <c r="B445" s="22">
        <v>1108</v>
      </c>
      <c r="C445" s="22" t="s">
        <v>317</v>
      </c>
      <c r="D445" s="22" t="s">
        <v>318</v>
      </c>
      <c r="E445" s="22">
        <f t="shared" si="23"/>
        <v>28</v>
      </c>
      <c r="F445" s="22">
        <v>21</v>
      </c>
      <c r="G445" s="22">
        <v>15</v>
      </c>
      <c r="H445" s="22" t="s">
        <v>165</v>
      </c>
      <c r="I445" s="12">
        <v>21000</v>
      </c>
      <c r="J445" s="12">
        <v>2100</v>
      </c>
      <c r="K445" s="12" t="s">
        <v>106</v>
      </c>
      <c r="L445" s="12"/>
      <c r="P445" s="24">
        <v>80</v>
      </c>
      <c r="Q445" s="25" t="s">
        <v>134</v>
      </c>
    </row>
    <row r="446" customHeight="1" spans="1:17">
      <c r="A446" s="22">
        <f t="shared" si="24"/>
        <v>1108022</v>
      </c>
      <c r="B446" s="22">
        <v>1108</v>
      </c>
      <c r="C446" s="22" t="s">
        <v>317</v>
      </c>
      <c r="D446" s="22" t="s">
        <v>318</v>
      </c>
      <c r="E446" s="22">
        <f t="shared" si="23"/>
        <v>29</v>
      </c>
      <c r="F446" s="22">
        <v>22</v>
      </c>
      <c r="G446" s="22">
        <v>15</v>
      </c>
      <c r="H446" s="22" t="s">
        <v>171</v>
      </c>
      <c r="I446" s="12">
        <v>22000</v>
      </c>
      <c r="J446" s="12">
        <v>2200</v>
      </c>
      <c r="K446" s="12" t="s">
        <v>109</v>
      </c>
      <c r="L446" s="12"/>
      <c r="P446" s="24">
        <v>84</v>
      </c>
      <c r="Q446" s="25" t="s">
        <v>137</v>
      </c>
    </row>
    <row r="447" customHeight="1" spans="1:17">
      <c r="A447" s="22">
        <f t="shared" si="24"/>
        <v>1108023</v>
      </c>
      <c r="B447" s="22">
        <v>1108</v>
      </c>
      <c r="C447" s="22" t="s">
        <v>317</v>
      </c>
      <c r="D447" s="22" t="s">
        <v>318</v>
      </c>
      <c r="E447" s="22">
        <f t="shared" si="23"/>
        <v>29</v>
      </c>
      <c r="F447" s="22">
        <v>23</v>
      </c>
      <c r="G447" s="22">
        <v>15</v>
      </c>
      <c r="H447" s="22" t="s">
        <v>177</v>
      </c>
      <c r="I447" s="12">
        <v>23000</v>
      </c>
      <c r="J447" s="12">
        <v>2300</v>
      </c>
      <c r="K447" s="12" t="s">
        <v>112</v>
      </c>
      <c r="L447" s="12"/>
      <c r="P447" s="24">
        <v>88</v>
      </c>
      <c r="Q447" s="25" t="s">
        <v>140</v>
      </c>
    </row>
    <row r="448" customHeight="1" spans="1:17">
      <c r="A448" s="22">
        <f t="shared" si="24"/>
        <v>1108024</v>
      </c>
      <c r="B448" s="22">
        <v>1108</v>
      </c>
      <c r="C448" s="22" t="s">
        <v>317</v>
      </c>
      <c r="D448" s="22" t="s">
        <v>318</v>
      </c>
      <c r="E448" s="22">
        <f t="shared" si="23"/>
        <v>29</v>
      </c>
      <c r="F448" s="22">
        <v>24</v>
      </c>
      <c r="G448" s="22">
        <v>15</v>
      </c>
      <c r="H448" s="22" t="s">
        <v>183</v>
      </c>
      <c r="I448" s="12">
        <v>24000</v>
      </c>
      <c r="J448" s="12">
        <v>2400</v>
      </c>
      <c r="K448" s="12" t="s">
        <v>115</v>
      </c>
      <c r="L448" s="12"/>
      <c r="P448" s="24">
        <v>92</v>
      </c>
      <c r="Q448" s="25" t="s">
        <v>143</v>
      </c>
    </row>
    <row r="449" customHeight="1" spans="1:17">
      <c r="A449" s="22">
        <f t="shared" si="24"/>
        <v>1108025</v>
      </c>
      <c r="B449" s="22">
        <v>1108</v>
      </c>
      <c r="C449" s="22" t="s">
        <v>317</v>
      </c>
      <c r="D449" s="22" t="s">
        <v>318</v>
      </c>
      <c r="E449" s="22">
        <f t="shared" si="23"/>
        <v>30</v>
      </c>
      <c r="F449" s="22">
        <v>25</v>
      </c>
      <c r="G449" s="22">
        <v>15</v>
      </c>
      <c r="H449" s="22" t="s">
        <v>189</v>
      </c>
      <c r="I449" s="12">
        <v>25000</v>
      </c>
      <c r="J449" s="12">
        <v>2500</v>
      </c>
      <c r="K449" s="12" t="s">
        <v>118</v>
      </c>
      <c r="L449" s="12"/>
      <c r="P449" s="24">
        <v>96</v>
      </c>
      <c r="Q449" s="25" t="s">
        <v>146</v>
      </c>
    </row>
    <row r="450" customHeight="1" spans="1:17">
      <c r="A450" s="22">
        <f t="shared" si="24"/>
        <v>1108026</v>
      </c>
      <c r="B450" s="22">
        <v>1108</v>
      </c>
      <c r="C450" s="22" t="s">
        <v>317</v>
      </c>
      <c r="D450" s="22" t="s">
        <v>318</v>
      </c>
      <c r="E450" s="22">
        <f t="shared" si="23"/>
        <v>30</v>
      </c>
      <c r="F450" s="22">
        <v>26</v>
      </c>
      <c r="G450" s="22">
        <v>15</v>
      </c>
      <c r="H450" s="22" t="s">
        <v>195</v>
      </c>
      <c r="I450" s="12">
        <v>26000</v>
      </c>
      <c r="J450" s="12">
        <v>2600</v>
      </c>
      <c r="K450" s="12" t="s">
        <v>121</v>
      </c>
      <c r="L450" s="12"/>
      <c r="O450" s="2" t="s">
        <v>234</v>
      </c>
      <c r="P450" s="24">
        <v>100</v>
      </c>
      <c r="Q450" s="25" t="s">
        <v>149</v>
      </c>
    </row>
    <row r="451" customHeight="1" spans="1:17">
      <c r="A451" s="22">
        <f t="shared" si="24"/>
        <v>1108027</v>
      </c>
      <c r="B451" s="22">
        <v>1108</v>
      </c>
      <c r="C451" s="22" t="s">
        <v>317</v>
      </c>
      <c r="D451" s="22" t="s">
        <v>318</v>
      </c>
      <c r="E451" s="22">
        <f t="shared" si="23"/>
        <v>30</v>
      </c>
      <c r="F451" s="22">
        <v>27</v>
      </c>
      <c r="G451" s="22">
        <v>15</v>
      </c>
      <c r="H451" s="22" t="s">
        <v>201</v>
      </c>
      <c r="I451" s="12">
        <v>27000</v>
      </c>
      <c r="J451" s="12">
        <v>2700</v>
      </c>
      <c r="K451" s="12" t="s">
        <v>124</v>
      </c>
      <c r="L451" s="12"/>
      <c r="O451" s="2" t="s">
        <v>234</v>
      </c>
      <c r="P451" s="24">
        <v>104</v>
      </c>
      <c r="Q451" s="25" t="s">
        <v>152</v>
      </c>
    </row>
    <row r="452" customHeight="1" spans="1:17">
      <c r="A452" s="22">
        <f t="shared" si="24"/>
        <v>1108028</v>
      </c>
      <c r="B452" s="22">
        <v>1108</v>
      </c>
      <c r="C452" s="22" t="s">
        <v>317</v>
      </c>
      <c r="D452" s="22" t="s">
        <v>318</v>
      </c>
      <c r="E452" s="22">
        <f t="shared" si="23"/>
        <v>31</v>
      </c>
      <c r="F452" s="22">
        <v>28</v>
      </c>
      <c r="G452" s="22">
        <v>15</v>
      </c>
      <c r="H452" s="22" t="s">
        <v>207</v>
      </c>
      <c r="I452" s="12">
        <v>28000</v>
      </c>
      <c r="J452" s="12">
        <v>2800</v>
      </c>
      <c r="K452" s="12" t="s">
        <v>127</v>
      </c>
      <c r="L452" s="12"/>
      <c r="O452" s="2" t="s">
        <v>234</v>
      </c>
      <c r="P452" s="24">
        <v>108</v>
      </c>
      <c r="Q452" s="25" t="s">
        <v>155</v>
      </c>
    </row>
    <row r="453" customHeight="1" spans="1:17">
      <c r="A453" s="22">
        <f t="shared" si="24"/>
        <v>1108029</v>
      </c>
      <c r="B453" s="22">
        <v>1108</v>
      </c>
      <c r="C453" s="22" t="s">
        <v>317</v>
      </c>
      <c r="D453" s="22" t="s">
        <v>318</v>
      </c>
      <c r="E453" s="22">
        <f t="shared" si="23"/>
        <v>31</v>
      </c>
      <c r="F453" s="22">
        <v>29</v>
      </c>
      <c r="G453" s="22">
        <v>15</v>
      </c>
      <c r="H453" s="22" t="s">
        <v>213</v>
      </c>
      <c r="I453" s="12">
        <v>29000</v>
      </c>
      <c r="J453" s="12">
        <v>2900</v>
      </c>
      <c r="K453" s="12" t="s">
        <v>130</v>
      </c>
      <c r="L453" s="12"/>
      <c r="O453" s="2" t="s">
        <v>234</v>
      </c>
      <c r="P453" s="24">
        <v>112</v>
      </c>
      <c r="Q453" s="25" t="s">
        <v>158</v>
      </c>
    </row>
    <row r="454" customHeight="1" spans="1:17">
      <c r="A454" s="22">
        <f t="shared" si="24"/>
        <v>1108030</v>
      </c>
      <c r="B454" s="22">
        <v>1108</v>
      </c>
      <c r="C454" s="22" t="s">
        <v>317</v>
      </c>
      <c r="D454" s="22" t="s">
        <v>318</v>
      </c>
      <c r="E454" s="22">
        <f t="shared" si="23"/>
        <v>31</v>
      </c>
      <c r="F454" s="22">
        <v>30</v>
      </c>
      <c r="G454" s="22">
        <v>15</v>
      </c>
      <c r="H454" s="22" t="s">
        <v>219</v>
      </c>
      <c r="I454" s="12">
        <v>30000</v>
      </c>
      <c r="J454" s="12">
        <v>3000</v>
      </c>
      <c r="K454" s="12" t="s">
        <v>133</v>
      </c>
      <c r="L454" s="12"/>
      <c r="O454" s="2" t="s">
        <v>234</v>
      </c>
      <c r="P454" s="24">
        <v>116</v>
      </c>
      <c r="Q454" s="25" t="s">
        <v>161</v>
      </c>
    </row>
    <row r="455" customHeight="1" spans="1:17">
      <c r="A455" s="22">
        <f t="shared" si="24"/>
        <v>1108031</v>
      </c>
      <c r="B455" s="22">
        <v>1108</v>
      </c>
      <c r="C455" s="22" t="s">
        <v>317</v>
      </c>
      <c r="D455" s="22" t="s">
        <v>318</v>
      </c>
      <c r="E455" s="22">
        <f t="shared" si="23"/>
        <v>32</v>
      </c>
      <c r="F455" s="22">
        <v>31</v>
      </c>
      <c r="G455" s="22">
        <v>15</v>
      </c>
      <c r="H455" s="22" t="s">
        <v>235</v>
      </c>
      <c r="I455" s="12">
        <v>31000</v>
      </c>
      <c r="J455" s="12">
        <v>3100</v>
      </c>
      <c r="K455" s="12" t="s">
        <v>136</v>
      </c>
      <c r="L455" s="12"/>
      <c r="O455" s="2" t="s">
        <v>234</v>
      </c>
      <c r="P455" s="24">
        <v>120</v>
      </c>
      <c r="Q455" s="25" t="s">
        <v>164</v>
      </c>
    </row>
    <row r="456" customHeight="1" spans="1:17">
      <c r="A456" s="22">
        <f t="shared" si="24"/>
        <v>1108032</v>
      </c>
      <c r="B456" s="22">
        <v>1108</v>
      </c>
      <c r="C456" s="22" t="s">
        <v>317</v>
      </c>
      <c r="D456" s="22" t="s">
        <v>318</v>
      </c>
      <c r="E456" s="22">
        <f t="shared" si="23"/>
        <v>32</v>
      </c>
      <c r="F456" s="22">
        <v>32</v>
      </c>
      <c r="G456" s="22">
        <v>15</v>
      </c>
      <c r="H456" s="22" t="s">
        <v>236</v>
      </c>
      <c r="I456" s="12">
        <v>32000</v>
      </c>
      <c r="J456" s="12">
        <v>3200</v>
      </c>
      <c r="K456" s="12" t="s">
        <v>139</v>
      </c>
      <c r="L456" s="12"/>
      <c r="O456" s="2" t="s">
        <v>234</v>
      </c>
      <c r="P456" s="24">
        <v>124</v>
      </c>
      <c r="Q456" s="25" t="s">
        <v>167</v>
      </c>
    </row>
    <row r="457" customHeight="1" spans="1:17">
      <c r="A457" s="22">
        <f t="shared" si="24"/>
        <v>1108033</v>
      </c>
      <c r="B457" s="22">
        <v>1108</v>
      </c>
      <c r="C457" s="22" t="s">
        <v>317</v>
      </c>
      <c r="D457" s="22" t="s">
        <v>318</v>
      </c>
      <c r="E457" s="22">
        <f t="shared" si="23"/>
        <v>32</v>
      </c>
      <c r="F457" s="22">
        <v>33</v>
      </c>
      <c r="G457" s="22">
        <v>15</v>
      </c>
      <c r="H457" s="22" t="s">
        <v>237</v>
      </c>
      <c r="I457" s="12">
        <v>33000</v>
      </c>
      <c r="J457" s="12">
        <v>3300</v>
      </c>
      <c r="K457" s="12" t="s">
        <v>142</v>
      </c>
      <c r="L457" s="12"/>
      <c r="O457" s="2" t="s">
        <v>234</v>
      </c>
      <c r="P457" s="24">
        <v>128</v>
      </c>
      <c r="Q457" s="25" t="s">
        <v>170</v>
      </c>
    </row>
    <row r="458" customHeight="1" spans="1:17">
      <c r="A458" s="22">
        <f t="shared" si="24"/>
        <v>1108034</v>
      </c>
      <c r="B458" s="22">
        <v>1108</v>
      </c>
      <c r="C458" s="22" t="s">
        <v>317</v>
      </c>
      <c r="D458" s="22" t="s">
        <v>318</v>
      </c>
      <c r="E458" s="22">
        <f t="shared" si="23"/>
        <v>33</v>
      </c>
      <c r="F458" s="22">
        <v>34</v>
      </c>
      <c r="G458" s="22">
        <v>15</v>
      </c>
      <c r="H458" s="22" t="s">
        <v>238</v>
      </c>
      <c r="I458" s="12">
        <v>34000</v>
      </c>
      <c r="J458" s="12">
        <v>3400</v>
      </c>
      <c r="K458" s="12" t="s">
        <v>145</v>
      </c>
      <c r="L458" s="12"/>
      <c r="O458" s="2" t="s">
        <v>234</v>
      </c>
      <c r="P458" s="24">
        <v>132</v>
      </c>
      <c r="Q458" s="25" t="s">
        <v>173</v>
      </c>
    </row>
    <row r="459" customHeight="1" spans="1:17">
      <c r="A459" s="22">
        <f t="shared" si="24"/>
        <v>1108035</v>
      </c>
      <c r="B459" s="22">
        <v>1108</v>
      </c>
      <c r="C459" s="22" t="s">
        <v>317</v>
      </c>
      <c r="D459" s="22" t="s">
        <v>318</v>
      </c>
      <c r="E459" s="22">
        <f t="shared" si="23"/>
        <v>33</v>
      </c>
      <c r="F459" s="22">
        <v>35</v>
      </c>
      <c r="G459" s="22">
        <v>15</v>
      </c>
      <c r="H459" s="22" t="s">
        <v>239</v>
      </c>
      <c r="I459" s="12">
        <v>35000</v>
      </c>
      <c r="J459" s="12">
        <v>3500</v>
      </c>
      <c r="K459" s="12" t="s">
        <v>148</v>
      </c>
      <c r="L459" s="12"/>
      <c r="O459" s="2" t="s">
        <v>234</v>
      </c>
      <c r="P459" s="24">
        <v>136</v>
      </c>
      <c r="Q459" s="25" t="s">
        <v>176</v>
      </c>
    </row>
    <row r="460" customHeight="1" spans="1:17">
      <c r="A460" s="22">
        <f t="shared" si="24"/>
        <v>1108036</v>
      </c>
      <c r="B460" s="22">
        <v>1108</v>
      </c>
      <c r="C460" s="22" t="s">
        <v>317</v>
      </c>
      <c r="D460" s="22" t="s">
        <v>318</v>
      </c>
      <c r="E460" s="22">
        <f t="shared" si="23"/>
        <v>33</v>
      </c>
      <c r="F460" s="22">
        <v>36</v>
      </c>
      <c r="G460" s="22">
        <v>15</v>
      </c>
      <c r="H460" s="22" t="s">
        <v>240</v>
      </c>
      <c r="I460" s="12">
        <v>36000</v>
      </c>
      <c r="J460" s="12">
        <v>3600</v>
      </c>
      <c r="K460" s="12" t="s">
        <v>151</v>
      </c>
      <c r="L460" s="12"/>
      <c r="O460" s="2" t="s">
        <v>234</v>
      </c>
      <c r="P460" s="24">
        <v>140</v>
      </c>
      <c r="Q460" s="25" t="s">
        <v>179</v>
      </c>
    </row>
    <row r="461" customHeight="1" spans="1:17">
      <c r="A461" s="22">
        <f t="shared" si="24"/>
        <v>1108037</v>
      </c>
      <c r="B461" s="22">
        <v>1108</v>
      </c>
      <c r="C461" s="22" t="s">
        <v>317</v>
      </c>
      <c r="D461" s="22" t="s">
        <v>318</v>
      </c>
      <c r="E461" s="22">
        <f t="shared" si="23"/>
        <v>34</v>
      </c>
      <c r="F461" s="22">
        <v>37</v>
      </c>
      <c r="G461" s="22">
        <v>15</v>
      </c>
      <c r="H461" s="22" t="s">
        <v>241</v>
      </c>
      <c r="I461" s="12">
        <v>37000</v>
      </c>
      <c r="J461" s="12">
        <v>3700</v>
      </c>
      <c r="K461" s="12" t="s">
        <v>154</v>
      </c>
      <c r="L461" s="12"/>
      <c r="O461" s="2" t="s">
        <v>234</v>
      </c>
      <c r="P461" s="24">
        <v>144</v>
      </c>
      <c r="Q461" s="25" t="s">
        <v>182</v>
      </c>
    </row>
    <row r="462" customHeight="1" spans="1:17">
      <c r="A462" s="22">
        <f t="shared" si="24"/>
        <v>1108038</v>
      </c>
      <c r="B462" s="22">
        <v>1108</v>
      </c>
      <c r="C462" s="22" t="s">
        <v>317</v>
      </c>
      <c r="D462" s="22" t="s">
        <v>318</v>
      </c>
      <c r="E462" s="22">
        <f t="shared" si="23"/>
        <v>34</v>
      </c>
      <c r="F462" s="22">
        <v>38</v>
      </c>
      <c r="G462" s="22">
        <v>15</v>
      </c>
      <c r="H462" s="22" t="s">
        <v>242</v>
      </c>
      <c r="I462" s="12">
        <v>38000</v>
      </c>
      <c r="J462" s="12">
        <v>3800</v>
      </c>
      <c r="K462" s="12" t="s">
        <v>157</v>
      </c>
      <c r="L462" s="12"/>
      <c r="O462" s="2" t="s">
        <v>234</v>
      </c>
      <c r="P462" s="24">
        <v>148</v>
      </c>
      <c r="Q462" s="25" t="s">
        <v>185</v>
      </c>
    </row>
    <row r="463" customHeight="1" spans="1:17">
      <c r="A463" s="22">
        <f t="shared" si="24"/>
        <v>1108039</v>
      </c>
      <c r="B463" s="22">
        <v>1108</v>
      </c>
      <c r="C463" s="22" t="s">
        <v>317</v>
      </c>
      <c r="D463" s="22" t="s">
        <v>318</v>
      </c>
      <c r="E463" s="22">
        <f t="shared" si="23"/>
        <v>34</v>
      </c>
      <c r="F463" s="22">
        <v>39</v>
      </c>
      <c r="G463" s="22">
        <v>15</v>
      </c>
      <c r="H463" s="22" t="s">
        <v>243</v>
      </c>
      <c r="I463" s="12">
        <v>39000</v>
      </c>
      <c r="J463" s="12">
        <v>3900</v>
      </c>
      <c r="K463" s="12" t="s">
        <v>160</v>
      </c>
      <c r="L463" s="12"/>
      <c r="O463" s="2" t="s">
        <v>234</v>
      </c>
      <c r="P463" s="24">
        <v>152</v>
      </c>
      <c r="Q463" s="25" t="s">
        <v>188</v>
      </c>
    </row>
    <row r="464" customHeight="1" spans="1:17">
      <c r="A464" s="22">
        <f t="shared" si="24"/>
        <v>1108040</v>
      </c>
      <c r="B464" s="22">
        <v>1108</v>
      </c>
      <c r="C464" s="22" t="s">
        <v>317</v>
      </c>
      <c r="D464" s="22" t="s">
        <v>318</v>
      </c>
      <c r="E464" s="22">
        <f t="shared" si="23"/>
        <v>35</v>
      </c>
      <c r="F464" s="22">
        <v>40</v>
      </c>
      <c r="G464" s="22">
        <v>15</v>
      </c>
      <c r="H464" s="22" t="s">
        <v>244</v>
      </c>
      <c r="I464" s="12">
        <v>40000</v>
      </c>
      <c r="J464" s="12">
        <v>4000</v>
      </c>
      <c r="K464" s="12" t="s">
        <v>163</v>
      </c>
      <c r="L464" s="12"/>
      <c r="O464" s="2" t="s">
        <v>234</v>
      </c>
      <c r="P464" s="24">
        <v>156</v>
      </c>
      <c r="Q464" s="25" t="s">
        <v>191</v>
      </c>
    </row>
    <row r="465" customHeight="1" spans="1:17">
      <c r="A465" s="22">
        <f t="shared" si="24"/>
        <v>1108041</v>
      </c>
      <c r="B465" s="22">
        <v>1108</v>
      </c>
      <c r="C465" s="22" t="s">
        <v>317</v>
      </c>
      <c r="D465" s="22" t="s">
        <v>318</v>
      </c>
      <c r="E465" s="22">
        <f t="shared" si="23"/>
        <v>35</v>
      </c>
      <c r="F465" s="22">
        <v>41</v>
      </c>
      <c r="G465" s="22">
        <v>15</v>
      </c>
      <c r="H465" s="22" t="s">
        <v>245</v>
      </c>
      <c r="I465" s="12">
        <v>41000</v>
      </c>
      <c r="J465" s="12">
        <v>4100</v>
      </c>
      <c r="K465" s="12" t="s">
        <v>166</v>
      </c>
      <c r="L465" s="12"/>
      <c r="O465" s="2" t="s">
        <v>234</v>
      </c>
      <c r="P465" s="24">
        <v>160</v>
      </c>
      <c r="Q465" s="25" t="s">
        <v>194</v>
      </c>
    </row>
    <row r="466" customHeight="1" spans="1:17">
      <c r="A466" s="22">
        <f t="shared" si="24"/>
        <v>1108042</v>
      </c>
      <c r="B466" s="22">
        <v>1108</v>
      </c>
      <c r="C466" s="22" t="s">
        <v>317</v>
      </c>
      <c r="D466" s="22" t="s">
        <v>318</v>
      </c>
      <c r="E466" s="22">
        <f t="shared" si="23"/>
        <v>35</v>
      </c>
      <c r="F466" s="22">
        <v>42</v>
      </c>
      <c r="G466" s="22">
        <v>15</v>
      </c>
      <c r="H466" s="22" t="s">
        <v>246</v>
      </c>
      <c r="I466" s="12">
        <v>42000</v>
      </c>
      <c r="J466" s="12">
        <v>4200</v>
      </c>
      <c r="K466" s="12" t="s">
        <v>169</v>
      </c>
      <c r="L466" s="12"/>
      <c r="O466" s="2" t="s">
        <v>234</v>
      </c>
      <c r="P466" s="24">
        <v>164</v>
      </c>
      <c r="Q466" s="25" t="s">
        <v>197</v>
      </c>
    </row>
    <row r="467" customHeight="1" spans="1:17">
      <c r="A467" s="22">
        <f t="shared" ref="A467:A494" si="25">B467*1000+F467</f>
        <v>1108043</v>
      </c>
      <c r="B467" s="22">
        <v>1108</v>
      </c>
      <c r="C467" s="22" t="s">
        <v>317</v>
      </c>
      <c r="D467" s="22" t="s">
        <v>318</v>
      </c>
      <c r="E467" s="22">
        <f t="shared" si="23"/>
        <v>36</v>
      </c>
      <c r="F467" s="22">
        <v>43</v>
      </c>
      <c r="G467" s="22">
        <v>15</v>
      </c>
      <c r="H467" s="22" t="s">
        <v>247</v>
      </c>
      <c r="I467" s="12">
        <v>43000</v>
      </c>
      <c r="J467" s="12">
        <v>4300</v>
      </c>
      <c r="K467" s="12" t="s">
        <v>172</v>
      </c>
      <c r="L467" s="12"/>
      <c r="O467" s="2" t="s">
        <v>234</v>
      </c>
      <c r="P467" s="24">
        <v>168</v>
      </c>
      <c r="Q467" s="25" t="s">
        <v>200</v>
      </c>
    </row>
    <row r="468" customHeight="1" spans="1:17">
      <c r="A468" s="22">
        <f t="shared" si="25"/>
        <v>1108044</v>
      </c>
      <c r="B468" s="22">
        <v>1108</v>
      </c>
      <c r="C468" s="22" t="s">
        <v>317</v>
      </c>
      <c r="D468" s="22" t="s">
        <v>318</v>
      </c>
      <c r="E468" s="22">
        <f t="shared" si="23"/>
        <v>36</v>
      </c>
      <c r="F468" s="22">
        <v>44</v>
      </c>
      <c r="G468" s="22">
        <v>15</v>
      </c>
      <c r="H468" s="22" t="s">
        <v>248</v>
      </c>
      <c r="I468" s="12">
        <v>44000</v>
      </c>
      <c r="J468" s="12">
        <v>4400</v>
      </c>
      <c r="K468" s="12" t="s">
        <v>175</v>
      </c>
      <c r="L468" s="12"/>
      <c r="O468" s="2" t="s">
        <v>234</v>
      </c>
      <c r="P468" s="24">
        <v>172</v>
      </c>
      <c r="Q468" s="25" t="s">
        <v>203</v>
      </c>
    </row>
    <row r="469" customHeight="1" spans="1:17">
      <c r="A469" s="22">
        <f t="shared" si="25"/>
        <v>1108045</v>
      </c>
      <c r="B469" s="22">
        <v>1108</v>
      </c>
      <c r="C469" s="22" t="s">
        <v>317</v>
      </c>
      <c r="D469" s="22" t="s">
        <v>318</v>
      </c>
      <c r="E469" s="22">
        <f t="shared" si="23"/>
        <v>36</v>
      </c>
      <c r="F469" s="22">
        <v>45</v>
      </c>
      <c r="G469" s="22">
        <v>15</v>
      </c>
      <c r="H469" s="22" t="s">
        <v>249</v>
      </c>
      <c r="I469" s="12">
        <v>45000</v>
      </c>
      <c r="J469" s="12">
        <v>4500</v>
      </c>
      <c r="K469" s="12" t="s">
        <v>178</v>
      </c>
      <c r="L469" s="12"/>
      <c r="O469" s="2" t="s">
        <v>234</v>
      </c>
      <c r="P469" s="24">
        <v>176</v>
      </c>
      <c r="Q469" s="25" t="s">
        <v>206</v>
      </c>
    </row>
    <row r="470" customHeight="1" spans="1:17">
      <c r="A470" s="22">
        <f t="shared" si="25"/>
        <v>1108046</v>
      </c>
      <c r="B470" s="22">
        <v>1108</v>
      </c>
      <c r="C470" s="22" t="s">
        <v>317</v>
      </c>
      <c r="D470" s="22" t="s">
        <v>318</v>
      </c>
      <c r="E470" s="22">
        <f t="shared" si="23"/>
        <v>37</v>
      </c>
      <c r="F470" s="22">
        <v>46</v>
      </c>
      <c r="G470" s="22">
        <v>15</v>
      </c>
      <c r="H470" s="22" t="s">
        <v>250</v>
      </c>
      <c r="I470" s="12">
        <v>46000</v>
      </c>
      <c r="J470" s="12">
        <v>4600</v>
      </c>
      <c r="K470" s="12" t="s">
        <v>181</v>
      </c>
      <c r="L470" s="12"/>
      <c r="O470" s="2" t="s">
        <v>234</v>
      </c>
      <c r="P470" s="24">
        <v>180</v>
      </c>
      <c r="Q470" s="25" t="s">
        <v>209</v>
      </c>
    </row>
    <row r="471" customHeight="1" spans="1:17">
      <c r="A471" s="22">
        <f t="shared" si="25"/>
        <v>1108047</v>
      </c>
      <c r="B471" s="22">
        <v>1108</v>
      </c>
      <c r="C471" s="22" t="s">
        <v>317</v>
      </c>
      <c r="D471" s="22" t="s">
        <v>318</v>
      </c>
      <c r="E471" s="22">
        <f t="shared" si="23"/>
        <v>37</v>
      </c>
      <c r="F471" s="22">
        <v>47</v>
      </c>
      <c r="G471" s="22">
        <v>15</v>
      </c>
      <c r="H471" s="22" t="s">
        <v>251</v>
      </c>
      <c r="I471" s="12">
        <v>47000</v>
      </c>
      <c r="J471" s="12">
        <v>4700</v>
      </c>
      <c r="K471" s="12" t="s">
        <v>184</v>
      </c>
      <c r="L471" s="12"/>
      <c r="O471" s="2" t="s">
        <v>234</v>
      </c>
      <c r="P471" s="24">
        <v>184</v>
      </c>
      <c r="Q471" s="25" t="s">
        <v>212</v>
      </c>
    </row>
    <row r="472" customHeight="1" spans="1:17">
      <c r="A472" s="22">
        <f t="shared" si="25"/>
        <v>1108048</v>
      </c>
      <c r="B472" s="22">
        <v>1108</v>
      </c>
      <c r="C472" s="22" t="s">
        <v>317</v>
      </c>
      <c r="D472" s="22" t="s">
        <v>318</v>
      </c>
      <c r="E472" s="22">
        <f t="shared" si="23"/>
        <v>37</v>
      </c>
      <c r="F472" s="22">
        <v>48</v>
      </c>
      <c r="G472" s="22">
        <v>15</v>
      </c>
      <c r="H472" s="22" t="s">
        <v>252</v>
      </c>
      <c r="I472" s="12">
        <v>48000</v>
      </c>
      <c r="J472" s="12">
        <v>4800</v>
      </c>
      <c r="K472" s="12" t="s">
        <v>187</v>
      </c>
      <c r="L472" s="12"/>
      <c r="O472" s="2" t="s">
        <v>234</v>
      </c>
      <c r="P472" s="24">
        <v>188</v>
      </c>
      <c r="Q472" s="25" t="s">
        <v>215</v>
      </c>
    </row>
    <row r="473" customHeight="1" spans="1:17">
      <c r="A473" s="22">
        <f t="shared" si="25"/>
        <v>1108049</v>
      </c>
      <c r="B473" s="22">
        <v>1108</v>
      </c>
      <c r="C473" s="22" t="s">
        <v>317</v>
      </c>
      <c r="D473" s="22" t="s">
        <v>318</v>
      </c>
      <c r="E473" s="22">
        <f t="shared" si="23"/>
        <v>38</v>
      </c>
      <c r="F473" s="22">
        <v>49</v>
      </c>
      <c r="G473" s="22">
        <v>15</v>
      </c>
      <c r="H473" s="22" t="s">
        <v>253</v>
      </c>
      <c r="I473" s="12">
        <v>49000</v>
      </c>
      <c r="J473" s="12">
        <v>4900</v>
      </c>
      <c r="K473" s="12" t="s">
        <v>190</v>
      </c>
      <c r="L473" s="12"/>
      <c r="O473" s="2" t="s">
        <v>234</v>
      </c>
      <c r="P473" s="24">
        <v>192</v>
      </c>
      <c r="Q473" s="25" t="s">
        <v>218</v>
      </c>
    </row>
    <row r="474" customHeight="1" spans="1:17">
      <c r="A474" s="22">
        <f t="shared" si="25"/>
        <v>1108050</v>
      </c>
      <c r="B474" s="22">
        <v>1108</v>
      </c>
      <c r="C474" s="22" t="s">
        <v>317</v>
      </c>
      <c r="D474" s="22" t="s">
        <v>318</v>
      </c>
      <c r="E474" s="22">
        <f t="shared" si="23"/>
        <v>38</v>
      </c>
      <c r="F474" s="22">
        <v>50</v>
      </c>
      <c r="G474" s="22">
        <v>15</v>
      </c>
      <c r="H474" s="22" t="s">
        <v>254</v>
      </c>
      <c r="I474" s="12">
        <v>50000</v>
      </c>
      <c r="J474" s="12">
        <v>5000</v>
      </c>
      <c r="K474" s="12" t="s">
        <v>193</v>
      </c>
      <c r="L474" s="12"/>
      <c r="O474" s="2" t="s">
        <v>234</v>
      </c>
      <c r="P474" s="24">
        <v>196</v>
      </c>
      <c r="Q474" s="25" t="s">
        <v>221</v>
      </c>
    </row>
    <row r="475" customHeight="1" spans="1:17">
      <c r="A475" s="22">
        <f t="shared" si="25"/>
        <v>1108051</v>
      </c>
      <c r="B475" s="22">
        <v>1108</v>
      </c>
      <c r="C475" s="22" t="s">
        <v>317</v>
      </c>
      <c r="D475" s="22" t="s">
        <v>318</v>
      </c>
      <c r="E475" s="22">
        <f t="shared" si="23"/>
        <v>38</v>
      </c>
      <c r="F475" s="22">
        <v>51</v>
      </c>
      <c r="G475" s="22">
        <v>15</v>
      </c>
      <c r="H475" s="22" t="s">
        <v>255</v>
      </c>
      <c r="I475" s="12">
        <v>51000</v>
      </c>
      <c r="J475" s="12">
        <v>5100</v>
      </c>
      <c r="K475" s="12" t="s">
        <v>196</v>
      </c>
      <c r="L475" s="12"/>
      <c r="O475" s="2" t="s">
        <v>234</v>
      </c>
      <c r="P475" s="24">
        <v>200</v>
      </c>
      <c r="Q475" s="25" t="s">
        <v>224</v>
      </c>
    </row>
    <row r="476" customHeight="1" spans="1:17">
      <c r="A476" s="22">
        <f t="shared" si="25"/>
        <v>1108052</v>
      </c>
      <c r="B476" s="22">
        <v>1108</v>
      </c>
      <c r="C476" s="22" t="s">
        <v>317</v>
      </c>
      <c r="D476" s="22" t="s">
        <v>318</v>
      </c>
      <c r="E476" s="22">
        <f t="shared" si="23"/>
        <v>39</v>
      </c>
      <c r="F476" s="22">
        <v>52</v>
      </c>
      <c r="G476" s="22">
        <v>15</v>
      </c>
      <c r="H476" s="22" t="s">
        <v>256</v>
      </c>
      <c r="I476" s="12">
        <v>52000</v>
      </c>
      <c r="J476" s="12">
        <v>5200</v>
      </c>
      <c r="K476" s="12" t="s">
        <v>199</v>
      </c>
      <c r="L476" s="12"/>
      <c r="O476" s="2" t="s">
        <v>234</v>
      </c>
      <c r="P476" s="24">
        <v>204</v>
      </c>
      <c r="Q476" s="25" t="s">
        <v>265</v>
      </c>
    </row>
    <row r="477" customHeight="1" spans="1:17">
      <c r="A477" s="22">
        <f t="shared" si="25"/>
        <v>1108053</v>
      </c>
      <c r="B477" s="22">
        <v>1108</v>
      </c>
      <c r="C477" s="22" t="s">
        <v>317</v>
      </c>
      <c r="D477" s="22" t="s">
        <v>318</v>
      </c>
      <c r="E477" s="22">
        <f t="shared" si="23"/>
        <v>39</v>
      </c>
      <c r="F477" s="22">
        <v>53</v>
      </c>
      <c r="G477" s="22">
        <v>15</v>
      </c>
      <c r="H477" s="22" t="s">
        <v>257</v>
      </c>
      <c r="I477" s="12">
        <v>53000</v>
      </c>
      <c r="J477" s="12">
        <v>5300</v>
      </c>
      <c r="K477" s="12" t="s">
        <v>202</v>
      </c>
      <c r="L477" s="12"/>
      <c r="O477" s="2" t="s">
        <v>234</v>
      </c>
      <c r="P477" s="24">
        <v>208</v>
      </c>
      <c r="Q477" s="25" t="s">
        <v>275</v>
      </c>
    </row>
    <row r="478" customHeight="1" spans="1:17">
      <c r="A478" s="22">
        <f t="shared" si="25"/>
        <v>1108054</v>
      </c>
      <c r="B478" s="22">
        <v>1108</v>
      </c>
      <c r="C478" s="22" t="s">
        <v>317</v>
      </c>
      <c r="D478" s="22" t="s">
        <v>318</v>
      </c>
      <c r="E478" s="22">
        <f t="shared" si="23"/>
        <v>39</v>
      </c>
      <c r="F478" s="22">
        <v>54</v>
      </c>
      <c r="G478" s="22">
        <v>15</v>
      </c>
      <c r="H478" s="22" t="s">
        <v>258</v>
      </c>
      <c r="I478" s="12">
        <v>54000</v>
      </c>
      <c r="J478" s="12">
        <v>5400</v>
      </c>
      <c r="K478" s="12" t="s">
        <v>205</v>
      </c>
      <c r="L478" s="12"/>
      <c r="O478" s="2" t="s">
        <v>234</v>
      </c>
      <c r="P478" s="24">
        <v>212</v>
      </c>
      <c r="Q478" s="25" t="s">
        <v>276</v>
      </c>
    </row>
    <row r="479" customHeight="1" spans="1:17">
      <c r="A479" s="22">
        <f t="shared" si="25"/>
        <v>1108055</v>
      </c>
      <c r="B479" s="22">
        <v>1108</v>
      </c>
      <c r="C479" s="22" t="s">
        <v>317</v>
      </c>
      <c r="D479" s="22" t="s">
        <v>318</v>
      </c>
      <c r="E479" s="22">
        <f t="shared" si="23"/>
        <v>40</v>
      </c>
      <c r="F479" s="22">
        <v>55</v>
      </c>
      <c r="G479" s="22">
        <v>15</v>
      </c>
      <c r="H479" s="22" t="s">
        <v>259</v>
      </c>
      <c r="I479" s="12">
        <v>55000</v>
      </c>
      <c r="J479" s="12">
        <v>5500</v>
      </c>
      <c r="K479" s="12" t="s">
        <v>208</v>
      </c>
      <c r="L479" s="12"/>
      <c r="O479" s="2" t="s">
        <v>234</v>
      </c>
      <c r="P479" s="24">
        <v>216</v>
      </c>
      <c r="Q479" s="25" t="s">
        <v>277</v>
      </c>
    </row>
    <row r="480" customHeight="1" spans="1:17">
      <c r="A480" s="22">
        <f t="shared" si="25"/>
        <v>1108056</v>
      </c>
      <c r="B480" s="22">
        <v>1108</v>
      </c>
      <c r="C480" s="22" t="s">
        <v>317</v>
      </c>
      <c r="D480" s="22" t="s">
        <v>318</v>
      </c>
      <c r="E480" s="22">
        <f t="shared" si="23"/>
        <v>40</v>
      </c>
      <c r="F480" s="22">
        <v>56</v>
      </c>
      <c r="G480" s="22">
        <v>15</v>
      </c>
      <c r="H480" s="22" t="s">
        <v>260</v>
      </c>
      <c r="I480" s="12">
        <v>56000</v>
      </c>
      <c r="J480" s="12">
        <v>5600</v>
      </c>
      <c r="K480" s="12" t="s">
        <v>211</v>
      </c>
      <c r="L480" s="12"/>
      <c r="O480" s="2" t="s">
        <v>234</v>
      </c>
      <c r="P480" s="24">
        <v>220</v>
      </c>
      <c r="Q480" s="25" t="s">
        <v>278</v>
      </c>
    </row>
    <row r="481" customHeight="1" spans="1:17">
      <c r="A481" s="22">
        <f t="shared" si="25"/>
        <v>1108057</v>
      </c>
      <c r="B481" s="22">
        <v>1108</v>
      </c>
      <c r="C481" s="22" t="s">
        <v>317</v>
      </c>
      <c r="D481" s="22" t="s">
        <v>318</v>
      </c>
      <c r="E481" s="22">
        <f t="shared" si="23"/>
        <v>40</v>
      </c>
      <c r="F481" s="22">
        <v>57</v>
      </c>
      <c r="G481" s="22">
        <v>15</v>
      </c>
      <c r="H481" s="22" t="s">
        <v>261</v>
      </c>
      <c r="I481" s="12">
        <v>57000</v>
      </c>
      <c r="J481" s="12">
        <v>5700</v>
      </c>
      <c r="K481" s="12" t="s">
        <v>214</v>
      </c>
      <c r="L481" s="12"/>
      <c r="O481" s="2" t="s">
        <v>234</v>
      </c>
      <c r="P481" s="24">
        <v>224</v>
      </c>
      <c r="Q481" s="25" t="s">
        <v>279</v>
      </c>
    </row>
    <row r="482" customHeight="1" spans="1:17">
      <c r="A482" s="22">
        <f t="shared" si="25"/>
        <v>1108058</v>
      </c>
      <c r="B482" s="22">
        <v>1108</v>
      </c>
      <c r="C482" s="22" t="s">
        <v>317</v>
      </c>
      <c r="D482" s="22" t="s">
        <v>318</v>
      </c>
      <c r="E482" s="22">
        <f t="shared" si="23"/>
        <v>41</v>
      </c>
      <c r="F482" s="22">
        <v>58</v>
      </c>
      <c r="G482" s="22">
        <v>15</v>
      </c>
      <c r="H482" s="22" t="s">
        <v>262</v>
      </c>
      <c r="I482" s="12">
        <v>58000</v>
      </c>
      <c r="J482" s="12">
        <v>5800</v>
      </c>
      <c r="K482" s="12" t="s">
        <v>217</v>
      </c>
      <c r="L482" s="12"/>
      <c r="O482" s="2" t="s">
        <v>234</v>
      </c>
      <c r="P482" s="24">
        <v>228</v>
      </c>
      <c r="Q482" s="25" t="s">
        <v>280</v>
      </c>
    </row>
    <row r="483" customHeight="1" spans="1:17">
      <c r="A483" s="22">
        <f t="shared" si="25"/>
        <v>1108059</v>
      </c>
      <c r="B483" s="22">
        <v>1108</v>
      </c>
      <c r="C483" s="22" t="s">
        <v>317</v>
      </c>
      <c r="D483" s="22" t="s">
        <v>318</v>
      </c>
      <c r="E483" s="22">
        <f t="shared" si="23"/>
        <v>41</v>
      </c>
      <c r="F483" s="22">
        <v>59</v>
      </c>
      <c r="G483" s="22">
        <v>15</v>
      </c>
      <c r="H483" s="22" t="s">
        <v>263</v>
      </c>
      <c r="I483" s="12">
        <v>59000</v>
      </c>
      <c r="J483" s="12">
        <v>5900</v>
      </c>
      <c r="K483" s="12" t="s">
        <v>220</v>
      </c>
      <c r="L483" s="12"/>
      <c r="O483" s="2" t="s">
        <v>234</v>
      </c>
      <c r="P483" s="24">
        <v>232</v>
      </c>
      <c r="Q483" s="25" t="s">
        <v>326</v>
      </c>
    </row>
    <row r="484" customHeight="1" spans="1:17">
      <c r="A484" s="22">
        <f t="shared" si="25"/>
        <v>1108060</v>
      </c>
      <c r="B484" s="22">
        <v>1108</v>
      </c>
      <c r="C484" s="22" t="s">
        <v>317</v>
      </c>
      <c r="D484" s="22" t="s">
        <v>318</v>
      </c>
      <c r="E484" s="22">
        <v>999</v>
      </c>
      <c r="F484" s="22">
        <v>60</v>
      </c>
      <c r="G484" s="22">
        <v>15</v>
      </c>
      <c r="H484" s="22" t="s">
        <v>264</v>
      </c>
      <c r="I484" s="12">
        <v>60000</v>
      </c>
      <c r="J484" s="12">
        <v>6000</v>
      </c>
      <c r="K484" s="12" t="s">
        <v>223</v>
      </c>
      <c r="L484" s="12"/>
      <c r="O484" s="2" t="s">
        <v>234</v>
      </c>
      <c r="P484" s="24"/>
      <c r="Q484" s="25" t="s">
        <v>327</v>
      </c>
    </row>
    <row r="485" s="9" customFormat="1" customHeight="1" spans="1:17">
      <c r="A485" s="26">
        <f t="shared" si="25"/>
        <v>1109001</v>
      </c>
      <c r="B485" s="26">
        <v>1109</v>
      </c>
      <c r="C485" s="26" t="s">
        <v>328</v>
      </c>
      <c r="D485" s="26" t="s">
        <v>329</v>
      </c>
      <c r="E485" s="22">
        <v>20</v>
      </c>
      <c r="F485" s="26">
        <v>1</v>
      </c>
      <c r="G485" s="26">
        <v>11</v>
      </c>
      <c r="H485" s="26" t="s">
        <v>38</v>
      </c>
      <c r="I485" s="27">
        <v>900</v>
      </c>
      <c r="J485" s="12">
        <v>100</v>
      </c>
      <c r="K485" s="12" t="s">
        <v>39</v>
      </c>
      <c r="L485" s="27"/>
      <c r="M485" s="3" t="s">
        <v>330</v>
      </c>
      <c r="N485" s="3" t="s">
        <v>331</v>
      </c>
      <c r="O485" s="3" t="s">
        <v>332</v>
      </c>
      <c r="P485" s="29">
        <v>2</v>
      </c>
      <c r="Q485" s="32" t="s">
        <v>71</v>
      </c>
    </row>
    <row r="486" s="9" customFormat="1" customHeight="1" spans="1:17">
      <c r="A486" s="26">
        <f t="shared" si="25"/>
        <v>1109002</v>
      </c>
      <c r="B486" s="26">
        <v>1109</v>
      </c>
      <c r="C486" s="26" t="s">
        <v>328</v>
      </c>
      <c r="D486" s="26" t="s">
        <v>329</v>
      </c>
      <c r="E486" s="22">
        <v>20</v>
      </c>
      <c r="F486" s="26">
        <v>2</v>
      </c>
      <c r="G486" s="26">
        <v>13</v>
      </c>
      <c r="H486" s="26" t="s">
        <v>49</v>
      </c>
      <c r="I486" s="27">
        <v>1800</v>
      </c>
      <c r="J486" s="12">
        <v>200</v>
      </c>
      <c r="K486" s="12" t="s">
        <v>45</v>
      </c>
      <c r="L486" s="27"/>
      <c r="M486" s="3" t="s">
        <v>333</v>
      </c>
      <c r="N486" s="3" t="s">
        <v>334</v>
      </c>
      <c r="O486" s="3">
        <v>1109263</v>
      </c>
      <c r="P486" s="29">
        <v>4</v>
      </c>
      <c r="Q486" s="32" t="s">
        <v>74</v>
      </c>
    </row>
    <row r="487" s="9" customFormat="1" customHeight="1" spans="1:17">
      <c r="A487" s="26">
        <f t="shared" si="25"/>
        <v>1109003</v>
      </c>
      <c r="B487" s="26">
        <v>1109</v>
      </c>
      <c r="C487" s="26" t="s">
        <v>328</v>
      </c>
      <c r="D487" s="26" t="s">
        <v>329</v>
      </c>
      <c r="E487" s="22">
        <v>20</v>
      </c>
      <c r="F487" s="26">
        <v>3</v>
      </c>
      <c r="G487" s="26">
        <v>15</v>
      </c>
      <c r="H487" s="26" t="s">
        <v>57</v>
      </c>
      <c r="I487" s="27">
        <v>2700</v>
      </c>
      <c r="J487" s="12">
        <v>300</v>
      </c>
      <c r="K487" s="12" t="s">
        <v>50</v>
      </c>
      <c r="L487" s="27"/>
      <c r="M487" s="3" t="s">
        <v>335</v>
      </c>
      <c r="N487" s="3" t="s">
        <v>336</v>
      </c>
      <c r="O487" s="3">
        <v>1109255</v>
      </c>
      <c r="P487" s="29">
        <v>8</v>
      </c>
      <c r="Q487" s="32" t="s">
        <v>77</v>
      </c>
    </row>
    <row r="488" s="9" customFormat="1" customHeight="1" spans="1:17">
      <c r="A488" s="26">
        <f t="shared" si="25"/>
        <v>1109004</v>
      </c>
      <c r="B488" s="26">
        <v>1109</v>
      </c>
      <c r="C488" s="26" t="s">
        <v>328</v>
      </c>
      <c r="D488" s="26" t="s">
        <v>329</v>
      </c>
      <c r="E488" s="22">
        <f t="shared" ref="E488:E544" si="26">E485+1</f>
        <v>21</v>
      </c>
      <c r="F488" s="26">
        <v>4</v>
      </c>
      <c r="G488" s="26">
        <v>15</v>
      </c>
      <c r="H488" s="26" t="s">
        <v>63</v>
      </c>
      <c r="I488" s="27">
        <v>3600</v>
      </c>
      <c r="J488" s="12">
        <v>400</v>
      </c>
      <c r="K488" s="12" t="s">
        <v>55</v>
      </c>
      <c r="L488" s="27"/>
      <c r="M488" s="28"/>
      <c r="N488" s="28"/>
      <c r="O488" s="3">
        <v>1109264</v>
      </c>
      <c r="P488" s="29">
        <v>12</v>
      </c>
      <c r="Q488" s="32" t="s">
        <v>80</v>
      </c>
    </row>
    <row r="489" s="9" customFormat="1" customHeight="1" spans="1:17">
      <c r="A489" s="26">
        <f t="shared" si="25"/>
        <v>1109005</v>
      </c>
      <c r="B489" s="26">
        <v>1109</v>
      </c>
      <c r="C489" s="26" t="s">
        <v>328</v>
      </c>
      <c r="D489" s="26" t="s">
        <v>329</v>
      </c>
      <c r="E489" s="22">
        <f t="shared" si="26"/>
        <v>21</v>
      </c>
      <c r="F489" s="26">
        <v>5</v>
      </c>
      <c r="G489" s="26">
        <v>15</v>
      </c>
      <c r="H489" s="26" t="s">
        <v>69</v>
      </c>
      <c r="I489" s="27">
        <v>4500</v>
      </c>
      <c r="J489" s="12">
        <v>500</v>
      </c>
      <c r="K489" s="12" t="s">
        <v>58</v>
      </c>
      <c r="L489" s="27"/>
      <c r="O489" s="3">
        <v>1109253</v>
      </c>
      <c r="P489" s="29">
        <v>16</v>
      </c>
      <c r="Q489" s="32" t="s">
        <v>83</v>
      </c>
    </row>
    <row r="490" s="9" customFormat="1" customHeight="1" spans="1:17">
      <c r="A490" s="26">
        <f t="shared" si="25"/>
        <v>1109006</v>
      </c>
      <c r="B490" s="26">
        <v>1109</v>
      </c>
      <c r="C490" s="26" t="s">
        <v>328</v>
      </c>
      <c r="D490" s="26" t="s">
        <v>329</v>
      </c>
      <c r="E490" s="22">
        <f t="shared" si="26"/>
        <v>21</v>
      </c>
      <c r="F490" s="26">
        <v>6</v>
      </c>
      <c r="G490" s="26">
        <v>15</v>
      </c>
      <c r="H490" s="26" t="s">
        <v>75</v>
      </c>
      <c r="I490" s="27">
        <v>5400</v>
      </c>
      <c r="J490" s="12">
        <v>600</v>
      </c>
      <c r="K490" s="12" t="s">
        <v>61</v>
      </c>
      <c r="L490" s="27"/>
      <c r="M490" s="28"/>
      <c r="N490" s="28"/>
      <c r="O490" s="3">
        <v>1109254</v>
      </c>
      <c r="P490" s="29">
        <v>20</v>
      </c>
      <c r="Q490" s="32" t="s">
        <v>86</v>
      </c>
    </row>
    <row r="491" s="9" customFormat="1" customHeight="1" spans="1:17">
      <c r="A491" s="26">
        <f t="shared" si="25"/>
        <v>1109007</v>
      </c>
      <c r="B491" s="26">
        <v>1109</v>
      </c>
      <c r="C491" s="26" t="s">
        <v>328</v>
      </c>
      <c r="D491" s="26" t="s">
        <v>329</v>
      </c>
      <c r="E491" s="22">
        <f t="shared" si="26"/>
        <v>22</v>
      </c>
      <c r="F491" s="26">
        <v>7</v>
      </c>
      <c r="G491" s="26">
        <v>15</v>
      </c>
      <c r="H491" s="26" t="s">
        <v>81</v>
      </c>
      <c r="I491" s="27">
        <v>6300</v>
      </c>
      <c r="J491" s="12">
        <v>700</v>
      </c>
      <c r="K491" s="12" t="s">
        <v>64</v>
      </c>
      <c r="L491" s="27"/>
      <c r="M491" s="28"/>
      <c r="N491" s="28"/>
      <c r="O491" s="3">
        <v>1109257</v>
      </c>
      <c r="P491" s="29">
        <v>24</v>
      </c>
      <c r="Q491" s="32" t="s">
        <v>89</v>
      </c>
    </row>
    <row r="492" s="9" customFormat="1" customHeight="1" spans="1:17">
      <c r="A492" s="26">
        <f t="shared" si="25"/>
        <v>1109008</v>
      </c>
      <c r="B492" s="26">
        <v>1109</v>
      </c>
      <c r="C492" s="26" t="s">
        <v>328</v>
      </c>
      <c r="D492" s="26" t="s">
        <v>329</v>
      </c>
      <c r="E492" s="22">
        <f t="shared" si="26"/>
        <v>22</v>
      </c>
      <c r="F492" s="26">
        <v>8</v>
      </c>
      <c r="G492" s="26">
        <v>15</v>
      </c>
      <c r="H492" s="26" t="s">
        <v>87</v>
      </c>
      <c r="I492" s="27">
        <v>7200</v>
      </c>
      <c r="J492" s="12">
        <v>800</v>
      </c>
      <c r="K492" s="12" t="s">
        <v>67</v>
      </c>
      <c r="L492" s="27"/>
      <c r="M492" s="28"/>
      <c r="N492" s="28"/>
      <c r="O492" s="3">
        <v>1109256</v>
      </c>
      <c r="P492" s="29">
        <v>28</v>
      </c>
      <c r="Q492" s="32" t="s">
        <v>92</v>
      </c>
    </row>
    <row r="493" s="9" customFormat="1" customHeight="1" spans="1:17">
      <c r="A493" s="26">
        <f t="shared" si="25"/>
        <v>1109009</v>
      </c>
      <c r="B493" s="26">
        <v>1109</v>
      </c>
      <c r="C493" s="26" t="s">
        <v>328</v>
      </c>
      <c r="D493" s="26" t="s">
        <v>329</v>
      </c>
      <c r="E493" s="22">
        <f t="shared" si="26"/>
        <v>22</v>
      </c>
      <c r="F493" s="26">
        <v>9</v>
      </c>
      <c r="G493" s="26">
        <v>15</v>
      </c>
      <c r="H493" s="26" t="s">
        <v>93</v>
      </c>
      <c r="I493" s="27">
        <v>8100</v>
      </c>
      <c r="J493" s="12">
        <v>900</v>
      </c>
      <c r="K493" s="12" t="s">
        <v>70</v>
      </c>
      <c r="L493" s="27"/>
      <c r="M493" s="28"/>
      <c r="N493" s="28"/>
      <c r="O493" s="3">
        <v>1109258</v>
      </c>
      <c r="P493" s="29">
        <v>32</v>
      </c>
      <c r="Q493" s="32" t="s">
        <v>95</v>
      </c>
    </row>
    <row r="494" s="9" customFormat="1" customHeight="1" spans="1:17">
      <c r="A494" s="26">
        <f t="shared" si="25"/>
        <v>1109010</v>
      </c>
      <c r="B494" s="26">
        <v>1109</v>
      </c>
      <c r="C494" s="26" t="s">
        <v>328</v>
      </c>
      <c r="D494" s="26" t="s">
        <v>329</v>
      </c>
      <c r="E494" s="22">
        <f t="shared" si="26"/>
        <v>23</v>
      </c>
      <c r="F494" s="26">
        <v>10</v>
      </c>
      <c r="G494" s="26">
        <v>15</v>
      </c>
      <c r="H494" s="26" t="s">
        <v>99</v>
      </c>
      <c r="I494" s="27">
        <v>9000</v>
      </c>
      <c r="J494" s="12">
        <v>1000</v>
      </c>
      <c r="K494" s="12" t="s">
        <v>73</v>
      </c>
      <c r="L494" s="27"/>
      <c r="M494" s="28"/>
      <c r="N494" s="28"/>
      <c r="O494" s="3">
        <v>1109259</v>
      </c>
      <c r="P494" s="29">
        <v>36</v>
      </c>
      <c r="Q494" s="32" t="s">
        <v>98</v>
      </c>
    </row>
    <row r="495" s="10" customFormat="1" customHeight="1" spans="1:17">
      <c r="A495" s="26">
        <f t="shared" ref="A495:A526" si="27">B495*1000+F495</f>
        <v>1109011</v>
      </c>
      <c r="B495" s="26">
        <v>1109</v>
      </c>
      <c r="C495" s="26" t="s">
        <v>328</v>
      </c>
      <c r="D495" s="26" t="s">
        <v>329</v>
      </c>
      <c r="E495" s="22">
        <f t="shared" si="26"/>
        <v>23</v>
      </c>
      <c r="F495" s="26">
        <v>11</v>
      </c>
      <c r="G495" s="26">
        <v>15</v>
      </c>
      <c r="H495" s="26" t="s">
        <v>105</v>
      </c>
      <c r="I495" s="27">
        <v>9900</v>
      </c>
      <c r="J495" s="12">
        <v>1100</v>
      </c>
      <c r="K495" s="12" t="s">
        <v>76</v>
      </c>
      <c r="L495" s="27"/>
      <c r="M495" s="28"/>
      <c r="N495" s="28"/>
      <c r="O495" s="3">
        <v>1109260</v>
      </c>
      <c r="P495" s="29">
        <v>40</v>
      </c>
      <c r="Q495" s="32" t="s">
        <v>101</v>
      </c>
    </row>
    <row r="496" s="10" customFormat="1" customHeight="1" spans="1:17">
      <c r="A496" s="26">
        <f t="shared" si="27"/>
        <v>1109012</v>
      </c>
      <c r="B496" s="26">
        <v>1109</v>
      </c>
      <c r="C496" s="26" t="s">
        <v>328</v>
      </c>
      <c r="D496" s="26" t="s">
        <v>329</v>
      </c>
      <c r="E496" s="22">
        <f t="shared" si="26"/>
        <v>23</v>
      </c>
      <c r="F496" s="26">
        <v>12</v>
      </c>
      <c r="G496" s="26">
        <v>15</v>
      </c>
      <c r="H496" s="26" t="s">
        <v>111</v>
      </c>
      <c r="I496" s="27">
        <v>10800</v>
      </c>
      <c r="J496" s="12">
        <v>1200</v>
      </c>
      <c r="K496" s="12" t="s">
        <v>79</v>
      </c>
      <c r="L496" s="27"/>
      <c r="M496" s="28"/>
      <c r="N496" s="28"/>
      <c r="O496" s="3">
        <v>1109252</v>
      </c>
      <c r="P496" s="29">
        <v>44</v>
      </c>
      <c r="Q496" s="32" t="s">
        <v>104</v>
      </c>
    </row>
    <row r="497" s="10" customFormat="1" customHeight="1" spans="1:17">
      <c r="A497" s="26">
        <f t="shared" si="27"/>
        <v>1109013</v>
      </c>
      <c r="B497" s="26">
        <v>1109</v>
      </c>
      <c r="C497" s="26" t="s">
        <v>328</v>
      </c>
      <c r="D497" s="26" t="s">
        <v>329</v>
      </c>
      <c r="E497" s="22">
        <f t="shared" si="26"/>
        <v>24</v>
      </c>
      <c r="F497" s="26">
        <v>13</v>
      </c>
      <c r="G497" s="26">
        <v>15</v>
      </c>
      <c r="H497" s="26" t="s">
        <v>117</v>
      </c>
      <c r="I497" s="27">
        <v>11700</v>
      </c>
      <c r="J497" s="12">
        <v>1300</v>
      </c>
      <c r="K497" s="12" t="s">
        <v>82</v>
      </c>
      <c r="L497" s="27"/>
      <c r="M497" s="28"/>
      <c r="N497" s="28"/>
      <c r="O497" s="3">
        <v>1109251</v>
      </c>
      <c r="P497" s="29">
        <v>48</v>
      </c>
      <c r="Q497" s="32" t="s">
        <v>107</v>
      </c>
    </row>
    <row r="498" s="10" customFormat="1" customHeight="1" spans="1:17">
      <c r="A498" s="26">
        <f t="shared" si="27"/>
        <v>1109014</v>
      </c>
      <c r="B498" s="26">
        <v>1109</v>
      </c>
      <c r="C498" s="26" t="s">
        <v>328</v>
      </c>
      <c r="D498" s="26" t="s">
        <v>329</v>
      </c>
      <c r="E498" s="22">
        <f t="shared" si="26"/>
        <v>24</v>
      </c>
      <c r="F498" s="26">
        <v>14</v>
      </c>
      <c r="G498" s="26">
        <v>15</v>
      </c>
      <c r="H498" s="26" t="s">
        <v>123</v>
      </c>
      <c r="I498" s="27">
        <v>12600</v>
      </c>
      <c r="J498" s="12">
        <v>1400</v>
      </c>
      <c r="K498" s="12" t="s">
        <v>85</v>
      </c>
      <c r="L498" s="27"/>
      <c r="M498" s="28"/>
      <c r="N498" s="28"/>
      <c r="O498" s="3">
        <v>1109265</v>
      </c>
      <c r="P498" s="29">
        <v>52</v>
      </c>
      <c r="Q498" s="32" t="s">
        <v>110</v>
      </c>
    </row>
    <row r="499" s="10" customFormat="1" customHeight="1" spans="1:17">
      <c r="A499" s="26">
        <f t="shared" si="27"/>
        <v>1109015</v>
      </c>
      <c r="B499" s="26">
        <v>1109</v>
      </c>
      <c r="C499" s="26" t="s">
        <v>328</v>
      </c>
      <c r="D499" s="26" t="s">
        <v>329</v>
      </c>
      <c r="E499" s="22">
        <f t="shared" si="26"/>
        <v>24</v>
      </c>
      <c r="F499" s="26">
        <v>15</v>
      </c>
      <c r="G499" s="26">
        <v>15</v>
      </c>
      <c r="H499" s="26" t="s">
        <v>129</v>
      </c>
      <c r="I499" s="27">
        <v>13500</v>
      </c>
      <c r="J499" s="12">
        <v>1500</v>
      </c>
      <c r="K499" s="12" t="s">
        <v>88</v>
      </c>
      <c r="L499" s="27"/>
      <c r="M499" s="28"/>
      <c r="N499" s="28"/>
      <c r="O499" s="3">
        <v>1109266</v>
      </c>
      <c r="P499" s="29">
        <v>56</v>
      </c>
      <c r="Q499" s="32" t="s">
        <v>113</v>
      </c>
    </row>
    <row r="500" s="10" customFormat="1" customHeight="1" spans="1:17">
      <c r="A500" s="26">
        <f t="shared" si="27"/>
        <v>1109016</v>
      </c>
      <c r="B500" s="26">
        <v>1109</v>
      </c>
      <c r="C500" s="26" t="s">
        <v>328</v>
      </c>
      <c r="D500" s="26" t="s">
        <v>329</v>
      </c>
      <c r="E500" s="22">
        <f t="shared" si="26"/>
        <v>25</v>
      </c>
      <c r="F500" s="26">
        <v>16</v>
      </c>
      <c r="G500" s="26">
        <v>15</v>
      </c>
      <c r="H500" s="26" t="s">
        <v>135</v>
      </c>
      <c r="I500" s="27">
        <v>14400</v>
      </c>
      <c r="J500" s="12">
        <v>1600</v>
      </c>
      <c r="K500" s="12" t="s">
        <v>91</v>
      </c>
      <c r="L500" s="27"/>
      <c r="M500" s="28"/>
      <c r="N500" s="28"/>
      <c r="O500" s="3">
        <v>1109267</v>
      </c>
      <c r="P500" s="29">
        <v>60</v>
      </c>
      <c r="Q500" s="32" t="s">
        <v>116</v>
      </c>
    </row>
    <row r="501" s="10" customFormat="1" customHeight="1" spans="1:17">
      <c r="A501" s="26">
        <f t="shared" si="27"/>
        <v>1109017</v>
      </c>
      <c r="B501" s="26">
        <v>1109</v>
      </c>
      <c r="C501" s="26" t="s">
        <v>328</v>
      </c>
      <c r="D501" s="26" t="s">
        <v>329</v>
      </c>
      <c r="E501" s="22">
        <f t="shared" si="26"/>
        <v>25</v>
      </c>
      <c r="F501" s="26">
        <v>17</v>
      </c>
      <c r="G501" s="26">
        <v>15</v>
      </c>
      <c r="H501" s="26" t="s">
        <v>141</v>
      </c>
      <c r="I501" s="27">
        <v>15300</v>
      </c>
      <c r="J501" s="12">
        <v>1700</v>
      </c>
      <c r="K501" s="12" t="s">
        <v>94</v>
      </c>
      <c r="L501" s="27"/>
      <c r="M501" s="28"/>
      <c r="N501" s="28"/>
      <c r="O501" s="4"/>
      <c r="P501" s="29">
        <v>64</v>
      </c>
      <c r="Q501" s="32" t="s">
        <v>119</v>
      </c>
    </row>
    <row r="502" s="10" customFormat="1" customHeight="1" spans="1:17">
      <c r="A502" s="26">
        <f t="shared" si="27"/>
        <v>1109018</v>
      </c>
      <c r="B502" s="26">
        <v>1109</v>
      </c>
      <c r="C502" s="26" t="s">
        <v>328</v>
      </c>
      <c r="D502" s="26" t="s">
        <v>329</v>
      </c>
      <c r="E502" s="22">
        <f t="shared" si="26"/>
        <v>25</v>
      </c>
      <c r="F502" s="26">
        <v>18</v>
      </c>
      <c r="G502" s="26">
        <v>15</v>
      </c>
      <c r="H502" s="26" t="s">
        <v>147</v>
      </c>
      <c r="I502" s="27">
        <v>16200</v>
      </c>
      <c r="J502" s="12">
        <v>1800</v>
      </c>
      <c r="K502" s="12" t="s">
        <v>97</v>
      </c>
      <c r="L502" s="27"/>
      <c r="M502" s="28"/>
      <c r="N502" s="28"/>
      <c r="O502" s="4"/>
      <c r="P502" s="29">
        <v>68</v>
      </c>
      <c r="Q502" s="32" t="s">
        <v>122</v>
      </c>
    </row>
    <row r="503" s="10" customFormat="1" customHeight="1" spans="1:17">
      <c r="A503" s="26">
        <f t="shared" si="27"/>
        <v>1109019</v>
      </c>
      <c r="B503" s="26">
        <v>1109</v>
      </c>
      <c r="C503" s="26" t="s">
        <v>328</v>
      </c>
      <c r="D503" s="26" t="s">
        <v>329</v>
      </c>
      <c r="E503" s="22">
        <f t="shared" si="26"/>
        <v>26</v>
      </c>
      <c r="F503" s="26">
        <v>19</v>
      </c>
      <c r="G503" s="26">
        <v>15</v>
      </c>
      <c r="H503" s="26" t="s">
        <v>153</v>
      </c>
      <c r="I503" s="27">
        <v>17100</v>
      </c>
      <c r="J503" s="12">
        <v>1900</v>
      </c>
      <c r="K503" s="12" t="s">
        <v>100</v>
      </c>
      <c r="L503" s="27"/>
      <c r="M503" s="28"/>
      <c r="N503" s="28"/>
      <c r="O503" s="3"/>
      <c r="P503" s="29">
        <v>72</v>
      </c>
      <c r="Q503" s="32" t="s">
        <v>125</v>
      </c>
    </row>
    <row r="504" s="10" customFormat="1" customHeight="1" spans="1:17">
      <c r="A504" s="26">
        <f t="shared" si="27"/>
        <v>1109020</v>
      </c>
      <c r="B504" s="26">
        <v>1109</v>
      </c>
      <c r="C504" s="26" t="s">
        <v>328</v>
      </c>
      <c r="D504" s="26" t="s">
        <v>329</v>
      </c>
      <c r="E504" s="22">
        <f t="shared" si="26"/>
        <v>26</v>
      </c>
      <c r="F504" s="26">
        <v>20</v>
      </c>
      <c r="G504" s="26">
        <v>15</v>
      </c>
      <c r="H504" s="26" t="s">
        <v>159</v>
      </c>
      <c r="I504" s="27">
        <v>18000</v>
      </c>
      <c r="J504" s="12">
        <v>2000</v>
      </c>
      <c r="K504" s="12" t="s">
        <v>103</v>
      </c>
      <c r="L504" s="27"/>
      <c r="M504" s="28"/>
      <c r="N504" s="28"/>
      <c r="O504" s="3"/>
      <c r="P504" s="29">
        <v>76</v>
      </c>
      <c r="Q504" s="32" t="s">
        <v>128</v>
      </c>
    </row>
    <row r="505" s="10" customFormat="1" customHeight="1" spans="1:17">
      <c r="A505" s="26">
        <f t="shared" si="27"/>
        <v>1109021</v>
      </c>
      <c r="B505" s="26">
        <v>1109</v>
      </c>
      <c r="C505" s="26" t="s">
        <v>328</v>
      </c>
      <c r="D505" s="26" t="s">
        <v>329</v>
      </c>
      <c r="E505" s="22">
        <f t="shared" si="26"/>
        <v>26</v>
      </c>
      <c r="F505" s="26">
        <v>21</v>
      </c>
      <c r="G505" s="26">
        <v>15</v>
      </c>
      <c r="H505" s="26" t="s">
        <v>165</v>
      </c>
      <c r="I505" s="27">
        <v>18900</v>
      </c>
      <c r="J505" s="12">
        <v>2100</v>
      </c>
      <c r="K505" s="12" t="s">
        <v>106</v>
      </c>
      <c r="L505" s="27"/>
      <c r="M505" s="28"/>
      <c r="N505" s="28"/>
      <c r="O505" s="3"/>
      <c r="P505" s="29">
        <v>80</v>
      </c>
      <c r="Q505" s="32" t="s">
        <v>131</v>
      </c>
    </row>
    <row r="506" s="10" customFormat="1" customHeight="1" spans="1:17">
      <c r="A506" s="26">
        <f t="shared" si="27"/>
        <v>1109022</v>
      </c>
      <c r="B506" s="26">
        <v>1109</v>
      </c>
      <c r="C506" s="26" t="s">
        <v>328</v>
      </c>
      <c r="D506" s="26" t="s">
        <v>329</v>
      </c>
      <c r="E506" s="22">
        <f t="shared" si="26"/>
        <v>27</v>
      </c>
      <c r="F506" s="26">
        <v>22</v>
      </c>
      <c r="G506" s="26">
        <v>15</v>
      </c>
      <c r="H506" s="26" t="s">
        <v>171</v>
      </c>
      <c r="I506" s="27">
        <v>19800</v>
      </c>
      <c r="J506" s="12">
        <v>2200</v>
      </c>
      <c r="K506" s="12" t="s">
        <v>109</v>
      </c>
      <c r="L506" s="27"/>
      <c r="M506" s="28"/>
      <c r="N506" s="28"/>
      <c r="O506" s="3"/>
      <c r="P506" s="29">
        <v>84</v>
      </c>
      <c r="Q506" s="32" t="s">
        <v>134</v>
      </c>
    </row>
    <row r="507" s="10" customFormat="1" customHeight="1" spans="1:17">
      <c r="A507" s="26">
        <f t="shared" si="27"/>
        <v>1109023</v>
      </c>
      <c r="B507" s="26">
        <v>1109</v>
      </c>
      <c r="C507" s="26" t="s">
        <v>328</v>
      </c>
      <c r="D507" s="26" t="s">
        <v>329</v>
      </c>
      <c r="E507" s="22">
        <f t="shared" si="26"/>
        <v>27</v>
      </c>
      <c r="F507" s="26">
        <v>23</v>
      </c>
      <c r="G507" s="26">
        <v>15</v>
      </c>
      <c r="H507" s="26" t="s">
        <v>177</v>
      </c>
      <c r="I507" s="27">
        <v>20700</v>
      </c>
      <c r="J507" s="12">
        <v>2300</v>
      </c>
      <c r="K507" s="12" t="s">
        <v>112</v>
      </c>
      <c r="L507" s="27"/>
      <c r="M507" s="28"/>
      <c r="N507" s="28"/>
      <c r="O507" s="3"/>
      <c r="P507" s="29">
        <v>88</v>
      </c>
      <c r="Q507" s="32" t="s">
        <v>137</v>
      </c>
    </row>
    <row r="508" s="10" customFormat="1" customHeight="1" spans="1:17">
      <c r="A508" s="26">
        <f t="shared" si="27"/>
        <v>1109024</v>
      </c>
      <c r="B508" s="26">
        <v>1109</v>
      </c>
      <c r="C508" s="26" t="s">
        <v>328</v>
      </c>
      <c r="D508" s="26" t="s">
        <v>329</v>
      </c>
      <c r="E508" s="22">
        <f t="shared" si="26"/>
        <v>27</v>
      </c>
      <c r="F508" s="26">
        <v>24</v>
      </c>
      <c r="G508" s="26">
        <v>15</v>
      </c>
      <c r="H508" s="26" t="s">
        <v>183</v>
      </c>
      <c r="I508" s="27">
        <v>21600</v>
      </c>
      <c r="J508" s="12">
        <v>2400</v>
      </c>
      <c r="K508" s="12" t="s">
        <v>115</v>
      </c>
      <c r="L508" s="27"/>
      <c r="M508" s="28"/>
      <c r="N508" s="28"/>
      <c r="O508" s="3"/>
      <c r="P508" s="29">
        <v>92</v>
      </c>
      <c r="Q508" s="32" t="s">
        <v>140</v>
      </c>
    </row>
    <row r="509" s="10" customFormat="1" customHeight="1" spans="1:17">
      <c r="A509" s="26">
        <f t="shared" si="27"/>
        <v>1109025</v>
      </c>
      <c r="B509" s="26">
        <v>1109</v>
      </c>
      <c r="C509" s="26" t="s">
        <v>328</v>
      </c>
      <c r="D509" s="26" t="s">
        <v>329</v>
      </c>
      <c r="E509" s="22">
        <f t="shared" si="26"/>
        <v>28</v>
      </c>
      <c r="F509" s="26">
        <v>25</v>
      </c>
      <c r="G509" s="26">
        <v>15</v>
      </c>
      <c r="H509" s="26" t="s">
        <v>189</v>
      </c>
      <c r="I509" s="27">
        <v>22500</v>
      </c>
      <c r="J509" s="12">
        <v>2500</v>
      </c>
      <c r="K509" s="12" t="s">
        <v>118</v>
      </c>
      <c r="L509" s="27"/>
      <c r="M509" s="28"/>
      <c r="N509" s="28"/>
      <c r="O509" s="30"/>
      <c r="P509" s="29">
        <v>96</v>
      </c>
      <c r="Q509" s="32" t="s">
        <v>143</v>
      </c>
    </row>
    <row r="510" s="10" customFormat="1" customHeight="1" spans="1:17">
      <c r="A510" s="26">
        <f t="shared" si="27"/>
        <v>1109026</v>
      </c>
      <c r="B510" s="26">
        <v>1109</v>
      </c>
      <c r="C510" s="26" t="s">
        <v>328</v>
      </c>
      <c r="D510" s="26" t="s">
        <v>329</v>
      </c>
      <c r="E510" s="22">
        <f t="shared" si="26"/>
        <v>28</v>
      </c>
      <c r="F510" s="26">
        <v>26</v>
      </c>
      <c r="G510" s="26">
        <v>15</v>
      </c>
      <c r="H510" s="26" t="s">
        <v>195</v>
      </c>
      <c r="I510" s="27">
        <v>23400</v>
      </c>
      <c r="J510" s="12">
        <v>2600</v>
      </c>
      <c r="K510" s="12" t="s">
        <v>121</v>
      </c>
      <c r="L510" s="27"/>
      <c r="M510" s="28"/>
      <c r="N510" s="28"/>
      <c r="O510" s="30" t="s">
        <v>234</v>
      </c>
      <c r="P510" s="29">
        <v>100</v>
      </c>
      <c r="Q510" s="32" t="s">
        <v>146</v>
      </c>
    </row>
    <row r="511" s="10" customFormat="1" customHeight="1" spans="1:17">
      <c r="A511" s="26">
        <f t="shared" si="27"/>
        <v>1109027</v>
      </c>
      <c r="B511" s="26">
        <v>1109</v>
      </c>
      <c r="C511" s="26" t="s">
        <v>328</v>
      </c>
      <c r="D511" s="26" t="s">
        <v>329</v>
      </c>
      <c r="E511" s="22">
        <f t="shared" si="26"/>
        <v>28</v>
      </c>
      <c r="F511" s="26">
        <v>27</v>
      </c>
      <c r="G511" s="26">
        <v>15</v>
      </c>
      <c r="H511" s="26" t="s">
        <v>201</v>
      </c>
      <c r="I511" s="27">
        <v>24300</v>
      </c>
      <c r="J511" s="12">
        <v>2700</v>
      </c>
      <c r="K511" s="12" t="s">
        <v>124</v>
      </c>
      <c r="L511" s="27"/>
      <c r="M511" s="28"/>
      <c r="N511" s="28"/>
      <c r="O511" s="30" t="s">
        <v>234</v>
      </c>
      <c r="P511" s="29">
        <v>104</v>
      </c>
      <c r="Q511" s="32" t="s">
        <v>149</v>
      </c>
    </row>
    <row r="512" s="10" customFormat="1" customHeight="1" spans="1:17">
      <c r="A512" s="26">
        <f t="shared" si="27"/>
        <v>1109028</v>
      </c>
      <c r="B512" s="26">
        <v>1109</v>
      </c>
      <c r="C512" s="26" t="s">
        <v>328</v>
      </c>
      <c r="D512" s="26" t="s">
        <v>329</v>
      </c>
      <c r="E512" s="22">
        <f t="shared" si="26"/>
        <v>29</v>
      </c>
      <c r="F512" s="26">
        <v>28</v>
      </c>
      <c r="G512" s="26">
        <v>15</v>
      </c>
      <c r="H512" s="26" t="s">
        <v>207</v>
      </c>
      <c r="I512" s="27">
        <v>25200</v>
      </c>
      <c r="J512" s="12">
        <v>2800</v>
      </c>
      <c r="K512" s="12" t="s">
        <v>127</v>
      </c>
      <c r="L512" s="27"/>
      <c r="M512" s="28"/>
      <c r="N512" s="28"/>
      <c r="O512" s="30" t="s">
        <v>234</v>
      </c>
      <c r="P512" s="29">
        <v>108</v>
      </c>
      <c r="Q512" s="32" t="s">
        <v>152</v>
      </c>
    </row>
    <row r="513" s="10" customFormat="1" customHeight="1" spans="1:17">
      <c r="A513" s="26">
        <f t="shared" si="27"/>
        <v>1109029</v>
      </c>
      <c r="B513" s="26">
        <v>1109</v>
      </c>
      <c r="C513" s="26" t="s">
        <v>328</v>
      </c>
      <c r="D513" s="26" t="s">
        <v>329</v>
      </c>
      <c r="E513" s="22">
        <f t="shared" si="26"/>
        <v>29</v>
      </c>
      <c r="F513" s="26">
        <v>29</v>
      </c>
      <c r="G513" s="26">
        <v>15</v>
      </c>
      <c r="H513" s="26" t="s">
        <v>213</v>
      </c>
      <c r="I513" s="27">
        <v>26100</v>
      </c>
      <c r="J513" s="12">
        <v>2900</v>
      </c>
      <c r="K513" s="12" t="s">
        <v>130</v>
      </c>
      <c r="L513" s="27"/>
      <c r="M513" s="28"/>
      <c r="N513" s="28"/>
      <c r="O513" s="30" t="s">
        <v>234</v>
      </c>
      <c r="P513" s="29">
        <v>112</v>
      </c>
      <c r="Q513" s="32" t="s">
        <v>155</v>
      </c>
    </row>
    <row r="514" s="10" customFormat="1" customHeight="1" spans="1:17">
      <c r="A514" s="26">
        <f t="shared" si="27"/>
        <v>1109030</v>
      </c>
      <c r="B514" s="26">
        <v>1109</v>
      </c>
      <c r="C514" s="26" t="s">
        <v>328</v>
      </c>
      <c r="D514" s="26" t="s">
        <v>329</v>
      </c>
      <c r="E514" s="22">
        <f t="shared" si="26"/>
        <v>29</v>
      </c>
      <c r="F514" s="26">
        <v>30</v>
      </c>
      <c r="G514" s="26">
        <v>15</v>
      </c>
      <c r="H514" s="26" t="s">
        <v>219</v>
      </c>
      <c r="I514" s="27">
        <v>27000</v>
      </c>
      <c r="J514" s="12">
        <v>3000</v>
      </c>
      <c r="K514" s="12" t="s">
        <v>133</v>
      </c>
      <c r="L514" s="27"/>
      <c r="M514" s="28"/>
      <c r="N514" s="28"/>
      <c r="O514" s="30" t="s">
        <v>234</v>
      </c>
      <c r="P514" s="29">
        <v>116</v>
      </c>
      <c r="Q514" s="32" t="s">
        <v>158</v>
      </c>
    </row>
    <row r="515" s="10" customFormat="1" customHeight="1" spans="1:17">
      <c r="A515" s="26">
        <f t="shared" si="27"/>
        <v>1109031</v>
      </c>
      <c r="B515" s="26">
        <v>1109</v>
      </c>
      <c r="C515" s="26" t="s">
        <v>328</v>
      </c>
      <c r="D515" s="26" t="s">
        <v>329</v>
      </c>
      <c r="E515" s="22">
        <f t="shared" si="26"/>
        <v>30</v>
      </c>
      <c r="F515" s="26">
        <v>31</v>
      </c>
      <c r="G515" s="26">
        <v>15</v>
      </c>
      <c r="H515" s="26" t="s">
        <v>235</v>
      </c>
      <c r="I515" s="27">
        <v>27900</v>
      </c>
      <c r="J515" s="12">
        <v>3100</v>
      </c>
      <c r="K515" s="12" t="s">
        <v>136</v>
      </c>
      <c r="L515" s="27"/>
      <c r="M515" s="28"/>
      <c r="N515" s="28"/>
      <c r="O515" s="30" t="s">
        <v>234</v>
      </c>
      <c r="P515" s="29">
        <v>120</v>
      </c>
      <c r="Q515" s="32" t="s">
        <v>161</v>
      </c>
    </row>
    <row r="516" s="10" customFormat="1" customHeight="1" spans="1:17">
      <c r="A516" s="26">
        <f t="shared" si="27"/>
        <v>1109032</v>
      </c>
      <c r="B516" s="26">
        <v>1109</v>
      </c>
      <c r="C516" s="26" t="s">
        <v>328</v>
      </c>
      <c r="D516" s="26" t="s">
        <v>329</v>
      </c>
      <c r="E516" s="22">
        <f t="shared" si="26"/>
        <v>30</v>
      </c>
      <c r="F516" s="26">
        <v>32</v>
      </c>
      <c r="G516" s="26">
        <v>15</v>
      </c>
      <c r="H516" s="26" t="s">
        <v>236</v>
      </c>
      <c r="I516" s="27">
        <v>28800</v>
      </c>
      <c r="J516" s="12">
        <v>3200</v>
      </c>
      <c r="K516" s="12" t="s">
        <v>139</v>
      </c>
      <c r="L516" s="27"/>
      <c r="M516" s="28"/>
      <c r="N516" s="28"/>
      <c r="O516" s="30" t="s">
        <v>234</v>
      </c>
      <c r="P516" s="29">
        <v>124</v>
      </c>
      <c r="Q516" s="32" t="s">
        <v>164</v>
      </c>
    </row>
    <row r="517" s="10" customFormat="1" customHeight="1" spans="1:17">
      <c r="A517" s="26">
        <f t="shared" si="27"/>
        <v>1109033</v>
      </c>
      <c r="B517" s="26">
        <v>1109</v>
      </c>
      <c r="C517" s="26" t="s">
        <v>328</v>
      </c>
      <c r="D517" s="26" t="s">
        <v>329</v>
      </c>
      <c r="E517" s="22">
        <f t="shared" si="26"/>
        <v>30</v>
      </c>
      <c r="F517" s="26">
        <v>33</v>
      </c>
      <c r="G517" s="26">
        <v>15</v>
      </c>
      <c r="H517" s="26" t="s">
        <v>237</v>
      </c>
      <c r="I517" s="27">
        <v>29700</v>
      </c>
      <c r="J517" s="12">
        <v>3300</v>
      </c>
      <c r="K517" s="12" t="s">
        <v>142</v>
      </c>
      <c r="L517" s="27"/>
      <c r="M517" s="28"/>
      <c r="N517" s="28"/>
      <c r="O517" s="30" t="s">
        <v>234</v>
      </c>
      <c r="P517" s="29">
        <v>128</v>
      </c>
      <c r="Q517" s="32" t="s">
        <v>167</v>
      </c>
    </row>
    <row r="518" s="10" customFormat="1" customHeight="1" spans="1:17">
      <c r="A518" s="26">
        <f t="shared" si="27"/>
        <v>1109034</v>
      </c>
      <c r="B518" s="26">
        <v>1109</v>
      </c>
      <c r="C518" s="26" t="s">
        <v>328</v>
      </c>
      <c r="D518" s="26" t="s">
        <v>329</v>
      </c>
      <c r="E518" s="22">
        <f t="shared" si="26"/>
        <v>31</v>
      </c>
      <c r="F518" s="26">
        <v>34</v>
      </c>
      <c r="G518" s="26">
        <v>15</v>
      </c>
      <c r="H518" s="26" t="s">
        <v>238</v>
      </c>
      <c r="I518" s="27">
        <v>30600</v>
      </c>
      <c r="J518" s="12">
        <v>3400</v>
      </c>
      <c r="K518" s="12" t="s">
        <v>145</v>
      </c>
      <c r="L518" s="27"/>
      <c r="M518" s="28"/>
      <c r="N518" s="28"/>
      <c r="O518" s="30" t="s">
        <v>234</v>
      </c>
      <c r="P518" s="29">
        <v>132</v>
      </c>
      <c r="Q518" s="32" t="s">
        <v>170</v>
      </c>
    </row>
    <row r="519" s="10" customFormat="1" customHeight="1" spans="1:17">
      <c r="A519" s="26">
        <f t="shared" si="27"/>
        <v>1109035</v>
      </c>
      <c r="B519" s="26">
        <v>1109</v>
      </c>
      <c r="C519" s="26" t="s">
        <v>328</v>
      </c>
      <c r="D519" s="26" t="s">
        <v>329</v>
      </c>
      <c r="E519" s="22">
        <f t="shared" si="26"/>
        <v>31</v>
      </c>
      <c r="F519" s="26">
        <v>35</v>
      </c>
      <c r="G519" s="26">
        <v>15</v>
      </c>
      <c r="H519" s="26" t="s">
        <v>239</v>
      </c>
      <c r="I519" s="27">
        <v>31500</v>
      </c>
      <c r="J519" s="12">
        <v>3500</v>
      </c>
      <c r="K519" s="12" t="s">
        <v>148</v>
      </c>
      <c r="L519" s="27"/>
      <c r="M519" s="28"/>
      <c r="N519" s="28"/>
      <c r="O519" s="30" t="s">
        <v>234</v>
      </c>
      <c r="P519" s="29">
        <v>136</v>
      </c>
      <c r="Q519" s="32" t="s">
        <v>173</v>
      </c>
    </row>
    <row r="520" s="10" customFormat="1" customHeight="1" spans="1:17">
      <c r="A520" s="26">
        <f t="shared" si="27"/>
        <v>1109036</v>
      </c>
      <c r="B520" s="26">
        <v>1109</v>
      </c>
      <c r="C520" s="26" t="s">
        <v>328</v>
      </c>
      <c r="D520" s="26" t="s">
        <v>329</v>
      </c>
      <c r="E520" s="22">
        <f t="shared" si="26"/>
        <v>31</v>
      </c>
      <c r="F520" s="26">
        <v>36</v>
      </c>
      <c r="G520" s="26">
        <v>15</v>
      </c>
      <c r="H520" s="26" t="s">
        <v>240</v>
      </c>
      <c r="I520" s="27">
        <v>32400</v>
      </c>
      <c r="J520" s="12">
        <v>3600</v>
      </c>
      <c r="K520" s="12" t="s">
        <v>151</v>
      </c>
      <c r="L520" s="27"/>
      <c r="M520" s="28"/>
      <c r="N520" s="28"/>
      <c r="O520" s="30" t="s">
        <v>234</v>
      </c>
      <c r="P520" s="29">
        <v>140</v>
      </c>
      <c r="Q520" s="32" t="s">
        <v>176</v>
      </c>
    </row>
    <row r="521" s="10" customFormat="1" customHeight="1" spans="1:17">
      <c r="A521" s="26">
        <f t="shared" si="27"/>
        <v>1109037</v>
      </c>
      <c r="B521" s="26">
        <v>1109</v>
      </c>
      <c r="C521" s="26" t="s">
        <v>328</v>
      </c>
      <c r="D521" s="26" t="s">
        <v>329</v>
      </c>
      <c r="E521" s="22">
        <f t="shared" si="26"/>
        <v>32</v>
      </c>
      <c r="F521" s="26">
        <v>37</v>
      </c>
      <c r="G521" s="26">
        <v>15</v>
      </c>
      <c r="H521" s="26" t="s">
        <v>241</v>
      </c>
      <c r="I521" s="27">
        <v>33300</v>
      </c>
      <c r="J521" s="12">
        <v>3700</v>
      </c>
      <c r="K521" s="12" t="s">
        <v>154</v>
      </c>
      <c r="L521" s="27"/>
      <c r="M521" s="28"/>
      <c r="N521" s="28"/>
      <c r="O521" s="30" t="s">
        <v>234</v>
      </c>
      <c r="P521" s="29">
        <v>144</v>
      </c>
      <c r="Q521" s="32" t="s">
        <v>179</v>
      </c>
    </row>
    <row r="522" s="10" customFormat="1" customHeight="1" spans="1:17">
      <c r="A522" s="26">
        <f t="shared" si="27"/>
        <v>1109038</v>
      </c>
      <c r="B522" s="26">
        <v>1109</v>
      </c>
      <c r="C522" s="26" t="s">
        <v>328</v>
      </c>
      <c r="D522" s="26" t="s">
        <v>329</v>
      </c>
      <c r="E522" s="22">
        <f t="shared" si="26"/>
        <v>32</v>
      </c>
      <c r="F522" s="26">
        <v>38</v>
      </c>
      <c r="G522" s="26">
        <v>15</v>
      </c>
      <c r="H522" s="26" t="s">
        <v>242</v>
      </c>
      <c r="I522" s="27">
        <v>34200</v>
      </c>
      <c r="J522" s="12">
        <v>3800</v>
      </c>
      <c r="K522" s="12" t="s">
        <v>157</v>
      </c>
      <c r="L522" s="27"/>
      <c r="M522" s="28"/>
      <c r="N522" s="28"/>
      <c r="O522" s="30" t="s">
        <v>234</v>
      </c>
      <c r="P522" s="29">
        <v>148</v>
      </c>
      <c r="Q522" s="32" t="s">
        <v>182</v>
      </c>
    </row>
    <row r="523" s="10" customFormat="1" customHeight="1" spans="1:17">
      <c r="A523" s="26">
        <f t="shared" si="27"/>
        <v>1109039</v>
      </c>
      <c r="B523" s="26">
        <v>1109</v>
      </c>
      <c r="C523" s="26" t="s">
        <v>328</v>
      </c>
      <c r="D523" s="26" t="s">
        <v>329</v>
      </c>
      <c r="E523" s="22">
        <f t="shared" si="26"/>
        <v>32</v>
      </c>
      <c r="F523" s="26">
        <v>39</v>
      </c>
      <c r="G523" s="26">
        <v>15</v>
      </c>
      <c r="H523" s="26" t="s">
        <v>243</v>
      </c>
      <c r="I523" s="27">
        <v>35100</v>
      </c>
      <c r="J523" s="12">
        <v>3900</v>
      </c>
      <c r="K523" s="12" t="s">
        <v>160</v>
      </c>
      <c r="L523" s="27"/>
      <c r="M523" s="28"/>
      <c r="N523" s="28"/>
      <c r="O523" s="30" t="s">
        <v>234</v>
      </c>
      <c r="P523" s="29">
        <v>152</v>
      </c>
      <c r="Q523" s="32" t="s">
        <v>185</v>
      </c>
    </row>
    <row r="524" s="10" customFormat="1" customHeight="1" spans="1:17">
      <c r="A524" s="26">
        <f t="shared" si="27"/>
        <v>1109040</v>
      </c>
      <c r="B524" s="26">
        <v>1109</v>
      </c>
      <c r="C524" s="26" t="s">
        <v>328</v>
      </c>
      <c r="D524" s="26" t="s">
        <v>329</v>
      </c>
      <c r="E524" s="22">
        <f t="shared" si="26"/>
        <v>33</v>
      </c>
      <c r="F524" s="26">
        <v>40</v>
      </c>
      <c r="G524" s="26">
        <v>15</v>
      </c>
      <c r="H524" s="26" t="s">
        <v>244</v>
      </c>
      <c r="I524" s="27">
        <v>36000</v>
      </c>
      <c r="J524" s="12">
        <v>4000</v>
      </c>
      <c r="K524" s="12" t="s">
        <v>163</v>
      </c>
      <c r="L524" s="27"/>
      <c r="M524" s="28"/>
      <c r="N524" s="28"/>
      <c r="O524" s="30" t="s">
        <v>234</v>
      </c>
      <c r="P524" s="29">
        <v>156</v>
      </c>
      <c r="Q524" s="32" t="s">
        <v>188</v>
      </c>
    </row>
    <row r="525" s="10" customFormat="1" customHeight="1" spans="1:17">
      <c r="A525" s="26">
        <f t="shared" si="27"/>
        <v>1109041</v>
      </c>
      <c r="B525" s="26">
        <v>1109</v>
      </c>
      <c r="C525" s="26" t="s">
        <v>328</v>
      </c>
      <c r="D525" s="26" t="s">
        <v>329</v>
      </c>
      <c r="E525" s="22">
        <f t="shared" si="26"/>
        <v>33</v>
      </c>
      <c r="F525" s="26">
        <v>41</v>
      </c>
      <c r="G525" s="26">
        <v>15</v>
      </c>
      <c r="H525" s="26" t="s">
        <v>245</v>
      </c>
      <c r="I525" s="27">
        <v>36900</v>
      </c>
      <c r="J525" s="12">
        <v>4100</v>
      </c>
      <c r="K525" s="12" t="s">
        <v>166</v>
      </c>
      <c r="L525" s="27"/>
      <c r="M525" s="28"/>
      <c r="N525" s="28"/>
      <c r="O525" s="30" t="s">
        <v>234</v>
      </c>
      <c r="P525" s="29">
        <v>160</v>
      </c>
      <c r="Q525" s="32" t="s">
        <v>191</v>
      </c>
    </row>
    <row r="526" s="10" customFormat="1" customHeight="1" spans="1:17">
      <c r="A526" s="26">
        <f t="shared" si="27"/>
        <v>1109042</v>
      </c>
      <c r="B526" s="26">
        <v>1109</v>
      </c>
      <c r="C526" s="26" t="s">
        <v>328</v>
      </c>
      <c r="D526" s="26" t="s">
        <v>329</v>
      </c>
      <c r="E526" s="22">
        <f t="shared" si="26"/>
        <v>33</v>
      </c>
      <c r="F526" s="26">
        <v>42</v>
      </c>
      <c r="G526" s="26">
        <v>15</v>
      </c>
      <c r="H526" s="26" t="s">
        <v>246</v>
      </c>
      <c r="I526" s="27">
        <v>37800</v>
      </c>
      <c r="J526" s="12">
        <v>4200</v>
      </c>
      <c r="K526" s="12" t="s">
        <v>169</v>
      </c>
      <c r="L526" s="27"/>
      <c r="M526" s="28"/>
      <c r="N526" s="28"/>
      <c r="O526" s="30" t="s">
        <v>234</v>
      </c>
      <c r="P526" s="29">
        <v>164</v>
      </c>
      <c r="Q526" s="32" t="s">
        <v>194</v>
      </c>
    </row>
    <row r="527" s="10" customFormat="1" customHeight="1" spans="1:17">
      <c r="A527" s="26">
        <f t="shared" ref="A527:A554" si="28">B527*1000+F527</f>
        <v>1109043</v>
      </c>
      <c r="B527" s="26">
        <v>1109</v>
      </c>
      <c r="C527" s="26" t="s">
        <v>328</v>
      </c>
      <c r="D527" s="26" t="s">
        <v>329</v>
      </c>
      <c r="E527" s="22">
        <f t="shared" si="26"/>
        <v>34</v>
      </c>
      <c r="F527" s="26">
        <v>43</v>
      </c>
      <c r="G527" s="26">
        <v>15</v>
      </c>
      <c r="H527" s="26" t="s">
        <v>247</v>
      </c>
      <c r="I527" s="27">
        <v>38700</v>
      </c>
      <c r="J527" s="12">
        <v>4300</v>
      </c>
      <c r="K527" s="12" t="s">
        <v>172</v>
      </c>
      <c r="L527" s="27"/>
      <c r="M527" s="28"/>
      <c r="N527" s="28"/>
      <c r="O527" s="3" t="s">
        <v>234</v>
      </c>
      <c r="P527" s="29">
        <v>168</v>
      </c>
      <c r="Q527" s="32" t="s">
        <v>197</v>
      </c>
    </row>
    <row r="528" s="10" customFormat="1" customHeight="1" spans="1:17">
      <c r="A528" s="26">
        <f t="shared" si="28"/>
        <v>1109044</v>
      </c>
      <c r="B528" s="26">
        <v>1109</v>
      </c>
      <c r="C528" s="26" t="s">
        <v>328</v>
      </c>
      <c r="D528" s="26" t="s">
        <v>329</v>
      </c>
      <c r="E528" s="22">
        <f t="shared" si="26"/>
        <v>34</v>
      </c>
      <c r="F528" s="26">
        <v>44</v>
      </c>
      <c r="G528" s="26">
        <v>15</v>
      </c>
      <c r="H528" s="26" t="s">
        <v>248</v>
      </c>
      <c r="I528" s="27">
        <v>39600</v>
      </c>
      <c r="J528" s="12">
        <v>4400</v>
      </c>
      <c r="K528" s="12" t="s">
        <v>175</v>
      </c>
      <c r="L528" s="27"/>
      <c r="M528" s="28"/>
      <c r="N528" s="28"/>
      <c r="O528" s="3" t="s">
        <v>234</v>
      </c>
      <c r="P528" s="29">
        <v>172</v>
      </c>
      <c r="Q528" s="32" t="s">
        <v>200</v>
      </c>
    </row>
    <row r="529" s="10" customFormat="1" customHeight="1" spans="1:17">
      <c r="A529" s="26">
        <f t="shared" si="28"/>
        <v>1109045</v>
      </c>
      <c r="B529" s="26">
        <v>1109</v>
      </c>
      <c r="C529" s="26" t="s">
        <v>328</v>
      </c>
      <c r="D529" s="26" t="s">
        <v>329</v>
      </c>
      <c r="E529" s="22">
        <f t="shared" si="26"/>
        <v>34</v>
      </c>
      <c r="F529" s="26">
        <v>45</v>
      </c>
      <c r="G529" s="26">
        <v>15</v>
      </c>
      <c r="H529" s="26" t="s">
        <v>249</v>
      </c>
      <c r="I529" s="27">
        <v>40500</v>
      </c>
      <c r="J529" s="12">
        <v>4500</v>
      </c>
      <c r="K529" s="12" t="s">
        <v>178</v>
      </c>
      <c r="L529" s="27"/>
      <c r="M529" s="28"/>
      <c r="N529" s="28"/>
      <c r="O529" s="3" t="s">
        <v>234</v>
      </c>
      <c r="P529" s="29">
        <v>176</v>
      </c>
      <c r="Q529" s="32" t="s">
        <v>203</v>
      </c>
    </row>
    <row r="530" s="10" customFormat="1" customHeight="1" spans="1:17">
      <c r="A530" s="26">
        <f t="shared" si="28"/>
        <v>1109046</v>
      </c>
      <c r="B530" s="26">
        <v>1109</v>
      </c>
      <c r="C530" s="26" t="s">
        <v>328</v>
      </c>
      <c r="D530" s="26" t="s">
        <v>329</v>
      </c>
      <c r="E530" s="22">
        <f t="shared" si="26"/>
        <v>35</v>
      </c>
      <c r="F530" s="26">
        <v>46</v>
      </c>
      <c r="G530" s="26">
        <v>15</v>
      </c>
      <c r="H530" s="26" t="s">
        <v>250</v>
      </c>
      <c r="I530" s="27">
        <v>41400</v>
      </c>
      <c r="J530" s="12">
        <v>4600</v>
      </c>
      <c r="K530" s="12" t="s">
        <v>181</v>
      </c>
      <c r="L530" s="27"/>
      <c r="M530" s="28"/>
      <c r="N530" s="28"/>
      <c r="O530" s="3" t="s">
        <v>234</v>
      </c>
      <c r="P530" s="29">
        <v>180</v>
      </c>
      <c r="Q530" s="32" t="s">
        <v>206</v>
      </c>
    </row>
    <row r="531" s="10" customFormat="1" customHeight="1" spans="1:17">
      <c r="A531" s="26">
        <f t="shared" si="28"/>
        <v>1109047</v>
      </c>
      <c r="B531" s="26">
        <v>1109</v>
      </c>
      <c r="C531" s="26" t="s">
        <v>328</v>
      </c>
      <c r="D531" s="26" t="s">
        <v>329</v>
      </c>
      <c r="E531" s="22">
        <f t="shared" si="26"/>
        <v>35</v>
      </c>
      <c r="F531" s="26">
        <v>47</v>
      </c>
      <c r="G531" s="26">
        <v>15</v>
      </c>
      <c r="H531" s="26" t="s">
        <v>251</v>
      </c>
      <c r="I531" s="27">
        <v>42300</v>
      </c>
      <c r="J531" s="12">
        <v>4700</v>
      </c>
      <c r="K531" s="12" t="s">
        <v>184</v>
      </c>
      <c r="L531" s="27"/>
      <c r="M531" s="28"/>
      <c r="N531" s="28"/>
      <c r="O531" s="3" t="s">
        <v>234</v>
      </c>
      <c r="P531" s="29">
        <v>184</v>
      </c>
      <c r="Q531" s="32" t="s">
        <v>209</v>
      </c>
    </row>
    <row r="532" s="10" customFormat="1" customHeight="1" spans="1:17">
      <c r="A532" s="26">
        <f t="shared" si="28"/>
        <v>1109048</v>
      </c>
      <c r="B532" s="26">
        <v>1109</v>
      </c>
      <c r="C532" s="26" t="s">
        <v>328</v>
      </c>
      <c r="D532" s="26" t="s">
        <v>329</v>
      </c>
      <c r="E532" s="22">
        <f t="shared" si="26"/>
        <v>35</v>
      </c>
      <c r="F532" s="26">
        <v>48</v>
      </c>
      <c r="G532" s="26">
        <v>15</v>
      </c>
      <c r="H532" s="26" t="s">
        <v>252</v>
      </c>
      <c r="I532" s="27">
        <v>43200</v>
      </c>
      <c r="J532" s="12">
        <v>4800</v>
      </c>
      <c r="K532" s="12" t="s">
        <v>187</v>
      </c>
      <c r="L532" s="27"/>
      <c r="M532" s="28"/>
      <c r="N532" s="28"/>
      <c r="O532" s="3" t="s">
        <v>234</v>
      </c>
      <c r="P532" s="29">
        <v>188</v>
      </c>
      <c r="Q532" s="32" t="s">
        <v>212</v>
      </c>
    </row>
    <row r="533" s="10" customFormat="1" customHeight="1" spans="1:17">
      <c r="A533" s="26">
        <f t="shared" si="28"/>
        <v>1109049</v>
      </c>
      <c r="B533" s="26">
        <v>1109</v>
      </c>
      <c r="C533" s="26" t="s">
        <v>328</v>
      </c>
      <c r="D533" s="26" t="s">
        <v>329</v>
      </c>
      <c r="E533" s="22">
        <f t="shared" si="26"/>
        <v>36</v>
      </c>
      <c r="F533" s="26">
        <v>49</v>
      </c>
      <c r="G533" s="26">
        <v>15</v>
      </c>
      <c r="H533" s="26" t="s">
        <v>253</v>
      </c>
      <c r="I533" s="27">
        <v>44100</v>
      </c>
      <c r="J533" s="12">
        <v>4900</v>
      </c>
      <c r="K533" s="12" t="s">
        <v>190</v>
      </c>
      <c r="L533" s="27"/>
      <c r="M533" s="28"/>
      <c r="N533" s="28"/>
      <c r="O533" s="3" t="s">
        <v>234</v>
      </c>
      <c r="P533" s="29">
        <v>192</v>
      </c>
      <c r="Q533" s="32" t="s">
        <v>215</v>
      </c>
    </row>
    <row r="534" s="10" customFormat="1" customHeight="1" spans="1:17">
      <c r="A534" s="26">
        <f t="shared" si="28"/>
        <v>1109050</v>
      </c>
      <c r="B534" s="26">
        <v>1109</v>
      </c>
      <c r="C534" s="26" t="s">
        <v>328</v>
      </c>
      <c r="D534" s="26" t="s">
        <v>329</v>
      </c>
      <c r="E534" s="22">
        <f t="shared" si="26"/>
        <v>36</v>
      </c>
      <c r="F534" s="26">
        <v>50</v>
      </c>
      <c r="G534" s="26">
        <v>15</v>
      </c>
      <c r="H534" s="26" t="s">
        <v>254</v>
      </c>
      <c r="I534" s="27">
        <v>45000</v>
      </c>
      <c r="J534" s="12">
        <v>5000</v>
      </c>
      <c r="K534" s="12" t="s">
        <v>193</v>
      </c>
      <c r="L534" s="27"/>
      <c r="M534" s="28"/>
      <c r="N534" s="28"/>
      <c r="O534" s="3" t="s">
        <v>234</v>
      </c>
      <c r="P534" s="29">
        <v>196</v>
      </c>
      <c r="Q534" s="32" t="s">
        <v>218</v>
      </c>
    </row>
    <row r="535" s="10" customFormat="1" customHeight="1" spans="1:17">
      <c r="A535" s="26">
        <f t="shared" si="28"/>
        <v>1109051</v>
      </c>
      <c r="B535" s="26">
        <v>1109</v>
      </c>
      <c r="C535" s="26" t="s">
        <v>328</v>
      </c>
      <c r="D535" s="26" t="s">
        <v>329</v>
      </c>
      <c r="E535" s="22">
        <f t="shared" si="26"/>
        <v>36</v>
      </c>
      <c r="F535" s="26">
        <v>51</v>
      </c>
      <c r="G535" s="26">
        <v>15</v>
      </c>
      <c r="H535" s="26" t="s">
        <v>255</v>
      </c>
      <c r="I535" s="27">
        <v>45900</v>
      </c>
      <c r="J535" s="12">
        <v>5100</v>
      </c>
      <c r="K535" s="12" t="s">
        <v>196</v>
      </c>
      <c r="L535" s="27"/>
      <c r="M535" s="28"/>
      <c r="N535" s="28"/>
      <c r="O535" s="3" t="s">
        <v>234</v>
      </c>
      <c r="P535" s="29">
        <v>200</v>
      </c>
      <c r="Q535" s="32" t="s">
        <v>221</v>
      </c>
    </row>
    <row r="536" s="10" customFormat="1" customHeight="1" spans="1:17">
      <c r="A536" s="26">
        <f t="shared" si="28"/>
        <v>1109052</v>
      </c>
      <c r="B536" s="26">
        <v>1109</v>
      </c>
      <c r="C536" s="26" t="s">
        <v>328</v>
      </c>
      <c r="D536" s="26" t="s">
        <v>329</v>
      </c>
      <c r="E536" s="22">
        <f t="shared" si="26"/>
        <v>37</v>
      </c>
      <c r="F536" s="26">
        <v>52</v>
      </c>
      <c r="G536" s="26">
        <v>15</v>
      </c>
      <c r="H536" s="26" t="s">
        <v>256</v>
      </c>
      <c r="I536" s="27">
        <v>46800</v>
      </c>
      <c r="J536" s="12">
        <v>5200</v>
      </c>
      <c r="K536" s="12" t="s">
        <v>199</v>
      </c>
      <c r="L536" s="27"/>
      <c r="M536" s="28"/>
      <c r="N536" s="28"/>
      <c r="O536" s="3" t="s">
        <v>234</v>
      </c>
      <c r="P536" s="29">
        <v>204</v>
      </c>
      <c r="Q536" s="32" t="s">
        <v>224</v>
      </c>
    </row>
    <row r="537" s="10" customFormat="1" customHeight="1" spans="1:17">
      <c r="A537" s="26">
        <f t="shared" si="28"/>
        <v>1109053</v>
      </c>
      <c r="B537" s="26">
        <v>1109</v>
      </c>
      <c r="C537" s="26" t="s">
        <v>328</v>
      </c>
      <c r="D537" s="26" t="s">
        <v>329</v>
      </c>
      <c r="E537" s="22">
        <f t="shared" si="26"/>
        <v>37</v>
      </c>
      <c r="F537" s="26">
        <v>53</v>
      </c>
      <c r="G537" s="26">
        <v>15</v>
      </c>
      <c r="H537" s="26" t="s">
        <v>257</v>
      </c>
      <c r="I537" s="27">
        <v>47700</v>
      </c>
      <c r="J537" s="12">
        <v>5300</v>
      </c>
      <c r="K537" s="12" t="s">
        <v>202</v>
      </c>
      <c r="L537" s="27"/>
      <c r="M537" s="28"/>
      <c r="N537" s="28"/>
      <c r="O537" s="3" t="s">
        <v>234</v>
      </c>
      <c r="P537" s="29">
        <v>208</v>
      </c>
      <c r="Q537" s="32" t="s">
        <v>265</v>
      </c>
    </row>
    <row r="538" s="10" customFormat="1" customHeight="1" spans="1:17">
      <c r="A538" s="26">
        <f t="shared" si="28"/>
        <v>1109054</v>
      </c>
      <c r="B538" s="26">
        <v>1109</v>
      </c>
      <c r="C538" s="26" t="s">
        <v>328</v>
      </c>
      <c r="D538" s="26" t="s">
        <v>329</v>
      </c>
      <c r="E538" s="22">
        <f t="shared" si="26"/>
        <v>37</v>
      </c>
      <c r="F538" s="26">
        <v>54</v>
      </c>
      <c r="G538" s="26">
        <v>15</v>
      </c>
      <c r="H538" s="26" t="s">
        <v>258</v>
      </c>
      <c r="I538" s="27">
        <v>48600</v>
      </c>
      <c r="J538" s="12">
        <v>5400</v>
      </c>
      <c r="K538" s="12" t="s">
        <v>205</v>
      </c>
      <c r="L538" s="27"/>
      <c r="M538" s="28"/>
      <c r="N538" s="28"/>
      <c r="O538" s="3" t="s">
        <v>234</v>
      </c>
      <c r="P538" s="29">
        <v>212</v>
      </c>
      <c r="Q538" s="32" t="s">
        <v>275</v>
      </c>
    </row>
    <row r="539" s="10" customFormat="1" customHeight="1" spans="1:17">
      <c r="A539" s="26">
        <f t="shared" si="28"/>
        <v>1109055</v>
      </c>
      <c r="B539" s="26">
        <v>1109</v>
      </c>
      <c r="C539" s="26" t="s">
        <v>328</v>
      </c>
      <c r="D539" s="26" t="s">
        <v>329</v>
      </c>
      <c r="E539" s="22">
        <f t="shared" si="26"/>
        <v>38</v>
      </c>
      <c r="F539" s="26">
        <v>55</v>
      </c>
      <c r="G539" s="26">
        <v>15</v>
      </c>
      <c r="H539" s="26" t="s">
        <v>259</v>
      </c>
      <c r="I539" s="27">
        <v>49500</v>
      </c>
      <c r="J539" s="12">
        <v>5500</v>
      </c>
      <c r="K539" s="12" t="s">
        <v>208</v>
      </c>
      <c r="L539" s="27"/>
      <c r="M539" s="28"/>
      <c r="N539" s="28"/>
      <c r="O539" s="3" t="s">
        <v>234</v>
      </c>
      <c r="P539" s="29">
        <v>216</v>
      </c>
      <c r="Q539" s="32" t="s">
        <v>276</v>
      </c>
    </row>
    <row r="540" s="10" customFormat="1" customHeight="1" spans="1:17">
      <c r="A540" s="26">
        <f t="shared" si="28"/>
        <v>1109056</v>
      </c>
      <c r="B540" s="26">
        <v>1109</v>
      </c>
      <c r="C540" s="26" t="s">
        <v>328</v>
      </c>
      <c r="D540" s="26" t="s">
        <v>329</v>
      </c>
      <c r="E540" s="22">
        <f t="shared" si="26"/>
        <v>38</v>
      </c>
      <c r="F540" s="26">
        <v>56</v>
      </c>
      <c r="G540" s="26">
        <v>15</v>
      </c>
      <c r="H540" s="26" t="s">
        <v>260</v>
      </c>
      <c r="I540" s="27">
        <v>50400</v>
      </c>
      <c r="J540" s="12">
        <v>5600</v>
      </c>
      <c r="K540" s="12" t="s">
        <v>211</v>
      </c>
      <c r="L540" s="27"/>
      <c r="M540" s="28"/>
      <c r="N540" s="28"/>
      <c r="O540" s="3" t="s">
        <v>234</v>
      </c>
      <c r="P540" s="29">
        <v>220</v>
      </c>
      <c r="Q540" s="32" t="s">
        <v>277</v>
      </c>
    </row>
    <row r="541" s="10" customFormat="1" customHeight="1" spans="1:17">
      <c r="A541" s="26">
        <f t="shared" si="28"/>
        <v>1109057</v>
      </c>
      <c r="B541" s="26">
        <v>1109</v>
      </c>
      <c r="C541" s="26" t="s">
        <v>328</v>
      </c>
      <c r="D541" s="26" t="s">
        <v>329</v>
      </c>
      <c r="E541" s="22">
        <f t="shared" si="26"/>
        <v>38</v>
      </c>
      <c r="F541" s="26">
        <v>57</v>
      </c>
      <c r="G541" s="26">
        <v>15</v>
      </c>
      <c r="H541" s="26" t="s">
        <v>261</v>
      </c>
      <c r="I541" s="27">
        <v>51300</v>
      </c>
      <c r="J541" s="12">
        <v>5700</v>
      </c>
      <c r="K541" s="12" t="s">
        <v>214</v>
      </c>
      <c r="L541" s="27"/>
      <c r="M541" s="28"/>
      <c r="N541" s="28"/>
      <c r="O541" s="3" t="s">
        <v>234</v>
      </c>
      <c r="P541" s="29">
        <v>224</v>
      </c>
      <c r="Q541" s="32" t="s">
        <v>278</v>
      </c>
    </row>
    <row r="542" s="10" customFormat="1" customHeight="1" spans="1:17">
      <c r="A542" s="26">
        <f t="shared" si="28"/>
        <v>1109058</v>
      </c>
      <c r="B542" s="26">
        <v>1109</v>
      </c>
      <c r="C542" s="26" t="s">
        <v>328</v>
      </c>
      <c r="D542" s="26" t="s">
        <v>329</v>
      </c>
      <c r="E542" s="22">
        <f t="shared" si="26"/>
        <v>39</v>
      </c>
      <c r="F542" s="26">
        <v>58</v>
      </c>
      <c r="G542" s="26">
        <v>15</v>
      </c>
      <c r="H542" s="26" t="s">
        <v>262</v>
      </c>
      <c r="I542" s="27">
        <v>52200</v>
      </c>
      <c r="J542" s="12">
        <v>5800</v>
      </c>
      <c r="K542" s="12" t="s">
        <v>217</v>
      </c>
      <c r="L542" s="27"/>
      <c r="M542" s="28"/>
      <c r="N542" s="28"/>
      <c r="O542" s="3" t="s">
        <v>234</v>
      </c>
      <c r="P542" s="29">
        <v>228</v>
      </c>
      <c r="Q542" s="32" t="s">
        <v>279</v>
      </c>
    </row>
    <row r="543" s="10" customFormat="1" customHeight="1" spans="1:17">
      <c r="A543" s="26">
        <f t="shared" si="28"/>
        <v>1109059</v>
      </c>
      <c r="B543" s="26">
        <v>1109</v>
      </c>
      <c r="C543" s="26" t="s">
        <v>328</v>
      </c>
      <c r="D543" s="26" t="s">
        <v>329</v>
      </c>
      <c r="E543" s="22">
        <f t="shared" si="26"/>
        <v>39</v>
      </c>
      <c r="F543" s="26">
        <v>59</v>
      </c>
      <c r="G543" s="26">
        <v>15</v>
      </c>
      <c r="H543" s="26" t="s">
        <v>263</v>
      </c>
      <c r="I543" s="27">
        <v>53100</v>
      </c>
      <c r="J543" s="12">
        <v>5900</v>
      </c>
      <c r="K543" s="12" t="s">
        <v>220</v>
      </c>
      <c r="L543" s="27"/>
      <c r="M543" s="28"/>
      <c r="N543" s="28"/>
      <c r="O543" s="3" t="s">
        <v>234</v>
      </c>
      <c r="P543" s="29">
        <v>232</v>
      </c>
      <c r="Q543" s="32" t="s">
        <v>280</v>
      </c>
    </row>
    <row r="544" s="10" customFormat="1" customHeight="1" spans="1:17">
      <c r="A544" s="26">
        <f t="shared" si="28"/>
        <v>1109060</v>
      </c>
      <c r="B544" s="26">
        <v>1109</v>
      </c>
      <c r="C544" s="26" t="s">
        <v>328</v>
      </c>
      <c r="D544" s="26" t="s">
        <v>329</v>
      </c>
      <c r="E544" s="22">
        <v>9999</v>
      </c>
      <c r="F544" s="26">
        <v>60</v>
      </c>
      <c r="G544" s="26">
        <v>15</v>
      </c>
      <c r="H544" s="26" t="s">
        <v>264</v>
      </c>
      <c r="I544" s="27">
        <v>54000</v>
      </c>
      <c r="J544" s="12">
        <v>6000</v>
      </c>
      <c r="K544" s="12" t="s">
        <v>223</v>
      </c>
      <c r="L544" s="27"/>
      <c r="M544" s="28"/>
      <c r="N544" s="28"/>
      <c r="O544" s="3" t="s">
        <v>234</v>
      </c>
      <c r="P544" s="29"/>
      <c r="Q544" s="32" t="s">
        <v>326</v>
      </c>
    </row>
    <row r="545" customHeight="1" spans="1:17">
      <c r="A545" s="22">
        <f t="shared" si="28"/>
        <v>1110001</v>
      </c>
      <c r="B545" s="22">
        <v>1110</v>
      </c>
      <c r="C545" s="22" t="s">
        <v>337</v>
      </c>
      <c r="D545" s="22" t="s">
        <v>338</v>
      </c>
      <c r="E545" s="22">
        <v>7</v>
      </c>
      <c r="F545" s="22">
        <v>1</v>
      </c>
      <c r="G545" s="22">
        <v>11</v>
      </c>
      <c r="H545" s="22" t="s">
        <v>38</v>
      </c>
      <c r="I545" s="12">
        <v>300</v>
      </c>
      <c r="J545" s="12">
        <v>100</v>
      </c>
      <c r="K545" s="12" t="s">
        <v>39</v>
      </c>
      <c r="L545" s="12"/>
      <c r="M545" s="2" t="s">
        <v>339</v>
      </c>
      <c r="N545" s="2" t="s">
        <v>340</v>
      </c>
      <c r="O545" s="2" t="s">
        <v>341</v>
      </c>
      <c r="P545" s="24">
        <v>1</v>
      </c>
      <c r="Q545" s="25" t="s">
        <v>53</v>
      </c>
    </row>
    <row r="546" customHeight="1" spans="1:17">
      <c r="A546" s="22">
        <f t="shared" si="28"/>
        <v>1110002</v>
      </c>
      <c r="B546" s="22">
        <v>1110</v>
      </c>
      <c r="C546" s="22" t="s">
        <v>337</v>
      </c>
      <c r="D546" s="22" t="s">
        <v>338</v>
      </c>
      <c r="E546" s="22">
        <v>7</v>
      </c>
      <c r="F546" s="22">
        <v>2</v>
      </c>
      <c r="G546" s="22">
        <v>14</v>
      </c>
      <c r="H546" s="22" t="s">
        <v>49</v>
      </c>
      <c r="I546" s="12">
        <v>600</v>
      </c>
      <c r="J546" s="12">
        <v>200</v>
      </c>
      <c r="K546" s="12" t="s">
        <v>45</v>
      </c>
      <c r="L546" s="12"/>
      <c r="M546" s="2" t="s">
        <v>342</v>
      </c>
      <c r="N546" s="2" t="s">
        <v>343</v>
      </c>
      <c r="O546" s="2">
        <v>1110255</v>
      </c>
      <c r="P546" s="24">
        <v>2</v>
      </c>
      <c r="Q546" s="25" t="s">
        <v>56</v>
      </c>
    </row>
    <row r="547" customHeight="1" spans="1:17">
      <c r="A547" s="22">
        <f t="shared" si="28"/>
        <v>1110003</v>
      </c>
      <c r="B547" s="22">
        <v>1110</v>
      </c>
      <c r="C547" s="22" t="s">
        <v>337</v>
      </c>
      <c r="D547" s="22" t="s">
        <v>338</v>
      </c>
      <c r="E547" s="22">
        <v>7</v>
      </c>
      <c r="F547" s="22">
        <v>3</v>
      </c>
      <c r="G547" s="22">
        <v>17</v>
      </c>
      <c r="H547" s="22" t="s">
        <v>57</v>
      </c>
      <c r="I547" s="12">
        <v>900</v>
      </c>
      <c r="J547" s="12">
        <v>300</v>
      </c>
      <c r="K547" s="12" t="s">
        <v>50</v>
      </c>
      <c r="L547" s="12"/>
      <c r="M547" s="2" t="s">
        <v>344</v>
      </c>
      <c r="N547" s="2" t="s">
        <v>345</v>
      </c>
      <c r="O547" s="2">
        <v>1110263</v>
      </c>
      <c r="P547" s="24">
        <v>4</v>
      </c>
      <c r="Q547" s="25" t="s">
        <v>59</v>
      </c>
    </row>
    <row r="548" customHeight="1" spans="1:17">
      <c r="A548" s="22">
        <f t="shared" si="28"/>
        <v>1110004</v>
      </c>
      <c r="B548" s="22">
        <v>1110</v>
      </c>
      <c r="C548" s="22" t="s">
        <v>337</v>
      </c>
      <c r="D548" s="22" t="s">
        <v>338</v>
      </c>
      <c r="E548" s="22">
        <v>8</v>
      </c>
      <c r="F548" s="22">
        <v>4</v>
      </c>
      <c r="G548" s="22">
        <v>17</v>
      </c>
      <c r="H548" s="22" t="s">
        <v>63</v>
      </c>
      <c r="I548" s="12">
        <v>1200</v>
      </c>
      <c r="J548" s="12">
        <v>400</v>
      </c>
      <c r="K548" s="12" t="s">
        <v>55</v>
      </c>
      <c r="L548" s="12"/>
      <c r="O548" s="2">
        <v>1110257</v>
      </c>
      <c r="P548" s="24">
        <v>6</v>
      </c>
      <c r="Q548" s="25" t="s">
        <v>62</v>
      </c>
    </row>
    <row r="549" customHeight="1" spans="1:17">
      <c r="A549" s="22">
        <f t="shared" si="28"/>
        <v>1110005</v>
      </c>
      <c r="B549" s="22">
        <v>1110</v>
      </c>
      <c r="C549" s="22" t="s">
        <v>337</v>
      </c>
      <c r="D549" s="22" t="s">
        <v>338</v>
      </c>
      <c r="E549" s="22">
        <v>8</v>
      </c>
      <c r="F549" s="22">
        <v>5</v>
      </c>
      <c r="G549" s="22">
        <v>17</v>
      </c>
      <c r="H549" s="22" t="s">
        <v>69</v>
      </c>
      <c r="I549" s="12">
        <v>1500</v>
      </c>
      <c r="J549" s="12">
        <v>500</v>
      </c>
      <c r="K549" s="12" t="s">
        <v>58</v>
      </c>
      <c r="L549" s="12"/>
      <c r="O549" s="2">
        <v>1110252</v>
      </c>
      <c r="P549" s="24">
        <v>8</v>
      </c>
      <c r="Q549" s="25" t="s">
        <v>65</v>
      </c>
    </row>
    <row r="550" customHeight="1" spans="1:17">
      <c r="A550" s="22">
        <f t="shared" si="28"/>
        <v>1110006</v>
      </c>
      <c r="B550" s="22">
        <v>1110</v>
      </c>
      <c r="C550" s="22" t="s">
        <v>337</v>
      </c>
      <c r="D550" s="22" t="s">
        <v>338</v>
      </c>
      <c r="E550" s="22">
        <v>8</v>
      </c>
      <c r="F550" s="22">
        <v>6</v>
      </c>
      <c r="G550" s="22">
        <v>17</v>
      </c>
      <c r="H550" s="22" t="s">
        <v>75</v>
      </c>
      <c r="I550" s="12">
        <v>1800</v>
      </c>
      <c r="J550" s="12">
        <v>600</v>
      </c>
      <c r="K550" s="12" t="s">
        <v>61</v>
      </c>
      <c r="L550" s="12"/>
      <c r="O550" s="2">
        <v>1110262</v>
      </c>
      <c r="P550" s="24">
        <v>10</v>
      </c>
      <c r="Q550" s="25" t="s">
        <v>68</v>
      </c>
    </row>
    <row r="551" customHeight="1" spans="1:17">
      <c r="A551" s="22">
        <f t="shared" si="28"/>
        <v>1110007</v>
      </c>
      <c r="B551" s="22">
        <v>1110</v>
      </c>
      <c r="C551" s="22" t="s">
        <v>337</v>
      </c>
      <c r="D551" s="22" t="s">
        <v>338</v>
      </c>
      <c r="E551" s="22">
        <f t="shared" ref="E551:E604" si="29">E548+1</f>
        <v>9</v>
      </c>
      <c r="F551" s="22">
        <v>7</v>
      </c>
      <c r="G551" s="22">
        <v>17</v>
      </c>
      <c r="H551" s="22" t="s">
        <v>81</v>
      </c>
      <c r="I551" s="12">
        <v>2100</v>
      </c>
      <c r="J551" s="12">
        <v>700</v>
      </c>
      <c r="K551" s="12" t="s">
        <v>64</v>
      </c>
      <c r="L551" s="12"/>
      <c r="O551" s="2">
        <v>1110260</v>
      </c>
      <c r="P551" s="24">
        <v>12</v>
      </c>
      <c r="Q551" s="25" t="s">
        <v>71</v>
      </c>
    </row>
    <row r="552" customHeight="1" spans="1:17">
      <c r="A552" s="22">
        <f t="shared" si="28"/>
        <v>1110008</v>
      </c>
      <c r="B552" s="22">
        <v>1110</v>
      </c>
      <c r="C552" s="22" t="s">
        <v>337</v>
      </c>
      <c r="D552" s="22" t="s">
        <v>338</v>
      </c>
      <c r="E552" s="22">
        <f t="shared" si="29"/>
        <v>9</v>
      </c>
      <c r="F552" s="22">
        <v>8</v>
      </c>
      <c r="G552" s="22">
        <v>17</v>
      </c>
      <c r="H552" s="22" t="s">
        <v>87</v>
      </c>
      <c r="I552" s="12">
        <v>2400</v>
      </c>
      <c r="J552" s="12">
        <v>800</v>
      </c>
      <c r="K552" s="12" t="s">
        <v>67</v>
      </c>
      <c r="L552" s="12"/>
      <c r="O552" s="2">
        <v>1110254</v>
      </c>
      <c r="P552" s="24">
        <v>14</v>
      </c>
      <c r="Q552" s="25" t="s">
        <v>74</v>
      </c>
    </row>
    <row r="553" customHeight="1" spans="1:17">
      <c r="A553" s="22">
        <f t="shared" si="28"/>
        <v>1110009</v>
      </c>
      <c r="B553" s="22">
        <v>1110</v>
      </c>
      <c r="C553" s="22" t="s">
        <v>337</v>
      </c>
      <c r="D553" s="22" t="s">
        <v>338</v>
      </c>
      <c r="E553" s="22">
        <f t="shared" si="29"/>
        <v>9</v>
      </c>
      <c r="F553" s="22">
        <v>9</v>
      </c>
      <c r="G553" s="22">
        <v>17</v>
      </c>
      <c r="H553" s="22" t="s">
        <v>93</v>
      </c>
      <c r="I553" s="12">
        <v>2700</v>
      </c>
      <c r="J553" s="12">
        <v>900</v>
      </c>
      <c r="K553" s="12" t="s">
        <v>70</v>
      </c>
      <c r="L553" s="12"/>
      <c r="O553" s="2">
        <v>1110256</v>
      </c>
      <c r="P553" s="24">
        <v>16</v>
      </c>
      <c r="Q553" s="25" t="s">
        <v>77</v>
      </c>
    </row>
    <row r="554" customHeight="1" spans="1:17">
      <c r="A554" s="22">
        <f t="shared" si="28"/>
        <v>1110010</v>
      </c>
      <c r="B554" s="22">
        <v>1110</v>
      </c>
      <c r="C554" s="22" t="s">
        <v>337</v>
      </c>
      <c r="D554" s="22" t="s">
        <v>338</v>
      </c>
      <c r="E554" s="22">
        <f t="shared" si="29"/>
        <v>10</v>
      </c>
      <c r="F554" s="22">
        <v>10</v>
      </c>
      <c r="G554" s="22">
        <v>17</v>
      </c>
      <c r="H554" s="22" t="s">
        <v>99</v>
      </c>
      <c r="I554" s="12">
        <v>3000</v>
      </c>
      <c r="J554" s="12">
        <v>1000</v>
      </c>
      <c r="K554" s="12" t="s">
        <v>73</v>
      </c>
      <c r="L554" s="12"/>
      <c r="O554" s="2">
        <v>1110258</v>
      </c>
      <c r="P554" s="24">
        <v>18</v>
      </c>
      <c r="Q554" s="25" t="s">
        <v>80</v>
      </c>
    </row>
    <row r="555" customHeight="1" spans="1:17">
      <c r="A555" s="22">
        <f t="shared" ref="A555:A586" si="30">B555*1000+F555</f>
        <v>1110011</v>
      </c>
      <c r="B555" s="22">
        <v>1110</v>
      </c>
      <c r="C555" s="22" t="s">
        <v>337</v>
      </c>
      <c r="D555" s="22" t="s">
        <v>338</v>
      </c>
      <c r="E555" s="22">
        <f t="shared" si="29"/>
        <v>10</v>
      </c>
      <c r="F555" s="22">
        <v>11</v>
      </c>
      <c r="G555" s="22">
        <v>17</v>
      </c>
      <c r="H555" s="22" t="s">
        <v>105</v>
      </c>
      <c r="I555" s="12">
        <v>3300</v>
      </c>
      <c r="J555" s="12">
        <v>1100</v>
      </c>
      <c r="K555" s="12" t="s">
        <v>76</v>
      </c>
      <c r="L555" s="12"/>
      <c r="O555" s="2">
        <v>1110270</v>
      </c>
      <c r="P555" s="24">
        <v>20</v>
      </c>
      <c r="Q555" s="25" t="s">
        <v>83</v>
      </c>
    </row>
    <row r="556" customHeight="1" spans="1:17">
      <c r="A556" s="22">
        <f t="shared" si="30"/>
        <v>1110012</v>
      </c>
      <c r="B556" s="22">
        <v>1110</v>
      </c>
      <c r="C556" s="22" t="s">
        <v>337</v>
      </c>
      <c r="D556" s="22" t="s">
        <v>338</v>
      </c>
      <c r="E556" s="22">
        <f t="shared" si="29"/>
        <v>10</v>
      </c>
      <c r="F556" s="22">
        <v>12</v>
      </c>
      <c r="G556" s="22">
        <v>17</v>
      </c>
      <c r="H556" s="22" t="s">
        <v>111</v>
      </c>
      <c r="I556" s="12">
        <v>3600</v>
      </c>
      <c r="J556" s="12">
        <v>1200</v>
      </c>
      <c r="K556" s="12" t="s">
        <v>79</v>
      </c>
      <c r="L556" s="12"/>
      <c r="O556" s="2">
        <v>1110251</v>
      </c>
      <c r="P556" s="24">
        <v>22</v>
      </c>
      <c r="Q556" s="25" t="s">
        <v>86</v>
      </c>
    </row>
    <row r="557" customHeight="1" spans="1:17">
      <c r="A557" s="22">
        <f t="shared" si="30"/>
        <v>1110013</v>
      </c>
      <c r="B557" s="22">
        <v>1110</v>
      </c>
      <c r="C557" s="22" t="s">
        <v>337</v>
      </c>
      <c r="D557" s="22" t="s">
        <v>338</v>
      </c>
      <c r="E557" s="22">
        <f t="shared" si="29"/>
        <v>11</v>
      </c>
      <c r="F557" s="22">
        <v>13</v>
      </c>
      <c r="G557" s="22">
        <v>17</v>
      </c>
      <c r="H557" s="22" t="s">
        <v>117</v>
      </c>
      <c r="I557" s="12">
        <v>3900</v>
      </c>
      <c r="J557" s="12">
        <v>1300</v>
      </c>
      <c r="K557" s="12" t="s">
        <v>82</v>
      </c>
      <c r="L557" s="12"/>
      <c r="O557" s="2">
        <v>1110264</v>
      </c>
      <c r="P557" s="24">
        <v>24</v>
      </c>
      <c r="Q557" s="25" t="s">
        <v>89</v>
      </c>
    </row>
    <row r="558" customHeight="1" spans="1:17">
      <c r="A558" s="22">
        <f t="shared" si="30"/>
        <v>1110014</v>
      </c>
      <c r="B558" s="22">
        <v>1110</v>
      </c>
      <c r="C558" s="22" t="s">
        <v>337</v>
      </c>
      <c r="D558" s="22" t="s">
        <v>338</v>
      </c>
      <c r="E558" s="22">
        <f t="shared" si="29"/>
        <v>11</v>
      </c>
      <c r="F558" s="22">
        <v>14</v>
      </c>
      <c r="G558" s="22">
        <v>17</v>
      </c>
      <c r="H558" s="22" t="s">
        <v>123</v>
      </c>
      <c r="I558" s="12">
        <v>4200</v>
      </c>
      <c r="J558" s="12">
        <v>1400</v>
      </c>
      <c r="K558" s="12" t="s">
        <v>85</v>
      </c>
      <c r="L558" s="12"/>
      <c r="O558" s="2">
        <v>1110265</v>
      </c>
      <c r="P558" s="24">
        <v>26</v>
      </c>
      <c r="Q558" s="25" t="s">
        <v>92</v>
      </c>
    </row>
    <row r="559" customHeight="1" spans="1:17">
      <c r="A559" s="22">
        <f t="shared" si="30"/>
        <v>1110015</v>
      </c>
      <c r="B559" s="22">
        <v>1110</v>
      </c>
      <c r="C559" s="22" t="s">
        <v>337</v>
      </c>
      <c r="D559" s="22" t="s">
        <v>338</v>
      </c>
      <c r="E559" s="22">
        <f t="shared" si="29"/>
        <v>11</v>
      </c>
      <c r="F559" s="22">
        <v>15</v>
      </c>
      <c r="G559" s="22">
        <v>17</v>
      </c>
      <c r="H559" s="22" t="s">
        <v>129</v>
      </c>
      <c r="I559" s="12">
        <v>4500</v>
      </c>
      <c r="J559" s="12">
        <v>1500</v>
      </c>
      <c r="K559" s="12" t="s">
        <v>88</v>
      </c>
      <c r="L559" s="12"/>
      <c r="O559" s="2">
        <v>1110266</v>
      </c>
      <c r="P559" s="24">
        <v>28</v>
      </c>
      <c r="Q559" s="25" t="s">
        <v>95</v>
      </c>
    </row>
    <row r="560" customHeight="1" spans="1:17">
      <c r="A560" s="22">
        <f t="shared" si="30"/>
        <v>1110016</v>
      </c>
      <c r="B560" s="22">
        <v>1110</v>
      </c>
      <c r="C560" s="22" t="s">
        <v>337</v>
      </c>
      <c r="D560" s="22" t="s">
        <v>338</v>
      </c>
      <c r="E560" s="22">
        <f t="shared" si="29"/>
        <v>12</v>
      </c>
      <c r="F560" s="22">
        <v>16</v>
      </c>
      <c r="G560" s="22">
        <v>17</v>
      </c>
      <c r="H560" s="22" t="s">
        <v>135</v>
      </c>
      <c r="I560" s="12">
        <v>4800</v>
      </c>
      <c r="J560" s="12">
        <v>1600</v>
      </c>
      <c r="K560" s="12" t="s">
        <v>91</v>
      </c>
      <c r="L560" s="12"/>
      <c r="O560" s="2">
        <v>1110267</v>
      </c>
      <c r="P560" s="24">
        <v>30</v>
      </c>
      <c r="Q560" s="25" t="s">
        <v>98</v>
      </c>
    </row>
    <row r="561" customHeight="1" spans="1:17">
      <c r="A561" s="22">
        <f t="shared" si="30"/>
        <v>1110017</v>
      </c>
      <c r="B561" s="22">
        <v>1110</v>
      </c>
      <c r="C561" s="22" t="s">
        <v>337</v>
      </c>
      <c r="D561" s="22" t="s">
        <v>338</v>
      </c>
      <c r="E561" s="22">
        <f t="shared" si="29"/>
        <v>12</v>
      </c>
      <c r="F561" s="22">
        <v>17</v>
      </c>
      <c r="G561" s="22">
        <v>17</v>
      </c>
      <c r="H561" s="22" t="s">
        <v>141</v>
      </c>
      <c r="I561" s="12">
        <v>5100</v>
      </c>
      <c r="J561" s="12">
        <v>1700</v>
      </c>
      <c r="K561" s="12" t="s">
        <v>94</v>
      </c>
      <c r="L561" s="12"/>
      <c r="P561" s="24">
        <v>32</v>
      </c>
      <c r="Q561" s="25" t="s">
        <v>101</v>
      </c>
    </row>
    <row r="562" customHeight="1" spans="1:17">
      <c r="A562" s="22">
        <f t="shared" si="30"/>
        <v>1110018</v>
      </c>
      <c r="B562" s="22">
        <v>1110</v>
      </c>
      <c r="C562" s="22" t="s">
        <v>337</v>
      </c>
      <c r="D562" s="22" t="s">
        <v>338</v>
      </c>
      <c r="E562" s="22">
        <f t="shared" si="29"/>
        <v>12</v>
      </c>
      <c r="F562" s="22">
        <v>18</v>
      </c>
      <c r="G562" s="22">
        <v>17</v>
      </c>
      <c r="H562" s="22" t="s">
        <v>147</v>
      </c>
      <c r="I562" s="12">
        <v>5400</v>
      </c>
      <c r="J562" s="12">
        <v>1800</v>
      </c>
      <c r="K562" s="12" t="s">
        <v>97</v>
      </c>
      <c r="L562" s="12"/>
      <c r="P562" s="24">
        <v>34</v>
      </c>
      <c r="Q562" s="25" t="s">
        <v>104</v>
      </c>
    </row>
    <row r="563" customHeight="1" spans="1:17">
      <c r="A563" s="22">
        <f t="shared" si="30"/>
        <v>1110019</v>
      </c>
      <c r="B563" s="22">
        <v>1110</v>
      </c>
      <c r="C563" s="22" t="s">
        <v>337</v>
      </c>
      <c r="D563" s="22" t="s">
        <v>338</v>
      </c>
      <c r="E563" s="22">
        <f t="shared" si="29"/>
        <v>13</v>
      </c>
      <c r="F563" s="22">
        <v>19</v>
      </c>
      <c r="G563" s="22">
        <v>17</v>
      </c>
      <c r="H563" s="22" t="s">
        <v>153</v>
      </c>
      <c r="I563" s="12">
        <v>5700</v>
      </c>
      <c r="J563" s="12">
        <v>1900</v>
      </c>
      <c r="K563" s="12" t="s">
        <v>100</v>
      </c>
      <c r="L563" s="12"/>
      <c r="P563" s="24">
        <v>36</v>
      </c>
      <c r="Q563" s="25" t="s">
        <v>107</v>
      </c>
    </row>
    <row r="564" customHeight="1" spans="1:17">
      <c r="A564" s="22">
        <f t="shared" si="30"/>
        <v>1110020</v>
      </c>
      <c r="B564" s="22">
        <v>1110</v>
      </c>
      <c r="C564" s="22" t="s">
        <v>337</v>
      </c>
      <c r="D564" s="22" t="s">
        <v>338</v>
      </c>
      <c r="E564" s="22">
        <f t="shared" si="29"/>
        <v>13</v>
      </c>
      <c r="F564" s="22">
        <v>20</v>
      </c>
      <c r="G564" s="22">
        <v>17</v>
      </c>
      <c r="H564" s="22" t="s">
        <v>159</v>
      </c>
      <c r="I564" s="12">
        <v>6000</v>
      </c>
      <c r="J564" s="12">
        <v>2000</v>
      </c>
      <c r="K564" s="12" t="s">
        <v>103</v>
      </c>
      <c r="L564" s="12"/>
      <c r="P564" s="24">
        <v>38</v>
      </c>
      <c r="Q564" s="25" t="s">
        <v>110</v>
      </c>
    </row>
    <row r="565" customHeight="1" spans="1:17">
      <c r="A565" s="22">
        <f t="shared" si="30"/>
        <v>1110021</v>
      </c>
      <c r="B565" s="22">
        <v>1110</v>
      </c>
      <c r="C565" s="22" t="s">
        <v>337</v>
      </c>
      <c r="D565" s="22" t="s">
        <v>338</v>
      </c>
      <c r="E565" s="22">
        <f t="shared" si="29"/>
        <v>13</v>
      </c>
      <c r="F565" s="22">
        <v>21</v>
      </c>
      <c r="G565" s="22">
        <v>17</v>
      </c>
      <c r="H565" s="22" t="s">
        <v>165</v>
      </c>
      <c r="I565" s="12">
        <v>6300</v>
      </c>
      <c r="J565" s="12">
        <v>2100</v>
      </c>
      <c r="K565" s="12" t="s">
        <v>106</v>
      </c>
      <c r="L565" s="12"/>
      <c r="P565" s="24">
        <v>40</v>
      </c>
      <c r="Q565" s="25" t="s">
        <v>113</v>
      </c>
    </row>
    <row r="566" customHeight="1" spans="1:17">
      <c r="A566" s="22">
        <f t="shared" si="30"/>
        <v>1110022</v>
      </c>
      <c r="B566" s="22">
        <v>1110</v>
      </c>
      <c r="C566" s="22" t="s">
        <v>337</v>
      </c>
      <c r="D566" s="22" t="s">
        <v>338</v>
      </c>
      <c r="E566" s="22">
        <f t="shared" si="29"/>
        <v>14</v>
      </c>
      <c r="F566" s="22">
        <v>22</v>
      </c>
      <c r="G566" s="22">
        <v>17</v>
      </c>
      <c r="H566" s="22" t="s">
        <v>171</v>
      </c>
      <c r="I566" s="12">
        <v>6600</v>
      </c>
      <c r="J566" s="12">
        <v>2200</v>
      </c>
      <c r="K566" s="12" t="s">
        <v>109</v>
      </c>
      <c r="L566" s="12"/>
      <c r="P566" s="24">
        <v>42</v>
      </c>
      <c r="Q566" s="25" t="s">
        <v>116</v>
      </c>
    </row>
    <row r="567" customHeight="1" spans="1:17">
      <c r="A567" s="22">
        <f t="shared" si="30"/>
        <v>1110023</v>
      </c>
      <c r="B567" s="22">
        <v>1110</v>
      </c>
      <c r="C567" s="22" t="s">
        <v>337</v>
      </c>
      <c r="D567" s="22" t="s">
        <v>338</v>
      </c>
      <c r="E567" s="22">
        <f t="shared" si="29"/>
        <v>14</v>
      </c>
      <c r="F567" s="22">
        <v>23</v>
      </c>
      <c r="G567" s="22">
        <v>17</v>
      </c>
      <c r="H567" s="22" t="s">
        <v>177</v>
      </c>
      <c r="I567" s="12">
        <v>6900</v>
      </c>
      <c r="J567" s="12">
        <v>2300</v>
      </c>
      <c r="K567" s="12" t="s">
        <v>112</v>
      </c>
      <c r="L567" s="12"/>
      <c r="P567" s="24">
        <v>44</v>
      </c>
      <c r="Q567" s="25" t="s">
        <v>119</v>
      </c>
    </row>
    <row r="568" customHeight="1" spans="1:17">
      <c r="A568" s="22">
        <f t="shared" si="30"/>
        <v>1110024</v>
      </c>
      <c r="B568" s="22">
        <v>1110</v>
      </c>
      <c r="C568" s="22" t="s">
        <v>337</v>
      </c>
      <c r="D568" s="22" t="s">
        <v>338</v>
      </c>
      <c r="E568" s="22">
        <f t="shared" si="29"/>
        <v>14</v>
      </c>
      <c r="F568" s="22">
        <v>24</v>
      </c>
      <c r="G568" s="22">
        <v>17</v>
      </c>
      <c r="H568" s="22" t="s">
        <v>183</v>
      </c>
      <c r="I568" s="12">
        <v>7200</v>
      </c>
      <c r="J568" s="12">
        <v>2400</v>
      </c>
      <c r="K568" s="12" t="s">
        <v>115</v>
      </c>
      <c r="L568" s="12"/>
      <c r="P568" s="24">
        <v>46</v>
      </c>
      <c r="Q568" s="25" t="s">
        <v>122</v>
      </c>
    </row>
    <row r="569" customHeight="1" spans="1:17">
      <c r="A569" s="22">
        <f t="shared" si="30"/>
        <v>1110025</v>
      </c>
      <c r="B569" s="22">
        <v>1110</v>
      </c>
      <c r="C569" s="22" t="s">
        <v>337</v>
      </c>
      <c r="D569" s="22" t="s">
        <v>338</v>
      </c>
      <c r="E569" s="22">
        <f t="shared" si="29"/>
        <v>15</v>
      </c>
      <c r="F569" s="22">
        <v>25</v>
      </c>
      <c r="G569" s="22">
        <v>17</v>
      </c>
      <c r="H569" s="22" t="s">
        <v>189</v>
      </c>
      <c r="I569" s="12">
        <v>7500</v>
      </c>
      <c r="J569" s="12">
        <v>2500</v>
      </c>
      <c r="K569" s="12" t="s">
        <v>118</v>
      </c>
      <c r="L569" s="12"/>
      <c r="P569" s="24">
        <v>48</v>
      </c>
      <c r="Q569" s="25" t="s">
        <v>125</v>
      </c>
    </row>
    <row r="570" customHeight="1" spans="1:17">
      <c r="A570" s="22">
        <f t="shared" si="30"/>
        <v>1110026</v>
      </c>
      <c r="B570" s="22">
        <v>1110</v>
      </c>
      <c r="C570" s="22" t="s">
        <v>337</v>
      </c>
      <c r="D570" s="22" t="s">
        <v>338</v>
      </c>
      <c r="E570" s="22">
        <f t="shared" si="29"/>
        <v>15</v>
      </c>
      <c r="F570" s="22">
        <v>26</v>
      </c>
      <c r="G570" s="22">
        <v>17</v>
      </c>
      <c r="H570" s="22" t="s">
        <v>195</v>
      </c>
      <c r="I570" s="12">
        <v>7800</v>
      </c>
      <c r="J570" s="12">
        <v>2600</v>
      </c>
      <c r="K570" s="12" t="s">
        <v>121</v>
      </c>
      <c r="L570" s="12"/>
      <c r="O570" s="2" t="s">
        <v>234</v>
      </c>
      <c r="P570" s="24">
        <v>50</v>
      </c>
      <c r="Q570" s="25" t="s">
        <v>128</v>
      </c>
    </row>
    <row r="571" customHeight="1" spans="1:17">
      <c r="A571" s="22">
        <f t="shared" si="30"/>
        <v>1110027</v>
      </c>
      <c r="B571" s="22">
        <v>1110</v>
      </c>
      <c r="C571" s="22" t="s">
        <v>337</v>
      </c>
      <c r="D571" s="22" t="s">
        <v>338</v>
      </c>
      <c r="E571" s="22">
        <f t="shared" si="29"/>
        <v>15</v>
      </c>
      <c r="F571" s="22">
        <v>27</v>
      </c>
      <c r="G571" s="22">
        <v>17</v>
      </c>
      <c r="H571" s="22" t="s">
        <v>201</v>
      </c>
      <c r="I571" s="12">
        <v>8100</v>
      </c>
      <c r="J571" s="12">
        <v>2700</v>
      </c>
      <c r="K571" s="12" t="s">
        <v>124</v>
      </c>
      <c r="L571" s="12"/>
      <c r="O571" s="2" t="s">
        <v>234</v>
      </c>
      <c r="P571" s="24">
        <v>52</v>
      </c>
      <c r="Q571" s="25" t="s">
        <v>131</v>
      </c>
    </row>
    <row r="572" customHeight="1" spans="1:17">
      <c r="A572" s="22">
        <f t="shared" si="30"/>
        <v>1110028</v>
      </c>
      <c r="B572" s="22">
        <v>1110</v>
      </c>
      <c r="C572" s="22" t="s">
        <v>337</v>
      </c>
      <c r="D572" s="22" t="s">
        <v>338</v>
      </c>
      <c r="E572" s="22">
        <f t="shared" si="29"/>
        <v>16</v>
      </c>
      <c r="F572" s="22">
        <v>28</v>
      </c>
      <c r="G572" s="22">
        <v>17</v>
      </c>
      <c r="H572" s="22" t="s">
        <v>207</v>
      </c>
      <c r="I572" s="12">
        <v>8400</v>
      </c>
      <c r="J572" s="12">
        <v>2800</v>
      </c>
      <c r="K572" s="12" t="s">
        <v>127</v>
      </c>
      <c r="L572" s="12"/>
      <c r="O572" s="2" t="s">
        <v>234</v>
      </c>
      <c r="P572" s="24">
        <v>54</v>
      </c>
      <c r="Q572" s="25" t="s">
        <v>134</v>
      </c>
    </row>
    <row r="573" customHeight="1" spans="1:17">
      <c r="A573" s="22">
        <f t="shared" si="30"/>
        <v>1110029</v>
      </c>
      <c r="B573" s="22">
        <v>1110</v>
      </c>
      <c r="C573" s="22" t="s">
        <v>337</v>
      </c>
      <c r="D573" s="22" t="s">
        <v>338</v>
      </c>
      <c r="E573" s="22">
        <f t="shared" si="29"/>
        <v>16</v>
      </c>
      <c r="F573" s="22">
        <v>29</v>
      </c>
      <c r="G573" s="22">
        <v>17</v>
      </c>
      <c r="H573" s="22" t="s">
        <v>213</v>
      </c>
      <c r="I573" s="12">
        <v>8700</v>
      </c>
      <c r="J573" s="12">
        <v>2900</v>
      </c>
      <c r="K573" s="12" t="s">
        <v>130</v>
      </c>
      <c r="L573" s="12"/>
      <c r="O573" s="2" t="s">
        <v>234</v>
      </c>
      <c r="P573" s="24">
        <v>56</v>
      </c>
      <c r="Q573" s="25" t="s">
        <v>137</v>
      </c>
    </row>
    <row r="574" customHeight="1" spans="1:17">
      <c r="A574" s="22">
        <f t="shared" si="30"/>
        <v>1110030</v>
      </c>
      <c r="B574" s="22">
        <v>1110</v>
      </c>
      <c r="C574" s="22" t="s">
        <v>337</v>
      </c>
      <c r="D574" s="22" t="s">
        <v>338</v>
      </c>
      <c r="E574" s="22">
        <f t="shared" si="29"/>
        <v>16</v>
      </c>
      <c r="F574" s="22">
        <v>30</v>
      </c>
      <c r="G574" s="22">
        <v>17</v>
      </c>
      <c r="H574" s="22" t="s">
        <v>219</v>
      </c>
      <c r="I574" s="12">
        <v>9000</v>
      </c>
      <c r="J574" s="12">
        <v>3000</v>
      </c>
      <c r="K574" s="12" t="s">
        <v>133</v>
      </c>
      <c r="L574" s="12"/>
      <c r="O574" s="2" t="s">
        <v>234</v>
      </c>
      <c r="P574" s="24">
        <v>58</v>
      </c>
      <c r="Q574" s="25" t="s">
        <v>140</v>
      </c>
    </row>
    <row r="575" customHeight="1" spans="1:17">
      <c r="A575" s="22">
        <f t="shared" si="30"/>
        <v>1110031</v>
      </c>
      <c r="B575" s="22">
        <v>1110</v>
      </c>
      <c r="C575" s="22" t="s">
        <v>337</v>
      </c>
      <c r="D575" s="22" t="s">
        <v>338</v>
      </c>
      <c r="E575" s="22">
        <f t="shared" si="29"/>
        <v>17</v>
      </c>
      <c r="F575" s="22">
        <v>31</v>
      </c>
      <c r="G575" s="22">
        <v>17</v>
      </c>
      <c r="H575" s="22" t="s">
        <v>235</v>
      </c>
      <c r="I575" s="12">
        <v>9300</v>
      </c>
      <c r="J575" s="12">
        <v>3100</v>
      </c>
      <c r="K575" s="12" t="s">
        <v>136</v>
      </c>
      <c r="L575" s="12"/>
      <c r="O575" s="2" t="s">
        <v>234</v>
      </c>
      <c r="P575" s="24">
        <v>60</v>
      </c>
      <c r="Q575" s="25" t="s">
        <v>143</v>
      </c>
    </row>
    <row r="576" customHeight="1" spans="1:17">
      <c r="A576" s="22">
        <f t="shared" si="30"/>
        <v>1110032</v>
      </c>
      <c r="B576" s="22">
        <v>1110</v>
      </c>
      <c r="C576" s="22" t="s">
        <v>337</v>
      </c>
      <c r="D576" s="22" t="s">
        <v>338</v>
      </c>
      <c r="E576" s="22">
        <f t="shared" si="29"/>
        <v>17</v>
      </c>
      <c r="F576" s="22">
        <v>32</v>
      </c>
      <c r="G576" s="22">
        <v>17</v>
      </c>
      <c r="H576" s="22" t="s">
        <v>236</v>
      </c>
      <c r="I576" s="12">
        <v>9600</v>
      </c>
      <c r="J576" s="12">
        <v>3200</v>
      </c>
      <c r="K576" s="12" t="s">
        <v>139</v>
      </c>
      <c r="L576" s="12"/>
      <c r="O576" s="2" t="s">
        <v>234</v>
      </c>
      <c r="P576" s="24">
        <v>62</v>
      </c>
      <c r="Q576" s="25" t="s">
        <v>146</v>
      </c>
    </row>
    <row r="577" customHeight="1" spans="1:17">
      <c r="A577" s="22">
        <f t="shared" si="30"/>
        <v>1110033</v>
      </c>
      <c r="B577" s="22">
        <v>1110</v>
      </c>
      <c r="C577" s="22" t="s">
        <v>337</v>
      </c>
      <c r="D577" s="22" t="s">
        <v>338</v>
      </c>
      <c r="E577" s="22">
        <f t="shared" si="29"/>
        <v>17</v>
      </c>
      <c r="F577" s="22">
        <v>33</v>
      </c>
      <c r="G577" s="22">
        <v>17</v>
      </c>
      <c r="H577" s="22" t="s">
        <v>237</v>
      </c>
      <c r="I577" s="12">
        <v>9900</v>
      </c>
      <c r="J577" s="12">
        <v>3300</v>
      </c>
      <c r="K577" s="12" t="s">
        <v>142</v>
      </c>
      <c r="L577" s="12"/>
      <c r="O577" s="2" t="s">
        <v>234</v>
      </c>
      <c r="P577" s="24">
        <v>64</v>
      </c>
      <c r="Q577" s="25" t="s">
        <v>149</v>
      </c>
    </row>
    <row r="578" customHeight="1" spans="1:17">
      <c r="A578" s="22">
        <f t="shared" si="30"/>
        <v>1110034</v>
      </c>
      <c r="B578" s="22">
        <v>1110</v>
      </c>
      <c r="C578" s="22" t="s">
        <v>337</v>
      </c>
      <c r="D578" s="22" t="s">
        <v>338</v>
      </c>
      <c r="E578" s="22">
        <f t="shared" si="29"/>
        <v>18</v>
      </c>
      <c r="F578" s="22">
        <v>34</v>
      </c>
      <c r="G578" s="22">
        <v>17</v>
      </c>
      <c r="H578" s="22" t="s">
        <v>238</v>
      </c>
      <c r="I578" s="12">
        <v>10200</v>
      </c>
      <c r="J578" s="12">
        <v>3400</v>
      </c>
      <c r="K578" s="12" t="s">
        <v>145</v>
      </c>
      <c r="L578" s="12"/>
      <c r="O578" s="2" t="s">
        <v>234</v>
      </c>
      <c r="P578" s="24">
        <v>66</v>
      </c>
      <c r="Q578" s="25" t="s">
        <v>152</v>
      </c>
    </row>
    <row r="579" customHeight="1" spans="1:17">
      <c r="A579" s="22">
        <f t="shared" si="30"/>
        <v>1110035</v>
      </c>
      <c r="B579" s="22">
        <v>1110</v>
      </c>
      <c r="C579" s="22" t="s">
        <v>337</v>
      </c>
      <c r="D579" s="22" t="s">
        <v>338</v>
      </c>
      <c r="E579" s="22">
        <f t="shared" si="29"/>
        <v>18</v>
      </c>
      <c r="F579" s="22">
        <v>35</v>
      </c>
      <c r="G579" s="22">
        <v>17</v>
      </c>
      <c r="H579" s="22" t="s">
        <v>239</v>
      </c>
      <c r="I579" s="12">
        <v>10500</v>
      </c>
      <c r="J579" s="12">
        <v>3500</v>
      </c>
      <c r="K579" s="12" t="s">
        <v>148</v>
      </c>
      <c r="L579" s="12"/>
      <c r="O579" s="2" t="s">
        <v>234</v>
      </c>
      <c r="P579" s="24">
        <v>68</v>
      </c>
      <c r="Q579" s="25" t="s">
        <v>155</v>
      </c>
    </row>
    <row r="580" customHeight="1" spans="1:17">
      <c r="A580" s="22">
        <f t="shared" si="30"/>
        <v>1110036</v>
      </c>
      <c r="B580" s="22">
        <v>1110</v>
      </c>
      <c r="C580" s="22" t="s">
        <v>337</v>
      </c>
      <c r="D580" s="22" t="s">
        <v>338</v>
      </c>
      <c r="E580" s="22">
        <f t="shared" si="29"/>
        <v>18</v>
      </c>
      <c r="F580" s="22">
        <v>36</v>
      </c>
      <c r="G580" s="22">
        <v>17</v>
      </c>
      <c r="H580" s="22" t="s">
        <v>240</v>
      </c>
      <c r="I580" s="12">
        <v>10800</v>
      </c>
      <c r="J580" s="12">
        <v>3600</v>
      </c>
      <c r="K580" s="12" t="s">
        <v>151</v>
      </c>
      <c r="L580" s="12"/>
      <c r="O580" s="2" t="s">
        <v>234</v>
      </c>
      <c r="P580" s="24">
        <v>70</v>
      </c>
      <c r="Q580" s="25" t="s">
        <v>158</v>
      </c>
    </row>
    <row r="581" customHeight="1" spans="1:17">
      <c r="A581" s="22">
        <f t="shared" si="30"/>
        <v>1110037</v>
      </c>
      <c r="B581" s="22">
        <v>1110</v>
      </c>
      <c r="C581" s="22" t="s">
        <v>337</v>
      </c>
      <c r="D581" s="22" t="s">
        <v>338</v>
      </c>
      <c r="E581" s="22">
        <f t="shared" si="29"/>
        <v>19</v>
      </c>
      <c r="F581" s="22">
        <v>37</v>
      </c>
      <c r="G581" s="22">
        <v>17</v>
      </c>
      <c r="H581" s="22" t="s">
        <v>241</v>
      </c>
      <c r="I581" s="12">
        <v>11100</v>
      </c>
      <c r="J581" s="12">
        <v>3700</v>
      </c>
      <c r="K581" s="12" t="s">
        <v>154</v>
      </c>
      <c r="L581" s="12"/>
      <c r="O581" s="2" t="s">
        <v>234</v>
      </c>
      <c r="P581" s="24">
        <v>72</v>
      </c>
      <c r="Q581" s="25" t="s">
        <v>161</v>
      </c>
    </row>
    <row r="582" customHeight="1" spans="1:17">
      <c r="A582" s="22">
        <f t="shared" si="30"/>
        <v>1110038</v>
      </c>
      <c r="B582" s="22">
        <v>1110</v>
      </c>
      <c r="C582" s="22" t="s">
        <v>337</v>
      </c>
      <c r="D582" s="22" t="s">
        <v>338</v>
      </c>
      <c r="E582" s="22">
        <f t="shared" si="29"/>
        <v>19</v>
      </c>
      <c r="F582" s="22">
        <v>38</v>
      </c>
      <c r="G582" s="22">
        <v>17</v>
      </c>
      <c r="H582" s="22" t="s">
        <v>242</v>
      </c>
      <c r="I582" s="12">
        <v>11400</v>
      </c>
      <c r="J582" s="12">
        <v>3800</v>
      </c>
      <c r="K582" s="12" t="s">
        <v>157</v>
      </c>
      <c r="L582" s="12"/>
      <c r="O582" s="2" t="s">
        <v>234</v>
      </c>
      <c r="P582" s="24">
        <v>74</v>
      </c>
      <c r="Q582" s="25" t="s">
        <v>164</v>
      </c>
    </row>
    <row r="583" customHeight="1" spans="1:17">
      <c r="A583" s="22">
        <f t="shared" si="30"/>
        <v>1110039</v>
      </c>
      <c r="B583" s="22">
        <v>1110</v>
      </c>
      <c r="C583" s="22" t="s">
        <v>337</v>
      </c>
      <c r="D583" s="22" t="s">
        <v>338</v>
      </c>
      <c r="E583" s="22">
        <f t="shared" si="29"/>
        <v>19</v>
      </c>
      <c r="F583" s="22">
        <v>39</v>
      </c>
      <c r="G583" s="22">
        <v>17</v>
      </c>
      <c r="H583" s="22" t="s">
        <v>243</v>
      </c>
      <c r="I583" s="12">
        <v>11700</v>
      </c>
      <c r="J583" s="12">
        <v>3900</v>
      </c>
      <c r="K583" s="12" t="s">
        <v>160</v>
      </c>
      <c r="L583" s="12"/>
      <c r="O583" s="2" t="s">
        <v>234</v>
      </c>
      <c r="P583" s="24">
        <v>76</v>
      </c>
      <c r="Q583" s="25" t="s">
        <v>167</v>
      </c>
    </row>
    <row r="584" customHeight="1" spans="1:17">
      <c r="A584" s="22">
        <f t="shared" si="30"/>
        <v>1110040</v>
      </c>
      <c r="B584" s="22">
        <v>1110</v>
      </c>
      <c r="C584" s="22" t="s">
        <v>337</v>
      </c>
      <c r="D584" s="22" t="s">
        <v>338</v>
      </c>
      <c r="E584" s="22">
        <f t="shared" si="29"/>
        <v>20</v>
      </c>
      <c r="F584" s="22">
        <v>40</v>
      </c>
      <c r="G584" s="22">
        <v>17</v>
      </c>
      <c r="H584" s="22" t="s">
        <v>244</v>
      </c>
      <c r="I584" s="12">
        <v>12000</v>
      </c>
      <c r="J584" s="12">
        <v>4000</v>
      </c>
      <c r="K584" s="12" t="s">
        <v>163</v>
      </c>
      <c r="L584" s="12"/>
      <c r="O584" s="2" t="s">
        <v>234</v>
      </c>
      <c r="P584" s="24">
        <v>78</v>
      </c>
      <c r="Q584" s="25" t="s">
        <v>170</v>
      </c>
    </row>
    <row r="585" customHeight="1" spans="1:17">
      <c r="A585" s="22">
        <f t="shared" si="30"/>
        <v>1110041</v>
      </c>
      <c r="B585" s="22">
        <v>1110</v>
      </c>
      <c r="C585" s="22" t="s">
        <v>337</v>
      </c>
      <c r="D585" s="22" t="s">
        <v>338</v>
      </c>
      <c r="E585" s="22">
        <f t="shared" si="29"/>
        <v>20</v>
      </c>
      <c r="F585" s="22">
        <v>41</v>
      </c>
      <c r="G585" s="22">
        <v>17</v>
      </c>
      <c r="H585" s="22" t="s">
        <v>245</v>
      </c>
      <c r="I585" s="12">
        <v>12300</v>
      </c>
      <c r="J585" s="12">
        <v>4100</v>
      </c>
      <c r="K585" s="12" t="s">
        <v>166</v>
      </c>
      <c r="L585" s="12"/>
      <c r="O585" s="2" t="s">
        <v>234</v>
      </c>
      <c r="P585" s="24">
        <v>80</v>
      </c>
      <c r="Q585" s="25" t="s">
        <v>173</v>
      </c>
    </row>
    <row r="586" customHeight="1" spans="1:17">
      <c r="A586" s="22">
        <f t="shared" si="30"/>
        <v>1110042</v>
      </c>
      <c r="B586" s="22">
        <v>1110</v>
      </c>
      <c r="C586" s="22" t="s">
        <v>337</v>
      </c>
      <c r="D586" s="22" t="s">
        <v>338</v>
      </c>
      <c r="E586" s="22">
        <f t="shared" si="29"/>
        <v>20</v>
      </c>
      <c r="F586" s="22">
        <v>42</v>
      </c>
      <c r="G586" s="22">
        <v>17</v>
      </c>
      <c r="H586" s="22" t="s">
        <v>246</v>
      </c>
      <c r="I586" s="12">
        <v>12600</v>
      </c>
      <c r="J586" s="12">
        <v>4200</v>
      </c>
      <c r="K586" s="12" t="s">
        <v>169</v>
      </c>
      <c r="L586" s="12"/>
      <c r="O586" s="2" t="s">
        <v>234</v>
      </c>
      <c r="P586" s="24">
        <v>82</v>
      </c>
      <c r="Q586" s="25" t="s">
        <v>176</v>
      </c>
    </row>
    <row r="587" customHeight="1" spans="1:17">
      <c r="A587" s="22">
        <f t="shared" ref="A587:A614" si="31">B587*1000+F587</f>
        <v>1110043</v>
      </c>
      <c r="B587" s="22">
        <v>1110</v>
      </c>
      <c r="C587" s="22" t="s">
        <v>337</v>
      </c>
      <c r="D587" s="22" t="s">
        <v>338</v>
      </c>
      <c r="E587" s="22">
        <f t="shared" si="29"/>
        <v>21</v>
      </c>
      <c r="F587" s="22">
        <v>43</v>
      </c>
      <c r="G587" s="22">
        <v>17</v>
      </c>
      <c r="H587" s="22" t="s">
        <v>247</v>
      </c>
      <c r="I587" s="12">
        <v>12900</v>
      </c>
      <c r="J587" s="12">
        <v>4300</v>
      </c>
      <c r="K587" s="12" t="s">
        <v>172</v>
      </c>
      <c r="L587" s="12"/>
      <c r="O587" s="2" t="s">
        <v>234</v>
      </c>
      <c r="P587" s="24">
        <v>84</v>
      </c>
      <c r="Q587" s="25" t="s">
        <v>179</v>
      </c>
    </row>
    <row r="588" customHeight="1" spans="1:17">
      <c r="A588" s="22">
        <f t="shared" si="31"/>
        <v>1110044</v>
      </c>
      <c r="B588" s="22">
        <v>1110</v>
      </c>
      <c r="C588" s="22" t="s">
        <v>337</v>
      </c>
      <c r="D588" s="22" t="s">
        <v>338</v>
      </c>
      <c r="E588" s="22">
        <f t="shared" si="29"/>
        <v>21</v>
      </c>
      <c r="F588" s="22">
        <v>44</v>
      </c>
      <c r="G588" s="22">
        <v>17</v>
      </c>
      <c r="H588" s="22" t="s">
        <v>248</v>
      </c>
      <c r="I588" s="12">
        <v>13200</v>
      </c>
      <c r="J588" s="12">
        <v>4400</v>
      </c>
      <c r="K588" s="12" t="s">
        <v>175</v>
      </c>
      <c r="L588" s="12"/>
      <c r="O588" s="2" t="s">
        <v>234</v>
      </c>
      <c r="P588" s="24">
        <v>86</v>
      </c>
      <c r="Q588" s="25" t="s">
        <v>182</v>
      </c>
    </row>
    <row r="589" customHeight="1" spans="1:17">
      <c r="A589" s="22">
        <f t="shared" si="31"/>
        <v>1110045</v>
      </c>
      <c r="B589" s="22">
        <v>1110</v>
      </c>
      <c r="C589" s="22" t="s">
        <v>337</v>
      </c>
      <c r="D589" s="22" t="s">
        <v>338</v>
      </c>
      <c r="E589" s="22">
        <f t="shared" si="29"/>
        <v>21</v>
      </c>
      <c r="F589" s="22">
        <v>45</v>
      </c>
      <c r="G589" s="22">
        <v>17</v>
      </c>
      <c r="H589" s="22" t="s">
        <v>249</v>
      </c>
      <c r="I589" s="12">
        <v>13500</v>
      </c>
      <c r="J589" s="12">
        <v>4500</v>
      </c>
      <c r="K589" s="12" t="s">
        <v>178</v>
      </c>
      <c r="L589" s="12"/>
      <c r="O589" s="2" t="s">
        <v>234</v>
      </c>
      <c r="P589" s="24">
        <v>88</v>
      </c>
      <c r="Q589" s="25" t="s">
        <v>185</v>
      </c>
    </row>
    <row r="590" customHeight="1" spans="1:17">
      <c r="A590" s="22">
        <f t="shared" si="31"/>
        <v>1110046</v>
      </c>
      <c r="B590" s="22">
        <v>1110</v>
      </c>
      <c r="C590" s="22" t="s">
        <v>337</v>
      </c>
      <c r="D590" s="22" t="s">
        <v>338</v>
      </c>
      <c r="E590" s="22">
        <f t="shared" si="29"/>
        <v>22</v>
      </c>
      <c r="F590" s="22">
        <v>46</v>
      </c>
      <c r="G590" s="22">
        <v>17</v>
      </c>
      <c r="H590" s="22" t="s">
        <v>250</v>
      </c>
      <c r="I590" s="12">
        <v>13800</v>
      </c>
      <c r="J590" s="12">
        <v>4600</v>
      </c>
      <c r="K590" s="12" t="s">
        <v>181</v>
      </c>
      <c r="L590" s="12"/>
      <c r="O590" s="2" t="s">
        <v>234</v>
      </c>
      <c r="P590" s="24">
        <v>90</v>
      </c>
      <c r="Q590" s="25" t="s">
        <v>188</v>
      </c>
    </row>
    <row r="591" customHeight="1" spans="1:17">
      <c r="A591" s="22">
        <f t="shared" si="31"/>
        <v>1110047</v>
      </c>
      <c r="B591" s="22">
        <v>1110</v>
      </c>
      <c r="C591" s="22" t="s">
        <v>337</v>
      </c>
      <c r="D591" s="22" t="s">
        <v>338</v>
      </c>
      <c r="E591" s="22">
        <f t="shared" si="29"/>
        <v>22</v>
      </c>
      <c r="F591" s="22">
        <v>47</v>
      </c>
      <c r="G591" s="22">
        <v>17</v>
      </c>
      <c r="H591" s="22" t="s">
        <v>251</v>
      </c>
      <c r="I591" s="12">
        <v>14100</v>
      </c>
      <c r="J591" s="12">
        <v>4700</v>
      </c>
      <c r="K591" s="12" t="s">
        <v>184</v>
      </c>
      <c r="L591" s="12"/>
      <c r="O591" s="2" t="s">
        <v>234</v>
      </c>
      <c r="P591" s="24">
        <v>92</v>
      </c>
      <c r="Q591" s="25" t="s">
        <v>191</v>
      </c>
    </row>
    <row r="592" customHeight="1" spans="1:17">
      <c r="A592" s="22">
        <f t="shared" si="31"/>
        <v>1110048</v>
      </c>
      <c r="B592" s="22">
        <v>1110</v>
      </c>
      <c r="C592" s="22" t="s">
        <v>337</v>
      </c>
      <c r="D592" s="22" t="s">
        <v>338</v>
      </c>
      <c r="E592" s="22">
        <f t="shared" si="29"/>
        <v>22</v>
      </c>
      <c r="F592" s="22">
        <v>48</v>
      </c>
      <c r="G592" s="22">
        <v>17</v>
      </c>
      <c r="H592" s="22" t="s">
        <v>252</v>
      </c>
      <c r="I592" s="12">
        <v>14400</v>
      </c>
      <c r="J592" s="12">
        <v>4800</v>
      </c>
      <c r="K592" s="12" t="s">
        <v>187</v>
      </c>
      <c r="L592" s="12"/>
      <c r="O592" s="2" t="s">
        <v>234</v>
      </c>
      <c r="P592" s="24">
        <v>94</v>
      </c>
      <c r="Q592" s="25" t="s">
        <v>194</v>
      </c>
    </row>
    <row r="593" customHeight="1" spans="1:17">
      <c r="A593" s="22">
        <f t="shared" si="31"/>
        <v>1110049</v>
      </c>
      <c r="B593" s="22">
        <v>1110</v>
      </c>
      <c r="C593" s="22" t="s">
        <v>337</v>
      </c>
      <c r="D593" s="22" t="s">
        <v>338</v>
      </c>
      <c r="E593" s="22">
        <f t="shared" si="29"/>
        <v>23</v>
      </c>
      <c r="F593" s="22">
        <v>49</v>
      </c>
      <c r="G593" s="22">
        <v>17</v>
      </c>
      <c r="H593" s="22" t="s">
        <v>253</v>
      </c>
      <c r="I593" s="12">
        <v>14700</v>
      </c>
      <c r="J593" s="12">
        <v>4900</v>
      </c>
      <c r="K593" s="12" t="s">
        <v>190</v>
      </c>
      <c r="L593" s="12"/>
      <c r="O593" s="2" t="s">
        <v>234</v>
      </c>
      <c r="P593" s="24">
        <v>96</v>
      </c>
      <c r="Q593" s="25" t="s">
        <v>197</v>
      </c>
    </row>
    <row r="594" customHeight="1" spans="1:17">
      <c r="A594" s="22">
        <f t="shared" si="31"/>
        <v>1110050</v>
      </c>
      <c r="B594" s="22">
        <v>1110</v>
      </c>
      <c r="C594" s="22" t="s">
        <v>337</v>
      </c>
      <c r="D594" s="22" t="s">
        <v>338</v>
      </c>
      <c r="E594" s="22">
        <f t="shared" si="29"/>
        <v>23</v>
      </c>
      <c r="F594" s="22">
        <v>50</v>
      </c>
      <c r="G594" s="22">
        <v>17</v>
      </c>
      <c r="H594" s="22" t="s">
        <v>254</v>
      </c>
      <c r="I594" s="12">
        <v>15000</v>
      </c>
      <c r="J594" s="12">
        <v>5000</v>
      </c>
      <c r="K594" s="12" t="s">
        <v>193</v>
      </c>
      <c r="L594" s="12"/>
      <c r="O594" s="2" t="s">
        <v>234</v>
      </c>
      <c r="P594" s="24">
        <v>98</v>
      </c>
      <c r="Q594" s="25" t="s">
        <v>200</v>
      </c>
    </row>
    <row r="595" customHeight="1" spans="1:17">
      <c r="A595" s="22">
        <f t="shared" si="31"/>
        <v>1110051</v>
      </c>
      <c r="B595" s="22">
        <v>1110</v>
      </c>
      <c r="C595" s="22" t="s">
        <v>337</v>
      </c>
      <c r="D595" s="22" t="s">
        <v>338</v>
      </c>
      <c r="E595" s="22">
        <f t="shared" si="29"/>
        <v>23</v>
      </c>
      <c r="F595" s="22">
        <v>51</v>
      </c>
      <c r="G595" s="22">
        <v>17</v>
      </c>
      <c r="H595" s="22" t="s">
        <v>255</v>
      </c>
      <c r="I595" s="12">
        <v>15300</v>
      </c>
      <c r="J595" s="12">
        <v>5100</v>
      </c>
      <c r="K595" s="12" t="s">
        <v>196</v>
      </c>
      <c r="L595" s="12"/>
      <c r="O595" s="2" t="s">
        <v>234</v>
      </c>
      <c r="P595" s="24">
        <v>100</v>
      </c>
      <c r="Q595" s="25" t="s">
        <v>203</v>
      </c>
    </row>
    <row r="596" customHeight="1" spans="1:17">
      <c r="A596" s="22">
        <f t="shared" si="31"/>
        <v>1110052</v>
      </c>
      <c r="B596" s="22">
        <v>1110</v>
      </c>
      <c r="C596" s="22" t="s">
        <v>337</v>
      </c>
      <c r="D596" s="22" t="s">
        <v>338</v>
      </c>
      <c r="E596" s="22">
        <f t="shared" si="29"/>
        <v>24</v>
      </c>
      <c r="F596" s="22">
        <v>52</v>
      </c>
      <c r="G596" s="22">
        <v>17</v>
      </c>
      <c r="H596" s="22" t="s">
        <v>256</v>
      </c>
      <c r="I596" s="12">
        <v>15600</v>
      </c>
      <c r="J596" s="12">
        <v>5200</v>
      </c>
      <c r="K596" s="12" t="s">
        <v>199</v>
      </c>
      <c r="L596" s="12"/>
      <c r="O596" s="2" t="s">
        <v>234</v>
      </c>
      <c r="P596" s="24">
        <v>102</v>
      </c>
      <c r="Q596" s="25" t="s">
        <v>206</v>
      </c>
    </row>
    <row r="597" customHeight="1" spans="1:17">
      <c r="A597" s="22">
        <f t="shared" si="31"/>
        <v>1110053</v>
      </c>
      <c r="B597" s="22">
        <v>1110</v>
      </c>
      <c r="C597" s="22" t="s">
        <v>337</v>
      </c>
      <c r="D597" s="22" t="s">
        <v>338</v>
      </c>
      <c r="E597" s="22">
        <f t="shared" si="29"/>
        <v>24</v>
      </c>
      <c r="F597" s="22">
        <v>53</v>
      </c>
      <c r="G597" s="22">
        <v>17</v>
      </c>
      <c r="H597" s="22" t="s">
        <v>257</v>
      </c>
      <c r="I597" s="12">
        <v>15900</v>
      </c>
      <c r="J597" s="12">
        <v>5300</v>
      </c>
      <c r="K597" s="12" t="s">
        <v>202</v>
      </c>
      <c r="L597" s="12"/>
      <c r="O597" s="2" t="s">
        <v>234</v>
      </c>
      <c r="P597" s="24">
        <v>104</v>
      </c>
      <c r="Q597" s="25" t="s">
        <v>209</v>
      </c>
    </row>
    <row r="598" customHeight="1" spans="1:17">
      <c r="A598" s="22">
        <f t="shared" si="31"/>
        <v>1110054</v>
      </c>
      <c r="B598" s="22">
        <v>1110</v>
      </c>
      <c r="C598" s="22" t="s">
        <v>337</v>
      </c>
      <c r="D598" s="22" t="s">
        <v>338</v>
      </c>
      <c r="E598" s="22">
        <f t="shared" si="29"/>
        <v>24</v>
      </c>
      <c r="F598" s="22">
        <v>54</v>
      </c>
      <c r="G598" s="22">
        <v>17</v>
      </c>
      <c r="H598" s="22" t="s">
        <v>258</v>
      </c>
      <c r="I598" s="12">
        <v>16200</v>
      </c>
      <c r="J598" s="12">
        <v>5400</v>
      </c>
      <c r="K598" s="12" t="s">
        <v>205</v>
      </c>
      <c r="L598" s="12"/>
      <c r="O598" s="2" t="s">
        <v>234</v>
      </c>
      <c r="P598" s="24">
        <v>106</v>
      </c>
      <c r="Q598" s="25" t="s">
        <v>212</v>
      </c>
    </row>
    <row r="599" customHeight="1" spans="1:17">
      <c r="A599" s="22">
        <f t="shared" si="31"/>
        <v>1110055</v>
      </c>
      <c r="B599" s="22">
        <v>1110</v>
      </c>
      <c r="C599" s="22" t="s">
        <v>337</v>
      </c>
      <c r="D599" s="22" t="s">
        <v>338</v>
      </c>
      <c r="E599" s="22">
        <f t="shared" si="29"/>
        <v>25</v>
      </c>
      <c r="F599" s="22">
        <v>55</v>
      </c>
      <c r="G599" s="22">
        <v>17</v>
      </c>
      <c r="H599" s="22" t="s">
        <v>259</v>
      </c>
      <c r="I599" s="12">
        <v>16500</v>
      </c>
      <c r="J599" s="12">
        <v>5500</v>
      </c>
      <c r="K599" s="12" t="s">
        <v>208</v>
      </c>
      <c r="L599" s="12"/>
      <c r="O599" s="2" t="s">
        <v>234</v>
      </c>
      <c r="P599" s="24">
        <v>108</v>
      </c>
      <c r="Q599" s="25" t="s">
        <v>215</v>
      </c>
    </row>
    <row r="600" customHeight="1" spans="1:17">
      <c r="A600" s="22">
        <f t="shared" si="31"/>
        <v>1110056</v>
      </c>
      <c r="B600" s="22">
        <v>1110</v>
      </c>
      <c r="C600" s="22" t="s">
        <v>337</v>
      </c>
      <c r="D600" s="22" t="s">
        <v>338</v>
      </c>
      <c r="E600" s="22">
        <f t="shared" si="29"/>
        <v>25</v>
      </c>
      <c r="F600" s="22">
        <v>56</v>
      </c>
      <c r="G600" s="22">
        <v>17</v>
      </c>
      <c r="H600" s="22" t="s">
        <v>260</v>
      </c>
      <c r="I600" s="12">
        <v>16800</v>
      </c>
      <c r="J600" s="12">
        <v>5600</v>
      </c>
      <c r="K600" s="12" t="s">
        <v>211</v>
      </c>
      <c r="L600" s="12"/>
      <c r="O600" s="2" t="s">
        <v>234</v>
      </c>
      <c r="P600" s="24">
        <v>110</v>
      </c>
      <c r="Q600" s="25" t="s">
        <v>218</v>
      </c>
    </row>
    <row r="601" customHeight="1" spans="1:17">
      <c r="A601" s="22">
        <f t="shared" si="31"/>
        <v>1110057</v>
      </c>
      <c r="B601" s="22">
        <v>1110</v>
      </c>
      <c r="C601" s="22" t="s">
        <v>337</v>
      </c>
      <c r="D601" s="22" t="s">
        <v>338</v>
      </c>
      <c r="E601" s="22">
        <f t="shared" si="29"/>
        <v>25</v>
      </c>
      <c r="F601" s="22">
        <v>57</v>
      </c>
      <c r="G601" s="22">
        <v>17</v>
      </c>
      <c r="H601" s="22" t="s">
        <v>261</v>
      </c>
      <c r="I601" s="12">
        <v>17100</v>
      </c>
      <c r="J601" s="12">
        <v>5700</v>
      </c>
      <c r="K601" s="12" t="s">
        <v>214</v>
      </c>
      <c r="L601" s="12"/>
      <c r="O601" s="2" t="s">
        <v>234</v>
      </c>
      <c r="P601" s="24">
        <v>112</v>
      </c>
      <c r="Q601" s="25" t="s">
        <v>221</v>
      </c>
    </row>
    <row r="602" customHeight="1" spans="1:17">
      <c r="A602" s="22">
        <f t="shared" si="31"/>
        <v>1110058</v>
      </c>
      <c r="B602" s="22">
        <v>1110</v>
      </c>
      <c r="C602" s="22" t="s">
        <v>337</v>
      </c>
      <c r="D602" s="22" t="s">
        <v>338</v>
      </c>
      <c r="E602" s="22">
        <f t="shared" si="29"/>
        <v>26</v>
      </c>
      <c r="F602" s="22">
        <v>58</v>
      </c>
      <c r="G602" s="22">
        <v>17</v>
      </c>
      <c r="H602" s="22" t="s">
        <v>262</v>
      </c>
      <c r="I602" s="12">
        <v>17400</v>
      </c>
      <c r="J602" s="12">
        <v>5800</v>
      </c>
      <c r="K602" s="12" t="s">
        <v>217</v>
      </c>
      <c r="L602" s="12"/>
      <c r="O602" s="2" t="s">
        <v>234</v>
      </c>
      <c r="P602" s="24">
        <v>114</v>
      </c>
      <c r="Q602" s="25" t="s">
        <v>224</v>
      </c>
    </row>
    <row r="603" customHeight="1" spans="1:17">
      <c r="A603" s="22">
        <f t="shared" si="31"/>
        <v>1110059</v>
      </c>
      <c r="B603" s="22">
        <v>1110</v>
      </c>
      <c r="C603" s="22" t="s">
        <v>337</v>
      </c>
      <c r="D603" s="22" t="s">
        <v>338</v>
      </c>
      <c r="E603" s="22">
        <f t="shared" si="29"/>
        <v>26</v>
      </c>
      <c r="F603" s="22">
        <v>59</v>
      </c>
      <c r="G603" s="22">
        <v>17</v>
      </c>
      <c r="H603" s="22" t="s">
        <v>263</v>
      </c>
      <c r="I603" s="12">
        <v>17700</v>
      </c>
      <c r="J603" s="12">
        <v>5900</v>
      </c>
      <c r="K603" s="12" t="s">
        <v>220</v>
      </c>
      <c r="L603" s="12"/>
      <c r="O603" s="2" t="s">
        <v>234</v>
      </c>
      <c r="P603" s="24">
        <v>116</v>
      </c>
      <c r="Q603" s="7" t="s">
        <v>265</v>
      </c>
    </row>
    <row r="604" customHeight="1" spans="1:17">
      <c r="A604" s="22">
        <f t="shared" si="31"/>
        <v>1110060</v>
      </c>
      <c r="B604" s="22">
        <v>1110</v>
      </c>
      <c r="C604" s="22" t="s">
        <v>337</v>
      </c>
      <c r="D604" s="22" t="s">
        <v>338</v>
      </c>
      <c r="E604" s="22">
        <v>9999</v>
      </c>
      <c r="F604" s="22">
        <v>60</v>
      </c>
      <c r="G604" s="22">
        <v>17</v>
      </c>
      <c r="H604" s="22" t="s">
        <v>264</v>
      </c>
      <c r="I604" s="12">
        <v>18000</v>
      </c>
      <c r="J604" s="12">
        <v>6000</v>
      </c>
      <c r="K604" s="12" t="s">
        <v>223</v>
      </c>
      <c r="L604" s="12"/>
      <c r="O604" s="2" t="s">
        <v>234</v>
      </c>
      <c r="P604" s="24"/>
      <c r="Q604" s="7" t="s">
        <v>275</v>
      </c>
    </row>
    <row r="605" s="9" customFormat="1" customHeight="1" spans="1:17">
      <c r="A605" s="26">
        <f t="shared" si="31"/>
        <v>1111001</v>
      </c>
      <c r="B605" s="26">
        <v>1111</v>
      </c>
      <c r="C605" s="26" t="s">
        <v>346</v>
      </c>
      <c r="D605" s="26" t="s">
        <v>347</v>
      </c>
      <c r="E605" s="22">
        <v>26</v>
      </c>
      <c r="F605" s="26">
        <v>1</v>
      </c>
      <c r="G605" s="26">
        <v>11</v>
      </c>
      <c r="H605" s="26" t="s">
        <v>38</v>
      </c>
      <c r="I605" s="27">
        <v>1200</v>
      </c>
      <c r="J605" s="12">
        <v>100</v>
      </c>
      <c r="K605" s="12" t="s">
        <v>39</v>
      </c>
      <c r="L605" s="27"/>
      <c r="M605" s="3" t="s">
        <v>348</v>
      </c>
      <c r="N605" s="3" t="s">
        <v>349</v>
      </c>
      <c r="O605" s="3" t="s">
        <v>350</v>
      </c>
      <c r="P605" s="29">
        <v>2</v>
      </c>
      <c r="Q605" s="32" t="s">
        <v>80</v>
      </c>
    </row>
    <row r="606" s="9" customFormat="1" customHeight="1" spans="1:17">
      <c r="A606" s="26">
        <f t="shared" si="31"/>
        <v>1111002</v>
      </c>
      <c r="B606" s="26">
        <v>1111</v>
      </c>
      <c r="C606" s="26" t="s">
        <v>346</v>
      </c>
      <c r="D606" s="26" t="s">
        <v>347</v>
      </c>
      <c r="E606" s="22">
        <v>26</v>
      </c>
      <c r="F606" s="26">
        <v>2</v>
      </c>
      <c r="G606" s="26">
        <v>13</v>
      </c>
      <c r="H606" s="26" t="s">
        <v>49</v>
      </c>
      <c r="I606" s="27">
        <v>2400</v>
      </c>
      <c r="J606" s="12">
        <v>200</v>
      </c>
      <c r="K606" s="12" t="s">
        <v>45</v>
      </c>
      <c r="L606" s="27"/>
      <c r="M606" s="3" t="s">
        <v>351</v>
      </c>
      <c r="N606" s="3" t="s">
        <v>352</v>
      </c>
      <c r="O606" s="3">
        <v>1111261</v>
      </c>
      <c r="P606" s="29">
        <v>4</v>
      </c>
      <c r="Q606" s="32" t="s">
        <v>83</v>
      </c>
    </row>
    <row r="607" s="9" customFormat="1" customHeight="1" spans="1:17">
      <c r="A607" s="26">
        <f t="shared" si="31"/>
        <v>1111003</v>
      </c>
      <c r="B607" s="26">
        <v>1111</v>
      </c>
      <c r="C607" s="26" t="s">
        <v>346</v>
      </c>
      <c r="D607" s="26" t="s">
        <v>347</v>
      </c>
      <c r="E607" s="22">
        <v>26</v>
      </c>
      <c r="F607" s="26">
        <v>3</v>
      </c>
      <c r="G607" s="26">
        <v>15</v>
      </c>
      <c r="H607" s="26" t="s">
        <v>57</v>
      </c>
      <c r="I607" s="27">
        <v>3600</v>
      </c>
      <c r="J607" s="12">
        <v>300</v>
      </c>
      <c r="K607" s="12" t="s">
        <v>50</v>
      </c>
      <c r="L607" s="27"/>
      <c r="M607" s="3" t="s">
        <v>353</v>
      </c>
      <c r="N607" s="3" t="s">
        <v>354</v>
      </c>
      <c r="O607" s="3">
        <v>1111255</v>
      </c>
      <c r="P607" s="29">
        <v>8</v>
      </c>
      <c r="Q607" s="32" t="s">
        <v>86</v>
      </c>
    </row>
    <row r="608" s="9" customFormat="1" customHeight="1" spans="1:17">
      <c r="A608" s="26">
        <f t="shared" si="31"/>
        <v>1111004</v>
      </c>
      <c r="B608" s="26">
        <v>1111</v>
      </c>
      <c r="C608" s="26" t="s">
        <v>346</v>
      </c>
      <c r="D608" s="26" t="s">
        <v>347</v>
      </c>
      <c r="E608" s="22">
        <f t="shared" ref="E608:E664" si="32">E605+1</f>
        <v>27</v>
      </c>
      <c r="F608" s="26">
        <v>4</v>
      </c>
      <c r="G608" s="26">
        <v>15</v>
      </c>
      <c r="H608" s="26" t="s">
        <v>63</v>
      </c>
      <c r="I608" s="27">
        <v>4800</v>
      </c>
      <c r="J608" s="12">
        <v>400</v>
      </c>
      <c r="K608" s="12" t="s">
        <v>55</v>
      </c>
      <c r="L608" s="27"/>
      <c r="M608" s="28"/>
      <c r="N608" s="28"/>
      <c r="O608" s="3">
        <v>1111257</v>
      </c>
      <c r="P608" s="29">
        <v>12</v>
      </c>
      <c r="Q608" s="32" t="s">
        <v>89</v>
      </c>
    </row>
    <row r="609" s="9" customFormat="1" customHeight="1" spans="1:17">
      <c r="A609" s="26">
        <f t="shared" si="31"/>
        <v>1111005</v>
      </c>
      <c r="B609" s="26">
        <v>1111</v>
      </c>
      <c r="C609" s="26" t="s">
        <v>346</v>
      </c>
      <c r="D609" s="26" t="s">
        <v>347</v>
      </c>
      <c r="E609" s="22">
        <f t="shared" si="32"/>
        <v>27</v>
      </c>
      <c r="F609" s="26">
        <v>5</v>
      </c>
      <c r="G609" s="26">
        <v>15</v>
      </c>
      <c r="H609" s="26" t="s">
        <v>69</v>
      </c>
      <c r="I609" s="27">
        <v>6000</v>
      </c>
      <c r="J609" s="12">
        <v>500</v>
      </c>
      <c r="K609" s="12" t="s">
        <v>58</v>
      </c>
      <c r="L609" s="27"/>
      <c r="O609" s="3">
        <v>1111266</v>
      </c>
      <c r="P609" s="29">
        <v>16</v>
      </c>
      <c r="Q609" s="32" t="s">
        <v>92</v>
      </c>
    </row>
    <row r="610" s="9" customFormat="1" customHeight="1" spans="1:17">
      <c r="A610" s="26">
        <f t="shared" si="31"/>
        <v>1111006</v>
      </c>
      <c r="B610" s="26">
        <v>1111</v>
      </c>
      <c r="C610" s="26" t="s">
        <v>346</v>
      </c>
      <c r="D610" s="26" t="s">
        <v>347</v>
      </c>
      <c r="E610" s="22">
        <f t="shared" si="32"/>
        <v>27</v>
      </c>
      <c r="F610" s="26">
        <v>6</v>
      </c>
      <c r="G610" s="26">
        <v>15</v>
      </c>
      <c r="H610" s="26" t="s">
        <v>75</v>
      </c>
      <c r="I610" s="27">
        <v>7200</v>
      </c>
      <c r="J610" s="12">
        <v>600</v>
      </c>
      <c r="K610" s="12" t="s">
        <v>61</v>
      </c>
      <c r="L610" s="27"/>
      <c r="M610" s="28"/>
      <c r="N610" s="28"/>
      <c r="O610" s="3">
        <v>1111254</v>
      </c>
      <c r="P610" s="29">
        <v>20</v>
      </c>
      <c r="Q610" s="32" t="s">
        <v>95</v>
      </c>
    </row>
    <row r="611" s="9" customFormat="1" customHeight="1" spans="1:17">
      <c r="A611" s="26">
        <f t="shared" si="31"/>
        <v>1111007</v>
      </c>
      <c r="B611" s="26">
        <v>1111</v>
      </c>
      <c r="C611" s="26" t="s">
        <v>346</v>
      </c>
      <c r="D611" s="26" t="s">
        <v>347</v>
      </c>
      <c r="E611" s="22">
        <f t="shared" si="32"/>
        <v>28</v>
      </c>
      <c r="F611" s="26">
        <v>7</v>
      </c>
      <c r="G611" s="26">
        <v>15</v>
      </c>
      <c r="H611" s="26" t="s">
        <v>81</v>
      </c>
      <c r="I611" s="27">
        <v>8400</v>
      </c>
      <c r="J611" s="12">
        <v>700</v>
      </c>
      <c r="K611" s="12" t="s">
        <v>64</v>
      </c>
      <c r="L611" s="27"/>
      <c r="M611" s="28"/>
      <c r="N611" s="28"/>
      <c r="O611" s="3">
        <v>1111268</v>
      </c>
      <c r="P611" s="29">
        <v>24</v>
      </c>
      <c r="Q611" s="32" t="s">
        <v>98</v>
      </c>
    </row>
    <row r="612" s="9" customFormat="1" customHeight="1" spans="1:17">
      <c r="A612" s="26">
        <f t="shared" si="31"/>
        <v>1111008</v>
      </c>
      <c r="B612" s="26">
        <v>1111</v>
      </c>
      <c r="C612" s="26" t="s">
        <v>346</v>
      </c>
      <c r="D612" s="26" t="s">
        <v>347</v>
      </c>
      <c r="E612" s="22">
        <f t="shared" si="32"/>
        <v>28</v>
      </c>
      <c r="F612" s="26">
        <v>8</v>
      </c>
      <c r="G612" s="26">
        <v>15</v>
      </c>
      <c r="H612" s="26" t="s">
        <v>87</v>
      </c>
      <c r="I612" s="27">
        <v>9600</v>
      </c>
      <c r="J612" s="12">
        <v>800</v>
      </c>
      <c r="K612" s="12" t="s">
        <v>67</v>
      </c>
      <c r="L612" s="27"/>
      <c r="M612" s="28"/>
      <c r="N612" s="28"/>
      <c r="O612" s="3">
        <v>1111262</v>
      </c>
      <c r="P612" s="29">
        <v>28</v>
      </c>
      <c r="Q612" s="32" t="s">
        <v>101</v>
      </c>
    </row>
    <row r="613" s="9" customFormat="1" customHeight="1" spans="1:17">
      <c r="A613" s="26">
        <f t="shared" si="31"/>
        <v>1111009</v>
      </c>
      <c r="B613" s="26">
        <v>1111</v>
      </c>
      <c r="C613" s="26" t="s">
        <v>346</v>
      </c>
      <c r="D613" s="26" t="s">
        <v>347</v>
      </c>
      <c r="E613" s="22">
        <f t="shared" si="32"/>
        <v>28</v>
      </c>
      <c r="F613" s="26">
        <v>9</v>
      </c>
      <c r="G613" s="26">
        <v>15</v>
      </c>
      <c r="H613" s="26" t="s">
        <v>93</v>
      </c>
      <c r="I613" s="27">
        <v>10800</v>
      </c>
      <c r="J613" s="12">
        <v>900</v>
      </c>
      <c r="K613" s="12" t="s">
        <v>70</v>
      </c>
      <c r="L613" s="27"/>
      <c r="M613" s="28"/>
      <c r="N613" s="28"/>
      <c r="O613" s="3">
        <v>1111259</v>
      </c>
      <c r="P613" s="29">
        <v>32</v>
      </c>
      <c r="Q613" s="32" t="s">
        <v>104</v>
      </c>
    </row>
    <row r="614" s="9" customFormat="1" customHeight="1" spans="1:17">
      <c r="A614" s="26">
        <f t="shared" si="31"/>
        <v>1111010</v>
      </c>
      <c r="B614" s="26">
        <v>1111</v>
      </c>
      <c r="C614" s="26" t="s">
        <v>346</v>
      </c>
      <c r="D614" s="26" t="s">
        <v>347</v>
      </c>
      <c r="E614" s="22">
        <f t="shared" si="32"/>
        <v>29</v>
      </c>
      <c r="F614" s="26">
        <v>10</v>
      </c>
      <c r="G614" s="26">
        <v>15</v>
      </c>
      <c r="H614" s="26" t="s">
        <v>99</v>
      </c>
      <c r="I614" s="27">
        <v>12000</v>
      </c>
      <c r="J614" s="12">
        <v>1000</v>
      </c>
      <c r="K614" s="12" t="s">
        <v>73</v>
      </c>
      <c r="L614" s="27"/>
      <c r="M614" s="28"/>
      <c r="N614" s="28"/>
      <c r="O614" s="3">
        <v>1111258</v>
      </c>
      <c r="P614" s="29">
        <v>36</v>
      </c>
      <c r="Q614" s="32" t="s">
        <v>107</v>
      </c>
    </row>
    <row r="615" s="10" customFormat="1" customHeight="1" spans="1:17">
      <c r="A615" s="26">
        <f t="shared" ref="A615:A646" si="33">B615*1000+F615</f>
        <v>1111011</v>
      </c>
      <c r="B615" s="26">
        <v>1111</v>
      </c>
      <c r="C615" s="26" t="s">
        <v>346</v>
      </c>
      <c r="D615" s="26" t="s">
        <v>347</v>
      </c>
      <c r="E615" s="22">
        <f t="shared" si="32"/>
        <v>29</v>
      </c>
      <c r="F615" s="26">
        <v>11</v>
      </c>
      <c r="G615" s="26">
        <v>15</v>
      </c>
      <c r="H615" s="26" t="s">
        <v>105</v>
      </c>
      <c r="I615" s="27">
        <v>13200</v>
      </c>
      <c r="J615" s="12">
        <v>1100</v>
      </c>
      <c r="K615" s="12" t="s">
        <v>76</v>
      </c>
      <c r="L615" s="27"/>
      <c r="M615" s="28"/>
      <c r="N615" s="28"/>
      <c r="O615" s="3">
        <v>1111270</v>
      </c>
      <c r="P615" s="29">
        <v>40</v>
      </c>
      <c r="Q615" s="32" t="s">
        <v>110</v>
      </c>
    </row>
    <row r="616" s="10" customFormat="1" customHeight="1" spans="1:17">
      <c r="A616" s="26">
        <f t="shared" si="33"/>
        <v>1111012</v>
      </c>
      <c r="B616" s="26">
        <v>1111</v>
      </c>
      <c r="C616" s="26" t="s">
        <v>346</v>
      </c>
      <c r="D616" s="26" t="s">
        <v>347</v>
      </c>
      <c r="E616" s="22">
        <f t="shared" si="32"/>
        <v>29</v>
      </c>
      <c r="F616" s="26">
        <v>12</v>
      </c>
      <c r="G616" s="26">
        <v>15</v>
      </c>
      <c r="H616" s="26" t="s">
        <v>111</v>
      </c>
      <c r="I616" s="27">
        <v>14400</v>
      </c>
      <c r="J616" s="12">
        <v>1200</v>
      </c>
      <c r="K616" s="12" t="s">
        <v>79</v>
      </c>
      <c r="L616" s="27"/>
      <c r="M616" s="28"/>
      <c r="N616" s="28"/>
      <c r="O616" s="3">
        <v>1111269</v>
      </c>
      <c r="P616" s="29">
        <v>44</v>
      </c>
      <c r="Q616" s="32" t="s">
        <v>113</v>
      </c>
    </row>
    <row r="617" s="10" customFormat="1" customHeight="1" spans="1:17">
      <c r="A617" s="26">
        <f t="shared" si="33"/>
        <v>1111013</v>
      </c>
      <c r="B617" s="26">
        <v>1111</v>
      </c>
      <c r="C617" s="26" t="s">
        <v>346</v>
      </c>
      <c r="D617" s="26" t="s">
        <v>347</v>
      </c>
      <c r="E617" s="22">
        <f t="shared" si="32"/>
        <v>30</v>
      </c>
      <c r="F617" s="26">
        <v>13</v>
      </c>
      <c r="G617" s="26">
        <v>15</v>
      </c>
      <c r="H617" s="26" t="s">
        <v>117</v>
      </c>
      <c r="I617" s="27">
        <v>15600</v>
      </c>
      <c r="J617" s="12">
        <v>1300</v>
      </c>
      <c r="K617" s="12" t="s">
        <v>82</v>
      </c>
      <c r="L617" s="27"/>
      <c r="M617" s="28"/>
      <c r="N617" s="28"/>
      <c r="O617" s="3">
        <v>1111252</v>
      </c>
      <c r="P617" s="29">
        <v>48</v>
      </c>
      <c r="Q617" s="32" t="s">
        <v>116</v>
      </c>
    </row>
    <row r="618" s="10" customFormat="1" customHeight="1" spans="1:17">
      <c r="A618" s="26">
        <f t="shared" si="33"/>
        <v>1111014</v>
      </c>
      <c r="B618" s="26">
        <v>1111</v>
      </c>
      <c r="C618" s="26" t="s">
        <v>346</v>
      </c>
      <c r="D618" s="26" t="s">
        <v>347</v>
      </c>
      <c r="E618" s="22">
        <f t="shared" si="32"/>
        <v>30</v>
      </c>
      <c r="F618" s="26">
        <v>14</v>
      </c>
      <c r="G618" s="26">
        <v>15</v>
      </c>
      <c r="H618" s="26" t="s">
        <v>123</v>
      </c>
      <c r="I618" s="27">
        <v>16800</v>
      </c>
      <c r="J618" s="12">
        <v>1400</v>
      </c>
      <c r="K618" s="12" t="s">
        <v>85</v>
      </c>
      <c r="L618" s="27"/>
      <c r="M618" s="28"/>
      <c r="N618" s="28"/>
      <c r="O618" s="3">
        <v>1111253</v>
      </c>
      <c r="P618" s="29">
        <v>52</v>
      </c>
      <c r="Q618" s="32" t="s">
        <v>119</v>
      </c>
    </row>
    <row r="619" s="10" customFormat="1" customHeight="1" spans="1:17">
      <c r="A619" s="26">
        <f t="shared" si="33"/>
        <v>1111015</v>
      </c>
      <c r="B619" s="26">
        <v>1111</v>
      </c>
      <c r="C619" s="26" t="s">
        <v>346</v>
      </c>
      <c r="D619" s="26" t="s">
        <v>347</v>
      </c>
      <c r="E619" s="22">
        <f t="shared" si="32"/>
        <v>30</v>
      </c>
      <c r="F619" s="26">
        <v>15</v>
      </c>
      <c r="G619" s="26">
        <v>15</v>
      </c>
      <c r="H619" s="26" t="s">
        <v>129</v>
      </c>
      <c r="I619" s="27">
        <v>18000</v>
      </c>
      <c r="J619" s="12">
        <v>1500</v>
      </c>
      <c r="K619" s="12" t="s">
        <v>88</v>
      </c>
      <c r="L619" s="27"/>
      <c r="M619" s="28"/>
      <c r="N619" s="28"/>
      <c r="P619" s="29">
        <v>56</v>
      </c>
      <c r="Q619" s="32" t="s">
        <v>122</v>
      </c>
    </row>
    <row r="620" s="10" customFormat="1" customHeight="1" spans="1:17">
      <c r="A620" s="26">
        <f t="shared" si="33"/>
        <v>1111016</v>
      </c>
      <c r="B620" s="26">
        <v>1111</v>
      </c>
      <c r="C620" s="26" t="s">
        <v>346</v>
      </c>
      <c r="D620" s="26" t="s">
        <v>347</v>
      </c>
      <c r="E620" s="22">
        <f t="shared" si="32"/>
        <v>31</v>
      </c>
      <c r="F620" s="26">
        <v>16</v>
      </c>
      <c r="G620" s="26">
        <v>15</v>
      </c>
      <c r="H620" s="26" t="s">
        <v>135</v>
      </c>
      <c r="I620" s="27">
        <v>19200</v>
      </c>
      <c r="J620" s="12">
        <v>1600</v>
      </c>
      <c r="K620" s="12" t="s">
        <v>91</v>
      </c>
      <c r="L620" s="27"/>
      <c r="M620" s="28"/>
      <c r="N620" s="28"/>
      <c r="P620" s="29">
        <v>60</v>
      </c>
      <c r="Q620" s="32" t="s">
        <v>125</v>
      </c>
    </row>
    <row r="621" s="10" customFormat="1" customHeight="1" spans="1:17">
      <c r="A621" s="26">
        <f t="shared" si="33"/>
        <v>1111017</v>
      </c>
      <c r="B621" s="26">
        <v>1111</v>
      </c>
      <c r="C621" s="26" t="s">
        <v>346</v>
      </c>
      <c r="D621" s="26" t="s">
        <v>347</v>
      </c>
      <c r="E621" s="22">
        <f t="shared" si="32"/>
        <v>31</v>
      </c>
      <c r="F621" s="26">
        <v>17</v>
      </c>
      <c r="G621" s="26">
        <v>15</v>
      </c>
      <c r="H621" s="26" t="s">
        <v>141</v>
      </c>
      <c r="I621" s="27">
        <v>20400</v>
      </c>
      <c r="J621" s="12">
        <v>1700</v>
      </c>
      <c r="K621" s="12" t="s">
        <v>94</v>
      </c>
      <c r="L621" s="27"/>
      <c r="M621" s="28"/>
      <c r="N621" s="28"/>
      <c r="P621" s="29">
        <v>64</v>
      </c>
      <c r="Q621" s="32" t="s">
        <v>128</v>
      </c>
    </row>
    <row r="622" s="10" customFormat="1" customHeight="1" spans="1:17">
      <c r="A622" s="26">
        <f t="shared" si="33"/>
        <v>1111018</v>
      </c>
      <c r="B622" s="26">
        <v>1111</v>
      </c>
      <c r="C622" s="26" t="s">
        <v>346</v>
      </c>
      <c r="D622" s="26" t="s">
        <v>347</v>
      </c>
      <c r="E622" s="22">
        <f t="shared" si="32"/>
        <v>31</v>
      </c>
      <c r="F622" s="26">
        <v>18</v>
      </c>
      <c r="G622" s="26">
        <v>15</v>
      </c>
      <c r="H622" s="26" t="s">
        <v>147</v>
      </c>
      <c r="I622" s="27">
        <v>21600</v>
      </c>
      <c r="J622" s="12">
        <v>1800</v>
      </c>
      <c r="K622" s="12" t="s">
        <v>97</v>
      </c>
      <c r="L622" s="27"/>
      <c r="M622" s="28"/>
      <c r="N622" s="28"/>
      <c r="O622" s="4"/>
      <c r="P622" s="29">
        <v>68</v>
      </c>
      <c r="Q622" s="32" t="s">
        <v>131</v>
      </c>
    </row>
    <row r="623" s="10" customFormat="1" customHeight="1" spans="1:17">
      <c r="A623" s="26">
        <f t="shared" si="33"/>
        <v>1111019</v>
      </c>
      <c r="B623" s="26">
        <v>1111</v>
      </c>
      <c r="C623" s="26" t="s">
        <v>346</v>
      </c>
      <c r="D623" s="26" t="s">
        <v>347</v>
      </c>
      <c r="E623" s="22">
        <f t="shared" si="32"/>
        <v>32</v>
      </c>
      <c r="F623" s="26">
        <v>19</v>
      </c>
      <c r="G623" s="26">
        <v>15</v>
      </c>
      <c r="H623" s="26" t="s">
        <v>153</v>
      </c>
      <c r="I623" s="27">
        <v>22800</v>
      </c>
      <c r="J623" s="12">
        <v>1900</v>
      </c>
      <c r="K623" s="12" t="s">
        <v>100</v>
      </c>
      <c r="L623" s="27"/>
      <c r="M623" s="28"/>
      <c r="N623" s="28"/>
      <c r="O623" s="4"/>
      <c r="P623" s="29">
        <v>72</v>
      </c>
      <c r="Q623" s="32" t="s">
        <v>134</v>
      </c>
    </row>
    <row r="624" s="10" customFormat="1" customHeight="1" spans="1:17">
      <c r="A624" s="26">
        <f t="shared" si="33"/>
        <v>1111020</v>
      </c>
      <c r="B624" s="26">
        <v>1111</v>
      </c>
      <c r="C624" s="26" t="s">
        <v>346</v>
      </c>
      <c r="D624" s="26" t="s">
        <v>347</v>
      </c>
      <c r="E624" s="22">
        <f t="shared" si="32"/>
        <v>32</v>
      </c>
      <c r="F624" s="26">
        <v>20</v>
      </c>
      <c r="G624" s="26">
        <v>15</v>
      </c>
      <c r="H624" s="26" t="s">
        <v>159</v>
      </c>
      <c r="I624" s="27">
        <v>24000</v>
      </c>
      <c r="J624" s="12">
        <v>2000</v>
      </c>
      <c r="K624" s="12" t="s">
        <v>103</v>
      </c>
      <c r="L624" s="27"/>
      <c r="M624" s="28"/>
      <c r="N624" s="28"/>
      <c r="O624" s="4"/>
      <c r="P624" s="29">
        <v>76</v>
      </c>
      <c r="Q624" s="32" t="s">
        <v>137</v>
      </c>
    </row>
    <row r="625" s="10" customFormat="1" customHeight="1" spans="1:17">
      <c r="A625" s="26">
        <f t="shared" si="33"/>
        <v>1111021</v>
      </c>
      <c r="B625" s="26">
        <v>1111</v>
      </c>
      <c r="C625" s="26" t="s">
        <v>346</v>
      </c>
      <c r="D625" s="26" t="s">
        <v>347</v>
      </c>
      <c r="E625" s="22">
        <f t="shared" si="32"/>
        <v>32</v>
      </c>
      <c r="F625" s="26">
        <v>21</v>
      </c>
      <c r="G625" s="26">
        <v>15</v>
      </c>
      <c r="H625" s="26" t="s">
        <v>165</v>
      </c>
      <c r="I625" s="27">
        <v>25200</v>
      </c>
      <c r="J625" s="12">
        <v>2100</v>
      </c>
      <c r="K625" s="12" t="s">
        <v>106</v>
      </c>
      <c r="L625" s="27"/>
      <c r="M625" s="28"/>
      <c r="N625" s="28"/>
      <c r="O625" s="3"/>
      <c r="P625" s="29">
        <v>80</v>
      </c>
      <c r="Q625" s="32" t="s">
        <v>140</v>
      </c>
    </row>
    <row r="626" s="10" customFormat="1" customHeight="1" spans="1:17">
      <c r="A626" s="26">
        <f t="shared" si="33"/>
        <v>1111022</v>
      </c>
      <c r="B626" s="26">
        <v>1111</v>
      </c>
      <c r="C626" s="26" t="s">
        <v>346</v>
      </c>
      <c r="D626" s="26" t="s">
        <v>347</v>
      </c>
      <c r="E626" s="22">
        <f t="shared" si="32"/>
        <v>33</v>
      </c>
      <c r="F626" s="26">
        <v>22</v>
      </c>
      <c r="G626" s="26">
        <v>15</v>
      </c>
      <c r="H626" s="26" t="s">
        <v>171</v>
      </c>
      <c r="I626" s="27">
        <v>26400</v>
      </c>
      <c r="J626" s="12">
        <v>2200</v>
      </c>
      <c r="K626" s="12" t="s">
        <v>109</v>
      </c>
      <c r="L626" s="27"/>
      <c r="M626" s="28"/>
      <c r="N626" s="28"/>
      <c r="O626" s="3"/>
      <c r="P626" s="29">
        <v>84</v>
      </c>
      <c r="Q626" s="32" t="s">
        <v>143</v>
      </c>
    </row>
    <row r="627" s="10" customFormat="1" customHeight="1" spans="1:17">
      <c r="A627" s="26">
        <f t="shared" si="33"/>
        <v>1111023</v>
      </c>
      <c r="B627" s="26">
        <v>1111</v>
      </c>
      <c r="C627" s="26" t="s">
        <v>346</v>
      </c>
      <c r="D627" s="26" t="s">
        <v>347</v>
      </c>
      <c r="E627" s="22">
        <f t="shared" si="32"/>
        <v>33</v>
      </c>
      <c r="F627" s="26">
        <v>23</v>
      </c>
      <c r="G627" s="26">
        <v>15</v>
      </c>
      <c r="H627" s="26" t="s">
        <v>177</v>
      </c>
      <c r="I627" s="27">
        <v>27600</v>
      </c>
      <c r="J627" s="12">
        <v>2300</v>
      </c>
      <c r="K627" s="12" t="s">
        <v>112</v>
      </c>
      <c r="L627" s="27"/>
      <c r="M627" s="28"/>
      <c r="N627" s="28"/>
      <c r="O627" s="3"/>
      <c r="P627" s="29">
        <v>88</v>
      </c>
      <c r="Q627" s="32" t="s">
        <v>146</v>
      </c>
    </row>
    <row r="628" s="10" customFormat="1" customHeight="1" spans="1:17">
      <c r="A628" s="26">
        <f t="shared" si="33"/>
        <v>1111024</v>
      </c>
      <c r="B628" s="26">
        <v>1111</v>
      </c>
      <c r="C628" s="26" t="s">
        <v>346</v>
      </c>
      <c r="D628" s="26" t="s">
        <v>347</v>
      </c>
      <c r="E628" s="22">
        <f t="shared" si="32"/>
        <v>33</v>
      </c>
      <c r="F628" s="26">
        <v>24</v>
      </c>
      <c r="G628" s="26">
        <v>15</v>
      </c>
      <c r="H628" s="26" t="s">
        <v>183</v>
      </c>
      <c r="I628" s="27">
        <v>28800</v>
      </c>
      <c r="J628" s="12">
        <v>2400</v>
      </c>
      <c r="K628" s="12" t="s">
        <v>115</v>
      </c>
      <c r="L628" s="27"/>
      <c r="M628" s="28"/>
      <c r="N628" s="28"/>
      <c r="O628" s="3"/>
      <c r="P628" s="29">
        <v>92</v>
      </c>
      <c r="Q628" s="32" t="s">
        <v>149</v>
      </c>
    </row>
    <row r="629" s="10" customFormat="1" customHeight="1" spans="1:17">
      <c r="A629" s="26">
        <f t="shared" si="33"/>
        <v>1111025</v>
      </c>
      <c r="B629" s="26">
        <v>1111</v>
      </c>
      <c r="C629" s="26" t="s">
        <v>346</v>
      </c>
      <c r="D629" s="26" t="s">
        <v>347</v>
      </c>
      <c r="E629" s="22">
        <f t="shared" si="32"/>
        <v>34</v>
      </c>
      <c r="F629" s="26">
        <v>25</v>
      </c>
      <c r="G629" s="26">
        <v>15</v>
      </c>
      <c r="H629" s="26" t="s">
        <v>189</v>
      </c>
      <c r="I629" s="27">
        <v>30000</v>
      </c>
      <c r="J629" s="12">
        <v>2500</v>
      </c>
      <c r="K629" s="12" t="s">
        <v>118</v>
      </c>
      <c r="L629" s="27"/>
      <c r="M629" s="28"/>
      <c r="N629" s="28"/>
      <c r="O629" s="30"/>
      <c r="P629" s="29">
        <v>96</v>
      </c>
      <c r="Q629" s="32" t="s">
        <v>152</v>
      </c>
    </row>
    <row r="630" s="10" customFormat="1" customHeight="1" spans="1:17">
      <c r="A630" s="26">
        <f t="shared" si="33"/>
        <v>1111026</v>
      </c>
      <c r="B630" s="26">
        <v>1111</v>
      </c>
      <c r="C630" s="26" t="s">
        <v>346</v>
      </c>
      <c r="D630" s="26" t="s">
        <v>347</v>
      </c>
      <c r="E630" s="22">
        <f t="shared" si="32"/>
        <v>34</v>
      </c>
      <c r="F630" s="26">
        <v>26</v>
      </c>
      <c r="G630" s="26">
        <v>15</v>
      </c>
      <c r="H630" s="26" t="s">
        <v>195</v>
      </c>
      <c r="I630" s="27">
        <v>31200</v>
      </c>
      <c r="J630" s="12">
        <v>2600</v>
      </c>
      <c r="K630" s="12" t="s">
        <v>121</v>
      </c>
      <c r="L630" s="27"/>
      <c r="M630" s="28"/>
      <c r="N630" s="28"/>
      <c r="O630" s="30"/>
      <c r="P630" s="29">
        <v>100</v>
      </c>
      <c r="Q630" s="32" t="s">
        <v>155</v>
      </c>
    </row>
    <row r="631" s="10" customFormat="1" customHeight="1" spans="1:17">
      <c r="A631" s="26">
        <f t="shared" si="33"/>
        <v>1111027</v>
      </c>
      <c r="B631" s="26">
        <v>1111</v>
      </c>
      <c r="C631" s="26" t="s">
        <v>346</v>
      </c>
      <c r="D631" s="26" t="s">
        <v>347</v>
      </c>
      <c r="E631" s="22">
        <f t="shared" si="32"/>
        <v>34</v>
      </c>
      <c r="F631" s="26">
        <v>27</v>
      </c>
      <c r="G631" s="26">
        <v>15</v>
      </c>
      <c r="H631" s="26" t="s">
        <v>201</v>
      </c>
      <c r="I631" s="27">
        <v>32400</v>
      </c>
      <c r="J631" s="12">
        <v>2700</v>
      </c>
      <c r="K631" s="12" t="s">
        <v>124</v>
      </c>
      <c r="L631" s="27"/>
      <c r="M631" s="28"/>
      <c r="N631" s="28"/>
      <c r="O631" s="30"/>
      <c r="P631" s="29">
        <v>104</v>
      </c>
      <c r="Q631" s="32" t="s">
        <v>158</v>
      </c>
    </row>
    <row r="632" s="10" customFormat="1" customHeight="1" spans="1:17">
      <c r="A632" s="26">
        <f t="shared" si="33"/>
        <v>1111028</v>
      </c>
      <c r="B632" s="26">
        <v>1111</v>
      </c>
      <c r="C632" s="26" t="s">
        <v>346</v>
      </c>
      <c r="D632" s="26" t="s">
        <v>347</v>
      </c>
      <c r="E632" s="22">
        <f t="shared" si="32"/>
        <v>35</v>
      </c>
      <c r="F632" s="26">
        <v>28</v>
      </c>
      <c r="G632" s="26">
        <v>15</v>
      </c>
      <c r="H632" s="26" t="s">
        <v>207</v>
      </c>
      <c r="I632" s="27">
        <v>33600</v>
      </c>
      <c r="J632" s="12">
        <v>2800</v>
      </c>
      <c r="K632" s="12" t="s">
        <v>127</v>
      </c>
      <c r="L632" s="27"/>
      <c r="M632" s="28"/>
      <c r="N632" s="28"/>
      <c r="O632" s="30" t="s">
        <v>234</v>
      </c>
      <c r="P632" s="29">
        <v>108</v>
      </c>
      <c r="Q632" s="32" t="s">
        <v>161</v>
      </c>
    </row>
    <row r="633" s="10" customFormat="1" customHeight="1" spans="1:17">
      <c r="A633" s="26">
        <f t="shared" si="33"/>
        <v>1111029</v>
      </c>
      <c r="B633" s="26">
        <v>1111</v>
      </c>
      <c r="C633" s="26" t="s">
        <v>346</v>
      </c>
      <c r="D633" s="26" t="s">
        <v>347</v>
      </c>
      <c r="E633" s="22">
        <f t="shared" si="32"/>
        <v>35</v>
      </c>
      <c r="F633" s="26">
        <v>29</v>
      </c>
      <c r="G633" s="26">
        <v>15</v>
      </c>
      <c r="H633" s="26" t="s">
        <v>213</v>
      </c>
      <c r="I633" s="27">
        <v>34800</v>
      </c>
      <c r="J633" s="12">
        <v>2900</v>
      </c>
      <c r="K633" s="12" t="s">
        <v>130</v>
      </c>
      <c r="L633" s="27"/>
      <c r="M633" s="28"/>
      <c r="N633" s="28"/>
      <c r="O633" s="30" t="s">
        <v>234</v>
      </c>
      <c r="P633" s="29">
        <v>112</v>
      </c>
      <c r="Q633" s="32" t="s">
        <v>164</v>
      </c>
    </row>
    <row r="634" s="10" customFormat="1" customHeight="1" spans="1:17">
      <c r="A634" s="26">
        <f t="shared" si="33"/>
        <v>1111030</v>
      </c>
      <c r="B634" s="26">
        <v>1111</v>
      </c>
      <c r="C634" s="26" t="s">
        <v>346</v>
      </c>
      <c r="D634" s="26" t="s">
        <v>347</v>
      </c>
      <c r="E634" s="22">
        <f t="shared" si="32"/>
        <v>35</v>
      </c>
      <c r="F634" s="26">
        <v>30</v>
      </c>
      <c r="G634" s="26">
        <v>15</v>
      </c>
      <c r="H634" s="26" t="s">
        <v>219</v>
      </c>
      <c r="I634" s="27">
        <v>36000</v>
      </c>
      <c r="J634" s="12">
        <v>3000</v>
      </c>
      <c r="K634" s="12" t="s">
        <v>133</v>
      </c>
      <c r="L634" s="27"/>
      <c r="M634" s="28"/>
      <c r="N634" s="28"/>
      <c r="O634" s="30" t="s">
        <v>234</v>
      </c>
      <c r="P634" s="29">
        <v>116</v>
      </c>
      <c r="Q634" s="32" t="s">
        <v>167</v>
      </c>
    </row>
    <row r="635" s="10" customFormat="1" customHeight="1" spans="1:17">
      <c r="A635" s="26">
        <f t="shared" si="33"/>
        <v>1111031</v>
      </c>
      <c r="B635" s="26">
        <v>1111</v>
      </c>
      <c r="C635" s="26" t="s">
        <v>346</v>
      </c>
      <c r="D635" s="26" t="s">
        <v>347</v>
      </c>
      <c r="E635" s="22">
        <f t="shared" si="32"/>
        <v>36</v>
      </c>
      <c r="F635" s="26">
        <v>31</v>
      </c>
      <c r="G635" s="26">
        <v>15</v>
      </c>
      <c r="H635" s="26" t="s">
        <v>235</v>
      </c>
      <c r="I635" s="27">
        <v>37200</v>
      </c>
      <c r="J635" s="12">
        <v>3100</v>
      </c>
      <c r="K635" s="12" t="s">
        <v>136</v>
      </c>
      <c r="L635" s="27"/>
      <c r="M635" s="28"/>
      <c r="N635" s="28"/>
      <c r="O635" s="30" t="s">
        <v>234</v>
      </c>
      <c r="P635" s="29">
        <v>120</v>
      </c>
      <c r="Q635" s="32" t="s">
        <v>170</v>
      </c>
    </row>
    <row r="636" s="10" customFormat="1" customHeight="1" spans="1:17">
      <c r="A636" s="26">
        <f t="shared" si="33"/>
        <v>1111032</v>
      </c>
      <c r="B636" s="26">
        <v>1111</v>
      </c>
      <c r="C636" s="26" t="s">
        <v>346</v>
      </c>
      <c r="D636" s="26" t="s">
        <v>347</v>
      </c>
      <c r="E636" s="22">
        <f t="shared" si="32"/>
        <v>36</v>
      </c>
      <c r="F636" s="26">
        <v>32</v>
      </c>
      <c r="G636" s="26">
        <v>15</v>
      </c>
      <c r="H636" s="26" t="s">
        <v>236</v>
      </c>
      <c r="I636" s="27">
        <v>38400</v>
      </c>
      <c r="J636" s="12">
        <v>3200</v>
      </c>
      <c r="K636" s="12" t="s">
        <v>139</v>
      </c>
      <c r="L636" s="27"/>
      <c r="M636" s="28"/>
      <c r="N636" s="28"/>
      <c r="O636" s="30" t="s">
        <v>234</v>
      </c>
      <c r="P636" s="29">
        <v>124</v>
      </c>
      <c r="Q636" s="32" t="s">
        <v>173</v>
      </c>
    </row>
    <row r="637" s="10" customFormat="1" customHeight="1" spans="1:17">
      <c r="A637" s="26">
        <f t="shared" si="33"/>
        <v>1111033</v>
      </c>
      <c r="B637" s="26">
        <v>1111</v>
      </c>
      <c r="C637" s="26" t="s">
        <v>346</v>
      </c>
      <c r="D637" s="26" t="s">
        <v>347</v>
      </c>
      <c r="E637" s="22">
        <f t="shared" si="32"/>
        <v>36</v>
      </c>
      <c r="F637" s="26">
        <v>33</v>
      </c>
      <c r="G637" s="26">
        <v>15</v>
      </c>
      <c r="H637" s="26" t="s">
        <v>237</v>
      </c>
      <c r="I637" s="27">
        <v>39600</v>
      </c>
      <c r="J637" s="12">
        <v>3300</v>
      </c>
      <c r="K637" s="12" t="s">
        <v>142</v>
      </c>
      <c r="L637" s="27"/>
      <c r="M637" s="28"/>
      <c r="N637" s="28"/>
      <c r="O637" s="30" t="s">
        <v>234</v>
      </c>
      <c r="P637" s="29">
        <v>128</v>
      </c>
      <c r="Q637" s="32" t="s">
        <v>176</v>
      </c>
    </row>
    <row r="638" s="10" customFormat="1" customHeight="1" spans="1:17">
      <c r="A638" s="26">
        <f t="shared" si="33"/>
        <v>1111034</v>
      </c>
      <c r="B638" s="26">
        <v>1111</v>
      </c>
      <c r="C638" s="26" t="s">
        <v>346</v>
      </c>
      <c r="D638" s="26" t="s">
        <v>347</v>
      </c>
      <c r="E638" s="22">
        <f t="shared" si="32"/>
        <v>37</v>
      </c>
      <c r="F638" s="26">
        <v>34</v>
      </c>
      <c r="G638" s="26">
        <v>15</v>
      </c>
      <c r="H638" s="26" t="s">
        <v>238</v>
      </c>
      <c r="I638" s="27">
        <v>40800</v>
      </c>
      <c r="J638" s="12">
        <v>3400</v>
      </c>
      <c r="K638" s="12" t="s">
        <v>145</v>
      </c>
      <c r="L638" s="27"/>
      <c r="M638" s="28"/>
      <c r="N638" s="28"/>
      <c r="O638" s="30" t="s">
        <v>234</v>
      </c>
      <c r="P638" s="29">
        <v>132</v>
      </c>
      <c r="Q638" s="32" t="s">
        <v>179</v>
      </c>
    </row>
    <row r="639" s="10" customFormat="1" customHeight="1" spans="1:17">
      <c r="A639" s="26">
        <f t="shared" si="33"/>
        <v>1111035</v>
      </c>
      <c r="B639" s="26">
        <v>1111</v>
      </c>
      <c r="C639" s="26" t="s">
        <v>346</v>
      </c>
      <c r="D639" s="26" t="s">
        <v>347</v>
      </c>
      <c r="E639" s="22">
        <f t="shared" si="32"/>
        <v>37</v>
      </c>
      <c r="F639" s="26">
        <v>35</v>
      </c>
      <c r="G639" s="26">
        <v>15</v>
      </c>
      <c r="H639" s="26" t="s">
        <v>239</v>
      </c>
      <c r="I639" s="27">
        <v>42000</v>
      </c>
      <c r="J639" s="12">
        <v>3500</v>
      </c>
      <c r="K639" s="12" t="s">
        <v>148</v>
      </c>
      <c r="L639" s="27"/>
      <c r="M639" s="28"/>
      <c r="N639" s="28"/>
      <c r="O639" s="30" t="s">
        <v>234</v>
      </c>
      <c r="P639" s="29">
        <v>136</v>
      </c>
      <c r="Q639" s="32" t="s">
        <v>182</v>
      </c>
    </row>
    <row r="640" s="10" customFormat="1" customHeight="1" spans="1:17">
      <c r="A640" s="26">
        <f t="shared" si="33"/>
        <v>1111036</v>
      </c>
      <c r="B640" s="26">
        <v>1111</v>
      </c>
      <c r="C640" s="26" t="s">
        <v>346</v>
      </c>
      <c r="D640" s="26" t="s">
        <v>347</v>
      </c>
      <c r="E640" s="22">
        <f t="shared" si="32"/>
        <v>37</v>
      </c>
      <c r="F640" s="26">
        <v>36</v>
      </c>
      <c r="G640" s="26">
        <v>15</v>
      </c>
      <c r="H640" s="26" t="s">
        <v>240</v>
      </c>
      <c r="I640" s="27">
        <v>43200</v>
      </c>
      <c r="J640" s="12">
        <v>3600</v>
      </c>
      <c r="K640" s="12" t="s">
        <v>151</v>
      </c>
      <c r="L640" s="27"/>
      <c r="M640" s="28"/>
      <c r="N640" s="28"/>
      <c r="O640" s="30" t="s">
        <v>234</v>
      </c>
      <c r="P640" s="29">
        <v>140</v>
      </c>
      <c r="Q640" s="32" t="s">
        <v>185</v>
      </c>
    </row>
    <row r="641" s="10" customFormat="1" customHeight="1" spans="1:17">
      <c r="A641" s="26">
        <f t="shared" si="33"/>
        <v>1111037</v>
      </c>
      <c r="B641" s="26">
        <v>1111</v>
      </c>
      <c r="C641" s="26" t="s">
        <v>346</v>
      </c>
      <c r="D641" s="26" t="s">
        <v>347</v>
      </c>
      <c r="E641" s="22">
        <f t="shared" si="32"/>
        <v>38</v>
      </c>
      <c r="F641" s="26">
        <v>37</v>
      </c>
      <c r="G641" s="26">
        <v>15</v>
      </c>
      <c r="H641" s="26" t="s">
        <v>241</v>
      </c>
      <c r="I641" s="27">
        <v>44400</v>
      </c>
      <c r="J641" s="12">
        <v>3700</v>
      </c>
      <c r="K641" s="12" t="s">
        <v>154</v>
      </c>
      <c r="L641" s="27"/>
      <c r="M641" s="28"/>
      <c r="N641" s="28"/>
      <c r="O641" s="30" t="s">
        <v>234</v>
      </c>
      <c r="P641" s="29">
        <v>144</v>
      </c>
      <c r="Q641" s="32" t="s">
        <v>188</v>
      </c>
    </row>
    <row r="642" s="10" customFormat="1" customHeight="1" spans="1:17">
      <c r="A642" s="26">
        <f t="shared" si="33"/>
        <v>1111038</v>
      </c>
      <c r="B642" s="26">
        <v>1111</v>
      </c>
      <c r="C642" s="26" t="s">
        <v>346</v>
      </c>
      <c r="D642" s="26" t="s">
        <v>347</v>
      </c>
      <c r="E642" s="22">
        <f t="shared" si="32"/>
        <v>38</v>
      </c>
      <c r="F642" s="26">
        <v>38</v>
      </c>
      <c r="G642" s="26">
        <v>15</v>
      </c>
      <c r="H642" s="26" t="s">
        <v>242</v>
      </c>
      <c r="I642" s="27">
        <v>45600</v>
      </c>
      <c r="J642" s="12">
        <v>3800</v>
      </c>
      <c r="K642" s="12" t="s">
        <v>157</v>
      </c>
      <c r="L642" s="27"/>
      <c r="M642" s="28"/>
      <c r="N642" s="28"/>
      <c r="O642" s="30" t="s">
        <v>234</v>
      </c>
      <c r="P642" s="29">
        <v>148</v>
      </c>
      <c r="Q642" s="32" t="s">
        <v>191</v>
      </c>
    </row>
    <row r="643" s="10" customFormat="1" customHeight="1" spans="1:17">
      <c r="A643" s="26">
        <f t="shared" si="33"/>
        <v>1111039</v>
      </c>
      <c r="B643" s="26">
        <v>1111</v>
      </c>
      <c r="C643" s="26" t="s">
        <v>346</v>
      </c>
      <c r="D643" s="26" t="s">
        <v>347</v>
      </c>
      <c r="E643" s="22">
        <f t="shared" si="32"/>
        <v>38</v>
      </c>
      <c r="F643" s="26">
        <v>39</v>
      </c>
      <c r="G643" s="26">
        <v>15</v>
      </c>
      <c r="H643" s="26" t="s">
        <v>243</v>
      </c>
      <c r="I643" s="27">
        <v>46800</v>
      </c>
      <c r="J643" s="12">
        <v>3900</v>
      </c>
      <c r="K643" s="12" t="s">
        <v>160</v>
      </c>
      <c r="L643" s="27"/>
      <c r="M643" s="28"/>
      <c r="N643" s="28"/>
      <c r="O643" s="30" t="s">
        <v>234</v>
      </c>
      <c r="P643" s="29">
        <v>152</v>
      </c>
      <c r="Q643" s="32" t="s">
        <v>194</v>
      </c>
    </row>
    <row r="644" s="10" customFormat="1" customHeight="1" spans="1:17">
      <c r="A644" s="26">
        <f t="shared" si="33"/>
        <v>1111040</v>
      </c>
      <c r="B644" s="26">
        <v>1111</v>
      </c>
      <c r="C644" s="26" t="s">
        <v>346</v>
      </c>
      <c r="D644" s="26" t="s">
        <v>347</v>
      </c>
      <c r="E644" s="22">
        <f t="shared" si="32"/>
        <v>39</v>
      </c>
      <c r="F644" s="26">
        <v>40</v>
      </c>
      <c r="G644" s="26">
        <v>15</v>
      </c>
      <c r="H644" s="26" t="s">
        <v>244</v>
      </c>
      <c r="I644" s="27">
        <v>48000</v>
      </c>
      <c r="J644" s="12">
        <v>4000</v>
      </c>
      <c r="K644" s="12" t="s">
        <v>163</v>
      </c>
      <c r="L644" s="27"/>
      <c r="M644" s="28"/>
      <c r="N644" s="28"/>
      <c r="O644" s="30" t="s">
        <v>234</v>
      </c>
      <c r="P644" s="29">
        <v>156</v>
      </c>
      <c r="Q644" s="32" t="s">
        <v>197</v>
      </c>
    </row>
    <row r="645" s="10" customFormat="1" customHeight="1" spans="1:17">
      <c r="A645" s="26">
        <f t="shared" si="33"/>
        <v>1111041</v>
      </c>
      <c r="B645" s="26">
        <v>1111</v>
      </c>
      <c r="C645" s="26" t="s">
        <v>346</v>
      </c>
      <c r="D645" s="26" t="s">
        <v>347</v>
      </c>
      <c r="E645" s="22">
        <f t="shared" si="32"/>
        <v>39</v>
      </c>
      <c r="F645" s="26">
        <v>41</v>
      </c>
      <c r="G645" s="26">
        <v>15</v>
      </c>
      <c r="H645" s="26" t="s">
        <v>245</v>
      </c>
      <c r="I645" s="27">
        <v>49200</v>
      </c>
      <c r="J645" s="12">
        <v>4100</v>
      </c>
      <c r="K645" s="12" t="s">
        <v>166</v>
      </c>
      <c r="L645" s="27"/>
      <c r="M645" s="28"/>
      <c r="N645" s="28"/>
      <c r="O645" s="30" t="s">
        <v>234</v>
      </c>
      <c r="P645" s="29">
        <v>160</v>
      </c>
      <c r="Q645" s="32" t="s">
        <v>200</v>
      </c>
    </row>
    <row r="646" s="10" customFormat="1" customHeight="1" spans="1:17">
      <c r="A646" s="26">
        <f t="shared" si="33"/>
        <v>1111042</v>
      </c>
      <c r="B646" s="26">
        <v>1111</v>
      </c>
      <c r="C646" s="26" t="s">
        <v>346</v>
      </c>
      <c r="D646" s="26" t="s">
        <v>347</v>
      </c>
      <c r="E646" s="22">
        <f t="shared" si="32"/>
        <v>39</v>
      </c>
      <c r="F646" s="26">
        <v>42</v>
      </c>
      <c r="G646" s="26">
        <v>15</v>
      </c>
      <c r="H646" s="26" t="s">
        <v>246</v>
      </c>
      <c r="I646" s="27">
        <v>50400</v>
      </c>
      <c r="J646" s="12">
        <v>4200</v>
      </c>
      <c r="K646" s="12" t="s">
        <v>169</v>
      </c>
      <c r="L646" s="27"/>
      <c r="M646" s="28"/>
      <c r="N646" s="28"/>
      <c r="O646" s="30" t="s">
        <v>234</v>
      </c>
      <c r="P646" s="29">
        <v>164</v>
      </c>
      <c r="Q646" s="32" t="s">
        <v>203</v>
      </c>
    </row>
    <row r="647" s="10" customFormat="1" customHeight="1" spans="1:17">
      <c r="A647" s="26">
        <f t="shared" ref="A647:A664" si="34">B647*1000+F647</f>
        <v>1111043</v>
      </c>
      <c r="B647" s="26">
        <v>1111</v>
      </c>
      <c r="C647" s="26" t="s">
        <v>346</v>
      </c>
      <c r="D647" s="26" t="s">
        <v>347</v>
      </c>
      <c r="E647" s="22">
        <f t="shared" si="32"/>
        <v>40</v>
      </c>
      <c r="F647" s="26">
        <v>43</v>
      </c>
      <c r="G647" s="26">
        <v>15</v>
      </c>
      <c r="H647" s="26" t="s">
        <v>247</v>
      </c>
      <c r="I647" s="27">
        <v>51600</v>
      </c>
      <c r="J647" s="12">
        <v>4300</v>
      </c>
      <c r="K647" s="12" t="s">
        <v>172</v>
      </c>
      <c r="L647" s="27"/>
      <c r="M647" s="28"/>
      <c r="N647" s="28"/>
      <c r="O647" s="30" t="s">
        <v>234</v>
      </c>
      <c r="P647" s="29">
        <v>168</v>
      </c>
      <c r="Q647" s="32" t="s">
        <v>206</v>
      </c>
    </row>
    <row r="648" s="10" customFormat="1" customHeight="1" spans="1:17">
      <c r="A648" s="26">
        <f t="shared" si="34"/>
        <v>1111044</v>
      </c>
      <c r="B648" s="26">
        <v>1111</v>
      </c>
      <c r="C648" s="26" t="s">
        <v>346</v>
      </c>
      <c r="D648" s="26" t="s">
        <v>347</v>
      </c>
      <c r="E648" s="22">
        <f t="shared" si="32"/>
        <v>40</v>
      </c>
      <c r="F648" s="26">
        <v>44</v>
      </c>
      <c r="G648" s="26">
        <v>15</v>
      </c>
      <c r="H648" s="26" t="s">
        <v>248</v>
      </c>
      <c r="I648" s="27">
        <v>52800</v>
      </c>
      <c r="J648" s="12">
        <v>4400</v>
      </c>
      <c r="K648" s="12" t="s">
        <v>175</v>
      </c>
      <c r="L648" s="27"/>
      <c r="M648" s="28"/>
      <c r="N648" s="28"/>
      <c r="O648" s="30" t="s">
        <v>234</v>
      </c>
      <c r="P648" s="29">
        <v>172</v>
      </c>
      <c r="Q648" s="32" t="s">
        <v>209</v>
      </c>
    </row>
    <row r="649" s="10" customFormat="1" customHeight="1" spans="1:17">
      <c r="A649" s="26">
        <f t="shared" si="34"/>
        <v>1111045</v>
      </c>
      <c r="B649" s="26">
        <v>1111</v>
      </c>
      <c r="C649" s="26" t="s">
        <v>346</v>
      </c>
      <c r="D649" s="26" t="s">
        <v>347</v>
      </c>
      <c r="E649" s="22">
        <f t="shared" si="32"/>
        <v>40</v>
      </c>
      <c r="F649" s="26">
        <v>45</v>
      </c>
      <c r="G649" s="26">
        <v>15</v>
      </c>
      <c r="H649" s="26" t="s">
        <v>249</v>
      </c>
      <c r="I649" s="27">
        <v>54000</v>
      </c>
      <c r="J649" s="12">
        <v>4500</v>
      </c>
      <c r="K649" s="12" t="s">
        <v>178</v>
      </c>
      <c r="L649" s="27"/>
      <c r="M649" s="28"/>
      <c r="N649" s="28"/>
      <c r="O649" s="3" t="s">
        <v>234</v>
      </c>
      <c r="P649" s="29">
        <v>176</v>
      </c>
      <c r="Q649" s="32" t="s">
        <v>212</v>
      </c>
    </row>
    <row r="650" s="10" customFormat="1" customHeight="1" spans="1:17">
      <c r="A650" s="26">
        <f t="shared" si="34"/>
        <v>1111046</v>
      </c>
      <c r="B650" s="26">
        <v>1111</v>
      </c>
      <c r="C650" s="26" t="s">
        <v>346</v>
      </c>
      <c r="D650" s="26" t="s">
        <v>347</v>
      </c>
      <c r="E650" s="22">
        <f t="shared" si="32"/>
        <v>41</v>
      </c>
      <c r="F650" s="26">
        <v>46</v>
      </c>
      <c r="G650" s="26">
        <v>15</v>
      </c>
      <c r="H650" s="26" t="s">
        <v>250</v>
      </c>
      <c r="I650" s="27">
        <v>55200</v>
      </c>
      <c r="J650" s="12">
        <v>4600</v>
      </c>
      <c r="K650" s="12" t="s">
        <v>181</v>
      </c>
      <c r="L650" s="27"/>
      <c r="M650" s="28"/>
      <c r="N650" s="28"/>
      <c r="O650" s="3" t="s">
        <v>234</v>
      </c>
      <c r="P650" s="29">
        <v>180</v>
      </c>
      <c r="Q650" s="32" t="s">
        <v>215</v>
      </c>
    </row>
    <row r="651" s="10" customFormat="1" customHeight="1" spans="1:17">
      <c r="A651" s="26">
        <f t="shared" si="34"/>
        <v>1111047</v>
      </c>
      <c r="B651" s="26">
        <v>1111</v>
      </c>
      <c r="C651" s="26" t="s">
        <v>346</v>
      </c>
      <c r="D651" s="26" t="s">
        <v>347</v>
      </c>
      <c r="E651" s="22">
        <f t="shared" si="32"/>
        <v>41</v>
      </c>
      <c r="F651" s="26">
        <v>47</v>
      </c>
      <c r="G651" s="26">
        <v>15</v>
      </c>
      <c r="H651" s="26" t="s">
        <v>251</v>
      </c>
      <c r="I651" s="27">
        <v>56400</v>
      </c>
      <c r="J651" s="12">
        <v>4700</v>
      </c>
      <c r="K651" s="12" t="s">
        <v>184</v>
      </c>
      <c r="L651" s="27"/>
      <c r="M651" s="28"/>
      <c r="N651" s="28"/>
      <c r="O651" s="3" t="s">
        <v>234</v>
      </c>
      <c r="P651" s="29">
        <v>184</v>
      </c>
      <c r="Q651" s="32" t="s">
        <v>218</v>
      </c>
    </row>
    <row r="652" s="10" customFormat="1" customHeight="1" spans="1:17">
      <c r="A652" s="26">
        <f t="shared" si="34"/>
        <v>1111048</v>
      </c>
      <c r="B652" s="26">
        <v>1111</v>
      </c>
      <c r="C652" s="26" t="s">
        <v>346</v>
      </c>
      <c r="D652" s="26" t="s">
        <v>347</v>
      </c>
      <c r="E652" s="22">
        <f t="shared" si="32"/>
        <v>41</v>
      </c>
      <c r="F652" s="26">
        <v>48</v>
      </c>
      <c r="G652" s="26">
        <v>15</v>
      </c>
      <c r="H652" s="26" t="s">
        <v>252</v>
      </c>
      <c r="I652" s="27">
        <v>57600</v>
      </c>
      <c r="J652" s="12">
        <v>4800</v>
      </c>
      <c r="K652" s="12" t="s">
        <v>187</v>
      </c>
      <c r="L652" s="27"/>
      <c r="M652" s="28"/>
      <c r="N652" s="28"/>
      <c r="O652" s="3" t="s">
        <v>234</v>
      </c>
      <c r="P652" s="29">
        <v>188</v>
      </c>
      <c r="Q652" s="32" t="s">
        <v>221</v>
      </c>
    </row>
    <row r="653" s="10" customFormat="1" customHeight="1" spans="1:17">
      <c r="A653" s="26">
        <f t="shared" si="34"/>
        <v>1111049</v>
      </c>
      <c r="B653" s="26">
        <v>1111</v>
      </c>
      <c r="C653" s="26" t="s">
        <v>346</v>
      </c>
      <c r="D653" s="26" t="s">
        <v>347</v>
      </c>
      <c r="E653" s="22">
        <f t="shared" si="32"/>
        <v>42</v>
      </c>
      <c r="F653" s="26">
        <v>49</v>
      </c>
      <c r="G653" s="26">
        <v>15</v>
      </c>
      <c r="H653" s="26" t="s">
        <v>253</v>
      </c>
      <c r="I653" s="27">
        <v>58800</v>
      </c>
      <c r="J653" s="12">
        <v>4900</v>
      </c>
      <c r="K653" s="12" t="s">
        <v>190</v>
      </c>
      <c r="L653" s="27"/>
      <c r="M653" s="28"/>
      <c r="N653" s="28"/>
      <c r="O653" s="3" t="s">
        <v>234</v>
      </c>
      <c r="P653" s="29">
        <v>192</v>
      </c>
      <c r="Q653" s="32" t="s">
        <v>224</v>
      </c>
    </row>
    <row r="654" s="10" customFormat="1" customHeight="1" spans="1:17">
      <c r="A654" s="26">
        <f t="shared" si="34"/>
        <v>1111050</v>
      </c>
      <c r="B654" s="26">
        <v>1111</v>
      </c>
      <c r="C654" s="26" t="s">
        <v>346</v>
      </c>
      <c r="D654" s="26" t="s">
        <v>347</v>
      </c>
      <c r="E654" s="22">
        <f t="shared" si="32"/>
        <v>42</v>
      </c>
      <c r="F654" s="26">
        <v>50</v>
      </c>
      <c r="G654" s="26">
        <v>15</v>
      </c>
      <c r="H654" s="26" t="s">
        <v>254</v>
      </c>
      <c r="I654" s="27">
        <v>60000</v>
      </c>
      <c r="J654" s="12">
        <v>5000</v>
      </c>
      <c r="K654" s="12" t="s">
        <v>193</v>
      </c>
      <c r="L654" s="27"/>
      <c r="M654" s="28"/>
      <c r="N654" s="28"/>
      <c r="O654" s="3" t="s">
        <v>234</v>
      </c>
      <c r="P654" s="29">
        <v>196</v>
      </c>
      <c r="Q654" s="32" t="s">
        <v>265</v>
      </c>
    </row>
    <row r="655" s="10" customFormat="1" customHeight="1" spans="1:17">
      <c r="A655" s="26">
        <f t="shared" si="34"/>
        <v>1111051</v>
      </c>
      <c r="B655" s="26">
        <v>1111</v>
      </c>
      <c r="C655" s="26" t="s">
        <v>346</v>
      </c>
      <c r="D655" s="26" t="s">
        <v>347</v>
      </c>
      <c r="E655" s="22">
        <f t="shared" si="32"/>
        <v>42</v>
      </c>
      <c r="F655" s="26">
        <v>51</v>
      </c>
      <c r="G655" s="26">
        <v>15</v>
      </c>
      <c r="H655" s="26" t="s">
        <v>255</v>
      </c>
      <c r="I655" s="27">
        <v>61200</v>
      </c>
      <c r="J655" s="12">
        <v>5100</v>
      </c>
      <c r="K655" s="12" t="s">
        <v>196</v>
      </c>
      <c r="L655" s="27"/>
      <c r="M655" s="28"/>
      <c r="N655" s="28"/>
      <c r="O655" s="3" t="s">
        <v>234</v>
      </c>
      <c r="P655" s="29">
        <v>200</v>
      </c>
      <c r="Q655" s="32" t="s">
        <v>275</v>
      </c>
    </row>
    <row r="656" s="10" customFormat="1" customHeight="1" spans="1:17">
      <c r="A656" s="26">
        <f t="shared" si="34"/>
        <v>1111052</v>
      </c>
      <c r="B656" s="26">
        <v>1111</v>
      </c>
      <c r="C656" s="26" t="s">
        <v>346</v>
      </c>
      <c r="D656" s="26" t="s">
        <v>347</v>
      </c>
      <c r="E656" s="22">
        <f t="shared" si="32"/>
        <v>43</v>
      </c>
      <c r="F656" s="26">
        <v>52</v>
      </c>
      <c r="G656" s="26">
        <v>15</v>
      </c>
      <c r="H656" s="26" t="s">
        <v>256</v>
      </c>
      <c r="I656" s="27">
        <v>62400</v>
      </c>
      <c r="J656" s="12">
        <v>5200</v>
      </c>
      <c r="K656" s="12" t="s">
        <v>199</v>
      </c>
      <c r="L656" s="27"/>
      <c r="M656" s="28"/>
      <c r="N656" s="28"/>
      <c r="O656" s="3" t="s">
        <v>234</v>
      </c>
      <c r="P656" s="29">
        <v>204</v>
      </c>
      <c r="Q656" s="32" t="s">
        <v>276</v>
      </c>
    </row>
    <row r="657" s="10" customFormat="1" customHeight="1" spans="1:17">
      <c r="A657" s="26">
        <f t="shared" si="34"/>
        <v>1111053</v>
      </c>
      <c r="B657" s="26">
        <v>1111</v>
      </c>
      <c r="C657" s="26" t="s">
        <v>346</v>
      </c>
      <c r="D657" s="26" t="s">
        <v>347</v>
      </c>
      <c r="E657" s="22">
        <f t="shared" si="32"/>
        <v>43</v>
      </c>
      <c r="F657" s="26">
        <v>53</v>
      </c>
      <c r="G657" s="26">
        <v>15</v>
      </c>
      <c r="H657" s="26" t="s">
        <v>257</v>
      </c>
      <c r="I657" s="27">
        <v>63600</v>
      </c>
      <c r="J657" s="12">
        <v>5300</v>
      </c>
      <c r="K657" s="12" t="s">
        <v>202</v>
      </c>
      <c r="L657" s="27"/>
      <c r="M657" s="28"/>
      <c r="N657" s="28"/>
      <c r="O657" s="3" t="s">
        <v>234</v>
      </c>
      <c r="P657" s="29">
        <v>208</v>
      </c>
      <c r="Q657" s="32" t="s">
        <v>277</v>
      </c>
    </row>
    <row r="658" s="10" customFormat="1" customHeight="1" spans="1:17">
      <c r="A658" s="26">
        <f t="shared" si="34"/>
        <v>1111054</v>
      </c>
      <c r="B658" s="26">
        <v>1111</v>
      </c>
      <c r="C658" s="26" t="s">
        <v>346</v>
      </c>
      <c r="D658" s="26" t="s">
        <v>347</v>
      </c>
      <c r="E658" s="22">
        <f t="shared" si="32"/>
        <v>43</v>
      </c>
      <c r="F658" s="26">
        <v>54</v>
      </c>
      <c r="G658" s="26">
        <v>15</v>
      </c>
      <c r="H658" s="26" t="s">
        <v>258</v>
      </c>
      <c r="I658" s="27">
        <v>64800</v>
      </c>
      <c r="J658" s="12">
        <v>5400</v>
      </c>
      <c r="K658" s="12" t="s">
        <v>205</v>
      </c>
      <c r="L658" s="27"/>
      <c r="M658" s="28"/>
      <c r="N658" s="28"/>
      <c r="O658" s="3" t="s">
        <v>234</v>
      </c>
      <c r="P658" s="29">
        <v>212</v>
      </c>
      <c r="Q658" s="32" t="s">
        <v>278</v>
      </c>
    </row>
    <row r="659" s="10" customFormat="1" customHeight="1" spans="1:17">
      <c r="A659" s="26">
        <f t="shared" si="34"/>
        <v>1111055</v>
      </c>
      <c r="B659" s="26">
        <v>1111</v>
      </c>
      <c r="C659" s="26" t="s">
        <v>346</v>
      </c>
      <c r="D659" s="26" t="s">
        <v>347</v>
      </c>
      <c r="E659" s="22">
        <f t="shared" si="32"/>
        <v>44</v>
      </c>
      <c r="F659" s="26">
        <v>55</v>
      </c>
      <c r="G659" s="26">
        <v>15</v>
      </c>
      <c r="H659" s="26" t="s">
        <v>259</v>
      </c>
      <c r="I659" s="27">
        <v>66000</v>
      </c>
      <c r="J659" s="12">
        <v>5500</v>
      </c>
      <c r="K659" s="12" t="s">
        <v>208</v>
      </c>
      <c r="L659" s="27"/>
      <c r="M659" s="28"/>
      <c r="N659" s="28"/>
      <c r="O659" s="3" t="s">
        <v>234</v>
      </c>
      <c r="P659" s="29">
        <v>216</v>
      </c>
      <c r="Q659" s="32" t="s">
        <v>279</v>
      </c>
    </row>
    <row r="660" s="10" customFormat="1" customHeight="1" spans="1:17">
      <c r="A660" s="26">
        <f t="shared" si="34"/>
        <v>1111056</v>
      </c>
      <c r="B660" s="26">
        <v>1111</v>
      </c>
      <c r="C660" s="26" t="s">
        <v>346</v>
      </c>
      <c r="D660" s="26" t="s">
        <v>347</v>
      </c>
      <c r="E660" s="22">
        <f t="shared" si="32"/>
        <v>44</v>
      </c>
      <c r="F660" s="26">
        <v>56</v>
      </c>
      <c r="G660" s="26">
        <v>15</v>
      </c>
      <c r="H660" s="26" t="s">
        <v>260</v>
      </c>
      <c r="I660" s="27">
        <v>67200</v>
      </c>
      <c r="J660" s="12">
        <v>5600</v>
      </c>
      <c r="K660" s="12" t="s">
        <v>211</v>
      </c>
      <c r="L660" s="27"/>
      <c r="M660" s="28"/>
      <c r="N660" s="28"/>
      <c r="O660" s="3" t="s">
        <v>234</v>
      </c>
      <c r="P660" s="29">
        <v>220</v>
      </c>
      <c r="Q660" s="32" t="s">
        <v>280</v>
      </c>
    </row>
    <row r="661" s="10" customFormat="1" customHeight="1" spans="1:17">
      <c r="A661" s="26">
        <f t="shared" si="34"/>
        <v>1111057</v>
      </c>
      <c r="B661" s="26">
        <v>1111</v>
      </c>
      <c r="C661" s="26" t="s">
        <v>346</v>
      </c>
      <c r="D661" s="26" t="s">
        <v>347</v>
      </c>
      <c r="E661" s="22">
        <f t="shared" si="32"/>
        <v>44</v>
      </c>
      <c r="F661" s="26">
        <v>57</v>
      </c>
      <c r="G661" s="26">
        <v>15</v>
      </c>
      <c r="H661" s="26" t="s">
        <v>261</v>
      </c>
      <c r="I661" s="27">
        <v>68400</v>
      </c>
      <c r="J661" s="12">
        <v>5700</v>
      </c>
      <c r="K661" s="12" t="s">
        <v>214</v>
      </c>
      <c r="L661" s="27"/>
      <c r="M661" s="28"/>
      <c r="N661" s="28"/>
      <c r="O661" s="3" t="s">
        <v>234</v>
      </c>
      <c r="P661" s="29">
        <v>224</v>
      </c>
      <c r="Q661" s="32" t="s">
        <v>326</v>
      </c>
    </row>
    <row r="662" s="10" customFormat="1" customHeight="1" spans="1:17">
      <c r="A662" s="26">
        <f t="shared" si="34"/>
        <v>1111058</v>
      </c>
      <c r="B662" s="26">
        <v>1111</v>
      </c>
      <c r="C662" s="26" t="s">
        <v>346</v>
      </c>
      <c r="D662" s="26" t="s">
        <v>347</v>
      </c>
      <c r="E662" s="22">
        <f t="shared" si="32"/>
        <v>45</v>
      </c>
      <c r="F662" s="26">
        <v>58</v>
      </c>
      <c r="G662" s="26">
        <v>15</v>
      </c>
      <c r="H662" s="26" t="s">
        <v>262</v>
      </c>
      <c r="I662" s="27">
        <v>69600</v>
      </c>
      <c r="J662" s="12">
        <v>5800</v>
      </c>
      <c r="K662" s="12" t="s">
        <v>217</v>
      </c>
      <c r="L662" s="27"/>
      <c r="M662" s="28"/>
      <c r="N662" s="28"/>
      <c r="O662" s="3" t="s">
        <v>234</v>
      </c>
      <c r="P662" s="29">
        <v>228</v>
      </c>
      <c r="Q662" s="32" t="s">
        <v>327</v>
      </c>
    </row>
    <row r="663" s="10" customFormat="1" customHeight="1" spans="1:17">
      <c r="A663" s="26">
        <f t="shared" si="34"/>
        <v>1111059</v>
      </c>
      <c r="B663" s="26">
        <v>1111</v>
      </c>
      <c r="C663" s="26" t="s">
        <v>346</v>
      </c>
      <c r="D663" s="26" t="s">
        <v>347</v>
      </c>
      <c r="E663" s="22">
        <f t="shared" si="32"/>
        <v>45</v>
      </c>
      <c r="F663" s="26">
        <v>59</v>
      </c>
      <c r="G663" s="26">
        <v>15</v>
      </c>
      <c r="H663" s="26" t="s">
        <v>263</v>
      </c>
      <c r="I663" s="27">
        <v>70800</v>
      </c>
      <c r="J663" s="12">
        <v>5900</v>
      </c>
      <c r="K663" s="12" t="s">
        <v>220</v>
      </c>
      <c r="L663" s="27"/>
      <c r="M663" s="28"/>
      <c r="N663" s="28"/>
      <c r="O663" s="3" t="s">
        <v>234</v>
      </c>
      <c r="P663" s="29">
        <v>232</v>
      </c>
      <c r="Q663" s="32" t="s">
        <v>355</v>
      </c>
    </row>
    <row r="664" s="10" customFormat="1" customHeight="1" spans="1:17">
      <c r="A664" s="26">
        <f t="shared" si="34"/>
        <v>1111060</v>
      </c>
      <c r="B664" s="26">
        <v>1111</v>
      </c>
      <c r="C664" s="26" t="s">
        <v>346</v>
      </c>
      <c r="D664" s="26" t="s">
        <v>347</v>
      </c>
      <c r="E664" s="22">
        <v>9999</v>
      </c>
      <c r="F664" s="26">
        <v>60</v>
      </c>
      <c r="G664" s="26">
        <v>15</v>
      </c>
      <c r="H664" s="26" t="s">
        <v>264</v>
      </c>
      <c r="I664" s="27">
        <v>72000</v>
      </c>
      <c r="J664" s="12">
        <v>6000</v>
      </c>
      <c r="K664" s="12" t="s">
        <v>223</v>
      </c>
      <c r="L664" s="27"/>
      <c r="M664" s="28"/>
      <c r="N664" s="28"/>
      <c r="O664" s="3" t="s">
        <v>234</v>
      </c>
      <c r="P664" s="29"/>
      <c r="Q664" s="32" t="s">
        <v>356</v>
      </c>
    </row>
    <row r="665" customHeight="1" spans="1:17">
      <c r="A665" s="22">
        <f t="shared" ref="A665:A683" si="35">B665*1000+F665</f>
        <v>1112001</v>
      </c>
      <c r="B665" s="22">
        <v>1112</v>
      </c>
      <c r="C665" s="22" t="s">
        <v>357</v>
      </c>
      <c r="D665" s="22" t="s">
        <v>358</v>
      </c>
      <c r="E665" s="22">
        <v>24</v>
      </c>
      <c r="F665" s="22">
        <v>1</v>
      </c>
      <c r="G665" s="22">
        <v>11</v>
      </c>
      <c r="H665" s="22" t="s">
        <v>38</v>
      </c>
      <c r="I665" s="12">
        <v>1100</v>
      </c>
      <c r="J665" s="12">
        <v>100</v>
      </c>
      <c r="K665" s="12" t="s">
        <v>39</v>
      </c>
      <c r="L665" s="12"/>
      <c r="M665" s="2" t="s">
        <v>359</v>
      </c>
      <c r="N665" s="2" t="s">
        <v>360</v>
      </c>
      <c r="O665" s="2" t="s">
        <v>361</v>
      </c>
      <c r="P665" s="24">
        <v>2</v>
      </c>
      <c r="Q665" s="25" t="s">
        <v>77</v>
      </c>
    </row>
    <row r="666" customHeight="1" spans="1:17">
      <c r="A666" s="22">
        <f t="shared" si="35"/>
        <v>1112002</v>
      </c>
      <c r="B666" s="22">
        <v>1112</v>
      </c>
      <c r="C666" s="22" t="s">
        <v>357</v>
      </c>
      <c r="D666" s="22" t="s">
        <v>358</v>
      </c>
      <c r="E666" s="22">
        <v>24</v>
      </c>
      <c r="F666" s="22">
        <v>2</v>
      </c>
      <c r="G666" s="22">
        <v>13</v>
      </c>
      <c r="H666" s="22" t="s">
        <v>49</v>
      </c>
      <c r="I666" s="12">
        <v>2200</v>
      </c>
      <c r="J666" s="12">
        <v>200</v>
      </c>
      <c r="K666" s="12" t="s">
        <v>45</v>
      </c>
      <c r="L666" s="12"/>
      <c r="M666" s="2" t="s">
        <v>362</v>
      </c>
      <c r="N666" s="2" t="s">
        <v>363</v>
      </c>
      <c r="O666" s="2">
        <v>1112264</v>
      </c>
      <c r="P666" s="24">
        <v>4</v>
      </c>
      <c r="Q666" s="25" t="s">
        <v>80</v>
      </c>
    </row>
    <row r="667" customHeight="1" spans="1:17">
      <c r="A667" s="22">
        <f t="shared" si="35"/>
        <v>1112003</v>
      </c>
      <c r="B667" s="22">
        <v>1112</v>
      </c>
      <c r="C667" s="22" t="s">
        <v>357</v>
      </c>
      <c r="D667" s="22" t="s">
        <v>358</v>
      </c>
      <c r="E667" s="22">
        <v>24</v>
      </c>
      <c r="F667" s="22">
        <v>3</v>
      </c>
      <c r="G667" s="22">
        <v>15</v>
      </c>
      <c r="H667" s="22" t="s">
        <v>57</v>
      </c>
      <c r="I667" s="12">
        <v>3300</v>
      </c>
      <c r="J667" s="12">
        <v>300</v>
      </c>
      <c r="K667" s="12" t="s">
        <v>50</v>
      </c>
      <c r="L667" s="12"/>
      <c r="M667" s="2" t="s">
        <v>364</v>
      </c>
      <c r="N667" s="2" t="s">
        <v>365</v>
      </c>
      <c r="O667" s="2">
        <v>1112255</v>
      </c>
      <c r="P667" s="24">
        <v>8</v>
      </c>
      <c r="Q667" s="25" t="s">
        <v>83</v>
      </c>
    </row>
    <row r="668" customHeight="1" spans="1:17">
      <c r="A668" s="22">
        <f t="shared" si="35"/>
        <v>1112004</v>
      </c>
      <c r="B668" s="22">
        <v>1112</v>
      </c>
      <c r="C668" s="22" t="s">
        <v>357</v>
      </c>
      <c r="D668" s="22" t="s">
        <v>358</v>
      </c>
      <c r="E668" s="22">
        <f t="shared" ref="E668:E724" si="36">E665+1</f>
        <v>25</v>
      </c>
      <c r="F668" s="22">
        <v>4</v>
      </c>
      <c r="G668" s="22">
        <v>15</v>
      </c>
      <c r="H668" s="22" t="s">
        <v>63</v>
      </c>
      <c r="I668" s="12">
        <v>4400</v>
      </c>
      <c r="J668" s="12">
        <v>400</v>
      </c>
      <c r="K668" s="12" t="s">
        <v>55</v>
      </c>
      <c r="L668" s="12"/>
      <c r="O668" s="2">
        <v>1112254</v>
      </c>
      <c r="P668" s="24">
        <v>12</v>
      </c>
      <c r="Q668" s="25" t="s">
        <v>86</v>
      </c>
    </row>
    <row r="669" customHeight="1" spans="1:17">
      <c r="A669" s="22">
        <f t="shared" si="35"/>
        <v>1112005</v>
      </c>
      <c r="B669" s="22">
        <v>1112</v>
      </c>
      <c r="C669" s="22" t="s">
        <v>357</v>
      </c>
      <c r="D669" s="22" t="s">
        <v>358</v>
      </c>
      <c r="E669" s="22">
        <f t="shared" si="36"/>
        <v>25</v>
      </c>
      <c r="F669" s="22">
        <v>5</v>
      </c>
      <c r="G669" s="22">
        <v>15</v>
      </c>
      <c r="H669" s="22" t="s">
        <v>69</v>
      </c>
      <c r="I669" s="12">
        <v>5500</v>
      </c>
      <c r="J669" s="12">
        <v>500</v>
      </c>
      <c r="K669" s="12" t="s">
        <v>58</v>
      </c>
      <c r="L669" s="12"/>
      <c r="O669" s="2">
        <v>1112263</v>
      </c>
      <c r="P669" s="24">
        <v>16</v>
      </c>
      <c r="Q669" s="25" t="s">
        <v>89</v>
      </c>
    </row>
    <row r="670" customHeight="1" spans="1:17">
      <c r="A670" s="22">
        <f t="shared" si="35"/>
        <v>1112006</v>
      </c>
      <c r="B670" s="22">
        <v>1112</v>
      </c>
      <c r="C670" s="22" t="s">
        <v>357</v>
      </c>
      <c r="D670" s="22" t="s">
        <v>358</v>
      </c>
      <c r="E670" s="22">
        <f t="shared" si="36"/>
        <v>25</v>
      </c>
      <c r="F670" s="22">
        <v>6</v>
      </c>
      <c r="G670" s="22">
        <v>15</v>
      </c>
      <c r="H670" s="22" t="s">
        <v>75</v>
      </c>
      <c r="I670" s="12">
        <v>6600</v>
      </c>
      <c r="J670" s="12">
        <v>600</v>
      </c>
      <c r="K670" s="12" t="s">
        <v>61</v>
      </c>
      <c r="L670" s="12"/>
      <c r="O670" s="2">
        <v>1112262</v>
      </c>
      <c r="P670" s="24">
        <v>20</v>
      </c>
      <c r="Q670" s="25" t="s">
        <v>92</v>
      </c>
    </row>
    <row r="671" customHeight="1" spans="1:17">
      <c r="A671" s="22">
        <f t="shared" si="35"/>
        <v>1112007</v>
      </c>
      <c r="B671" s="22">
        <v>1112</v>
      </c>
      <c r="C671" s="22" t="s">
        <v>357</v>
      </c>
      <c r="D671" s="22" t="s">
        <v>358</v>
      </c>
      <c r="E671" s="22">
        <f t="shared" si="36"/>
        <v>26</v>
      </c>
      <c r="F671" s="22">
        <v>7</v>
      </c>
      <c r="G671" s="22">
        <v>15</v>
      </c>
      <c r="H671" s="22" t="s">
        <v>81</v>
      </c>
      <c r="I671" s="12">
        <v>7700</v>
      </c>
      <c r="J671" s="12">
        <v>700</v>
      </c>
      <c r="K671" s="12" t="s">
        <v>64</v>
      </c>
      <c r="L671" s="12"/>
      <c r="O671" s="2">
        <v>1112256</v>
      </c>
      <c r="P671" s="24">
        <v>24</v>
      </c>
      <c r="Q671" s="25" t="s">
        <v>95</v>
      </c>
    </row>
    <row r="672" customHeight="1" spans="1:17">
      <c r="A672" s="22">
        <f t="shared" si="35"/>
        <v>1112008</v>
      </c>
      <c r="B672" s="22">
        <v>1112</v>
      </c>
      <c r="C672" s="22" t="s">
        <v>357</v>
      </c>
      <c r="D672" s="22" t="s">
        <v>358</v>
      </c>
      <c r="E672" s="22">
        <f t="shared" si="36"/>
        <v>26</v>
      </c>
      <c r="F672" s="22">
        <v>8</v>
      </c>
      <c r="G672" s="22">
        <v>15</v>
      </c>
      <c r="H672" s="22" t="s">
        <v>87</v>
      </c>
      <c r="I672" s="12">
        <v>8800</v>
      </c>
      <c r="J672" s="12">
        <v>800</v>
      </c>
      <c r="K672" s="12" t="s">
        <v>67</v>
      </c>
      <c r="L672" s="12"/>
      <c r="O672" s="2">
        <v>1112258</v>
      </c>
      <c r="P672" s="24">
        <v>28</v>
      </c>
      <c r="Q672" s="25" t="s">
        <v>98</v>
      </c>
    </row>
    <row r="673" customHeight="1" spans="1:17">
      <c r="A673" s="22">
        <f t="shared" si="35"/>
        <v>1112009</v>
      </c>
      <c r="B673" s="22">
        <v>1112</v>
      </c>
      <c r="C673" s="22" t="s">
        <v>357</v>
      </c>
      <c r="D673" s="22" t="s">
        <v>358</v>
      </c>
      <c r="E673" s="22">
        <f t="shared" si="36"/>
        <v>26</v>
      </c>
      <c r="F673" s="22">
        <v>9</v>
      </c>
      <c r="G673" s="22">
        <v>15</v>
      </c>
      <c r="H673" s="22" t="s">
        <v>93</v>
      </c>
      <c r="I673" s="12">
        <v>9900</v>
      </c>
      <c r="J673" s="12">
        <v>900</v>
      </c>
      <c r="K673" s="12" t="s">
        <v>70</v>
      </c>
      <c r="L673" s="12"/>
      <c r="O673" s="2">
        <v>1112259</v>
      </c>
      <c r="P673" s="24">
        <v>32</v>
      </c>
      <c r="Q673" s="25" t="s">
        <v>101</v>
      </c>
    </row>
    <row r="674" customHeight="1" spans="1:17">
      <c r="A674" s="22">
        <f t="shared" si="35"/>
        <v>1112010</v>
      </c>
      <c r="B674" s="22">
        <v>1112</v>
      </c>
      <c r="C674" s="22" t="s">
        <v>357</v>
      </c>
      <c r="D674" s="22" t="s">
        <v>358</v>
      </c>
      <c r="E674" s="22">
        <f t="shared" si="36"/>
        <v>27</v>
      </c>
      <c r="F674" s="22">
        <v>10</v>
      </c>
      <c r="G674" s="22">
        <v>15</v>
      </c>
      <c r="H674" s="22" t="s">
        <v>99</v>
      </c>
      <c r="I674" s="12">
        <v>11000</v>
      </c>
      <c r="J674" s="12">
        <v>1000</v>
      </c>
      <c r="K674" s="12" t="s">
        <v>73</v>
      </c>
      <c r="L674" s="12"/>
      <c r="O674" s="2">
        <v>1112253</v>
      </c>
      <c r="P674" s="24">
        <v>36</v>
      </c>
      <c r="Q674" s="25" t="s">
        <v>104</v>
      </c>
    </row>
    <row r="675" customFormat="1" customHeight="1" spans="1:17">
      <c r="A675" s="22">
        <f t="shared" ref="A675:A706" si="37">B675*1000+F675</f>
        <v>1112011</v>
      </c>
      <c r="B675" s="22">
        <v>1112</v>
      </c>
      <c r="C675" s="22" t="s">
        <v>357</v>
      </c>
      <c r="D675" s="22" t="s">
        <v>358</v>
      </c>
      <c r="E675" s="22">
        <f t="shared" si="36"/>
        <v>27</v>
      </c>
      <c r="F675" s="22">
        <v>11</v>
      </c>
      <c r="G675" s="22">
        <v>15</v>
      </c>
      <c r="H675" s="22" t="s">
        <v>105</v>
      </c>
      <c r="I675" s="12">
        <v>12100</v>
      </c>
      <c r="J675" s="12">
        <v>1100</v>
      </c>
      <c r="K675" s="12" t="s">
        <v>76</v>
      </c>
      <c r="L675" s="12"/>
      <c r="M675" s="11"/>
      <c r="N675" s="11"/>
      <c r="O675" s="2">
        <v>1112252</v>
      </c>
      <c r="P675" s="24">
        <v>40</v>
      </c>
      <c r="Q675" s="25" t="s">
        <v>107</v>
      </c>
    </row>
    <row r="676" customFormat="1" customHeight="1" spans="1:17">
      <c r="A676" s="22">
        <f t="shared" si="37"/>
        <v>1112012</v>
      </c>
      <c r="B676" s="22">
        <v>1112</v>
      </c>
      <c r="C676" s="22" t="s">
        <v>357</v>
      </c>
      <c r="D676" s="22" t="s">
        <v>358</v>
      </c>
      <c r="E676" s="22">
        <f t="shared" si="36"/>
        <v>27</v>
      </c>
      <c r="F676" s="22">
        <v>12</v>
      </c>
      <c r="G676" s="22">
        <v>15</v>
      </c>
      <c r="H676" s="22" t="s">
        <v>111</v>
      </c>
      <c r="I676" s="12">
        <v>13200</v>
      </c>
      <c r="J676" s="12">
        <v>1200</v>
      </c>
      <c r="K676" s="12" t="s">
        <v>79</v>
      </c>
      <c r="L676" s="12"/>
      <c r="M676" s="11"/>
      <c r="N676" s="11"/>
      <c r="O676" s="2">
        <v>1112251</v>
      </c>
      <c r="P676" s="24">
        <v>44</v>
      </c>
      <c r="Q676" s="25" t="s">
        <v>110</v>
      </c>
    </row>
    <row r="677" customFormat="1" customHeight="1" spans="1:17">
      <c r="A677" s="22">
        <f t="shared" si="37"/>
        <v>1112013</v>
      </c>
      <c r="B677" s="22">
        <v>1112</v>
      </c>
      <c r="C677" s="22" t="s">
        <v>357</v>
      </c>
      <c r="D677" s="22" t="s">
        <v>358</v>
      </c>
      <c r="E677" s="22">
        <f t="shared" si="36"/>
        <v>28</v>
      </c>
      <c r="F677" s="22">
        <v>13</v>
      </c>
      <c r="G677" s="22">
        <v>15</v>
      </c>
      <c r="H677" s="22" t="s">
        <v>117</v>
      </c>
      <c r="I677" s="12">
        <v>14300</v>
      </c>
      <c r="J677" s="12">
        <v>1300</v>
      </c>
      <c r="K677" s="12" t="s">
        <v>82</v>
      </c>
      <c r="L677" s="12"/>
      <c r="M677" s="11"/>
      <c r="N677" s="11"/>
      <c r="O677" s="2">
        <v>1112265</v>
      </c>
      <c r="P677" s="24">
        <v>48</v>
      </c>
      <c r="Q677" s="25" t="s">
        <v>113</v>
      </c>
    </row>
    <row r="678" customFormat="1" customHeight="1" spans="1:17">
      <c r="A678" s="22">
        <f t="shared" si="37"/>
        <v>1112014</v>
      </c>
      <c r="B678" s="22">
        <v>1112</v>
      </c>
      <c r="C678" s="22" t="s">
        <v>357</v>
      </c>
      <c r="D678" s="22" t="s">
        <v>358</v>
      </c>
      <c r="E678" s="22">
        <f t="shared" si="36"/>
        <v>28</v>
      </c>
      <c r="F678" s="22">
        <v>14</v>
      </c>
      <c r="G678" s="22">
        <v>15</v>
      </c>
      <c r="H678" s="22" t="s">
        <v>123</v>
      </c>
      <c r="I678" s="12">
        <v>15400</v>
      </c>
      <c r="J678" s="12">
        <v>1400</v>
      </c>
      <c r="K678" s="12" t="s">
        <v>85</v>
      </c>
      <c r="L678" s="12"/>
      <c r="M678" s="11"/>
      <c r="N678" s="11"/>
      <c r="O678" s="2">
        <v>1112266</v>
      </c>
      <c r="P678" s="24">
        <v>52</v>
      </c>
      <c r="Q678" s="25" t="s">
        <v>116</v>
      </c>
    </row>
    <row r="679" customFormat="1" customHeight="1" spans="1:17">
      <c r="A679" s="22">
        <f t="shared" si="37"/>
        <v>1112015</v>
      </c>
      <c r="B679" s="22">
        <v>1112</v>
      </c>
      <c r="C679" s="22" t="s">
        <v>357</v>
      </c>
      <c r="D679" s="22" t="s">
        <v>358</v>
      </c>
      <c r="E679" s="22">
        <f t="shared" si="36"/>
        <v>28</v>
      </c>
      <c r="F679" s="22">
        <v>15</v>
      </c>
      <c r="G679" s="22">
        <v>15</v>
      </c>
      <c r="H679" s="22" t="s">
        <v>129</v>
      </c>
      <c r="I679" s="12">
        <v>16500</v>
      </c>
      <c r="J679" s="12">
        <v>1500</v>
      </c>
      <c r="K679" s="12" t="s">
        <v>88</v>
      </c>
      <c r="L679" s="12"/>
      <c r="M679" s="11"/>
      <c r="N679" s="11"/>
      <c r="O679" s="2">
        <v>1112267</v>
      </c>
      <c r="P679" s="24">
        <v>56</v>
      </c>
      <c r="Q679" s="25" t="s">
        <v>119</v>
      </c>
    </row>
    <row r="680" customFormat="1" customHeight="1" spans="1:17">
      <c r="A680" s="22">
        <f t="shared" si="37"/>
        <v>1112016</v>
      </c>
      <c r="B680" s="22">
        <v>1112</v>
      </c>
      <c r="C680" s="22" t="s">
        <v>357</v>
      </c>
      <c r="D680" s="22" t="s">
        <v>358</v>
      </c>
      <c r="E680" s="22">
        <f t="shared" si="36"/>
        <v>29</v>
      </c>
      <c r="F680" s="22">
        <v>16</v>
      </c>
      <c r="G680" s="22">
        <v>15</v>
      </c>
      <c r="H680" s="22" t="s">
        <v>135</v>
      </c>
      <c r="I680" s="12">
        <v>17600</v>
      </c>
      <c r="J680" s="12">
        <v>1600</v>
      </c>
      <c r="K680" s="12" t="s">
        <v>91</v>
      </c>
      <c r="L680" s="12"/>
      <c r="M680" s="11"/>
      <c r="N680" s="11"/>
      <c r="P680" s="24">
        <v>60</v>
      </c>
      <c r="Q680" s="25" t="s">
        <v>122</v>
      </c>
    </row>
    <row r="681" customFormat="1" customHeight="1" spans="1:17">
      <c r="A681" s="22">
        <f t="shared" si="37"/>
        <v>1112017</v>
      </c>
      <c r="B681" s="22">
        <v>1112</v>
      </c>
      <c r="C681" s="22" t="s">
        <v>357</v>
      </c>
      <c r="D681" s="22" t="s">
        <v>358</v>
      </c>
      <c r="E681" s="22">
        <f t="shared" si="36"/>
        <v>29</v>
      </c>
      <c r="F681" s="22">
        <v>17</v>
      </c>
      <c r="G681" s="22">
        <v>15</v>
      </c>
      <c r="H681" s="22" t="s">
        <v>141</v>
      </c>
      <c r="I681" s="12">
        <v>18700</v>
      </c>
      <c r="J681" s="12">
        <v>1700</v>
      </c>
      <c r="K681" s="12" t="s">
        <v>94</v>
      </c>
      <c r="L681" s="12"/>
      <c r="M681" s="11"/>
      <c r="N681" s="11"/>
      <c r="P681" s="24">
        <v>64</v>
      </c>
      <c r="Q681" s="25" t="s">
        <v>125</v>
      </c>
    </row>
    <row r="682" customFormat="1" customHeight="1" spans="1:17">
      <c r="A682" s="22">
        <f t="shared" si="37"/>
        <v>1112018</v>
      </c>
      <c r="B682" s="22">
        <v>1112</v>
      </c>
      <c r="C682" s="22" t="s">
        <v>357</v>
      </c>
      <c r="D682" s="22" t="s">
        <v>358</v>
      </c>
      <c r="E682" s="22">
        <f t="shared" si="36"/>
        <v>29</v>
      </c>
      <c r="F682" s="22">
        <v>18</v>
      </c>
      <c r="G682" s="22">
        <v>15</v>
      </c>
      <c r="H682" s="22" t="s">
        <v>147</v>
      </c>
      <c r="I682" s="12">
        <v>19800</v>
      </c>
      <c r="J682" s="12">
        <v>1800</v>
      </c>
      <c r="K682" s="12" t="s">
        <v>97</v>
      </c>
      <c r="L682" s="12"/>
      <c r="M682" s="11"/>
      <c r="N682" s="11"/>
      <c r="P682" s="24">
        <v>68</v>
      </c>
      <c r="Q682" s="25" t="s">
        <v>128</v>
      </c>
    </row>
    <row r="683" customFormat="1" customHeight="1" spans="1:17">
      <c r="A683" s="22">
        <f t="shared" si="37"/>
        <v>1112019</v>
      </c>
      <c r="B683" s="22">
        <v>1112</v>
      </c>
      <c r="C683" s="22" t="s">
        <v>357</v>
      </c>
      <c r="D683" s="22" t="s">
        <v>358</v>
      </c>
      <c r="E683" s="22">
        <f t="shared" si="36"/>
        <v>30</v>
      </c>
      <c r="F683" s="22">
        <v>19</v>
      </c>
      <c r="G683" s="22">
        <v>15</v>
      </c>
      <c r="H683" s="22" t="s">
        <v>153</v>
      </c>
      <c r="I683" s="12">
        <v>20900</v>
      </c>
      <c r="J683" s="12">
        <v>1900</v>
      </c>
      <c r="K683" s="12" t="s">
        <v>100</v>
      </c>
      <c r="L683" s="12"/>
      <c r="M683" s="11"/>
      <c r="N683" s="11"/>
      <c r="O683" s="33"/>
      <c r="P683" s="24">
        <v>72</v>
      </c>
      <c r="Q683" s="25" t="s">
        <v>131</v>
      </c>
    </row>
    <row r="684" customFormat="1" customHeight="1" spans="1:17">
      <c r="A684" s="22">
        <f t="shared" si="37"/>
        <v>1112020</v>
      </c>
      <c r="B684" s="22">
        <v>1112</v>
      </c>
      <c r="C684" s="22" t="s">
        <v>357</v>
      </c>
      <c r="D684" s="22" t="s">
        <v>358</v>
      </c>
      <c r="E684" s="22">
        <f t="shared" si="36"/>
        <v>30</v>
      </c>
      <c r="F684" s="22">
        <v>20</v>
      </c>
      <c r="G684" s="22">
        <v>15</v>
      </c>
      <c r="H684" s="22" t="s">
        <v>159</v>
      </c>
      <c r="I684" s="12">
        <v>22000</v>
      </c>
      <c r="J684" s="12">
        <v>2000</v>
      </c>
      <c r="K684" s="12" t="s">
        <v>103</v>
      </c>
      <c r="L684" s="12"/>
      <c r="M684" s="11"/>
      <c r="N684" s="11"/>
      <c r="O684" s="33"/>
      <c r="P684" s="24">
        <v>76</v>
      </c>
      <c r="Q684" s="25" t="s">
        <v>134</v>
      </c>
    </row>
    <row r="685" customFormat="1" customHeight="1" spans="1:17">
      <c r="A685" s="22">
        <f t="shared" si="37"/>
        <v>1112021</v>
      </c>
      <c r="B685" s="22">
        <v>1112</v>
      </c>
      <c r="C685" s="22" t="s">
        <v>357</v>
      </c>
      <c r="D685" s="22" t="s">
        <v>358</v>
      </c>
      <c r="E685" s="22">
        <f t="shared" si="36"/>
        <v>30</v>
      </c>
      <c r="F685" s="22">
        <v>21</v>
      </c>
      <c r="G685" s="22">
        <v>15</v>
      </c>
      <c r="H685" s="22" t="s">
        <v>165</v>
      </c>
      <c r="I685" s="12">
        <v>23100</v>
      </c>
      <c r="J685" s="12">
        <v>2100</v>
      </c>
      <c r="K685" s="12" t="s">
        <v>106</v>
      </c>
      <c r="L685" s="12"/>
      <c r="M685" s="11"/>
      <c r="N685" s="11"/>
      <c r="O685" s="33"/>
      <c r="P685" s="24">
        <v>80</v>
      </c>
      <c r="Q685" s="25" t="s">
        <v>137</v>
      </c>
    </row>
    <row r="686" customFormat="1" customHeight="1" spans="1:17">
      <c r="A686" s="22">
        <f t="shared" si="37"/>
        <v>1112022</v>
      </c>
      <c r="B686" s="22">
        <v>1112</v>
      </c>
      <c r="C686" s="22" t="s">
        <v>357</v>
      </c>
      <c r="D686" s="22" t="s">
        <v>358</v>
      </c>
      <c r="E686" s="22">
        <f t="shared" si="36"/>
        <v>31</v>
      </c>
      <c r="F686" s="22">
        <v>22</v>
      </c>
      <c r="G686" s="22">
        <v>15</v>
      </c>
      <c r="H686" s="22" t="s">
        <v>171</v>
      </c>
      <c r="I686" s="12">
        <v>24200</v>
      </c>
      <c r="J686" s="12">
        <v>2200</v>
      </c>
      <c r="K686" s="12" t="s">
        <v>109</v>
      </c>
      <c r="L686" s="12"/>
      <c r="M686" s="11"/>
      <c r="N686" s="11"/>
      <c r="O686" s="2"/>
      <c r="P686" s="24">
        <v>84</v>
      </c>
      <c r="Q686" s="25" t="s">
        <v>140</v>
      </c>
    </row>
    <row r="687" customFormat="1" customHeight="1" spans="1:17">
      <c r="A687" s="22">
        <f t="shared" si="37"/>
        <v>1112023</v>
      </c>
      <c r="B687" s="22">
        <v>1112</v>
      </c>
      <c r="C687" s="22" t="s">
        <v>357</v>
      </c>
      <c r="D687" s="22" t="s">
        <v>358</v>
      </c>
      <c r="E687" s="22">
        <f t="shared" si="36"/>
        <v>31</v>
      </c>
      <c r="F687" s="22">
        <v>23</v>
      </c>
      <c r="G687" s="22">
        <v>15</v>
      </c>
      <c r="H687" s="22" t="s">
        <v>177</v>
      </c>
      <c r="I687" s="12">
        <v>25300</v>
      </c>
      <c r="J687" s="12">
        <v>2300</v>
      </c>
      <c r="K687" s="12" t="s">
        <v>112</v>
      </c>
      <c r="L687" s="12"/>
      <c r="M687" s="11"/>
      <c r="N687" s="11"/>
      <c r="O687" s="2"/>
      <c r="P687" s="24">
        <v>88</v>
      </c>
      <c r="Q687" s="25" t="s">
        <v>143</v>
      </c>
    </row>
    <row r="688" customFormat="1" customHeight="1" spans="1:17">
      <c r="A688" s="22">
        <f t="shared" si="37"/>
        <v>1112024</v>
      </c>
      <c r="B688" s="22">
        <v>1112</v>
      </c>
      <c r="C688" s="22" t="s">
        <v>357</v>
      </c>
      <c r="D688" s="22" t="s">
        <v>358</v>
      </c>
      <c r="E688" s="22">
        <f t="shared" si="36"/>
        <v>31</v>
      </c>
      <c r="F688" s="22">
        <v>24</v>
      </c>
      <c r="G688" s="22">
        <v>15</v>
      </c>
      <c r="H688" s="22" t="s">
        <v>183</v>
      </c>
      <c r="I688" s="12">
        <v>26400</v>
      </c>
      <c r="J688" s="12">
        <v>2400</v>
      </c>
      <c r="K688" s="12" t="s">
        <v>115</v>
      </c>
      <c r="L688" s="12"/>
      <c r="M688" s="11"/>
      <c r="N688" s="11"/>
      <c r="O688" s="2"/>
      <c r="P688" s="24">
        <v>92</v>
      </c>
      <c r="Q688" s="25" t="s">
        <v>146</v>
      </c>
    </row>
    <row r="689" customFormat="1" customHeight="1" spans="1:17">
      <c r="A689" s="22">
        <f t="shared" si="37"/>
        <v>1112025</v>
      </c>
      <c r="B689" s="22">
        <v>1112</v>
      </c>
      <c r="C689" s="22" t="s">
        <v>357</v>
      </c>
      <c r="D689" s="22" t="s">
        <v>358</v>
      </c>
      <c r="E689" s="22">
        <f t="shared" si="36"/>
        <v>32</v>
      </c>
      <c r="F689" s="22">
        <v>25</v>
      </c>
      <c r="G689" s="22">
        <v>15</v>
      </c>
      <c r="H689" s="22" t="s">
        <v>189</v>
      </c>
      <c r="I689" s="12">
        <v>27500</v>
      </c>
      <c r="J689" s="12">
        <v>2500</v>
      </c>
      <c r="K689" s="12" t="s">
        <v>118</v>
      </c>
      <c r="L689" s="12"/>
      <c r="M689" s="11"/>
      <c r="N689" s="11"/>
      <c r="O689" s="34" t="s">
        <v>234</v>
      </c>
      <c r="P689" s="24">
        <v>96</v>
      </c>
      <c r="Q689" s="25" t="s">
        <v>149</v>
      </c>
    </row>
    <row r="690" customFormat="1" customHeight="1" spans="1:17">
      <c r="A690" s="22">
        <f t="shared" si="37"/>
        <v>1112026</v>
      </c>
      <c r="B690" s="22">
        <v>1112</v>
      </c>
      <c r="C690" s="22" t="s">
        <v>357</v>
      </c>
      <c r="D690" s="22" t="s">
        <v>358</v>
      </c>
      <c r="E690" s="22">
        <f t="shared" si="36"/>
        <v>32</v>
      </c>
      <c r="F690" s="22">
        <v>26</v>
      </c>
      <c r="G690" s="22">
        <v>15</v>
      </c>
      <c r="H690" s="22" t="s">
        <v>195</v>
      </c>
      <c r="I690" s="12">
        <v>28600</v>
      </c>
      <c r="J690" s="12">
        <v>2600</v>
      </c>
      <c r="K690" s="12" t="s">
        <v>121</v>
      </c>
      <c r="L690" s="12"/>
      <c r="M690" s="11"/>
      <c r="N690" s="11"/>
      <c r="O690" s="34" t="s">
        <v>234</v>
      </c>
      <c r="P690" s="24">
        <v>100</v>
      </c>
      <c r="Q690" s="25" t="s">
        <v>152</v>
      </c>
    </row>
    <row r="691" customFormat="1" customHeight="1" spans="1:17">
      <c r="A691" s="22">
        <f t="shared" si="37"/>
        <v>1112027</v>
      </c>
      <c r="B691" s="22">
        <v>1112</v>
      </c>
      <c r="C691" s="22" t="s">
        <v>357</v>
      </c>
      <c r="D691" s="22" t="s">
        <v>358</v>
      </c>
      <c r="E691" s="22">
        <f t="shared" si="36"/>
        <v>32</v>
      </c>
      <c r="F691" s="22">
        <v>27</v>
      </c>
      <c r="G691" s="22">
        <v>15</v>
      </c>
      <c r="H691" s="22" t="s">
        <v>201</v>
      </c>
      <c r="I691" s="12">
        <v>29700</v>
      </c>
      <c r="J691" s="12">
        <v>2700</v>
      </c>
      <c r="K691" s="12" t="s">
        <v>124</v>
      </c>
      <c r="L691" s="12"/>
      <c r="M691" s="11"/>
      <c r="N691" s="11"/>
      <c r="O691" s="34" t="s">
        <v>234</v>
      </c>
      <c r="P691" s="24">
        <v>104</v>
      </c>
      <c r="Q691" s="25" t="s">
        <v>155</v>
      </c>
    </row>
    <row r="692" customFormat="1" customHeight="1" spans="1:17">
      <c r="A692" s="22">
        <f t="shared" si="37"/>
        <v>1112028</v>
      </c>
      <c r="B692" s="22">
        <v>1112</v>
      </c>
      <c r="C692" s="22" t="s">
        <v>357</v>
      </c>
      <c r="D692" s="22" t="s">
        <v>358</v>
      </c>
      <c r="E692" s="22">
        <f t="shared" si="36"/>
        <v>33</v>
      </c>
      <c r="F692" s="22">
        <v>28</v>
      </c>
      <c r="G692" s="22">
        <v>15</v>
      </c>
      <c r="H692" s="22" t="s">
        <v>207</v>
      </c>
      <c r="I692" s="12">
        <v>30800</v>
      </c>
      <c r="J692" s="12">
        <v>2800</v>
      </c>
      <c r="K692" s="12" t="s">
        <v>127</v>
      </c>
      <c r="L692" s="12"/>
      <c r="M692" s="11"/>
      <c r="N692" s="11"/>
      <c r="O692" s="34" t="s">
        <v>234</v>
      </c>
      <c r="P692" s="24">
        <v>108</v>
      </c>
      <c r="Q692" s="25" t="s">
        <v>158</v>
      </c>
    </row>
    <row r="693" customFormat="1" customHeight="1" spans="1:17">
      <c r="A693" s="22">
        <f t="shared" si="37"/>
        <v>1112029</v>
      </c>
      <c r="B693" s="22">
        <v>1112</v>
      </c>
      <c r="C693" s="22" t="s">
        <v>357</v>
      </c>
      <c r="D693" s="22" t="s">
        <v>358</v>
      </c>
      <c r="E693" s="22">
        <f t="shared" si="36"/>
        <v>33</v>
      </c>
      <c r="F693" s="22">
        <v>29</v>
      </c>
      <c r="G693" s="22">
        <v>15</v>
      </c>
      <c r="H693" s="22" t="s">
        <v>213</v>
      </c>
      <c r="I693" s="12">
        <v>31900</v>
      </c>
      <c r="J693" s="12">
        <v>2900</v>
      </c>
      <c r="K693" s="12" t="s">
        <v>130</v>
      </c>
      <c r="L693" s="12"/>
      <c r="M693" s="11"/>
      <c r="N693" s="11"/>
      <c r="O693" s="34" t="s">
        <v>234</v>
      </c>
      <c r="P693" s="24">
        <v>112</v>
      </c>
      <c r="Q693" s="25" t="s">
        <v>161</v>
      </c>
    </row>
    <row r="694" customFormat="1" customHeight="1" spans="1:17">
      <c r="A694" s="22">
        <f t="shared" si="37"/>
        <v>1112030</v>
      </c>
      <c r="B694" s="22">
        <v>1112</v>
      </c>
      <c r="C694" s="22" t="s">
        <v>357</v>
      </c>
      <c r="D694" s="22" t="s">
        <v>358</v>
      </c>
      <c r="E694" s="22">
        <f t="shared" si="36"/>
        <v>33</v>
      </c>
      <c r="F694" s="22">
        <v>30</v>
      </c>
      <c r="G694" s="22">
        <v>15</v>
      </c>
      <c r="H694" s="22" t="s">
        <v>219</v>
      </c>
      <c r="I694" s="12">
        <v>33000</v>
      </c>
      <c r="J694" s="12">
        <v>3000</v>
      </c>
      <c r="K694" s="12" t="s">
        <v>133</v>
      </c>
      <c r="L694" s="12"/>
      <c r="M694" s="11"/>
      <c r="N694" s="11"/>
      <c r="O694" s="34" t="s">
        <v>234</v>
      </c>
      <c r="P694" s="24">
        <v>116</v>
      </c>
      <c r="Q694" s="25" t="s">
        <v>164</v>
      </c>
    </row>
    <row r="695" customFormat="1" customHeight="1" spans="1:17">
      <c r="A695" s="22">
        <f t="shared" si="37"/>
        <v>1112031</v>
      </c>
      <c r="B695" s="22">
        <v>1112</v>
      </c>
      <c r="C695" s="22" t="s">
        <v>357</v>
      </c>
      <c r="D695" s="22" t="s">
        <v>358</v>
      </c>
      <c r="E695" s="22">
        <f t="shared" si="36"/>
        <v>34</v>
      </c>
      <c r="F695" s="22">
        <v>31</v>
      </c>
      <c r="G695" s="22">
        <v>15</v>
      </c>
      <c r="H695" s="22" t="s">
        <v>235</v>
      </c>
      <c r="I695" s="12">
        <v>34100</v>
      </c>
      <c r="J695" s="12">
        <v>3100</v>
      </c>
      <c r="K695" s="12" t="s">
        <v>136</v>
      </c>
      <c r="L695" s="12"/>
      <c r="M695" s="11"/>
      <c r="N695" s="11"/>
      <c r="O695" s="34" t="s">
        <v>234</v>
      </c>
      <c r="P695" s="24">
        <v>120</v>
      </c>
      <c r="Q695" s="25" t="s">
        <v>167</v>
      </c>
    </row>
    <row r="696" customFormat="1" customHeight="1" spans="1:17">
      <c r="A696" s="22">
        <f t="shared" si="37"/>
        <v>1112032</v>
      </c>
      <c r="B696" s="22">
        <v>1112</v>
      </c>
      <c r="C696" s="22" t="s">
        <v>357</v>
      </c>
      <c r="D696" s="22" t="s">
        <v>358</v>
      </c>
      <c r="E696" s="22">
        <f t="shared" si="36"/>
        <v>34</v>
      </c>
      <c r="F696" s="22">
        <v>32</v>
      </c>
      <c r="G696" s="22">
        <v>15</v>
      </c>
      <c r="H696" s="22" t="s">
        <v>236</v>
      </c>
      <c r="I696" s="12">
        <v>35200</v>
      </c>
      <c r="J696" s="12">
        <v>3200</v>
      </c>
      <c r="K696" s="12" t="s">
        <v>139</v>
      </c>
      <c r="L696" s="12"/>
      <c r="M696" s="11"/>
      <c r="N696" s="11"/>
      <c r="O696" s="34" t="s">
        <v>234</v>
      </c>
      <c r="P696" s="24">
        <v>124</v>
      </c>
      <c r="Q696" s="25" t="s">
        <v>170</v>
      </c>
    </row>
    <row r="697" customFormat="1" customHeight="1" spans="1:17">
      <c r="A697" s="22">
        <f t="shared" si="37"/>
        <v>1112033</v>
      </c>
      <c r="B697" s="22">
        <v>1112</v>
      </c>
      <c r="C697" s="22" t="s">
        <v>357</v>
      </c>
      <c r="D697" s="22" t="s">
        <v>358</v>
      </c>
      <c r="E697" s="22">
        <f t="shared" si="36"/>
        <v>34</v>
      </c>
      <c r="F697" s="22">
        <v>33</v>
      </c>
      <c r="G697" s="22">
        <v>15</v>
      </c>
      <c r="H697" s="22" t="s">
        <v>237</v>
      </c>
      <c r="I697" s="12">
        <v>36300</v>
      </c>
      <c r="J697" s="12">
        <v>3300</v>
      </c>
      <c r="K697" s="12" t="s">
        <v>142</v>
      </c>
      <c r="L697" s="12"/>
      <c r="M697" s="11"/>
      <c r="N697" s="11"/>
      <c r="O697" s="34" t="s">
        <v>234</v>
      </c>
      <c r="P697" s="24">
        <v>128</v>
      </c>
      <c r="Q697" s="25" t="s">
        <v>173</v>
      </c>
    </row>
    <row r="698" customFormat="1" customHeight="1" spans="1:17">
      <c r="A698" s="22">
        <f t="shared" si="37"/>
        <v>1112034</v>
      </c>
      <c r="B698" s="22">
        <v>1112</v>
      </c>
      <c r="C698" s="22" t="s">
        <v>357</v>
      </c>
      <c r="D698" s="22" t="s">
        <v>358</v>
      </c>
      <c r="E698" s="22">
        <f t="shared" si="36"/>
        <v>35</v>
      </c>
      <c r="F698" s="22">
        <v>34</v>
      </c>
      <c r="G698" s="22">
        <v>15</v>
      </c>
      <c r="H698" s="22" t="s">
        <v>238</v>
      </c>
      <c r="I698" s="12">
        <v>37400</v>
      </c>
      <c r="J698" s="12">
        <v>3400</v>
      </c>
      <c r="K698" s="12" t="s">
        <v>145</v>
      </c>
      <c r="L698" s="12"/>
      <c r="M698" s="11"/>
      <c r="N698" s="11"/>
      <c r="O698" s="34" t="s">
        <v>234</v>
      </c>
      <c r="P698" s="24">
        <v>132</v>
      </c>
      <c r="Q698" s="25" t="s">
        <v>176</v>
      </c>
    </row>
    <row r="699" customFormat="1" customHeight="1" spans="1:17">
      <c r="A699" s="22">
        <f t="shared" si="37"/>
        <v>1112035</v>
      </c>
      <c r="B699" s="22">
        <v>1112</v>
      </c>
      <c r="C699" s="22" t="s">
        <v>357</v>
      </c>
      <c r="D699" s="22" t="s">
        <v>358</v>
      </c>
      <c r="E699" s="22">
        <f t="shared" si="36"/>
        <v>35</v>
      </c>
      <c r="F699" s="22">
        <v>35</v>
      </c>
      <c r="G699" s="22">
        <v>15</v>
      </c>
      <c r="H699" s="22" t="s">
        <v>239</v>
      </c>
      <c r="I699" s="12">
        <v>38500</v>
      </c>
      <c r="J699" s="12">
        <v>3500</v>
      </c>
      <c r="K699" s="12" t="s">
        <v>148</v>
      </c>
      <c r="L699" s="12"/>
      <c r="M699" s="11"/>
      <c r="N699" s="11"/>
      <c r="O699" s="34" t="s">
        <v>234</v>
      </c>
      <c r="P699" s="24">
        <v>136</v>
      </c>
      <c r="Q699" s="25" t="s">
        <v>179</v>
      </c>
    </row>
    <row r="700" customFormat="1" customHeight="1" spans="1:17">
      <c r="A700" s="22">
        <f t="shared" si="37"/>
        <v>1112036</v>
      </c>
      <c r="B700" s="22">
        <v>1112</v>
      </c>
      <c r="C700" s="22" t="s">
        <v>357</v>
      </c>
      <c r="D700" s="22" t="s">
        <v>358</v>
      </c>
      <c r="E700" s="22">
        <f t="shared" si="36"/>
        <v>35</v>
      </c>
      <c r="F700" s="22">
        <v>36</v>
      </c>
      <c r="G700" s="22">
        <v>15</v>
      </c>
      <c r="H700" s="22" t="s">
        <v>240</v>
      </c>
      <c r="I700" s="12">
        <v>39600</v>
      </c>
      <c r="J700" s="12">
        <v>3600</v>
      </c>
      <c r="K700" s="12" t="s">
        <v>151</v>
      </c>
      <c r="L700" s="12"/>
      <c r="M700" s="11"/>
      <c r="N700" s="11"/>
      <c r="O700" s="34" t="s">
        <v>234</v>
      </c>
      <c r="P700" s="24">
        <v>140</v>
      </c>
      <c r="Q700" s="25" t="s">
        <v>182</v>
      </c>
    </row>
    <row r="701" customFormat="1" customHeight="1" spans="1:17">
      <c r="A701" s="22">
        <f t="shared" si="37"/>
        <v>1112037</v>
      </c>
      <c r="B701" s="22">
        <v>1112</v>
      </c>
      <c r="C701" s="22" t="s">
        <v>357</v>
      </c>
      <c r="D701" s="22" t="s">
        <v>358</v>
      </c>
      <c r="E701" s="22">
        <f t="shared" si="36"/>
        <v>36</v>
      </c>
      <c r="F701" s="22">
        <v>37</v>
      </c>
      <c r="G701" s="22">
        <v>15</v>
      </c>
      <c r="H701" s="22" t="s">
        <v>241</v>
      </c>
      <c r="I701" s="12">
        <v>40700</v>
      </c>
      <c r="J701" s="12">
        <v>3700</v>
      </c>
      <c r="K701" s="12" t="s">
        <v>154</v>
      </c>
      <c r="L701" s="12"/>
      <c r="M701" s="11"/>
      <c r="N701" s="11"/>
      <c r="O701" s="34" t="s">
        <v>234</v>
      </c>
      <c r="P701" s="24">
        <v>144</v>
      </c>
      <c r="Q701" s="25" t="s">
        <v>185</v>
      </c>
    </row>
    <row r="702" customFormat="1" customHeight="1" spans="1:17">
      <c r="A702" s="22">
        <f t="shared" si="37"/>
        <v>1112038</v>
      </c>
      <c r="B702" s="22">
        <v>1112</v>
      </c>
      <c r="C702" s="22" t="s">
        <v>357</v>
      </c>
      <c r="D702" s="22" t="s">
        <v>358</v>
      </c>
      <c r="E702" s="22">
        <f t="shared" si="36"/>
        <v>36</v>
      </c>
      <c r="F702" s="22">
        <v>38</v>
      </c>
      <c r="G702" s="22">
        <v>15</v>
      </c>
      <c r="H702" s="22" t="s">
        <v>242</v>
      </c>
      <c r="I702" s="12">
        <v>41800</v>
      </c>
      <c r="J702" s="12">
        <v>3800</v>
      </c>
      <c r="K702" s="12" t="s">
        <v>157</v>
      </c>
      <c r="L702" s="12"/>
      <c r="M702" s="11"/>
      <c r="N702" s="11"/>
      <c r="O702" s="34" t="s">
        <v>234</v>
      </c>
      <c r="P702" s="24">
        <v>148</v>
      </c>
      <c r="Q702" s="25" t="s">
        <v>188</v>
      </c>
    </row>
    <row r="703" customFormat="1" customHeight="1" spans="1:17">
      <c r="A703" s="22">
        <f t="shared" si="37"/>
        <v>1112039</v>
      </c>
      <c r="B703" s="22">
        <v>1112</v>
      </c>
      <c r="C703" s="22" t="s">
        <v>357</v>
      </c>
      <c r="D703" s="22" t="s">
        <v>358</v>
      </c>
      <c r="E703" s="22">
        <f t="shared" si="36"/>
        <v>36</v>
      </c>
      <c r="F703" s="22">
        <v>39</v>
      </c>
      <c r="G703" s="22">
        <v>15</v>
      </c>
      <c r="H703" s="22" t="s">
        <v>243</v>
      </c>
      <c r="I703" s="12">
        <v>42900</v>
      </c>
      <c r="J703" s="12">
        <v>3900</v>
      </c>
      <c r="K703" s="12" t="s">
        <v>160</v>
      </c>
      <c r="L703" s="12"/>
      <c r="M703" s="11"/>
      <c r="N703" s="11"/>
      <c r="O703" s="34" t="s">
        <v>234</v>
      </c>
      <c r="P703" s="24">
        <v>152</v>
      </c>
      <c r="Q703" s="25" t="s">
        <v>191</v>
      </c>
    </row>
    <row r="704" customFormat="1" customHeight="1" spans="1:17">
      <c r="A704" s="22">
        <f t="shared" si="37"/>
        <v>1112040</v>
      </c>
      <c r="B704" s="22">
        <v>1112</v>
      </c>
      <c r="C704" s="22" t="s">
        <v>357</v>
      </c>
      <c r="D704" s="22" t="s">
        <v>358</v>
      </c>
      <c r="E704" s="22">
        <f t="shared" si="36"/>
        <v>37</v>
      </c>
      <c r="F704" s="22">
        <v>40</v>
      </c>
      <c r="G704" s="22">
        <v>15</v>
      </c>
      <c r="H704" s="22" t="s">
        <v>244</v>
      </c>
      <c r="I704" s="12">
        <v>44000</v>
      </c>
      <c r="J704" s="12">
        <v>4000</v>
      </c>
      <c r="K704" s="12" t="s">
        <v>163</v>
      </c>
      <c r="L704" s="12"/>
      <c r="M704" s="11"/>
      <c r="N704" s="11"/>
      <c r="O704" s="34" t="s">
        <v>234</v>
      </c>
      <c r="P704" s="24">
        <v>156</v>
      </c>
      <c r="Q704" s="25" t="s">
        <v>194</v>
      </c>
    </row>
    <row r="705" customFormat="1" customHeight="1" spans="1:17">
      <c r="A705" s="22">
        <f t="shared" si="37"/>
        <v>1112041</v>
      </c>
      <c r="B705" s="22">
        <v>1112</v>
      </c>
      <c r="C705" s="22" t="s">
        <v>357</v>
      </c>
      <c r="D705" s="22" t="s">
        <v>358</v>
      </c>
      <c r="E705" s="22">
        <f t="shared" si="36"/>
        <v>37</v>
      </c>
      <c r="F705" s="22">
        <v>41</v>
      </c>
      <c r="G705" s="22">
        <v>15</v>
      </c>
      <c r="H705" s="22" t="s">
        <v>245</v>
      </c>
      <c r="I705" s="12">
        <v>45100</v>
      </c>
      <c r="J705" s="12">
        <v>4100</v>
      </c>
      <c r="K705" s="12" t="s">
        <v>166</v>
      </c>
      <c r="L705" s="12"/>
      <c r="M705" s="11"/>
      <c r="N705" s="11"/>
      <c r="O705" s="34" t="s">
        <v>234</v>
      </c>
      <c r="P705" s="24">
        <v>160</v>
      </c>
      <c r="Q705" s="25" t="s">
        <v>197</v>
      </c>
    </row>
    <row r="706" customFormat="1" customHeight="1" spans="1:17">
      <c r="A706" s="22">
        <f t="shared" si="37"/>
        <v>1112042</v>
      </c>
      <c r="B706" s="22">
        <v>1112</v>
      </c>
      <c r="C706" s="22" t="s">
        <v>357</v>
      </c>
      <c r="D706" s="22" t="s">
        <v>358</v>
      </c>
      <c r="E706" s="22">
        <f t="shared" si="36"/>
        <v>37</v>
      </c>
      <c r="F706" s="22">
        <v>42</v>
      </c>
      <c r="G706" s="22">
        <v>15</v>
      </c>
      <c r="H706" s="22" t="s">
        <v>246</v>
      </c>
      <c r="I706" s="12">
        <v>46200</v>
      </c>
      <c r="J706" s="12">
        <v>4200</v>
      </c>
      <c r="K706" s="12" t="s">
        <v>169</v>
      </c>
      <c r="L706" s="12"/>
      <c r="M706" s="11"/>
      <c r="N706" s="11"/>
      <c r="O706" s="34" t="s">
        <v>234</v>
      </c>
      <c r="P706" s="24">
        <v>164</v>
      </c>
      <c r="Q706" s="25" t="s">
        <v>200</v>
      </c>
    </row>
    <row r="707" customFormat="1" customHeight="1" spans="1:17">
      <c r="A707" s="22">
        <f t="shared" ref="A707:A734" si="38">B707*1000+F707</f>
        <v>1112043</v>
      </c>
      <c r="B707" s="22">
        <v>1112</v>
      </c>
      <c r="C707" s="22" t="s">
        <v>357</v>
      </c>
      <c r="D707" s="22" t="s">
        <v>358</v>
      </c>
      <c r="E707" s="22">
        <f t="shared" si="36"/>
        <v>38</v>
      </c>
      <c r="F707" s="22">
        <v>43</v>
      </c>
      <c r="G707" s="22">
        <v>15</v>
      </c>
      <c r="H707" s="22" t="s">
        <v>247</v>
      </c>
      <c r="I707" s="12">
        <v>47300</v>
      </c>
      <c r="J707" s="12">
        <v>4300</v>
      </c>
      <c r="K707" s="12" t="s">
        <v>172</v>
      </c>
      <c r="L707" s="12"/>
      <c r="M707" s="11"/>
      <c r="N707" s="11"/>
      <c r="O707" s="34" t="s">
        <v>234</v>
      </c>
      <c r="P707" s="24">
        <v>168</v>
      </c>
      <c r="Q707" s="25" t="s">
        <v>203</v>
      </c>
    </row>
    <row r="708" customFormat="1" customHeight="1" spans="1:17">
      <c r="A708" s="22">
        <f t="shared" si="38"/>
        <v>1112044</v>
      </c>
      <c r="B708" s="22">
        <v>1112</v>
      </c>
      <c r="C708" s="22" t="s">
        <v>357</v>
      </c>
      <c r="D708" s="22" t="s">
        <v>358</v>
      </c>
      <c r="E708" s="22">
        <f t="shared" si="36"/>
        <v>38</v>
      </c>
      <c r="F708" s="22">
        <v>44</v>
      </c>
      <c r="G708" s="22">
        <v>15</v>
      </c>
      <c r="H708" s="22" t="s">
        <v>248</v>
      </c>
      <c r="I708" s="12">
        <v>48400</v>
      </c>
      <c r="J708" s="12">
        <v>4400</v>
      </c>
      <c r="K708" s="12" t="s">
        <v>175</v>
      </c>
      <c r="L708" s="12"/>
      <c r="M708" s="11"/>
      <c r="N708" s="11"/>
      <c r="O708" s="34" t="s">
        <v>234</v>
      </c>
      <c r="P708" s="24">
        <v>172</v>
      </c>
      <c r="Q708" s="25" t="s">
        <v>206</v>
      </c>
    </row>
    <row r="709" customFormat="1" customHeight="1" spans="1:17">
      <c r="A709" s="22">
        <f t="shared" si="38"/>
        <v>1112045</v>
      </c>
      <c r="B709" s="22">
        <v>1112</v>
      </c>
      <c r="C709" s="22" t="s">
        <v>357</v>
      </c>
      <c r="D709" s="22" t="s">
        <v>358</v>
      </c>
      <c r="E709" s="22">
        <f t="shared" si="36"/>
        <v>38</v>
      </c>
      <c r="F709" s="22">
        <v>45</v>
      </c>
      <c r="G709" s="22">
        <v>15</v>
      </c>
      <c r="H709" s="22" t="s">
        <v>249</v>
      </c>
      <c r="I709" s="12">
        <v>49500</v>
      </c>
      <c r="J709" s="12">
        <v>4500</v>
      </c>
      <c r="K709" s="12" t="s">
        <v>178</v>
      </c>
      <c r="L709" s="12"/>
      <c r="M709" s="11"/>
      <c r="N709" s="11"/>
      <c r="O709" s="34" t="s">
        <v>234</v>
      </c>
      <c r="P709" s="24">
        <v>176</v>
      </c>
      <c r="Q709" s="25" t="s">
        <v>209</v>
      </c>
    </row>
    <row r="710" customFormat="1" customHeight="1" spans="1:17">
      <c r="A710" s="22">
        <f t="shared" si="38"/>
        <v>1112046</v>
      </c>
      <c r="B710" s="22">
        <v>1112</v>
      </c>
      <c r="C710" s="22" t="s">
        <v>357</v>
      </c>
      <c r="D710" s="22" t="s">
        <v>358</v>
      </c>
      <c r="E710" s="22">
        <f t="shared" si="36"/>
        <v>39</v>
      </c>
      <c r="F710" s="22">
        <v>46</v>
      </c>
      <c r="G710" s="22">
        <v>15</v>
      </c>
      <c r="H710" s="22" t="s">
        <v>250</v>
      </c>
      <c r="I710" s="12">
        <v>50600</v>
      </c>
      <c r="J710" s="12">
        <v>4600</v>
      </c>
      <c r="K710" s="12" t="s">
        <v>181</v>
      </c>
      <c r="L710" s="12"/>
      <c r="M710" s="11"/>
      <c r="N710" s="11"/>
      <c r="O710" s="2" t="s">
        <v>234</v>
      </c>
      <c r="P710" s="24">
        <v>180</v>
      </c>
      <c r="Q710" s="25" t="s">
        <v>212</v>
      </c>
    </row>
    <row r="711" customFormat="1" customHeight="1" spans="1:17">
      <c r="A711" s="22">
        <f t="shared" si="38"/>
        <v>1112047</v>
      </c>
      <c r="B711" s="22">
        <v>1112</v>
      </c>
      <c r="C711" s="22" t="s">
        <v>357</v>
      </c>
      <c r="D711" s="22" t="s">
        <v>358</v>
      </c>
      <c r="E711" s="22">
        <f t="shared" si="36"/>
        <v>39</v>
      </c>
      <c r="F711" s="22">
        <v>47</v>
      </c>
      <c r="G711" s="22">
        <v>15</v>
      </c>
      <c r="H711" s="22" t="s">
        <v>251</v>
      </c>
      <c r="I711" s="12">
        <v>51700</v>
      </c>
      <c r="J711" s="12">
        <v>4700</v>
      </c>
      <c r="K711" s="12" t="s">
        <v>184</v>
      </c>
      <c r="L711" s="12"/>
      <c r="M711" s="11"/>
      <c r="N711" s="11"/>
      <c r="O711" s="2" t="s">
        <v>234</v>
      </c>
      <c r="P711" s="24">
        <v>184</v>
      </c>
      <c r="Q711" s="25" t="s">
        <v>215</v>
      </c>
    </row>
    <row r="712" customFormat="1" customHeight="1" spans="1:17">
      <c r="A712" s="22">
        <f t="shared" si="38"/>
        <v>1112048</v>
      </c>
      <c r="B712" s="22">
        <v>1112</v>
      </c>
      <c r="C712" s="22" t="s">
        <v>357</v>
      </c>
      <c r="D712" s="22" t="s">
        <v>358</v>
      </c>
      <c r="E712" s="22">
        <f t="shared" si="36"/>
        <v>39</v>
      </c>
      <c r="F712" s="22">
        <v>48</v>
      </c>
      <c r="G712" s="22">
        <v>15</v>
      </c>
      <c r="H712" s="22" t="s">
        <v>252</v>
      </c>
      <c r="I712" s="12">
        <v>52800</v>
      </c>
      <c r="J712" s="12">
        <v>4800</v>
      </c>
      <c r="K712" s="12" t="s">
        <v>187</v>
      </c>
      <c r="L712" s="12"/>
      <c r="M712" s="11"/>
      <c r="N712" s="11"/>
      <c r="O712" s="2" t="s">
        <v>234</v>
      </c>
      <c r="P712" s="24">
        <v>188</v>
      </c>
      <c r="Q712" s="25" t="s">
        <v>218</v>
      </c>
    </row>
    <row r="713" customFormat="1" customHeight="1" spans="1:17">
      <c r="A713" s="22">
        <f t="shared" si="38"/>
        <v>1112049</v>
      </c>
      <c r="B713" s="22">
        <v>1112</v>
      </c>
      <c r="C713" s="22" t="s">
        <v>357</v>
      </c>
      <c r="D713" s="22" t="s">
        <v>358</v>
      </c>
      <c r="E713" s="22">
        <f t="shared" si="36"/>
        <v>40</v>
      </c>
      <c r="F713" s="22">
        <v>49</v>
      </c>
      <c r="G713" s="22">
        <v>15</v>
      </c>
      <c r="H713" s="22" t="s">
        <v>253</v>
      </c>
      <c r="I713" s="12">
        <v>53900</v>
      </c>
      <c r="J713" s="12">
        <v>4900</v>
      </c>
      <c r="K713" s="12" t="s">
        <v>190</v>
      </c>
      <c r="L713" s="12"/>
      <c r="M713" s="11"/>
      <c r="N713" s="11"/>
      <c r="O713" s="2" t="s">
        <v>234</v>
      </c>
      <c r="P713" s="24">
        <v>192</v>
      </c>
      <c r="Q713" s="25" t="s">
        <v>221</v>
      </c>
    </row>
    <row r="714" customFormat="1" customHeight="1" spans="1:17">
      <c r="A714" s="22">
        <f t="shared" si="38"/>
        <v>1112050</v>
      </c>
      <c r="B714" s="22">
        <v>1112</v>
      </c>
      <c r="C714" s="22" t="s">
        <v>357</v>
      </c>
      <c r="D714" s="22" t="s">
        <v>358</v>
      </c>
      <c r="E714" s="22">
        <f t="shared" si="36"/>
        <v>40</v>
      </c>
      <c r="F714" s="22">
        <v>50</v>
      </c>
      <c r="G714" s="22">
        <v>15</v>
      </c>
      <c r="H714" s="22" t="s">
        <v>254</v>
      </c>
      <c r="I714" s="12">
        <v>55000</v>
      </c>
      <c r="J714" s="12">
        <v>5000</v>
      </c>
      <c r="K714" s="12" t="s">
        <v>193</v>
      </c>
      <c r="L714" s="12"/>
      <c r="M714" s="11"/>
      <c r="N714" s="11"/>
      <c r="O714" s="2" t="s">
        <v>234</v>
      </c>
      <c r="P714" s="24">
        <v>196</v>
      </c>
      <c r="Q714" s="25" t="s">
        <v>224</v>
      </c>
    </row>
    <row r="715" customFormat="1" customHeight="1" spans="1:17">
      <c r="A715" s="22">
        <f t="shared" si="38"/>
        <v>1112051</v>
      </c>
      <c r="B715" s="22">
        <v>1112</v>
      </c>
      <c r="C715" s="22" t="s">
        <v>357</v>
      </c>
      <c r="D715" s="22" t="s">
        <v>358</v>
      </c>
      <c r="E715" s="22">
        <f t="shared" si="36"/>
        <v>40</v>
      </c>
      <c r="F715" s="22">
        <v>51</v>
      </c>
      <c r="G715" s="22">
        <v>15</v>
      </c>
      <c r="H715" s="22" t="s">
        <v>255</v>
      </c>
      <c r="I715" s="12">
        <v>56100</v>
      </c>
      <c r="J715" s="12">
        <v>5100</v>
      </c>
      <c r="K715" s="12" t="s">
        <v>196</v>
      </c>
      <c r="L715" s="12"/>
      <c r="M715" s="11"/>
      <c r="N715" s="11"/>
      <c r="O715" s="2" t="s">
        <v>234</v>
      </c>
      <c r="P715" s="24">
        <v>200</v>
      </c>
      <c r="Q715" s="25" t="s">
        <v>265</v>
      </c>
    </row>
    <row r="716" customFormat="1" customHeight="1" spans="1:17">
      <c r="A716" s="22">
        <f t="shared" si="38"/>
        <v>1112052</v>
      </c>
      <c r="B716" s="22">
        <v>1112</v>
      </c>
      <c r="C716" s="22" t="s">
        <v>357</v>
      </c>
      <c r="D716" s="22" t="s">
        <v>358</v>
      </c>
      <c r="E716" s="22">
        <f t="shared" si="36"/>
        <v>41</v>
      </c>
      <c r="F716" s="22">
        <v>52</v>
      </c>
      <c r="G716" s="22">
        <v>15</v>
      </c>
      <c r="H716" s="22" t="s">
        <v>256</v>
      </c>
      <c r="I716" s="12">
        <v>57200</v>
      </c>
      <c r="J716" s="12">
        <v>5200</v>
      </c>
      <c r="K716" s="12" t="s">
        <v>199</v>
      </c>
      <c r="L716" s="12"/>
      <c r="M716" s="11"/>
      <c r="N716" s="11"/>
      <c r="O716" s="2" t="s">
        <v>234</v>
      </c>
      <c r="P716" s="24">
        <v>204</v>
      </c>
      <c r="Q716" s="25" t="s">
        <v>275</v>
      </c>
    </row>
    <row r="717" customFormat="1" customHeight="1" spans="1:17">
      <c r="A717" s="22">
        <f t="shared" si="38"/>
        <v>1112053</v>
      </c>
      <c r="B717" s="22">
        <v>1112</v>
      </c>
      <c r="C717" s="22" t="s">
        <v>357</v>
      </c>
      <c r="D717" s="22" t="s">
        <v>358</v>
      </c>
      <c r="E717" s="22">
        <f t="shared" si="36"/>
        <v>41</v>
      </c>
      <c r="F717" s="22">
        <v>53</v>
      </c>
      <c r="G717" s="22">
        <v>15</v>
      </c>
      <c r="H717" s="22" t="s">
        <v>257</v>
      </c>
      <c r="I717" s="12">
        <v>58300</v>
      </c>
      <c r="J717" s="12">
        <v>5300</v>
      </c>
      <c r="K717" s="12" t="s">
        <v>202</v>
      </c>
      <c r="L717" s="12"/>
      <c r="M717" s="11"/>
      <c r="N717" s="11"/>
      <c r="O717" s="2" t="s">
        <v>234</v>
      </c>
      <c r="P717" s="24">
        <v>208</v>
      </c>
      <c r="Q717" s="25" t="s">
        <v>276</v>
      </c>
    </row>
    <row r="718" customFormat="1" customHeight="1" spans="1:17">
      <c r="A718" s="22">
        <f t="shared" si="38"/>
        <v>1112054</v>
      </c>
      <c r="B718" s="22">
        <v>1112</v>
      </c>
      <c r="C718" s="22" t="s">
        <v>357</v>
      </c>
      <c r="D718" s="22" t="s">
        <v>358</v>
      </c>
      <c r="E718" s="22">
        <f t="shared" si="36"/>
        <v>41</v>
      </c>
      <c r="F718" s="22">
        <v>54</v>
      </c>
      <c r="G718" s="22">
        <v>15</v>
      </c>
      <c r="H718" s="22" t="s">
        <v>258</v>
      </c>
      <c r="I718" s="12">
        <v>59400</v>
      </c>
      <c r="J718" s="12">
        <v>5400</v>
      </c>
      <c r="K718" s="12" t="s">
        <v>205</v>
      </c>
      <c r="L718" s="12"/>
      <c r="M718" s="11"/>
      <c r="N718" s="11"/>
      <c r="O718" s="2" t="s">
        <v>234</v>
      </c>
      <c r="P718" s="24">
        <v>212</v>
      </c>
      <c r="Q718" s="25" t="s">
        <v>277</v>
      </c>
    </row>
    <row r="719" customFormat="1" customHeight="1" spans="1:17">
      <c r="A719" s="22">
        <f t="shared" si="38"/>
        <v>1112055</v>
      </c>
      <c r="B719" s="22">
        <v>1112</v>
      </c>
      <c r="C719" s="22" t="s">
        <v>357</v>
      </c>
      <c r="D719" s="22" t="s">
        <v>358</v>
      </c>
      <c r="E719" s="22">
        <f t="shared" si="36"/>
        <v>42</v>
      </c>
      <c r="F719" s="22">
        <v>55</v>
      </c>
      <c r="G719" s="22">
        <v>15</v>
      </c>
      <c r="H719" s="22" t="s">
        <v>259</v>
      </c>
      <c r="I719" s="12">
        <v>60500</v>
      </c>
      <c r="J719" s="12">
        <v>5500</v>
      </c>
      <c r="K719" s="12" t="s">
        <v>208</v>
      </c>
      <c r="L719" s="12"/>
      <c r="M719" s="11"/>
      <c r="N719" s="11"/>
      <c r="O719" s="2" t="s">
        <v>234</v>
      </c>
      <c r="P719" s="24">
        <v>216</v>
      </c>
      <c r="Q719" s="25" t="s">
        <v>278</v>
      </c>
    </row>
    <row r="720" customFormat="1" customHeight="1" spans="1:17">
      <c r="A720" s="22">
        <f t="shared" si="38"/>
        <v>1112056</v>
      </c>
      <c r="B720" s="22">
        <v>1112</v>
      </c>
      <c r="C720" s="22" t="s">
        <v>357</v>
      </c>
      <c r="D720" s="22" t="s">
        <v>358</v>
      </c>
      <c r="E720" s="22">
        <f t="shared" si="36"/>
        <v>42</v>
      </c>
      <c r="F720" s="22">
        <v>56</v>
      </c>
      <c r="G720" s="22">
        <v>15</v>
      </c>
      <c r="H720" s="22" t="s">
        <v>260</v>
      </c>
      <c r="I720" s="12">
        <v>61600</v>
      </c>
      <c r="J720" s="12">
        <v>5600</v>
      </c>
      <c r="K720" s="12" t="s">
        <v>211</v>
      </c>
      <c r="L720" s="12"/>
      <c r="M720" s="11"/>
      <c r="N720" s="11"/>
      <c r="O720" s="2" t="s">
        <v>234</v>
      </c>
      <c r="P720" s="24">
        <v>220</v>
      </c>
      <c r="Q720" s="25" t="s">
        <v>279</v>
      </c>
    </row>
    <row r="721" customFormat="1" customHeight="1" spans="1:17">
      <c r="A721" s="22">
        <f t="shared" si="38"/>
        <v>1112057</v>
      </c>
      <c r="B721" s="22">
        <v>1112</v>
      </c>
      <c r="C721" s="22" t="s">
        <v>357</v>
      </c>
      <c r="D721" s="22" t="s">
        <v>358</v>
      </c>
      <c r="E721" s="22">
        <f t="shared" si="36"/>
        <v>42</v>
      </c>
      <c r="F721" s="22">
        <v>57</v>
      </c>
      <c r="G721" s="22">
        <v>15</v>
      </c>
      <c r="H721" s="22" t="s">
        <v>261</v>
      </c>
      <c r="I721" s="12">
        <v>62700</v>
      </c>
      <c r="J721" s="12">
        <v>5700</v>
      </c>
      <c r="K721" s="12" t="s">
        <v>214</v>
      </c>
      <c r="L721" s="12"/>
      <c r="M721" s="11"/>
      <c r="N721" s="11"/>
      <c r="O721" s="2" t="s">
        <v>234</v>
      </c>
      <c r="P721" s="24">
        <v>224</v>
      </c>
      <c r="Q721" s="25" t="s">
        <v>280</v>
      </c>
    </row>
    <row r="722" customFormat="1" customHeight="1" spans="1:17">
      <c r="A722" s="22">
        <f t="shared" si="38"/>
        <v>1112058</v>
      </c>
      <c r="B722" s="22">
        <v>1112</v>
      </c>
      <c r="C722" s="22" t="s">
        <v>357</v>
      </c>
      <c r="D722" s="22" t="s">
        <v>358</v>
      </c>
      <c r="E722" s="22">
        <f t="shared" si="36"/>
        <v>43</v>
      </c>
      <c r="F722" s="22">
        <v>58</v>
      </c>
      <c r="G722" s="22">
        <v>15</v>
      </c>
      <c r="H722" s="22" t="s">
        <v>262</v>
      </c>
      <c r="I722" s="12">
        <v>63800</v>
      </c>
      <c r="J722" s="12">
        <v>5800</v>
      </c>
      <c r="K722" s="12" t="s">
        <v>217</v>
      </c>
      <c r="L722" s="12"/>
      <c r="M722" s="11"/>
      <c r="N722" s="11"/>
      <c r="O722" s="2" t="s">
        <v>234</v>
      </c>
      <c r="P722" s="24">
        <v>228</v>
      </c>
      <c r="Q722" s="25" t="s">
        <v>326</v>
      </c>
    </row>
    <row r="723" customFormat="1" customHeight="1" spans="1:17">
      <c r="A723" s="22">
        <f t="shared" si="38"/>
        <v>1112059</v>
      </c>
      <c r="B723" s="22">
        <v>1112</v>
      </c>
      <c r="C723" s="22" t="s">
        <v>357</v>
      </c>
      <c r="D723" s="22" t="s">
        <v>358</v>
      </c>
      <c r="E723" s="22">
        <f t="shared" si="36"/>
        <v>43</v>
      </c>
      <c r="F723" s="22">
        <v>59</v>
      </c>
      <c r="G723" s="22">
        <v>15</v>
      </c>
      <c r="H723" s="22" t="s">
        <v>263</v>
      </c>
      <c r="I723" s="12">
        <v>64900</v>
      </c>
      <c r="J723" s="12">
        <v>5900</v>
      </c>
      <c r="K723" s="12" t="s">
        <v>220</v>
      </c>
      <c r="L723" s="12"/>
      <c r="M723" s="11"/>
      <c r="N723" s="11"/>
      <c r="O723" s="2" t="s">
        <v>234</v>
      </c>
      <c r="P723" s="24">
        <v>232</v>
      </c>
      <c r="Q723" s="25" t="s">
        <v>327</v>
      </c>
    </row>
    <row r="724" customFormat="1" customHeight="1" spans="1:17">
      <c r="A724" s="22">
        <f t="shared" si="38"/>
        <v>1112060</v>
      </c>
      <c r="B724" s="22">
        <v>1112</v>
      </c>
      <c r="C724" s="22" t="s">
        <v>357</v>
      </c>
      <c r="D724" s="22" t="s">
        <v>358</v>
      </c>
      <c r="E724" s="22">
        <v>9999</v>
      </c>
      <c r="F724" s="22">
        <v>60</v>
      </c>
      <c r="G724" s="22">
        <v>15</v>
      </c>
      <c r="H724" s="22" t="s">
        <v>264</v>
      </c>
      <c r="I724" s="12">
        <v>66000</v>
      </c>
      <c r="J724" s="12">
        <v>6000</v>
      </c>
      <c r="K724" s="12" t="s">
        <v>223</v>
      </c>
      <c r="L724" s="12"/>
      <c r="M724" s="11"/>
      <c r="N724" s="11"/>
      <c r="O724" s="2" t="s">
        <v>234</v>
      </c>
      <c r="P724" s="24"/>
      <c r="Q724" s="25" t="s">
        <v>355</v>
      </c>
    </row>
    <row r="725" customHeight="1" spans="1:17">
      <c r="A725" s="22">
        <f t="shared" ref="A725:A734" si="39">B725*1000+F725</f>
        <v>1202001</v>
      </c>
      <c r="B725" s="22">
        <v>1202</v>
      </c>
      <c r="C725" s="22" t="s">
        <v>366</v>
      </c>
      <c r="D725" s="22"/>
      <c r="E725" s="22">
        <v>4</v>
      </c>
      <c r="F725" s="22">
        <v>1</v>
      </c>
      <c r="G725" s="22">
        <v>42</v>
      </c>
      <c r="H725" s="22" t="s">
        <v>38</v>
      </c>
      <c r="I725" s="12">
        <v>100</v>
      </c>
      <c r="J725" s="12"/>
      <c r="K725" s="12" t="s">
        <v>39</v>
      </c>
      <c r="L725" s="12"/>
      <c r="M725" s="11" t="s">
        <v>367</v>
      </c>
      <c r="N725" s="11" t="s">
        <v>368</v>
      </c>
      <c r="O725" s="2" t="s">
        <v>369</v>
      </c>
      <c r="P725" s="24">
        <v>2</v>
      </c>
      <c r="Q725" s="25" t="s">
        <v>48</v>
      </c>
    </row>
    <row r="726" customHeight="1" spans="1:17">
      <c r="A726" s="22">
        <f t="shared" si="39"/>
        <v>1202002</v>
      </c>
      <c r="B726" s="22">
        <v>1202</v>
      </c>
      <c r="C726" s="22" t="s">
        <v>366</v>
      </c>
      <c r="D726" s="22"/>
      <c r="E726" s="22">
        <v>4</v>
      </c>
      <c r="F726" s="22">
        <v>2</v>
      </c>
      <c r="G726" s="22">
        <v>42</v>
      </c>
      <c r="H726" s="22" t="s">
        <v>49</v>
      </c>
      <c r="I726" s="12">
        <v>200</v>
      </c>
      <c r="J726" s="12"/>
      <c r="K726" s="12" t="s">
        <v>45</v>
      </c>
      <c r="L726" s="12"/>
      <c r="O726" s="2" t="s">
        <v>370</v>
      </c>
      <c r="P726" s="24">
        <v>4</v>
      </c>
      <c r="Q726" s="25" t="s">
        <v>56</v>
      </c>
    </row>
    <row r="727" customHeight="1" spans="1:17">
      <c r="A727" s="22">
        <f t="shared" si="39"/>
        <v>1202003</v>
      </c>
      <c r="B727" s="22">
        <v>1202</v>
      </c>
      <c r="C727" s="22" t="s">
        <v>366</v>
      </c>
      <c r="D727" s="22"/>
      <c r="E727" s="22">
        <v>4</v>
      </c>
      <c r="F727" s="22">
        <v>3</v>
      </c>
      <c r="G727" s="22">
        <v>42</v>
      </c>
      <c r="H727" s="22" t="s">
        <v>57</v>
      </c>
      <c r="I727" s="12">
        <v>300</v>
      </c>
      <c r="J727" s="12"/>
      <c r="K727" s="12" t="s">
        <v>50</v>
      </c>
      <c r="L727" s="12"/>
      <c r="O727" s="2">
        <v>1202255</v>
      </c>
      <c r="P727" s="24">
        <v>8</v>
      </c>
      <c r="Q727" s="25" t="s">
        <v>62</v>
      </c>
    </row>
    <row r="728" customHeight="1" spans="1:17">
      <c r="A728" s="22">
        <f t="shared" si="39"/>
        <v>1202004</v>
      </c>
      <c r="B728" s="22">
        <v>1202</v>
      </c>
      <c r="C728" s="22" t="s">
        <v>366</v>
      </c>
      <c r="D728" s="22"/>
      <c r="E728" s="22">
        <f t="shared" ref="E728:E784" si="40">E725+1</f>
        <v>5</v>
      </c>
      <c r="F728" s="22">
        <v>4</v>
      </c>
      <c r="G728" s="22">
        <v>42</v>
      </c>
      <c r="H728" s="22" t="s">
        <v>63</v>
      </c>
      <c r="I728" s="12">
        <v>400</v>
      </c>
      <c r="J728" s="12"/>
      <c r="K728" s="12" t="s">
        <v>55</v>
      </c>
      <c r="L728" s="12"/>
      <c r="O728" s="2">
        <v>1202271</v>
      </c>
      <c r="P728" s="24">
        <v>12</v>
      </c>
      <c r="Q728" s="25" t="s">
        <v>68</v>
      </c>
    </row>
    <row r="729" customHeight="1" spans="1:17">
      <c r="A729" s="22">
        <f t="shared" si="39"/>
        <v>1202005</v>
      </c>
      <c r="B729" s="22">
        <v>1202</v>
      </c>
      <c r="C729" s="22" t="s">
        <v>366</v>
      </c>
      <c r="D729" s="22"/>
      <c r="E729" s="22">
        <f t="shared" si="40"/>
        <v>5</v>
      </c>
      <c r="F729" s="22">
        <v>5</v>
      </c>
      <c r="G729" s="22">
        <v>42</v>
      </c>
      <c r="H729" s="22" t="s">
        <v>69</v>
      </c>
      <c r="I729" s="12">
        <v>500</v>
      </c>
      <c r="J729" s="12"/>
      <c r="K729" s="12" t="s">
        <v>58</v>
      </c>
      <c r="L729" s="12"/>
      <c r="O729" s="2">
        <v>1202252</v>
      </c>
      <c r="P729" s="24">
        <v>16</v>
      </c>
      <c r="Q729" s="25" t="s">
        <v>74</v>
      </c>
    </row>
    <row r="730" customHeight="1" spans="1:17">
      <c r="A730" s="22">
        <f t="shared" si="39"/>
        <v>1202006</v>
      </c>
      <c r="B730" s="22">
        <v>1202</v>
      </c>
      <c r="C730" s="22" t="s">
        <v>366</v>
      </c>
      <c r="D730" s="22"/>
      <c r="E730" s="22">
        <f t="shared" si="40"/>
        <v>5</v>
      </c>
      <c r="F730" s="22">
        <v>6</v>
      </c>
      <c r="G730" s="22">
        <v>42</v>
      </c>
      <c r="H730" s="22" t="s">
        <v>75</v>
      </c>
      <c r="I730" s="12">
        <v>600</v>
      </c>
      <c r="J730" s="12"/>
      <c r="K730" s="12" t="s">
        <v>61</v>
      </c>
      <c r="L730" s="12"/>
      <c r="O730" s="2">
        <v>1202260</v>
      </c>
      <c r="P730" s="24">
        <v>20</v>
      </c>
      <c r="Q730" s="25" t="s">
        <v>80</v>
      </c>
    </row>
    <row r="731" customHeight="1" spans="1:17">
      <c r="A731" s="22">
        <f t="shared" si="39"/>
        <v>1202007</v>
      </c>
      <c r="B731" s="22">
        <v>1202</v>
      </c>
      <c r="C731" s="22" t="s">
        <v>366</v>
      </c>
      <c r="D731" s="22"/>
      <c r="E731" s="22">
        <f t="shared" si="40"/>
        <v>6</v>
      </c>
      <c r="F731" s="22">
        <v>7</v>
      </c>
      <c r="G731" s="22">
        <v>42</v>
      </c>
      <c r="H731" s="22" t="s">
        <v>81</v>
      </c>
      <c r="I731" s="12">
        <v>700</v>
      </c>
      <c r="J731" s="12"/>
      <c r="K731" s="12" t="s">
        <v>64</v>
      </c>
      <c r="L731" s="12"/>
      <c r="O731" s="2">
        <v>1202275</v>
      </c>
      <c r="P731" s="24">
        <v>24</v>
      </c>
      <c r="Q731" s="25" t="s">
        <v>86</v>
      </c>
    </row>
    <row r="732" customHeight="1" spans="1:17">
      <c r="A732" s="22">
        <f t="shared" si="39"/>
        <v>1202008</v>
      </c>
      <c r="B732" s="22">
        <v>1202</v>
      </c>
      <c r="C732" s="22" t="s">
        <v>366</v>
      </c>
      <c r="D732" s="22"/>
      <c r="E732" s="22">
        <f t="shared" si="40"/>
        <v>6</v>
      </c>
      <c r="F732" s="22">
        <v>8</v>
      </c>
      <c r="G732" s="22">
        <v>42</v>
      </c>
      <c r="H732" s="22" t="s">
        <v>87</v>
      </c>
      <c r="I732" s="12">
        <v>800</v>
      </c>
      <c r="J732" s="12"/>
      <c r="K732" s="12" t="s">
        <v>67</v>
      </c>
      <c r="L732" s="12"/>
      <c r="O732" s="2" t="s">
        <v>371</v>
      </c>
      <c r="P732" s="24">
        <v>28</v>
      </c>
      <c r="Q732" s="25" t="s">
        <v>92</v>
      </c>
    </row>
    <row r="733" customHeight="1" spans="1:17">
      <c r="A733" s="22">
        <f t="shared" si="39"/>
        <v>1202009</v>
      </c>
      <c r="B733" s="22">
        <v>1202</v>
      </c>
      <c r="C733" s="22" t="s">
        <v>366</v>
      </c>
      <c r="D733" s="22"/>
      <c r="E733" s="22">
        <f t="shared" si="40"/>
        <v>6</v>
      </c>
      <c r="F733" s="22">
        <v>9</v>
      </c>
      <c r="G733" s="22">
        <v>42</v>
      </c>
      <c r="H733" s="22" t="s">
        <v>93</v>
      </c>
      <c r="I733" s="12">
        <v>900</v>
      </c>
      <c r="J733" s="12"/>
      <c r="K733" s="12" t="s">
        <v>70</v>
      </c>
      <c r="L733" s="12"/>
      <c r="O733" s="2" t="s">
        <v>372</v>
      </c>
      <c r="P733" s="24">
        <v>32</v>
      </c>
      <c r="Q733" s="25" t="s">
        <v>98</v>
      </c>
    </row>
    <row r="734" customHeight="1" spans="1:17">
      <c r="A734" s="22">
        <f t="shared" si="39"/>
        <v>1202010</v>
      </c>
      <c r="B734" s="22">
        <v>1202</v>
      </c>
      <c r="C734" s="22" t="s">
        <v>366</v>
      </c>
      <c r="D734" s="22"/>
      <c r="E734" s="22">
        <f t="shared" si="40"/>
        <v>7</v>
      </c>
      <c r="F734" s="22">
        <v>10</v>
      </c>
      <c r="G734" s="22">
        <v>42</v>
      </c>
      <c r="H734" s="22" t="s">
        <v>99</v>
      </c>
      <c r="I734" s="12">
        <v>1000</v>
      </c>
      <c r="J734" s="12"/>
      <c r="K734" s="12" t="s">
        <v>73</v>
      </c>
      <c r="L734" s="12"/>
      <c r="O734" s="2" t="s">
        <v>373</v>
      </c>
      <c r="P734" s="24">
        <v>36</v>
      </c>
      <c r="Q734" s="25" t="s">
        <v>104</v>
      </c>
    </row>
    <row r="735" customHeight="1" spans="1:17">
      <c r="A735" s="22">
        <f t="shared" ref="A735:A766" si="41">B735*1000+F735</f>
        <v>1202011</v>
      </c>
      <c r="B735" s="22">
        <v>1202</v>
      </c>
      <c r="C735" s="22" t="s">
        <v>366</v>
      </c>
      <c r="D735" s="22"/>
      <c r="E735" s="22">
        <f t="shared" si="40"/>
        <v>7</v>
      </c>
      <c r="F735" s="22">
        <v>11</v>
      </c>
      <c r="G735" s="22">
        <v>42</v>
      </c>
      <c r="H735" s="22" t="s">
        <v>105</v>
      </c>
      <c r="I735" s="12">
        <v>1100</v>
      </c>
      <c r="J735" s="12"/>
      <c r="K735" s="12" t="s">
        <v>76</v>
      </c>
      <c r="L735" s="12"/>
      <c r="O735" s="2" t="s">
        <v>374</v>
      </c>
      <c r="P735" s="24">
        <v>40</v>
      </c>
      <c r="Q735" s="25" t="s">
        <v>110</v>
      </c>
    </row>
    <row r="736" customHeight="1" spans="1:17">
      <c r="A736" s="22">
        <f t="shared" si="41"/>
        <v>1202012</v>
      </c>
      <c r="B736" s="22">
        <v>1202</v>
      </c>
      <c r="C736" s="22" t="s">
        <v>366</v>
      </c>
      <c r="D736" s="22"/>
      <c r="E736" s="22">
        <f t="shared" si="40"/>
        <v>7</v>
      </c>
      <c r="F736" s="22">
        <v>12</v>
      </c>
      <c r="G736" s="22">
        <v>42</v>
      </c>
      <c r="H736" s="22" t="s">
        <v>111</v>
      </c>
      <c r="I736" s="12">
        <v>1200</v>
      </c>
      <c r="J736" s="12"/>
      <c r="K736" s="12" t="s">
        <v>79</v>
      </c>
      <c r="L736" s="12"/>
      <c r="O736" s="2" t="s">
        <v>375</v>
      </c>
      <c r="P736" s="24">
        <v>44</v>
      </c>
      <c r="Q736" s="25" t="s">
        <v>116</v>
      </c>
    </row>
    <row r="737" customHeight="1" spans="1:17">
      <c r="A737" s="22">
        <f t="shared" si="41"/>
        <v>1202013</v>
      </c>
      <c r="B737" s="22">
        <v>1202</v>
      </c>
      <c r="C737" s="22" t="s">
        <v>366</v>
      </c>
      <c r="D737" s="22"/>
      <c r="E737" s="22">
        <f t="shared" si="40"/>
        <v>8</v>
      </c>
      <c r="F737" s="22">
        <v>13</v>
      </c>
      <c r="G737" s="22">
        <v>42</v>
      </c>
      <c r="H737" s="22" t="s">
        <v>117</v>
      </c>
      <c r="I737" s="12">
        <v>1300</v>
      </c>
      <c r="J737" s="12"/>
      <c r="K737" s="12" t="s">
        <v>82</v>
      </c>
      <c r="L737" s="12"/>
      <c r="O737" s="2" t="s">
        <v>376</v>
      </c>
      <c r="P737" s="24">
        <v>48</v>
      </c>
      <c r="Q737" s="25" t="s">
        <v>122</v>
      </c>
    </row>
    <row r="738" customHeight="1" spans="1:17">
      <c r="A738" s="22">
        <f t="shared" si="41"/>
        <v>1202014</v>
      </c>
      <c r="B738" s="22">
        <v>1202</v>
      </c>
      <c r="C738" s="22" t="s">
        <v>366</v>
      </c>
      <c r="D738" s="22"/>
      <c r="E738" s="22">
        <f t="shared" si="40"/>
        <v>8</v>
      </c>
      <c r="F738" s="22">
        <v>14</v>
      </c>
      <c r="G738" s="22">
        <v>42</v>
      </c>
      <c r="H738" s="22" t="s">
        <v>123</v>
      </c>
      <c r="I738" s="12">
        <v>1400</v>
      </c>
      <c r="J738" s="12"/>
      <c r="K738" s="12" t="s">
        <v>85</v>
      </c>
      <c r="L738" s="12"/>
      <c r="O738" s="2">
        <v>1202254</v>
      </c>
      <c r="P738" s="24">
        <v>52</v>
      </c>
      <c r="Q738" s="25" t="s">
        <v>128</v>
      </c>
    </row>
    <row r="739" customHeight="1" spans="1:17">
      <c r="A739" s="22">
        <f t="shared" si="41"/>
        <v>1202015</v>
      </c>
      <c r="B739" s="22">
        <v>1202</v>
      </c>
      <c r="C739" s="22" t="s">
        <v>366</v>
      </c>
      <c r="D739" s="22"/>
      <c r="E739" s="22">
        <f t="shared" si="40"/>
        <v>8</v>
      </c>
      <c r="F739" s="22">
        <v>15</v>
      </c>
      <c r="G739" s="22">
        <v>42</v>
      </c>
      <c r="H739" s="22" t="s">
        <v>129</v>
      </c>
      <c r="I739" s="12">
        <v>1500</v>
      </c>
      <c r="J739" s="12"/>
      <c r="K739" s="12" t="s">
        <v>88</v>
      </c>
      <c r="L739" s="12"/>
      <c r="O739" s="2">
        <v>1202262</v>
      </c>
      <c r="P739" s="24">
        <v>56</v>
      </c>
      <c r="Q739" s="25" t="s">
        <v>134</v>
      </c>
    </row>
    <row r="740" customHeight="1" spans="1:17">
      <c r="A740" s="22">
        <f t="shared" si="41"/>
        <v>1202016</v>
      </c>
      <c r="B740" s="22">
        <v>1202</v>
      </c>
      <c r="C740" s="22" t="s">
        <v>366</v>
      </c>
      <c r="D740" s="22"/>
      <c r="E740" s="22">
        <f t="shared" si="40"/>
        <v>9</v>
      </c>
      <c r="F740" s="22">
        <v>16</v>
      </c>
      <c r="G740" s="22">
        <v>42</v>
      </c>
      <c r="H740" s="22" t="s">
        <v>135</v>
      </c>
      <c r="I740" s="12">
        <v>1600</v>
      </c>
      <c r="J740" s="12"/>
      <c r="K740" s="12" t="s">
        <v>91</v>
      </c>
      <c r="L740" s="12"/>
      <c r="O740" s="2">
        <v>1202269</v>
      </c>
      <c r="P740" s="24">
        <v>60</v>
      </c>
      <c r="Q740" s="25" t="s">
        <v>140</v>
      </c>
    </row>
    <row r="741" customHeight="1" spans="1:17">
      <c r="A741" s="22">
        <f t="shared" si="41"/>
        <v>1202017</v>
      </c>
      <c r="B741" s="22">
        <v>1202</v>
      </c>
      <c r="C741" s="22" t="s">
        <v>366</v>
      </c>
      <c r="D741" s="22"/>
      <c r="E741" s="22">
        <f t="shared" si="40"/>
        <v>9</v>
      </c>
      <c r="F741" s="22">
        <v>17</v>
      </c>
      <c r="G741" s="22">
        <v>42</v>
      </c>
      <c r="H741" s="22" t="s">
        <v>141</v>
      </c>
      <c r="I741" s="12">
        <v>1700</v>
      </c>
      <c r="J741" s="12"/>
      <c r="K741" s="12" t="s">
        <v>94</v>
      </c>
      <c r="L741" s="12"/>
      <c r="O741" s="2">
        <v>1202276</v>
      </c>
      <c r="P741" s="24">
        <v>64</v>
      </c>
      <c r="Q741" s="25" t="s">
        <v>146</v>
      </c>
    </row>
    <row r="742" customHeight="1" spans="1:17">
      <c r="A742" s="22">
        <f t="shared" si="41"/>
        <v>1202018</v>
      </c>
      <c r="B742" s="22">
        <v>1202</v>
      </c>
      <c r="C742" s="22" t="s">
        <v>366</v>
      </c>
      <c r="D742" s="22"/>
      <c r="E742" s="22">
        <f t="shared" si="40"/>
        <v>9</v>
      </c>
      <c r="F742" s="22">
        <v>18</v>
      </c>
      <c r="G742" s="22">
        <v>42</v>
      </c>
      <c r="H742" s="22" t="s">
        <v>147</v>
      </c>
      <c r="I742" s="12">
        <v>1800</v>
      </c>
      <c r="J742" s="12"/>
      <c r="K742" s="12" t="s">
        <v>97</v>
      </c>
      <c r="L742" s="12"/>
      <c r="O742" s="2">
        <v>1202283</v>
      </c>
      <c r="P742" s="24">
        <v>68</v>
      </c>
      <c r="Q742" s="25" t="s">
        <v>152</v>
      </c>
    </row>
    <row r="743" customHeight="1" spans="1:17">
      <c r="A743" s="22">
        <f t="shared" si="41"/>
        <v>1202019</v>
      </c>
      <c r="B743" s="22">
        <v>1202</v>
      </c>
      <c r="C743" s="22" t="s">
        <v>366</v>
      </c>
      <c r="D743" s="22"/>
      <c r="E743" s="22">
        <f t="shared" si="40"/>
        <v>10</v>
      </c>
      <c r="F743" s="22">
        <v>19</v>
      </c>
      <c r="G743" s="22">
        <v>42</v>
      </c>
      <c r="H743" s="22" t="s">
        <v>153</v>
      </c>
      <c r="I743" s="12">
        <v>1900</v>
      </c>
      <c r="J743" s="12"/>
      <c r="K743" s="12" t="s">
        <v>100</v>
      </c>
      <c r="L743" s="12"/>
      <c r="O743" s="2">
        <v>1202285</v>
      </c>
      <c r="P743" s="24">
        <v>72</v>
      </c>
      <c r="Q743" s="25" t="s">
        <v>158</v>
      </c>
    </row>
    <row r="744" customHeight="1" spans="1:17">
      <c r="A744" s="22">
        <f t="shared" si="41"/>
        <v>1202020</v>
      </c>
      <c r="B744" s="22">
        <v>1202</v>
      </c>
      <c r="C744" s="22" t="s">
        <v>366</v>
      </c>
      <c r="D744" s="22"/>
      <c r="E744" s="22">
        <f t="shared" si="40"/>
        <v>10</v>
      </c>
      <c r="F744" s="22">
        <v>20</v>
      </c>
      <c r="G744" s="22">
        <v>42</v>
      </c>
      <c r="H744" s="22" t="s">
        <v>159</v>
      </c>
      <c r="I744" s="12">
        <v>2000</v>
      </c>
      <c r="J744" s="12"/>
      <c r="K744" s="12" t="s">
        <v>103</v>
      </c>
      <c r="L744" s="12"/>
      <c r="O744" s="2">
        <v>1202301</v>
      </c>
      <c r="P744" s="24">
        <v>76</v>
      </c>
      <c r="Q744" s="25" t="s">
        <v>164</v>
      </c>
    </row>
    <row r="745" customHeight="1" spans="1:17">
      <c r="A745" s="22">
        <f t="shared" si="41"/>
        <v>1202021</v>
      </c>
      <c r="B745" s="22">
        <v>1202</v>
      </c>
      <c r="C745" s="22" t="s">
        <v>366</v>
      </c>
      <c r="D745" s="22"/>
      <c r="E745" s="22">
        <f t="shared" si="40"/>
        <v>10</v>
      </c>
      <c r="F745" s="22">
        <v>21</v>
      </c>
      <c r="G745" s="22">
        <v>42</v>
      </c>
      <c r="H745" s="22" t="s">
        <v>165</v>
      </c>
      <c r="I745" s="12">
        <v>2100</v>
      </c>
      <c r="J745" s="12"/>
      <c r="K745" s="12" t="s">
        <v>106</v>
      </c>
      <c r="L745" s="12"/>
      <c r="O745" s="2">
        <v>1202263</v>
      </c>
      <c r="P745" s="24">
        <v>80</v>
      </c>
      <c r="Q745" s="25" t="s">
        <v>170</v>
      </c>
    </row>
    <row r="746" customHeight="1" spans="1:17">
      <c r="A746" s="22">
        <f t="shared" si="41"/>
        <v>1202022</v>
      </c>
      <c r="B746" s="22">
        <v>1202</v>
      </c>
      <c r="C746" s="22" t="s">
        <v>366</v>
      </c>
      <c r="D746" s="22"/>
      <c r="E746" s="22">
        <f t="shared" si="40"/>
        <v>11</v>
      </c>
      <c r="F746" s="22">
        <v>22</v>
      </c>
      <c r="G746" s="22">
        <v>42</v>
      </c>
      <c r="H746" s="22" t="s">
        <v>171</v>
      </c>
      <c r="I746" s="12">
        <v>2200</v>
      </c>
      <c r="J746" s="12"/>
      <c r="K746" s="12" t="s">
        <v>109</v>
      </c>
      <c r="L746" s="12"/>
      <c r="O746" s="2">
        <v>1202264</v>
      </c>
      <c r="P746" s="24">
        <v>84</v>
      </c>
      <c r="Q746" s="25" t="s">
        <v>176</v>
      </c>
    </row>
    <row r="747" customHeight="1" spans="1:17">
      <c r="A747" s="22">
        <f t="shared" si="41"/>
        <v>1202023</v>
      </c>
      <c r="B747" s="22">
        <v>1202</v>
      </c>
      <c r="C747" s="22" t="s">
        <v>366</v>
      </c>
      <c r="D747" s="22"/>
      <c r="E747" s="22">
        <f t="shared" si="40"/>
        <v>11</v>
      </c>
      <c r="F747" s="22">
        <v>23</v>
      </c>
      <c r="G747" s="22">
        <v>42</v>
      </c>
      <c r="H747" s="22" t="s">
        <v>177</v>
      </c>
      <c r="I747" s="12">
        <v>2300</v>
      </c>
      <c r="J747" s="12"/>
      <c r="K747" s="12" t="s">
        <v>112</v>
      </c>
      <c r="L747" s="12"/>
      <c r="O747" s="2">
        <v>1202266</v>
      </c>
      <c r="P747" s="24">
        <v>88</v>
      </c>
      <c r="Q747" s="25" t="s">
        <v>182</v>
      </c>
    </row>
    <row r="748" customHeight="1" spans="1:17">
      <c r="A748" s="22">
        <f t="shared" si="41"/>
        <v>1202024</v>
      </c>
      <c r="B748" s="22">
        <v>1202</v>
      </c>
      <c r="C748" s="22" t="s">
        <v>366</v>
      </c>
      <c r="D748" s="22"/>
      <c r="E748" s="22">
        <f t="shared" si="40"/>
        <v>11</v>
      </c>
      <c r="F748" s="22">
        <v>24</v>
      </c>
      <c r="G748" s="22">
        <v>42</v>
      </c>
      <c r="H748" s="22" t="s">
        <v>183</v>
      </c>
      <c r="I748" s="12">
        <v>2400</v>
      </c>
      <c r="J748" s="12"/>
      <c r="K748" s="12" t="s">
        <v>115</v>
      </c>
      <c r="L748" s="12"/>
      <c r="P748" s="24">
        <v>92</v>
      </c>
      <c r="Q748" s="25" t="s">
        <v>188</v>
      </c>
    </row>
    <row r="749" customHeight="1" spans="1:17">
      <c r="A749" s="22">
        <f t="shared" si="41"/>
        <v>1202025</v>
      </c>
      <c r="B749" s="22">
        <v>1202</v>
      </c>
      <c r="C749" s="22" t="s">
        <v>366</v>
      </c>
      <c r="D749" s="22"/>
      <c r="E749" s="22">
        <f t="shared" si="40"/>
        <v>12</v>
      </c>
      <c r="F749" s="22">
        <v>25</v>
      </c>
      <c r="G749" s="22">
        <v>42</v>
      </c>
      <c r="H749" s="22" t="s">
        <v>189</v>
      </c>
      <c r="I749" s="12">
        <v>2500</v>
      </c>
      <c r="J749" s="12"/>
      <c r="K749" s="12" t="s">
        <v>118</v>
      </c>
      <c r="L749" s="12"/>
      <c r="P749" s="24">
        <v>96</v>
      </c>
      <c r="Q749" s="25" t="s">
        <v>194</v>
      </c>
    </row>
    <row r="750" customHeight="1" spans="1:17">
      <c r="A750" s="22">
        <f t="shared" si="41"/>
        <v>1202026</v>
      </c>
      <c r="B750" s="22">
        <v>1202</v>
      </c>
      <c r="C750" s="22" t="s">
        <v>366</v>
      </c>
      <c r="D750" s="22"/>
      <c r="E750" s="22">
        <f t="shared" si="40"/>
        <v>12</v>
      </c>
      <c r="F750" s="22">
        <v>26</v>
      </c>
      <c r="G750" s="22">
        <v>42</v>
      </c>
      <c r="H750" s="22" t="s">
        <v>195</v>
      </c>
      <c r="I750" s="12">
        <v>2600</v>
      </c>
      <c r="J750" s="12"/>
      <c r="K750" s="12" t="s">
        <v>121</v>
      </c>
      <c r="L750" s="12"/>
      <c r="P750" s="24">
        <v>100</v>
      </c>
      <c r="Q750" s="25" t="s">
        <v>200</v>
      </c>
    </row>
    <row r="751" customHeight="1" spans="1:17">
      <c r="A751" s="22">
        <f t="shared" si="41"/>
        <v>1202027</v>
      </c>
      <c r="B751" s="22">
        <v>1202</v>
      </c>
      <c r="C751" s="22" t="s">
        <v>366</v>
      </c>
      <c r="D751" s="22"/>
      <c r="E751" s="22">
        <f t="shared" si="40"/>
        <v>12</v>
      </c>
      <c r="F751" s="22">
        <v>27</v>
      </c>
      <c r="G751" s="22">
        <v>42</v>
      </c>
      <c r="H751" s="22" t="s">
        <v>201</v>
      </c>
      <c r="I751" s="12">
        <v>2700</v>
      </c>
      <c r="J751" s="12"/>
      <c r="K751" s="12" t="s">
        <v>124</v>
      </c>
      <c r="L751" s="12"/>
      <c r="P751" s="24">
        <v>104</v>
      </c>
      <c r="Q751" s="25" t="s">
        <v>206</v>
      </c>
    </row>
    <row r="752" customHeight="1" spans="1:17">
      <c r="A752" s="22">
        <f t="shared" si="41"/>
        <v>1202028</v>
      </c>
      <c r="B752" s="22">
        <v>1202</v>
      </c>
      <c r="C752" s="22" t="s">
        <v>366</v>
      </c>
      <c r="D752" s="22"/>
      <c r="E752" s="22">
        <f t="shared" si="40"/>
        <v>13</v>
      </c>
      <c r="F752" s="22">
        <v>28</v>
      </c>
      <c r="G752" s="22">
        <v>42</v>
      </c>
      <c r="H752" s="22" t="s">
        <v>207</v>
      </c>
      <c r="I752" s="12">
        <v>2800</v>
      </c>
      <c r="J752" s="12"/>
      <c r="K752" s="12" t="s">
        <v>127</v>
      </c>
      <c r="L752" s="12"/>
      <c r="P752" s="24">
        <v>108</v>
      </c>
      <c r="Q752" s="25" t="s">
        <v>212</v>
      </c>
    </row>
    <row r="753" customHeight="1" spans="1:17">
      <c r="A753" s="22">
        <f t="shared" si="41"/>
        <v>1202029</v>
      </c>
      <c r="B753" s="22">
        <v>1202</v>
      </c>
      <c r="C753" s="22" t="s">
        <v>366</v>
      </c>
      <c r="D753" s="22"/>
      <c r="E753" s="22">
        <f t="shared" si="40"/>
        <v>13</v>
      </c>
      <c r="F753" s="22">
        <v>29</v>
      </c>
      <c r="G753" s="22">
        <v>42</v>
      </c>
      <c r="H753" s="22" t="s">
        <v>213</v>
      </c>
      <c r="I753" s="12">
        <v>2900</v>
      </c>
      <c r="J753" s="12"/>
      <c r="K753" s="12" t="s">
        <v>130</v>
      </c>
      <c r="L753" s="12"/>
      <c r="P753" s="24">
        <v>112</v>
      </c>
      <c r="Q753" s="25" t="s">
        <v>218</v>
      </c>
    </row>
    <row r="754" customHeight="1" spans="1:17">
      <c r="A754" s="22">
        <f t="shared" si="41"/>
        <v>1202030</v>
      </c>
      <c r="B754" s="22">
        <v>1202</v>
      </c>
      <c r="C754" s="22" t="s">
        <v>366</v>
      </c>
      <c r="D754" s="22"/>
      <c r="E754" s="22">
        <f t="shared" si="40"/>
        <v>13</v>
      </c>
      <c r="F754" s="22">
        <v>30</v>
      </c>
      <c r="G754" s="22">
        <v>42</v>
      </c>
      <c r="H754" s="22" t="s">
        <v>219</v>
      </c>
      <c r="I754" s="12">
        <v>3000</v>
      </c>
      <c r="J754" s="12"/>
      <c r="K754" s="12" t="s">
        <v>133</v>
      </c>
      <c r="L754" s="12"/>
      <c r="P754" s="24">
        <v>116</v>
      </c>
      <c r="Q754" s="25" t="s">
        <v>224</v>
      </c>
    </row>
    <row r="755" customHeight="1" spans="1:17">
      <c r="A755" s="22">
        <f t="shared" si="41"/>
        <v>1202031</v>
      </c>
      <c r="B755" s="22">
        <v>1202</v>
      </c>
      <c r="C755" s="22" t="s">
        <v>366</v>
      </c>
      <c r="D755" s="22"/>
      <c r="E755" s="22">
        <f t="shared" si="40"/>
        <v>14</v>
      </c>
      <c r="F755" s="22">
        <v>31</v>
      </c>
      <c r="G755" s="22">
        <v>42</v>
      </c>
      <c r="H755" s="22" t="s">
        <v>235</v>
      </c>
      <c r="I755" s="12">
        <v>3100</v>
      </c>
      <c r="J755" s="12"/>
      <c r="K755" s="12" t="s">
        <v>136</v>
      </c>
      <c r="L755" s="12"/>
      <c r="P755" s="24">
        <v>120</v>
      </c>
      <c r="Q755" s="25" t="s">
        <v>275</v>
      </c>
    </row>
    <row r="756" customHeight="1" spans="1:17">
      <c r="A756" s="22">
        <f t="shared" si="41"/>
        <v>1202032</v>
      </c>
      <c r="B756" s="22">
        <v>1202</v>
      </c>
      <c r="C756" s="22" t="s">
        <v>366</v>
      </c>
      <c r="D756" s="22"/>
      <c r="E756" s="22">
        <f t="shared" si="40"/>
        <v>14</v>
      </c>
      <c r="F756" s="22">
        <v>32</v>
      </c>
      <c r="G756" s="22">
        <v>42</v>
      </c>
      <c r="H756" s="22" t="s">
        <v>236</v>
      </c>
      <c r="I756" s="12">
        <v>3200</v>
      </c>
      <c r="J756" s="12"/>
      <c r="K756" s="12" t="s">
        <v>139</v>
      </c>
      <c r="L756" s="12"/>
      <c r="P756" s="24">
        <v>124</v>
      </c>
      <c r="Q756" s="25" t="s">
        <v>277</v>
      </c>
    </row>
    <row r="757" customHeight="1" spans="1:17">
      <c r="A757" s="22">
        <f t="shared" si="41"/>
        <v>1202033</v>
      </c>
      <c r="B757" s="22">
        <v>1202</v>
      </c>
      <c r="C757" s="22" t="s">
        <v>366</v>
      </c>
      <c r="D757" s="22"/>
      <c r="E757" s="22">
        <f t="shared" si="40"/>
        <v>14</v>
      </c>
      <c r="F757" s="22">
        <v>33</v>
      </c>
      <c r="G757" s="22">
        <v>42</v>
      </c>
      <c r="H757" s="22" t="s">
        <v>237</v>
      </c>
      <c r="I757" s="12">
        <v>3300</v>
      </c>
      <c r="J757" s="12"/>
      <c r="K757" s="12" t="s">
        <v>142</v>
      </c>
      <c r="L757" s="12"/>
      <c r="P757" s="24">
        <v>128</v>
      </c>
      <c r="Q757" s="25" t="s">
        <v>279</v>
      </c>
    </row>
    <row r="758" customHeight="1" spans="1:17">
      <c r="A758" s="22">
        <f t="shared" si="41"/>
        <v>1202034</v>
      </c>
      <c r="B758" s="22">
        <v>1202</v>
      </c>
      <c r="C758" s="22" t="s">
        <v>366</v>
      </c>
      <c r="D758" s="22"/>
      <c r="E758" s="22">
        <f t="shared" si="40"/>
        <v>15</v>
      </c>
      <c r="F758" s="22">
        <v>34</v>
      </c>
      <c r="G758" s="22">
        <v>42</v>
      </c>
      <c r="H758" s="22" t="s">
        <v>238</v>
      </c>
      <c r="I758" s="12">
        <v>3400</v>
      </c>
      <c r="J758" s="12"/>
      <c r="K758" s="12" t="s">
        <v>145</v>
      </c>
      <c r="L758" s="12"/>
      <c r="P758" s="24">
        <v>132</v>
      </c>
      <c r="Q758" s="25" t="s">
        <v>326</v>
      </c>
    </row>
    <row r="759" customHeight="1" spans="1:17">
      <c r="A759" s="22">
        <f t="shared" si="41"/>
        <v>1202035</v>
      </c>
      <c r="B759" s="22">
        <v>1202</v>
      </c>
      <c r="C759" s="22" t="s">
        <v>366</v>
      </c>
      <c r="D759" s="22"/>
      <c r="E759" s="22">
        <f t="shared" si="40"/>
        <v>15</v>
      </c>
      <c r="F759" s="22">
        <v>35</v>
      </c>
      <c r="G759" s="22">
        <v>42</v>
      </c>
      <c r="H759" s="22" t="s">
        <v>239</v>
      </c>
      <c r="I759" s="12">
        <v>3500</v>
      </c>
      <c r="J759" s="12"/>
      <c r="K759" s="12" t="s">
        <v>148</v>
      </c>
      <c r="L759" s="12"/>
      <c r="P759" s="24">
        <v>136</v>
      </c>
      <c r="Q759" s="25" t="s">
        <v>355</v>
      </c>
    </row>
    <row r="760" customHeight="1" spans="1:17">
      <c r="A760" s="22">
        <f t="shared" si="41"/>
        <v>1202036</v>
      </c>
      <c r="B760" s="22">
        <v>1202</v>
      </c>
      <c r="C760" s="22" t="s">
        <v>366</v>
      </c>
      <c r="D760" s="22"/>
      <c r="E760" s="22">
        <f t="shared" si="40"/>
        <v>15</v>
      </c>
      <c r="F760" s="22">
        <v>36</v>
      </c>
      <c r="G760" s="22">
        <v>42</v>
      </c>
      <c r="H760" s="22" t="s">
        <v>240</v>
      </c>
      <c r="I760" s="12">
        <v>3600</v>
      </c>
      <c r="J760" s="12"/>
      <c r="K760" s="12" t="s">
        <v>151</v>
      </c>
      <c r="L760" s="12"/>
      <c r="P760" s="24">
        <v>140</v>
      </c>
      <c r="Q760" s="25" t="s">
        <v>377</v>
      </c>
    </row>
    <row r="761" customHeight="1" spans="1:17">
      <c r="A761" s="22">
        <f t="shared" si="41"/>
        <v>1202037</v>
      </c>
      <c r="B761" s="22">
        <v>1202</v>
      </c>
      <c r="C761" s="22" t="s">
        <v>366</v>
      </c>
      <c r="D761" s="22"/>
      <c r="E761" s="22">
        <f t="shared" si="40"/>
        <v>16</v>
      </c>
      <c r="F761" s="22">
        <v>37</v>
      </c>
      <c r="G761" s="22">
        <v>42</v>
      </c>
      <c r="H761" s="22" t="s">
        <v>241</v>
      </c>
      <c r="I761" s="12">
        <v>3700</v>
      </c>
      <c r="J761" s="12"/>
      <c r="K761" s="12" t="s">
        <v>154</v>
      </c>
      <c r="L761" s="12"/>
      <c r="P761" s="24">
        <v>144</v>
      </c>
      <c r="Q761" s="25" t="s">
        <v>378</v>
      </c>
    </row>
    <row r="762" customHeight="1" spans="1:17">
      <c r="A762" s="22">
        <f t="shared" si="41"/>
        <v>1202038</v>
      </c>
      <c r="B762" s="22">
        <v>1202</v>
      </c>
      <c r="C762" s="22" t="s">
        <v>366</v>
      </c>
      <c r="D762" s="22"/>
      <c r="E762" s="22">
        <f t="shared" si="40"/>
        <v>16</v>
      </c>
      <c r="F762" s="22">
        <v>38</v>
      </c>
      <c r="G762" s="22">
        <v>42</v>
      </c>
      <c r="H762" s="22" t="s">
        <v>242</v>
      </c>
      <c r="I762" s="12">
        <v>3800</v>
      </c>
      <c r="J762" s="12"/>
      <c r="K762" s="12" t="s">
        <v>157</v>
      </c>
      <c r="L762" s="12"/>
      <c r="P762" s="24">
        <v>148</v>
      </c>
      <c r="Q762" s="25" t="s">
        <v>379</v>
      </c>
    </row>
    <row r="763" customHeight="1" spans="1:17">
      <c r="A763" s="22">
        <f t="shared" si="41"/>
        <v>1202039</v>
      </c>
      <c r="B763" s="22">
        <v>1202</v>
      </c>
      <c r="C763" s="22" t="s">
        <v>366</v>
      </c>
      <c r="D763" s="22"/>
      <c r="E763" s="22">
        <f t="shared" si="40"/>
        <v>16</v>
      </c>
      <c r="F763" s="22">
        <v>39</v>
      </c>
      <c r="G763" s="22">
        <v>42</v>
      </c>
      <c r="H763" s="22" t="s">
        <v>243</v>
      </c>
      <c r="I763" s="12">
        <v>3900</v>
      </c>
      <c r="J763" s="12"/>
      <c r="K763" s="12" t="s">
        <v>160</v>
      </c>
      <c r="L763" s="12"/>
      <c r="P763" s="24">
        <v>152</v>
      </c>
      <c r="Q763" s="25" t="s">
        <v>380</v>
      </c>
    </row>
    <row r="764" customHeight="1" spans="1:17">
      <c r="A764" s="22">
        <f t="shared" si="41"/>
        <v>1202040</v>
      </c>
      <c r="B764" s="22">
        <v>1202</v>
      </c>
      <c r="C764" s="22" t="s">
        <v>366</v>
      </c>
      <c r="D764" s="22"/>
      <c r="E764" s="22">
        <f t="shared" si="40"/>
        <v>17</v>
      </c>
      <c r="F764" s="22">
        <v>40</v>
      </c>
      <c r="G764" s="22">
        <v>42</v>
      </c>
      <c r="H764" s="22" t="s">
        <v>244</v>
      </c>
      <c r="I764" s="12">
        <v>4000</v>
      </c>
      <c r="J764" s="12"/>
      <c r="K764" s="12" t="s">
        <v>163</v>
      </c>
      <c r="L764" s="12"/>
      <c r="P764" s="24">
        <v>156</v>
      </c>
      <c r="Q764" s="25" t="s">
        <v>381</v>
      </c>
    </row>
    <row r="765" customHeight="1" spans="1:17">
      <c r="A765" s="22">
        <f t="shared" si="41"/>
        <v>1202041</v>
      </c>
      <c r="B765" s="22">
        <v>1202</v>
      </c>
      <c r="C765" s="22" t="s">
        <v>366</v>
      </c>
      <c r="D765" s="22"/>
      <c r="E765" s="22">
        <f t="shared" si="40"/>
        <v>17</v>
      </c>
      <c r="F765" s="22">
        <v>41</v>
      </c>
      <c r="G765" s="22">
        <v>42</v>
      </c>
      <c r="H765" s="22" t="s">
        <v>245</v>
      </c>
      <c r="I765" s="12">
        <v>4100</v>
      </c>
      <c r="J765" s="12"/>
      <c r="K765" s="12" t="s">
        <v>166</v>
      </c>
      <c r="L765" s="12"/>
      <c r="P765" s="24">
        <v>160</v>
      </c>
      <c r="Q765" s="25" t="s">
        <v>382</v>
      </c>
    </row>
    <row r="766" customHeight="1" spans="1:17">
      <c r="A766" s="22">
        <f t="shared" si="41"/>
        <v>1202042</v>
      </c>
      <c r="B766" s="22">
        <v>1202</v>
      </c>
      <c r="C766" s="22" t="s">
        <v>366</v>
      </c>
      <c r="D766" s="22"/>
      <c r="E766" s="22">
        <f t="shared" si="40"/>
        <v>17</v>
      </c>
      <c r="F766" s="22">
        <v>42</v>
      </c>
      <c r="G766" s="22">
        <v>42</v>
      </c>
      <c r="H766" s="22" t="s">
        <v>246</v>
      </c>
      <c r="I766" s="12">
        <v>4200</v>
      </c>
      <c r="J766" s="12"/>
      <c r="K766" s="12" t="s">
        <v>169</v>
      </c>
      <c r="L766" s="12"/>
      <c r="P766" s="24">
        <v>164</v>
      </c>
      <c r="Q766" s="25" t="s">
        <v>383</v>
      </c>
    </row>
    <row r="767" customHeight="1" spans="1:17">
      <c r="A767" s="22">
        <f t="shared" ref="A767:A784" si="42">B767*1000+F767</f>
        <v>1202043</v>
      </c>
      <c r="B767" s="22">
        <v>1202</v>
      </c>
      <c r="C767" s="22" t="s">
        <v>366</v>
      </c>
      <c r="D767" s="22"/>
      <c r="E767" s="22">
        <f t="shared" si="40"/>
        <v>18</v>
      </c>
      <c r="F767" s="22">
        <v>43</v>
      </c>
      <c r="G767" s="22">
        <v>42</v>
      </c>
      <c r="H767" s="22" t="s">
        <v>247</v>
      </c>
      <c r="I767" s="12">
        <v>4300</v>
      </c>
      <c r="J767" s="12"/>
      <c r="K767" s="12" t="s">
        <v>172</v>
      </c>
      <c r="L767" s="12"/>
      <c r="P767" s="24">
        <v>168</v>
      </c>
      <c r="Q767" s="25" t="s">
        <v>384</v>
      </c>
    </row>
    <row r="768" customHeight="1" spans="1:17">
      <c r="A768" s="22">
        <f t="shared" si="42"/>
        <v>1202044</v>
      </c>
      <c r="B768" s="22">
        <v>1202</v>
      </c>
      <c r="C768" s="22" t="s">
        <v>366</v>
      </c>
      <c r="D768" s="22"/>
      <c r="E768" s="22">
        <f t="shared" si="40"/>
        <v>18</v>
      </c>
      <c r="F768" s="22">
        <v>44</v>
      </c>
      <c r="G768" s="22">
        <v>42</v>
      </c>
      <c r="H768" s="22" t="s">
        <v>248</v>
      </c>
      <c r="I768" s="12">
        <v>4400</v>
      </c>
      <c r="J768" s="12"/>
      <c r="K768" s="12" t="s">
        <v>175</v>
      </c>
      <c r="L768" s="12"/>
      <c r="P768" s="24">
        <v>172</v>
      </c>
      <c r="Q768" s="25" t="s">
        <v>385</v>
      </c>
    </row>
    <row r="769" customHeight="1" spans="1:17">
      <c r="A769" s="22">
        <f t="shared" si="42"/>
        <v>1202045</v>
      </c>
      <c r="B769" s="22">
        <v>1202</v>
      </c>
      <c r="C769" s="22" t="s">
        <v>366</v>
      </c>
      <c r="D769" s="22"/>
      <c r="E769" s="22">
        <f t="shared" si="40"/>
        <v>18</v>
      </c>
      <c r="F769" s="22">
        <v>45</v>
      </c>
      <c r="G769" s="22">
        <v>42</v>
      </c>
      <c r="H769" s="22" t="s">
        <v>249</v>
      </c>
      <c r="I769" s="12">
        <v>4500</v>
      </c>
      <c r="J769" s="12"/>
      <c r="K769" s="12" t="s">
        <v>178</v>
      </c>
      <c r="L769" s="12"/>
      <c r="P769" s="24">
        <v>176</v>
      </c>
      <c r="Q769" s="25" t="s">
        <v>386</v>
      </c>
    </row>
    <row r="770" customHeight="1" spans="1:17">
      <c r="A770" s="22">
        <f t="shared" si="42"/>
        <v>1202046</v>
      </c>
      <c r="B770" s="22">
        <v>1202</v>
      </c>
      <c r="C770" s="22" t="s">
        <v>366</v>
      </c>
      <c r="D770" s="22"/>
      <c r="E770" s="22">
        <f t="shared" si="40"/>
        <v>19</v>
      </c>
      <c r="F770" s="22">
        <v>46</v>
      </c>
      <c r="G770" s="22">
        <v>42</v>
      </c>
      <c r="H770" s="22" t="s">
        <v>250</v>
      </c>
      <c r="I770" s="12">
        <v>4600</v>
      </c>
      <c r="J770" s="12"/>
      <c r="K770" s="12" t="s">
        <v>181</v>
      </c>
      <c r="L770" s="12"/>
      <c r="P770" s="24">
        <v>180</v>
      </c>
      <c r="Q770" s="25" t="s">
        <v>387</v>
      </c>
    </row>
    <row r="771" customHeight="1" spans="1:17">
      <c r="A771" s="22">
        <f t="shared" si="42"/>
        <v>1202047</v>
      </c>
      <c r="B771" s="22">
        <v>1202</v>
      </c>
      <c r="C771" s="22" t="s">
        <v>366</v>
      </c>
      <c r="D771" s="22"/>
      <c r="E771" s="22">
        <f t="shared" si="40"/>
        <v>19</v>
      </c>
      <c r="F771" s="22">
        <v>47</v>
      </c>
      <c r="G771" s="22">
        <v>42</v>
      </c>
      <c r="H771" s="22" t="s">
        <v>251</v>
      </c>
      <c r="I771" s="12">
        <v>4700</v>
      </c>
      <c r="J771" s="12"/>
      <c r="K771" s="12" t="s">
        <v>184</v>
      </c>
      <c r="L771" s="12"/>
      <c r="P771" s="24">
        <v>184</v>
      </c>
      <c r="Q771" s="25" t="s">
        <v>388</v>
      </c>
    </row>
    <row r="772" customHeight="1" spans="1:17">
      <c r="A772" s="22">
        <f t="shared" si="42"/>
        <v>1202048</v>
      </c>
      <c r="B772" s="22">
        <v>1202</v>
      </c>
      <c r="C772" s="22" t="s">
        <v>366</v>
      </c>
      <c r="D772" s="22"/>
      <c r="E772" s="22">
        <f t="shared" si="40"/>
        <v>19</v>
      </c>
      <c r="F772" s="22">
        <v>48</v>
      </c>
      <c r="G772" s="22">
        <v>42</v>
      </c>
      <c r="H772" s="22" t="s">
        <v>252</v>
      </c>
      <c r="I772" s="12">
        <v>4800</v>
      </c>
      <c r="J772" s="12"/>
      <c r="K772" s="12" t="s">
        <v>187</v>
      </c>
      <c r="L772" s="12"/>
      <c r="O772" s="2" t="s">
        <v>234</v>
      </c>
      <c r="P772" s="24">
        <v>188</v>
      </c>
      <c r="Q772" s="25" t="s">
        <v>389</v>
      </c>
    </row>
    <row r="773" customHeight="1" spans="1:17">
      <c r="A773" s="22">
        <f t="shared" si="42"/>
        <v>1202049</v>
      </c>
      <c r="B773" s="22">
        <v>1202</v>
      </c>
      <c r="C773" s="22" t="s">
        <v>366</v>
      </c>
      <c r="D773" s="22"/>
      <c r="E773" s="22">
        <f t="shared" si="40"/>
        <v>20</v>
      </c>
      <c r="F773" s="22">
        <v>49</v>
      </c>
      <c r="G773" s="22">
        <v>42</v>
      </c>
      <c r="H773" s="22" t="s">
        <v>253</v>
      </c>
      <c r="I773" s="12">
        <v>4900</v>
      </c>
      <c r="J773" s="12"/>
      <c r="K773" s="12" t="s">
        <v>190</v>
      </c>
      <c r="L773" s="12"/>
      <c r="O773" s="2" t="s">
        <v>234</v>
      </c>
      <c r="P773" s="24">
        <v>192</v>
      </c>
      <c r="Q773" s="25" t="s">
        <v>390</v>
      </c>
    </row>
    <row r="774" customHeight="1" spans="1:17">
      <c r="A774" s="22">
        <f t="shared" si="42"/>
        <v>1202050</v>
      </c>
      <c r="B774" s="22">
        <v>1202</v>
      </c>
      <c r="C774" s="22" t="s">
        <v>366</v>
      </c>
      <c r="D774" s="22"/>
      <c r="E774" s="22">
        <f t="shared" si="40"/>
        <v>20</v>
      </c>
      <c r="F774" s="22">
        <v>50</v>
      </c>
      <c r="G774" s="22">
        <v>42</v>
      </c>
      <c r="H774" s="22" t="s">
        <v>254</v>
      </c>
      <c r="I774" s="12">
        <v>5000</v>
      </c>
      <c r="J774" s="12"/>
      <c r="K774" s="12" t="s">
        <v>193</v>
      </c>
      <c r="L774" s="12"/>
      <c r="O774" s="2" t="s">
        <v>234</v>
      </c>
      <c r="P774" s="24">
        <v>196</v>
      </c>
      <c r="Q774" s="25" t="s">
        <v>391</v>
      </c>
    </row>
    <row r="775" customHeight="1" spans="1:17">
      <c r="A775" s="22">
        <f t="shared" si="42"/>
        <v>1202051</v>
      </c>
      <c r="B775" s="22">
        <v>1202</v>
      </c>
      <c r="C775" s="22" t="s">
        <v>366</v>
      </c>
      <c r="D775" s="22"/>
      <c r="E775" s="22">
        <f t="shared" si="40"/>
        <v>20</v>
      </c>
      <c r="F775" s="22">
        <v>51</v>
      </c>
      <c r="G775" s="22">
        <v>42</v>
      </c>
      <c r="H775" s="22" t="s">
        <v>255</v>
      </c>
      <c r="I775" s="12">
        <v>5100</v>
      </c>
      <c r="J775" s="12"/>
      <c r="K775" s="12" t="s">
        <v>196</v>
      </c>
      <c r="L775" s="12"/>
      <c r="O775" s="2" t="s">
        <v>234</v>
      </c>
      <c r="P775" s="24">
        <v>200</v>
      </c>
      <c r="Q775" s="25" t="s">
        <v>392</v>
      </c>
    </row>
    <row r="776" customHeight="1" spans="1:17">
      <c r="A776" s="22">
        <f t="shared" si="42"/>
        <v>1202052</v>
      </c>
      <c r="B776" s="22">
        <v>1202</v>
      </c>
      <c r="C776" s="22" t="s">
        <v>366</v>
      </c>
      <c r="D776" s="22"/>
      <c r="E776" s="22">
        <f t="shared" si="40"/>
        <v>21</v>
      </c>
      <c r="F776" s="22">
        <v>52</v>
      </c>
      <c r="G776" s="22">
        <v>42</v>
      </c>
      <c r="H776" s="22" t="s">
        <v>256</v>
      </c>
      <c r="I776" s="12">
        <v>5200</v>
      </c>
      <c r="J776" s="12"/>
      <c r="K776" s="12" t="s">
        <v>199</v>
      </c>
      <c r="L776" s="12"/>
      <c r="O776" s="2" t="s">
        <v>234</v>
      </c>
      <c r="P776" s="24">
        <v>204</v>
      </c>
      <c r="Q776" s="25" t="s">
        <v>393</v>
      </c>
    </row>
    <row r="777" customHeight="1" spans="1:17">
      <c r="A777" s="22">
        <f t="shared" si="42"/>
        <v>1202053</v>
      </c>
      <c r="B777" s="22">
        <v>1202</v>
      </c>
      <c r="C777" s="22" t="s">
        <v>366</v>
      </c>
      <c r="D777" s="22"/>
      <c r="E777" s="22">
        <f t="shared" si="40"/>
        <v>21</v>
      </c>
      <c r="F777" s="22">
        <v>53</v>
      </c>
      <c r="G777" s="22">
        <v>42</v>
      </c>
      <c r="H777" s="22" t="s">
        <v>257</v>
      </c>
      <c r="I777" s="12">
        <v>5300</v>
      </c>
      <c r="J777" s="12"/>
      <c r="K777" s="12" t="s">
        <v>202</v>
      </c>
      <c r="L777" s="12"/>
      <c r="O777" s="2" t="s">
        <v>234</v>
      </c>
      <c r="P777" s="24">
        <v>208</v>
      </c>
      <c r="Q777" s="25" t="s">
        <v>394</v>
      </c>
    </row>
    <row r="778" customHeight="1" spans="1:17">
      <c r="A778" s="22">
        <f t="shared" si="42"/>
        <v>1202054</v>
      </c>
      <c r="B778" s="22">
        <v>1202</v>
      </c>
      <c r="C778" s="22" t="s">
        <v>366</v>
      </c>
      <c r="D778" s="22"/>
      <c r="E778" s="22">
        <f t="shared" si="40"/>
        <v>21</v>
      </c>
      <c r="F778" s="22">
        <v>54</v>
      </c>
      <c r="G778" s="22">
        <v>42</v>
      </c>
      <c r="H778" s="22" t="s">
        <v>258</v>
      </c>
      <c r="I778" s="12">
        <v>5400</v>
      </c>
      <c r="J778" s="12"/>
      <c r="K778" s="12" t="s">
        <v>205</v>
      </c>
      <c r="L778" s="12"/>
      <c r="O778" s="2" t="s">
        <v>234</v>
      </c>
      <c r="P778" s="24">
        <v>212</v>
      </c>
      <c r="Q778" s="25" t="s">
        <v>395</v>
      </c>
    </row>
    <row r="779" customHeight="1" spans="1:17">
      <c r="A779" s="22">
        <f t="shared" si="42"/>
        <v>1202055</v>
      </c>
      <c r="B779" s="22">
        <v>1202</v>
      </c>
      <c r="C779" s="22" t="s">
        <v>366</v>
      </c>
      <c r="D779" s="22"/>
      <c r="E779" s="22">
        <f t="shared" si="40"/>
        <v>22</v>
      </c>
      <c r="F779" s="22">
        <v>55</v>
      </c>
      <c r="G779" s="22">
        <v>42</v>
      </c>
      <c r="H779" s="22" t="s">
        <v>259</v>
      </c>
      <c r="I779" s="12">
        <v>5500</v>
      </c>
      <c r="J779" s="12"/>
      <c r="K779" s="12" t="s">
        <v>208</v>
      </c>
      <c r="L779" s="12"/>
      <c r="O779" s="2" t="s">
        <v>234</v>
      </c>
      <c r="P779" s="24">
        <v>216</v>
      </c>
      <c r="Q779" s="25" t="s">
        <v>396</v>
      </c>
    </row>
    <row r="780" customHeight="1" spans="1:17">
      <c r="A780" s="22">
        <f t="shared" si="42"/>
        <v>1202056</v>
      </c>
      <c r="B780" s="22">
        <v>1202</v>
      </c>
      <c r="C780" s="22" t="s">
        <v>366</v>
      </c>
      <c r="D780" s="22"/>
      <c r="E780" s="22">
        <f t="shared" si="40"/>
        <v>22</v>
      </c>
      <c r="F780" s="22">
        <v>56</v>
      </c>
      <c r="G780" s="22">
        <v>42</v>
      </c>
      <c r="H780" s="22" t="s">
        <v>260</v>
      </c>
      <c r="I780" s="12">
        <v>5600</v>
      </c>
      <c r="J780" s="12"/>
      <c r="K780" s="12" t="s">
        <v>211</v>
      </c>
      <c r="L780" s="12"/>
      <c r="O780" s="2" t="s">
        <v>234</v>
      </c>
      <c r="P780" s="24">
        <v>220</v>
      </c>
      <c r="Q780" s="25" t="s">
        <v>397</v>
      </c>
    </row>
    <row r="781" customHeight="1" spans="1:17">
      <c r="A781" s="22">
        <f t="shared" si="42"/>
        <v>1202057</v>
      </c>
      <c r="B781" s="22">
        <v>1202</v>
      </c>
      <c r="C781" s="22" t="s">
        <v>366</v>
      </c>
      <c r="D781" s="22"/>
      <c r="E781" s="22">
        <f t="shared" si="40"/>
        <v>22</v>
      </c>
      <c r="F781" s="22">
        <v>57</v>
      </c>
      <c r="G781" s="22">
        <v>42</v>
      </c>
      <c r="H781" s="22" t="s">
        <v>261</v>
      </c>
      <c r="I781" s="12">
        <v>5700</v>
      </c>
      <c r="J781" s="12"/>
      <c r="K781" s="12" t="s">
        <v>214</v>
      </c>
      <c r="L781" s="12"/>
      <c r="O781" s="2" t="s">
        <v>234</v>
      </c>
      <c r="P781" s="24">
        <v>224</v>
      </c>
      <c r="Q781" s="25" t="s">
        <v>398</v>
      </c>
    </row>
    <row r="782" customHeight="1" spans="1:17">
      <c r="A782" s="22">
        <f t="shared" si="42"/>
        <v>1202058</v>
      </c>
      <c r="B782" s="22">
        <v>1202</v>
      </c>
      <c r="C782" s="22" t="s">
        <v>366</v>
      </c>
      <c r="D782" s="22"/>
      <c r="E782" s="22">
        <f t="shared" si="40"/>
        <v>23</v>
      </c>
      <c r="F782" s="22">
        <v>58</v>
      </c>
      <c r="G782" s="22">
        <v>42</v>
      </c>
      <c r="H782" s="22" t="s">
        <v>262</v>
      </c>
      <c r="I782" s="12">
        <v>5800</v>
      </c>
      <c r="J782" s="12"/>
      <c r="K782" s="12" t="s">
        <v>217</v>
      </c>
      <c r="L782" s="12"/>
      <c r="O782" s="2" t="s">
        <v>234</v>
      </c>
      <c r="P782" s="24">
        <v>228</v>
      </c>
      <c r="Q782" s="25" t="s">
        <v>399</v>
      </c>
    </row>
    <row r="783" customHeight="1" spans="1:17">
      <c r="A783" s="22">
        <f t="shared" si="42"/>
        <v>1202059</v>
      </c>
      <c r="B783" s="22">
        <v>1202</v>
      </c>
      <c r="C783" s="22" t="s">
        <v>366</v>
      </c>
      <c r="D783" s="22"/>
      <c r="E783" s="22">
        <f t="shared" si="40"/>
        <v>23</v>
      </c>
      <c r="F783" s="22">
        <v>59</v>
      </c>
      <c r="G783" s="22">
        <v>42</v>
      </c>
      <c r="H783" s="22" t="s">
        <v>263</v>
      </c>
      <c r="I783" s="12">
        <v>5900</v>
      </c>
      <c r="J783" s="12"/>
      <c r="K783" s="12" t="s">
        <v>220</v>
      </c>
      <c r="L783" s="12"/>
      <c r="O783" s="2" t="s">
        <v>234</v>
      </c>
      <c r="P783" s="24">
        <v>232</v>
      </c>
      <c r="Q783" s="25" t="s">
        <v>400</v>
      </c>
    </row>
    <row r="784" customHeight="1" spans="1:17">
      <c r="A784" s="22">
        <f t="shared" si="42"/>
        <v>1202060</v>
      </c>
      <c r="B784" s="22">
        <v>1202</v>
      </c>
      <c r="C784" s="22" t="s">
        <v>366</v>
      </c>
      <c r="D784" s="22"/>
      <c r="E784" s="22">
        <v>9999</v>
      </c>
      <c r="F784" s="22">
        <v>60</v>
      </c>
      <c r="G784" s="22">
        <v>42</v>
      </c>
      <c r="H784" s="22" t="s">
        <v>264</v>
      </c>
      <c r="I784" s="12">
        <v>6000</v>
      </c>
      <c r="J784" s="12"/>
      <c r="K784" s="12" t="s">
        <v>223</v>
      </c>
      <c r="L784" s="12"/>
      <c r="O784" s="2" t="s">
        <v>234</v>
      </c>
      <c r="P784" s="24"/>
      <c r="Q784" s="25" t="s">
        <v>401</v>
      </c>
    </row>
    <row r="785" s="9" customFormat="1" customHeight="1" spans="1:17">
      <c r="A785" s="26">
        <f t="shared" ref="A785:A796" si="43">B785*1000+F785</f>
        <v>1301001</v>
      </c>
      <c r="B785" s="26">
        <v>1301</v>
      </c>
      <c r="C785" s="26" t="s">
        <v>402</v>
      </c>
      <c r="D785" s="26"/>
      <c r="E785" s="22">
        <v>1</v>
      </c>
      <c r="F785" s="26">
        <v>1</v>
      </c>
      <c r="G785" s="9"/>
      <c r="H785" s="26" t="s">
        <v>38</v>
      </c>
      <c r="I785" s="27">
        <v>50</v>
      </c>
      <c r="J785" s="27"/>
      <c r="K785" s="12" t="s">
        <v>39</v>
      </c>
      <c r="L785" s="9"/>
      <c r="M785" s="28"/>
      <c r="N785" s="28"/>
      <c r="O785" s="3" t="s">
        <v>403</v>
      </c>
      <c r="P785" s="29">
        <v>1</v>
      </c>
      <c r="Q785" s="32" t="s">
        <v>53</v>
      </c>
    </row>
    <row r="786" s="9" customFormat="1" customHeight="1" spans="1:17">
      <c r="A786" s="26">
        <f t="shared" si="43"/>
        <v>1301002</v>
      </c>
      <c r="B786" s="26">
        <v>1301</v>
      </c>
      <c r="C786" s="26" t="s">
        <v>402</v>
      </c>
      <c r="D786" s="26"/>
      <c r="E786" s="22">
        <v>1</v>
      </c>
      <c r="F786" s="26">
        <v>2</v>
      </c>
      <c r="G786" s="9"/>
      <c r="H786" s="26" t="s">
        <v>49</v>
      </c>
      <c r="I786" s="27">
        <v>100</v>
      </c>
      <c r="J786" s="27"/>
      <c r="K786" s="12" t="s">
        <v>45</v>
      </c>
      <c r="L786" s="9"/>
      <c r="M786" s="28"/>
      <c r="N786" s="28"/>
      <c r="O786" s="3">
        <v>1301251</v>
      </c>
      <c r="P786" s="29">
        <v>2</v>
      </c>
      <c r="Q786" s="32" t="s">
        <v>56</v>
      </c>
    </row>
    <row r="787" s="9" customFormat="1" customHeight="1" spans="1:17">
      <c r="A787" s="26">
        <f t="shared" si="43"/>
        <v>1301003</v>
      </c>
      <c r="B787" s="26">
        <v>1301</v>
      </c>
      <c r="C787" s="26" t="s">
        <v>402</v>
      </c>
      <c r="D787" s="26"/>
      <c r="E787" s="22">
        <v>1</v>
      </c>
      <c r="F787" s="26">
        <v>3</v>
      </c>
      <c r="G787" s="9"/>
      <c r="H787" s="26" t="s">
        <v>57</v>
      </c>
      <c r="I787" s="27">
        <v>150</v>
      </c>
      <c r="J787" s="27"/>
      <c r="K787" s="12" t="s">
        <v>50</v>
      </c>
      <c r="L787" s="9"/>
      <c r="M787" s="28"/>
      <c r="N787" s="28"/>
      <c r="O787" s="3">
        <v>1301252</v>
      </c>
      <c r="P787" s="29">
        <v>4</v>
      </c>
      <c r="Q787" s="32" t="s">
        <v>59</v>
      </c>
    </row>
    <row r="788" s="9" customFormat="1" customHeight="1" spans="1:17">
      <c r="A788" s="26">
        <f t="shared" si="43"/>
        <v>1301004</v>
      </c>
      <c r="B788" s="26">
        <v>1301</v>
      </c>
      <c r="C788" s="26" t="s">
        <v>402</v>
      </c>
      <c r="D788" s="26"/>
      <c r="E788" s="22">
        <f t="shared" ref="E788:E844" si="44">E785+1</f>
        <v>2</v>
      </c>
      <c r="F788" s="26">
        <v>4</v>
      </c>
      <c r="G788" s="9"/>
      <c r="H788" s="26" t="s">
        <v>63</v>
      </c>
      <c r="I788" s="27">
        <v>200</v>
      </c>
      <c r="J788" s="27"/>
      <c r="K788" s="12" t="s">
        <v>55</v>
      </c>
      <c r="L788" s="9"/>
      <c r="M788" s="28"/>
      <c r="N788" s="28"/>
      <c r="O788" s="3">
        <v>1301253</v>
      </c>
      <c r="P788" s="29">
        <v>6</v>
      </c>
      <c r="Q788" s="32" t="s">
        <v>62</v>
      </c>
    </row>
    <row r="789" s="9" customFormat="1" customHeight="1" spans="1:17">
      <c r="A789" s="26">
        <f t="shared" si="43"/>
        <v>1301005</v>
      </c>
      <c r="B789" s="26">
        <v>1301</v>
      </c>
      <c r="C789" s="26" t="s">
        <v>402</v>
      </c>
      <c r="D789" s="26"/>
      <c r="E789" s="22">
        <f t="shared" si="44"/>
        <v>2</v>
      </c>
      <c r="F789" s="26">
        <v>5</v>
      </c>
      <c r="G789" s="9"/>
      <c r="H789" s="26" t="s">
        <v>69</v>
      </c>
      <c r="I789" s="27">
        <v>250</v>
      </c>
      <c r="J789" s="27"/>
      <c r="K789" s="12" t="s">
        <v>58</v>
      </c>
      <c r="L789" s="9"/>
      <c r="M789" s="28"/>
      <c r="N789" s="28"/>
      <c r="O789" s="3">
        <v>1301254</v>
      </c>
      <c r="P789" s="29">
        <v>8</v>
      </c>
      <c r="Q789" s="32" t="s">
        <v>65</v>
      </c>
    </row>
    <row r="790" s="9" customFormat="1" customHeight="1" spans="1:17">
      <c r="A790" s="26">
        <f t="shared" si="43"/>
        <v>1301006</v>
      </c>
      <c r="B790" s="26">
        <v>1301</v>
      </c>
      <c r="C790" s="26" t="s">
        <v>402</v>
      </c>
      <c r="D790" s="26"/>
      <c r="E790" s="22">
        <f t="shared" si="44"/>
        <v>2</v>
      </c>
      <c r="F790" s="26">
        <v>6</v>
      </c>
      <c r="G790" s="9"/>
      <c r="H790" s="26" t="s">
        <v>75</v>
      </c>
      <c r="I790" s="27">
        <v>300</v>
      </c>
      <c r="J790" s="27"/>
      <c r="K790" s="12" t="s">
        <v>61</v>
      </c>
      <c r="L790" s="9"/>
      <c r="M790" s="28"/>
      <c r="N790" s="28"/>
      <c r="O790" s="3">
        <v>1301255</v>
      </c>
      <c r="P790" s="29">
        <v>10</v>
      </c>
      <c r="Q790" s="32" t="s">
        <v>68</v>
      </c>
    </row>
    <row r="791" s="9" customFormat="1" customHeight="1" spans="1:17">
      <c r="A791" s="26">
        <f t="shared" si="43"/>
        <v>1301007</v>
      </c>
      <c r="B791" s="26">
        <v>1301</v>
      </c>
      <c r="C791" s="26" t="s">
        <v>402</v>
      </c>
      <c r="D791" s="26"/>
      <c r="E791" s="22">
        <f t="shared" si="44"/>
        <v>3</v>
      </c>
      <c r="F791" s="26">
        <v>7</v>
      </c>
      <c r="G791" s="9"/>
      <c r="H791" s="26" t="s">
        <v>81</v>
      </c>
      <c r="I791" s="27">
        <v>350</v>
      </c>
      <c r="J791" s="27"/>
      <c r="K791" s="12" t="s">
        <v>64</v>
      </c>
      <c r="L791" s="9"/>
      <c r="M791" s="28"/>
      <c r="N791" s="28"/>
      <c r="O791" s="3">
        <v>1301256</v>
      </c>
      <c r="P791" s="29">
        <v>12</v>
      </c>
      <c r="Q791" s="32" t="s">
        <v>71</v>
      </c>
    </row>
    <row r="792" s="9" customFormat="1" customHeight="1" spans="1:17">
      <c r="A792" s="26">
        <f t="shared" si="43"/>
        <v>1301008</v>
      </c>
      <c r="B792" s="26">
        <v>1301</v>
      </c>
      <c r="C792" s="26" t="s">
        <v>402</v>
      </c>
      <c r="D792" s="26"/>
      <c r="E792" s="22">
        <f t="shared" si="44"/>
        <v>3</v>
      </c>
      <c r="F792" s="26">
        <v>8</v>
      </c>
      <c r="G792" s="9"/>
      <c r="H792" s="26" t="s">
        <v>87</v>
      </c>
      <c r="I792" s="27">
        <v>400</v>
      </c>
      <c r="J792" s="27"/>
      <c r="K792" s="12" t="s">
        <v>67</v>
      </c>
      <c r="L792" s="9"/>
      <c r="M792" s="28"/>
      <c r="N792" s="28"/>
      <c r="O792" s="3">
        <v>1301257</v>
      </c>
      <c r="P792" s="29">
        <v>14</v>
      </c>
      <c r="Q792" s="32" t="s">
        <v>74</v>
      </c>
    </row>
    <row r="793" s="9" customFormat="1" customHeight="1" spans="1:17">
      <c r="A793" s="26">
        <f t="shared" si="43"/>
        <v>1301009</v>
      </c>
      <c r="B793" s="26">
        <v>1301</v>
      </c>
      <c r="C793" s="26" t="s">
        <v>402</v>
      </c>
      <c r="D793" s="26"/>
      <c r="E793" s="22">
        <f t="shared" si="44"/>
        <v>3</v>
      </c>
      <c r="F793" s="26">
        <v>9</v>
      </c>
      <c r="G793" s="9"/>
      <c r="H793" s="26" t="s">
        <v>93</v>
      </c>
      <c r="I793" s="27">
        <v>450</v>
      </c>
      <c r="J793" s="27"/>
      <c r="K793" s="12" t="s">
        <v>70</v>
      </c>
      <c r="L793" s="9"/>
      <c r="M793" s="28"/>
      <c r="N793" s="28"/>
      <c r="O793" s="3">
        <v>1301259</v>
      </c>
      <c r="P793" s="29">
        <v>16</v>
      </c>
      <c r="Q793" s="32" t="s">
        <v>77</v>
      </c>
    </row>
    <row r="794" s="9" customFormat="1" customHeight="1" spans="1:17">
      <c r="A794" s="26">
        <f t="shared" si="43"/>
        <v>1301010</v>
      </c>
      <c r="B794" s="26">
        <v>1301</v>
      </c>
      <c r="C794" s="26" t="s">
        <v>402</v>
      </c>
      <c r="D794" s="26"/>
      <c r="E794" s="22">
        <f t="shared" si="44"/>
        <v>4</v>
      </c>
      <c r="F794" s="26">
        <v>10</v>
      </c>
      <c r="G794" s="9"/>
      <c r="H794" s="26" t="s">
        <v>99</v>
      </c>
      <c r="I794" s="27">
        <v>500</v>
      </c>
      <c r="J794" s="27"/>
      <c r="K794" s="12" t="s">
        <v>73</v>
      </c>
      <c r="L794" s="9"/>
      <c r="M794" s="28"/>
      <c r="N794" s="28"/>
      <c r="O794" s="3"/>
      <c r="P794" s="29">
        <v>18</v>
      </c>
      <c r="Q794" s="32" t="s">
        <v>80</v>
      </c>
    </row>
    <row r="795" s="9" customFormat="1" customHeight="1" spans="1:17">
      <c r="A795" s="26">
        <f t="shared" ref="A795:A826" si="45">B795*1000+F795</f>
        <v>1301011</v>
      </c>
      <c r="B795" s="26">
        <v>1301</v>
      </c>
      <c r="C795" s="26" t="s">
        <v>402</v>
      </c>
      <c r="D795" s="26"/>
      <c r="E795" s="22">
        <f t="shared" si="44"/>
        <v>4</v>
      </c>
      <c r="F795" s="26">
        <v>11</v>
      </c>
      <c r="H795" s="26" t="s">
        <v>105</v>
      </c>
      <c r="I795" s="27">
        <v>550</v>
      </c>
      <c r="J795" s="27"/>
      <c r="K795" s="12" t="s">
        <v>76</v>
      </c>
      <c r="M795" s="28"/>
      <c r="N795" s="28"/>
      <c r="O795" s="3"/>
      <c r="P795" s="29">
        <v>20</v>
      </c>
      <c r="Q795" s="32" t="s">
        <v>83</v>
      </c>
    </row>
    <row r="796" s="9" customFormat="1" customHeight="1" spans="1:17">
      <c r="A796" s="26">
        <f t="shared" si="45"/>
        <v>1301012</v>
      </c>
      <c r="B796" s="26">
        <v>1301</v>
      </c>
      <c r="C796" s="26" t="s">
        <v>402</v>
      </c>
      <c r="D796" s="26"/>
      <c r="E796" s="22">
        <f t="shared" si="44"/>
        <v>4</v>
      </c>
      <c r="F796" s="26">
        <v>12</v>
      </c>
      <c r="H796" s="26" t="s">
        <v>111</v>
      </c>
      <c r="I796" s="27">
        <v>600</v>
      </c>
      <c r="J796" s="27"/>
      <c r="K796" s="12" t="s">
        <v>79</v>
      </c>
      <c r="M796" s="28"/>
      <c r="N796" s="28"/>
      <c r="O796" s="3"/>
      <c r="P796" s="29">
        <v>22</v>
      </c>
      <c r="Q796" s="32" t="s">
        <v>86</v>
      </c>
    </row>
    <row r="797" s="9" customFormat="1" customHeight="1" spans="1:17">
      <c r="A797" s="26">
        <f t="shared" si="45"/>
        <v>1301013</v>
      </c>
      <c r="B797" s="26">
        <v>1301</v>
      </c>
      <c r="C797" s="26" t="s">
        <v>402</v>
      </c>
      <c r="D797" s="26"/>
      <c r="E797" s="22">
        <f t="shared" si="44"/>
        <v>5</v>
      </c>
      <c r="F797" s="26">
        <v>13</v>
      </c>
      <c r="H797" s="26" t="s">
        <v>117</v>
      </c>
      <c r="I797" s="27">
        <v>650</v>
      </c>
      <c r="J797" s="27"/>
      <c r="K797" s="12" t="s">
        <v>82</v>
      </c>
      <c r="M797" s="28"/>
      <c r="N797" s="28"/>
      <c r="O797" s="3" t="s">
        <v>234</v>
      </c>
      <c r="P797" s="29">
        <v>24</v>
      </c>
      <c r="Q797" s="32" t="s">
        <v>89</v>
      </c>
    </row>
    <row r="798" s="9" customFormat="1" customHeight="1" spans="1:17">
      <c r="A798" s="26">
        <f t="shared" si="45"/>
        <v>1301014</v>
      </c>
      <c r="B798" s="26">
        <v>1301</v>
      </c>
      <c r="C798" s="26" t="s">
        <v>402</v>
      </c>
      <c r="D798" s="26"/>
      <c r="E798" s="22">
        <f t="shared" si="44"/>
        <v>5</v>
      </c>
      <c r="F798" s="26">
        <v>14</v>
      </c>
      <c r="H798" s="26" t="s">
        <v>123</v>
      </c>
      <c r="I798" s="27">
        <v>700</v>
      </c>
      <c r="J798" s="27"/>
      <c r="K798" s="12" t="s">
        <v>85</v>
      </c>
      <c r="M798" s="28"/>
      <c r="N798" s="28"/>
      <c r="O798" s="3" t="s">
        <v>234</v>
      </c>
      <c r="P798" s="29">
        <v>26</v>
      </c>
      <c r="Q798" s="32" t="s">
        <v>92</v>
      </c>
    </row>
    <row r="799" s="9" customFormat="1" customHeight="1" spans="1:17">
      <c r="A799" s="26">
        <f t="shared" si="45"/>
        <v>1301015</v>
      </c>
      <c r="B799" s="26">
        <v>1301</v>
      </c>
      <c r="C799" s="26" t="s">
        <v>402</v>
      </c>
      <c r="D799" s="26"/>
      <c r="E799" s="22">
        <f t="shared" si="44"/>
        <v>5</v>
      </c>
      <c r="F799" s="26">
        <v>15</v>
      </c>
      <c r="H799" s="26" t="s">
        <v>129</v>
      </c>
      <c r="I799" s="27">
        <v>750</v>
      </c>
      <c r="J799" s="27"/>
      <c r="K799" s="12" t="s">
        <v>88</v>
      </c>
      <c r="M799" s="28"/>
      <c r="N799" s="28"/>
      <c r="O799" s="3" t="s">
        <v>234</v>
      </c>
      <c r="P799" s="29">
        <v>28</v>
      </c>
      <c r="Q799" s="32" t="s">
        <v>95</v>
      </c>
    </row>
    <row r="800" s="9" customFormat="1" customHeight="1" spans="1:17">
      <c r="A800" s="26">
        <f t="shared" si="45"/>
        <v>1301016</v>
      </c>
      <c r="B800" s="26">
        <v>1301</v>
      </c>
      <c r="C800" s="26" t="s">
        <v>402</v>
      </c>
      <c r="D800" s="26"/>
      <c r="E800" s="22">
        <f t="shared" si="44"/>
        <v>6</v>
      </c>
      <c r="F800" s="26">
        <v>16</v>
      </c>
      <c r="H800" s="26" t="s">
        <v>135</v>
      </c>
      <c r="I800" s="27">
        <v>800</v>
      </c>
      <c r="J800" s="27"/>
      <c r="K800" s="12" t="s">
        <v>91</v>
      </c>
      <c r="M800" s="28"/>
      <c r="N800" s="28"/>
      <c r="O800" s="3" t="s">
        <v>234</v>
      </c>
      <c r="P800" s="29">
        <v>30</v>
      </c>
      <c r="Q800" s="32" t="s">
        <v>98</v>
      </c>
    </row>
    <row r="801" s="9" customFormat="1" customHeight="1" spans="1:17">
      <c r="A801" s="26">
        <f t="shared" si="45"/>
        <v>1301017</v>
      </c>
      <c r="B801" s="26">
        <v>1301</v>
      </c>
      <c r="C801" s="26" t="s">
        <v>402</v>
      </c>
      <c r="D801" s="26"/>
      <c r="E801" s="22">
        <f t="shared" si="44"/>
        <v>6</v>
      </c>
      <c r="F801" s="26">
        <v>17</v>
      </c>
      <c r="H801" s="26" t="s">
        <v>141</v>
      </c>
      <c r="I801" s="27">
        <v>850</v>
      </c>
      <c r="J801" s="27"/>
      <c r="K801" s="12" t="s">
        <v>94</v>
      </c>
      <c r="M801" s="28"/>
      <c r="N801" s="28"/>
      <c r="O801" s="3" t="s">
        <v>234</v>
      </c>
      <c r="P801" s="29">
        <v>32</v>
      </c>
      <c r="Q801" s="32" t="s">
        <v>101</v>
      </c>
    </row>
    <row r="802" s="9" customFormat="1" customHeight="1" spans="1:17">
      <c r="A802" s="26">
        <f t="shared" si="45"/>
        <v>1301018</v>
      </c>
      <c r="B802" s="26">
        <v>1301</v>
      </c>
      <c r="C802" s="26" t="s">
        <v>402</v>
      </c>
      <c r="D802" s="26"/>
      <c r="E802" s="22">
        <f t="shared" si="44"/>
        <v>6</v>
      </c>
      <c r="F802" s="26">
        <v>18</v>
      </c>
      <c r="H802" s="26" t="s">
        <v>147</v>
      </c>
      <c r="I802" s="27">
        <v>900</v>
      </c>
      <c r="J802" s="27"/>
      <c r="K802" s="12" t="s">
        <v>97</v>
      </c>
      <c r="M802" s="28"/>
      <c r="N802" s="28"/>
      <c r="O802" s="3" t="s">
        <v>234</v>
      </c>
      <c r="P802" s="29">
        <v>34</v>
      </c>
      <c r="Q802" s="32" t="s">
        <v>104</v>
      </c>
    </row>
    <row r="803" s="9" customFormat="1" customHeight="1" spans="1:17">
      <c r="A803" s="26">
        <f t="shared" si="45"/>
        <v>1301019</v>
      </c>
      <c r="B803" s="26">
        <v>1301</v>
      </c>
      <c r="C803" s="26" t="s">
        <v>402</v>
      </c>
      <c r="D803" s="26"/>
      <c r="E803" s="22">
        <f t="shared" si="44"/>
        <v>7</v>
      </c>
      <c r="F803" s="26">
        <v>19</v>
      </c>
      <c r="H803" s="26" t="s">
        <v>153</v>
      </c>
      <c r="I803" s="27">
        <v>950</v>
      </c>
      <c r="J803" s="27"/>
      <c r="K803" s="12" t="s">
        <v>100</v>
      </c>
      <c r="M803" s="28"/>
      <c r="N803" s="28"/>
      <c r="O803" s="3" t="s">
        <v>234</v>
      </c>
      <c r="P803" s="29">
        <v>36</v>
      </c>
      <c r="Q803" s="32" t="s">
        <v>107</v>
      </c>
    </row>
    <row r="804" s="9" customFormat="1" customHeight="1" spans="1:17">
      <c r="A804" s="26">
        <f t="shared" si="45"/>
        <v>1301020</v>
      </c>
      <c r="B804" s="26">
        <v>1301</v>
      </c>
      <c r="C804" s="26" t="s">
        <v>402</v>
      </c>
      <c r="D804" s="26"/>
      <c r="E804" s="22">
        <f t="shared" si="44"/>
        <v>7</v>
      </c>
      <c r="F804" s="26">
        <v>20</v>
      </c>
      <c r="H804" s="26" t="s">
        <v>159</v>
      </c>
      <c r="I804" s="27">
        <v>1000</v>
      </c>
      <c r="J804" s="27"/>
      <c r="K804" s="12" t="s">
        <v>103</v>
      </c>
      <c r="M804" s="28"/>
      <c r="N804" s="28"/>
      <c r="O804" s="3" t="s">
        <v>234</v>
      </c>
      <c r="P804" s="29">
        <v>38</v>
      </c>
      <c r="Q804" s="32" t="s">
        <v>110</v>
      </c>
    </row>
    <row r="805" s="9" customFormat="1" customHeight="1" spans="1:17">
      <c r="A805" s="26">
        <f t="shared" si="45"/>
        <v>1301021</v>
      </c>
      <c r="B805" s="26">
        <v>1301</v>
      </c>
      <c r="C805" s="26" t="s">
        <v>402</v>
      </c>
      <c r="D805" s="26"/>
      <c r="E805" s="22">
        <f t="shared" si="44"/>
        <v>7</v>
      </c>
      <c r="F805" s="26">
        <v>21</v>
      </c>
      <c r="H805" s="26" t="s">
        <v>165</v>
      </c>
      <c r="I805" s="27">
        <v>1050</v>
      </c>
      <c r="J805" s="27"/>
      <c r="K805" s="12" t="s">
        <v>106</v>
      </c>
      <c r="M805" s="28"/>
      <c r="N805" s="28"/>
      <c r="O805" s="3" t="s">
        <v>234</v>
      </c>
      <c r="P805" s="29">
        <v>40</v>
      </c>
      <c r="Q805" s="32" t="s">
        <v>113</v>
      </c>
    </row>
    <row r="806" s="9" customFormat="1" customHeight="1" spans="1:17">
      <c r="A806" s="26">
        <f t="shared" si="45"/>
        <v>1301022</v>
      </c>
      <c r="B806" s="26">
        <v>1301</v>
      </c>
      <c r="C806" s="26" t="s">
        <v>402</v>
      </c>
      <c r="D806" s="26"/>
      <c r="E806" s="22">
        <f t="shared" si="44"/>
        <v>8</v>
      </c>
      <c r="F806" s="26">
        <v>22</v>
      </c>
      <c r="H806" s="26" t="s">
        <v>171</v>
      </c>
      <c r="I806" s="27">
        <v>1100</v>
      </c>
      <c r="J806" s="27"/>
      <c r="K806" s="12" t="s">
        <v>109</v>
      </c>
      <c r="M806" s="28"/>
      <c r="N806" s="28"/>
      <c r="O806" s="3" t="s">
        <v>234</v>
      </c>
      <c r="P806" s="29">
        <v>42</v>
      </c>
      <c r="Q806" s="32" t="s">
        <v>116</v>
      </c>
    </row>
    <row r="807" s="9" customFormat="1" customHeight="1" spans="1:17">
      <c r="A807" s="26">
        <f t="shared" si="45"/>
        <v>1301023</v>
      </c>
      <c r="B807" s="26">
        <v>1301</v>
      </c>
      <c r="C807" s="26" t="s">
        <v>402</v>
      </c>
      <c r="D807" s="26"/>
      <c r="E807" s="22">
        <f t="shared" si="44"/>
        <v>8</v>
      </c>
      <c r="F807" s="26">
        <v>23</v>
      </c>
      <c r="H807" s="26" t="s">
        <v>177</v>
      </c>
      <c r="I807" s="27">
        <v>1150</v>
      </c>
      <c r="J807" s="27"/>
      <c r="K807" s="12" t="s">
        <v>112</v>
      </c>
      <c r="M807" s="28"/>
      <c r="N807" s="28"/>
      <c r="O807" s="3" t="s">
        <v>234</v>
      </c>
      <c r="P807" s="29">
        <v>44</v>
      </c>
      <c r="Q807" s="32" t="s">
        <v>119</v>
      </c>
    </row>
    <row r="808" s="9" customFormat="1" customHeight="1" spans="1:17">
      <c r="A808" s="26">
        <f t="shared" si="45"/>
        <v>1301024</v>
      </c>
      <c r="B808" s="26">
        <v>1301</v>
      </c>
      <c r="C808" s="26" t="s">
        <v>402</v>
      </c>
      <c r="D808" s="26"/>
      <c r="E808" s="22">
        <f t="shared" si="44"/>
        <v>8</v>
      </c>
      <c r="F808" s="26">
        <v>24</v>
      </c>
      <c r="H808" s="26" t="s">
        <v>183</v>
      </c>
      <c r="I808" s="27">
        <v>1200</v>
      </c>
      <c r="J808" s="27"/>
      <c r="K808" s="12" t="s">
        <v>115</v>
      </c>
      <c r="M808" s="28"/>
      <c r="N808" s="28"/>
      <c r="O808" s="3" t="s">
        <v>234</v>
      </c>
      <c r="P808" s="29">
        <v>46</v>
      </c>
      <c r="Q808" s="32" t="s">
        <v>122</v>
      </c>
    </row>
    <row r="809" s="9" customFormat="1" customHeight="1" spans="1:17">
      <c r="A809" s="26">
        <f t="shared" si="45"/>
        <v>1301025</v>
      </c>
      <c r="B809" s="26">
        <v>1301</v>
      </c>
      <c r="C809" s="26" t="s">
        <v>402</v>
      </c>
      <c r="D809" s="26"/>
      <c r="E809" s="22">
        <f t="shared" si="44"/>
        <v>9</v>
      </c>
      <c r="F809" s="26">
        <v>25</v>
      </c>
      <c r="H809" s="26" t="s">
        <v>189</v>
      </c>
      <c r="I809" s="27">
        <v>1250</v>
      </c>
      <c r="J809" s="27"/>
      <c r="K809" s="12" t="s">
        <v>118</v>
      </c>
      <c r="M809" s="28"/>
      <c r="N809" s="28"/>
      <c r="O809" s="3" t="s">
        <v>234</v>
      </c>
      <c r="P809" s="29">
        <v>48</v>
      </c>
      <c r="Q809" s="32" t="s">
        <v>125</v>
      </c>
    </row>
    <row r="810" s="9" customFormat="1" customHeight="1" spans="1:17">
      <c r="A810" s="26">
        <f t="shared" si="45"/>
        <v>1301026</v>
      </c>
      <c r="B810" s="26">
        <v>1301</v>
      </c>
      <c r="C810" s="26" t="s">
        <v>402</v>
      </c>
      <c r="D810" s="26"/>
      <c r="E810" s="22">
        <f t="shared" si="44"/>
        <v>9</v>
      </c>
      <c r="F810" s="26">
        <v>26</v>
      </c>
      <c r="H810" s="26" t="s">
        <v>195</v>
      </c>
      <c r="I810" s="27">
        <v>1300</v>
      </c>
      <c r="J810" s="27"/>
      <c r="K810" s="12" t="s">
        <v>121</v>
      </c>
      <c r="M810" s="28"/>
      <c r="N810" s="28"/>
      <c r="O810" s="3" t="s">
        <v>234</v>
      </c>
      <c r="P810" s="29">
        <v>50</v>
      </c>
      <c r="Q810" s="32" t="s">
        <v>128</v>
      </c>
    </row>
    <row r="811" s="9" customFormat="1" customHeight="1" spans="1:17">
      <c r="A811" s="26">
        <f t="shared" si="45"/>
        <v>1301027</v>
      </c>
      <c r="B811" s="26">
        <v>1301</v>
      </c>
      <c r="C811" s="26" t="s">
        <v>402</v>
      </c>
      <c r="D811" s="26"/>
      <c r="E811" s="22">
        <f t="shared" si="44"/>
        <v>9</v>
      </c>
      <c r="F811" s="26">
        <v>27</v>
      </c>
      <c r="H811" s="26" t="s">
        <v>201</v>
      </c>
      <c r="I811" s="27">
        <v>1350</v>
      </c>
      <c r="J811" s="27"/>
      <c r="K811" s="12" t="s">
        <v>124</v>
      </c>
      <c r="M811" s="28"/>
      <c r="N811" s="28"/>
      <c r="O811" s="3" t="s">
        <v>234</v>
      </c>
      <c r="P811" s="29">
        <v>52</v>
      </c>
      <c r="Q811" s="32" t="s">
        <v>131</v>
      </c>
    </row>
    <row r="812" s="9" customFormat="1" customHeight="1" spans="1:17">
      <c r="A812" s="26">
        <f t="shared" si="45"/>
        <v>1301028</v>
      </c>
      <c r="B812" s="26">
        <v>1301</v>
      </c>
      <c r="C812" s="26" t="s">
        <v>402</v>
      </c>
      <c r="D812" s="26"/>
      <c r="E812" s="22">
        <f t="shared" si="44"/>
        <v>10</v>
      </c>
      <c r="F812" s="26">
        <v>28</v>
      </c>
      <c r="H812" s="26" t="s">
        <v>207</v>
      </c>
      <c r="I812" s="27">
        <v>1400</v>
      </c>
      <c r="J812" s="27"/>
      <c r="K812" s="12" t="s">
        <v>127</v>
      </c>
      <c r="M812" s="28"/>
      <c r="N812" s="28"/>
      <c r="O812" s="3" t="s">
        <v>234</v>
      </c>
      <c r="P812" s="29">
        <v>54</v>
      </c>
      <c r="Q812" s="32" t="s">
        <v>134</v>
      </c>
    </row>
    <row r="813" s="9" customFormat="1" customHeight="1" spans="1:17">
      <c r="A813" s="26">
        <f t="shared" si="45"/>
        <v>1301029</v>
      </c>
      <c r="B813" s="26">
        <v>1301</v>
      </c>
      <c r="C813" s="26" t="s">
        <v>402</v>
      </c>
      <c r="D813" s="26"/>
      <c r="E813" s="22">
        <f t="shared" si="44"/>
        <v>10</v>
      </c>
      <c r="F813" s="26">
        <v>29</v>
      </c>
      <c r="H813" s="26" t="s">
        <v>213</v>
      </c>
      <c r="I813" s="27">
        <v>1450</v>
      </c>
      <c r="J813" s="27"/>
      <c r="K813" s="12" t="s">
        <v>130</v>
      </c>
      <c r="M813" s="28"/>
      <c r="N813" s="28"/>
      <c r="O813" s="3" t="s">
        <v>234</v>
      </c>
      <c r="P813" s="29">
        <v>56</v>
      </c>
      <c r="Q813" s="32" t="s">
        <v>137</v>
      </c>
    </row>
    <row r="814" s="9" customFormat="1" customHeight="1" spans="1:17">
      <c r="A814" s="26">
        <f t="shared" si="45"/>
        <v>1301030</v>
      </c>
      <c r="B814" s="26">
        <v>1301</v>
      </c>
      <c r="C814" s="26" t="s">
        <v>402</v>
      </c>
      <c r="D814" s="26"/>
      <c r="E814" s="22">
        <f t="shared" si="44"/>
        <v>10</v>
      </c>
      <c r="F814" s="26">
        <v>30</v>
      </c>
      <c r="H814" s="26" t="s">
        <v>219</v>
      </c>
      <c r="I814" s="27">
        <v>1500</v>
      </c>
      <c r="J814" s="27"/>
      <c r="K814" s="12" t="s">
        <v>133</v>
      </c>
      <c r="M814" s="28"/>
      <c r="N814" s="28"/>
      <c r="O814" s="3" t="s">
        <v>234</v>
      </c>
      <c r="P814" s="29">
        <v>58</v>
      </c>
      <c r="Q814" s="32" t="s">
        <v>140</v>
      </c>
    </row>
    <row r="815" s="9" customFormat="1" customHeight="1" spans="1:17">
      <c r="A815" s="26">
        <f t="shared" si="45"/>
        <v>1301031</v>
      </c>
      <c r="B815" s="26">
        <v>1301</v>
      </c>
      <c r="C815" s="26" t="s">
        <v>402</v>
      </c>
      <c r="D815" s="26"/>
      <c r="E815" s="22">
        <f t="shared" si="44"/>
        <v>11</v>
      </c>
      <c r="F815" s="26">
        <v>31</v>
      </c>
      <c r="H815" s="26" t="s">
        <v>235</v>
      </c>
      <c r="I815" s="27">
        <v>1550</v>
      </c>
      <c r="J815" s="27"/>
      <c r="K815" s="12" t="s">
        <v>136</v>
      </c>
      <c r="M815" s="28"/>
      <c r="N815" s="28"/>
      <c r="O815" s="3" t="s">
        <v>234</v>
      </c>
      <c r="P815" s="29">
        <v>60</v>
      </c>
      <c r="Q815" s="32" t="s">
        <v>143</v>
      </c>
    </row>
    <row r="816" s="9" customFormat="1" customHeight="1" spans="1:17">
      <c r="A816" s="26">
        <f t="shared" si="45"/>
        <v>1301032</v>
      </c>
      <c r="B816" s="26">
        <v>1301</v>
      </c>
      <c r="C816" s="26" t="s">
        <v>402</v>
      </c>
      <c r="D816" s="26"/>
      <c r="E816" s="22">
        <f t="shared" si="44"/>
        <v>11</v>
      </c>
      <c r="F816" s="26">
        <v>32</v>
      </c>
      <c r="H816" s="26" t="s">
        <v>236</v>
      </c>
      <c r="I816" s="27">
        <v>1600</v>
      </c>
      <c r="J816" s="27"/>
      <c r="K816" s="12" t="s">
        <v>139</v>
      </c>
      <c r="M816" s="28"/>
      <c r="N816" s="28"/>
      <c r="O816" s="3" t="s">
        <v>234</v>
      </c>
      <c r="P816" s="29">
        <v>62</v>
      </c>
      <c r="Q816" s="32" t="s">
        <v>146</v>
      </c>
    </row>
    <row r="817" s="9" customFormat="1" customHeight="1" spans="1:17">
      <c r="A817" s="26">
        <f t="shared" si="45"/>
        <v>1301033</v>
      </c>
      <c r="B817" s="26">
        <v>1301</v>
      </c>
      <c r="C817" s="26" t="s">
        <v>402</v>
      </c>
      <c r="D817" s="26"/>
      <c r="E817" s="22">
        <f t="shared" si="44"/>
        <v>11</v>
      </c>
      <c r="F817" s="26">
        <v>33</v>
      </c>
      <c r="H817" s="26" t="s">
        <v>237</v>
      </c>
      <c r="I817" s="27">
        <v>1650</v>
      </c>
      <c r="J817" s="27"/>
      <c r="K817" s="12" t="s">
        <v>142</v>
      </c>
      <c r="M817" s="28"/>
      <c r="N817" s="28"/>
      <c r="O817" s="3" t="s">
        <v>234</v>
      </c>
      <c r="P817" s="29">
        <v>64</v>
      </c>
      <c r="Q817" s="32" t="s">
        <v>149</v>
      </c>
    </row>
    <row r="818" s="9" customFormat="1" customHeight="1" spans="1:17">
      <c r="A818" s="26">
        <f t="shared" si="45"/>
        <v>1301034</v>
      </c>
      <c r="B818" s="26">
        <v>1301</v>
      </c>
      <c r="C818" s="26" t="s">
        <v>402</v>
      </c>
      <c r="D818" s="26"/>
      <c r="E818" s="22">
        <f t="shared" si="44"/>
        <v>12</v>
      </c>
      <c r="F818" s="26">
        <v>34</v>
      </c>
      <c r="H818" s="26" t="s">
        <v>238</v>
      </c>
      <c r="I818" s="27">
        <v>1700</v>
      </c>
      <c r="J818" s="27"/>
      <c r="K818" s="12" t="s">
        <v>145</v>
      </c>
      <c r="M818" s="28"/>
      <c r="N818" s="28"/>
      <c r="O818" s="3" t="s">
        <v>234</v>
      </c>
      <c r="P818" s="29">
        <v>66</v>
      </c>
      <c r="Q818" s="32" t="s">
        <v>152</v>
      </c>
    </row>
    <row r="819" s="9" customFormat="1" customHeight="1" spans="1:17">
      <c r="A819" s="26">
        <f t="shared" si="45"/>
        <v>1301035</v>
      </c>
      <c r="B819" s="26">
        <v>1301</v>
      </c>
      <c r="C819" s="26" t="s">
        <v>402</v>
      </c>
      <c r="D819" s="26"/>
      <c r="E819" s="22">
        <f t="shared" si="44"/>
        <v>12</v>
      </c>
      <c r="F819" s="26">
        <v>35</v>
      </c>
      <c r="H819" s="26" t="s">
        <v>239</v>
      </c>
      <c r="I819" s="27">
        <v>1750</v>
      </c>
      <c r="J819" s="27"/>
      <c r="K819" s="12" t="s">
        <v>148</v>
      </c>
      <c r="M819" s="28"/>
      <c r="N819" s="28"/>
      <c r="O819" s="3" t="s">
        <v>234</v>
      </c>
      <c r="P819" s="29">
        <v>68</v>
      </c>
      <c r="Q819" s="32" t="s">
        <v>155</v>
      </c>
    </row>
    <row r="820" s="9" customFormat="1" customHeight="1" spans="1:17">
      <c r="A820" s="26">
        <f t="shared" si="45"/>
        <v>1301036</v>
      </c>
      <c r="B820" s="26">
        <v>1301</v>
      </c>
      <c r="C820" s="26" t="s">
        <v>402</v>
      </c>
      <c r="D820" s="26"/>
      <c r="E820" s="22">
        <f t="shared" si="44"/>
        <v>12</v>
      </c>
      <c r="F820" s="26">
        <v>36</v>
      </c>
      <c r="H820" s="26" t="s">
        <v>240</v>
      </c>
      <c r="I820" s="27">
        <v>1800</v>
      </c>
      <c r="J820" s="27"/>
      <c r="K820" s="12" t="s">
        <v>151</v>
      </c>
      <c r="M820" s="28"/>
      <c r="N820" s="28"/>
      <c r="O820" s="3" t="s">
        <v>234</v>
      </c>
      <c r="P820" s="29">
        <v>70</v>
      </c>
      <c r="Q820" s="32" t="s">
        <v>158</v>
      </c>
    </row>
    <row r="821" s="9" customFormat="1" customHeight="1" spans="1:17">
      <c r="A821" s="26">
        <f t="shared" si="45"/>
        <v>1301037</v>
      </c>
      <c r="B821" s="26">
        <v>1301</v>
      </c>
      <c r="C821" s="26" t="s">
        <v>402</v>
      </c>
      <c r="D821" s="26"/>
      <c r="E821" s="22">
        <f t="shared" si="44"/>
        <v>13</v>
      </c>
      <c r="F821" s="26">
        <v>37</v>
      </c>
      <c r="H821" s="26" t="s">
        <v>241</v>
      </c>
      <c r="I821" s="27">
        <v>1850</v>
      </c>
      <c r="J821" s="27"/>
      <c r="K821" s="12" t="s">
        <v>154</v>
      </c>
      <c r="M821" s="28"/>
      <c r="N821" s="28"/>
      <c r="O821" s="3" t="s">
        <v>234</v>
      </c>
      <c r="P821" s="29">
        <v>72</v>
      </c>
      <c r="Q821" s="32" t="s">
        <v>161</v>
      </c>
    </row>
    <row r="822" s="9" customFormat="1" customHeight="1" spans="1:17">
      <c r="A822" s="26">
        <f t="shared" si="45"/>
        <v>1301038</v>
      </c>
      <c r="B822" s="26">
        <v>1301</v>
      </c>
      <c r="C822" s="26" t="s">
        <v>402</v>
      </c>
      <c r="D822" s="26"/>
      <c r="E822" s="22">
        <f t="shared" si="44"/>
        <v>13</v>
      </c>
      <c r="F822" s="26">
        <v>38</v>
      </c>
      <c r="H822" s="26" t="s">
        <v>242</v>
      </c>
      <c r="I822" s="27">
        <v>1900</v>
      </c>
      <c r="J822" s="27"/>
      <c r="K822" s="12" t="s">
        <v>157</v>
      </c>
      <c r="M822" s="28"/>
      <c r="N822" s="28"/>
      <c r="O822" s="3" t="s">
        <v>234</v>
      </c>
      <c r="P822" s="29">
        <v>74</v>
      </c>
      <c r="Q822" s="32" t="s">
        <v>164</v>
      </c>
    </row>
    <row r="823" s="9" customFormat="1" customHeight="1" spans="1:17">
      <c r="A823" s="26">
        <f t="shared" si="45"/>
        <v>1301039</v>
      </c>
      <c r="B823" s="26">
        <v>1301</v>
      </c>
      <c r="C823" s="26" t="s">
        <v>402</v>
      </c>
      <c r="D823" s="26"/>
      <c r="E823" s="22">
        <f t="shared" si="44"/>
        <v>13</v>
      </c>
      <c r="F823" s="26">
        <v>39</v>
      </c>
      <c r="H823" s="26" t="s">
        <v>243</v>
      </c>
      <c r="I823" s="27">
        <v>1950</v>
      </c>
      <c r="J823" s="27"/>
      <c r="K823" s="12" t="s">
        <v>160</v>
      </c>
      <c r="M823" s="28"/>
      <c r="N823" s="28"/>
      <c r="O823" s="3" t="s">
        <v>234</v>
      </c>
      <c r="P823" s="29">
        <v>76</v>
      </c>
      <c r="Q823" s="32" t="s">
        <v>167</v>
      </c>
    </row>
    <row r="824" s="9" customFormat="1" customHeight="1" spans="1:17">
      <c r="A824" s="26">
        <f t="shared" si="45"/>
        <v>1301040</v>
      </c>
      <c r="B824" s="26">
        <v>1301</v>
      </c>
      <c r="C824" s="26" t="s">
        <v>402</v>
      </c>
      <c r="D824" s="26"/>
      <c r="E824" s="22">
        <f t="shared" si="44"/>
        <v>14</v>
      </c>
      <c r="F824" s="26">
        <v>40</v>
      </c>
      <c r="H824" s="26" t="s">
        <v>244</v>
      </c>
      <c r="I824" s="27">
        <v>2000</v>
      </c>
      <c r="J824" s="27"/>
      <c r="K824" s="12" t="s">
        <v>163</v>
      </c>
      <c r="M824" s="28"/>
      <c r="N824" s="28"/>
      <c r="O824" s="3" t="s">
        <v>234</v>
      </c>
      <c r="P824" s="29">
        <v>78</v>
      </c>
      <c r="Q824" s="32" t="s">
        <v>170</v>
      </c>
    </row>
    <row r="825" s="9" customFormat="1" customHeight="1" spans="1:17">
      <c r="A825" s="26">
        <f t="shared" si="45"/>
        <v>1301041</v>
      </c>
      <c r="B825" s="26">
        <v>1301</v>
      </c>
      <c r="C825" s="26" t="s">
        <v>402</v>
      </c>
      <c r="D825" s="26"/>
      <c r="E825" s="22">
        <f t="shared" si="44"/>
        <v>14</v>
      </c>
      <c r="F825" s="26">
        <v>41</v>
      </c>
      <c r="H825" s="26" t="s">
        <v>245</v>
      </c>
      <c r="I825" s="27">
        <v>2050</v>
      </c>
      <c r="J825" s="27"/>
      <c r="K825" s="12" t="s">
        <v>166</v>
      </c>
      <c r="M825" s="28"/>
      <c r="N825" s="28"/>
      <c r="O825" s="3" t="s">
        <v>234</v>
      </c>
      <c r="P825" s="29">
        <v>80</v>
      </c>
      <c r="Q825" s="32" t="s">
        <v>173</v>
      </c>
    </row>
    <row r="826" s="9" customFormat="1" customHeight="1" spans="1:17">
      <c r="A826" s="26">
        <f t="shared" si="45"/>
        <v>1301042</v>
      </c>
      <c r="B826" s="26">
        <v>1301</v>
      </c>
      <c r="C826" s="26" t="s">
        <v>402</v>
      </c>
      <c r="D826" s="26"/>
      <c r="E826" s="22">
        <f t="shared" si="44"/>
        <v>14</v>
      </c>
      <c r="F826" s="26">
        <v>42</v>
      </c>
      <c r="H826" s="26" t="s">
        <v>246</v>
      </c>
      <c r="I826" s="27">
        <v>2100</v>
      </c>
      <c r="J826" s="27"/>
      <c r="K826" s="12" t="s">
        <v>169</v>
      </c>
      <c r="M826" s="28"/>
      <c r="N826" s="28"/>
      <c r="O826" s="3" t="s">
        <v>234</v>
      </c>
      <c r="P826" s="29">
        <v>82</v>
      </c>
      <c r="Q826" s="32" t="s">
        <v>176</v>
      </c>
    </row>
    <row r="827" s="9" customFormat="1" customHeight="1" spans="1:17">
      <c r="A827" s="26">
        <f t="shared" ref="A827:A844" si="46">B827*1000+F827</f>
        <v>1301043</v>
      </c>
      <c r="B827" s="26">
        <v>1301</v>
      </c>
      <c r="C827" s="26" t="s">
        <v>402</v>
      </c>
      <c r="D827" s="26"/>
      <c r="E827" s="22">
        <f t="shared" si="44"/>
        <v>15</v>
      </c>
      <c r="F827" s="26">
        <v>43</v>
      </c>
      <c r="H827" s="26" t="s">
        <v>247</v>
      </c>
      <c r="I827" s="27">
        <v>2150</v>
      </c>
      <c r="J827" s="27"/>
      <c r="K827" s="12" t="s">
        <v>172</v>
      </c>
      <c r="M827" s="28"/>
      <c r="N827" s="28"/>
      <c r="O827" s="3" t="s">
        <v>234</v>
      </c>
      <c r="P827" s="29">
        <v>84</v>
      </c>
      <c r="Q827" s="32" t="s">
        <v>179</v>
      </c>
    </row>
    <row r="828" s="9" customFormat="1" customHeight="1" spans="1:17">
      <c r="A828" s="26">
        <f t="shared" si="46"/>
        <v>1301044</v>
      </c>
      <c r="B828" s="26">
        <v>1301</v>
      </c>
      <c r="C828" s="26" t="s">
        <v>402</v>
      </c>
      <c r="D828" s="26"/>
      <c r="E828" s="22">
        <f t="shared" si="44"/>
        <v>15</v>
      </c>
      <c r="F828" s="26">
        <v>44</v>
      </c>
      <c r="H828" s="26" t="s">
        <v>248</v>
      </c>
      <c r="I828" s="27">
        <v>2200</v>
      </c>
      <c r="J828" s="27"/>
      <c r="K828" s="12" t="s">
        <v>175</v>
      </c>
      <c r="M828" s="28"/>
      <c r="N828" s="28"/>
      <c r="O828" s="3" t="s">
        <v>234</v>
      </c>
      <c r="P828" s="29">
        <v>86</v>
      </c>
      <c r="Q828" s="32" t="s">
        <v>182</v>
      </c>
    </row>
    <row r="829" s="9" customFormat="1" customHeight="1" spans="1:17">
      <c r="A829" s="26">
        <f t="shared" si="46"/>
        <v>1301045</v>
      </c>
      <c r="B829" s="26">
        <v>1301</v>
      </c>
      <c r="C829" s="26" t="s">
        <v>402</v>
      </c>
      <c r="D829" s="26"/>
      <c r="E829" s="22">
        <f t="shared" si="44"/>
        <v>15</v>
      </c>
      <c r="F829" s="26">
        <v>45</v>
      </c>
      <c r="H829" s="26" t="s">
        <v>249</v>
      </c>
      <c r="I829" s="27">
        <v>2250</v>
      </c>
      <c r="J829" s="27"/>
      <c r="K829" s="12" t="s">
        <v>178</v>
      </c>
      <c r="M829" s="28"/>
      <c r="N829" s="28"/>
      <c r="O829" s="3" t="s">
        <v>234</v>
      </c>
      <c r="P829" s="29">
        <v>88</v>
      </c>
      <c r="Q829" s="32" t="s">
        <v>185</v>
      </c>
    </row>
    <row r="830" s="9" customFormat="1" customHeight="1" spans="1:17">
      <c r="A830" s="26">
        <f t="shared" si="46"/>
        <v>1301046</v>
      </c>
      <c r="B830" s="26">
        <v>1301</v>
      </c>
      <c r="C830" s="26" t="s">
        <v>402</v>
      </c>
      <c r="D830" s="26"/>
      <c r="E830" s="22">
        <f t="shared" si="44"/>
        <v>16</v>
      </c>
      <c r="F830" s="26">
        <v>46</v>
      </c>
      <c r="H830" s="26" t="s">
        <v>250</v>
      </c>
      <c r="I830" s="27">
        <v>2300</v>
      </c>
      <c r="J830" s="27"/>
      <c r="K830" s="12" t="s">
        <v>181</v>
      </c>
      <c r="M830" s="28"/>
      <c r="N830" s="28"/>
      <c r="O830" s="3" t="s">
        <v>234</v>
      </c>
      <c r="P830" s="29">
        <v>90</v>
      </c>
      <c r="Q830" s="32" t="s">
        <v>188</v>
      </c>
    </row>
    <row r="831" s="9" customFormat="1" customHeight="1" spans="1:17">
      <c r="A831" s="26">
        <f t="shared" si="46"/>
        <v>1301047</v>
      </c>
      <c r="B831" s="26">
        <v>1301</v>
      </c>
      <c r="C831" s="26" t="s">
        <v>402</v>
      </c>
      <c r="D831" s="26"/>
      <c r="E831" s="22">
        <f t="shared" si="44"/>
        <v>16</v>
      </c>
      <c r="F831" s="26">
        <v>47</v>
      </c>
      <c r="H831" s="26" t="s">
        <v>251</v>
      </c>
      <c r="I831" s="27">
        <v>2350</v>
      </c>
      <c r="J831" s="27"/>
      <c r="K831" s="12" t="s">
        <v>184</v>
      </c>
      <c r="M831" s="28"/>
      <c r="N831" s="28"/>
      <c r="O831" s="3" t="s">
        <v>234</v>
      </c>
      <c r="P831" s="29">
        <v>92</v>
      </c>
      <c r="Q831" s="32" t="s">
        <v>191</v>
      </c>
    </row>
    <row r="832" s="9" customFormat="1" customHeight="1" spans="1:17">
      <c r="A832" s="26">
        <f t="shared" si="46"/>
        <v>1301048</v>
      </c>
      <c r="B832" s="26">
        <v>1301</v>
      </c>
      <c r="C832" s="26" t="s">
        <v>402</v>
      </c>
      <c r="D832" s="26"/>
      <c r="E832" s="22">
        <f t="shared" si="44"/>
        <v>16</v>
      </c>
      <c r="F832" s="26">
        <v>48</v>
      </c>
      <c r="H832" s="26" t="s">
        <v>252</v>
      </c>
      <c r="I832" s="27">
        <v>2400</v>
      </c>
      <c r="J832" s="27"/>
      <c r="K832" s="12" t="s">
        <v>187</v>
      </c>
      <c r="M832" s="28"/>
      <c r="N832" s="28"/>
      <c r="O832" s="3" t="s">
        <v>234</v>
      </c>
      <c r="P832" s="29">
        <v>94</v>
      </c>
      <c r="Q832" s="32" t="s">
        <v>194</v>
      </c>
    </row>
    <row r="833" s="9" customFormat="1" customHeight="1" spans="1:17">
      <c r="A833" s="26">
        <f t="shared" si="46"/>
        <v>1301049</v>
      </c>
      <c r="B833" s="26">
        <v>1301</v>
      </c>
      <c r="C833" s="26" t="s">
        <v>402</v>
      </c>
      <c r="D833" s="26"/>
      <c r="E833" s="22">
        <f t="shared" si="44"/>
        <v>17</v>
      </c>
      <c r="F833" s="26">
        <v>49</v>
      </c>
      <c r="H833" s="26" t="s">
        <v>253</v>
      </c>
      <c r="I833" s="27">
        <v>2450</v>
      </c>
      <c r="J833" s="27"/>
      <c r="K833" s="12" t="s">
        <v>190</v>
      </c>
      <c r="M833" s="28"/>
      <c r="N833" s="28"/>
      <c r="O833" s="3" t="s">
        <v>234</v>
      </c>
      <c r="P833" s="29">
        <v>96</v>
      </c>
      <c r="Q833" s="32" t="s">
        <v>197</v>
      </c>
    </row>
    <row r="834" s="9" customFormat="1" customHeight="1" spans="1:17">
      <c r="A834" s="26">
        <f t="shared" si="46"/>
        <v>1301050</v>
      </c>
      <c r="B834" s="26">
        <v>1301</v>
      </c>
      <c r="C834" s="26" t="s">
        <v>402</v>
      </c>
      <c r="D834" s="26"/>
      <c r="E834" s="22">
        <f t="shared" si="44"/>
        <v>17</v>
      </c>
      <c r="F834" s="26">
        <v>50</v>
      </c>
      <c r="H834" s="26" t="s">
        <v>254</v>
      </c>
      <c r="I834" s="27">
        <v>2500</v>
      </c>
      <c r="J834" s="27"/>
      <c r="K834" s="12" t="s">
        <v>193</v>
      </c>
      <c r="M834" s="28"/>
      <c r="N834" s="28"/>
      <c r="O834" s="3" t="s">
        <v>234</v>
      </c>
      <c r="P834" s="29">
        <v>98</v>
      </c>
      <c r="Q834" s="32" t="s">
        <v>200</v>
      </c>
    </row>
    <row r="835" s="9" customFormat="1" customHeight="1" spans="1:17">
      <c r="A835" s="26">
        <f t="shared" si="46"/>
        <v>1301051</v>
      </c>
      <c r="B835" s="26">
        <v>1301</v>
      </c>
      <c r="C835" s="26" t="s">
        <v>402</v>
      </c>
      <c r="D835" s="26"/>
      <c r="E835" s="22">
        <f t="shared" si="44"/>
        <v>17</v>
      </c>
      <c r="F835" s="26">
        <v>51</v>
      </c>
      <c r="H835" s="26" t="s">
        <v>255</v>
      </c>
      <c r="I835" s="27">
        <v>2550</v>
      </c>
      <c r="J835" s="27"/>
      <c r="K835" s="12" t="s">
        <v>196</v>
      </c>
      <c r="M835" s="28"/>
      <c r="N835" s="28"/>
      <c r="O835" s="3" t="s">
        <v>234</v>
      </c>
      <c r="P835" s="29">
        <v>100</v>
      </c>
      <c r="Q835" s="32" t="s">
        <v>203</v>
      </c>
    </row>
    <row r="836" s="9" customFormat="1" customHeight="1" spans="1:17">
      <c r="A836" s="26">
        <f t="shared" si="46"/>
        <v>1301052</v>
      </c>
      <c r="B836" s="26">
        <v>1301</v>
      </c>
      <c r="C836" s="26" t="s">
        <v>402</v>
      </c>
      <c r="D836" s="26"/>
      <c r="E836" s="22">
        <f t="shared" si="44"/>
        <v>18</v>
      </c>
      <c r="F836" s="26">
        <v>52</v>
      </c>
      <c r="H836" s="26" t="s">
        <v>256</v>
      </c>
      <c r="I836" s="27">
        <v>2600</v>
      </c>
      <c r="J836" s="27"/>
      <c r="K836" s="12" t="s">
        <v>199</v>
      </c>
      <c r="M836" s="28"/>
      <c r="N836" s="28"/>
      <c r="O836" s="3" t="s">
        <v>234</v>
      </c>
      <c r="P836" s="29">
        <v>102</v>
      </c>
      <c r="Q836" s="32" t="s">
        <v>206</v>
      </c>
    </row>
    <row r="837" s="9" customFormat="1" customHeight="1" spans="1:17">
      <c r="A837" s="26">
        <f t="shared" si="46"/>
        <v>1301053</v>
      </c>
      <c r="B837" s="26">
        <v>1301</v>
      </c>
      <c r="C837" s="26" t="s">
        <v>402</v>
      </c>
      <c r="D837" s="26"/>
      <c r="E837" s="22">
        <f t="shared" si="44"/>
        <v>18</v>
      </c>
      <c r="F837" s="26">
        <v>53</v>
      </c>
      <c r="H837" s="26" t="s">
        <v>257</v>
      </c>
      <c r="I837" s="27">
        <v>2650</v>
      </c>
      <c r="J837" s="27"/>
      <c r="K837" s="12" t="s">
        <v>202</v>
      </c>
      <c r="M837" s="28"/>
      <c r="N837" s="28"/>
      <c r="O837" s="3" t="s">
        <v>234</v>
      </c>
      <c r="P837" s="29">
        <v>104</v>
      </c>
      <c r="Q837" s="32" t="s">
        <v>209</v>
      </c>
    </row>
    <row r="838" s="9" customFormat="1" customHeight="1" spans="1:17">
      <c r="A838" s="26">
        <f t="shared" si="46"/>
        <v>1301054</v>
      </c>
      <c r="B838" s="26">
        <v>1301</v>
      </c>
      <c r="C838" s="26" t="s">
        <v>402</v>
      </c>
      <c r="D838" s="26"/>
      <c r="E838" s="22">
        <f t="shared" si="44"/>
        <v>18</v>
      </c>
      <c r="F838" s="26">
        <v>54</v>
      </c>
      <c r="H838" s="26" t="s">
        <v>258</v>
      </c>
      <c r="I838" s="27">
        <v>2700</v>
      </c>
      <c r="J838" s="27"/>
      <c r="K838" s="12" t="s">
        <v>205</v>
      </c>
      <c r="M838" s="28"/>
      <c r="N838" s="28"/>
      <c r="O838" s="3" t="s">
        <v>234</v>
      </c>
      <c r="P838" s="29">
        <v>106</v>
      </c>
      <c r="Q838" s="32" t="s">
        <v>212</v>
      </c>
    </row>
    <row r="839" s="9" customFormat="1" customHeight="1" spans="1:17">
      <c r="A839" s="26">
        <f t="shared" si="46"/>
        <v>1301055</v>
      </c>
      <c r="B839" s="26">
        <v>1301</v>
      </c>
      <c r="C839" s="26" t="s">
        <v>402</v>
      </c>
      <c r="D839" s="26"/>
      <c r="E839" s="22">
        <f t="shared" si="44"/>
        <v>19</v>
      </c>
      <c r="F839" s="26">
        <v>55</v>
      </c>
      <c r="H839" s="26" t="s">
        <v>259</v>
      </c>
      <c r="I839" s="27">
        <v>2750</v>
      </c>
      <c r="J839" s="27"/>
      <c r="K839" s="12" t="s">
        <v>208</v>
      </c>
      <c r="M839" s="28"/>
      <c r="N839" s="28"/>
      <c r="O839" s="3" t="s">
        <v>234</v>
      </c>
      <c r="P839" s="29">
        <v>108</v>
      </c>
      <c r="Q839" s="32" t="s">
        <v>215</v>
      </c>
    </row>
    <row r="840" s="9" customFormat="1" customHeight="1" spans="1:17">
      <c r="A840" s="26">
        <f t="shared" si="46"/>
        <v>1301056</v>
      </c>
      <c r="B840" s="26">
        <v>1301</v>
      </c>
      <c r="C840" s="26" t="s">
        <v>402</v>
      </c>
      <c r="D840" s="26"/>
      <c r="E840" s="22">
        <f t="shared" si="44"/>
        <v>19</v>
      </c>
      <c r="F840" s="26">
        <v>56</v>
      </c>
      <c r="H840" s="26" t="s">
        <v>260</v>
      </c>
      <c r="I840" s="27">
        <v>2800</v>
      </c>
      <c r="J840" s="27"/>
      <c r="K840" s="12" t="s">
        <v>211</v>
      </c>
      <c r="M840" s="28"/>
      <c r="N840" s="28"/>
      <c r="O840" s="3" t="s">
        <v>234</v>
      </c>
      <c r="P840" s="29">
        <v>110</v>
      </c>
      <c r="Q840" s="32" t="s">
        <v>218</v>
      </c>
    </row>
    <row r="841" s="9" customFormat="1" customHeight="1" spans="1:17">
      <c r="A841" s="26">
        <f t="shared" si="46"/>
        <v>1301057</v>
      </c>
      <c r="B841" s="26">
        <v>1301</v>
      </c>
      <c r="C841" s="26" t="s">
        <v>402</v>
      </c>
      <c r="D841" s="26"/>
      <c r="E841" s="22">
        <f t="shared" si="44"/>
        <v>19</v>
      </c>
      <c r="F841" s="26">
        <v>57</v>
      </c>
      <c r="H841" s="26" t="s">
        <v>261</v>
      </c>
      <c r="I841" s="27">
        <v>2850</v>
      </c>
      <c r="J841" s="27"/>
      <c r="K841" s="12" t="s">
        <v>214</v>
      </c>
      <c r="M841" s="28"/>
      <c r="N841" s="28"/>
      <c r="O841" s="3" t="s">
        <v>234</v>
      </c>
      <c r="P841" s="29">
        <v>112</v>
      </c>
      <c r="Q841" s="32" t="s">
        <v>221</v>
      </c>
    </row>
    <row r="842" s="9" customFormat="1" customHeight="1" spans="1:17">
      <c r="A842" s="26">
        <f t="shared" si="46"/>
        <v>1301058</v>
      </c>
      <c r="B842" s="26">
        <v>1301</v>
      </c>
      <c r="C842" s="26" t="s">
        <v>402</v>
      </c>
      <c r="D842" s="26"/>
      <c r="E842" s="22">
        <f t="shared" si="44"/>
        <v>20</v>
      </c>
      <c r="F842" s="26">
        <v>58</v>
      </c>
      <c r="H842" s="26" t="s">
        <v>262</v>
      </c>
      <c r="I842" s="27">
        <v>2900</v>
      </c>
      <c r="J842" s="27"/>
      <c r="K842" s="12" t="s">
        <v>217</v>
      </c>
      <c r="M842" s="28"/>
      <c r="N842" s="28"/>
      <c r="O842" s="3" t="s">
        <v>234</v>
      </c>
      <c r="P842" s="29">
        <v>114</v>
      </c>
      <c r="Q842" s="32" t="s">
        <v>224</v>
      </c>
    </row>
    <row r="843" s="9" customFormat="1" customHeight="1" spans="1:17">
      <c r="A843" s="26">
        <f t="shared" si="46"/>
        <v>1301059</v>
      </c>
      <c r="B843" s="26">
        <v>1301</v>
      </c>
      <c r="C843" s="26" t="s">
        <v>402</v>
      </c>
      <c r="D843" s="26"/>
      <c r="E843" s="22">
        <f t="shared" si="44"/>
        <v>20</v>
      </c>
      <c r="F843" s="26">
        <v>59</v>
      </c>
      <c r="H843" s="26" t="s">
        <v>263</v>
      </c>
      <c r="I843" s="27">
        <v>2950</v>
      </c>
      <c r="J843" s="27"/>
      <c r="K843" s="12" t="s">
        <v>220</v>
      </c>
      <c r="M843" s="28"/>
      <c r="N843" s="28"/>
      <c r="O843" s="3" t="s">
        <v>234</v>
      </c>
      <c r="P843" s="29">
        <v>116</v>
      </c>
      <c r="Q843" s="9" t="s">
        <v>265</v>
      </c>
    </row>
    <row r="844" s="9" customFormat="1" customHeight="1" spans="1:17">
      <c r="A844" s="26">
        <f t="shared" si="46"/>
        <v>1301060</v>
      </c>
      <c r="B844" s="26">
        <v>1301</v>
      </c>
      <c r="C844" s="26" t="s">
        <v>402</v>
      </c>
      <c r="D844" s="26"/>
      <c r="E844" s="22">
        <v>9999</v>
      </c>
      <c r="F844" s="26">
        <v>60</v>
      </c>
      <c r="H844" s="26" t="s">
        <v>264</v>
      </c>
      <c r="I844" s="27">
        <v>3000</v>
      </c>
      <c r="J844" s="27"/>
      <c r="K844" s="12" t="s">
        <v>223</v>
      </c>
      <c r="M844" s="28"/>
      <c r="N844" s="28"/>
      <c r="O844" s="3"/>
      <c r="P844" s="29"/>
      <c r="Q844" s="9" t="s">
        <v>275</v>
      </c>
    </row>
    <row r="845" s="9" customFormat="1" customHeight="1" spans="1:17">
      <c r="A845" s="26">
        <f t="shared" ref="A835:A864" si="47">B845*1000+F845</f>
        <v>1303001</v>
      </c>
      <c r="B845" s="26">
        <v>1303</v>
      </c>
      <c r="C845" s="26" t="s">
        <v>404</v>
      </c>
      <c r="D845" s="26"/>
      <c r="E845" s="22">
        <v>4</v>
      </c>
      <c r="F845" s="26">
        <v>1</v>
      </c>
      <c r="G845" s="9"/>
      <c r="H845" s="26" t="s">
        <v>38</v>
      </c>
      <c r="I845" s="27">
        <v>100</v>
      </c>
      <c r="J845" s="27"/>
      <c r="K845" s="12" t="s">
        <v>39</v>
      </c>
      <c r="L845" s="9"/>
      <c r="M845" s="28"/>
      <c r="N845" s="28"/>
      <c r="O845" s="3" t="s">
        <v>405</v>
      </c>
      <c r="P845" s="29">
        <v>1</v>
      </c>
      <c r="Q845" s="32" t="s">
        <v>53</v>
      </c>
    </row>
    <row r="846" s="9" customFormat="1" customHeight="1" spans="1:17">
      <c r="A846" s="26">
        <f t="shared" si="47"/>
        <v>1303002</v>
      </c>
      <c r="B846" s="26">
        <v>1303</v>
      </c>
      <c r="C846" s="26" t="s">
        <v>404</v>
      </c>
      <c r="D846" s="26"/>
      <c r="E846" s="22">
        <v>4</v>
      </c>
      <c r="F846" s="26">
        <v>2</v>
      </c>
      <c r="G846" s="9"/>
      <c r="H846" s="26" t="s">
        <v>49</v>
      </c>
      <c r="I846" s="27">
        <v>200</v>
      </c>
      <c r="J846" s="27"/>
      <c r="K846" s="12" t="s">
        <v>45</v>
      </c>
      <c r="L846" s="9"/>
      <c r="M846" s="28"/>
      <c r="N846" s="28"/>
      <c r="O846" s="3">
        <v>1303253</v>
      </c>
      <c r="P846" s="29">
        <v>2</v>
      </c>
      <c r="Q846" s="32" t="s">
        <v>56</v>
      </c>
    </row>
    <row r="847" s="9" customFormat="1" customHeight="1" spans="1:17">
      <c r="A847" s="26">
        <f t="shared" si="47"/>
        <v>1303003</v>
      </c>
      <c r="B847" s="26">
        <v>1303</v>
      </c>
      <c r="C847" s="26" t="s">
        <v>404</v>
      </c>
      <c r="D847" s="26"/>
      <c r="E847" s="22">
        <v>4</v>
      </c>
      <c r="F847" s="26">
        <v>3</v>
      </c>
      <c r="G847" s="9"/>
      <c r="H847" s="26" t="s">
        <v>57</v>
      </c>
      <c r="I847" s="27">
        <v>300</v>
      </c>
      <c r="J847" s="27"/>
      <c r="K847" s="12" t="s">
        <v>50</v>
      </c>
      <c r="L847" s="9"/>
      <c r="M847" s="28"/>
      <c r="N847" s="28"/>
      <c r="O847" s="3">
        <v>1303254</v>
      </c>
      <c r="P847" s="29">
        <v>4</v>
      </c>
      <c r="Q847" s="32" t="s">
        <v>59</v>
      </c>
    </row>
    <row r="848" s="9" customFormat="1" customHeight="1" spans="1:17">
      <c r="A848" s="26">
        <f t="shared" si="47"/>
        <v>1303004</v>
      </c>
      <c r="B848" s="26">
        <v>1303</v>
      </c>
      <c r="C848" s="26" t="s">
        <v>404</v>
      </c>
      <c r="D848" s="26"/>
      <c r="E848" s="22">
        <f t="shared" ref="E848:E903" si="48">E845+1</f>
        <v>5</v>
      </c>
      <c r="F848" s="26">
        <v>4</v>
      </c>
      <c r="G848" s="9"/>
      <c r="H848" s="26" t="s">
        <v>63</v>
      </c>
      <c r="I848" s="27">
        <v>400</v>
      </c>
      <c r="J848" s="27"/>
      <c r="K848" s="12" t="s">
        <v>55</v>
      </c>
      <c r="L848" s="9"/>
      <c r="M848" s="28"/>
      <c r="N848" s="28"/>
      <c r="O848" s="3">
        <v>1303255</v>
      </c>
      <c r="P848" s="29">
        <v>6</v>
      </c>
      <c r="Q848" s="32" t="s">
        <v>62</v>
      </c>
    </row>
    <row r="849" s="9" customFormat="1" customHeight="1" spans="1:17">
      <c r="A849" s="26">
        <f t="shared" si="47"/>
        <v>1303005</v>
      </c>
      <c r="B849" s="26">
        <v>1303</v>
      </c>
      <c r="C849" s="26" t="s">
        <v>404</v>
      </c>
      <c r="D849" s="26"/>
      <c r="E849" s="22">
        <f t="shared" si="48"/>
        <v>5</v>
      </c>
      <c r="F849" s="26">
        <v>5</v>
      </c>
      <c r="G849" s="9"/>
      <c r="H849" s="26" t="s">
        <v>69</v>
      </c>
      <c r="I849" s="27">
        <v>500</v>
      </c>
      <c r="J849" s="27"/>
      <c r="K849" s="12" t="s">
        <v>58</v>
      </c>
      <c r="L849" s="9"/>
      <c r="M849" s="28"/>
      <c r="N849" s="28"/>
      <c r="O849" s="3">
        <v>1303251</v>
      </c>
      <c r="P849" s="29">
        <v>8</v>
      </c>
      <c r="Q849" s="32" t="s">
        <v>65</v>
      </c>
    </row>
    <row r="850" s="9" customFormat="1" customHeight="1" spans="1:17">
      <c r="A850" s="26">
        <f t="shared" si="47"/>
        <v>1303006</v>
      </c>
      <c r="B850" s="26">
        <v>1303</v>
      </c>
      <c r="C850" s="26" t="s">
        <v>404</v>
      </c>
      <c r="D850" s="26"/>
      <c r="E850" s="22">
        <f t="shared" si="48"/>
        <v>5</v>
      </c>
      <c r="F850" s="26">
        <v>6</v>
      </c>
      <c r="G850" s="9"/>
      <c r="H850" s="26" t="s">
        <v>75</v>
      </c>
      <c r="I850" s="27">
        <v>600</v>
      </c>
      <c r="J850" s="27"/>
      <c r="K850" s="12" t="s">
        <v>61</v>
      </c>
      <c r="L850" s="9"/>
      <c r="M850" s="28"/>
      <c r="N850" s="28"/>
      <c r="O850" s="3">
        <v>1303252</v>
      </c>
      <c r="P850" s="29">
        <v>10</v>
      </c>
      <c r="Q850" s="32" t="s">
        <v>68</v>
      </c>
    </row>
    <row r="851" s="9" customFormat="1" customHeight="1" spans="1:17">
      <c r="A851" s="26">
        <f t="shared" si="47"/>
        <v>1303007</v>
      </c>
      <c r="B851" s="26">
        <v>1303</v>
      </c>
      <c r="C851" s="26" t="s">
        <v>404</v>
      </c>
      <c r="D851" s="26"/>
      <c r="E851" s="22">
        <f t="shared" si="48"/>
        <v>6</v>
      </c>
      <c r="F851" s="26">
        <v>7</v>
      </c>
      <c r="G851" s="9"/>
      <c r="H851" s="26" t="s">
        <v>81</v>
      </c>
      <c r="I851" s="27">
        <v>700</v>
      </c>
      <c r="J851" s="27"/>
      <c r="K851" s="12" t="s">
        <v>64</v>
      </c>
      <c r="L851" s="9"/>
      <c r="M851" s="28"/>
      <c r="N851" s="28"/>
      <c r="O851" s="3">
        <v>1303258</v>
      </c>
      <c r="P851" s="29">
        <v>12</v>
      </c>
      <c r="Q851" s="32" t="s">
        <v>71</v>
      </c>
    </row>
    <row r="852" s="9" customFormat="1" customHeight="1" spans="1:17">
      <c r="A852" s="26">
        <f t="shared" si="47"/>
        <v>1303008</v>
      </c>
      <c r="B852" s="26">
        <v>1303</v>
      </c>
      <c r="C852" s="26" t="s">
        <v>404</v>
      </c>
      <c r="D852" s="26"/>
      <c r="E852" s="22">
        <f t="shared" si="48"/>
        <v>6</v>
      </c>
      <c r="F852" s="26">
        <v>8</v>
      </c>
      <c r="G852" s="9"/>
      <c r="H852" s="26" t="s">
        <v>87</v>
      </c>
      <c r="I852" s="27">
        <v>800</v>
      </c>
      <c r="J852" s="27"/>
      <c r="K852" s="12" t="s">
        <v>67</v>
      </c>
      <c r="L852" s="9"/>
      <c r="M852" s="28"/>
      <c r="N852" s="28"/>
      <c r="P852" s="29">
        <v>14</v>
      </c>
      <c r="Q852" s="32" t="s">
        <v>74</v>
      </c>
    </row>
    <row r="853" s="9" customFormat="1" customHeight="1" spans="1:17">
      <c r="A853" s="26">
        <f t="shared" si="47"/>
        <v>1303009</v>
      </c>
      <c r="B853" s="26">
        <v>1303</v>
      </c>
      <c r="C853" s="26" t="s">
        <v>404</v>
      </c>
      <c r="D853" s="26"/>
      <c r="E853" s="22">
        <f t="shared" si="48"/>
        <v>6</v>
      </c>
      <c r="F853" s="26">
        <v>9</v>
      </c>
      <c r="G853" s="9"/>
      <c r="H853" s="26" t="s">
        <v>93</v>
      </c>
      <c r="I853" s="27">
        <v>900</v>
      </c>
      <c r="J853" s="27"/>
      <c r="K853" s="12" t="s">
        <v>70</v>
      </c>
      <c r="L853" s="9"/>
      <c r="M853" s="28"/>
      <c r="N853" s="28"/>
      <c r="O853" s="3"/>
      <c r="P853" s="29">
        <v>16</v>
      </c>
      <c r="Q853" s="32" t="s">
        <v>77</v>
      </c>
    </row>
    <row r="854" s="9" customFormat="1" customHeight="1" spans="1:17">
      <c r="A854" s="26">
        <f t="shared" si="47"/>
        <v>1303010</v>
      </c>
      <c r="B854" s="26">
        <v>1303</v>
      </c>
      <c r="C854" s="26" t="s">
        <v>404</v>
      </c>
      <c r="D854" s="26"/>
      <c r="E854" s="22">
        <f t="shared" si="48"/>
        <v>7</v>
      </c>
      <c r="F854" s="26">
        <v>10</v>
      </c>
      <c r="G854" s="9"/>
      <c r="H854" s="26" t="s">
        <v>99</v>
      </c>
      <c r="I854" s="27">
        <v>1000</v>
      </c>
      <c r="J854" s="27"/>
      <c r="K854" s="12" t="s">
        <v>73</v>
      </c>
      <c r="L854" s="9"/>
      <c r="M854" s="28"/>
      <c r="N854" s="28"/>
      <c r="O854" s="3"/>
      <c r="P854" s="29">
        <v>18</v>
      </c>
      <c r="Q854" s="32" t="s">
        <v>80</v>
      </c>
    </row>
    <row r="855" s="10" customFormat="1" customHeight="1" spans="1:17">
      <c r="A855" s="26">
        <f t="shared" ref="A855:A864" si="49">B855*1000+F855</f>
        <v>1303011</v>
      </c>
      <c r="B855" s="26">
        <v>1303</v>
      </c>
      <c r="C855" s="26" t="s">
        <v>404</v>
      </c>
      <c r="D855" s="26"/>
      <c r="E855" s="22">
        <f t="shared" si="48"/>
        <v>7</v>
      </c>
      <c r="F855" s="26">
        <v>11</v>
      </c>
      <c r="G855" s="9"/>
      <c r="H855" s="26" t="s">
        <v>105</v>
      </c>
      <c r="I855" s="27">
        <v>1100</v>
      </c>
      <c r="J855" s="27"/>
      <c r="K855" s="12" t="s">
        <v>76</v>
      </c>
      <c r="L855" s="9"/>
      <c r="M855" s="28"/>
      <c r="N855" s="28"/>
      <c r="O855" s="3"/>
      <c r="P855" s="29">
        <v>20</v>
      </c>
      <c r="Q855" s="32" t="s">
        <v>83</v>
      </c>
    </row>
    <row r="856" s="10" customFormat="1" customHeight="1" spans="1:17">
      <c r="A856" s="26">
        <f t="shared" si="49"/>
        <v>1303012</v>
      </c>
      <c r="B856" s="26">
        <v>1303</v>
      </c>
      <c r="C856" s="26" t="s">
        <v>404</v>
      </c>
      <c r="D856" s="26"/>
      <c r="E856" s="22">
        <f t="shared" si="48"/>
        <v>7</v>
      </c>
      <c r="F856" s="26">
        <v>12</v>
      </c>
      <c r="G856" s="9"/>
      <c r="H856" s="26" t="s">
        <v>111</v>
      </c>
      <c r="I856" s="27">
        <v>1200</v>
      </c>
      <c r="J856" s="27"/>
      <c r="K856" s="12" t="s">
        <v>79</v>
      </c>
      <c r="L856" s="9"/>
      <c r="M856" s="28"/>
      <c r="N856" s="28"/>
      <c r="O856" s="3"/>
      <c r="P856" s="29">
        <v>22</v>
      </c>
      <c r="Q856" s="32" t="s">
        <v>86</v>
      </c>
    </row>
    <row r="857" s="10" customFormat="1" customHeight="1" spans="1:17">
      <c r="A857" s="26">
        <f t="shared" si="49"/>
        <v>1303013</v>
      </c>
      <c r="B857" s="26">
        <v>1303</v>
      </c>
      <c r="C857" s="26" t="s">
        <v>404</v>
      </c>
      <c r="D857" s="26"/>
      <c r="E857" s="22">
        <f t="shared" si="48"/>
        <v>8</v>
      </c>
      <c r="F857" s="26">
        <v>13</v>
      </c>
      <c r="G857" s="9"/>
      <c r="H857" s="26" t="s">
        <v>117</v>
      </c>
      <c r="I857" s="27">
        <v>1300</v>
      </c>
      <c r="J857" s="27"/>
      <c r="K857" s="12" t="s">
        <v>82</v>
      </c>
      <c r="L857" s="9"/>
      <c r="M857" s="28"/>
      <c r="N857" s="28"/>
      <c r="O857" s="3"/>
      <c r="P857" s="29">
        <v>24</v>
      </c>
      <c r="Q857" s="32" t="s">
        <v>89</v>
      </c>
    </row>
    <row r="858" s="10" customFormat="1" customHeight="1" spans="1:17">
      <c r="A858" s="26">
        <f t="shared" si="49"/>
        <v>1303014</v>
      </c>
      <c r="B858" s="26">
        <v>1303</v>
      </c>
      <c r="C858" s="26" t="s">
        <v>404</v>
      </c>
      <c r="D858" s="26"/>
      <c r="E858" s="22">
        <f t="shared" si="48"/>
        <v>8</v>
      </c>
      <c r="F858" s="26">
        <v>14</v>
      </c>
      <c r="G858" s="9"/>
      <c r="H858" s="26" t="s">
        <v>123</v>
      </c>
      <c r="I858" s="27">
        <v>1400</v>
      </c>
      <c r="J858" s="27"/>
      <c r="K858" s="12" t="s">
        <v>85</v>
      </c>
      <c r="L858" s="9"/>
      <c r="M858" s="28"/>
      <c r="N858" s="28"/>
      <c r="O858" s="3"/>
      <c r="P858" s="29">
        <v>26</v>
      </c>
      <c r="Q858" s="32" t="s">
        <v>92</v>
      </c>
    </row>
    <row r="859" s="10" customFormat="1" customHeight="1" spans="1:17">
      <c r="A859" s="26">
        <f t="shared" si="49"/>
        <v>1303015</v>
      </c>
      <c r="B859" s="26">
        <v>1303</v>
      </c>
      <c r="C859" s="26" t="s">
        <v>404</v>
      </c>
      <c r="D859" s="26"/>
      <c r="E859" s="22">
        <f t="shared" si="48"/>
        <v>8</v>
      </c>
      <c r="F859" s="26">
        <v>15</v>
      </c>
      <c r="G859" s="9"/>
      <c r="H859" s="26" t="s">
        <v>129</v>
      </c>
      <c r="I859" s="27">
        <v>1500</v>
      </c>
      <c r="J859" s="27"/>
      <c r="K859" s="12" t="s">
        <v>88</v>
      </c>
      <c r="L859" s="9"/>
      <c r="M859" s="28"/>
      <c r="N859" s="28"/>
      <c r="O859" s="3" t="s">
        <v>234</v>
      </c>
      <c r="P859" s="29">
        <v>28</v>
      </c>
      <c r="Q859" s="32" t="s">
        <v>95</v>
      </c>
    </row>
    <row r="860" s="10" customFormat="1" customHeight="1" spans="1:17">
      <c r="A860" s="26">
        <f t="shared" si="49"/>
        <v>1303016</v>
      </c>
      <c r="B860" s="26">
        <v>1303</v>
      </c>
      <c r="C860" s="26" t="s">
        <v>404</v>
      </c>
      <c r="D860" s="26"/>
      <c r="E860" s="22">
        <f t="shared" si="48"/>
        <v>9</v>
      </c>
      <c r="F860" s="26">
        <v>16</v>
      </c>
      <c r="G860" s="9"/>
      <c r="H860" s="26" t="s">
        <v>135</v>
      </c>
      <c r="I860" s="27">
        <v>1600</v>
      </c>
      <c r="J860" s="27"/>
      <c r="K860" s="12" t="s">
        <v>91</v>
      </c>
      <c r="L860" s="9"/>
      <c r="M860" s="28"/>
      <c r="N860" s="28"/>
      <c r="O860" s="3" t="s">
        <v>234</v>
      </c>
      <c r="P860" s="29">
        <v>30</v>
      </c>
      <c r="Q860" s="32" t="s">
        <v>98</v>
      </c>
    </row>
    <row r="861" s="10" customFormat="1" customHeight="1" spans="1:17">
      <c r="A861" s="26">
        <f t="shared" si="49"/>
        <v>1303017</v>
      </c>
      <c r="B861" s="26">
        <v>1303</v>
      </c>
      <c r="C861" s="26" t="s">
        <v>404</v>
      </c>
      <c r="D861" s="26"/>
      <c r="E861" s="22">
        <f t="shared" si="48"/>
        <v>9</v>
      </c>
      <c r="F861" s="26">
        <v>17</v>
      </c>
      <c r="G861" s="9"/>
      <c r="H861" s="26" t="s">
        <v>141</v>
      </c>
      <c r="I861" s="27">
        <v>1700</v>
      </c>
      <c r="J861" s="27"/>
      <c r="K861" s="12" t="s">
        <v>94</v>
      </c>
      <c r="L861" s="9"/>
      <c r="M861" s="28"/>
      <c r="N861" s="28"/>
      <c r="O861" s="3" t="s">
        <v>234</v>
      </c>
      <c r="P861" s="29">
        <v>32</v>
      </c>
      <c r="Q861" s="32" t="s">
        <v>101</v>
      </c>
    </row>
    <row r="862" s="10" customFormat="1" customHeight="1" spans="1:17">
      <c r="A862" s="26">
        <f t="shared" si="49"/>
        <v>1303018</v>
      </c>
      <c r="B862" s="26">
        <v>1303</v>
      </c>
      <c r="C862" s="26" t="s">
        <v>404</v>
      </c>
      <c r="D862" s="26"/>
      <c r="E862" s="22">
        <f t="shared" si="48"/>
        <v>9</v>
      </c>
      <c r="F862" s="26">
        <v>18</v>
      </c>
      <c r="G862" s="9"/>
      <c r="H862" s="26" t="s">
        <v>147</v>
      </c>
      <c r="I862" s="27">
        <v>1800</v>
      </c>
      <c r="J862" s="27"/>
      <c r="K862" s="12" t="s">
        <v>97</v>
      </c>
      <c r="L862" s="9"/>
      <c r="M862" s="28"/>
      <c r="N862" s="28"/>
      <c r="O862" s="3" t="s">
        <v>234</v>
      </c>
      <c r="P862" s="29">
        <v>34</v>
      </c>
      <c r="Q862" s="32" t="s">
        <v>104</v>
      </c>
    </row>
    <row r="863" s="10" customFormat="1" customHeight="1" spans="1:17">
      <c r="A863" s="26">
        <f t="shared" si="49"/>
        <v>1303019</v>
      </c>
      <c r="B863" s="26">
        <v>1303</v>
      </c>
      <c r="C863" s="26" t="s">
        <v>404</v>
      </c>
      <c r="D863" s="26"/>
      <c r="E863" s="22">
        <f t="shared" si="48"/>
        <v>10</v>
      </c>
      <c r="F863" s="26">
        <v>19</v>
      </c>
      <c r="G863" s="9"/>
      <c r="H863" s="26" t="s">
        <v>153</v>
      </c>
      <c r="I863" s="27">
        <v>1900</v>
      </c>
      <c r="J863" s="27"/>
      <c r="K863" s="12" t="s">
        <v>100</v>
      </c>
      <c r="L863" s="9"/>
      <c r="M863" s="28"/>
      <c r="N863" s="28"/>
      <c r="O863" s="3" t="s">
        <v>234</v>
      </c>
      <c r="P863" s="29">
        <v>36</v>
      </c>
      <c r="Q863" s="32" t="s">
        <v>107</v>
      </c>
    </row>
    <row r="864" s="10" customFormat="1" customHeight="1" spans="1:17">
      <c r="A864" s="26">
        <f t="shared" si="49"/>
        <v>1303020</v>
      </c>
      <c r="B864" s="26">
        <v>1303</v>
      </c>
      <c r="C864" s="26" t="s">
        <v>404</v>
      </c>
      <c r="D864" s="26"/>
      <c r="E864" s="22">
        <f t="shared" si="48"/>
        <v>10</v>
      </c>
      <c r="F864" s="26">
        <v>20</v>
      </c>
      <c r="G864" s="9"/>
      <c r="H864" s="26" t="s">
        <v>159</v>
      </c>
      <c r="I864" s="27">
        <v>2000</v>
      </c>
      <c r="J864" s="27"/>
      <c r="K864" s="12" t="s">
        <v>103</v>
      </c>
      <c r="L864" s="9"/>
      <c r="M864" s="28"/>
      <c r="N864" s="28"/>
      <c r="O864" s="3" t="s">
        <v>234</v>
      </c>
      <c r="P864" s="29">
        <v>38</v>
      </c>
      <c r="Q864" s="32" t="s">
        <v>110</v>
      </c>
    </row>
    <row r="865" s="10" customFormat="1" customHeight="1" spans="1:17">
      <c r="A865" s="26">
        <f t="shared" ref="A865:A904" si="50">B865*1000+F865</f>
        <v>1303021</v>
      </c>
      <c r="B865" s="26">
        <v>1303</v>
      </c>
      <c r="C865" s="26" t="s">
        <v>404</v>
      </c>
      <c r="D865" s="26"/>
      <c r="E865" s="22">
        <f t="shared" si="48"/>
        <v>10</v>
      </c>
      <c r="F865" s="26">
        <v>21</v>
      </c>
      <c r="G865" s="9"/>
      <c r="H865" s="26" t="s">
        <v>165</v>
      </c>
      <c r="I865" s="27">
        <v>2100</v>
      </c>
      <c r="J865" s="27"/>
      <c r="K865" s="12" t="s">
        <v>106</v>
      </c>
      <c r="L865" s="9"/>
      <c r="M865" s="28"/>
      <c r="N865" s="28"/>
      <c r="O865" s="3" t="s">
        <v>234</v>
      </c>
      <c r="P865" s="29">
        <v>40</v>
      </c>
      <c r="Q865" s="32" t="s">
        <v>113</v>
      </c>
    </row>
    <row r="866" s="10" customFormat="1" customHeight="1" spans="1:17">
      <c r="A866" s="26">
        <f t="shared" si="50"/>
        <v>1303022</v>
      </c>
      <c r="B866" s="26">
        <v>1303</v>
      </c>
      <c r="C866" s="26" t="s">
        <v>404</v>
      </c>
      <c r="D866" s="26"/>
      <c r="E866" s="22">
        <f t="shared" si="48"/>
        <v>11</v>
      </c>
      <c r="F866" s="26">
        <v>22</v>
      </c>
      <c r="G866" s="9"/>
      <c r="H866" s="26" t="s">
        <v>171</v>
      </c>
      <c r="I866" s="27">
        <v>2200</v>
      </c>
      <c r="J866" s="27"/>
      <c r="K866" s="12" t="s">
        <v>109</v>
      </c>
      <c r="L866" s="9"/>
      <c r="M866" s="28"/>
      <c r="N866" s="28"/>
      <c r="O866" s="3" t="s">
        <v>234</v>
      </c>
      <c r="P866" s="29">
        <v>42</v>
      </c>
      <c r="Q866" s="32" t="s">
        <v>116</v>
      </c>
    </row>
    <row r="867" s="10" customFormat="1" customHeight="1" spans="1:17">
      <c r="A867" s="26">
        <f t="shared" si="50"/>
        <v>1303023</v>
      </c>
      <c r="B867" s="26">
        <v>1303</v>
      </c>
      <c r="C867" s="26" t="s">
        <v>404</v>
      </c>
      <c r="D867" s="26"/>
      <c r="E867" s="22">
        <f t="shared" si="48"/>
        <v>11</v>
      </c>
      <c r="F867" s="26">
        <v>23</v>
      </c>
      <c r="G867" s="9"/>
      <c r="H867" s="26" t="s">
        <v>177</v>
      </c>
      <c r="I867" s="27">
        <v>2300</v>
      </c>
      <c r="J867" s="27"/>
      <c r="K867" s="12" t="s">
        <v>112</v>
      </c>
      <c r="L867" s="9"/>
      <c r="M867" s="28"/>
      <c r="N867" s="28"/>
      <c r="O867" s="3" t="s">
        <v>234</v>
      </c>
      <c r="P867" s="29">
        <v>44</v>
      </c>
      <c r="Q867" s="32" t="s">
        <v>119</v>
      </c>
    </row>
    <row r="868" s="10" customFormat="1" customHeight="1" spans="1:17">
      <c r="A868" s="26">
        <f t="shared" si="50"/>
        <v>1303024</v>
      </c>
      <c r="B868" s="26">
        <v>1303</v>
      </c>
      <c r="C868" s="26" t="s">
        <v>404</v>
      </c>
      <c r="D868" s="26"/>
      <c r="E868" s="22">
        <f t="shared" si="48"/>
        <v>11</v>
      </c>
      <c r="F868" s="26">
        <v>24</v>
      </c>
      <c r="G868" s="9"/>
      <c r="H868" s="26" t="s">
        <v>183</v>
      </c>
      <c r="I868" s="27">
        <v>2400</v>
      </c>
      <c r="J868" s="27"/>
      <c r="K868" s="12" t="s">
        <v>115</v>
      </c>
      <c r="L868" s="9"/>
      <c r="M868" s="28"/>
      <c r="N868" s="28"/>
      <c r="O868" s="3" t="s">
        <v>234</v>
      </c>
      <c r="P868" s="29">
        <v>46</v>
      </c>
      <c r="Q868" s="32" t="s">
        <v>122</v>
      </c>
    </row>
    <row r="869" s="10" customFormat="1" customHeight="1" spans="1:17">
      <c r="A869" s="26">
        <f t="shared" si="50"/>
        <v>1303025</v>
      </c>
      <c r="B869" s="26">
        <v>1303</v>
      </c>
      <c r="C869" s="26" t="s">
        <v>404</v>
      </c>
      <c r="D869" s="26"/>
      <c r="E869" s="22">
        <f t="shared" si="48"/>
        <v>12</v>
      </c>
      <c r="F869" s="26">
        <v>25</v>
      </c>
      <c r="G869" s="9"/>
      <c r="H869" s="26" t="s">
        <v>189</v>
      </c>
      <c r="I869" s="27">
        <v>2500</v>
      </c>
      <c r="J869" s="27"/>
      <c r="K869" s="12" t="s">
        <v>118</v>
      </c>
      <c r="L869" s="9"/>
      <c r="M869" s="28"/>
      <c r="N869" s="28"/>
      <c r="O869" s="3" t="s">
        <v>234</v>
      </c>
      <c r="P869" s="29">
        <v>48</v>
      </c>
      <c r="Q869" s="32" t="s">
        <v>125</v>
      </c>
    </row>
    <row r="870" s="10" customFormat="1" customHeight="1" spans="1:17">
      <c r="A870" s="26">
        <f t="shared" si="50"/>
        <v>1303026</v>
      </c>
      <c r="B870" s="26">
        <v>1303</v>
      </c>
      <c r="C870" s="26" t="s">
        <v>404</v>
      </c>
      <c r="D870" s="26"/>
      <c r="E870" s="22">
        <f t="shared" si="48"/>
        <v>12</v>
      </c>
      <c r="F870" s="26">
        <v>26</v>
      </c>
      <c r="G870" s="9"/>
      <c r="H870" s="26" t="s">
        <v>195</v>
      </c>
      <c r="I870" s="27">
        <v>2600</v>
      </c>
      <c r="J870" s="27"/>
      <c r="K870" s="12" t="s">
        <v>121</v>
      </c>
      <c r="L870" s="9"/>
      <c r="M870" s="28"/>
      <c r="N870" s="28"/>
      <c r="O870" s="3" t="s">
        <v>234</v>
      </c>
      <c r="P870" s="29">
        <v>50</v>
      </c>
      <c r="Q870" s="32" t="s">
        <v>128</v>
      </c>
    </row>
    <row r="871" s="10" customFormat="1" customHeight="1" spans="1:17">
      <c r="A871" s="26">
        <f t="shared" si="50"/>
        <v>1303027</v>
      </c>
      <c r="B871" s="26">
        <v>1303</v>
      </c>
      <c r="C871" s="26" t="s">
        <v>404</v>
      </c>
      <c r="D871" s="26"/>
      <c r="E871" s="22">
        <f t="shared" si="48"/>
        <v>12</v>
      </c>
      <c r="F871" s="26">
        <v>27</v>
      </c>
      <c r="G871" s="9"/>
      <c r="H871" s="26" t="s">
        <v>201</v>
      </c>
      <c r="I871" s="27">
        <v>2700</v>
      </c>
      <c r="J871" s="27"/>
      <c r="K871" s="12" t="s">
        <v>124</v>
      </c>
      <c r="L871" s="9"/>
      <c r="M871" s="28"/>
      <c r="N871" s="28"/>
      <c r="O871" s="3" t="s">
        <v>234</v>
      </c>
      <c r="P871" s="29">
        <v>52</v>
      </c>
      <c r="Q871" s="32" t="s">
        <v>131</v>
      </c>
    </row>
    <row r="872" s="10" customFormat="1" customHeight="1" spans="1:17">
      <c r="A872" s="26">
        <f t="shared" si="50"/>
        <v>1303028</v>
      </c>
      <c r="B872" s="26">
        <v>1303</v>
      </c>
      <c r="C872" s="26" t="s">
        <v>404</v>
      </c>
      <c r="D872" s="26"/>
      <c r="E872" s="22">
        <f t="shared" si="48"/>
        <v>13</v>
      </c>
      <c r="F872" s="26">
        <v>28</v>
      </c>
      <c r="G872" s="9"/>
      <c r="H872" s="26" t="s">
        <v>207</v>
      </c>
      <c r="I872" s="27">
        <v>2800</v>
      </c>
      <c r="J872" s="27"/>
      <c r="K872" s="12" t="s">
        <v>127</v>
      </c>
      <c r="L872" s="9"/>
      <c r="M872" s="28"/>
      <c r="N872" s="28"/>
      <c r="O872" s="3" t="s">
        <v>234</v>
      </c>
      <c r="P872" s="29">
        <v>54</v>
      </c>
      <c r="Q872" s="32" t="s">
        <v>134</v>
      </c>
    </row>
    <row r="873" s="10" customFormat="1" customHeight="1" spans="1:17">
      <c r="A873" s="26">
        <f t="shared" si="50"/>
        <v>1303029</v>
      </c>
      <c r="B873" s="26">
        <v>1303</v>
      </c>
      <c r="C873" s="26" t="s">
        <v>404</v>
      </c>
      <c r="D873" s="26"/>
      <c r="E873" s="22">
        <f t="shared" si="48"/>
        <v>13</v>
      </c>
      <c r="F873" s="26">
        <v>29</v>
      </c>
      <c r="G873" s="9"/>
      <c r="H873" s="26" t="s">
        <v>213</v>
      </c>
      <c r="I873" s="27">
        <v>2900</v>
      </c>
      <c r="J873" s="27"/>
      <c r="K873" s="12" t="s">
        <v>130</v>
      </c>
      <c r="L873" s="9"/>
      <c r="M873" s="28"/>
      <c r="N873" s="28"/>
      <c r="O873" s="3" t="s">
        <v>234</v>
      </c>
      <c r="P873" s="29">
        <v>56</v>
      </c>
      <c r="Q873" s="32" t="s">
        <v>137</v>
      </c>
    </row>
    <row r="874" s="10" customFormat="1" customHeight="1" spans="1:17">
      <c r="A874" s="26">
        <f t="shared" si="50"/>
        <v>1303030</v>
      </c>
      <c r="B874" s="26">
        <v>1303</v>
      </c>
      <c r="C874" s="26" t="s">
        <v>404</v>
      </c>
      <c r="D874" s="26"/>
      <c r="E874" s="22">
        <f t="shared" si="48"/>
        <v>13</v>
      </c>
      <c r="F874" s="26">
        <v>30</v>
      </c>
      <c r="G874" s="9"/>
      <c r="H874" s="26" t="s">
        <v>219</v>
      </c>
      <c r="I874" s="27">
        <v>3000</v>
      </c>
      <c r="J874" s="27"/>
      <c r="K874" s="12" t="s">
        <v>133</v>
      </c>
      <c r="L874" s="9"/>
      <c r="M874" s="28"/>
      <c r="N874" s="28"/>
      <c r="O874" s="3" t="s">
        <v>234</v>
      </c>
      <c r="P874" s="29">
        <v>58</v>
      </c>
      <c r="Q874" s="32" t="s">
        <v>140</v>
      </c>
    </row>
    <row r="875" s="10" customFormat="1" customHeight="1" spans="1:17">
      <c r="A875" s="26">
        <f t="shared" si="50"/>
        <v>1303031</v>
      </c>
      <c r="B875" s="26">
        <v>1303</v>
      </c>
      <c r="C875" s="26" t="s">
        <v>404</v>
      </c>
      <c r="D875" s="26"/>
      <c r="E875" s="22">
        <f t="shared" si="48"/>
        <v>14</v>
      </c>
      <c r="F875" s="26">
        <v>31</v>
      </c>
      <c r="G875" s="9"/>
      <c r="H875" s="26" t="s">
        <v>235</v>
      </c>
      <c r="I875" s="27">
        <v>3100</v>
      </c>
      <c r="J875" s="27"/>
      <c r="K875" s="12" t="s">
        <v>136</v>
      </c>
      <c r="L875" s="9"/>
      <c r="M875" s="28"/>
      <c r="N875" s="28"/>
      <c r="O875" s="3" t="s">
        <v>234</v>
      </c>
      <c r="P875" s="29">
        <v>60</v>
      </c>
      <c r="Q875" s="32" t="s">
        <v>143</v>
      </c>
    </row>
    <row r="876" s="10" customFormat="1" customHeight="1" spans="1:17">
      <c r="A876" s="26">
        <f t="shared" si="50"/>
        <v>1303032</v>
      </c>
      <c r="B876" s="26">
        <v>1303</v>
      </c>
      <c r="C876" s="26" t="s">
        <v>404</v>
      </c>
      <c r="D876" s="26"/>
      <c r="E876" s="22">
        <f t="shared" si="48"/>
        <v>14</v>
      </c>
      <c r="F876" s="26">
        <v>32</v>
      </c>
      <c r="G876" s="9"/>
      <c r="H876" s="26" t="s">
        <v>236</v>
      </c>
      <c r="I876" s="27">
        <v>3200</v>
      </c>
      <c r="J876" s="27"/>
      <c r="K876" s="12" t="s">
        <v>139</v>
      </c>
      <c r="L876" s="9"/>
      <c r="M876" s="28"/>
      <c r="N876" s="28"/>
      <c r="O876" s="3" t="s">
        <v>234</v>
      </c>
      <c r="P876" s="29">
        <v>62</v>
      </c>
      <c r="Q876" s="32" t="s">
        <v>146</v>
      </c>
    </row>
    <row r="877" s="10" customFormat="1" customHeight="1" spans="1:17">
      <c r="A877" s="26">
        <f t="shared" si="50"/>
        <v>1303033</v>
      </c>
      <c r="B877" s="26">
        <v>1303</v>
      </c>
      <c r="C877" s="26" t="s">
        <v>404</v>
      </c>
      <c r="D877" s="26"/>
      <c r="E877" s="22">
        <f t="shared" si="48"/>
        <v>14</v>
      </c>
      <c r="F877" s="26">
        <v>33</v>
      </c>
      <c r="G877" s="9"/>
      <c r="H877" s="26" t="s">
        <v>237</v>
      </c>
      <c r="I877" s="27">
        <v>3300</v>
      </c>
      <c r="J877" s="27"/>
      <c r="K877" s="12" t="s">
        <v>142</v>
      </c>
      <c r="L877" s="9"/>
      <c r="M877" s="28"/>
      <c r="N877" s="28"/>
      <c r="O877" s="3" t="s">
        <v>234</v>
      </c>
      <c r="P877" s="29">
        <v>64</v>
      </c>
      <c r="Q877" s="32" t="s">
        <v>149</v>
      </c>
    </row>
    <row r="878" s="10" customFormat="1" customHeight="1" spans="1:17">
      <c r="A878" s="26">
        <f t="shared" si="50"/>
        <v>1303034</v>
      </c>
      <c r="B878" s="26">
        <v>1303</v>
      </c>
      <c r="C878" s="26" t="s">
        <v>404</v>
      </c>
      <c r="D878" s="26"/>
      <c r="E878" s="22">
        <f t="shared" si="48"/>
        <v>15</v>
      </c>
      <c r="F878" s="26">
        <v>34</v>
      </c>
      <c r="G878" s="9"/>
      <c r="H878" s="26" t="s">
        <v>238</v>
      </c>
      <c r="I878" s="27">
        <v>3400</v>
      </c>
      <c r="J878" s="27"/>
      <c r="K878" s="12" t="s">
        <v>145</v>
      </c>
      <c r="L878" s="9"/>
      <c r="M878" s="28"/>
      <c r="N878" s="28"/>
      <c r="O878" s="3" t="s">
        <v>234</v>
      </c>
      <c r="P878" s="29">
        <v>66</v>
      </c>
      <c r="Q878" s="32" t="s">
        <v>152</v>
      </c>
    </row>
    <row r="879" s="10" customFormat="1" customHeight="1" spans="1:17">
      <c r="A879" s="26">
        <f t="shared" si="50"/>
        <v>1303035</v>
      </c>
      <c r="B879" s="26">
        <v>1303</v>
      </c>
      <c r="C879" s="26" t="s">
        <v>404</v>
      </c>
      <c r="D879" s="26"/>
      <c r="E879" s="22">
        <f t="shared" si="48"/>
        <v>15</v>
      </c>
      <c r="F879" s="26">
        <v>35</v>
      </c>
      <c r="G879" s="9"/>
      <c r="H879" s="26" t="s">
        <v>239</v>
      </c>
      <c r="I879" s="27">
        <v>3500</v>
      </c>
      <c r="J879" s="27"/>
      <c r="K879" s="12" t="s">
        <v>148</v>
      </c>
      <c r="L879" s="9"/>
      <c r="M879" s="28"/>
      <c r="N879" s="28"/>
      <c r="O879" s="3" t="s">
        <v>234</v>
      </c>
      <c r="P879" s="29">
        <v>68</v>
      </c>
      <c r="Q879" s="32" t="s">
        <v>155</v>
      </c>
    </row>
    <row r="880" s="10" customFormat="1" customHeight="1" spans="1:17">
      <c r="A880" s="26">
        <f t="shared" si="50"/>
        <v>1303036</v>
      </c>
      <c r="B880" s="26">
        <v>1303</v>
      </c>
      <c r="C880" s="26" t="s">
        <v>404</v>
      </c>
      <c r="D880" s="26"/>
      <c r="E880" s="22">
        <f t="shared" si="48"/>
        <v>15</v>
      </c>
      <c r="F880" s="26">
        <v>36</v>
      </c>
      <c r="G880" s="9"/>
      <c r="H880" s="26" t="s">
        <v>240</v>
      </c>
      <c r="I880" s="27">
        <v>3600</v>
      </c>
      <c r="J880" s="27"/>
      <c r="K880" s="12" t="s">
        <v>151</v>
      </c>
      <c r="L880" s="9"/>
      <c r="M880" s="28"/>
      <c r="N880" s="28"/>
      <c r="O880" s="3" t="s">
        <v>234</v>
      </c>
      <c r="P880" s="29">
        <v>70</v>
      </c>
      <c r="Q880" s="32" t="s">
        <v>158</v>
      </c>
    </row>
    <row r="881" s="10" customFormat="1" customHeight="1" spans="1:17">
      <c r="A881" s="26">
        <f t="shared" si="50"/>
        <v>1303037</v>
      </c>
      <c r="B881" s="26">
        <v>1303</v>
      </c>
      <c r="C881" s="26" t="s">
        <v>404</v>
      </c>
      <c r="D881" s="26"/>
      <c r="E881" s="22">
        <f t="shared" si="48"/>
        <v>16</v>
      </c>
      <c r="F881" s="26">
        <v>37</v>
      </c>
      <c r="G881" s="9"/>
      <c r="H881" s="26" t="s">
        <v>241</v>
      </c>
      <c r="I881" s="27">
        <v>3700</v>
      </c>
      <c r="J881" s="27"/>
      <c r="K881" s="12" t="s">
        <v>154</v>
      </c>
      <c r="L881" s="9"/>
      <c r="M881" s="28"/>
      <c r="N881" s="28"/>
      <c r="O881" s="3" t="s">
        <v>234</v>
      </c>
      <c r="P881" s="29">
        <v>72</v>
      </c>
      <c r="Q881" s="32" t="s">
        <v>161</v>
      </c>
    </row>
    <row r="882" s="10" customFormat="1" customHeight="1" spans="1:17">
      <c r="A882" s="26">
        <f t="shared" si="50"/>
        <v>1303038</v>
      </c>
      <c r="B882" s="26">
        <v>1303</v>
      </c>
      <c r="C882" s="26" t="s">
        <v>404</v>
      </c>
      <c r="D882" s="26"/>
      <c r="E882" s="22">
        <f t="shared" si="48"/>
        <v>16</v>
      </c>
      <c r="F882" s="26">
        <v>38</v>
      </c>
      <c r="G882" s="9"/>
      <c r="H882" s="26" t="s">
        <v>242</v>
      </c>
      <c r="I882" s="27">
        <v>3800</v>
      </c>
      <c r="J882" s="27"/>
      <c r="K882" s="12" t="s">
        <v>157</v>
      </c>
      <c r="L882" s="9"/>
      <c r="M882" s="28"/>
      <c r="N882" s="28"/>
      <c r="O882" s="3" t="s">
        <v>234</v>
      </c>
      <c r="P882" s="29">
        <v>74</v>
      </c>
      <c r="Q882" s="32" t="s">
        <v>164</v>
      </c>
    </row>
    <row r="883" s="10" customFormat="1" customHeight="1" spans="1:17">
      <c r="A883" s="26">
        <f t="shared" si="50"/>
        <v>1303039</v>
      </c>
      <c r="B883" s="26">
        <v>1303</v>
      </c>
      <c r="C883" s="26" t="s">
        <v>404</v>
      </c>
      <c r="D883" s="26"/>
      <c r="E883" s="22">
        <f t="shared" si="48"/>
        <v>16</v>
      </c>
      <c r="F883" s="26">
        <v>39</v>
      </c>
      <c r="G883" s="9"/>
      <c r="H883" s="26" t="s">
        <v>243</v>
      </c>
      <c r="I883" s="27">
        <v>3900</v>
      </c>
      <c r="J883" s="27"/>
      <c r="K883" s="12" t="s">
        <v>160</v>
      </c>
      <c r="L883" s="9"/>
      <c r="M883" s="28"/>
      <c r="N883" s="28"/>
      <c r="O883" s="3" t="s">
        <v>234</v>
      </c>
      <c r="P883" s="29">
        <v>76</v>
      </c>
      <c r="Q883" s="32" t="s">
        <v>167</v>
      </c>
    </row>
    <row r="884" s="10" customFormat="1" customHeight="1" spans="1:17">
      <c r="A884" s="26">
        <f t="shared" si="50"/>
        <v>1303040</v>
      </c>
      <c r="B884" s="26">
        <v>1303</v>
      </c>
      <c r="C884" s="26" t="s">
        <v>404</v>
      </c>
      <c r="D884" s="26"/>
      <c r="E884" s="22">
        <f t="shared" si="48"/>
        <v>17</v>
      </c>
      <c r="F884" s="26">
        <v>40</v>
      </c>
      <c r="G884" s="9"/>
      <c r="H884" s="26" t="s">
        <v>244</v>
      </c>
      <c r="I884" s="27">
        <v>4000</v>
      </c>
      <c r="J884" s="27"/>
      <c r="K884" s="12" t="s">
        <v>163</v>
      </c>
      <c r="L884" s="9"/>
      <c r="M884" s="28"/>
      <c r="N884" s="28"/>
      <c r="O884" s="3" t="s">
        <v>234</v>
      </c>
      <c r="P884" s="29">
        <v>78</v>
      </c>
      <c r="Q884" s="32" t="s">
        <v>170</v>
      </c>
    </row>
    <row r="885" s="10" customFormat="1" customHeight="1" spans="1:17">
      <c r="A885" s="26">
        <f t="shared" si="50"/>
        <v>1303041</v>
      </c>
      <c r="B885" s="26">
        <v>1303</v>
      </c>
      <c r="C885" s="26" t="s">
        <v>404</v>
      </c>
      <c r="D885" s="26"/>
      <c r="E885" s="22">
        <f t="shared" si="48"/>
        <v>17</v>
      </c>
      <c r="F885" s="26">
        <v>41</v>
      </c>
      <c r="G885" s="9"/>
      <c r="H885" s="26" t="s">
        <v>245</v>
      </c>
      <c r="I885" s="27">
        <v>4100</v>
      </c>
      <c r="J885" s="27"/>
      <c r="K885" s="12" t="s">
        <v>166</v>
      </c>
      <c r="L885" s="9"/>
      <c r="M885" s="28"/>
      <c r="N885" s="28"/>
      <c r="O885" s="3" t="s">
        <v>234</v>
      </c>
      <c r="P885" s="29">
        <v>80</v>
      </c>
      <c r="Q885" s="32" t="s">
        <v>173</v>
      </c>
    </row>
    <row r="886" s="10" customFormat="1" customHeight="1" spans="1:17">
      <c r="A886" s="26">
        <f t="shared" si="50"/>
        <v>1303042</v>
      </c>
      <c r="B886" s="26">
        <v>1303</v>
      </c>
      <c r="C886" s="26" t="s">
        <v>404</v>
      </c>
      <c r="D886" s="26"/>
      <c r="E886" s="22">
        <f t="shared" si="48"/>
        <v>17</v>
      </c>
      <c r="F886" s="26">
        <v>42</v>
      </c>
      <c r="G886" s="9"/>
      <c r="H886" s="26" t="s">
        <v>246</v>
      </c>
      <c r="I886" s="27">
        <v>4200</v>
      </c>
      <c r="J886" s="27"/>
      <c r="K886" s="12" t="s">
        <v>169</v>
      </c>
      <c r="L886" s="9"/>
      <c r="M886" s="28"/>
      <c r="N886" s="28"/>
      <c r="O886" s="3" t="s">
        <v>234</v>
      </c>
      <c r="P886" s="29">
        <v>82</v>
      </c>
      <c r="Q886" s="32" t="s">
        <v>176</v>
      </c>
    </row>
    <row r="887" s="10" customFormat="1" customHeight="1" spans="1:17">
      <c r="A887" s="26">
        <f t="shared" si="50"/>
        <v>1303043</v>
      </c>
      <c r="B887" s="26">
        <v>1303</v>
      </c>
      <c r="C887" s="26" t="s">
        <v>404</v>
      </c>
      <c r="D887" s="26"/>
      <c r="E887" s="22">
        <f t="shared" si="48"/>
        <v>18</v>
      </c>
      <c r="F887" s="26">
        <v>43</v>
      </c>
      <c r="G887" s="9"/>
      <c r="H887" s="26" t="s">
        <v>247</v>
      </c>
      <c r="I887" s="27">
        <v>4300</v>
      </c>
      <c r="J887" s="27"/>
      <c r="K887" s="12" t="s">
        <v>172</v>
      </c>
      <c r="L887" s="9"/>
      <c r="M887" s="28"/>
      <c r="N887" s="28"/>
      <c r="O887" s="3" t="s">
        <v>234</v>
      </c>
      <c r="P887" s="29">
        <v>84</v>
      </c>
      <c r="Q887" s="32" t="s">
        <v>179</v>
      </c>
    </row>
    <row r="888" s="10" customFormat="1" customHeight="1" spans="1:17">
      <c r="A888" s="26">
        <f t="shared" si="50"/>
        <v>1303044</v>
      </c>
      <c r="B888" s="26">
        <v>1303</v>
      </c>
      <c r="C888" s="26" t="s">
        <v>404</v>
      </c>
      <c r="D888" s="26"/>
      <c r="E888" s="22">
        <f t="shared" si="48"/>
        <v>18</v>
      </c>
      <c r="F888" s="26">
        <v>44</v>
      </c>
      <c r="G888" s="9"/>
      <c r="H888" s="26" t="s">
        <v>248</v>
      </c>
      <c r="I888" s="27">
        <v>4400</v>
      </c>
      <c r="J888" s="27"/>
      <c r="K888" s="12" t="s">
        <v>175</v>
      </c>
      <c r="L888" s="9"/>
      <c r="M888" s="28"/>
      <c r="N888" s="28"/>
      <c r="O888" s="3" t="s">
        <v>234</v>
      </c>
      <c r="P888" s="29">
        <v>86</v>
      </c>
      <c r="Q888" s="32" t="s">
        <v>182</v>
      </c>
    </row>
    <row r="889" s="10" customFormat="1" customHeight="1" spans="1:17">
      <c r="A889" s="26">
        <f t="shared" si="50"/>
        <v>1303045</v>
      </c>
      <c r="B889" s="26">
        <v>1303</v>
      </c>
      <c r="C889" s="26" t="s">
        <v>404</v>
      </c>
      <c r="D889" s="26"/>
      <c r="E889" s="22">
        <f t="shared" si="48"/>
        <v>18</v>
      </c>
      <c r="F889" s="26">
        <v>45</v>
      </c>
      <c r="G889" s="9"/>
      <c r="H889" s="26" t="s">
        <v>249</v>
      </c>
      <c r="I889" s="27">
        <v>4500</v>
      </c>
      <c r="J889" s="27"/>
      <c r="K889" s="12" t="s">
        <v>178</v>
      </c>
      <c r="L889" s="9"/>
      <c r="M889" s="28"/>
      <c r="N889" s="28"/>
      <c r="O889" s="3" t="s">
        <v>234</v>
      </c>
      <c r="P889" s="29">
        <v>88</v>
      </c>
      <c r="Q889" s="32" t="s">
        <v>185</v>
      </c>
    </row>
    <row r="890" s="10" customFormat="1" customHeight="1" spans="1:17">
      <c r="A890" s="26">
        <f t="shared" si="50"/>
        <v>1303046</v>
      </c>
      <c r="B890" s="26">
        <v>1303</v>
      </c>
      <c r="C890" s="26" t="s">
        <v>404</v>
      </c>
      <c r="D890" s="26"/>
      <c r="E890" s="22">
        <f t="shared" si="48"/>
        <v>19</v>
      </c>
      <c r="F890" s="26">
        <v>46</v>
      </c>
      <c r="G890" s="9"/>
      <c r="H890" s="26" t="s">
        <v>250</v>
      </c>
      <c r="I890" s="27">
        <v>4600</v>
      </c>
      <c r="J890" s="27"/>
      <c r="K890" s="12" t="s">
        <v>181</v>
      </c>
      <c r="L890" s="9"/>
      <c r="M890" s="28"/>
      <c r="N890" s="28"/>
      <c r="O890" s="3" t="s">
        <v>234</v>
      </c>
      <c r="P890" s="29">
        <v>90</v>
      </c>
      <c r="Q890" s="32" t="s">
        <v>188</v>
      </c>
    </row>
    <row r="891" s="10" customFormat="1" customHeight="1" spans="1:17">
      <c r="A891" s="26">
        <f t="shared" si="50"/>
        <v>1303047</v>
      </c>
      <c r="B891" s="26">
        <v>1303</v>
      </c>
      <c r="C891" s="26" t="s">
        <v>404</v>
      </c>
      <c r="D891" s="26"/>
      <c r="E891" s="22">
        <f t="shared" si="48"/>
        <v>19</v>
      </c>
      <c r="F891" s="26">
        <v>47</v>
      </c>
      <c r="G891" s="9"/>
      <c r="H891" s="26" t="s">
        <v>251</v>
      </c>
      <c r="I891" s="27">
        <v>4700</v>
      </c>
      <c r="J891" s="27"/>
      <c r="K891" s="12" t="s">
        <v>184</v>
      </c>
      <c r="L891" s="9"/>
      <c r="M891" s="28"/>
      <c r="N891" s="28"/>
      <c r="O891" s="3" t="s">
        <v>234</v>
      </c>
      <c r="P891" s="29">
        <v>92</v>
      </c>
      <c r="Q891" s="32" t="s">
        <v>191</v>
      </c>
    </row>
    <row r="892" s="10" customFormat="1" customHeight="1" spans="1:17">
      <c r="A892" s="26">
        <f t="shared" si="50"/>
        <v>1303048</v>
      </c>
      <c r="B892" s="26">
        <v>1303</v>
      </c>
      <c r="C892" s="26" t="s">
        <v>404</v>
      </c>
      <c r="D892" s="26"/>
      <c r="E892" s="22">
        <f t="shared" si="48"/>
        <v>19</v>
      </c>
      <c r="F892" s="26">
        <v>48</v>
      </c>
      <c r="G892" s="9"/>
      <c r="H892" s="26" t="s">
        <v>252</v>
      </c>
      <c r="I892" s="27">
        <v>4800</v>
      </c>
      <c r="J892" s="27"/>
      <c r="K892" s="12" t="s">
        <v>187</v>
      </c>
      <c r="L892" s="9"/>
      <c r="M892" s="28"/>
      <c r="N892" s="28"/>
      <c r="O892" s="3" t="s">
        <v>234</v>
      </c>
      <c r="P892" s="29">
        <v>94</v>
      </c>
      <c r="Q892" s="32" t="s">
        <v>194</v>
      </c>
    </row>
    <row r="893" s="10" customFormat="1" customHeight="1" spans="1:17">
      <c r="A893" s="26">
        <f t="shared" si="50"/>
        <v>1303049</v>
      </c>
      <c r="B893" s="26">
        <v>1303</v>
      </c>
      <c r="C893" s="26" t="s">
        <v>404</v>
      </c>
      <c r="D893" s="26"/>
      <c r="E893" s="22">
        <f t="shared" si="48"/>
        <v>20</v>
      </c>
      <c r="F893" s="26">
        <v>49</v>
      </c>
      <c r="G893" s="9"/>
      <c r="H893" s="26" t="s">
        <v>253</v>
      </c>
      <c r="I893" s="27">
        <v>4900</v>
      </c>
      <c r="J893" s="27"/>
      <c r="K893" s="12" t="s">
        <v>190</v>
      </c>
      <c r="L893" s="9"/>
      <c r="M893" s="28"/>
      <c r="N893" s="28"/>
      <c r="O893" s="3" t="s">
        <v>234</v>
      </c>
      <c r="P893" s="29">
        <v>96</v>
      </c>
      <c r="Q893" s="32" t="s">
        <v>197</v>
      </c>
    </row>
    <row r="894" s="10" customFormat="1" customHeight="1" spans="1:17">
      <c r="A894" s="26">
        <f t="shared" si="50"/>
        <v>1303050</v>
      </c>
      <c r="B894" s="26">
        <v>1303</v>
      </c>
      <c r="C894" s="26" t="s">
        <v>404</v>
      </c>
      <c r="D894" s="26"/>
      <c r="E894" s="22">
        <f t="shared" si="48"/>
        <v>20</v>
      </c>
      <c r="F894" s="26">
        <v>50</v>
      </c>
      <c r="G894" s="9"/>
      <c r="H894" s="26" t="s">
        <v>254</v>
      </c>
      <c r="I894" s="27">
        <v>5000</v>
      </c>
      <c r="J894" s="27"/>
      <c r="K894" s="12" t="s">
        <v>193</v>
      </c>
      <c r="L894" s="9"/>
      <c r="M894" s="28"/>
      <c r="N894" s="28"/>
      <c r="O894" s="3" t="s">
        <v>234</v>
      </c>
      <c r="P894" s="29">
        <v>98</v>
      </c>
      <c r="Q894" s="32" t="s">
        <v>200</v>
      </c>
    </row>
    <row r="895" s="10" customFormat="1" customHeight="1" spans="1:17">
      <c r="A895" s="26">
        <f t="shared" si="50"/>
        <v>1303051</v>
      </c>
      <c r="B895" s="26">
        <v>1303</v>
      </c>
      <c r="C895" s="26" t="s">
        <v>404</v>
      </c>
      <c r="D895" s="26"/>
      <c r="E895" s="22">
        <f t="shared" si="48"/>
        <v>20</v>
      </c>
      <c r="F895" s="26">
        <v>51</v>
      </c>
      <c r="G895" s="9"/>
      <c r="H895" s="26" t="s">
        <v>255</v>
      </c>
      <c r="I895" s="27">
        <v>5100</v>
      </c>
      <c r="J895" s="27"/>
      <c r="K895" s="12" t="s">
        <v>196</v>
      </c>
      <c r="L895" s="9"/>
      <c r="M895" s="28"/>
      <c r="N895" s="28"/>
      <c r="O895" s="3" t="s">
        <v>234</v>
      </c>
      <c r="P895" s="29">
        <v>100</v>
      </c>
      <c r="Q895" s="32" t="s">
        <v>203</v>
      </c>
    </row>
    <row r="896" s="10" customFormat="1" customHeight="1" spans="1:17">
      <c r="A896" s="26">
        <f t="shared" si="50"/>
        <v>1303052</v>
      </c>
      <c r="B896" s="26">
        <v>1303</v>
      </c>
      <c r="C896" s="26" t="s">
        <v>404</v>
      </c>
      <c r="D896" s="26"/>
      <c r="E896" s="22">
        <f t="shared" si="48"/>
        <v>21</v>
      </c>
      <c r="F896" s="26">
        <v>52</v>
      </c>
      <c r="G896" s="9"/>
      <c r="H896" s="26" t="s">
        <v>256</v>
      </c>
      <c r="I896" s="27">
        <v>5200</v>
      </c>
      <c r="J896" s="27"/>
      <c r="K896" s="12" t="s">
        <v>199</v>
      </c>
      <c r="L896" s="9"/>
      <c r="M896" s="28"/>
      <c r="N896" s="28"/>
      <c r="O896" s="3" t="s">
        <v>234</v>
      </c>
      <c r="P896" s="29">
        <v>102</v>
      </c>
      <c r="Q896" s="32" t="s">
        <v>206</v>
      </c>
    </row>
    <row r="897" s="10" customFormat="1" customHeight="1" spans="1:17">
      <c r="A897" s="26">
        <f t="shared" si="50"/>
        <v>1303053</v>
      </c>
      <c r="B897" s="26">
        <v>1303</v>
      </c>
      <c r="C897" s="26" t="s">
        <v>404</v>
      </c>
      <c r="D897" s="26"/>
      <c r="E897" s="22">
        <f t="shared" si="48"/>
        <v>21</v>
      </c>
      <c r="F897" s="26">
        <v>53</v>
      </c>
      <c r="G897" s="9"/>
      <c r="H897" s="26" t="s">
        <v>257</v>
      </c>
      <c r="I897" s="27">
        <v>5300</v>
      </c>
      <c r="J897" s="27"/>
      <c r="K897" s="12" t="s">
        <v>202</v>
      </c>
      <c r="L897" s="9"/>
      <c r="M897" s="28"/>
      <c r="N897" s="28"/>
      <c r="O897" s="3" t="s">
        <v>234</v>
      </c>
      <c r="P897" s="29">
        <v>104</v>
      </c>
      <c r="Q897" s="32" t="s">
        <v>209</v>
      </c>
    </row>
    <row r="898" s="10" customFormat="1" customHeight="1" spans="1:17">
      <c r="A898" s="26">
        <f t="shared" si="50"/>
        <v>1303054</v>
      </c>
      <c r="B898" s="26">
        <v>1303</v>
      </c>
      <c r="C898" s="26" t="s">
        <v>404</v>
      </c>
      <c r="D898" s="26"/>
      <c r="E898" s="22">
        <f t="shared" si="48"/>
        <v>21</v>
      </c>
      <c r="F898" s="26">
        <v>54</v>
      </c>
      <c r="G898" s="9"/>
      <c r="H898" s="26" t="s">
        <v>258</v>
      </c>
      <c r="I898" s="27">
        <v>5400</v>
      </c>
      <c r="J898" s="27"/>
      <c r="K898" s="12" t="s">
        <v>205</v>
      </c>
      <c r="L898" s="9"/>
      <c r="M898" s="28"/>
      <c r="N898" s="28"/>
      <c r="O898" s="3" t="s">
        <v>234</v>
      </c>
      <c r="P898" s="29">
        <v>106</v>
      </c>
      <c r="Q898" s="32" t="s">
        <v>212</v>
      </c>
    </row>
    <row r="899" s="10" customFormat="1" customHeight="1" spans="1:17">
      <c r="A899" s="26">
        <f t="shared" si="50"/>
        <v>1303055</v>
      </c>
      <c r="B899" s="26">
        <v>1303</v>
      </c>
      <c r="C899" s="26" t="s">
        <v>404</v>
      </c>
      <c r="D899" s="26"/>
      <c r="E899" s="22">
        <f t="shared" si="48"/>
        <v>22</v>
      </c>
      <c r="F899" s="26">
        <v>55</v>
      </c>
      <c r="G899" s="9"/>
      <c r="H899" s="26" t="s">
        <v>259</v>
      </c>
      <c r="I899" s="27">
        <v>5500</v>
      </c>
      <c r="J899" s="27"/>
      <c r="K899" s="12" t="s">
        <v>208</v>
      </c>
      <c r="L899" s="9"/>
      <c r="M899" s="28"/>
      <c r="N899" s="28"/>
      <c r="O899" s="3" t="s">
        <v>234</v>
      </c>
      <c r="P899" s="29">
        <v>108</v>
      </c>
      <c r="Q899" s="32" t="s">
        <v>215</v>
      </c>
    </row>
    <row r="900" s="10" customFormat="1" customHeight="1" spans="1:17">
      <c r="A900" s="26">
        <f t="shared" si="50"/>
        <v>1303056</v>
      </c>
      <c r="B900" s="26">
        <v>1303</v>
      </c>
      <c r="C900" s="26" t="s">
        <v>404</v>
      </c>
      <c r="D900" s="26"/>
      <c r="E900" s="22">
        <f t="shared" si="48"/>
        <v>22</v>
      </c>
      <c r="F900" s="26">
        <v>56</v>
      </c>
      <c r="G900" s="9"/>
      <c r="H900" s="26" t="s">
        <v>260</v>
      </c>
      <c r="I900" s="27">
        <v>5600</v>
      </c>
      <c r="J900" s="27"/>
      <c r="K900" s="12" t="s">
        <v>211</v>
      </c>
      <c r="L900" s="9"/>
      <c r="M900" s="28"/>
      <c r="N900" s="28"/>
      <c r="O900" s="3" t="s">
        <v>234</v>
      </c>
      <c r="P900" s="29">
        <v>110</v>
      </c>
      <c r="Q900" s="32" t="s">
        <v>218</v>
      </c>
    </row>
    <row r="901" s="10" customFormat="1" customHeight="1" spans="1:17">
      <c r="A901" s="26">
        <f t="shared" si="50"/>
        <v>1303057</v>
      </c>
      <c r="B901" s="26">
        <v>1303</v>
      </c>
      <c r="C901" s="26" t="s">
        <v>404</v>
      </c>
      <c r="D901" s="26"/>
      <c r="E901" s="22">
        <f t="shared" si="48"/>
        <v>22</v>
      </c>
      <c r="F901" s="26">
        <v>57</v>
      </c>
      <c r="G901" s="9"/>
      <c r="H901" s="26" t="s">
        <v>261</v>
      </c>
      <c r="I901" s="27">
        <v>5700</v>
      </c>
      <c r="J901" s="27"/>
      <c r="K901" s="12" t="s">
        <v>214</v>
      </c>
      <c r="L901" s="9"/>
      <c r="M901" s="28"/>
      <c r="N901" s="28"/>
      <c r="O901" s="3" t="s">
        <v>234</v>
      </c>
      <c r="P901" s="29">
        <v>112</v>
      </c>
      <c r="Q901" s="32" t="s">
        <v>221</v>
      </c>
    </row>
    <row r="902" s="10" customFormat="1" customHeight="1" spans="1:17">
      <c r="A902" s="26">
        <f t="shared" si="50"/>
        <v>1303058</v>
      </c>
      <c r="B902" s="26">
        <v>1303</v>
      </c>
      <c r="C902" s="26" t="s">
        <v>404</v>
      </c>
      <c r="D902" s="26"/>
      <c r="E902" s="22">
        <f t="shared" si="48"/>
        <v>23</v>
      </c>
      <c r="F902" s="26">
        <v>58</v>
      </c>
      <c r="G902" s="9"/>
      <c r="H902" s="26" t="s">
        <v>262</v>
      </c>
      <c r="I902" s="27">
        <v>5800</v>
      </c>
      <c r="J902" s="27"/>
      <c r="K902" s="12" t="s">
        <v>217</v>
      </c>
      <c r="L902" s="9"/>
      <c r="M902" s="28"/>
      <c r="N902" s="28"/>
      <c r="O902" s="3" t="s">
        <v>234</v>
      </c>
      <c r="P902" s="29">
        <v>114</v>
      </c>
      <c r="Q902" s="32" t="s">
        <v>224</v>
      </c>
    </row>
    <row r="903" s="10" customFormat="1" customHeight="1" spans="1:17">
      <c r="A903" s="26">
        <f t="shared" si="50"/>
        <v>1303059</v>
      </c>
      <c r="B903" s="26">
        <v>1303</v>
      </c>
      <c r="C903" s="26" t="s">
        <v>404</v>
      </c>
      <c r="D903" s="26"/>
      <c r="E903" s="22">
        <f t="shared" si="48"/>
        <v>23</v>
      </c>
      <c r="F903" s="26">
        <v>59</v>
      </c>
      <c r="G903" s="9"/>
      <c r="H903" s="26" t="s">
        <v>263</v>
      </c>
      <c r="I903" s="27">
        <v>5900</v>
      </c>
      <c r="J903" s="27"/>
      <c r="K903" s="12" t="s">
        <v>220</v>
      </c>
      <c r="L903" s="9"/>
      <c r="M903" s="28"/>
      <c r="N903" s="28"/>
      <c r="O903" s="3" t="s">
        <v>234</v>
      </c>
      <c r="P903" s="29">
        <v>116</v>
      </c>
      <c r="Q903" s="32" t="s">
        <v>265</v>
      </c>
    </row>
    <row r="904" s="10" customFormat="1" customHeight="1" spans="1:17">
      <c r="A904" s="26">
        <f t="shared" si="50"/>
        <v>1303060</v>
      </c>
      <c r="B904" s="26">
        <v>1303</v>
      </c>
      <c r="C904" s="26" t="s">
        <v>404</v>
      </c>
      <c r="D904" s="26"/>
      <c r="E904" s="22">
        <v>9999</v>
      </c>
      <c r="F904" s="26">
        <v>60</v>
      </c>
      <c r="G904" s="9"/>
      <c r="H904" s="26" t="s">
        <v>264</v>
      </c>
      <c r="I904" s="27">
        <v>6000</v>
      </c>
      <c r="J904" s="27"/>
      <c r="K904" s="12" t="s">
        <v>223</v>
      </c>
      <c r="L904" s="9"/>
      <c r="M904" s="28"/>
      <c r="N904" s="28"/>
      <c r="O904" s="3" t="s">
        <v>234</v>
      </c>
      <c r="P904" s="29"/>
      <c r="Q904" s="32" t="s">
        <v>275</v>
      </c>
    </row>
    <row r="905" customHeight="1" spans="1:17">
      <c r="A905" s="22">
        <f t="shared" ref="A905:A914" si="51">B905*1000+F905</f>
        <v>1304001</v>
      </c>
      <c r="B905" s="22">
        <v>1304</v>
      </c>
      <c r="C905" s="22" t="s">
        <v>406</v>
      </c>
      <c r="D905" s="22"/>
      <c r="E905" s="22">
        <v>4</v>
      </c>
      <c r="F905" s="22">
        <v>1</v>
      </c>
      <c r="H905" s="22" t="s">
        <v>38</v>
      </c>
      <c r="I905" s="12">
        <v>100</v>
      </c>
      <c r="J905" s="12"/>
      <c r="K905" s="12" t="s">
        <v>39</v>
      </c>
      <c r="O905" s="2" t="s">
        <v>407</v>
      </c>
      <c r="P905" s="24">
        <v>1</v>
      </c>
      <c r="Q905" s="25" t="s">
        <v>53</v>
      </c>
    </row>
    <row r="906" customHeight="1" spans="1:17">
      <c r="A906" s="22">
        <f t="shared" si="51"/>
        <v>1304002</v>
      </c>
      <c r="B906" s="22">
        <v>1304</v>
      </c>
      <c r="C906" s="22" t="s">
        <v>406</v>
      </c>
      <c r="D906" s="22"/>
      <c r="E906" s="22">
        <v>4</v>
      </c>
      <c r="F906" s="22">
        <v>2</v>
      </c>
      <c r="H906" s="22" t="s">
        <v>49</v>
      </c>
      <c r="I906" s="12">
        <v>200</v>
      </c>
      <c r="J906" s="12"/>
      <c r="K906" s="12" t="s">
        <v>45</v>
      </c>
      <c r="O906" s="2">
        <v>1304254</v>
      </c>
      <c r="P906" s="24">
        <v>2</v>
      </c>
      <c r="Q906" s="25" t="s">
        <v>56</v>
      </c>
    </row>
    <row r="907" customHeight="1" spans="1:17">
      <c r="A907" s="22">
        <f t="shared" si="51"/>
        <v>1304003</v>
      </c>
      <c r="B907" s="22">
        <v>1304</v>
      </c>
      <c r="C907" s="22" t="s">
        <v>406</v>
      </c>
      <c r="D907" s="22"/>
      <c r="E907" s="22">
        <v>4</v>
      </c>
      <c r="F907" s="22">
        <v>3</v>
      </c>
      <c r="H907" s="22" t="s">
        <v>57</v>
      </c>
      <c r="I907" s="12">
        <v>300</v>
      </c>
      <c r="J907" s="12"/>
      <c r="K907" s="12" t="s">
        <v>50</v>
      </c>
      <c r="O907" s="2">
        <v>1304255</v>
      </c>
      <c r="P907" s="24">
        <v>4</v>
      </c>
      <c r="Q907" s="25" t="s">
        <v>59</v>
      </c>
    </row>
    <row r="908" customHeight="1" spans="1:17">
      <c r="A908" s="22">
        <f t="shared" si="51"/>
        <v>1304004</v>
      </c>
      <c r="B908" s="22">
        <v>1304</v>
      </c>
      <c r="C908" s="22" t="s">
        <v>406</v>
      </c>
      <c r="D908" s="22"/>
      <c r="E908" s="22">
        <f t="shared" ref="E908:E963" si="52">E905+1</f>
        <v>5</v>
      </c>
      <c r="F908" s="22">
        <v>4</v>
      </c>
      <c r="H908" s="22" t="s">
        <v>63</v>
      </c>
      <c r="I908" s="12">
        <v>400</v>
      </c>
      <c r="J908" s="12"/>
      <c r="K908" s="12" t="s">
        <v>55</v>
      </c>
      <c r="O908" s="2">
        <v>1304256</v>
      </c>
      <c r="P908" s="24">
        <v>6</v>
      </c>
      <c r="Q908" s="25" t="s">
        <v>62</v>
      </c>
    </row>
    <row r="909" customHeight="1" spans="1:17">
      <c r="A909" s="22">
        <f t="shared" si="51"/>
        <v>1304005</v>
      </c>
      <c r="B909" s="22">
        <v>1304</v>
      </c>
      <c r="C909" s="22" t="s">
        <v>406</v>
      </c>
      <c r="D909" s="22"/>
      <c r="E909" s="22">
        <f t="shared" si="52"/>
        <v>5</v>
      </c>
      <c r="F909" s="22">
        <v>5</v>
      </c>
      <c r="H909" s="22" t="s">
        <v>69</v>
      </c>
      <c r="I909" s="12">
        <v>500</v>
      </c>
      <c r="J909" s="12"/>
      <c r="K909" s="12" t="s">
        <v>58</v>
      </c>
      <c r="O909" s="2">
        <v>1304257</v>
      </c>
      <c r="P909" s="24">
        <v>8</v>
      </c>
      <c r="Q909" s="25" t="s">
        <v>65</v>
      </c>
    </row>
    <row r="910" customHeight="1" spans="1:17">
      <c r="A910" s="22">
        <f t="shared" si="51"/>
        <v>1304006</v>
      </c>
      <c r="B910" s="22">
        <v>1304</v>
      </c>
      <c r="C910" s="22" t="s">
        <v>406</v>
      </c>
      <c r="D910" s="22"/>
      <c r="E910" s="22">
        <f t="shared" si="52"/>
        <v>5</v>
      </c>
      <c r="F910" s="22">
        <v>6</v>
      </c>
      <c r="H910" s="22" t="s">
        <v>75</v>
      </c>
      <c r="I910" s="12">
        <v>600</v>
      </c>
      <c r="J910" s="12"/>
      <c r="K910" s="12" t="s">
        <v>61</v>
      </c>
      <c r="O910" s="2">
        <v>1304258</v>
      </c>
      <c r="P910" s="24">
        <v>10</v>
      </c>
      <c r="Q910" s="25" t="s">
        <v>68</v>
      </c>
    </row>
    <row r="911" customHeight="1" spans="1:17">
      <c r="A911" s="22">
        <f t="shared" si="51"/>
        <v>1304007</v>
      </c>
      <c r="B911" s="22">
        <v>1304</v>
      </c>
      <c r="C911" s="22" t="s">
        <v>406</v>
      </c>
      <c r="D911" s="22"/>
      <c r="E911" s="22">
        <f t="shared" si="52"/>
        <v>6</v>
      </c>
      <c r="F911" s="22">
        <v>7</v>
      </c>
      <c r="H911" s="22" t="s">
        <v>81</v>
      </c>
      <c r="I911" s="12">
        <v>700</v>
      </c>
      <c r="J911" s="12"/>
      <c r="K911" s="12" t="s">
        <v>64</v>
      </c>
      <c r="P911" s="24">
        <v>12</v>
      </c>
      <c r="Q911" s="25" t="s">
        <v>71</v>
      </c>
    </row>
    <row r="912" customHeight="1" spans="1:17">
      <c r="A912" s="22">
        <f t="shared" si="51"/>
        <v>1304008</v>
      </c>
      <c r="B912" s="22">
        <v>1304</v>
      </c>
      <c r="C912" s="22" t="s">
        <v>406</v>
      </c>
      <c r="D912" s="22"/>
      <c r="E912" s="22">
        <f t="shared" si="52"/>
        <v>6</v>
      </c>
      <c r="F912" s="22">
        <v>8</v>
      </c>
      <c r="H912" s="22" t="s">
        <v>87</v>
      </c>
      <c r="I912" s="12">
        <v>800</v>
      </c>
      <c r="J912" s="12"/>
      <c r="K912" s="12" t="s">
        <v>67</v>
      </c>
      <c r="P912" s="24">
        <v>14</v>
      </c>
      <c r="Q912" s="25" t="s">
        <v>74</v>
      </c>
    </row>
    <row r="913" customHeight="1" spans="1:17">
      <c r="A913" s="22">
        <f t="shared" si="51"/>
        <v>1304009</v>
      </c>
      <c r="B913" s="22">
        <v>1304</v>
      </c>
      <c r="C913" s="22" t="s">
        <v>406</v>
      </c>
      <c r="D913" s="22"/>
      <c r="E913" s="22">
        <f t="shared" si="52"/>
        <v>6</v>
      </c>
      <c r="F913" s="22">
        <v>9</v>
      </c>
      <c r="H913" s="22" t="s">
        <v>93</v>
      </c>
      <c r="I913" s="12">
        <v>900</v>
      </c>
      <c r="J913" s="12"/>
      <c r="K913" s="12" t="s">
        <v>70</v>
      </c>
      <c r="P913" s="24">
        <v>16</v>
      </c>
      <c r="Q913" s="25" t="s">
        <v>77</v>
      </c>
    </row>
    <row r="914" customHeight="1" spans="1:17">
      <c r="A914" s="22">
        <f t="shared" si="51"/>
        <v>1304010</v>
      </c>
      <c r="B914" s="22">
        <v>1304</v>
      </c>
      <c r="C914" s="22" t="s">
        <v>406</v>
      </c>
      <c r="D914" s="22"/>
      <c r="E914" s="22">
        <f t="shared" si="52"/>
        <v>7</v>
      </c>
      <c r="F914" s="22">
        <v>10</v>
      </c>
      <c r="H914" s="22" t="s">
        <v>99</v>
      </c>
      <c r="I914" s="12">
        <v>1000</v>
      </c>
      <c r="J914" s="12"/>
      <c r="K914" s="12" t="s">
        <v>73</v>
      </c>
      <c r="P914" s="24">
        <v>18</v>
      </c>
      <c r="Q914" s="25" t="s">
        <v>80</v>
      </c>
    </row>
    <row r="915" customHeight="1" spans="1:17">
      <c r="A915" s="22">
        <f t="shared" ref="A915:A946" si="53">B915*1000+F915</f>
        <v>1304011</v>
      </c>
      <c r="B915" s="22">
        <v>1304</v>
      </c>
      <c r="C915" s="22" t="s">
        <v>406</v>
      </c>
      <c r="D915" s="22"/>
      <c r="E915" s="22">
        <f t="shared" si="52"/>
        <v>7</v>
      </c>
      <c r="F915" s="22">
        <v>11</v>
      </c>
      <c r="H915" s="22" t="s">
        <v>105</v>
      </c>
      <c r="I915" s="12">
        <v>1100</v>
      </c>
      <c r="J915" s="12"/>
      <c r="K915" s="12" t="s">
        <v>76</v>
      </c>
      <c r="O915" s="2" t="s">
        <v>234</v>
      </c>
      <c r="P915" s="24">
        <v>20</v>
      </c>
      <c r="Q915" s="25" t="s">
        <v>83</v>
      </c>
    </row>
    <row r="916" customHeight="1" spans="1:17">
      <c r="A916" s="22">
        <f t="shared" si="53"/>
        <v>1304012</v>
      </c>
      <c r="B916" s="22">
        <v>1304</v>
      </c>
      <c r="C916" s="22" t="s">
        <v>406</v>
      </c>
      <c r="D916" s="22"/>
      <c r="E916" s="22">
        <f t="shared" si="52"/>
        <v>7</v>
      </c>
      <c r="F916" s="22">
        <v>12</v>
      </c>
      <c r="H916" s="22" t="s">
        <v>111</v>
      </c>
      <c r="I916" s="12">
        <v>1200</v>
      </c>
      <c r="J916" s="12"/>
      <c r="K916" s="12" t="s">
        <v>79</v>
      </c>
      <c r="O916" s="2" t="s">
        <v>234</v>
      </c>
      <c r="P916" s="24">
        <v>22</v>
      </c>
      <c r="Q916" s="25" t="s">
        <v>86</v>
      </c>
    </row>
    <row r="917" customHeight="1" spans="1:17">
      <c r="A917" s="22">
        <f t="shared" si="53"/>
        <v>1304013</v>
      </c>
      <c r="B917" s="22">
        <v>1304</v>
      </c>
      <c r="C917" s="22" t="s">
        <v>406</v>
      </c>
      <c r="D917" s="22"/>
      <c r="E917" s="22">
        <f t="shared" si="52"/>
        <v>8</v>
      </c>
      <c r="F917" s="22">
        <v>13</v>
      </c>
      <c r="H917" s="22" t="s">
        <v>117</v>
      </c>
      <c r="I917" s="12">
        <v>1300</v>
      </c>
      <c r="J917" s="12"/>
      <c r="K917" s="12" t="s">
        <v>82</v>
      </c>
      <c r="O917" s="2" t="s">
        <v>234</v>
      </c>
      <c r="P917" s="24">
        <v>24</v>
      </c>
      <c r="Q917" s="25" t="s">
        <v>89</v>
      </c>
    </row>
    <row r="918" customHeight="1" spans="1:17">
      <c r="A918" s="22">
        <f t="shared" si="53"/>
        <v>1304014</v>
      </c>
      <c r="B918" s="22">
        <v>1304</v>
      </c>
      <c r="C918" s="22" t="s">
        <v>406</v>
      </c>
      <c r="D918" s="22"/>
      <c r="E918" s="22">
        <f t="shared" si="52"/>
        <v>8</v>
      </c>
      <c r="F918" s="22">
        <v>14</v>
      </c>
      <c r="H918" s="22" t="s">
        <v>123</v>
      </c>
      <c r="I918" s="12">
        <v>1400</v>
      </c>
      <c r="J918" s="12"/>
      <c r="K918" s="12" t="s">
        <v>85</v>
      </c>
      <c r="O918" s="2" t="s">
        <v>234</v>
      </c>
      <c r="P918" s="24">
        <v>26</v>
      </c>
      <c r="Q918" s="25" t="s">
        <v>92</v>
      </c>
    </row>
    <row r="919" customHeight="1" spans="1:17">
      <c r="A919" s="22">
        <f t="shared" si="53"/>
        <v>1304015</v>
      </c>
      <c r="B919" s="22">
        <v>1304</v>
      </c>
      <c r="C919" s="22" t="s">
        <v>406</v>
      </c>
      <c r="D919" s="22"/>
      <c r="E919" s="22">
        <f t="shared" si="52"/>
        <v>8</v>
      </c>
      <c r="F919" s="22">
        <v>15</v>
      </c>
      <c r="H919" s="22" t="s">
        <v>129</v>
      </c>
      <c r="I919" s="12">
        <v>1500</v>
      </c>
      <c r="J919" s="12"/>
      <c r="K919" s="12" t="s">
        <v>88</v>
      </c>
      <c r="O919" s="2" t="s">
        <v>234</v>
      </c>
      <c r="P919" s="24">
        <v>28</v>
      </c>
      <c r="Q919" s="25" t="s">
        <v>95</v>
      </c>
    </row>
    <row r="920" customHeight="1" spans="1:17">
      <c r="A920" s="22">
        <f t="shared" si="53"/>
        <v>1304016</v>
      </c>
      <c r="B920" s="22">
        <v>1304</v>
      </c>
      <c r="C920" s="22" t="s">
        <v>406</v>
      </c>
      <c r="D920" s="22"/>
      <c r="E920" s="22">
        <f t="shared" si="52"/>
        <v>9</v>
      </c>
      <c r="F920" s="22">
        <v>16</v>
      </c>
      <c r="H920" s="22" t="s">
        <v>135</v>
      </c>
      <c r="I920" s="12">
        <v>1600</v>
      </c>
      <c r="J920" s="12"/>
      <c r="K920" s="12" t="s">
        <v>91</v>
      </c>
      <c r="O920" s="2" t="s">
        <v>234</v>
      </c>
      <c r="P920" s="24">
        <v>30</v>
      </c>
      <c r="Q920" s="25" t="s">
        <v>98</v>
      </c>
    </row>
    <row r="921" customHeight="1" spans="1:17">
      <c r="A921" s="22">
        <f t="shared" si="53"/>
        <v>1304017</v>
      </c>
      <c r="B921" s="22">
        <v>1304</v>
      </c>
      <c r="C921" s="22" t="s">
        <v>406</v>
      </c>
      <c r="D921" s="22"/>
      <c r="E921" s="22">
        <f t="shared" si="52"/>
        <v>9</v>
      </c>
      <c r="F921" s="22">
        <v>17</v>
      </c>
      <c r="H921" s="22" t="s">
        <v>141</v>
      </c>
      <c r="I921" s="12">
        <v>1700</v>
      </c>
      <c r="J921" s="12"/>
      <c r="K921" s="12" t="s">
        <v>94</v>
      </c>
      <c r="O921" s="2" t="s">
        <v>234</v>
      </c>
      <c r="P921" s="24">
        <v>32</v>
      </c>
      <c r="Q921" s="25" t="s">
        <v>101</v>
      </c>
    </row>
    <row r="922" customHeight="1" spans="1:17">
      <c r="A922" s="22">
        <f t="shared" si="53"/>
        <v>1304018</v>
      </c>
      <c r="B922" s="22">
        <v>1304</v>
      </c>
      <c r="C922" s="22" t="s">
        <v>406</v>
      </c>
      <c r="D922" s="22"/>
      <c r="E922" s="22">
        <f t="shared" si="52"/>
        <v>9</v>
      </c>
      <c r="F922" s="22">
        <v>18</v>
      </c>
      <c r="H922" s="22" t="s">
        <v>147</v>
      </c>
      <c r="I922" s="12">
        <v>1800</v>
      </c>
      <c r="J922" s="12"/>
      <c r="K922" s="12" t="s">
        <v>97</v>
      </c>
      <c r="O922" s="2" t="s">
        <v>234</v>
      </c>
      <c r="P922" s="24">
        <v>34</v>
      </c>
      <c r="Q922" s="25" t="s">
        <v>104</v>
      </c>
    </row>
    <row r="923" customHeight="1" spans="1:17">
      <c r="A923" s="22">
        <f t="shared" si="53"/>
        <v>1304019</v>
      </c>
      <c r="B923" s="22">
        <v>1304</v>
      </c>
      <c r="C923" s="22" t="s">
        <v>406</v>
      </c>
      <c r="D923" s="22"/>
      <c r="E923" s="22">
        <f t="shared" si="52"/>
        <v>10</v>
      </c>
      <c r="F923" s="22">
        <v>19</v>
      </c>
      <c r="H923" s="22" t="s">
        <v>153</v>
      </c>
      <c r="I923" s="12">
        <v>1900</v>
      </c>
      <c r="J923" s="12"/>
      <c r="K923" s="12" t="s">
        <v>100</v>
      </c>
      <c r="O923" s="2" t="s">
        <v>234</v>
      </c>
      <c r="P923" s="24">
        <v>36</v>
      </c>
      <c r="Q923" s="25" t="s">
        <v>107</v>
      </c>
    </row>
    <row r="924" customHeight="1" spans="1:17">
      <c r="A924" s="22">
        <f t="shared" si="53"/>
        <v>1304020</v>
      </c>
      <c r="B924" s="22">
        <v>1304</v>
      </c>
      <c r="C924" s="22" t="s">
        <v>406</v>
      </c>
      <c r="D924" s="22"/>
      <c r="E924" s="22">
        <f t="shared" si="52"/>
        <v>10</v>
      </c>
      <c r="F924" s="22">
        <v>20</v>
      </c>
      <c r="H924" s="22" t="s">
        <v>159</v>
      </c>
      <c r="I924" s="12">
        <v>2000</v>
      </c>
      <c r="J924" s="12"/>
      <c r="K924" s="12" t="s">
        <v>103</v>
      </c>
      <c r="O924" s="2" t="s">
        <v>234</v>
      </c>
      <c r="P924" s="24">
        <v>38</v>
      </c>
      <c r="Q924" s="25" t="s">
        <v>110</v>
      </c>
    </row>
    <row r="925" customHeight="1" spans="1:17">
      <c r="A925" s="22">
        <f t="shared" si="53"/>
        <v>1304021</v>
      </c>
      <c r="B925" s="22">
        <v>1304</v>
      </c>
      <c r="C925" s="22" t="s">
        <v>406</v>
      </c>
      <c r="D925" s="22"/>
      <c r="E925" s="22">
        <f t="shared" si="52"/>
        <v>10</v>
      </c>
      <c r="F925" s="22">
        <v>21</v>
      </c>
      <c r="H925" s="22" t="s">
        <v>165</v>
      </c>
      <c r="I925" s="12">
        <v>2100</v>
      </c>
      <c r="J925" s="12"/>
      <c r="K925" s="12" t="s">
        <v>106</v>
      </c>
      <c r="O925" s="2" t="s">
        <v>234</v>
      </c>
      <c r="P925" s="24">
        <v>40</v>
      </c>
      <c r="Q925" s="25" t="s">
        <v>113</v>
      </c>
    </row>
    <row r="926" customHeight="1" spans="1:17">
      <c r="A926" s="22">
        <f t="shared" si="53"/>
        <v>1304022</v>
      </c>
      <c r="B926" s="22">
        <v>1304</v>
      </c>
      <c r="C926" s="22" t="s">
        <v>406</v>
      </c>
      <c r="D926" s="22"/>
      <c r="E926" s="22">
        <f t="shared" si="52"/>
        <v>11</v>
      </c>
      <c r="F926" s="22">
        <v>22</v>
      </c>
      <c r="H926" s="22" t="s">
        <v>171</v>
      </c>
      <c r="I926" s="12">
        <v>2200</v>
      </c>
      <c r="J926" s="12"/>
      <c r="K926" s="12" t="s">
        <v>109</v>
      </c>
      <c r="O926" s="2" t="s">
        <v>234</v>
      </c>
      <c r="P926" s="24">
        <v>42</v>
      </c>
      <c r="Q926" s="25" t="s">
        <v>116</v>
      </c>
    </row>
    <row r="927" customHeight="1" spans="1:17">
      <c r="A927" s="22">
        <f t="shared" si="53"/>
        <v>1304023</v>
      </c>
      <c r="B927" s="22">
        <v>1304</v>
      </c>
      <c r="C927" s="22" t="s">
        <v>406</v>
      </c>
      <c r="D927" s="22"/>
      <c r="E927" s="22">
        <f t="shared" si="52"/>
        <v>11</v>
      </c>
      <c r="F927" s="22">
        <v>23</v>
      </c>
      <c r="H927" s="22" t="s">
        <v>177</v>
      </c>
      <c r="I927" s="12">
        <v>2300</v>
      </c>
      <c r="J927" s="12"/>
      <c r="K927" s="12" t="s">
        <v>112</v>
      </c>
      <c r="O927" s="2" t="s">
        <v>234</v>
      </c>
      <c r="P927" s="24">
        <v>44</v>
      </c>
      <c r="Q927" s="25" t="s">
        <v>119</v>
      </c>
    </row>
    <row r="928" customHeight="1" spans="1:17">
      <c r="A928" s="22">
        <f t="shared" si="53"/>
        <v>1304024</v>
      </c>
      <c r="B928" s="22">
        <v>1304</v>
      </c>
      <c r="C928" s="22" t="s">
        <v>406</v>
      </c>
      <c r="D928" s="22"/>
      <c r="E928" s="22">
        <f t="shared" si="52"/>
        <v>11</v>
      </c>
      <c r="F928" s="22">
        <v>24</v>
      </c>
      <c r="H928" s="22" t="s">
        <v>183</v>
      </c>
      <c r="I928" s="12">
        <v>2400</v>
      </c>
      <c r="J928" s="12"/>
      <c r="K928" s="12" t="s">
        <v>115</v>
      </c>
      <c r="O928" s="2" t="s">
        <v>234</v>
      </c>
      <c r="P928" s="24">
        <v>46</v>
      </c>
      <c r="Q928" s="25" t="s">
        <v>122</v>
      </c>
    </row>
    <row r="929" customHeight="1" spans="1:17">
      <c r="A929" s="22">
        <f t="shared" si="53"/>
        <v>1304025</v>
      </c>
      <c r="B929" s="22">
        <v>1304</v>
      </c>
      <c r="C929" s="22" t="s">
        <v>406</v>
      </c>
      <c r="D929" s="22"/>
      <c r="E929" s="22">
        <f t="shared" si="52"/>
        <v>12</v>
      </c>
      <c r="F929" s="22">
        <v>25</v>
      </c>
      <c r="H929" s="22" t="s">
        <v>189</v>
      </c>
      <c r="I929" s="12">
        <v>2500</v>
      </c>
      <c r="J929" s="12"/>
      <c r="K929" s="12" t="s">
        <v>118</v>
      </c>
      <c r="O929" s="2" t="s">
        <v>234</v>
      </c>
      <c r="P929" s="24">
        <v>48</v>
      </c>
      <c r="Q929" s="25" t="s">
        <v>125</v>
      </c>
    </row>
    <row r="930" customHeight="1" spans="1:17">
      <c r="A930" s="22">
        <f t="shared" si="53"/>
        <v>1304026</v>
      </c>
      <c r="B930" s="22">
        <v>1304</v>
      </c>
      <c r="C930" s="22" t="s">
        <v>406</v>
      </c>
      <c r="D930" s="22"/>
      <c r="E930" s="22">
        <f t="shared" si="52"/>
        <v>12</v>
      </c>
      <c r="F930" s="22">
        <v>26</v>
      </c>
      <c r="H930" s="22" t="s">
        <v>195</v>
      </c>
      <c r="I930" s="12">
        <v>2600</v>
      </c>
      <c r="J930" s="12"/>
      <c r="K930" s="12" t="s">
        <v>121</v>
      </c>
      <c r="O930" s="2" t="s">
        <v>234</v>
      </c>
      <c r="P930" s="24">
        <v>50</v>
      </c>
      <c r="Q930" s="25" t="s">
        <v>128</v>
      </c>
    </row>
    <row r="931" customHeight="1" spans="1:17">
      <c r="A931" s="22">
        <f t="shared" si="53"/>
        <v>1304027</v>
      </c>
      <c r="B931" s="22">
        <v>1304</v>
      </c>
      <c r="C931" s="22" t="s">
        <v>406</v>
      </c>
      <c r="D931" s="22"/>
      <c r="E931" s="22">
        <f t="shared" si="52"/>
        <v>12</v>
      </c>
      <c r="F931" s="22">
        <v>27</v>
      </c>
      <c r="H931" s="22" t="s">
        <v>201</v>
      </c>
      <c r="I931" s="12">
        <v>2700</v>
      </c>
      <c r="J931" s="12"/>
      <c r="K931" s="12" t="s">
        <v>124</v>
      </c>
      <c r="O931" s="2" t="s">
        <v>234</v>
      </c>
      <c r="P931" s="24">
        <v>52</v>
      </c>
      <c r="Q931" s="25" t="s">
        <v>131</v>
      </c>
    </row>
    <row r="932" customHeight="1" spans="1:17">
      <c r="A932" s="22">
        <f t="shared" si="53"/>
        <v>1304028</v>
      </c>
      <c r="B932" s="22">
        <v>1304</v>
      </c>
      <c r="C932" s="22" t="s">
        <v>406</v>
      </c>
      <c r="D932" s="22"/>
      <c r="E932" s="22">
        <f t="shared" si="52"/>
        <v>13</v>
      </c>
      <c r="F932" s="22">
        <v>28</v>
      </c>
      <c r="H932" s="22" t="s">
        <v>207</v>
      </c>
      <c r="I932" s="12">
        <v>2800</v>
      </c>
      <c r="J932" s="12"/>
      <c r="K932" s="12" t="s">
        <v>127</v>
      </c>
      <c r="O932" s="2" t="s">
        <v>234</v>
      </c>
      <c r="P932" s="24">
        <v>54</v>
      </c>
      <c r="Q932" s="25" t="s">
        <v>134</v>
      </c>
    </row>
    <row r="933" customHeight="1" spans="1:17">
      <c r="A933" s="22">
        <f t="shared" si="53"/>
        <v>1304029</v>
      </c>
      <c r="B933" s="22">
        <v>1304</v>
      </c>
      <c r="C933" s="22" t="s">
        <v>406</v>
      </c>
      <c r="D933" s="22"/>
      <c r="E933" s="22">
        <f t="shared" si="52"/>
        <v>13</v>
      </c>
      <c r="F933" s="22">
        <v>29</v>
      </c>
      <c r="H933" s="22" t="s">
        <v>213</v>
      </c>
      <c r="I933" s="12">
        <v>2900</v>
      </c>
      <c r="J933" s="12"/>
      <c r="K933" s="12" t="s">
        <v>130</v>
      </c>
      <c r="O933" s="2" t="s">
        <v>234</v>
      </c>
      <c r="P933" s="24">
        <v>56</v>
      </c>
      <c r="Q933" s="25" t="s">
        <v>137</v>
      </c>
    </row>
    <row r="934" customHeight="1" spans="1:17">
      <c r="A934" s="22">
        <f t="shared" si="53"/>
        <v>1304030</v>
      </c>
      <c r="B934" s="22">
        <v>1304</v>
      </c>
      <c r="C934" s="22" t="s">
        <v>406</v>
      </c>
      <c r="D934" s="22"/>
      <c r="E934" s="22">
        <f t="shared" si="52"/>
        <v>13</v>
      </c>
      <c r="F934" s="22">
        <v>30</v>
      </c>
      <c r="H934" s="22" t="s">
        <v>219</v>
      </c>
      <c r="I934" s="12">
        <v>3000</v>
      </c>
      <c r="J934" s="12"/>
      <c r="K934" s="12" t="s">
        <v>133</v>
      </c>
      <c r="O934" s="2" t="s">
        <v>234</v>
      </c>
      <c r="P934" s="24">
        <v>58</v>
      </c>
      <c r="Q934" s="25" t="s">
        <v>140</v>
      </c>
    </row>
    <row r="935" customHeight="1" spans="1:17">
      <c r="A935" s="22">
        <f t="shared" si="53"/>
        <v>1304031</v>
      </c>
      <c r="B935" s="22">
        <v>1304</v>
      </c>
      <c r="C935" s="22" t="s">
        <v>406</v>
      </c>
      <c r="D935" s="22"/>
      <c r="E935" s="22">
        <f t="shared" si="52"/>
        <v>14</v>
      </c>
      <c r="F935" s="22">
        <v>31</v>
      </c>
      <c r="H935" s="22" t="s">
        <v>235</v>
      </c>
      <c r="I935" s="12">
        <v>3100</v>
      </c>
      <c r="J935" s="12"/>
      <c r="K935" s="12" t="s">
        <v>136</v>
      </c>
      <c r="O935" s="2" t="s">
        <v>234</v>
      </c>
      <c r="P935" s="24">
        <v>60</v>
      </c>
      <c r="Q935" s="25" t="s">
        <v>143</v>
      </c>
    </row>
    <row r="936" customHeight="1" spans="1:17">
      <c r="A936" s="22">
        <f t="shared" si="53"/>
        <v>1304032</v>
      </c>
      <c r="B936" s="22">
        <v>1304</v>
      </c>
      <c r="C936" s="22" t="s">
        <v>406</v>
      </c>
      <c r="D936" s="22"/>
      <c r="E936" s="22">
        <f t="shared" si="52"/>
        <v>14</v>
      </c>
      <c r="F936" s="22">
        <v>32</v>
      </c>
      <c r="H936" s="22" t="s">
        <v>236</v>
      </c>
      <c r="I936" s="12">
        <v>3200</v>
      </c>
      <c r="J936" s="12"/>
      <c r="K936" s="12" t="s">
        <v>139</v>
      </c>
      <c r="O936" s="2" t="s">
        <v>234</v>
      </c>
      <c r="P936" s="24">
        <v>62</v>
      </c>
      <c r="Q936" s="25" t="s">
        <v>146</v>
      </c>
    </row>
    <row r="937" customHeight="1" spans="1:17">
      <c r="A937" s="22">
        <f t="shared" si="53"/>
        <v>1304033</v>
      </c>
      <c r="B937" s="22">
        <v>1304</v>
      </c>
      <c r="C937" s="22" t="s">
        <v>406</v>
      </c>
      <c r="D937" s="22"/>
      <c r="E937" s="22">
        <f t="shared" si="52"/>
        <v>14</v>
      </c>
      <c r="F937" s="22">
        <v>33</v>
      </c>
      <c r="H937" s="22" t="s">
        <v>237</v>
      </c>
      <c r="I937" s="12">
        <v>3300</v>
      </c>
      <c r="J937" s="12"/>
      <c r="K937" s="12" t="s">
        <v>142</v>
      </c>
      <c r="O937" s="2" t="s">
        <v>234</v>
      </c>
      <c r="P937" s="24">
        <v>64</v>
      </c>
      <c r="Q937" s="25" t="s">
        <v>149</v>
      </c>
    </row>
    <row r="938" customHeight="1" spans="1:17">
      <c r="A938" s="22">
        <f t="shared" si="53"/>
        <v>1304034</v>
      </c>
      <c r="B938" s="22">
        <v>1304</v>
      </c>
      <c r="C938" s="22" t="s">
        <v>406</v>
      </c>
      <c r="D938" s="22"/>
      <c r="E938" s="22">
        <f t="shared" si="52"/>
        <v>15</v>
      </c>
      <c r="F938" s="22">
        <v>34</v>
      </c>
      <c r="H938" s="22" t="s">
        <v>238</v>
      </c>
      <c r="I938" s="12">
        <v>3400</v>
      </c>
      <c r="J938" s="12"/>
      <c r="K938" s="12" t="s">
        <v>145</v>
      </c>
      <c r="O938" s="2" t="s">
        <v>234</v>
      </c>
      <c r="P938" s="24">
        <v>66</v>
      </c>
      <c r="Q938" s="25" t="s">
        <v>152</v>
      </c>
    </row>
    <row r="939" customHeight="1" spans="1:17">
      <c r="A939" s="22">
        <f t="shared" si="53"/>
        <v>1304035</v>
      </c>
      <c r="B939" s="22">
        <v>1304</v>
      </c>
      <c r="C939" s="22" t="s">
        <v>406</v>
      </c>
      <c r="D939" s="22"/>
      <c r="E939" s="22">
        <f t="shared" si="52"/>
        <v>15</v>
      </c>
      <c r="F939" s="22">
        <v>35</v>
      </c>
      <c r="H939" s="22" t="s">
        <v>239</v>
      </c>
      <c r="I939" s="12">
        <v>3500</v>
      </c>
      <c r="J939" s="12"/>
      <c r="K939" s="12" t="s">
        <v>148</v>
      </c>
      <c r="O939" s="2" t="s">
        <v>234</v>
      </c>
      <c r="P939" s="24">
        <v>68</v>
      </c>
      <c r="Q939" s="25" t="s">
        <v>155</v>
      </c>
    </row>
    <row r="940" customHeight="1" spans="1:17">
      <c r="A940" s="22">
        <f t="shared" si="53"/>
        <v>1304036</v>
      </c>
      <c r="B940" s="22">
        <v>1304</v>
      </c>
      <c r="C940" s="22" t="s">
        <v>406</v>
      </c>
      <c r="D940" s="22"/>
      <c r="E940" s="22">
        <f t="shared" si="52"/>
        <v>15</v>
      </c>
      <c r="F940" s="22">
        <v>36</v>
      </c>
      <c r="H940" s="22" t="s">
        <v>240</v>
      </c>
      <c r="I940" s="12">
        <v>3600</v>
      </c>
      <c r="J940" s="12"/>
      <c r="K940" s="12" t="s">
        <v>151</v>
      </c>
      <c r="O940" s="2" t="s">
        <v>234</v>
      </c>
      <c r="P940" s="24">
        <v>70</v>
      </c>
      <c r="Q940" s="25" t="s">
        <v>158</v>
      </c>
    </row>
    <row r="941" customHeight="1" spans="1:17">
      <c r="A941" s="22">
        <f t="shared" si="53"/>
        <v>1304037</v>
      </c>
      <c r="B941" s="22">
        <v>1304</v>
      </c>
      <c r="C941" s="22" t="s">
        <v>406</v>
      </c>
      <c r="D941" s="22"/>
      <c r="E941" s="22">
        <f t="shared" si="52"/>
        <v>16</v>
      </c>
      <c r="F941" s="22">
        <v>37</v>
      </c>
      <c r="H941" s="22" t="s">
        <v>241</v>
      </c>
      <c r="I941" s="12">
        <v>3700</v>
      </c>
      <c r="J941" s="12"/>
      <c r="K941" s="12" t="s">
        <v>154</v>
      </c>
      <c r="O941" s="2" t="s">
        <v>234</v>
      </c>
      <c r="P941" s="24">
        <v>72</v>
      </c>
      <c r="Q941" s="25" t="s">
        <v>161</v>
      </c>
    </row>
    <row r="942" customHeight="1" spans="1:17">
      <c r="A942" s="22">
        <f t="shared" si="53"/>
        <v>1304038</v>
      </c>
      <c r="B942" s="22">
        <v>1304</v>
      </c>
      <c r="C942" s="22" t="s">
        <v>406</v>
      </c>
      <c r="D942" s="22"/>
      <c r="E942" s="22">
        <f t="shared" si="52"/>
        <v>16</v>
      </c>
      <c r="F942" s="22">
        <v>38</v>
      </c>
      <c r="H942" s="22" t="s">
        <v>242</v>
      </c>
      <c r="I942" s="12">
        <v>3800</v>
      </c>
      <c r="J942" s="12"/>
      <c r="K942" s="12" t="s">
        <v>157</v>
      </c>
      <c r="O942" s="2" t="s">
        <v>234</v>
      </c>
      <c r="P942" s="24">
        <v>74</v>
      </c>
      <c r="Q942" s="25" t="s">
        <v>164</v>
      </c>
    </row>
    <row r="943" customHeight="1" spans="1:17">
      <c r="A943" s="22">
        <f t="shared" si="53"/>
        <v>1304039</v>
      </c>
      <c r="B943" s="22">
        <v>1304</v>
      </c>
      <c r="C943" s="22" t="s">
        <v>406</v>
      </c>
      <c r="D943" s="22"/>
      <c r="E943" s="22">
        <f t="shared" si="52"/>
        <v>16</v>
      </c>
      <c r="F943" s="22">
        <v>39</v>
      </c>
      <c r="H943" s="22" t="s">
        <v>243</v>
      </c>
      <c r="I943" s="12">
        <v>3900</v>
      </c>
      <c r="J943" s="12"/>
      <c r="K943" s="12" t="s">
        <v>160</v>
      </c>
      <c r="O943" s="2" t="s">
        <v>234</v>
      </c>
      <c r="P943" s="24">
        <v>76</v>
      </c>
      <c r="Q943" s="25" t="s">
        <v>167</v>
      </c>
    </row>
    <row r="944" customHeight="1" spans="1:17">
      <c r="A944" s="22">
        <f t="shared" si="53"/>
        <v>1304040</v>
      </c>
      <c r="B944" s="22">
        <v>1304</v>
      </c>
      <c r="C944" s="22" t="s">
        <v>406</v>
      </c>
      <c r="D944" s="22"/>
      <c r="E944" s="22">
        <f t="shared" si="52"/>
        <v>17</v>
      </c>
      <c r="F944" s="22">
        <v>40</v>
      </c>
      <c r="H944" s="22" t="s">
        <v>244</v>
      </c>
      <c r="I944" s="12">
        <v>4000</v>
      </c>
      <c r="J944" s="12"/>
      <c r="K944" s="12" t="s">
        <v>163</v>
      </c>
      <c r="O944" s="2" t="s">
        <v>234</v>
      </c>
      <c r="P944" s="24">
        <v>78</v>
      </c>
      <c r="Q944" s="25" t="s">
        <v>170</v>
      </c>
    </row>
    <row r="945" customHeight="1" spans="1:17">
      <c r="A945" s="22">
        <f t="shared" si="53"/>
        <v>1304041</v>
      </c>
      <c r="B945" s="22">
        <v>1304</v>
      </c>
      <c r="C945" s="22" t="s">
        <v>406</v>
      </c>
      <c r="D945" s="22"/>
      <c r="E945" s="22">
        <f t="shared" si="52"/>
        <v>17</v>
      </c>
      <c r="F945" s="22">
        <v>41</v>
      </c>
      <c r="H945" s="22" t="s">
        <v>245</v>
      </c>
      <c r="I945" s="12">
        <v>4100</v>
      </c>
      <c r="J945" s="12"/>
      <c r="K945" s="12" t="s">
        <v>166</v>
      </c>
      <c r="O945" s="2" t="s">
        <v>234</v>
      </c>
      <c r="P945" s="24">
        <v>80</v>
      </c>
      <c r="Q945" s="25" t="s">
        <v>173</v>
      </c>
    </row>
    <row r="946" customHeight="1" spans="1:17">
      <c r="A946" s="22">
        <f t="shared" si="53"/>
        <v>1304042</v>
      </c>
      <c r="B946" s="22">
        <v>1304</v>
      </c>
      <c r="C946" s="22" t="s">
        <v>406</v>
      </c>
      <c r="D946" s="22"/>
      <c r="E946" s="22">
        <f t="shared" si="52"/>
        <v>17</v>
      </c>
      <c r="F946" s="22">
        <v>42</v>
      </c>
      <c r="H946" s="22" t="s">
        <v>246</v>
      </c>
      <c r="I946" s="12">
        <v>4200</v>
      </c>
      <c r="J946" s="12"/>
      <c r="K946" s="12" t="s">
        <v>169</v>
      </c>
      <c r="O946" s="2" t="s">
        <v>234</v>
      </c>
      <c r="P946" s="24">
        <v>82</v>
      </c>
      <c r="Q946" s="25" t="s">
        <v>176</v>
      </c>
    </row>
    <row r="947" customHeight="1" spans="1:17">
      <c r="A947" s="22">
        <f t="shared" ref="A947:A964" si="54">B947*1000+F947</f>
        <v>1304043</v>
      </c>
      <c r="B947" s="22">
        <v>1304</v>
      </c>
      <c r="C947" s="22" t="s">
        <v>406</v>
      </c>
      <c r="D947" s="22"/>
      <c r="E947" s="22">
        <f t="shared" si="52"/>
        <v>18</v>
      </c>
      <c r="F947" s="22">
        <v>43</v>
      </c>
      <c r="H947" s="22" t="s">
        <v>247</v>
      </c>
      <c r="I947" s="12">
        <v>4300</v>
      </c>
      <c r="J947" s="12"/>
      <c r="K947" s="12" t="s">
        <v>172</v>
      </c>
      <c r="O947" s="2" t="s">
        <v>234</v>
      </c>
      <c r="P947" s="24">
        <v>84</v>
      </c>
      <c r="Q947" s="25" t="s">
        <v>179</v>
      </c>
    </row>
    <row r="948" customHeight="1" spans="1:17">
      <c r="A948" s="22">
        <f t="shared" si="54"/>
        <v>1304044</v>
      </c>
      <c r="B948" s="22">
        <v>1304</v>
      </c>
      <c r="C948" s="22" t="s">
        <v>406</v>
      </c>
      <c r="D948" s="22"/>
      <c r="E948" s="22">
        <f t="shared" si="52"/>
        <v>18</v>
      </c>
      <c r="F948" s="22">
        <v>44</v>
      </c>
      <c r="H948" s="22" t="s">
        <v>248</v>
      </c>
      <c r="I948" s="12">
        <v>4400</v>
      </c>
      <c r="J948" s="12"/>
      <c r="K948" s="12" t="s">
        <v>175</v>
      </c>
      <c r="O948" s="2" t="s">
        <v>234</v>
      </c>
      <c r="P948" s="24">
        <v>86</v>
      </c>
      <c r="Q948" s="25" t="s">
        <v>182</v>
      </c>
    </row>
    <row r="949" customHeight="1" spans="1:17">
      <c r="A949" s="22">
        <f t="shared" si="54"/>
        <v>1304045</v>
      </c>
      <c r="B949" s="22">
        <v>1304</v>
      </c>
      <c r="C949" s="22" t="s">
        <v>406</v>
      </c>
      <c r="D949" s="22"/>
      <c r="E949" s="22">
        <f t="shared" si="52"/>
        <v>18</v>
      </c>
      <c r="F949" s="22">
        <v>45</v>
      </c>
      <c r="H949" s="22" t="s">
        <v>249</v>
      </c>
      <c r="I949" s="12">
        <v>4500</v>
      </c>
      <c r="J949" s="12"/>
      <c r="K949" s="12" t="s">
        <v>178</v>
      </c>
      <c r="O949" s="2" t="s">
        <v>234</v>
      </c>
      <c r="P949" s="24">
        <v>88</v>
      </c>
      <c r="Q949" s="25" t="s">
        <v>185</v>
      </c>
    </row>
    <row r="950" customHeight="1" spans="1:17">
      <c r="A950" s="22">
        <f t="shared" si="54"/>
        <v>1304046</v>
      </c>
      <c r="B950" s="22">
        <v>1304</v>
      </c>
      <c r="C950" s="22" t="s">
        <v>406</v>
      </c>
      <c r="D950" s="22"/>
      <c r="E950" s="22">
        <f t="shared" si="52"/>
        <v>19</v>
      </c>
      <c r="F950" s="22">
        <v>46</v>
      </c>
      <c r="H950" s="22" t="s">
        <v>250</v>
      </c>
      <c r="I950" s="12">
        <v>4600</v>
      </c>
      <c r="J950" s="12"/>
      <c r="K950" s="12" t="s">
        <v>181</v>
      </c>
      <c r="O950" s="2" t="s">
        <v>234</v>
      </c>
      <c r="P950" s="24">
        <v>90</v>
      </c>
      <c r="Q950" s="25" t="s">
        <v>188</v>
      </c>
    </row>
    <row r="951" customHeight="1" spans="1:17">
      <c r="A951" s="22">
        <f t="shared" si="54"/>
        <v>1304047</v>
      </c>
      <c r="B951" s="22">
        <v>1304</v>
      </c>
      <c r="C951" s="22" t="s">
        <v>406</v>
      </c>
      <c r="D951" s="22"/>
      <c r="E951" s="22">
        <f t="shared" si="52"/>
        <v>19</v>
      </c>
      <c r="F951" s="22">
        <v>47</v>
      </c>
      <c r="H951" s="22" t="s">
        <v>251</v>
      </c>
      <c r="I951" s="12">
        <v>4700</v>
      </c>
      <c r="J951" s="12"/>
      <c r="K951" s="12" t="s">
        <v>184</v>
      </c>
      <c r="O951" s="2" t="s">
        <v>234</v>
      </c>
      <c r="P951" s="24">
        <v>92</v>
      </c>
      <c r="Q951" s="25" t="s">
        <v>191</v>
      </c>
    </row>
    <row r="952" customHeight="1" spans="1:17">
      <c r="A952" s="22">
        <f t="shared" si="54"/>
        <v>1304048</v>
      </c>
      <c r="B952" s="22">
        <v>1304</v>
      </c>
      <c r="C952" s="22" t="s">
        <v>406</v>
      </c>
      <c r="D952" s="22"/>
      <c r="E952" s="22">
        <f t="shared" si="52"/>
        <v>19</v>
      </c>
      <c r="F952" s="22">
        <v>48</v>
      </c>
      <c r="H952" s="22" t="s">
        <v>252</v>
      </c>
      <c r="I952" s="12">
        <v>4800</v>
      </c>
      <c r="J952" s="12"/>
      <c r="K952" s="12" t="s">
        <v>187</v>
      </c>
      <c r="O952" s="2" t="s">
        <v>234</v>
      </c>
      <c r="P952" s="24">
        <v>94</v>
      </c>
      <c r="Q952" s="25" t="s">
        <v>194</v>
      </c>
    </row>
    <row r="953" customHeight="1" spans="1:17">
      <c r="A953" s="22">
        <f t="shared" si="54"/>
        <v>1304049</v>
      </c>
      <c r="B953" s="22">
        <v>1304</v>
      </c>
      <c r="C953" s="22" t="s">
        <v>406</v>
      </c>
      <c r="D953" s="22"/>
      <c r="E953" s="22">
        <f t="shared" si="52"/>
        <v>20</v>
      </c>
      <c r="F953" s="22">
        <v>49</v>
      </c>
      <c r="H953" s="22" t="s">
        <v>253</v>
      </c>
      <c r="I953" s="12">
        <v>4900</v>
      </c>
      <c r="J953" s="12"/>
      <c r="K953" s="12" t="s">
        <v>190</v>
      </c>
      <c r="O953" s="2" t="s">
        <v>234</v>
      </c>
      <c r="P953" s="24">
        <v>96</v>
      </c>
      <c r="Q953" s="25" t="s">
        <v>197</v>
      </c>
    </row>
    <row r="954" customHeight="1" spans="1:17">
      <c r="A954" s="22">
        <f t="shared" si="54"/>
        <v>1304050</v>
      </c>
      <c r="B954" s="22">
        <v>1304</v>
      </c>
      <c r="C954" s="22" t="s">
        <v>406</v>
      </c>
      <c r="D954" s="22"/>
      <c r="E954" s="22">
        <f t="shared" si="52"/>
        <v>20</v>
      </c>
      <c r="F954" s="22">
        <v>50</v>
      </c>
      <c r="H954" s="22" t="s">
        <v>254</v>
      </c>
      <c r="I954" s="12">
        <v>5000</v>
      </c>
      <c r="J954" s="12"/>
      <c r="K954" s="12" t="s">
        <v>193</v>
      </c>
      <c r="O954" s="2" t="s">
        <v>234</v>
      </c>
      <c r="P954" s="24">
        <v>98</v>
      </c>
      <c r="Q954" s="25" t="s">
        <v>200</v>
      </c>
    </row>
    <row r="955" customHeight="1" spans="1:17">
      <c r="A955" s="22">
        <f t="shared" si="54"/>
        <v>1304051</v>
      </c>
      <c r="B955" s="22">
        <v>1304</v>
      </c>
      <c r="C955" s="22" t="s">
        <v>406</v>
      </c>
      <c r="D955" s="22"/>
      <c r="E955" s="22">
        <f t="shared" si="52"/>
        <v>20</v>
      </c>
      <c r="F955" s="22">
        <v>51</v>
      </c>
      <c r="H955" s="22" t="s">
        <v>255</v>
      </c>
      <c r="I955" s="12">
        <v>5100</v>
      </c>
      <c r="J955" s="12"/>
      <c r="K955" s="12" t="s">
        <v>196</v>
      </c>
      <c r="O955" s="2" t="s">
        <v>234</v>
      </c>
      <c r="P955" s="24">
        <v>100</v>
      </c>
      <c r="Q955" s="25" t="s">
        <v>203</v>
      </c>
    </row>
    <row r="956" customHeight="1" spans="1:17">
      <c r="A956" s="22">
        <f t="shared" si="54"/>
        <v>1304052</v>
      </c>
      <c r="B956" s="22">
        <v>1304</v>
      </c>
      <c r="C956" s="22" t="s">
        <v>406</v>
      </c>
      <c r="D956" s="22"/>
      <c r="E956" s="22">
        <f t="shared" si="52"/>
        <v>21</v>
      </c>
      <c r="F956" s="22">
        <v>52</v>
      </c>
      <c r="H956" s="22" t="s">
        <v>256</v>
      </c>
      <c r="I956" s="12">
        <v>5200</v>
      </c>
      <c r="J956" s="12"/>
      <c r="K956" s="12" t="s">
        <v>199</v>
      </c>
      <c r="O956" s="2" t="s">
        <v>234</v>
      </c>
      <c r="P956" s="24">
        <v>102</v>
      </c>
      <c r="Q956" s="25" t="s">
        <v>206</v>
      </c>
    </row>
    <row r="957" customHeight="1" spans="1:17">
      <c r="A957" s="22">
        <f t="shared" si="54"/>
        <v>1304053</v>
      </c>
      <c r="B957" s="22">
        <v>1304</v>
      </c>
      <c r="C957" s="22" t="s">
        <v>406</v>
      </c>
      <c r="D957" s="22"/>
      <c r="E957" s="22">
        <f t="shared" si="52"/>
        <v>21</v>
      </c>
      <c r="F957" s="22">
        <v>53</v>
      </c>
      <c r="H957" s="22" t="s">
        <v>257</v>
      </c>
      <c r="I957" s="12">
        <v>5300</v>
      </c>
      <c r="J957" s="12"/>
      <c r="K957" s="12" t="s">
        <v>202</v>
      </c>
      <c r="O957" s="2" t="s">
        <v>234</v>
      </c>
      <c r="P957" s="24">
        <v>104</v>
      </c>
      <c r="Q957" s="25" t="s">
        <v>209</v>
      </c>
    </row>
    <row r="958" customHeight="1" spans="1:17">
      <c r="A958" s="22">
        <f t="shared" si="54"/>
        <v>1304054</v>
      </c>
      <c r="B958" s="22">
        <v>1304</v>
      </c>
      <c r="C958" s="22" t="s">
        <v>406</v>
      </c>
      <c r="D958" s="22"/>
      <c r="E958" s="22">
        <f t="shared" si="52"/>
        <v>21</v>
      </c>
      <c r="F958" s="22">
        <v>54</v>
      </c>
      <c r="H958" s="22" t="s">
        <v>258</v>
      </c>
      <c r="I958" s="12">
        <v>5400</v>
      </c>
      <c r="J958" s="12"/>
      <c r="K958" s="12" t="s">
        <v>205</v>
      </c>
      <c r="O958" s="2" t="s">
        <v>234</v>
      </c>
      <c r="P958" s="24">
        <v>106</v>
      </c>
      <c r="Q958" s="25" t="s">
        <v>212</v>
      </c>
    </row>
    <row r="959" customHeight="1" spans="1:17">
      <c r="A959" s="22">
        <f t="shared" si="54"/>
        <v>1304055</v>
      </c>
      <c r="B959" s="22">
        <v>1304</v>
      </c>
      <c r="C959" s="22" t="s">
        <v>406</v>
      </c>
      <c r="D959" s="22"/>
      <c r="E959" s="22">
        <f t="shared" si="52"/>
        <v>22</v>
      </c>
      <c r="F959" s="22">
        <v>55</v>
      </c>
      <c r="H959" s="22" t="s">
        <v>259</v>
      </c>
      <c r="I959" s="12">
        <v>5500</v>
      </c>
      <c r="J959" s="12"/>
      <c r="K959" s="12" t="s">
        <v>208</v>
      </c>
      <c r="O959" s="2" t="s">
        <v>234</v>
      </c>
      <c r="P959" s="24">
        <v>108</v>
      </c>
      <c r="Q959" s="25" t="s">
        <v>215</v>
      </c>
    </row>
    <row r="960" customHeight="1" spans="1:17">
      <c r="A960" s="22">
        <f t="shared" si="54"/>
        <v>1304056</v>
      </c>
      <c r="B960" s="22">
        <v>1304</v>
      </c>
      <c r="C960" s="22" t="s">
        <v>406</v>
      </c>
      <c r="D960" s="22"/>
      <c r="E960" s="22">
        <f t="shared" si="52"/>
        <v>22</v>
      </c>
      <c r="F960" s="22">
        <v>56</v>
      </c>
      <c r="H960" s="22" t="s">
        <v>260</v>
      </c>
      <c r="I960" s="12">
        <v>5600</v>
      </c>
      <c r="J960" s="12"/>
      <c r="K960" s="12" t="s">
        <v>211</v>
      </c>
      <c r="O960" s="2" t="s">
        <v>234</v>
      </c>
      <c r="P960" s="24">
        <v>110</v>
      </c>
      <c r="Q960" s="25" t="s">
        <v>218</v>
      </c>
    </row>
    <row r="961" customHeight="1" spans="1:17">
      <c r="A961" s="22">
        <f t="shared" si="54"/>
        <v>1304057</v>
      </c>
      <c r="B961" s="22">
        <v>1304</v>
      </c>
      <c r="C961" s="22" t="s">
        <v>406</v>
      </c>
      <c r="D961" s="22"/>
      <c r="E961" s="22">
        <f t="shared" si="52"/>
        <v>22</v>
      </c>
      <c r="F961" s="22">
        <v>57</v>
      </c>
      <c r="H961" s="22" t="s">
        <v>261</v>
      </c>
      <c r="I961" s="12">
        <v>5700</v>
      </c>
      <c r="J961" s="12"/>
      <c r="K961" s="12" t="s">
        <v>214</v>
      </c>
      <c r="O961" s="2" t="s">
        <v>234</v>
      </c>
      <c r="P961" s="24">
        <v>112</v>
      </c>
      <c r="Q961" s="25" t="s">
        <v>221</v>
      </c>
    </row>
    <row r="962" customHeight="1" spans="1:17">
      <c r="A962" s="22">
        <f t="shared" si="54"/>
        <v>1304058</v>
      </c>
      <c r="B962" s="22">
        <v>1304</v>
      </c>
      <c r="C962" s="22" t="s">
        <v>406</v>
      </c>
      <c r="D962" s="22"/>
      <c r="E962" s="22">
        <f t="shared" si="52"/>
        <v>23</v>
      </c>
      <c r="F962" s="22">
        <v>58</v>
      </c>
      <c r="H962" s="22" t="s">
        <v>262</v>
      </c>
      <c r="I962" s="12">
        <v>5800</v>
      </c>
      <c r="J962" s="12"/>
      <c r="K962" s="12" t="s">
        <v>217</v>
      </c>
      <c r="O962" s="2" t="s">
        <v>234</v>
      </c>
      <c r="P962" s="24">
        <v>114</v>
      </c>
      <c r="Q962" s="25" t="s">
        <v>224</v>
      </c>
    </row>
    <row r="963" customHeight="1" spans="1:17">
      <c r="A963" s="22">
        <f t="shared" si="54"/>
        <v>1304059</v>
      </c>
      <c r="B963" s="22">
        <v>1304</v>
      </c>
      <c r="C963" s="22" t="s">
        <v>406</v>
      </c>
      <c r="D963" s="22"/>
      <c r="E963" s="22">
        <f t="shared" si="52"/>
        <v>23</v>
      </c>
      <c r="F963" s="22">
        <v>59</v>
      </c>
      <c r="H963" s="22" t="s">
        <v>263</v>
      </c>
      <c r="I963" s="12">
        <v>5900</v>
      </c>
      <c r="J963" s="12"/>
      <c r="K963" s="12" t="s">
        <v>220</v>
      </c>
      <c r="O963" s="2" t="s">
        <v>234</v>
      </c>
      <c r="P963" s="24">
        <v>116</v>
      </c>
      <c r="Q963" s="25" t="s">
        <v>265</v>
      </c>
    </row>
    <row r="964" customHeight="1" spans="1:17">
      <c r="A964" s="22">
        <f t="shared" si="54"/>
        <v>1304060</v>
      </c>
      <c r="B964" s="22">
        <v>1304</v>
      </c>
      <c r="C964" s="22" t="s">
        <v>406</v>
      </c>
      <c r="D964" s="22"/>
      <c r="E964" s="22">
        <v>9999</v>
      </c>
      <c r="F964" s="22">
        <v>60</v>
      </c>
      <c r="H964" s="22" t="s">
        <v>264</v>
      </c>
      <c r="I964" s="12">
        <v>6000</v>
      </c>
      <c r="J964" s="12"/>
      <c r="K964" s="12" t="s">
        <v>223</v>
      </c>
      <c r="O964" s="2" t="s">
        <v>234</v>
      </c>
      <c r="Q964" s="25" t="s">
        <v>275</v>
      </c>
    </row>
  </sheetData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V49"/>
  <sheetViews>
    <sheetView topLeftCell="AZ1" workbookViewId="0">
      <selection activeCell="BL23" sqref="BL23"/>
    </sheetView>
  </sheetViews>
  <sheetFormatPr defaultColWidth="9" defaultRowHeight="13.5"/>
  <cols>
    <col min="1" max="1" width="10.75" customWidth="1"/>
  </cols>
  <sheetData>
    <row r="1" spans="1:73">
      <c r="A1" t="s">
        <v>408</v>
      </c>
      <c r="C1" t="s">
        <v>409</v>
      </c>
    </row>
    <row r="2" spans="1:73">
      <c r="A2">
        <v>1990000</v>
      </c>
      <c r="C2">
        <v>1000</v>
      </c>
      <c r="D2">
        <v>2000</v>
      </c>
      <c r="E2">
        <v>3000</v>
      </c>
      <c r="F2">
        <v>4000</v>
      </c>
      <c r="G2">
        <v>5000</v>
      </c>
      <c r="H2">
        <v>6000</v>
      </c>
      <c r="I2">
        <v>7000</v>
      </c>
      <c r="J2">
        <v>8000</v>
      </c>
      <c r="K2">
        <v>9000</v>
      </c>
      <c r="L2">
        <v>10000</v>
      </c>
      <c r="M2">
        <v>11000</v>
      </c>
      <c r="N2">
        <v>12000</v>
      </c>
      <c r="O2">
        <v>13000</v>
      </c>
      <c r="P2">
        <v>14000</v>
      </c>
      <c r="Q2">
        <v>15000</v>
      </c>
      <c r="R2">
        <v>16000</v>
      </c>
      <c r="S2">
        <v>17000</v>
      </c>
      <c r="T2">
        <v>18000</v>
      </c>
      <c r="U2">
        <v>19000</v>
      </c>
      <c r="V2">
        <v>20000</v>
      </c>
      <c r="W2">
        <v>21000</v>
      </c>
      <c r="X2">
        <v>22000</v>
      </c>
      <c r="Y2">
        <v>23000</v>
      </c>
      <c r="Z2">
        <v>24000</v>
      </c>
      <c r="AA2">
        <v>25000</v>
      </c>
      <c r="AB2">
        <v>26000</v>
      </c>
      <c r="AC2">
        <v>27000</v>
      </c>
      <c r="AD2">
        <v>28000</v>
      </c>
      <c r="AE2">
        <v>29000</v>
      </c>
      <c r="AF2">
        <v>30000</v>
      </c>
      <c r="AG2">
        <v>31000</v>
      </c>
      <c r="AH2">
        <v>32000</v>
      </c>
      <c r="AI2">
        <v>33000</v>
      </c>
      <c r="AJ2">
        <v>34000</v>
      </c>
      <c r="AK2">
        <v>35000</v>
      </c>
      <c r="AL2">
        <v>36000</v>
      </c>
      <c r="AM2">
        <v>37000</v>
      </c>
      <c r="AN2">
        <v>38000</v>
      </c>
      <c r="AO2">
        <v>39000</v>
      </c>
      <c r="AP2">
        <v>40000</v>
      </c>
      <c r="AQ2">
        <v>41000</v>
      </c>
      <c r="AR2">
        <v>42000</v>
      </c>
      <c r="AS2">
        <v>43000</v>
      </c>
      <c r="AT2">
        <v>44000</v>
      </c>
      <c r="AU2">
        <v>45000</v>
      </c>
      <c r="AV2">
        <v>46000</v>
      </c>
      <c r="AW2">
        <v>47000</v>
      </c>
      <c r="AX2">
        <v>48000</v>
      </c>
      <c r="AY2">
        <v>49000</v>
      </c>
      <c r="AZ2">
        <v>50000</v>
      </c>
      <c r="BA2">
        <v>51000</v>
      </c>
      <c r="BB2">
        <v>52000</v>
      </c>
      <c r="BC2">
        <v>53000</v>
      </c>
      <c r="BD2">
        <v>54000</v>
      </c>
      <c r="BE2">
        <v>55000</v>
      </c>
      <c r="BF2">
        <v>56000</v>
      </c>
      <c r="BG2">
        <v>57000</v>
      </c>
      <c r="BH2">
        <v>58000</v>
      </c>
      <c r="BI2">
        <v>59000</v>
      </c>
      <c r="BJ2">
        <v>60000</v>
      </c>
      <c r="BK2">
        <v>61000</v>
      </c>
      <c r="BL2">
        <v>62000</v>
      </c>
      <c r="BM2">
        <v>63000</v>
      </c>
      <c r="BN2">
        <v>64000</v>
      </c>
      <c r="BO2">
        <v>65000</v>
      </c>
      <c r="BP2">
        <v>66000</v>
      </c>
      <c r="BQ2">
        <v>67000</v>
      </c>
      <c r="BR2">
        <v>68000</v>
      </c>
      <c r="BS2">
        <v>69000</v>
      </c>
      <c r="BT2">
        <v>70000</v>
      </c>
      <c r="BU2">
        <v>71000</v>
      </c>
    </row>
    <row r="3" spans="1:73">
      <c r="C3">
        <v>1100</v>
      </c>
      <c r="D3">
        <v>2200</v>
      </c>
      <c r="E3">
        <v>3300</v>
      </c>
      <c r="F3">
        <v>4400</v>
      </c>
      <c r="G3">
        <v>5500</v>
      </c>
      <c r="H3">
        <v>6600</v>
      </c>
      <c r="I3">
        <v>7700</v>
      </c>
      <c r="J3">
        <v>8800</v>
      </c>
      <c r="K3">
        <v>9900</v>
      </c>
      <c r="L3">
        <v>11000</v>
      </c>
      <c r="M3">
        <v>12100</v>
      </c>
      <c r="N3">
        <v>13200</v>
      </c>
      <c r="O3">
        <v>14300</v>
      </c>
      <c r="P3">
        <v>15400</v>
      </c>
      <c r="Q3">
        <v>16500</v>
      </c>
      <c r="R3">
        <v>17600</v>
      </c>
      <c r="S3">
        <v>18700</v>
      </c>
      <c r="T3">
        <v>19800</v>
      </c>
      <c r="U3">
        <v>20900</v>
      </c>
      <c r="V3">
        <v>22000</v>
      </c>
      <c r="W3">
        <v>23100</v>
      </c>
      <c r="X3">
        <v>24200</v>
      </c>
      <c r="Y3">
        <v>25300</v>
      </c>
      <c r="Z3">
        <v>26400</v>
      </c>
      <c r="AA3">
        <v>27500</v>
      </c>
      <c r="AB3">
        <v>28600</v>
      </c>
      <c r="AC3">
        <v>29700</v>
      </c>
      <c r="AD3">
        <v>30800</v>
      </c>
      <c r="AE3">
        <v>31900</v>
      </c>
      <c r="AF3">
        <v>33000</v>
      </c>
      <c r="AG3">
        <v>34100</v>
      </c>
      <c r="AH3">
        <v>35200</v>
      </c>
      <c r="AI3">
        <v>36300</v>
      </c>
      <c r="AJ3">
        <v>37400</v>
      </c>
      <c r="AK3">
        <v>38500</v>
      </c>
      <c r="AL3">
        <v>39600</v>
      </c>
      <c r="AM3">
        <v>40700</v>
      </c>
      <c r="AN3">
        <v>41800</v>
      </c>
      <c r="AO3">
        <v>42900</v>
      </c>
      <c r="AP3">
        <v>44000</v>
      </c>
      <c r="AQ3">
        <v>45100</v>
      </c>
      <c r="AR3">
        <v>46200</v>
      </c>
      <c r="AS3">
        <v>47300</v>
      </c>
      <c r="AT3">
        <v>48400</v>
      </c>
      <c r="AU3">
        <v>49500</v>
      </c>
      <c r="AV3">
        <v>50600</v>
      </c>
      <c r="AW3">
        <v>51700</v>
      </c>
      <c r="AX3">
        <v>52800</v>
      </c>
      <c r="AY3">
        <v>53900</v>
      </c>
      <c r="AZ3">
        <v>55000</v>
      </c>
      <c r="BA3">
        <v>56100</v>
      </c>
      <c r="BB3">
        <v>57200</v>
      </c>
      <c r="BC3">
        <v>58300</v>
      </c>
      <c r="BD3">
        <v>59400</v>
      </c>
      <c r="BE3">
        <v>60500</v>
      </c>
      <c r="BF3">
        <v>61600</v>
      </c>
      <c r="BG3">
        <v>62700</v>
      </c>
      <c r="BH3">
        <v>63800</v>
      </c>
      <c r="BI3">
        <v>64900</v>
      </c>
      <c r="BJ3">
        <v>66000</v>
      </c>
      <c r="BK3">
        <v>67100</v>
      </c>
      <c r="BL3">
        <v>68200</v>
      </c>
      <c r="BM3">
        <v>69300</v>
      </c>
      <c r="BN3">
        <v>70400</v>
      </c>
      <c r="BO3">
        <v>71500</v>
      </c>
      <c r="BP3">
        <v>72600</v>
      </c>
      <c r="BQ3">
        <v>73700</v>
      </c>
      <c r="BR3">
        <v>74800</v>
      </c>
      <c r="BS3">
        <v>75900</v>
      </c>
      <c r="BT3">
        <v>77000</v>
      </c>
      <c r="BU3">
        <v>78100</v>
      </c>
    </row>
    <row r="4" spans="1:73">
      <c r="C4">
        <v>1200</v>
      </c>
      <c r="D4">
        <v>2400</v>
      </c>
      <c r="E4">
        <v>3600</v>
      </c>
      <c r="F4">
        <v>4800</v>
      </c>
      <c r="G4">
        <v>6000</v>
      </c>
      <c r="H4">
        <v>7200</v>
      </c>
      <c r="I4">
        <v>8400</v>
      </c>
      <c r="J4">
        <v>9600</v>
      </c>
      <c r="K4">
        <v>10800</v>
      </c>
      <c r="L4">
        <v>12000</v>
      </c>
      <c r="M4">
        <v>13200</v>
      </c>
      <c r="N4">
        <v>14400</v>
      </c>
      <c r="O4">
        <v>15600</v>
      </c>
      <c r="P4">
        <v>16800</v>
      </c>
      <c r="Q4">
        <v>18000</v>
      </c>
      <c r="R4">
        <v>19200</v>
      </c>
      <c r="S4">
        <v>20400</v>
      </c>
      <c r="T4">
        <v>21600</v>
      </c>
      <c r="U4">
        <v>22800</v>
      </c>
      <c r="V4">
        <v>24000</v>
      </c>
      <c r="W4">
        <v>25200</v>
      </c>
      <c r="X4">
        <v>26400</v>
      </c>
      <c r="Y4">
        <v>27600</v>
      </c>
      <c r="Z4">
        <v>28800</v>
      </c>
      <c r="AA4">
        <v>30000</v>
      </c>
      <c r="AB4">
        <v>31200</v>
      </c>
      <c r="AC4">
        <v>32400</v>
      </c>
      <c r="AD4">
        <v>33600</v>
      </c>
      <c r="AE4">
        <v>34800</v>
      </c>
      <c r="AF4">
        <v>36000</v>
      </c>
      <c r="AG4">
        <v>37200</v>
      </c>
      <c r="AH4">
        <v>38400</v>
      </c>
      <c r="AI4">
        <v>39600</v>
      </c>
      <c r="AJ4">
        <v>40800</v>
      </c>
      <c r="AK4">
        <v>42000</v>
      </c>
      <c r="AL4">
        <v>43200</v>
      </c>
      <c r="AM4">
        <v>44400</v>
      </c>
      <c r="AN4">
        <v>45600</v>
      </c>
      <c r="AO4">
        <v>46800</v>
      </c>
      <c r="AP4">
        <v>48000</v>
      </c>
      <c r="AQ4">
        <v>49200</v>
      </c>
      <c r="AR4">
        <v>50400</v>
      </c>
      <c r="AS4">
        <v>51600</v>
      </c>
      <c r="AT4">
        <v>52800</v>
      </c>
      <c r="AU4">
        <v>54000</v>
      </c>
      <c r="AV4">
        <v>55200</v>
      </c>
      <c r="AW4">
        <v>56400</v>
      </c>
      <c r="AX4">
        <v>57600</v>
      </c>
      <c r="AY4">
        <v>58800</v>
      </c>
      <c r="AZ4">
        <v>60000</v>
      </c>
      <c r="BA4">
        <v>61200</v>
      </c>
      <c r="BB4">
        <v>62400</v>
      </c>
      <c r="BC4">
        <v>63600</v>
      </c>
      <c r="BD4">
        <v>64800</v>
      </c>
      <c r="BE4">
        <v>66000</v>
      </c>
      <c r="BF4">
        <v>67200</v>
      </c>
      <c r="BG4">
        <v>68400</v>
      </c>
      <c r="BH4">
        <v>69600</v>
      </c>
      <c r="BI4">
        <v>70800</v>
      </c>
      <c r="BJ4">
        <v>72000</v>
      </c>
      <c r="BK4">
        <v>73200</v>
      </c>
      <c r="BL4">
        <v>74400</v>
      </c>
      <c r="BM4">
        <v>75600</v>
      </c>
      <c r="BN4">
        <v>76800</v>
      </c>
      <c r="BO4">
        <v>78000</v>
      </c>
      <c r="BP4">
        <v>79200</v>
      </c>
      <c r="BQ4">
        <v>80400</v>
      </c>
      <c r="BR4">
        <v>81600</v>
      </c>
      <c r="BS4">
        <v>82800</v>
      </c>
      <c r="BT4">
        <v>84000</v>
      </c>
      <c r="BU4">
        <v>85200</v>
      </c>
    </row>
    <row r="5" spans="1:73">
      <c r="C5">
        <v>1300</v>
      </c>
      <c r="D5">
        <v>2600</v>
      </c>
      <c r="E5">
        <v>3900</v>
      </c>
      <c r="F5">
        <v>5200</v>
      </c>
      <c r="G5">
        <v>6500</v>
      </c>
      <c r="H5">
        <v>7800</v>
      </c>
      <c r="I5">
        <v>9100</v>
      </c>
      <c r="J5">
        <v>10400</v>
      </c>
      <c r="K5">
        <v>11700</v>
      </c>
      <c r="L5">
        <v>13000</v>
      </c>
      <c r="M5">
        <v>14300</v>
      </c>
      <c r="N5">
        <v>15600</v>
      </c>
      <c r="O5">
        <v>16900</v>
      </c>
      <c r="P5">
        <v>18200</v>
      </c>
      <c r="Q5">
        <v>19500</v>
      </c>
      <c r="R5">
        <v>20800</v>
      </c>
      <c r="S5">
        <v>22100</v>
      </c>
      <c r="T5">
        <v>23400</v>
      </c>
      <c r="U5">
        <v>24700</v>
      </c>
      <c r="V5">
        <v>26000</v>
      </c>
      <c r="W5">
        <v>27300</v>
      </c>
      <c r="X5">
        <v>28600</v>
      </c>
      <c r="Y5">
        <v>29900</v>
      </c>
      <c r="Z5">
        <v>31200</v>
      </c>
      <c r="AA5">
        <v>32500</v>
      </c>
      <c r="AB5">
        <v>33800</v>
      </c>
      <c r="AC5">
        <v>35100</v>
      </c>
      <c r="AD5">
        <v>36400</v>
      </c>
      <c r="AE5">
        <v>37700</v>
      </c>
      <c r="AF5">
        <v>39000</v>
      </c>
      <c r="AG5">
        <v>40300</v>
      </c>
      <c r="AH5">
        <v>41600</v>
      </c>
      <c r="AI5">
        <v>42900</v>
      </c>
      <c r="AJ5">
        <v>44200</v>
      </c>
      <c r="AK5">
        <v>45500</v>
      </c>
      <c r="AL5">
        <v>46800</v>
      </c>
      <c r="AM5">
        <v>48100</v>
      </c>
      <c r="AN5">
        <v>49400</v>
      </c>
      <c r="AO5">
        <v>50700</v>
      </c>
      <c r="AP5">
        <v>52000</v>
      </c>
      <c r="AQ5">
        <v>53300</v>
      </c>
      <c r="AR5">
        <v>54600</v>
      </c>
      <c r="AS5">
        <v>55900</v>
      </c>
      <c r="AT5">
        <v>57200</v>
      </c>
      <c r="AU5">
        <v>58500</v>
      </c>
      <c r="AV5">
        <v>59800</v>
      </c>
      <c r="AW5">
        <v>61100</v>
      </c>
      <c r="AX5">
        <v>62400</v>
      </c>
      <c r="AY5">
        <v>63700</v>
      </c>
      <c r="AZ5">
        <v>65000</v>
      </c>
      <c r="BA5">
        <v>66300</v>
      </c>
      <c r="BB5">
        <v>67600</v>
      </c>
      <c r="BC5">
        <v>68900</v>
      </c>
      <c r="BD5">
        <v>70200</v>
      </c>
      <c r="BE5">
        <v>71500</v>
      </c>
      <c r="BF5">
        <v>72800</v>
      </c>
      <c r="BG5">
        <v>74100</v>
      </c>
      <c r="BH5">
        <v>75400</v>
      </c>
      <c r="BI5">
        <v>76700</v>
      </c>
      <c r="BJ5">
        <v>78000</v>
      </c>
      <c r="BK5">
        <v>79300</v>
      </c>
      <c r="BL5">
        <v>80600</v>
      </c>
      <c r="BM5">
        <v>81900</v>
      </c>
      <c r="BN5">
        <v>83200</v>
      </c>
      <c r="BO5">
        <v>84500</v>
      </c>
      <c r="BP5">
        <v>85800</v>
      </c>
      <c r="BQ5">
        <v>87100</v>
      </c>
      <c r="BR5">
        <v>88400</v>
      </c>
      <c r="BS5">
        <v>89700</v>
      </c>
      <c r="BT5">
        <v>91000</v>
      </c>
      <c r="BU5">
        <v>92300</v>
      </c>
    </row>
    <row r="6" spans="1:73">
      <c r="C6">
        <v>1400</v>
      </c>
      <c r="D6">
        <v>2800</v>
      </c>
      <c r="E6">
        <v>4200</v>
      </c>
      <c r="F6">
        <v>5600</v>
      </c>
      <c r="G6">
        <v>7000</v>
      </c>
      <c r="H6">
        <v>8400</v>
      </c>
      <c r="I6">
        <v>9800</v>
      </c>
      <c r="J6">
        <v>11200</v>
      </c>
      <c r="K6">
        <v>12600</v>
      </c>
      <c r="L6">
        <v>14000</v>
      </c>
      <c r="M6">
        <v>15400</v>
      </c>
      <c r="N6">
        <v>16800</v>
      </c>
      <c r="O6">
        <v>18200</v>
      </c>
      <c r="P6">
        <v>19600</v>
      </c>
      <c r="Q6">
        <v>21000</v>
      </c>
      <c r="R6">
        <v>22400</v>
      </c>
      <c r="S6">
        <v>23800</v>
      </c>
      <c r="T6">
        <v>25200</v>
      </c>
      <c r="U6">
        <v>26600</v>
      </c>
      <c r="V6">
        <v>28000</v>
      </c>
      <c r="W6">
        <v>29400</v>
      </c>
      <c r="X6">
        <v>30800</v>
      </c>
      <c r="Y6">
        <v>32200</v>
      </c>
      <c r="Z6">
        <v>33600</v>
      </c>
      <c r="AA6">
        <v>35000</v>
      </c>
      <c r="AB6">
        <v>36400</v>
      </c>
      <c r="AC6">
        <v>37800</v>
      </c>
      <c r="AD6">
        <v>39200</v>
      </c>
      <c r="AE6">
        <v>40600</v>
      </c>
      <c r="AF6">
        <v>42000</v>
      </c>
      <c r="AG6">
        <v>43400</v>
      </c>
      <c r="AH6">
        <v>44800</v>
      </c>
      <c r="AI6">
        <v>46200</v>
      </c>
      <c r="AJ6">
        <v>47600</v>
      </c>
      <c r="AK6">
        <v>49000</v>
      </c>
      <c r="AL6">
        <v>50400</v>
      </c>
      <c r="AM6">
        <v>51800</v>
      </c>
      <c r="AN6">
        <v>53200</v>
      </c>
      <c r="AO6">
        <v>54600</v>
      </c>
      <c r="AP6">
        <v>56000</v>
      </c>
      <c r="AQ6">
        <v>57400</v>
      </c>
      <c r="AR6">
        <v>58800</v>
      </c>
      <c r="AS6">
        <v>60200</v>
      </c>
      <c r="AT6">
        <v>61600</v>
      </c>
      <c r="AU6">
        <v>63000</v>
      </c>
      <c r="AV6">
        <v>64400</v>
      </c>
      <c r="AW6">
        <v>65800</v>
      </c>
      <c r="AX6">
        <v>67200</v>
      </c>
      <c r="AY6">
        <v>68600</v>
      </c>
      <c r="AZ6">
        <v>70000</v>
      </c>
      <c r="BA6">
        <v>71400</v>
      </c>
      <c r="BB6">
        <v>72800</v>
      </c>
      <c r="BC6">
        <v>74200</v>
      </c>
      <c r="BD6">
        <v>75600</v>
      </c>
      <c r="BE6">
        <v>77000</v>
      </c>
      <c r="BF6">
        <v>78400</v>
      </c>
      <c r="BG6">
        <v>79800</v>
      </c>
      <c r="BH6">
        <v>81200</v>
      </c>
      <c r="BI6">
        <v>82600</v>
      </c>
      <c r="BJ6">
        <v>84000</v>
      </c>
      <c r="BK6">
        <v>85400</v>
      </c>
      <c r="BL6">
        <v>86800</v>
      </c>
      <c r="BM6">
        <v>88200</v>
      </c>
      <c r="BN6">
        <v>89600</v>
      </c>
      <c r="BO6">
        <v>91000</v>
      </c>
      <c r="BP6">
        <v>92400</v>
      </c>
      <c r="BQ6">
        <v>93800</v>
      </c>
      <c r="BR6">
        <v>95200</v>
      </c>
      <c r="BS6">
        <v>96600</v>
      </c>
      <c r="BT6">
        <v>98000</v>
      </c>
      <c r="BU6">
        <v>99400</v>
      </c>
    </row>
    <row r="7" spans="1:73">
      <c r="C7">
        <v>1500</v>
      </c>
      <c r="D7">
        <v>3000</v>
      </c>
      <c r="E7">
        <v>4500</v>
      </c>
      <c r="F7">
        <v>6000</v>
      </c>
      <c r="G7">
        <v>7500</v>
      </c>
      <c r="H7">
        <v>9000</v>
      </c>
      <c r="I7">
        <v>10500</v>
      </c>
      <c r="J7">
        <v>12000</v>
      </c>
      <c r="K7">
        <v>13500</v>
      </c>
      <c r="L7">
        <v>15000</v>
      </c>
      <c r="M7">
        <v>16500</v>
      </c>
      <c r="N7">
        <v>18000</v>
      </c>
      <c r="O7">
        <v>19500</v>
      </c>
      <c r="P7">
        <v>21000</v>
      </c>
      <c r="Q7">
        <v>22500</v>
      </c>
      <c r="R7">
        <v>24000</v>
      </c>
      <c r="S7">
        <v>25500</v>
      </c>
      <c r="T7">
        <v>27000</v>
      </c>
      <c r="U7">
        <v>28500</v>
      </c>
      <c r="V7">
        <v>30000</v>
      </c>
      <c r="W7">
        <v>31500</v>
      </c>
      <c r="X7">
        <v>33000</v>
      </c>
      <c r="Y7">
        <v>34500</v>
      </c>
      <c r="Z7">
        <v>36000</v>
      </c>
      <c r="AA7">
        <v>37500</v>
      </c>
      <c r="AB7">
        <v>39000</v>
      </c>
      <c r="AC7">
        <v>40500</v>
      </c>
      <c r="AD7">
        <v>42000</v>
      </c>
      <c r="AE7">
        <v>43500</v>
      </c>
      <c r="AF7">
        <v>45000</v>
      </c>
      <c r="AG7">
        <v>46500</v>
      </c>
      <c r="AH7">
        <v>48000</v>
      </c>
      <c r="AI7">
        <v>49500</v>
      </c>
      <c r="AJ7">
        <v>51000</v>
      </c>
      <c r="AK7">
        <v>52500</v>
      </c>
      <c r="AL7">
        <v>54000</v>
      </c>
      <c r="AM7">
        <v>55500</v>
      </c>
      <c r="AN7">
        <v>57000</v>
      </c>
      <c r="AO7">
        <v>58500</v>
      </c>
      <c r="AP7">
        <v>60000</v>
      </c>
      <c r="AQ7">
        <v>61500</v>
      </c>
      <c r="AR7">
        <v>63000</v>
      </c>
      <c r="AS7">
        <v>64500</v>
      </c>
      <c r="AT7">
        <v>66000</v>
      </c>
      <c r="AU7">
        <v>67500</v>
      </c>
      <c r="AV7">
        <v>69000</v>
      </c>
      <c r="AW7">
        <v>70500</v>
      </c>
      <c r="AX7">
        <v>72000</v>
      </c>
      <c r="AY7">
        <v>73500</v>
      </c>
      <c r="AZ7">
        <v>75000</v>
      </c>
      <c r="BA7">
        <v>76500</v>
      </c>
      <c r="BB7">
        <v>78000</v>
      </c>
      <c r="BC7">
        <v>79500</v>
      </c>
      <c r="BD7">
        <v>81000</v>
      </c>
      <c r="BE7">
        <v>82500</v>
      </c>
      <c r="BF7">
        <v>84000</v>
      </c>
      <c r="BG7">
        <v>85500</v>
      </c>
      <c r="BH7">
        <v>87000</v>
      </c>
      <c r="BI7">
        <v>88500</v>
      </c>
      <c r="BJ7">
        <v>90000</v>
      </c>
      <c r="BK7">
        <v>91500</v>
      </c>
      <c r="BL7">
        <v>93000</v>
      </c>
      <c r="BM7">
        <v>94500</v>
      </c>
      <c r="BN7">
        <v>96000</v>
      </c>
      <c r="BO7">
        <v>97500</v>
      </c>
      <c r="BP7">
        <v>99000</v>
      </c>
      <c r="BQ7">
        <v>100500</v>
      </c>
      <c r="BR7">
        <v>102000</v>
      </c>
      <c r="BS7">
        <v>103500</v>
      </c>
      <c r="BT7">
        <v>105000</v>
      </c>
      <c r="BU7">
        <v>106500</v>
      </c>
    </row>
    <row r="8" spans="1:73">
      <c r="C8">
        <v>1600</v>
      </c>
      <c r="D8">
        <v>3200</v>
      </c>
      <c r="E8">
        <v>4800</v>
      </c>
      <c r="F8">
        <v>6400</v>
      </c>
      <c r="G8">
        <v>8000</v>
      </c>
      <c r="H8">
        <v>9600</v>
      </c>
      <c r="I8">
        <v>11200</v>
      </c>
      <c r="J8">
        <v>12800</v>
      </c>
      <c r="K8">
        <v>14400</v>
      </c>
      <c r="L8">
        <v>16000</v>
      </c>
      <c r="M8">
        <v>17600</v>
      </c>
      <c r="N8">
        <v>19200</v>
      </c>
      <c r="O8">
        <v>20800</v>
      </c>
      <c r="P8">
        <v>22400</v>
      </c>
      <c r="Q8">
        <v>24000</v>
      </c>
      <c r="R8">
        <v>25600</v>
      </c>
      <c r="S8">
        <v>27200</v>
      </c>
      <c r="T8">
        <v>28800</v>
      </c>
      <c r="U8">
        <v>30400</v>
      </c>
      <c r="V8">
        <v>32000</v>
      </c>
      <c r="W8">
        <v>33600</v>
      </c>
      <c r="X8">
        <v>35200</v>
      </c>
      <c r="Y8">
        <v>36800</v>
      </c>
      <c r="Z8">
        <v>38400</v>
      </c>
      <c r="AA8">
        <v>40000</v>
      </c>
      <c r="AB8">
        <v>41600</v>
      </c>
      <c r="AC8">
        <v>43200</v>
      </c>
      <c r="AD8">
        <v>44800</v>
      </c>
      <c r="AE8">
        <v>46400</v>
      </c>
      <c r="AF8">
        <v>48000</v>
      </c>
      <c r="AG8">
        <v>49600</v>
      </c>
      <c r="AH8">
        <v>51200</v>
      </c>
      <c r="AI8">
        <v>52800</v>
      </c>
      <c r="AJ8">
        <v>54400</v>
      </c>
      <c r="AK8">
        <v>56000</v>
      </c>
      <c r="AL8">
        <v>57600</v>
      </c>
      <c r="AM8">
        <v>59200</v>
      </c>
      <c r="AN8">
        <v>60800</v>
      </c>
      <c r="AO8">
        <v>62400</v>
      </c>
      <c r="AP8">
        <v>64000</v>
      </c>
      <c r="AQ8">
        <v>65600</v>
      </c>
      <c r="AR8">
        <v>67200</v>
      </c>
      <c r="AS8">
        <v>68800</v>
      </c>
      <c r="AT8">
        <v>70400</v>
      </c>
      <c r="AU8">
        <v>72000</v>
      </c>
      <c r="AV8">
        <v>73600</v>
      </c>
      <c r="AW8">
        <v>75200</v>
      </c>
      <c r="AX8">
        <v>76800</v>
      </c>
      <c r="AY8">
        <v>78400</v>
      </c>
      <c r="AZ8">
        <v>80000</v>
      </c>
      <c r="BA8">
        <v>81600</v>
      </c>
      <c r="BB8">
        <v>83200</v>
      </c>
      <c r="BC8">
        <v>84800</v>
      </c>
      <c r="BD8">
        <v>86400</v>
      </c>
      <c r="BE8">
        <v>88000</v>
      </c>
      <c r="BF8">
        <v>89600</v>
      </c>
      <c r="BG8">
        <v>91200</v>
      </c>
      <c r="BH8">
        <v>92800</v>
      </c>
      <c r="BI8">
        <v>94400</v>
      </c>
      <c r="BJ8">
        <v>96000</v>
      </c>
      <c r="BK8">
        <v>97600</v>
      </c>
      <c r="BL8">
        <v>99200</v>
      </c>
      <c r="BM8">
        <v>100800</v>
      </c>
      <c r="BN8">
        <v>102400</v>
      </c>
      <c r="BO8">
        <v>104000</v>
      </c>
      <c r="BP8">
        <v>105600</v>
      </c>
      <c r="BQ8">
        <v>107200</v>
      </c>
      <c r="BR8">
        <v>108800</v>
      </c>
      <c r="BS8">
        <v>110400</v>
      </c>
      <c r="BT8">
        <v>112000</v>
      </c>
      <c r="BU8">
        <v>113600</v>
      </c>
    </row>
    <row r="9" spans="1:73">
      <c r="C9">
        <v>1700</v>
      </c>
      <c r="D9">
        <v>3400</v>
      </c>
      <c r="E9">
        <v>5100</v>
      </c>
      <c r="F9">
        <v>6800</v>
      </c>
      <c r="G9">
        <v>8500</v>
      </c>
      <c r="H9">
        <v>10200</v>
      </c>
      <c r="I9">
        <v>11900</v>
      </c>
      <c r="J9">
        <v>13600</v>
      </c>
      <c r="K9">
        <v>15300</v>
      </c>
      <c r="L9">
        <v>17000</v>
      </c>
      <c r="M9">
        <v>18700</v>
      </c>
      <c r="N9">
        <v>20400</v>
      </c>
      <c r="O9">
        <v>22100</v>
      </c>
      <c r="P9">
        <v>23800</v>
      </c>
      <c r="Q9">
        <v>25500</v>
      </c>
      <c r="R9">
        <v>27200</v>
      </c>
      <c r="S9">
        <v>28900</v>
      </c>
      <c r="T9">
        <v>30600</v>
      </c>
      <c r="U9">
        <v>32300</v>
      </c>
      <c r="V9">
        <v>34000</v>
      </c>
      <c r="W9">
        <v>35700</v>
      </c>
      <c r="X9">
        <v>37400</v>
      </c>
      <c r="Y9">
        <v>39100</v>
      </c>
      <c r="Z9">
        <v>40800</v>
      </c>
      <c r="AA9">
        <v>42500</v>
      </c>
      <c r="AB9">
        <v>44200</v>
      </c>
      <c r="AC9">
        <v>45900</v>
      </c>
      <c r="AD9">
        <v>47600</v>
      </c>
      <c r="AE9">
        <v>49300</v>
      </c>
      <c r="AF9">
        <v>51000</v>
      </c>
      <c r="AG9">
        <v>52700</v>
      </c>
      <c r="AH9">
        <v>54400</v>
      </c>
      <c r="AI9">
        <v>56100</v>
      </c>
      <c r="AJ9">
        <v>57800</v>
      </c>
      <c r="AK9">
        <v>59500</v>
      </c>
      <c r="AL9">
        <v>61200</v>
      </c>
      <c r="AM9">
        <v>62900</v>
      </c>
      <c r="AN9">
        <v>64600</v>
      </c>
      <c r="AO9">
        <v>66300</v>
      </c>
      <c r="AP9">
        <v>68000</v>
      </c>
      <c r="AQ9">
        <v>69700</v>
      </c>
      <c r="AR9">
        <v>71400</v>
      </c>
      <c r="AS9">
        <v>73100</v>
      </c>
      <c r="AT9">
        <v>74800</v>
      </c>
      <c r="AU9">
        <v>76500</v>
      </c>
      <c r="AV9">
        <v>78200</v>
      </c>
      <c r="AW9">
        <v>79900</v>
      </c>
      <c r="AX9">
        <v>81600</v>
      </c>
      <c r="AY9">
        <v>83300</v>
      </c>
      <c r="AZ9">
        <v>85000</v>
      </c>
      <c r="BA9">
        <v>86700</v>
      </c>
      <c r="BB9">
        <v>88400</v>
      </c>
      <c r="BC9">
        <v>90100</v>
      </c>
      <c r="BD9">
        <v>91800</v>
      </c>
      <c r="BE9">
        <v>93500</v>
      </c>
      <c r="BF9">
        <v>95200</v>
      </c>
      <c r="BG9">
        <v>96900</v>
      </c>
      <c r="BH9">
        <v>98600</v>
      </c>
      <c r="BI9">
        <v>100300</v>
      </c>
      <c r="BJ9">
        <v>102000</v>
      </c>
      <c r="BK9">
        <v>103700</v>
      </c>
      <c r="BL9">
        <v>105400</v>
      </c>
      <c r="BM9">
        <v>107100</v>
      </c>
      <c r="BN9">
        <v>108800</v>
      </c>
      <c r="BO9">
        <v>110500</v>
      </c>
      <c r="BP9">
        <v>112200</v>
      </c>
      <c r="BQ9">
        <v>113900</v>
      </c>
      <c r="BR9">
        <v>115600</v>
      </c>
      <c r="BS9">
        <v>117300</v>
      </c>
      <c r="BT9">
        <v>119000</v>
      </c>
      <c r="BU9">
        <v>120700</v>
      </c>
    </row>
    <row r="10" spans="1:73">
      <c r="C10">
        <v>1800</v>
      </c>
      <c r="D10">
        <v>3600</v>
      </c>
      <c r="E10">
        <v>5400</v>
      </c>
      <c r="F10">
        <v>7200</v>
      </c>
      <c r="G10">
        <v>9000</v>
      </c>
      <c r="H10">
        <v>10800</v>
      </c>
      <c r="I10">
        <v>12600</v>
      </c>
      <c r="J10">
        <v>14400</v>
      </c>
      <c r="K10">
        <v>16200</v>
      </c>
      <c r="L10">
        <v>18000</v>
      </c>
      <c r="M10">
        <v>19800</v>
      </c>
      <c r="N10">
        <v>21600</v>
      </c>
      <c r="O10">
        <v>23400</v>
      </c>
      <c r="P10">
        <v>25200</v>
      </c>
      <c r="Q10">
        <v>27000</v>
      </c>
      <c r="R10">
        <v>28800</v>
      </c>
      <c r="S10">
        <v>30600</v>
      </c>
      <c r="T10">
        <v>32400</v>
      </c>
      <c r="U10">
        <v>34200</v>
      </c>
      <c r="V10">
        <v>36000</v>
      </c>
      <c r="W10">
        <v>37800</v>
      </c>
      <c r="X10">
        <v>39600</v>
      </c>
      <c r="Y10">
        <v>41400</v>
      </c>
      <c r="Z10">
        <v>43200</v>
      </c>
      <c r="AA10">
        <v>45000</v>
      </c>
      <c r="AB10">
        <v>46800</v>
      </c>
      <c r="AC10">
        <v>48600</v>
      </c>
      <c r="AD10">
        <v>50400</v>
      </c>
      <c r="AE10">
        <v>52200</v>
      </c>
      <c r="AF10">
        <v>54000</v>
      </c>
      <c r="AG10">
        <v>55800</v>
      </c>
      <c r="AH10">
        <v>57600</v>
      </c>
      <c r="AI10">
        <v>59400</v>
      </c>
      <c r="AJ10">
        <v>61200</v>
      </c>
      <c r="AK10">
        <v>63000</v>
      </c>
      <c r="AL10">
        <v>64800</v>
      </c>
      <c r="AM10">
        <v>66600</v>
      </c>
      <c r="AN10">
        <v>68400</v>
      </c>
      <c r="AO10">
        <v>70200</v>
      </c>
      <c r="AP10">
        <v>72000</v>
      </c>
      <c r="AQ10">
        <v>73800</v>
      </c>
      <c r="AR10">
        <v>75600</v>
      </c>
      <c r="AS10">
        <v>77400</v>
      </c>
      <c r="AT10">
        <v>79200</v>
      </c>
      <c r="AU10">
        <v>81000</v>
      </c>
      <c r="AV10">
        <v>82800</v>
      </c>
      <c r="AW10">
        <v>84600</v>
      </c>
      <c r="AX10">
        <v>86400</v>
      </c>
      <c r="AY10">
        <v>88200</v>
      </c>
      <c r="AZ10">
        <v>90000</v>
      </c>
      <c r="BA10">
        <v>91800</v>
      </c>
      <c r="BB10">
        <v>93600</v>
      </c>
      <c r="BC10">
        <v>95400</v>
      </c>
      <c r="BD10">
        <v>97200</v>
      </c>
      <c r="BE10">
        <v>99000</v>
      </c>
      <c r="BF10">
        <v>100800</v>
      </c>
      <c r="BG10">
        <v>102600</v>
      </c>
      <c r="BH10">
        <v>104400</v>
      </c>
      <c r="BI10">
        <v>106200</v>
      </c>
      <c r="BJ10">
        <v>108000</v>
      </c>
      <c r="BK10">
        <v>109800</v>
      </c>
      <c r="BL10">
        <v>111600</v>
      </c>
      <c r="BM10">
        <v>113400</v>
      </c>
      <c r="BN10">
        <v>115200</v>
      </c>
      <c r="BO10">
        <v>117000</v>
      </c>
      <c r="BP10">
        <v>118800</v>
      </c>
      <c r="BQ10">
        <v>120600</v>
      </c>
      <c r="BR10">
        <v>122400</v>
      </c>
      <c r="BS10">
        <v>124200</v>
      </c>
      <c r="BT10">
        <v>126000</v>
      </c>
      <c r="BU10">
        <v>127800</v>
      </c>
    </row>
    <row r="11" spans="1:73">
      <c r="B11" t="s">
        <v>410</v>
      </c>
      <c r="C11">
        <f>SUM(C2:C10)</f>
        <v>12600</v>
      </c>
    </row>
    <row r="13" spans="1:73">
      <c r="C13" t="str">
        <f t="shared" ref="C13:BN13" si="0">_xlfn.TEXTJOIN("_",TRUE,$A$2,C2)</f>
        <v>1990000_1000</v>
      </c>
      <c r="D13" t="str">
        <f t="shared" si="0"/>
        <v>1990000_2000</v>
      </c>
      <c r="E13" t="str">
        <f t="shared" si="0"/>
        <v>1990000_3000</v>
      </c>
      <c r="F13" t="str">
        <f t="shared" si="0"/>
        <v>1990000_4000</v>
      </c>
      <c r="G13" t="str">
        <f t="shared" si="0"/>
        <v>1990000_5000</v>
      </c>
      <c r="H13" t="str">
        <f t="shared" si="0"/>
        <v>1990000_6000</v>
      </c>
      <c r="I13" t="str">
        <f t="shared" si="0"/>
        <v>1990000_7000</v>
      </c>
      <c r="J13" t="str">
        <f t="shared" si="0"/>
        <v>1990000_8000</v>
      </c>
      <c r="K13" t="str">
        <f t="shared" si="0"/>
        <v>1990000_9000</v>
      </c>
      <c r="L13" t="str">
        <f t="shared" si="0"/>
        <v>1990000_10000</v>
      </c>
      <c r="M13" t="str">
        <f t="shared" si="0"/>
        <v>1990000_11000</v>
      </c>
      <c r="N13" t="str">
        <f t="shared" si="0"/>
        <v>1990000_12000</v>
      </c>
      <c r="O13" t="str">
        <f t="shared" si="0"/>
        <v>1990000_13000</v>
      </c>
      <c r="P13" t="str">
        <f t="shared" si="0"/>
        <v>1990000_14000</v>
      </c>
      <c r="Q13" t="str">
        <f t="shared" si="0"/>
        <v>1990000_15000</v>
      </c>
      <c r="R13" t="str">
        <f t="shared" si="0"/>
        <v>1990000_16000</v>
      </c>
      <c r="S13" t="str">
        <f t="shared" si="0"/>
        <v>1990000_17000</v>
      </c>
      <c r="T13" t="str">
        <f t="shared" si="0"/>
        <v>1990000_18000</v>
      </c>
      <c r="U13" t="str">
        <f t="shared" si="0"/>
        <v>1990000_19000</v>
      </c>
      <c r="V13" t="str">
        <f t="shared" si="0"/>
        <v>1990000_20000</v>
      </c>
      <c r="W13" t="str">
        <f t="shared" si="0"/>
        <v>1990000_21000</v>
      </c>
      <c r="X13" t="str">
        <f t="shared" si="0"/>
        <v>1990000_22000</v>
      </c>
      <c r="Y13" t="str">
        <f t="shared" si="0"/>
        <v>1990000_23000</v>
      </c>
      <c r="Z13" t="str">
        <f t="shared" si="0"/>
        <v>1990000_24000</v>
      </c>
      <c r="AA13" t="str">
        <f t="shared" si="0"/>
        <v>1990000_25000</v>
      </c>
      <c r="AB13" t="str">
        <f t="shared" si="0"/>
        <v>1990000_26000</v>
      </c>
      <c r="AC13" t="str">
        <f t="shared" si="0"/>
        <v>1990000_27000</v>
      </c>
      <c r="AD13" t="str">
        <f t="shared" si="0"/>
        <v>1990000_28000</v>
      </c>
      <c r="AE13" t="str">
        <f t="shared" si="0"/>
        <v>1990000_29000</v>
      </c>
      <c r="AF13" t="str">
        <f t="shared" si="0"/>
        <v>1990000_30000</v>
      </c>
      <c r="AG13" t="str">
        <f t="shared" si="0"/>
        <v>1990000_31000</v>
      </c>
      <c r="AH13" t="str">
        <f t="shared" si="0"/>
        <v>1990000_32000</v>
      </c>
      <c r="AI13" t="str">
        <f t="shared" si="0"/>
        <v>1990000_33000</v>
      </c>
      <c r="AJ13" t="str">
        <f t="shared" si="0"/>
        <v>1990000_34000</v>
      </c>
      <c r="AK13" t="str">
        <f t="shared" si="0"/>
        <v>1990000_35000</v>
      </c>
      <c r="AL13" t="str">
        <f t="shared" si="0"/>
        <v>1990000_36000</v>
      </c>
      <c r="AM13" t="str">
        <f t="shared" si="0"/>
        <v>1990000_37000</v>
      </c>
      <c r="AN13" t="str">
        <f t="shared" si="0"/>
        <v>1990000_38000</v>
      </c>
      <c r="AO13" t="str">
        <f t="shared" si="0"/>
        <v>1990000_39000</v>
      </c>
      <c r="AP13" t="str">
        <f t="shared" si="0"/>
        <v>1990000_40000</v>
      </c>
      <c r="AQ13" t="str">
        <f t="shared" si="0"/>
        <v>1990000_41000</v>
      </c>
      <c r="AR13" t="str">
        <f t="shared" si="0"/>
        <v>1990000_42000</v>
      </c>
      <c r="AS13" t="str">
        <f t="shared" si="0"/>
        <v>1990000_43000</v>
      </c>
      <c r="AT13" t="str">
        <f t="shared" si="0"/>
        <v>1990000_44000</v>
      </c>
      <c r="AU13" t="str">
        <f t="shared" si="0"/>
        <v>1990000_45000</v>
      </c>
      <c r="AV13" t="str">
        <f t="shared" si="0"/>
        <v>1990000_46000</v>
      </c>
      <c r="AW13" t="str">
        <f t="shared" si="0"/>
        <v>1990000_47000</v>
      </c>
      <c r="AX13" t="str">
        <f t="shared" si="0"/>
        <v>1990000_48000</v>
      </c>
      <c r="AY13" t="str">
        <f t="shared" si="0"/>
        <v>1990000_49000</v>
      </c>
      <c r="AZ13" t="str">
        <f t="shared" si="0"/>
        <v>1990000_50000</v>
      </c>
      <c r="BA13" t="str">
        <f t="shared" si="0"/>
        <v>1990000_51000</v>
      </c>
      <c r="BB13" t="str">
        <f t="shared" si="0"/>
        <v>1990000_52000</v>
      </c>
      <c r="BC13" t="str">
        <f t="shared" si="0"/>
        <v>1990000_53000</v>
      </c>
      <c r="BD13" t="str">
        <f t="shared" si="0"/>
        <v>1990000_54000</v>
      </c>
      <c r="BE13" t="str">
        <f t="shared" si="0"/>
        <v>1990000_55000</v>
      </c>
      <c r="BF13" t="str">
        <f t="shared" si="0"/>
        <v>1990000_56000</v>
      </c>
      <c r="BG13" t="str">
        <f t="shared" si="0"/>
        <v>1990000_57000</v>
      </c>
      <c r="BH13" t="str">
        <f t="shared" si="0"/>
        <v>1990000_58000</v>
      </c>
      <c r="BI13" t="str">
        <f t="shared" si="0"/>
        <v>1990000_59000</v>
      </c>
      <c r="BJ13" t="str">
        <f t="shared" si="0"/>
        <v>1990000_60000</v>
      </c>
      <c r="BK13" t="str">
        <f t="shared" si="0"/>
        <v>1990000_61000</v>
      </c>
      <c r="BL13" t="str">
        <f t="shared" si="0"/>
        <v>1990000_62000</v>
      </c>
      <c r="BM13" t="str">
        <f t="shared" si="0"/>
        <v>1990000_63000</v>
      </c>
      <c r="BN13" t="str">
        <f t="shared" si="0"/>
        <v>1990000_64000</v>
      </c>
      <c r="BO13" t="str">
        <f t="shared" ref="BO13:BU13" si="1">_xlfn.TEXTJOIN("_",TRUE,$A$2,BO2)</f>
        <v>1990000_65000</v>
      </c>
      <c r="BP13" t="str">
        <f t="shared" si="1"/>
        <v>1990000_66000</v>
      </c>
      <c r="BQ13" t="str">
        <f t="shared" si="1"/>
        <v>1990000_67000</v>
      </c>
      <c r="BR13" t="str">
        <f t="shared" si="1"/>
        <v>1990000_68000</v>
      </c>
      <c r="BS13" t="str">
        <f t="shared" si="1"/>
        <v>1990000_69000</v>
      </c>
      <c r="BT13" t="str">
        <f t="shared" si="1"/>
        <v>1990000_70000</v>
      </c>
      <c r="BU13" t="str">
        <f t="shared" si="1"/>
        <v>1990000_71000</v>
      </c>
    </row>
    <row r="14" spans="1:73">
      <c r="C14" t="str">
        <f t="shared" ref="C14:BN14" si="2">_xlfn.TEXTJOIN("_",TRUE,$A$2,C3)</f>
        <v>1990000_1100</v>
      </c>
      <c r="D14" t="str">
        <f t="shared" si="2"/>
        <v>1990000_2200</v>
      </c>
      <c r="E14" t="str">
        <f t="shared" si="2"/>
        <v>1990000_3300</v>
      </c>
      <c r="F14" t="str">
        <f t="shared" si="2"/>
        <v>1990000_4400</v>
      </c>
      <c r="G14" t="str">
        <f t="shared" si="2"/>
        <v>1990000_5500</v>
      </c>
      <c r="H14" t="str">
        <f t="shared" si="2"/>
        <v>1990000_6600</v>
      </c>
      <c r="I14" t="str">
        <f t="shared" si="2"/>
        <v>1990000_7700</v>
      </c>
      <c r="J14" t="str">
        <f t="shared" si="2"/>
        <v>1990000_8800</v>
      </c>
      <c r="K14" t="str">
        <f t="shared" si="2"/>
        <v>1990000_9900</v>
      </c>
      <c r="L14" t="str">
        <f t="shared" si="2"/>
        <v>1990000_11000</v>
      </c>
      <c r="M14" t="str">
        <f t="shared" si="2"/>
        <v>1990000_12100</v>
      </c>
      <c r="N14" t="str">
        <f t="shared" si="2"/>
        <v>1990000_13200</v>
      </c>
      <c r="O14" t="str">
        <f t="shared" si="2"/>
        <v>1990000_14300</v>
      </c>
      <c r="P14" t="str">
        <f t="shared" si="2"/>
        <v>1990000_15400</v>
      </c>
      <c r="Q14" t="str">
        <f t="shared" si="2"/>
        <v>1990000_16500</v>
      </c>
      <c r="R14" t="str">
        <f t="shared" si="2"/>
        <v>1990000_17600</v>
      </c>
      <c r="S14" t="str">
        <f t="shared" si="2"/>
        <v>1990000_18700</v>
      </c>
      <c r="T14" t="str">
        <f t="shared" si="2"/>
        <v>1990000_19800</v>
      </c>
      <c r="U14" t="str">
        <f t="shared" si="2"/>
        <v>1990000_20900</v>
      </c>
      <c r="V14" t="str">
        <f t="shared" si="2"/>
        <v>1990000_22000</v>
      </c>
      <c r="W14" t="str">
        <f t="shared" si="2"/>
        <v>1990000_23100</v>
      </c>
      <c r="X14" t="str">
        <f t="shared" si="2"/>
        <v>1990000_24200</v>
      </c>
      <c r="Y14" t="str">
        <f t="shared" si="2"/>
        <v>1990000_25300</v>
      </c>
      <c r="Z14" t="str">
        <f t="shared" si="2"/>
        <v>1990000_26400</v>
      </c>
      <c r="AA14" t="str">
        <f t="shared" si="2"/>
        <v>1990000_27500</v>
      </c>
      <c r="AB14" t="str">
        <f t="shared" si="2"/>
        <v>1990000_28600</v>
      </c>
      <c r="AC14" t="str">
        <f t="shared" si="2"/>
        <v>1990000_29700</v>
      </c>
      <c r="AD14" t="str">
        <f t="shared" si="2"/>
        <v>1990000_30800</v>
      </c>
      <c r="AE14" t="str">
        <f t="shared" si="2"/>
        <v>1990000_31900</v>
      </c>
      <c r="AF14" t="str">
        <f t="shared" si="2"/>
        <v>1990000_33000</v>
      </c>
      <c r="AG14" t="str">
        <f t="shared" si="2"/>
        <v>1990000_34100</v>
      </c>
      <c r="AH14" t="str">
        <f t="shared" si="2"/>
        <v>1990000_35200</v>
      </c>
      <c r="AI14" t="str">
        <f t="shared" si="2"/>
        <v>1990000_36300</v>
      </c>
      <c r="AJ14" t="str">
        <f t="shared" si="2"/>
        <v>1990000_37400</v>
      </c>
      <c r="AK14" t="str">
        <f t="shared" si="2"/>
        <v>1990000_38500</v>
      </c>
      <c r="AL14" t="str">
        <f t="shared" si="2"/>
        <v>1990000_39600</v>
      </c>
      <c r="AM14" t="str">
        <f t="shared" si="2"/>
        <v>1990000_40700</v>
      </c>
      <c r="AN14" t="str">
        <f t="shared" si="2"/>
        <v>1990000_41800</v>
      </c>
      <c r="AO14" t="str">
        <f t="shared" si="2"/>
        <v>1990000_42900</v>
      </c>
      <c r="AP14" t="str">
        <f t="shared" si="2"/>
        <v>1990000_44000</v>
      </c>
      <c r="AQ14" t="str">
        <f t="shared" si="2"/>
        <v>1990000_45100</v>
      </c>
      <c r="AR14" t="str">
        <f t="shared" si="2"/>
        <v>1990000_46200</v>
      </c>
      <c r="AS14" t="str">
        <f t="shared" si="2"/>
        <v>1990000_47300</v>
      </c>
      <c r="AT14" t="str">
        <f t="shared" si="2"/>
        <v>1990000_48400</v>
      </c>
      <c r="AU14" t="str">
        <f t="shared" si="2"/>
        <v>1990000_49500</v>
      </c>
      <c r="AV14" t="str">
        <f t="shared" si="2"/>
        <v>1990000_50600</v>
      </c>
      <c r="AW14" t="str">
        <f t="shared" si="2"/>
        <v>1990000_51700</v>
      </c>
      <c r="AX14" t="str">
        <f t="shared" si="2"/>
        <v>1990000_52800</v>
      </c>
      <c r="AY14" t="str">
        <f t="shared" si="2"/>
        <v>1990000_53900</v>
      </c>
      <c r="AZ14" t="str">
        <f t="shared" si="2"/>
        <v>1990000_55000</v>
      </c>
      <c r="BA14" t="str">
        <f t="shared" si="2"/>
        <v>1990000_56100</v>
      </c>
      <c r="BB14" t="str">
        <f t="shared" si="2"/>
        <v>1990000_57200</v>
      </c>
      <c r="BC14" t="str">
        <f t="shared" si="2"/>
        <v>1990000_58300</v>
      </c>
      <c r="BD14" t="str">
        <f t="shared" si="2"/>
        <v>1990000_59400</v>
      </c>
      <c r="BE14" t="str">
        <f t="shared" si="2"/>
        <v>1990000_60500</v>
      </c>
      <c r="BF14" t="str">
        <f t="shared" si="2"/>
        <v>1990000_61600</v>
      </c>
      <c r="BG14" t="str">
        <f t="shared" si="2"/>
        <v>1990000_62700</v>
      </c>
      <c r="BH14" t="str">
        <f t="shared" si="2"/>
        <v>1990000_63800</v>
      </c>
      <c r="BI14" t="str">
        <f t="shared" si="2"/>
        <v>1990000_64900</v>
      </c>
      <c r="BJ14" t="str">
        <f t="shared" si="2"/>
        <v>1990000_66000</v>
      </c>
      <c r="BK14" t="str">
        <f t="shared" si="2"/>
        <v>1990000_67100</v>
      </c>
      <c r="BL14" t="str">
        <f t="shared" si="2"/>
        <v>1990000_68200</v>
      </c>
      <c r="BM14" t="str">
        <f t="shared" si="2"/>
        <v>1990000_69300</v>
      </c>
      <c r="BN14" t="str">
        <f t="shared" si="2"/>
        <v>1990000_70400</v>
      </c>
      <c r="BO14" t="str">
        <f t="shared" ref="BO14:BU14" si="3">_xlfn.TEXTJOIN("_",TRUE,$A$2,BO3)</f>
        <v>1990000_71500</v>
      </c>
      <c r="BP14" t="str">
        <f t="shared" si="3"/>
        <v>1990000_72600</v>
      </c>
      <c r="BQ14" t="str">
        <f t="shared" si="3"/>
        <v>1990000_73700</v>
      </c>
      <c r="BR14" t="str">
        <f t="shared" si="3"/>
        <v>1990000_74800</v>
      </c>
      <c r="BS14" t="str">
        <f t="shared" si="3"/>
        <v>1990000_75900</v>
      </c>
      <c r="BT14" t="str">
        <f t="shared" si="3"/>
        <v>1990000_77000</v>
      </c>
      <c r="BU14" t="str">
        <f t="shared" si="3"/>
        <v>1990000_78100</v>
      </c>
    </row>
    <row r="15" spans="1:73">
      <c r="C15" t="str">
        <f t="shared" ref="C15:BN15" si="4">_xlfn.TEXTJOIN("_",TRUE,$A$2,C4)</f>
        <v>1990000_1200</v>
      </c>
      <c r="D15" t="str">
        <f t="shared" si="4"/>
        <v>1990000_2400</v>
      </c>
      <c r="E15" t="str">
        <f t="shared" si="4"/>
        <v>1990000_3600</v>
      </c>
      <c r="F15" t="str">
        <f t="shared" si="4"/>
        <v>1990000_4800</v>
      </c>
      <c r="G15" t="str">
        <f t="shared" si="4"/>
        <v>1990000_6000</v>
      </c>
      <c r="H15" t="str">
        <f t="shared" si="4"/>
        <v>1990000_7200</v>
      </c>
      <c r="I15" t="str">
        <f t="shared" si="4"/>
        <v>1990000_8400</v>
      </c>
      <c r="J15" t="str">
        <f t="shared" si="4"/>
        <v>1990000_9600</v>
      </c>
      <c r="K15" t="str">
        <f t="shared" si="4"/>
        <v>1990000_10800</v>
      </c>
      <c r="L15" t="str">
        <f t="shared" si="4"/>
        <v>1990000_12000</v>
      </c>
      <c r="M15" t="str">
        <f t="shared" si="4"/>
        <v>1990000_13200</v>
      </c>
      <c r="N15" t="str">
        <f t="shared" si="4"/>
        <v>1990000_14400</v>
      </c>
      <c r="O15" t="str">
        <f t="shared" si="4"/>
        <v>1990000_15600</v>
      </c>
      <c r="P15" t="str">
        <f t="shared" si="4"/>
        <v>1990000_16800</v>
      </c>
      <c r="Q15" t="str">
        <f t="shared" si="4"/>
        <v>1990000_18000</v>
      </c>
      <c r="R15" t="str">
        <f t="shared" si="4"/>
        <v>1990000_19200</v>
      </c>
      <c r="S15" t="str">
        <f t="shared" si="4"/>
        <v>1990000_20400</v>
      </c>
      <c r="T15" t="str">
        <f t="shared" si="4"/>
        <v>1990000_21600</v>
      </c>
      <c r="U15" t="str">
        <f t="shared" si="4"/>
        <v>1990000_22800</v>
      </c>
      <c r="V15" t="str">
        <f t="shared" si="4"/>
        <v>1990000_24000</v>
      </c>
      <c r="W15" t="str">
        <f t="shared" si="4"/>
        <v>1990000_25200</v>
      </c>
      <c r="X15" t="str">
        <f t="shared" si="4"/>
        <v>1990000_26400</v>
      </c>
      <c r="Y15" t="str">
        <f t="shared" si="4"/>
        <v>1990000_27600</v>
      </c>
      <c r="Z15" t="str">
        <f t="shared" si="4"/>
        <v>1990000_28800</v>
      </c>
      <c r="AA15" t="str">
        <f t="shared" si="4"/>
        <v>1990000_30000</v>
      </c>
      <c r="AB15" t="str">
        <f t="shared" si="4"/>
        <v>1990000_31200</v>
      </c>
      <c r="AC15" t="str">
        <f t="shared" si="4"/>
        <v>1990000_32400</v>
      </c>
      <c r="AD15" t="str">
        <f t="shared" si="4"/>
        <v>1990000_33600</v>
      </c>
      <c r="AE15" t="str">
        <f t="shared" si="4"/>
        <v>1990000_34800</v>
      </c>
      <c r="AF15" t="str">
        <f t="shared" si="4"/>
        <v>1990000_36000</v>
      </c>
      <c r="AG15" t="str">
        <f t="shared" si="4"/>
        <v>1990000_37200</v>
      </c>
      <c r="AH15" t="str">
        <f t="shared" si="4"/>
        <v>1990000_38400</v>
      </c>
      <c r="AI15" t="str">
        <f t="shared" si="4"/>
        <v>1990000_39600</v>
      </c>
      <c r="AJ15" t="str">
        <f t="shared" si="4"/>
        <v>1990000_40800</v>
      </c>
      <c r="AK15" t="str">
        <f t="shared" si="4"/>
        <v>1990000_42000</v>
      </c>
      <c r="AL15" t="str">
        <f t="shared" si="4"/>
        <v>1990000_43200</v>
      </c>
      <c r="AM15" t="str">
        <f t="shared" si="4"/>
        <v>1990000_44400</v>
      </c>
      <c r="AN15" t="str">
        <f t="shared" si="4"/>
        <v>1990000_45600</v>
      </c>
      <c r="AO15" t="str">
        <f t="shared" si="4"/>
        <v>1990000_46800</v>
      </c>
      <c r="AP15" t="str">
        <f t="shared" si="4"/>
        <v>1990000_48000</v>
      </c>
      <c r="AQ15" t="str">
        <f t="shared" si="4"/>
        <v>1990000_49200</v>
      </c>
      <c r="AR15" t="str">
        <f t="shared" si="4"/>
        <v>1990000_50400</v>
      </c>
      <c r="AS15" t="str">
        <f t="shared" si="4"/>
        <v>1990000_51600</v>
      </c>
      <c r="AT15" t="str">
        <f t="shared" si="4"/>
        <v>1990000_52800</v>
      </c>
      <c r="AU15" t="str">
        <f t="shared" si="4"/>
        <v>1990000_54000</v>
      </c>
      <c r="AV15" t="str">
        <f t="shared" si="4"/>
        <v>1990000_55200</v>
      </c>
      <c r="AW15" t="str">
        <f t="shared" si="4"/>
        <v>1990000_56400</v>
      </c>
      <c r="AX15" t="str">
        <f t="shared" si="4"/>
        <v>1990000_57600</v>
      </c>
      <c r="AY15" t="str">
        <f t="shared" si="4"/>
        <v>1990000_58800</v>
      </c>
      <c r="AZ15" t="str">
        <f t="shared" si="4"/>
        <v>1990000_60000</v>
      </c>
      <c r="BA15" t="str">
        <f t="shared" si="4"/>
        <v>1990000_61200</v>
      </c>
      <c r="BB15" t="str">
        <f t="shared" si="4"/>
        <v>1990000_62400</v>
      </c>
      <c r="BC15" t="str">
        <f t="shared" si="4"/>
        <v>1990000_63600</v>
      </c>
      <c r="BD15" t="str">
        <f t="shared" si="4"/>
        <v>1990000_64800</v>
      </c>
      <c r="BE15" t="str">
        <f t="shared" si="4"/>
        <v>1990000_66000</v>
      </c>
      <c r="BF15" t="str">
        <f t="shared" si="4"/>
        <v>1990000_67200</v>
      </c>
      <c r="BG15" t="str">
        <f t="shared" si="4"/>
        <v>1990000_68400</v>
      </c>
      <c r="BH15" t="str">
        <f t="shared" si="4"/>
        <v>1990000_69600</v>
      </c>
      <c r="BI15" t="str">
        <f t="shared" si="4"/>
        <v>1990000_70800</v>
      </c>
      <c r="BJ15" t="str">
        <f t="shared" si="4"/>
        <v>1990000_72000</v>
      </c>
      <c r="BK15" t="str">
        <f t="shared" si="4"/>
        <v>1990000_73200</v>
      </c>
      <c r="BL15" t="str">
        <f t="shared" si="4"/>
        <v>1990000_74400</v>
      </c>
      <c r="BM15" t="str">
        <f t="shared" si="4"/>
        <v>1990000_75600</v>
      </c>
      <c r="BN15" t="str">
        <f t="shared" si="4"/>
        <v>1990000_76800</v>
      </c>
      <c r="BO15" t="str">
        <f t="shared" ref="BO15:BU15" si="5">_xlfn.TEXTJOIN("_",TRUE,$A$2,BO4)</f>
        <v>1990000_78000</v>
      </c>
      <c r="BP15" t="str">
        <f t="shared" si="5"/>
        <v>1990000_79200</v>
      </c>
      <c r="BQ15" t="str">
        <f t="shared" si="5"/>
        <v>1990000_80400</v>
      </c>
      <c r="BR15" t="str">
        <f t="shared" si="5"/>
        <v>1990000_81600</v>
      </c>
      <c r="BS15" t="str">
        <f t="shared" si="5"/>
        <v>1990000_82800</v>
      </c>
      <c r="BT15" t="str">
        <f t="shared" si="5"/>
        <v>1990000_84000</v>
      </c>
      <c r="BU15" t="str">
        <f t="shared" si="5"/>
        <v>1990000_85200</v>
      </c>
    </row>
    <row r="16" spans="1:73">
      <c r="C16" t="str">
        <f t="shared" ref="C16:BN16" si="6">_xlfn.TEXTJOIN("_",TRUE,$A$2,C5)</f>
        <v>1990000_1300</v>
      </c>
      <c r="D16" t="str">
        <f t="shared" si="6"/>
        <v>1990000_2600</v>
      </c>
      <c r="E16" t="str">
        <f t="shared" si="6"/>
        <v>1990000_3900</v>
      </c>
      <c r="F16" t="str">
        <f t="shared" si="6"/>
        <v>1990000_5200</v>
      </c>
      <c r="G16" t="str">
        <f t="shared" si="6"/>
        <v>1990000_6500</v>
      </c>
      <c r="H16" t="str">
        <f t="shared" si="6"/>
        <v>1990000_7800</v>
      </c>
      <c r="I16" t="str">
        <f t="shared" si="6"/>
        <v>1990000_9100</v>
      </c>
      <c r="J16" t="str">
        <f t="shared" si="6"/>
        <v>1990000_10400</v>
      </c>
      <c r="K16" t="str">
        <f t="shared" si="6"/>
        <v>1990000_11700</v>
      </c>
      <c r="L16" t="str">
        <f t="shared" si="6"/>
        <v>1990000_13000</v>
      </c>
      <c r="M16" t="str">
        <f t="shared" si="6"/>
        <v>1990000_14300</v>
      </c>
      <c r="N16" t="str">
        <f t="shared" si="6"/>
        <v>1990000_15600</v>
      </c>
      <c r="O16" t="str">
        <f t="shared" si="6"/>
        <v>1990000_16900</v>
      </c>
      <c r="P16" t="str">
        <f t="shared" si="6"/>
        <v>1990000_18200</v>
      </c>
      <c r="Q16" t="str">
        <f t="shared" si="6"/>
        <v>1990000_19500</v>
      </c>
      <c r="R16" t="str">
        <f t="shared" si="6"/>
        <v>1990000_20800</v>
      </c>
      <c r="S16" t="str">
        <f t="shared" si="6"/>
        <v>1990000_22100</v>
      </c>
      <c r="T16" t="str">
        <f t="shared" si="6"/>
        <v>1990000_23400</v>
      </c>
      <c r="U16" t="str">
        <f t="shared" si="6"/>
        <v>1990000_24700</v>
      </c>
      <c r="V16" t="str">
        <f t="shared" si="6"/>
        <v>1990000_26000</v>
      </c>
      <c r="W16" t="str">
        <f t="shared" si="6"/>
        <v>1990000_27300</v>
      </c>
      <c r="X16" t="str">
        <f t="shared" si="6"/>
        <v>1990000_28600</v>
      </c>
      <c r="Y16" t="str">
        <f t="shared" si="6"/>
        <v>1990000_29900</v>
      </c>
      <c r="Z16" t="str">
        <f t="shared" si="6"/>
        <v>1990000_31200</v>
      </c>
      <c r="AA16" t="str">
        <f t="shared" si="6"/>
        <v>1990000_32500</v>
      </c>
      <c r="AB16" t="str">
        <f t="shared" si="6"/>
        <v>1990000_33800</v>
      </c>
      <c r="AC16" t="str">
        <f t="shared" si="6"/>
        <v>1990000_35100</v>
      </c>
      <c r="AD16" t="str">
        <f t="shared" si="6"/>
        <v>1990000_36400</v>
      </c>
      <c r="AE16" t="str">
        <f t="shared" si="6"/>
        <v>1990000_37700</v>
      </c>
      <c r="AF16" t="str">
        <f t="shared" si="6"/>
        <v>1990000_39000</v>
      </c>
      <c r="AG16" t="str">
        <f t="shared" si="6"/>
        <v>1990000_40300</v>
      </c>
      <c r="AH16" t="str">
        <f t="shared" si="6"/>
        <v>1990000_41600</v>
      </c>
      <c r="AI16" t="str">
        <f t="shared" si="6"/>
        <v>1990000_42900</v>
      </c>
      <c r="AJ16" t="str">
        <f t="shared" si="6"/>
        <v>1990000_44200</v>
      </c>
      <c r="AK16" t="str">
        <f t="shared" si="6"/>
        <v>1990000_45500</v>
      </c>
      <c r="AL16" t="str">
        <f t="shared" si="6"/>
        <v>1990000_46800</v>
      </c>
      <c r="AM16" t="str">
        <f t="shared" si="6"/>
        <v>1990000_48100</v>
      </c>
      <c r="AN16" t="str">
        <f t="shared" si="6"/>
        <v>1990000_49400</v>
      </c>
      <c r="AO16" t="str">
        <f t="shared" si="6"/>
        <v>1990000_50700</v>
      </c>
      <c r="AP16" t="str">
        <f t="shared" si="6"/>
        <v>1990000_52000</v>
      </c>
      <c r="AQ16" t="str">
        <f t="shared" si="6"/>
        <v>1990000_53300</v>
      </c>
      <c r="AR16" t="str">
        <f t="shared" si="6"/>
        <v>1990000_54600</v>
      </c>
      <c r="AS16" t="str">
        <f t="shared" si="6"/>
        <v>1990000_55900</v>
      </c>
      <c r="AT16" t="str">
        <f t="shared" si="6"/>
        <v>1990000_57200</v>
      </c>
      <c r="AU16" t="str">
        <f t="shared" si="6"/>
        <v>1990000_58500</v>
      </c>
      <c r="AV16" t="str">
        <f t="shared" si="6"/>
        <v>1990000_59800</v>
      </c>
      <c r="AW16" t="str">
        <f t="shared" si="6"/>
        <v>1990000_61100</v>
      </c>
      <c r="AX16" t="str">
        <f t="shared" si="6"/>
        <v>1990000_62400</v>
      </c>
      <c r="AY16" t="str">
        <f t="shared" si="6"/>
        <v>1990000_63700</v>
      </c>
      <c r="AZ16" t="str">
        <f t="shared" si="6"/>
        <v>1990000_65000</v>
      </c>
      <c r="BA16" t="str">
        <f t="shared" si="6"/>
        <v>1990000_66300</v>
      </c>
      <c r="BB16" t="str">
        <f t="shared" si="6"/>
        <v>1990000_67600</v>
      </c>
      <c r="BC16" t="str">
        <f t="shared" si="6"/>
        <v>1990000_68900</v>
      </c>
      <c r="BD16" t="str">
        <f t="shared" si="6"/>
        <v>1990000_70200</v>
      </c>
      <c r="BE16" t="str">
        <f t="shared" si="6"/>
        <v>1990000_71500</v>
      </c>
      <c r="BF16" t="str">
        <f t="shared" si="6"/>
        <v>1990000_72800</v>
      </c>
      <c r="BG16" t="str">
        <f t="shared" si="6"/>
        <v>1990000_74100</v>
      </c>
      <c r="BH16" t="str">
        <f t="shared" si="6"/>
        <v>1990000_75400</v>
      </c>
      <c r="BI16" t="str">
        <f t="shared" si="6"/>
        <v>1990000_76700</v>
      </c>
      <c r="BJ16" t="str">
        <f t="shared" si="6"/>
        <v>1990000_78000</v>
      </c>
      <c r="BK16" t="str">
        <f t="shared" si="6"/>
        <v>1990000_79300</v>
      </c>
      <c r="BL16" t="str">
        <f t="shared" si="6"/>
        <v>1990000_80600</v>
      </c>
      <c r="BM16" t="str">
        <f t="shared" si="6"/>
        <v>1990000_81900</v>
      </c>
      <c r="BN16" t="str">
        <f t="shared" si="6"/>
        <v>1990000_83200</v>
      </c>
      <c r="BO16" t="str">
        <f t="shared" ref="BO16:BU16" si="7">_xlfn.TEXTJOIN("_",TRUE,$A$2,BO5)</f>
        <v>1990000_84500</v>
      </c>
      <c r="BP16" t="str">
        <f t="shared" si="7"/>
        <v>1990000_85800</v>
      </c>
      <c r="BQ16" t="str">
        <f t="shared" si="7"/>
        <v>1990000_87100</v>
      </c>
      <c r="BR16" t="str">
        <f t="shared" si="7"/>
        <v>1990000_88400</v>
      </c>
      <c r="BS16" t="str">
        <f t="shared" si="7"/>
        <v>1990000_89700</v>
      </c>
      <c r="BT16" t="str">
        <f t="shared" si="7"/>
        <v>1990000_91000</v>
      </c>
      <c r="BU16" t="str">
        <f t="shared" si="7"/>
        <v>1990000_92300</v>
      </c>
    </row>
    <row r="17" spans="3:74">
      <c r="C17" t="str">
        <f t="shared" ref="C17:BN17" si="8">_xlfn.TEXTJOIN("_",TRUE,$A$2,C6)</f>
        <v>1990000_1400</v>
      </c>
      <c r="D17" t="str">
        <f t="shared" si="8"/>
        <v>1990000_2800</v>
      </c>
      <c r="E17" t="str">
        <f t="shared" si="8"/>
        <v>1990000_4200</v>
      </c>
      <c r="F17" t="str">
        <f t="shared" si="8"/>
        <v>1990000_5600</v>
      </c>
      <c r="G17" t="str">
        <f t="shared" si="8"/>
        <v>1990000_7000</v>
      </c>
      <c r="H17" t="str">
        <f t="shared" si="8"/>
        <v>1990000_8400</v>
      </c>
      <c r="I17" t="str">
        <f t="shared" si="8"/>
        <v>1990000_9800</v>
      </c>
      <c r="J17" t="str">
        <f t="shared" si="8"/>
        <v>1990000_11200</v>
      </c>
      <c r="K17" t="str">
        <f t="shared" si="8"/>
        <v>1990000_12600</v>
      </c>
      <c r="L17" t="str">
        <f t="shared" si="8"/>
        <v>1990000_14000</v>
      </c>
      <c r="M17" t="str">
        <f t="shared" si="8"/>
        <v>1990000_15400</v>
      </c>
      <c r="N17" t="str">
        <f t="shared" si="8"/>
        <v>1990000_16800</v>
      </c>
      <c r="O17" t="str">
        <f t="shared" si="8"/>
        <v>1990000_18200</v>
      </c>
      <c r="P17" t="str">
        <f t="shared" si="8"/>
        <v>1990000_19600</v>
      </c>
      <c r="Q17" t="str">
        <f t="shared" si="8"/>
        <v>1990000_21000</v>
      </c>
      <c r="R17" t="str">
        <f t="shared" si="8"/>
        <v>1990000_22400</v>
      </c>
      <c r="S17" t="str">
        <f t="shared" si="8"/>
        <v>1990000_23800</v>
      </c>
      <c r="T17" t="str">
        <f t="shared" si="8"/>
        <v>1990000_25200</v>
      </c>
      <c r="U17" t="str">
        <f t="shared" si="8"/>
        <v>1990000_26600</v>
      </c>
      <c r="V17" t="str">
        <f t="shared" si="8"/>
        <v>1990000_28000</v>
      </c>
      <c r="W17" t="str">
        <f t="shared" si="8"/>
        <v>1990000_29400</v>
      </c>
      <c r="X17" t="str">
        <f t="shared" si="8"/>
        <v>1990000_30800</v>
      </c>
      <c r="Y17" t="str">
        <f t="shared" si="8"/>
        <v>1990000_32200</v>
      </c>
      <c r="Z17" t="str">
        <f t="shared" si="8"/>
        <v>1990000_33600</v>
      </c>
      <c r="AA17" t="str">
        <f t="shared" si="8"/>
        <v>1990000_35000</v>
      </c>
      <c r="AB17" t="str">
        <f t="shared" si="8"/>
        <v>1990000_36400</v>
      </c>
      <c r="AC17" t="str">
        <f t="shared" si="8"/>
        <v>1990000_37800</v>
      </c>
      <c r="AD17" t="str">
        <f t="shared" si="8"/>
        <v>1990000_39200</v>
      </c>
      <c r="AE17" t="str">
        <f t="shared" si="8"/>
        <v>1990000_40600</v>
      </c>
      <c r="AF17" t="str">
        <f t="shared" si="8"/>
        <v>1990000_42000</v>
      </c>
      <c r="AG17" t="str">
        <f t="shared" si="8"/>
        <v>1990000_43400</v>
      </c>
      <c r="AH17" t="str">
        <f t="shared" si="8"/>
        <v>1990000_44800</v>
      </c>
      <c r="AI17" t="str">
        <f t="shared" si="8"/>
        <v>1990000_46200</v>
      </c>
      <c r="AJ17" t="str">
        <f t="shared" si="8"/>
        <v>1990000_47600</v>
      </c>
      <c r="AK17" t="str">
        <f t="shared" si="8"/>
        <v>1990000_49000</v>
      </c>
      <c r="AL17" t="str">
        <f t="shared" si="8"/>
        <v>1990000_50400</v>
      </c>
      <c r="AM17" t="str">
        <f t="shared" si="8"/>
        <v>1990000_51800</v>
      </c>
      <c r="AN17" t="str">
        <f t="shared" si="8"/>
        <v>1990000_53200</v>
      </c>
      <c r="AO17" t="str">
        <f t="shared" si="8"/>
        <v>1990000_54600</v>
      </c>
      <c r="AP17" t="str">
        <f t="shared" si="8"/>
        <v>1990000_56000</v>
      </c>
      <c r="AQ17" t="str">
        <f t="shared" si="8"/>
        <v>1990000_57400</v>
      </c>
      <c r="AR17" t="str">
        <f t="shared" si="8"/>
        <v>1990000_58800</v>
      </c>
      <c r="AS17" t="str">
        <f t="shared" si="8"/>
        <v>1990000_60200</v>
      </c>
      <c r="AT17" t="str">
        <f t="shared" si="8"/>
        <v>1990000_61600</v>
      </c>
      <c r="AU17" t="str">
        <f t="shared" si="8"/>
        <v>1990000_63000</v>
      </c>
      <c r="AV17" t="str">
        <f t="shared" si="8"/>
        <v>1990000_64400</v>
      </c>
      <c r="AW17" t="str">
        <f t="shared" si="8"/>
        <v>1990000_65800</v>
      </c>
      <c r="AX17" t="str">
        <f t="shared" si="8"/>
        <v>1990000_67200</v>
      </c>
      <c r="AY17" t="str">
        <f t="shared" si="8"/>
        <v>1990000_68600</v>
      </c>
      <c r="AZ17" t="str">
        <f t="shared" si="8"/>
        <v>1990000_70000</v>
      </c>
      <c r="BA17" t="str">
        <f t="shared" si="8"/>
        <v>1990000_71400</v>
      </c>
      <c r="BB17" t="str">
        <f t="shared" si="8"/>
        <v>1990000_72800</v>
      </c>
      <c r="BC17" t="str">
        <f t="shared" si="8"/>
        <v>1990000_74200</v>
      </c>
      <c r="BD17" t="str">
        <f t="shared" si="8"/>
        <v>1990000_75600</v>
      </c>
      <c r="BE17" t="str">
        <f t="shared" si="8"/>
        <v>1990000_77000</v>
      </c>
      <c r="BF17" t="str">
        <f t="shared" si="8"/>
        <v>1990000_78400</v>
      </c>
      <c r="BG17" t="str">
        <f t="shared" si="8"/>
        <v>1990000_79800</v>
      </c>
      <c r="BH17" t="str">
        <f t="shared" si="8"/>
        <v>1990000_81200</v>
      </c>
      <c r="BI17" t="str">
        <f t="shared" si="8"/>
        <v>1990000_82600</v>
      </c>
      <c r="BJ17" t="str">
        <f t="shared" si="8"/>
        <v>1990000_84000</v>
      </c>
      <c r="BK17" t="str">
        <f t="shared" si="8"/>
        <v>1990000_85400</v>
      </c>
      <c r="BL17" t="str">
        <f t="shared" si="8"/>
        <v>1990000_86800</v>
      </c>
      <c r="BM17" t="str">
        <f t="shared" si="8"/>
        <v>1990000_88200</v>
      </c>
      <c r="BN17" t="str">
        <f t="shared" si="8"/>
        <v>1990000_89600</v>
      </c>
      <c r="BO17" t="str">
        <f t="shared" ref="BO17:BU17" si="9">_xlfn.TEXTJOIN("_",TRUE,$A$2,BO6)</f>
        <v>1990000_91000</v>
      </c>
      <c r="BP17" t="str">
        <f t="shared" si="9"/>
        <v>1990000_92400</v>
      </c>
      <c r="BQ17" t="str">
        <f t="shared" si="9"/>
        <v>1990000_93800</v>
      </c>
      <c r="BR17" t="str">
        <f t="shared" si="9"/>
        <v>1990000_95200</v>
      </c>
      <c r="BS17" t="str">
        <f t="shared" si="9"/>
        <v>1990000_96600</v>
      </c>
      <c r="BT17" t="str">
        <f t="shared" si="9"/>
        <v>1990000_98000</v>
      </c>
      <c r="BU17" t="str">
        <f t="shared" si="9"/>
        <v>1990000_99400</v>
      </c>
    </row>
    <row r="18" spans="3:74">
      <c r="C18" t="str">
        <f t="shared" ref="C18:BN18" si="10">_xlfn.TEXTJOIN("_",TRUE,$A$2,C7)</f>
        <v>1990000_1500</v>
      </c>
      <c r="D18" t="str">
        <f t="shared" si="10"/>
        <v>1990000_3000</v>
      </c>
      <c r="E18" t="str">
        <f t="shared" si="10"/>
        <v>1990000_4500</v>
      </c>
      <c r="F18" t="str">
        <f t="shared" si="10"/>
        <v>1990000_6000</v>
      </c>
      <c r="G18" t="str">
        <f t="shared" si="10"/>
        <v>1990000_7500</v>
      </c>
      <c r="H18" t="str">
        <f t="shared" si="10"/>
        <v>1990000_9000</v>
      </c>
      <c r="I18" t="str">
        <f t="shared" si="10"/>
        <v>1990000_10500</v>
      </c>
      <c r="J18" t="str">
        <f t="shared" si="10"/>
        <v>1990000_12000</v>
      </c>
      <c r="K18" t="str">
        <f t="shared" si="10"/>
        <v>1990000_13500</v>
      </c>
      <c r="L18" t="str">
        <f t="shared" si="10"/>
        <v>1990000_15000</v>
      </c>
      <c r="M18" t="str">
        <f t="shared" si="10"/>
        <v>1990000_16500</v>
      </c>
      <c r="N18" t="str">
        <f t="shared" si="10"/>
        <v>1990000_18000</v>
      </c>
      <c r="O18" t="str">
        <f t="shared" si="10"/>
        <v>1990000_19500</v>
      </c>
      <c r="P18" t="str">
        <f t="shared" si="10"/>
        <v>1990000_21000</v>
      </c>
      <c r="Q18" t="str">
        <f t="shared" si="10"/>
        <v>1990000_22500</v>
      </c>
      <c r="R18" t="str">
        <f t="shared" si="10"/>
        <v>1990000_24000</v>
      </c>
      <c r="S18" t="str">
        <f t="shared" si="10"/>
        <v>1990000_25500</v>
      </c>
      <c r="T18" t="str">
        <f t="shared" si="10"/>
        <v>1990000_27000</v>
      </c>
      <c r="U18" t="str">
        <f t="shared" si="10"/>
        <v>1990000_28500</v>
      </c>
      <c r="V18" t="str">
        <f t="shared" si="10"/>
        <v>1990000_30000</v>
      </c>
      <c r="W18" t="str">
        <f t="shared" si="10"/>
        <v>1990000_31500</v>
      </c>
      <c r="X18" t="str">
        <f t="shared" si="10"/>
        <v>1990000_33000</v>
      </c>
      <c r="Y18" t="str">
        <f t="shared" si="10"/>
        <v>1990000_34500</v>
      </c>
      <c r="Z18" t="str">
        <f t="shared" si="10"/>
        <v>1990000_36000</v>
      </c>
      <c r="AA18" t="str">
        <f t="shared" si="10"/>
        <v>1990000_37500</v>
      </c>
      <c r="AB18" t="str">
        <f t="shared" si="10"/>
        <v>1990000_39000</v>
      </c>
      <c r="AC18" t="str">
        <f t="shared" si="10"/>
        <v>1990000_40500</v>
      </c>
      <c r="AD18" t="str">
        <f t="shared" si="10"/>
        <v>1990000_42000</v>
      </c>
      <c r="AE18" t="str">
        <f t="shared" si="10"/>
        <v>1990000_43500</v>
      </c>
      <c r="AF18" t="str">
        <f t="shared" si="10"/>
        <v>1990000_45000</v>
      </c>
      <c r="AG18" t="str">
        <f t="shared" si="10"/>
        <v>1990000_46500</v>
      </c>
      <c r="AH18" t="str">
        <f t="shared" si="10"/>
        <v>1990000_48000</v>
      </c>
      <c r="AI18" t="str">
        <f t="shared" si="10"/>
        <v>1990000_49500</v>
      </c>
      <c r="AJ18" t="str">
        <f t="shared" si="10"/>
        <v>1990000_51000</v>
      </c>
      <c r="AK18" t="str">
        <f t="shared" si="10"/>
        <v>1990000_52500</v>
      </c>
      <c r="AL18" t="str">
        <f t="shared" si="10"/>
        <v>1990000_54000</v>
      </c>
      <c r="AM18" t="str">
        <f t="shared" si="10"/>
        <v>1990000_55500</v>
      </c>
      <c r="AN18" t="str">
        <f t="shared" si="10"/>
        <v>1990000_57000</v>
      </c>
      <c r="AO18" t="str">
        <f t="shared" si="10"/>
        <v>1990000_58500</v>
      </c>
      <c r="AP18" t="str">
        <f t="shared" si="10"/>
        <v>1990000_60000</v>
      </c>
      <c r="AQ18" t="str">
        <f t="shared" si="10"/>
        <v>1990000_61500</v>
      </c>
      <c r="AR18" t="str">
        <f t="shared" si="10"/>
        <v>1990000_63000</v>
      </c>
      <c r="AS18" t="str">
        <f t="shared" si="10"/>
        <v>1990000_64500</v>
      </c>
      <c r="AT18" t="str">
        <f t="shared" si="10"/>
        <v>1990000_66000</v>
      </c>
      <c r="AU18" t="str">
        <f t="shared" si="10"/>
        <v>1990000_67500</v>
      </c>
      <c r="AV18" t="str">
        <f t="shared" si="10"/>
        <v>1990000_69000</v>
      </c>
      <c r="AW18" t="str">
        <f t="shared" si="10"/>
        <v>1990000_70500</v>
      </c>
      <c r="AX18" t="str">
        <f t="shared" si="10"/>
        <v>1990000_72000</v>
      </c>
      <c r="AY18" t="str">
        <f t="shared" si="10"/>
        <v>1990000_73500</v>
      </c>
      <c r="AZ18" t="str">
        <f t="shared" si="10"/>
        <v>1990000_75000</v>
      </c>
      <c r="BA18" t="str">
        <f t="shared" si="10"/>
        <v>1990000_76500</v>
      </c>
      <c r="BB18" t="str">
        <f t="shared" si="10"/>
        <v>1990000_78000</v>
      </c>
      <c r="BC18" t="str">
        <f t="shared" si="10"/>
        <v>1990000_79500</v>
      </c>
      <c r="BD18" t="str">
        <f t="shared" si="10"/>
        <v>1990000_81000</v>
      </c>
      <c r="BE18" t="str">
        <f t="shared" si="10"/>
        <v>1990000_82500</v>
      </c>
      <c r="BF18" t="str">
        <f t="shared" si="10"/>
        <v>1990000_84000</v>
      </c>
      <c r="BG18" t="str">
        <f t="shared" si="10"/>
        <v>1990000_85500</v>
      </c>
      <c r="BH18" t="str">
        <f t="shared" si="10"/>
        <v>1990000_87000</v>
      </c>
      <c r="BI18" t="str">
        <f t="shared" si="10"/>
        <v>1990000_88500</v>
      </c>
      <c r="BJ18" t="str">
        <f t="shared" si="10"/>
        <v>1990000_90000</v>
      </c>
      <c r="BK18" t="str">
        <f t="shared" si="10"/>
        <v>1990000_91500</v>
      </c>
      <c r="BL18" t="str">
        <f t="shared" si="10"/>
        <v>1990000_93000</v>
      </c>
      <c r="BM18" t="str">
        <f t="shared" si="10"/>
        <v>1990000_94500</v>
      </c>
      <c r="BN18" t="str">
        <f t="shared" si="10"/>
        <v>1990000_96000</v>
      </c>
      <c r="BO18" t="str">
        <f t="shared" ref="BO18:BU18" si="11">_xlfn.TEXTJOIN("_",TRUE,$A$2,BO7)</f>
        <v>1990000_97500</v>
      </c>
      <c r="BP18" t="str">
        <f t="shared" si="11"/>
        <v>1990000_99000</v>
      </c>
      <c r="BQ18" t="str">
        <f t="shared" si="11"/>
        <v>1990000_100500</v>
      </c>
      <c r="BR18" t="str">
        <f t="shared" si="11"/>
        <v>1990000_102000</v>
      </c>
      <c r="BS18" t="str">
        <f t="shared" si="11"/>
        <v>1990000_103500</v>
      </c>
      <c r="BT18" t="str">
        <f t="shared" si="11"/>
        <v>1990000_105000</v>
      </c>
      <c r="BU18" t="str">
        <f t="shared" si="11"/>
        <v>1990000_106500</v>
      </c>
    </row>
    <row r="19" spans="3:74">
      <c r="C19" t="str">
        <f t="shared" ref="C19:BN19" si="12">_xlfn.TEXTJOIN("_",TRUE,$A$2,C8)</f>
        <v>1990000_1600</v>
      </c>
      <c r="D19" t="str">
        <f t="shared" si="12"/>
        <v>1990000_3200</v>
      </c>
      <c r="E19" t="str">
        <f t="shared" si="12"/>
        <v>1990000_4800</v>
      </c>
      <c r="F19" t="str">
        <f t="shared" si="12"/>
        <v>1990000_6400</v>
      </c>
      <c r="G19" t="str">
        <f t="shared" si="12"/>
        <v>1990000_8000</v>
      </c>
      <c r="H19" t="str">
        <f t="shared" si="12"/>
        <v>1990000_9600</v>
      </c>
      <c r="I19" t="str">
        <f t="shared" si="12"/>
        <v>1990000_11200</v>
      </c>
      <c r="J19" t="str">
        <f t="shared" si="12"/>
        <v>1990000_12800</v>
      </c>
      <c r="K19" t="str">
        <f t="shared" si="12"/>
        <v>1990000_14400</v>
      </c>
      <c r="L19" t="str">
        <f t="shared" si="12"/>
        <v>1990000_16000</v>
      </c>
      <c r="M19" t="str">
        <f t="shared" si="12"/>
        <v>1990000_17600</v>
      </c>
      <c r="N19" t="str">
        <f t="shared" si="12"/>
        <v>1990000_19200</v>
      </c>
      <c r="O19" t="str">
        <f t="shared" si="12"/>
        <v>1990000_20800</v>
      </c>
      <c r="P19" t="str">
        <f t="shared" si="12"/>
        <v>1990000_22400</v>
      </c>
      <c r="Q19" t="str">
        <f t="shared" si="12"/>
        <v>1990000_24000</v>
      </c>
      <c r="R19" t="str">
        <f t="shared" si="12"/>
        <v>1990000_25600</v>
      </c>
      <c r="S19" t="str">
        <f t="shared" si="12"/>
        <v>1990000_27200</v>
      </c>
      <c r="T19" t="str">
        <f t="shared" si="12"/>
        <v>1990000_28800</v>
      </c>
      <c r="U19" t="str">
        <f t="shared" si="12"/>
        <v>1990000_30400</v>
      </c>
      <c r="V19" t="str">
        <f t="shared" si="12"/>
        <v>1990000_32000</v>
      </c>
      <c r="W19" t="str">
        <f t="shared" si="12"/>
        <v>1990000_33600</v>
      </c>
      <c r="X19" t="str">
        <f t="shared" si="12"/>
        <v>1990000_35200</v>
      </c>
      <c r="Y19" t="str">
        <f t="shared" si="12"/>
        <v>1990000_36800</v>
      </c>
      <c r="Z19" t="str">
        <f t="shared" si="12"/>
        <v>1990000_38400</v>
      </c>
      <c r="AA19" t="str">
        <f t="shared" si="12"/>
        <v>1990000_40000</v>
      </c>
      <c r="AB19" t="str">
        <f t="shared" si="12"/>
        <v>1990000_41600</v>
      </c>
      <c r="AC19" t="str">
        <f t="shared" si="12"/>
        <v>1990000_43200</v>
      </c>
      <c r="AD19" t="str">
        <f t="shared" si="12"/>
        <v>1990000_44800</v>
      </c>
      <c r="AE19" t="str">
        <f t="shared" si="12"/>
        <v>1990000_46400</v>
      </c>
      <c r="AF19" t="str">
        <f t="shared" si="12"/>
        <v>1990000_48000</v>
      </c>
      <c r="AG19" t="str">
        <f t="shared" si="12"/>
        <v>1990000_49600</v>
      </c>
      <c r="AH19" t="str">
        <f t="shared" si="12"/>
        <v>1990000_51200</v>
      </c>
      <c r="AI19" t="str">
        <f t="shared" si="12"/>
        <v>1990000_52800</v>
      </c>
      <c r="AJ19" t="str">
        <f t="shared" si="12"/>
        <v>1990000_54400</v>
      </c>
      <c r="AK19" t="str">
        <f t="shared" si="12"/>
        <v>1990000_56000</v>
      </c>
      <c r="AL19" t="str">
        <f t="shared" si="12"/>
        <v>1990000_57600</v>
      </c>
      <c r="AM19" t="str">
        <f t="shared" si="12"/>
        <v>1990000_59200</v>
      </c>
      <c r="AN19" t="str">
        <f t="shared" si="12"/>
        <v>1990000_60800</v>
      </c>
      <c r="AO19" t="str">
        <f t="shared" si="12"/>
        <v>1990000_62400</v>
      </c>
      <c r="AP19" t="str">
        <f t="shared" si="12"/>
        <v>1990000_64000</v>
      </c>
      <c r="AQ19" t="str">
        <f t="shared" si="12"/>
        <v>1990000_65600</v>
      </c>
      <c r="AR19" t="str">
        <f t="shared" si="12"/>
        <v>1990000_67200</v>
      </c>
      <c r="AS19" t="str">
        <f t="shared" si="12"/>
        <v>1990000_68800</v>
      </c>
      <c r="AT19" t="str">
        <f t="shared" si="12"/>
        <v>1990000_70400</v>
      </c>
      <c r="AU19" t="str">
        <f t="shared" si="12"/>
        <v>1990000_72000</v>
      </c>
      <c r="AV19" t="str">
        <f t="shared" si="12"/>
        <v>1990000_73600</v>
      </c>
      <c r="AW19" t="str">
        <f t="shared" si="12"/>
        <v>1990000_75200</v>
      </c>
      <c r="AX19" t="str">
        <f t="shared" si="12"/>
        <v>1990000_76800</v>
      </c>
      <c r="AY19" t="str">
        <f t="shared" si="12"/>
        <v>1990000_78400</v>
      </c>
      <c r="AZ19" t="str">
        <f t="shared" si="12"/>
        <v>1990000_80000</v>
      </c>
      <c r="BA19" t="str">
        <f t="shared" si="12"/>
        <v>1990000_81600</v>
      </c>
      <c r="BB19" t="str">
        <f t="shared" si="12"/>
        <v>1990000_83200</v>
      </c>
      <c r="BC19" t="str">
        <f t="shared" si="12"/>
        <v>1990000_84800</v>
      </c>
      <c r="BD19" t="str">
        <f t="shared" si="12"/>
        <v>1990000_86400</v>
      </c>
      <c r="BE19" t="str">
        <f t="shared" si="12"/>
        <v>1990000_88000</v>
      </c>
      <c r="BF19" t="str">
        <f t="shared" si="12"/>
        <v>1990000_89600</v>
      </c>
      <c r="BG19" t="str">
        <f t="shared" si="12"/>
        <v>1990000_91200</v>
      </c>
      <c r="BH19" t="str">
        <f t="shared" si="12"/>
        <v>1990000_92800</v>
      </c>
      <c r="BI19" t="str">
        <f t="shared" si="12"/>
        <v>1990000_94400</v>
      </c>
      <c r="BJ19" t="str">
        <f t="shared" si="12"/>
        <v>1990000_96000</v>
      </c>
      <c r="BK19" t="str">
        <f t="shared" si="12"/>
        <v>1990000_97600</v>
      </c>
      <c r="BL19" t="str">
        <f t="shared" si="12"/>
        <v>1990000_99200</v>
      </c>
      <c r="BM19" t="str">
        <f t="shared" si="12"/>
        <v>1990000_100800</v>
      </c>
      <c r="BN19" t="str">
        <f t="shared" si="12"/>
        <v>1990000_102400</v>
      </c>
      <c r="BO19" t="str">
        <f t="shared" ref="BO19:BU19" si="13">_xlfn.TEXTJOIN("_",TRUE,$A$2,BO8)</f>
        <v>1990000_104000</v>
      </c>
      <c r="BP19" t="str">
        <f t="shared" si="13"/>
        <v>1990000_105600</v>
      </c>
      <c r="BQ19" t="str">
        <f t="shared" si="13"/>
        <v>1990000_107200</v>
      </c>
      <c r="BR19" t="str">
        <f t="shared" si="13"/>
        <v>1990000_108800</v>
      </c>
      <c r="BS19" t="str">
        <f t="shared" si="13"/>
        <v>1990000_110400</v>
      </c>
      <c r="BT19" t="str">
        <f t="shared" si="13"/>
        <v>1990000_112000</v>
      </c>
      <c r="BU19" t="str">
        <f t="shared" si="13"/>
        <v>1990000_113600</v>
      </c>
    </row>
    <row r="20" spans="3:74">
      <c r="C20" t="str">
        <f t="shared" ref="C20:BN20" si="14">_xlfn.TEXTJOIN("_",TRUE,$A$2,C9)</f>
        <v>1990000_1700</v>
      </c>
      <c r="D20" t="str">
        <f t="shared" si="14"/>
        <v>1990000_3400</v>
      </c>
      <c r="E20" t="str">
        <f t="shared" si="14"/>
        <v>1990000_5100</v>
      </c>
      <c r="F20" t="str">
        <f t="shared" si="14"/>
        <v>1990000_6800</v>
      </c>
      <c r="G20" t="str">
        <f t="shared" si="14"/>
        <v>1990000_8500</v>
      </c>
      <c r="H20" t="str">
        <f t="shared" si="14"/>
        <v>1990000_10200</v>
      </c>
      <c r="I20" t="str">
        <f t="shared" si="14"/>
        <v>1990000_11900</v>
      </c>
      <c r="J20" t="str">
        <f t="shared" si="14"/>
        <v>1990000_13600</v>
      </c>
      <c r="K20" t="str">
        <f t="shared" si="14"/>
        <v>1990000_15300</v>
      </c>
      <c r="L20" t="str">
        <f t="shared" si="14"/>
        <v>1990000_17000</v>
      </c>
      <c r="M20" t="str">
        <f t="shared" si="14"/>
        <v>1990000_18700</v>
      </c>
      <c r="N20" t="str">
        <f t="shared" si="14"/>
        <v>1990000_20400</v>
      </c>
      <c r="O20" t="str">
        <f t="shared" si="14"/>
        <v>1990000_22100</v>
      </c>
      <c r="P20" t="str">
        <f t="shared" si="14"/>
        <v>1990000_23800</v>
      </c>
      <c r="Q20" t="str">
        <f t="shared" si="14"/>
        <v>1990000_25500</v>
      </c>
      <c r="R20" t="str">
        <f t="shared" si="14"/>
        <v>1990000_27200</v>
      </c>
      <c r="S20" t="str">
        <f t="shared" si="14"/>
        <v>1990000_28900</v>
      </c>
      <c r="T20" t="str">
        <f t="shared" si="14"/>
        <v>1990000_30600</v>
      </c>
      <c r="U20" t="str">
        <f t="shared" si="14"/>
        <v>1990000_32300</v>
      </c>
      <c r="V20" t="str">
        <f t="shared" si="14"/>
        <v>1990000_34000</v>
      </c>
      <c r="W20" t="str">
        <f t="shared" si="14"/>
        <v>1990000_35700</v>
      </c>
      <c r="X20" t="str">
        <f t="shared" si="14"/>
        <v>1990000_37400</v>
      </c>
      <c r="Y20" t="str">
        <f t="shared" si="14"/>
        <v>1990000_39100</v>
      </c>
      <c r="Z20" t="str">
        <f t="shared" si="14"/>
        <v>1990000_40800</v>
      </c>
      <c r="AA20" t="str">
        <f t="shared" si="14"/>
        <v>1990000_42500</v>
      </c>
      <c r="AB20" t="str">
        <f t="shared" si="14"/>
        <v>1990000_44200</v>
      </c>
      <c r="AC20" t="str">
        <f t="shared" si="14"/>
        <v>1990000_45900</v>
      </c>
      <c r="AD20" t="str">
        <f t="shared" si="14"/>
        <v>1990000_47600</v>
      </c>
      <c r="AE20" t="str">
        <f t="shared" si="14"/>
        <v>1990000_49300</v>
      </c>
      <c r="AF20" t="str">
        <f t="shared" si="14"/>
        <v>1990000_51000</v>
      </c>
      <c r="AG20" t="str">
        <f t="shared" si="14"/>
        <v>1990000_52700</v>
      </c>
      <c r="AH20" t="str">
        <f t="shared" si="14"/>
        <v>1990000_54400</v>
      </c>
      <c r="AI20" t="str">
        <f t="shared" si="14"/>
        <v>1990000_56100</v>
      </c>
      <c r="AJ20" t="str">
        <f t="shared" si="14"/>
        <v>1990000_57800</v>
      </c>
      <c r="AK20" t="str">
        <f t="shared" si="14"/>
        <v>1990000_59500</v>
      </c>
      <c r="AL20" t="str">
        <f t="shared" si="14"/>
        <v>1990000_61200</v>
      </c>
      <c r="AM20" t="str">
        <f t="shared" si="14"/>
        <v>1990000_62900</v>
      </c>
      <c r="AN20" t="str">
        <f t="shared" si="14"/>
        <v>1990000_64600</v>
      </c>
      <c r="AO20" t="str">
        <f t="shared" si="14"/>
        <v>1990000_66300</v>
      </c>
      <c r="AP20" t="str">
        <f t="shared" si="14"/>
        <v>1990000_68000</v>
      </c>
      <c r="AQ20" t="str">
        <f t="shared" si="14"/>
        <v>1990000_69700</v>
      </c>
      <c r="AR20" t="str">
        <f t="shared" si="14"/>
        <v>1990000_71400</v>
      </c>
      <c r="AS20" t="str">
        <f t="shared" si="14"/>
        <v>1990000_73100</v>
      </c>
      <c r="AT20" t="str">
        <f t="shared" si="14"/>
        <v>1990000_74800</v>
      </c>
      <c r="AU20" t="str">
        <f t="shared" si="14"/>
        <v>1990000_76500</v>
      </c>
      <c r="AV20" t="str">
        <f t="shared" si="14"/>
        <v>1990000_78200</v>
      </c>
      <c r="AW20" t="str">
        <f t="shared" si="14"/>
        <v>1990000_79900</v>
      </c>
      <c r="AX20" t="str">
        <f t="shared" si="14"/>
        <v>1990000_81600</v>
      </c>
      <c r="AY20" t="str">
        <f t="shared" si="14"/>
        <v>1990000_83300</v>
      </c>
      <c r="AZ20" t="str">
        <f t="shared" si="14"/>
        <v>1990000_85000</v>
      </c>
      <c r="BA20" t="str">
        <f t="shared" si="14"/>
        <v>1990000_86700</v>
      </c>
      <c r="BB20" t="str">
        <f t="shared" si="14"/>
        <v>1990000_88400</v>
      </c>
      <c r="BC20" t="str">
        <f t="shared" si="14"/>
        <v>1990000_90100</v>
      </c>
      <c r="BD20" t="str">
        <f t="shared" si="14"/>
        <v>1990000_91800</v>
      </c>
      <c r="BE20" t="str">
        <f t="shared" si="14"/>
        <v>1990000_93500</v>
      </c>
      <c r="BF20" t="str">
        <f t="shared" si="14"/>
        <v>1990000_95200</v>
      </c>
      <c r="BG20" t="str">
        <f t="shared" si="14"/>
        <v>1990000_96900</v>
      </c>
      <c r="BH20" t="str">
        <f t="shared" si="14"/>
        <v>1990000_98600</v>
      </c>
      <c r="BI20" t="str">
        <f t="shared" si="14"/>
        <v>1990000_100300</v>
      </c>
      <c r="BJ20" t="str">
        <f t="shared" si="14"/>
        <v>1990000_102000</v>
      </c>
      <c r="BK20" t="str">
        <f t="shared" si="14"/>
        <v>1990000_103700</v>
      </c>
      <c r="BL20" t="str">
        <f t="shared" si="14"/>
        <v>1990000_105400</v>
      </c>
      <c r="BM20" t="str">
        <f t="shared" si="14"/>
        <v>1990000_107100</v>
      </c>
      <c r="BN20" t="str">
        <f t="shared" si="14"/>
        <v>1990000_108800</v>
      </c>
      <c r="BO20" t="str">
        <f t="shared" ref="BO20:BU20" si="15">_xlfn.TEXTJOIN("_",TRUE,$A$2,BO9)</f>
        <v>1990000_110500</v>
      </c>
      <c r="BP20" t="str">
        <f t="shared" si="15"/>
        <v>1990000_112200</v>
      </c>
      <c r="BQ20" t="str">
        <f t="shared" si="15"/>
        <v>1990000_113900</v>
      </c>
      <c r="BR20" t="str">
        <f t="shared" si="15"/>
        <v>1990000_115600</v>
      </c>
      <c r="BS20" t="str">
        <f t="shared" si="15"/>
        <v>1990000_117300</v>
      </c>
      <c r="BT20" t="str">
        <f t="shared" si="15"/>
        <v>1990000_119000</v>
      </c>
      <c r="BU20" t="str">
        <f t="shared" si="15"/>
        <v>1990000_120700</v>
      </c>
    </row>
    <row r="21" spans="3:74">
      <c r="C21" t="str">
        <f t="shared" ref="C21:BN21" si="16">_xlfn.TEXTJOIN("_",TRUE,$A$2,C10)</f>
        <v>1990000_1800</v>
      </c>
      <c r="D21" t="str">
        <f t="shared" si="16"/>
        <v>1990000_3600</v>
      </c>
      <c r="E21" t="str">
        <f t="shared" si="16"/>
        <v>1990000_5400</v>
      </c>
      <c r="F21" t="str">
        <f t="shared" si="16"/>
        <v>1990000_7200</v>
      </c>
      <c r="G21" t="str">
        <f t="shared" si="16"/>
        <v>1990000_9000</v>
      </c>
      <c r="H21" t="str">
        <f t="shared" si="16"/>
        <v>1990000_10800</v>
      </c>
      <c r="I21" t="str">
        <f t="shared" si="16"/>
        <v>1990000_12600</v>
      </c>
      <c r="J21" t="str">
        <f t="shared" si="16"/>
        <v>1990000_14400</v>
      </c>
      <c r="K21" t="str">
        <f t="shared" si="16"/>
        <v>1990000_16200</v>
      </c>
      <c r="L21" t="str">
        <f t="shared" si="16"/>
        <v>1990000_18000</v>
      </c>
      <c r="M21" t="str">
        <f t="shared" si="16"/>
        <v>1990000_19800</v>
      </c>
      <c r="N21" t="str">
        <f t="shared" si="16"/>
        <v>1990000_21600</v>
      </c>
      <c r="O21" t="str">
        <f t="shared" si="16"/>
        <v>1990000_23400</v>
      </c>
      <c r="P21" t="str">
        <f t="shared" si="16"/>
        <v>1990000_25200</v>
      </c>
      <c r="Q21" t="str">
        <f t="shared" si="16"/>
        <v>1990000_27000</v>
      </c>
      <c r="R21" t="str">
        <f t="shared" si="16"/>
        <v>1990000_28800</v>
      </c>
      <c r="S21" t="str">
        <f t="shared" si="16"/>
        <v>1990000_30600</v>
      </c>
      <c r="T21" t="str">
        <f t="shared" si="16"/>
        <v>1990000_32400</v>
      </c>
      <c r="U21" t="str">
        <f t="shared" si="16"/>
        <v>1990000_34200</v>
      </c>
      <c r="V21" t="str">
        <f t="shared" si="16"/>
        <v>1990000_36000</v>
      </c>
      <c r="W21" t="str">
        <f t="shared" si="16"/>
        <v>1990000_37800</v>
      </c>
      <c r="X21" t="str">
        <f t="shared" si="16"/>
        <v>1990000_39600</v>
      </c>
      <c r="Y21" t="str">
        <f t="shared" si="16"/>
        <v>1990000_41400</v>
      </c>
      <c r="Z21" t="str">
        <f t="shared" si="16"/>
        <v>1990000_43200</v>
      </c>
      <c r="AA21" t="str">
        <f t="shared" si="16"/>
        <v>1990000_45000</v>
      </c>
      <c r="AB21" t="str">
        <f t="shared" si="16"/>
        <v>1990000_46800</v>
      </c>
      <c r="AC21" t="str">
        <f t="shared" si="16"/>
        <v>1990000_48600</v>
      </c>
      <c r="AD21" t="str">
        <f t="shared" si="16"/>
        <v>1990000_50400</v>
      </c>
      <c r="AE21" t="str">
        <f t="shared" si="16"/>
        <v>1990000_52200</v>
      </c>
      <c r="AF21" t="str">
        <f t="shared" si="16"/>
        <v>1990000_54000</v>
      </c>
      <c r="AG21" t="str">
        <f t="shared" si="16"/>
        <v>1990000_55800</v>
      </c>
      <c r="AH21" t="str">
        <f t="shared" si="16"/>
        <v>1990000_57600</v>
      </c>
      <c r="AI21" t="str">
        <f t="shared" si="16"/>
        <v>1990000_59400</v>
      </c>
      <c r="AJ21" t="str">
        <f t="shared" si="16"/>
        <v>1990000_61200</v>
      </c>
      <c r="AK21" t="str">
        <f t="shared" si="16"/>
        <v>1990000_63000</v>
      </c>
      <c r="AL21" t="str">
        <f t="shared" si="16"/>
        <v>1990000_64800</v>
      </c>
      <c r="AM21" t="str">
        <f t="shared" si="16"/>
        <v>1990000_66600</v>
      </c>
      <c r="AN21" t="str">
        <f t="shared" si="16"/>
        <v>1990000_68400</v>
      </c>
      <c r="AO21" t="str">
        <f t="shared" si="16"/>
        <v>1990000_70200</v>
      </c>
      <c r="AP21" t="str">
        <f t="shared" si="16"/>
        <v>1990000_72000</v>
      </c>
      <c r="AQ21" t="str">
        <f t="shared" si="16"/>
        <v>1990000_73800</v>
      </c>
      <c r="AR21" t="str">
        <f t="shared" si="16"/>
        <v>1990000_75600</v>
      </c>
      <c r="AS21" t="str">
        <f t="shared" si="16"/>
        <v>1990000_77400</v>
      </c>
      <c r="AT21" t="str">
        <f t="shared" si="16"/>
        <v>1990000_79200</v>
      </c>
      <c r="AU21" t="str">
        <f t="shared" si="16"/>
        <v>1990000_81000</v>
      </c>
      <c r="AV21" t="str">
        <f t="shared" si="16"/>
        <v>1990000_82800</v>
      </c>
      <c r="AW21" t="str">
        <f t="shared" si="16"/>
        <v>1990000_84600</v>
      </c>
      <c r="AX21" t="str">
        <f t="shared" si="16"/>
        <v>1990000_86400</v>
      </c>
      <c r="AY21" t="str">
        <f t="shared" si="16"/>
        <v>1990000_88200</v>
      </c>
      <c r="AZ21" t="str">
        <f t="shared" si="16"/>
        <v>1990000_90000</v>
      </c>
      <c r="BA21" t="str">
        <f t="shared" si="16"/>
        <v>1990000_91800</v>
      </c>
      <c r="BB21" t="str">
        <f t="shared" si="16"/>
        <v>1990000_93600</v>
      </c>
      <c r="BC21" t="str">
        <f t="shared" si="16"/>
        <v>1990000_95400</v>
      </c>
      <c r="BD21" t="str">
        <f t="shared" si="16"/>
        <v>1990000_97200</v>
      </c>
      <c r="BE21" t="str">
        <f t="shared" si="16"/>
        <v>1990000_99000</v>
      </c>
      <c r="BF21" t="str">
        <f t="shared" si="16"/>
        <v>1990000_100800</v>
      </c>
      <c r="BG21" t="str">
        <f t="shared" si="16"/>
        <v>1990000_102600</v>
      </c>
      <c r="BH21" t="str">
        <f t="shared" si="16"/>
        <v>1990000_104400</v>
      </c>
      <c r="BI21" t="str">
        <f t="shared" si="16"/>
        <v>1990000_106200</v>
      </c>
      <c r="BJ21" t="str">
        <f t="shared" si="16"/>
        <v>1990000_108000</v>
      </c>
      <c r="BK21" t="str">
        <f t="shared" si="16"/>
        <v>1990000_109800</v>
      </c>
      <c r="BL21" t="str">
        <f t="shared" si="16"/>
        <v>1990000_111600</v>
      </c>
      <c r="BM21" t="str">
        <f t="shared" si="16"/>
        <v>1990000_113400</v>
      </c>
      <c r="BN21" t="str">
        <f t="shared" si="16"/>
        <v>1990000_115200</v>
      </c>
      <c r="BO21" t="str">
        <f t="shared" ref="BO21:BU21" si="17">_xlfn.TEXTJOIN("_",TRUE,$A$2,BO10)</f>
        <v>1990000_117000</v>
      </c>
      <c r="BP21" t="str">
        <f t="shared" si="17"/>
        <v>1990000_118800</v>
      </c>
      <c r="BQ21" t="str">
        <f t="shared" si="17"/>
        <v>1990000_120600</v>
      </c>
      <c r="BR21" t="str">
        <f t="shared" si="17"/>
        <v>1990000_122400</v>
      </c>
      <c r="BS21" t="str">
        <f t="shared" si="17"/>
        <v>1990000_124200</v>
      </c>
      <c r="BT21" t="str">
        <f t="shared" si="17"/>
        <v>1990000_126000</v>
      </c>
      <c r="BU21" t="str">
        <f t="shared" si="17"/>
        <v>1990000_127800</v>
      </c>
    </row>
    <row r="23" spans="3:74">
      <c r="C23" t="str">
        <f t="shared" ref="C23:AW23" si="18">_xlfn.TEXTJOIN(",",TRUE,C13:C21)</f>
        <v>1990000_1000,1990000_1100,1990000_1200,1990000_1300,1990000_1400,1990000_1500,1990000_1600,1990000_1700,1990000_1800</v>
      </c>
      <c r="D23" t="str">
        <f t="shared" si="18"/>
        <v>1990000_2000,1990000_2200,1990000_2400,1990000_2600,1990000_2800,1990000_3000,1990000_3200,1990000_3400,1990000_3600</v>
      </c>
      <c r="E23" t="str">
        <f t="shared" si="18"/>
        <v>1990000_3000,1990000_3300,1990000_3600,1990000_3900,1990000_4200,1990000_4500,1990000_4800,1990000_5100,1990000_5400</v>
      </c>
      <c r="F23" t="str">
        <f t="shared" si="18"/>
        <v>1990000_4000,1990000_4400,1990000_4800,1990000_5200,1990000_5600,1990000_6000,1990000_6400,1990000_6800,1990000_7200</v>
      </c>
      <c r="G23" t="str">
        <f t="shared" si="18"/>
        <v>1990000_5000,1990000_5500,1990000_6000,1990000_6500,1990000_7000,1990000_7500,1990000_8000,1990000_8500,1990000_9000</v>
      </c>
      <c r="H23" t="str">
        <f t="shared" si="18"/>
        <v>1990000_6000,1990000_6600,1990000_7200,1990000_7800,1990000_8400,1990000_9000,1990000_9600,1990000_10200,1990000_10800</v>
      </c>
      <c r="I23" t="str">
        <f t="shared" si="18"/>
        <v>1990000_7000,1990000_7700,1990000_8400,1990000_9100,1990000_9800,1990000_10500,1990000_11200,1990000_11900,1990000_12600</v>
      </c>
      <c r="J23" t="str">
        <f t="shared" si="18"/>
        <v>1990000_8000,1990000_8800,1990000_9600,1990000_10400,1990000_11200,1990000_12000,1990000_12800,1990000_13600,1990000_14400</v>
      </c>
      <c r="K23" t="str">
        <f t="shared" si="18"/>
        <v>1990000_9000,1990000_9900,1990000_10800,1990000_11700,1990000_12600,1990000_13500,1990000_14400,1990000_15300,1990000_16200</v>
      </c>
      <c r="L23" t="str">
        <f t="shared" si="18"/>
        <v>1990000_10000,1990000_11000,1990000_12000,1990000_13000,1990000_14000,1990000_15000,1990000_16000,1990000_17000,1990000_18000</v>
      </c>
      <c r="M23" t="str">
        <f t="shared" si="18"/>
        <v>1990000_11000,1990000_12100,1990000_13200,1990000_14300,1990000_15400,1990000_16500,1990000_17600,1990000_18700,1990000_19800</v>
      </c>
      <c r="N23" t="str">
        <f t="shared" si="18"/>
        <v>1990000_12000,1990000_13200,1990000_14400,1990000_15600,1990000_16800,1990000_18000,1990000_19200,1990000_20400,1990000_21600</v>
      </c>
      <c r="O23" t="str">
        <f t="shared" si="18"/>
        <v>1990000_13000,1990000_14300,1990000_15600,1990000_16900,1990000_18200,1990000_19500,1990000_20800,1990000_22100,1990000_23400</v>
      </c>
      <c r="P23" t="str">
        <f t="shared" si="18"/>
        <v>1990000_14000,1990000_15400,1990000_16800,1990000_18200,1990000_19600,1990000_21000,1990000_22400,1990000_23800,1990000_25200</v>
      </c>
      <c r="Q23" t="str">
        <f t="shared" si="18"/>
        <v>1990000_15000,1990000_16500,1990000_18000,1990000_19500,1990000_21000,1990000_22500,1990000_24000,1990000_25500,1990000_27000</v>
      </c>
      <c r="R23" t="str">
        <f t="shared" si="18"/>
        <v>1990000_16000,1990000_17600,1990000_19200,1990000_20800,1990000_22400,1990000_24000,1990000_25600,1990000_27200,1990000_28800</v>
      </c>
      <c r="S23" t="str">
        <f t="shared" si="18"/>
        <v>1990000_17000,1990000_18700,1990000_20400,1990000_22100,1990000_23800,1990000_25500,1990000_27200,1990000_28900,1990000_30600</v>
      </c>
      <c r="T23" t="str">
        <f t="shared" si="18"/>
        <v>1990000_18000,1990000_19800,1990000_21600,1990000_23400,1990000_25200,1990000_27000,1990000_28800,1990000_30600,1990000_32400</v>
      </c>
      <c r="U23" t="str">
        <f t="shared" si="18"/>
        <v>1990000_19000,1990000_20900,1990000_22800,1990000_24700,1990000_26600,1990000_28500,1990000_30400,1990000_32300,1990000_34200</v>
      </c>
      <c r="V23" t="str">
        <f t="shared" si="18"/>
        <v>1990000_20000,1990000_22000,1990000_24000,1990000_26000,1990000_28000,1990000_30000,1990000_32000,1990000_34000,1990000_36000</v>
      </c>
      <c r="W23" t="str">
        <f t="shared" si="18"/>
        <v>1990000_21000,1990000_23100,1990000_25200,1990000_27300,1990000_29400,1990000_31500,1990000_33600,1990000_35700,1990000_37800</v>
      </c>
      <c r="X23" t="str">
        <f t="shared" si="18"/>
        <v>1990000_22000,1990000_24200,1990000_26400,1990000_28600,1990000_30800,1990000_33000,1990000_35200,1990000_37400,1990000_39600</v>
      </c>
      <c r="Y23" t="str">
        <f t="shared" si="18"/>
        <v>1990000_23000,1990000_25300,1990000_27600,1990000_29900,1990000_32200,1990000_34500,1990000_36800,1990000_39100,1990000_41400</v>
      </c>
      <c r="Z23" t="str">
        <f t="shared" si="18"/>
        <v>1990000_24000,1990000_26400,1990000_28800,1990000_31200,1990000_33600,1990000_36000,1990000_38400,1990000_40800,1990000_43200</v>
      </c>
      <c r="AA23" t="str">
        <f t="shared" si="18"/>
        <v>1990000_25000,1990000_27500,1990000_30000,1990000_32500,1990000_35000,1990000_37500,1990000_40000,1990000_42500,1990000_45000</v>
      </c>
      <c r="AB23" t="str">
        <f t="shared" si="18"/>
        <v>1990000_26000,1990000_28600,1990000_31200,1990000_33800,1990000_36400,1990000_39000,1990000_41600,1990000_44200,1990000_46800</v>
      </c>
      <c r="AC23" t="str">
        <f t="shared" si="18"/>
        <v>1990000_27000,1990000_29700,1990000_32400,1990000_35100,1990000_37800,1990000_40500,1990000_43200,1990000_45900,1990000_48600</v>
      </c>
      <c r="AD23" t="str">
        <f t="shared" si="18"/>
        <v>1990000_28000,1990000_30800,1990000_33600,1990000_36400,1990000_39200,1990000_42000,1990000_44800,1990000_47600,1990000_50400</v>
      </c>
      <c r="AE23" t="str">
        <f t="shared" si="18"/>
        <v>1990000_29000,1990000_31900,1990000_34800,1990000_37700,1990000_40600,1990000_43500,1990000_46400,1990000_49300,1990000_52200</v>
      </c>
      <c r="AF23" t="str">
        <f t="shared" si="18"/>
        <v>1990000_30000,1990000_33000,1990000_36000,1990000_39000,1990000_42000,1990000_45000,1990000_48000,1990000_51000,1990000_54000</v>
      </c>
      <c r="AG23" t="str">
        <f t="shared" si="18"/>
        <v>1990000_31000,1990000_34100,1990000_37200,1990000_40300,1990000_43400,1990000_46500,1990000_49600,1990000_52700,1990000_55800</v>
      </c>
      <c r="AH23" t="str">
        <f t="shared" si="18"/>
        <v>1990000_32000,1990000_35200,1990000_38400,1990000_41600,1990000_44800,1990000_48000,1990000_51200,1990000_54400,1990000_57600</v>
      </c>
      <c r="AI23" t="str">
        <f t="shared" si="18"/>
        <v>1990000_33000,1990000_36300,1990000_39600,1990000_42900,1990000_46200,1990000_49500,1990000_52800,1990000_56100,1990000_59400</v>
      </c>
      <c r="AJ23" t="str">
        <f t="shared" si="18"/>
        <v>1990000_34000,1990000_37400,1990000_40800,1990000_44200,1990000_47600,1990000_51000,1990000_54400,1990000_57800,1990000_61200</v>
      </c>
      <c r="AK23" t="str">
        <f t="shared" si="18"/>
        <v>1990000_35000,1990000_38500,1990000_42000,1990000_45500,1990000_49000,1990000_52500,1990000_56000,1990000_59500,1990000_63000</v>
      </c>
      <c r="AL23" t="str">
        <f t="shared" si="18"/>
        <v>1990000_36000,1990000_39600,1990000_43200,1990000_46800,1990000_50400,1990000_54000,1990000_57600,1990000_61200,1990000_64800</v>
      </c>
      <c r="AM23" t="str">
        <f t="shared" si="18"/>
        <v>1990000_37000,1990000_40700,1990000_44400,1990000_48100,1990000_51800,1990000_55500,1990000_59200,1990000_62900,1990000_66600</v>
      </c>
      <c r="AN23" t="str">
        <f t="shared" si="18"/>
        <v>1990000_38000,1990000_41800,1990000_45600,1990000_49400,1990000_53200,1990000_57000,1990000_60800,1990000_64600,1990000_68400</v>
      </c>
      <c r="AO23" t="str">
        <f t="shared" si="18"/>
        <v>1990000_39000,1990000_42900,1990000_46800,1990000_50700,1990000_54600,1990000_58500,1990000_62400,1990000_66300,1990000_70200</v>
      </c>
      <c r="AP23" t="str">
        <f t="shared" si="18"/>
        <v>1990000_40000,1990000_44000,1990000_48000,1990000_52000,1990000_56000,1990000_60000,1990000_64000,1990000_68000,1990000_72000</v>
      </c>
      <c r="AQ23" t="str">
        <f t="shared" si="18"/>
        <v>1990000_41000,1990000_45100,1990000_49200,1990000_53300,1990000_57400,1990000_61500,1990000_65600,1990000_69700,1990000_73800</v>
      </c>
      <c r="AR23" t="str">
        <f t="shared" si="18"/>
        <v>1990000_42000,1990000_46200,1990000_50400,1990000_54600,1990000_58800,1990000_63000,1990000_67200,1990000_71400,1990000_75600</v>
      </c>
      <c r="AS23" t="str">
        <f t="shared" si="18"/>
        <v>1990000_43000,1990000_47300,1990000_51600,1990000_55900,1990000_60200,1990000_64500,1990000_68800,1990000_73100,1990000_77400</v>
      </c>
      <c r="AT23" t="str">
        <f t="shared" si="18"/>
        <v>1990000_44000,1990000_48400,1990000_52800,1990000_57200,1990000_61600,1990000_66000,1990000_70400,1990000_74800,1990000_79200</v>
      </c>
      <c r="AU23" t="str">
        <f t="shared" si="18"/>
        <v>1990000_45000,1990000_49500,1990000_54000,1990000_58500,1990000_63000,1990000_67500,1990000_72000,1990000_76500,1990000_81000</v>
      </c>
      <c r="AV23" t="str">
        <f t="shared" si="18"/>
        <v>1990000_46000,1990000_50600,1990000_55200,1990000_59800,1990000_64400,1990000_69000,1990000_73600,1990000_78200,1990000_82800</v>
      </c>
      <c r="AW23" t="str">
        <f t="shared" si="18"/>
        <v>1990000_47000,1990000_51700,1990000_56400,1990000_61100,1990000_65800,1990000_70500,1990000_75200,1990000_79900,1990000_84600</v>
      </c>
      <c r="AX23" t="str">
        <f t="shared" ref="AX23:BN23" si="19">_xlfn.TEXTJOIN(",",TRUE,AX13:AX21)</f>
        <v>1990000_48000,1990000_52800,1990000_57600,1990000_62400,1990000_67200,1990000_72000,1990000_76800,1990000_81600,1990000_86400</v>
      </c>
      <c r="AY23" t="str">
        <f t="shared" si="19"/>
        <v>1990000_49000,1990000_53900,1990000_58800,1990000_63700,1990000_68600,1990000_73500,1990000_78400,1990000_83300,1990000_88200</v>
      </c>
      <c r="AZ23" t="str">
        <f t="shared" si="19"/>
        <v>1990000_50000,1990000_55000,1990000_60000,1990000_65000,1990000_70000,1990000_75000,1990000_80000,1990000_85000,1990000_90000</v>
      </c>
      <c r="BA23" t="str">
        <f t="shared" si="19"/>
        <v>1990000_51000,1990000_56100,1990000_61200,1990000_66300,1990000_71400,1990000_76500,1990000_81600,1990000_86700,1990000_91800</v>
      </c>
      <c r="BB23" t="str">
        <f t="shared" si="19"/>
        <v>1990000_52000,1990000_57200,1990000_62400,1990000_67600,1990000_72800,1990000_78000,1990000_83200,1990000_88400,1990000_93600</v>
      </c>
      <c r="BC23" t="str">
        <f t="shared" si="19"/>
        <v>1990000_53000,1990000_58300,1990000_63600,1990000_68900,1990000_74200,1990000_79500,1990000_84800,1990000_90100,1990000_95400</v>
      </c>
      <c r="BD23" t="str">
        <f t="shared" si="19"/>
        <v>1990000_54000,1990000_59400,1990000_64800,1990000_70200,1990000_75600,1990000_81000,1990000_86400,1990000_91800,1990000_97200</v>
      </c>
      <c r="BE23" t="str">
        <f t="shared" si="19"/>
        <v>1990000_55000,1990000_60500,1990000_66000,1990000_71500,1990000_77000,1990000_82500,1990000_88000,1990000_93500,1990000_99000</v>
      </c>
      <c r="BF23" t="str">
        <f t="shared" si="19"/>
        <v>1990000_56000,1990000_61600,1990000_67200,1990000_72800,1990000_78400,1990000_84000,1990000_89600,1990000_95200,1990000_100800</v>
      </c>
      <c r="BG23" t="str">
        <f t="shared" si="19"/>
        <v>1990000_57000,1990000_62700,1990000_68400,1990000_74100,1990000_79800,1990000_85500,1990000_91200,1990000_96900,1990000_102600</v>
      </c>
      <c r="BH23" t="str">
        <f t="shared" si="19"/>
        <v>1990000_58000,1990000_63800,1990000_69600,1990000_75400,1990000_81200,1990000_87000,1990000_92800,1990000_98600,1990000_104400</v>
      </c>
      <c r="BI23" t="str">
        <f t="shared" si="19"/>
        <v>1990000_59000,1990000_64900,1990000_70800,1990000_76700,1990000_82600,1990000_88500,1990000_94400,1990000_100300,1990000_106200</v>
      </c>
      <c r="BJ23" t="str">
        <f t="shared" si="19"/>
        <v>1990000_60000,1990000_66000,1990000_72000,1990000_78000,1990000_84000,1990000_90000,1990000_96000,1990000_102000,1990000_108000</v>
      </c>
      <c r="BK23" t="str">
        <f t="shared" si="19"/>
        <v>1990000_61000,1990000_67100,1990000_73200,1990000_79300,1990000_85400,1990000_91500,1990000_97600,1990000_103700,1990000_109800</v>
      </c>
      <c r="BL23" t="str">
        <f t="shared" si="19"/>
        <v>1990000_62000,1990000_68200,1990000_74400,1990000_80600,1990000_86800,1990000_93000,1990000_99200,1990000_105400,1990000_111600</v>
      </c>
      <c r="BM23" t="str">
        <f t="shared" si="19"/>
        <v>1990000_63000,1990000_69300,1990000_75600,1990000_81900,1990000_88200,1990000_94500,1990000_100800,1990000_107100,1990000_113400</v>
      </c>
      <c r="BN23" t="str">
        <f t="shared" si="19"/>
        <v>1990000_64000,1990000_70400,1990000_76800,1990000_83200,1990000_89600,1990000_96000,1990000_102400,1990000_108800,1990000_115200</v>
      </c>
      <c r="BO23" t="str">
        <f t="shared" ref="BO23:BV23" si="20">_xlfn.TEXTJOIN(",",TRUE,BO13:BO21)</f>
        <v>1990000_65000,1990000_71500,1990000_78000,1990000_84500,1990000_91000,1990000_97500,1990000_104000,1990000_110500,1990000_117000</v>
      </c>
      <c r="BP23" t="str">
        <f t="shared" si="20"/>
        <v>1990000_66000,1990000_72600,1990000_79200,1990000_85800,1990000_92400,1990000_99000,1990000_105600,1990000_112200,1990000_118800</v>
      </c>
      <c r="BQ23" t="str">
        <f t="shared" si="20"/>
        <v>1990000_67000,1990000_73700,1990000_80400,1990000_87100,1990000_93800,1990000_100500,1990000_107200,1990000_113900,1990000_120600</v>
      </c>
      <c r="BR23" t="str">
        <f t="shared" si="20"/>
        <v>1990000_68000,1990000_74800,1990000_81600,1990000_88400,1990000_95200,1990000_102000,1990000_108800,1990000_115600,1990000_122400</v>
      </c>
      <c r="BS23" t="str">
        <f t="shared" si="20"/>
        <v>1990000_69000,1990000_75900,1990000_82800,1990000_89700,1990000_96600,1990000_103500,1990000_110400,1990000_117300,1990000_124200</v>
      </c>
      <c r="BT23" t="str">
        <f t="shared" si="20"/>
        <v>1990000_70000,1990000_77000,1990000_84000,1990000_91000,1990000_98000,1990000_105000,1990000_112000,1990000_119000,1990000_126000</v>
      </c>
      <c r="BU23" t="str">
        <f t="shared" si="20"/>
        <v>1990000_71000,1990000_78100,1990000_85200,1990000_92300,1990000_99400,1990000_106500,1990000_113600,1990000_120700,1990000_127800</v>
      </c>
      <c r="BV23" t="str">
        <f t="shared" si="20"/>
        <v/>
      </c>
    </row>
    <row r="27" spans="3:74">
      <c r="C27" t="s">
        <v>411</v>
      </c>
    </row>
    <row r="28" spans="3:74">
      <c r="C28">
        <v>2000</v>
      </c>
      <c r="D28">
        <v>4000</v>
      </c>
      <c r="E28">
        <v>6000</v>
      </c>
      <c r="F28">
        <v>8000</v>
      </c>
      <c r="G28">
        <v>10000</v>
      </c>
      <c r="H28">
        <v>12000</v>
      </c>
      <c r="I28">
        <v>14000</v>
      </c>
      <c r="J28">
        <v>16000</v>
      </c>
      <c r="K28">
        <v>18000</v>
      </c>
      <c r="L28">
        <v>20000</v>
      </c>
      <c r="M28">
        <v>22000</v>
      </c>
      <c r="N28">
        <v>24000</v>
      </c>
      <c r="O28">
        <v>26000</v>
      </c>
      <c r="P28">
        <v>28000</v>
      </c>
      <c r="Q28">
        <v>30000</v>
      </c>
      <c r="R28">
        <v>32000</v>
      </c>
      <c r="S28">
        <v>34000</v>
      </c>
      <c r="T28">
        <v>36000</v>
      </c>
      <c r="U28">
        <v>38000</v>
      </c>
      <c r="V28">
        <v>40000</v>
      </c>
      <c r="W28">
        <v>42000</v>
      </c>
      <c r="X28">
        <v>44000</v>
      </c>
      <c r="Y28">
        <v>46000</v>
      </c>
      <c r="Z28">
        <v>48000</v>
      </c>
      <c r="AA28">
        <v>50000</v>
      </c>
      <c r="AB28">
        <v>52000</v>
      </c>
      <c r="AC28">
        <v>54000</v>
      </c>
      <c r="AD28">
        <v>56000</v>
      </c>
      <c r="AE28">
        <v>58000</v>
      </c>
      <c r="AF28">
        <v>60000</v>
      </c>
      <c r="AG28">
        <v>62000</v>
      </c>
      <c r="AH28">
        <v>64000</v>
      </c>
      <c r="AI28">
        <v>66000</v>
      </c>
      <c r="AJ28">
        <v>68000</v>
      </c>
      <c r="AK28">
        <v>70000</v>
      </c>
      <c r="AL28">
        <v>72000</v>
      </c>
      <c r="AM28">
        <v>74000</v>
      </c>
      <c r="AN28">
        <v>76000</v>
      </c>
      <c r="AO28">
        <v>78000</v>
      </c>
      <c r="AP28">
        <v>80000</v>
      </c>
      <c r="AQ28">
        <v>82000</v>
      </c>
      <c r="AR28">
        <v>84000</v>
      </c>
      <c r="AS28">
        <v>86000</v>
      </c>
      <c r="AT28">
        <v>88000</v>
      </c>
      <c r="AU28">
        <v>90000</v>
      </c>
      <c r="AV28">
        <v>92000</v>
      </c>
      <c r="AW28">
        <v>94000</v>
      </c>
      <c r="AX28">
        <v>96000</v>
      </c>
      <c r="AY28">
        <v>98000</v>
      </c>
      <c r="AZ28">
        <v>100000</v>
      </c>
      <c r="BA28">
        <v>102000</v>
      </c>
      <c r="BB28">
        <v>104000</v>
      </c>
      <c r="BC28">
        <v>106000</v>
      </c>
      <c r="BD28">
        <v>108000</v>
      </c>
      <c r="BE28">
        <v>110000</v>
      </c>
      <c r="BF28">
        <v>112000</v>
      </c>
      <c r="BG28">
        <v>114000</v>
      </c>
      <c r="BH28">
        <v>116000</v>
      </c>
      <c r="BI28">
        <v>118000</v>
      </c>
      <c r="BJ28">
        <v>120000</v>
      </c>
      <c r="BK28">
        <v>122000</v>
      </c>
      <c r="BL28">
        <v>124000</v>
      </c>
    </row>
    <row r="29" spans="3:74">
      <c r="C29">
        <v>2200</v>
      </c>
      <c r="D29">
        <v>4400</v>
      </c>
      <c r="E29">
        <v>6600</v>
      </c>
      <c r="F29">
        <v>8800</v>
      </c>
      <c r="G29">
        <v>11000</v>
      </c>
      <c r="H29">
        <v>13200</v>
      </c>
      <c r="I29">
        <v>15400</v>
      </c>
      <c r="J29">
        <v>17600</v>
      </c>
      <c r="K29">
        <v>19800</v>
      </c>
      <c r="L29">
        <v>22000</v>
      </c>
      <c r="M29">
        <v>24200</v>
      </c>
      <c r="N29">
        <v>26400</v>
      </c>
      <c r="O29">
        <v>28600</v>
      </c>
      <c r="P29">
        <v>30800</v>
      </c>
      <c r="Q29">
        <v>33000</v>
      </c>
      <c r="R29">
        <v>35200</v>
      </c>
      <c r="S29">
        <v>37400</v>
      </c>
      <c r="T29">
        <v>39600</v>
      </c>
      <c r="U29">
        <v>41800</v>
      </c>
      <c r="V29">
        <v>44000</v>
      </c>
      <c r="W29">
        <v>46200</v>
      </c>
      <c r="X29">
        <v>48400</v>
      </c>
      <c r="Y29">
        <v>50600</v>
      </c>
      <c r="Z29">
        <v>52800</v>
      </c>
      <c r="AA29">
        <v>55000</v>
      </c>
      <c r="AB29">
        <v>57200</v>
      </c>
      <c r="AC29">
        <v>59400</v>
      </c>
      <c r="AD29">
        <v>61600</v>
      </c>
      <c r="AE29">
        <v>63800</v>
      </c>
      <c r="AF29">
        <v>66000</v>
      </c>
      <c r="AG29">
        <v>68200</v>
      </c>
      <c r="AH29">
        <v>70400</v>
      </c>
      <c r="AI29">
        <v>72600</v>
      </c>
      <c r="AJ29">
        <v>74800</v>
      </c>
      <c r="AK29">
        <v>77000</v>
      </c>
      <c r="AL29">
        <v>79200</v>
      </c>
      <c r="AM29">
        <v>81400</v>
      </c>
      <c r="AN29">
        <v>83600</v>
      </c>
      <c r="AO29">
        <v>85800</v>
      </c>
      <c r="AP29">
        <v>88000</v>
      </c>
      <c r="AQ29">
        <v>90200</v>
      </c>
      <c r="AR29">
        <v>92400</v>
      </c>
      <c r="AS29">
        <v>94600</v>
      </c>
      <c r="AT29">
        <v>96800</v>
      </c>
      <c r="AU29">
        <v>99000</v>
      </c>
      <c r="AV29">
        <v>101200</v>
      </c>
      <c r="AW29">
        <v>103400</v>
      </c>
      <c r="AX29">
        <v>105600</v>
      </c>
      <c r="AY29">
        <v>107800</v>
      </c>
      <c r="AZ29">
        <v>110000</v>
      </c>
      <c r="BA29">
        <v>112200</v>
      </c>
      <c r="BB29">
        <v>114400</v>
      </c>
      <c r="BC29">
        <v>116600</v>
      </c>
      <c r="BD29">
        <v>118800</v>
      </c>
      <c r="BE29">
        <v>121000</v>
      </c>
      <c r="BF29">
        <v>123200</v>
      </c>
      <c r="BG29">
        <v>125400</v>
      </c>
      <c r="BH29">
        <v>127600</v>
      </c>
      <c r="BI29">
        <v>129800</v>
      </c>
      <c r="BJ29">
        <v>132000</v>
      </c>
      <c r="BK29">
        <v>134200</v>
      </c>
      <c r="BL29">
        <v>136400</v>
      </c>
    </row>
    <row r="30" spans="3:74">
      <c r="C30">
        <v>2400</v>
      </c>
      <c r="D30">
        <v>4800</v>
      </c>
      <c r="E30">
        <v>7200</v>
      </c>
      <c r="F30">
        <v>9600</v>
      </c>
      <c r="G30">
        <v>12000</v>
      </c>
      <c r="H30">
        <v>14400</v>
      </c>
      <c r="I30">
        <v>16800</v>
      </c>
      <c r="J30">
        <v>19200</v>
      </c>
      <c r="K30">
        <v>21600</v>
      </c>
      <c r="L30">
        <v>24000</v>
      </c>
      <c r="M30">
        <v>26400</v>
      </c>
      <c r="N30">
        <v>28800</v>
      </c>
      <c r="O30">
        <v>31200</v>
      </c>
      <c r="P30">
        <v>33600</v>
      </c>
      <c r="Q30">
        <v>36000</v>
      </c>
      <c r="R30">
        <v>38400</v>
      </c>
      <c r="S30">
        <v>40800</v>
      </c>
      <c r="T30">
        <v>43200</v>
      </c>
      <c r="U30">
        <v>45600</v>
      </c>
      <c r="V30">
        <v>48000</v>
      </c>
      <c r="W30">
        <v>50400</v>
      </c>
      <c r="X30">
        <v>52800</v>
      </c>
      <c r="Y30">
        <v>55200</v>
      </c>
      <c r="Z30">
        <v>57600</v>
      </c>
      <c r="AA30">
        <v>60000</v>
      </c>
      <c r="AB30">
        <v>62400</v>
      </c>
      <c r="AC30">
        <v>64800</v>
      </c>
      <c r="AD30">
        <v>67200</v>
      </c>
      <c r="AE30">
        <v>69600</v>
      </c>
      <c r="AF30">
        <v>72000</v>
      </c>
      <c r="AG30">
        <v>74400</v>
      </c>
      <c r="AH30">
        <v>76800</v>
      </c>
      <c r="AI30">
        <v>79200</v>
      </c>
      <c r="AJ30">
        <v>81600</v>
      </c>
      <c r="AK30">
        <v>84000</v>
      </c>
      <c r="AL30">
        <v>86400</v>
      </c>
      <c r="AM30">
        <v>88800</v>
      </c>
      <c r="AN30">
        <v>91200</v>
      </c>
      <c r="AO30">
        <v>93600</v>
      </c>
      <c r="AP30">
        <v>96000</v>
      </c>
      <c r="AQ30">
        <v>98400</v>
      </c>
      <c r="AR30">
        <v>100800</v>
      </c>
      <c r="AS30">
        <v>103200</v>
      </c>
      <c r="AT30">
        <v>105600</v>
      </c>
      <c r="AU30">
        <v>108000</v>
      </c>
      <c r="AV30">
        <v>110400</v>
      </c>
      <c r="AW30">
        <v>112800</v>
      </c>
      <c r="AX30">
        <v>115200</v>
      </c>
      <c r="AY30">
        <v>117600</v>
      </c>
      <c r="AZ30">
        <v>120000</v>
      </c>
      <c r="BA30">
        <v>122400</v>
      </c>
      <c r="BB30">
        <v>124800</v>
      </c>
      <c r="BC30">
        <v>127200</v>
      </c>
      <c r="BD30">
        <v>129600</v>
      </c>
      <c r="BE30">
        <v>132000</v>
      </c>
      <c r="BF30">
        <v>134400</v>
      </c>
      <c r="BG30">
        <v>136800</v>
      </c>
      <c r="BH30">
        <v>139200</v>
      </c>
      <c r="BI30">
        <v>141600</v>
      </c>
      <c r="BJ30">
        <v>144000</v>
      </c>
      <c r="BK30">
        <v>146400</v>
      </c>
      <c r="BL30">
        <v>148800</v>
      </c>
    </row>
    <row r="31" spans="3:74">
      <c r="C31">
        <v>2600</v>
      </c>
      <c r="D31">
        <v>5200</v>
      </c>
      <c r="E31">
        <v>7800</v>
      </c>
      <c r="F31">
        <v>10400</v>
      </c>
      <c r="G31">
        <v>13000</v>
      </c>
      <c r="H31">
        <v>15600</v>
      </c>
      <c r="I31">
        <v>18200</v>
      </c>
      <c r="J31">
        <v>20800</v>
      </c>
      <c r="K31">
        <v>23400</v>
      </c>
      <c r="L31">
        <v>26000</v>
      </c>
      <c r="M31">
        <v>28600</v>
      </c>
      <c r="N31">
        <v>31200</v>
      </c>
      <c r="O31">
        <v>33800</v>
      </c>
      <c r="P31">
        <v>36400</v>
      </c>
      <c r="Q31">
        <v>39000</v>
      </c>
      <c r="R31">
        <v>41600</v>
      </c>
      <c r="S31">
        <v>44200</v>
      </c>
      <c r="T31">
        <v>46800</v>
      </c>
      <c r="U31">
        <v>49400</v>
      </c>
      <c r="V31">
        <v>52000</v>
      </c>
      <c r="W31">
        <v>54600</v>
      </c>
      <c r="X31">
        <v>57200</v>
      </c>
      <c r="Y31">
        <v>59800</v>
      </c>
      <c r="Z31">
        <v>62400</v>
      </c>
      <c r="AA31">
        <v>65000</v>
      </c>
      <c r="AB31">
        <v>67600</v>
      </c>
      <c r="AC31">
        <v>70200</v>
      </c>
      <c r="AD31">
        <v>72800</v>
      </c>
      <c r="AE31">
        <v>75400</v>
      </c>
      <c r="AF31">
        <v>78000</v>
      </c>
      <c r="AG31">
        <v>80600</v>
      </c>
      <c r="AH31">
        <v>83200</v>
      </c>
      <c r="AI31">
        <v>85800</v>
      </c>
      <c r="AJ31">
        <v>88400</v>
      </c>
      <c r="AK31">
        <v>91000</v>
      </c>
      <c r="AL31">
        <v>93600</v>
      </c>
      <c r="AM31">
        <v>96200</v>
      </c>
      <c r="AN31">
        <v>98800</v>
      </c>
      <c r="AO31">
        <v>101400</v>
      </c>
      <c r="AP31">
        <v>104000</v>
      </c>
      <c r="AQ31">
        <v>106600</v>
      </c>
      <c r="AR31">
        <v>109200</v>
      </c>
      <c r="AS31">
        <v>111800</v>
      </c>
      <c r="AT31">
        <v>114400</v>
      </c>
      <c r="AU31">
        <v>117000</v>
      </c>
      <c r="AV31">
        <v>119600</v>
      </c>
      <c r="AW31">
        <v>122200</v>
      </c>
      <c r="AX31">
        <v>124800</v>
      </c>
      <c r="AY31">
        <v>127400</v>
      </c>
      <c r="AZ31">
        <v>130000</v>
      </c>
      <c r="BA31">
        <v>132600</v>
      </c>
      <c r="BB31">
        <v>135200</v>
      </c>
      <c r="BC31">
        <v>137800</v>
      </c>
      <c r="BD31">
        <v>140400</v>
      </c>
      <c r="BE31">
        <v>143000</v>
      </c>
      <c r="BF31">
        <v>145600</v>
      </c>
      <c r="BG31">
        <v>148200</v>
      </c>
      <c r="BH31">
        <v>150800</v>
      </c>
      <c r="BI31">
        <v>153400</v>
      </c>
      <c r="BJ31">
        <v>156000</v>
      </c>
      <c r="BK31">
        <v>158600</v>
      </c>
      <c r="BL31">
        <v>161200</v>
      </c>
    </row>
    <row r="32" spans="3:74">
      <c r="C32">
        <v>2800</v>
      </c>
      <c r="D32">
        <v>5600</v>
      </c>
      <c r="E32">
        <v>8400</v>
      </c>
      <c r="F32">
        <v>11200</v>
      </c>
      <c r="G32">
        <v>14000</v>
      </c>
      <c r="H32">
        <v>16800</v>
      </c>
      <c r="I32">
        <v>19600</v>
      </c>
      <c r="J32">
        <v>22400</v>
      </c>
      <c r="K32">
        <v>25200</v>
      </c>
      <c r="L32">
        <v>28000</v>
      </c>
      <c r="M32">
        <v>30800</v>
      </c>
      <c r="N32">
        <v>33600</v>
      </c>
      <c r="O32">
        <v>36400</v>
      </c>
      <c r="P32">
        <v>39200</v>
      </c>
      <c r="Q32">
        <v>42000</v>
      </c>
      <c r="R32">
        <v>44800</v>
      </c>
      <c r="S32">
        <v>47600</v>
      </c>
      <c r="T32">
        <v>50400</v>
      </c>
      <c r="U32">
        <v>53200</v>
      </c>
      <c r="V32">
        <v>56000</v>
      </c>
      <c r="W32">
        <v>58800</v>
      </c>
      <c r="X32">
        <v>61600</v>
      </c>
      <c r="Y32">
        <v>64400</v>
      </c>
      <c r="Z32">
        <v>67200</v>
      </c>
      <c r="AA32">
        <v>70000</v>
      </c>
      <c r="AB32">
        <v>72800</v>
      </c>
      <c r="AC32">
        <v>75600</v>
      </c>
      <c r="AD32">
        <v>78400</v>
      </c>
      <c r="AE32">
        <v>81200</v>
      </c>
      <c r="AF32">
        <v>84000</v>
      </c>
      <c r="AG32">
        <v>86800</v>
      </c>
      <c r="AH32">
        <v>89600</v>
      </c>
      <c r="AI32">
        <v>92400</v>
      </c>
      <c r="AJ32">
        <v>95200</v>
      </c>
      <c r="AK32">
        <v>98000</v>
      </c>
      <c r="AL32">
        <v>100800</v>
      </c>
      <c r="AM32">
        <v>103600</v>
      </c>
      <c r="AN32">
        <v>106400</v>
      </c>
      <c r="AO32">
        <v>109200</v>
      </c>
      <c r="AP32">
        <v>112000</v>
      </c>
      <c r="AQ32">
        <v>114800</v>
      </c>
      <c r="AR32">
        <v>117600</v>
      </c>
      <c r="AS32">
        <v>120400</v>
      </c>
      <c r="AT32">
        <v>123200</v>
      </c>
      <c r="AU32">
        <v>126000</v>
      </c>
      <c r="AV32">
        <v>128800</v>
      </c>
      <c r="AW32">
        <v>131600</v>
      </c>
      <c r="AX32">
        <v>134400</v>
      </c>
      <c r="AY32">
        <v>137200</v>
      </c>
      <c r="AZ32">
        <v>140000</v>
      </c>
      <c r="BA32">
        <v>142800</v>
      </c>
      <c r="BB32">
        <v>145600</v>
      </c>
      <c r="BC32">
        <v>148400</v>
      </c>
      <c r="BD32">
        <v>151200</v>
      </c>
      <c r="BE32">
        <v>154000</v>
      </c>
      <c r="BF32">
        <v>156800</v>
      </c>
      <c r="BG32">
        <v>159600</v>
      </c>
      <c r="BH32">
        <v>162400</v>
      </c>
      <c r="BI32">
        <v>165200</v>
      </c>
      <c r="BJ32">
        <v>168000</v>
      </c>
      <c r="BK32">
        <v>170800</v>
      </c>
      <c r="BL32">
        <v>173600</v>
      </c>
    </row>
    <row r="33" spans="3:64">
      <c r="C33">
        <v>3000</v>
      </c>
      <c r="D33">
        <v>6000</v>
      </c>
      <c r="E33">
        <v>9000</v>
      </c>
      <c r="F33">
        <v>12000</v>
      </c>
      <c r="G33">
        <v>15000</v>
      </c>
      <c r="H33">
        <v>18000</v>
      </c>
      <c r="I33">
        <v>21000</v>
      </c>
      <c r="J33">
        <v>24000</v>
      </c>
      <c r="K33">
        <v>27000</v>
      </c>
      <c r="L33">
        <v>30000</v>
      </c>
      <c r="M33">
        <v>33000</v>
      </c>
      <c r="N33">
        <v>36000</v>
      </c>
      <c r="O33">
        <v>39000</v>
      </c>
      <c r="P33">
        <v>42000</v>
      </c>
      <c r="Q33">
        <v>45000</v>
      </c>
      <c r="R33">
        <v>48000</v>
      </c>
      <c r="S33">
        <v>51000</v>
      </c>
      <c r="T33">
        <v>54000</v>
      </c>
      <c r="U33">
        <v>57000</v>
      </c>
      <c r="V33">
        <v>60000</v>
      </c>
      <c r="W33">
        <v>63000</v>
      </c>
      <c r="X33">
        <v>66000</v>
      </c>
      <c r="Y33">
        <v>69000</v>
      </c>
      <c r="Z33">
        <v>72000</v>
      </c>
      <c r="AA33">
        <v>75000</v>
      </c>
      <c r="AB33">
        <v>78000</v>
      </c>
      <c r="AC33">
        <v>81000</v>
      </c>
      <c r="AD33">
        <v>84000</v>
      </c>
      <c r="AE33">
        <v>87000</v>
      </c>
      <c r="AF33">
        <v>90000</v>
      </c>
      <c r="AG33">
        <v>93000</v>
      </c>
      <c r="AH33">
        <v>96000</v>
      </c>
      <c r="AI33">
        <v>99000</v>
      </c>
      <c r="AJ33">
        <v>102000</v>
      </c>
      <c r="AK33">
        <v>105000</v>
      </c>
      <c r="AL33">
        <v>108000</v>
      </c>
      <c r="AM33">
        <v>111000</v>
      </c>
      <c r="AN33">
        <v>114000</v>
      </c>
      <c r="AO33">
        <v>117000</v>
      </c>
      <c r="AP33">
        <v>120000</v>
      </c>
      <c r="AQ33">
        <v>123000</v>
      </c>
      <c r="AR33">
        <v>126000</v>
      </c>
      <c r="AS33">
        <v>129000</v>
      </c>
      <c r="AT33">
        <v>132000</v>
      </c>
      <c r="AU33">
        <v>135000</v>
      </c>
      <c r="AV33">
        <v>138000</v>
      </c>
      <c r="AW33">
        <v>141000</v>
      </c>
      <c r="AX33">
        <v>144000</v>
      </c>
      <c r="AY33">
        <v>147000</v>
      </c>
      <c r="AZ33">
        <v>150000</v>
      </c>
      <c r="BA33">
        <v>153000</v>
      </c>
      <c r="BB33">
        <v>156000</v>
      </c>
      <c r="BC33">
        <v>159000</v>
      </c>
      <c r="BD33">
        <v>162000</v>
      </c>
      <c r="BE33">
        <v>165000</v>
      </c>
      <c r="BF33">
        <v>168000</v>
      </c>
      <c r="BG33">
        <v>171000</v>
      </c>
      <c r="BH33">
        <v>174000</v>
      </c>
      <c r="BI33">
        <v>177000</v>
      </c>
      <c r="BJ33">
        <v>180000</v>
      </c>
      <c r="BK33">
        <v>183000</v>
      </c>
      <c r="BL33">
        <v>186000</v>
      </c>
    </row>
    <row r="34" spans="3:64">
      <c r="C34">
        <v>3200</v>
      </c>
      <c r="D34">
        <v>6400</v>
      </c>
      <c r="E34">
        <v>9600</v>
      </c>
      <c r="F34">
        <v>12800</v>
      </c>
      <c r="G34">
        <v>16000</v>
      </c>
      <c r="H34">
        <v>19200</v>
      </c>
      <c r="I34">
        <v>22400</v>
      </c>
      <c r="J34">
        <v>25600</v>
      </c>
      <c r="K34">
        <v>28800</v>
      </c>
      <c r="L34">
        <v>32000</v>
      </c>
      <c r="M34">
        <v>35200</v>
      </c>
      <c r="N34">
        <v>38400</v>
      </c>
      <c r="O34">
        <v>41600</v>
      </c>
      <c r="P34">
        <v>44800</v>
      </c>
      <c r="Q34">
        <v>48000</v>
      </c>
      <c r="R34">
        <v>51200</v>
      </c>
      <c r="S34">
        <v>54400</v>
      </c>
      <c r="T34">
        <v>57600</v>
      </c>
      <c r="U34">
        <v>60800</v>
      </c>
      <c r="V34">
        <v>64000</v>
      </c>
      <c r="W34">
        <v>67200</v>
      </c>
      <c r="X34">
        <v>70400</v>
      </c>
      <c r="Y34">
        <v>73600</v>
      </c>
      <c r="Z34">
        <v>76800</v>
      </c>
      <c r="AA34">
        <v>80000</v>
      </c>
      <c r="AB34">
        <v>83200</v>
      </c>
      <c r="AC34">
        <v>86400</v>
      </c>
      <c r="AD34">
        <v>89600</v>
      </c>
      <c r="AE34">
        <v>92800</v>
      </c>
      <c r="AF34">
        <v>96000</v>
      </c>
      <c r="AG34">
        <v>99200</v>
      </c>
      <c r="AH34">
        <v>102400</v>
      </c>
      <c r="AI34">
        <v>105600</v>
      </c>
      <c r="AJ34">
        <v>108800</v>
      </c>
      <c r="AK34">
        <v>112000</v>
      </c>
      <c r="AL34">
        <v>115200</v>
      </c>
      <c r="AM34">
        <v>118400</v>
      </c>
      <c r="AN34">
        <v>121600</v>
      </c>
      <c r="AO34">
        <v>124800</v>
      </c>
      <c r="AP34">
        <v>128000</v>
      </c>
      <c r="AQ34">
        <v>131200</v>
      </c>
      <c r="AR34">
        <v>134400</v>
      </c>
      <c r="AS34">
        <v>137600</v>
      </c>
      <c r="AT34">
        <v>140800</v>
      </c>
      <c r="AU34">
        <v>144000</v>
      </c>
      <c r="AV34">
        <v>147200</v>
      </c>
      <c r="AW34">
        <v>150400</v>
      </c>
      <c r="AX34">
        <v>153600</v>
      </c>
      <c r="AY34">
        <v>156800</v>
      </c>
      <c r="AZ34">
        <v>160000</v>
      </c>
      <c r="BA34">
        <v>163200</v>
      </c>
      <c r="BB34">
        <v>166400</v>
      </c>
      <c r="BC34">
        <v>169600</v>
      </c>
      <c r="BD34">
        <v>172800</v>
      </c>
      <c r="BE34">
        <v>176000</v>
      </c>
      <c r="BF34">
        <v>179200</v>
      </c>
      <c r="BG34">
        <v>182400</v>
      </c>
      <c r="BH34">
        <v>185600</v>
      </c>
      <c r="BI34">
        <v>188800</v>
      </c>
      <c r="BJ34">
        <v>192000</v>
      </c>
      <c r="BK34">
        <v>195200</v>
      </c>
      <c r="BL34">
        <v>198400</v>
      </c>
    </row>
    <row r="35" spans="3:64">
      <c r="C35">
        <v>3400</v>
      </c>
      <c r="D35">
        <v>6800</v>
      </c>
      <c r="E35">
        <v>10200</v>
      </c>
      <c r="F35">
        <v>13600</v>
      </c>
      <c r="G35">
        <v>17000</v>
      </c>
      <c r="H35">
        <v>20400</v>
      </c>
      <c r="I35">
        <v>23800</v>
      </c>
      <c r="J35">
        <v>27200</v>
      </c>
      <c r="K35">
        <v>30600</v>
      </c>
      <c r="L35">
        <v>34000</v>
      </c>
      <c r="M35">
        <v>37400</v>
      </c>
      <c r="N35">
        <v>40800</v>
      </c>
      <c r="O35">
        <v>44200</v>
      </c>
      <c r="P35">
        <v>47600</v>
      </c>
      <c r="Q35">
        <v>51000</v>
      </c>
      <c r="R35">
        <v>54400</v>
      </c>
      <c r="S35">
        <v>57800</v>
      </c>
      <c r="T35">
        <v>61200</v>
      </c>
      <c r="U35">
        <v>64600</v>
      </c>
      <c r="V35">
        <v>68000</v>
      </c>
      <c r="W35">
        <v>71400</v>
      </c>
      <c r="X35">
        <v>74800</v>
      </c>
      <c r="Y35">
        <v>78200</v>
      </c>
      <c r="Z35">
        <v>81600</v>
      </c>
      <c r="AA35">
        <v>85000</v>
      </c>
      <c r="AB35">
        <v>88400</v>
      </c>
      <c r="AC35">
        <v>91800</v>
      </c>
      <c r="AD35">
        <v>95200</v>
      </c>
      <c r="AE35">
        <v>98600</v>
      </c>
      <c r="AF35">
        <v>102000</v>
      </c>
      <c r="AG35">
        <v>105400</v>
      </c>
      <c r="AH35">
        <v>108800</v>
      </c>
      <c r="AI35">
        <v>112200</v>
      </c>
      <c r="AJ35">
        <v>115600</v>
      </c>
      <c r="AK35">
        <v>119000</v>
      </c>
      <c r="AL35">
        <v>122400</v>
      </c>
      <c r="AM35">
        <v>125800</v>
      </c>
      <c r="AN35">
        <v>129200</v>
      </c>
      <c r="AO35">
        <v>132600</v>
      </c>
      <c r="AP35">
        <v>136000</v>
      </c>
      <c r="AQ35">
        <v>139400</v>
      </c>
      <c r="AR35">
        <v>142800</v>
      </c>
      <c r="AS35">
        <v>146200</v>
      </c>
      <c r="AT35">
        <v>149600</v>
      </c>
      <c r="AU35">
        <v>153000</v>
      </c>
      <c r="AV35">
        <v>156400</v>
      </c>
      <c r="AW35">
        <v>159800</v>
      </c>
      <c r="AX35">
        <v>163200</v>
      </c>
      <c r="AY35">
        <v>166600</v>
      </c>
      <c r="AZ35">
        <v>170000</v>
      </c>
      <c r="BA35">
        <v>173400</v>
      </c>
      <c r="BB35">
        <v>176800</v>
      </c>
      <c r="BC35">
        <v>180200</v>
      </c>
      <c r="BD35">
        <v>183600</v>
      </c>
      <c r="BE35">
        <v>187000</v>
      </c>
      <c r="BF35">
        <v>190400</v>
      </c>
      <c r="BG35">
        <v>193800</v>
      </c>
      <c r="BH35">
        <v>197200</v>
      </c>
      <c r="BI35">
        <v>200600</v>
      </c>
      <c r="BJ35">
        <v>204000</v>
      </c>
      <c r="BK35">
        <v>207400</v>
      </c>
      <c r="BL35">
        <v>210800</v>
      </c>
    </row>
    <row r="36" spans="3:64">
      <c r="C36">
        <v>3600</v>
      </c>
      <c r="D36">
        <v>7200</v>
      </c>
      <c r="E36">
        <v>10800</v>
      </c>
      <c r="F36">
        <v>14400</v>
      </c>
      <c r="G36">
        <v>18000</v>
      </c>
      <c r="H36">
        <v>21600</v>
      </c>
      <c r="I36">
        <v>25200</v>
      </c>
      <c r="J36">
        <v>28800</v>
      </c>
      <c r="K36">
        <v>32400</v>
      </c>
      <c r="L36">
        <v>36000</v>
      </c>
      <c r="M36">
        <v>39600</v>
      </c>
      <c r="N36">
        <v>43200</v>
      </c>
      <c r="O36">
        <v>46800</v>
      </c>
      <c r="P36">
        <v>50400</v>
      </c>
      <c r="Q36">
        <v>54000</v>
      </c>
      <c r="R36">
        <v>57600</v>
      </c>
      <c r="S36">
        <v>61200</v>
      </c>
      <c r="T36">
        <v>64800</v>
      </c>
      <c r="U36">
        <v>68400</v>
      </c>
      <c r="V36">
        <v>72000</v>
      </c>
      <c r="W36">
        <v>75600</v>
      </c>
      <c r="X36">
        <v>79200</v>
      </c>
      <c r="Y36">
        <v>82800</v>
      </c>
      <c r="Z36">
        <v>86400</v>
      </c>
      <c r="AA36">
        <v>90000</v>
      </c>
      <c r="AB36">
        <v>93600</v>
      </c>
      <c r="AC36">
        <v>97200</v>
      </c>
      <c r="AD36">
        <v>100800</v>
      </c>
      <c r="AE36">
        <v>104400</v>
      </c>
      <c r="AF36">
        <v>108000</v>
      </c>
      <c r="AG36">
        <v>111600</v>
      </c>
      <c r="AH36">
        <v>115200</v>
      </c>
      <c r="AI36">
        <v>118800</v>
      </c>
      <c r="AJ36">
        <v>122400</v>
      </c>
      <c r="AK36">
        <v>126000</v>
      </c>
      <c r="AL36">
        <v>129600</v>
      </c>
      <c r="AM36">
        <v>133200</v>
      </c>
      <c r="AN36">
        <v>136800</v>
      </c>
      <c r="AO36">
        <v>140400</v>
      </c>
      <c r="AP36">
        <v>144000</v>
      </c>
      <c r="AQ36">
        <v>147600</v>
      </c>
      <c r="AR36">
        <v>151200</v>
      </c>
      <c r="AS36">
        <v>154800</v>
      </c>
      <c r="AT36">
        <v>158400</v>
      </c>
      <c r="AU36">
        <v>162000</v>
      </c>
      <c r="AV36">
        <v>165600</v>
      </c>
      <c r="AW36">
        <v>169200</v>
      </c>
      <c r="AX36">
        <v>172800</v>
      </c>
      <c r="AY36">
        <v>176400</v>
      </c>
      <c r="AZ36">
        <v>180000</v>
      </c>
      <c r="BA36">
        <v>183600</v>
      </c>
      <c r="BB36">
        <v>187200</v>
      </c>
      <c r="BC36">
        <v>190800</v>
      </c>
      <c r="BD36">
        <v>194400</v>
      </c>
      <c r="BE36">
        <v>198000</v>
      </c>
      <c r="BF36">
        <v>201600</v>
      </c>
      <c r="BG36">
        <v>205200</v>
      </c>
      <c r="BH36">
        <v>208800</v>
      </c>
      <c r="BI36">
        <v>212400</v>
      </c>
      <c r="BJ36">
        <v>216000</v>
      </c>
      <c r="BK36">
        <v>219600</v>
      </c>
      <c r="BL36">
        <v>223200</v>
      </c>
    </row>
    <row r="39" spans="3:64">
      <c r="C39" t="str">
        <f t="shared" ref="C39:BL39" si="21">_xlfn.TEXTJOIN("_",TRUE,$A$2,C28)</f>
        <v>1990000_2000</v>
      </c>
      <c r="D39" t="str">
        <f t="shared" si="21"/>
        <v>1990000_4000</v>
      </c>
      <c r="E39" t="str">
        <f t="shared" si="21"/>
        <v>1990000_6000</v>
      </c>
      <c r="F39" t="str">
        <f t="shared" si="21"/>
        <v>1990000_8000</v>
      </c>
      <c r="G39" t="str">
        <f t="shared" si="21"/>
        <v>1990000_10000</v>
      </c>
      <c r="H39" t="str">
        <f t="shared" si="21"/>
        <v>1990000_12000</v>
      </c>
      <c r="I39" t="str">
        <f t="shared" si="21"/>
        <v>1990000_14000</v>
      </c>
      <c r="J39" t="str">
        <f t="shared" si="21"/>
        <v>1990000_16000</v>
      </c>
      <c r="K39" t="str">
        <f t="shared" si="21"/>
        <v>1990000_18000</v>
      </c>
      <c r="L39" t="str">
        <f t="shared" si="21"/>
        <v>1990000_20000</v>
      </c>
      <c r="M39" t="str">
        <f t="shared" si="21"/>
        <v>1990000_22000</v>
      </c>
      <c r="N39" t="str">
        <f t="shared" si="21"/>
        <v>1990000_24000</v>
      </c>
      <c r="O39" t="str">
        <f t="shared" si="21"/>
        <v>1990000_26000</v>
      </c>
      <c r="P39" t="str">
        <f t="shared" si="21"/>
        <v>1990000_28000</v>
      </c>
      <c r="Q39" t="str">
        <f t="shared" si="21"/>
        <v>1990000_30000</v>
      </c>
      <c r="R39" t="str">
        <f t="shared" si="21"/>
        <v>1990000_32000</v>
      </c>
      <c r="S39" t="str">
        <f t="shared" si="21"/>
        <v>1990000_34000</v>
      </c>
      <c r="T39" t="str">
        <f t="shared" si="21"/>
        <v>1990000_36000</v>
      </c>
      <c r="U39" t="str">
        <f t="shared" si="21"/>
        <v>1990000_38000</v>
      </c>
      <c r="V39" t="str">
        <f t="shared" si="21"/>
        <v>1990000_40000</v>
      </c>
      <c r="W39" t="str">
        <f t="shared" si="21"/>
        <v>1990000_42000</v>
      </c>
      <c r="X39" t="str">
        <f t="shared" si="21"/>
        <v>1990000_44000</v>
      </c>
      <c r="Y39" t="str">
        <f t="shared" si="21"/>
        <v>1990000_46000</v>
      </c>
      <c r="Z39" t="str">
        <f t="shared" si="21"/>
        <v>1990000_48000</v>
      </c>
      <c r="AA39" t="str">
        <f t="shared" si="21"/>
        <v>1990000_50000</v>
      </c>
      <c r="AB39" t="str">
        <f t="shared" si="21"/>
        <v>1990000_52000</v>
      </c>
      <c r="AC39" t="str">
        <f t="shared" si="21"/>
        <v>1990000_54000</v>
      </c>
      <c r="AD39" t="str">
        <f t="shared" si="21"/>
        <v>1990000_56000</v>
      </c>
      <c r="AE39" t="str">
        <f t="shared" si="21"/>
        <v>1990000_58000</v>
      </c>
      <c r="AF39" t="str">
        <f t="shared" si="21"/>
        <v>1990000_60000</v>
      </c>
      <c r="AG39" t="str">
        <f t="shared" si="21"/>
        <v>1990000_62000</v>
      </c>
      <c r="AH39" t="str">
        <f t="shared" si="21"/>
        <v>1990000_64000</v>
      </c>
      <c r="AI39" t="str">
        <f t="shared" si="21"/>
        <v>1990000_66000</v>
      </c>
      <c r="AJ39" t="str">
        <f t="shared" si="21"/>
        <v>1990000_68000</v>
      </c>
      <c r="AK39" t="str">
        <f t="shared" si="21"/>
        <v>1990000_70000</v>
      </c>
      <c r="AL39" t="str">
        <f t="shared" si="21"/>
        <v>1990000_72000</v>
      </c>
      <c r="AM39" t="str">
        <f t="shared" si="21"/>
        <v>1990000_74000</v>
      </c>
      <c r="AN39" t="str">
        <f t="shared" si="21"/>
        <v>1990000_76000</v>
      </c>
      <c r="AO39" t="str">
        <f t="shared" si="21"/>
        <v>1990000_78000</v>
      </c>
      <c r="AP39" t="str">
        <f t="shared" si="21"/>
        <v>1990000_80000</v>
      </c>
      <c r="AQ39" t="str">
        <f t="shared" si="21"/>
        <v>1990000_82000</v>
      </c>
      <c r="AR39" t="str">
        <f t="shared" si="21"/>
        <v>1990000_84000</v>
      </c>
      <c r="AS39" t="str">
        <f t="shared" si="21"/>
        <v>1990000_86000</v>
      </c>
      <c r="AT39" t="str">
        <f t="shared" si="21"/>
        <v>1990000_88000</v>
      </c>
      <c r="AU39" t="str">
        <f t="shared" si="21"/>
        <v>1990000_90000</v>
      </c>
      <c r="AV39" t="str">
        <f t="shared" si="21"/>
        <v>1990000_92000</v>
      </c>
      <c r="AW39" t="str">
        <f t="shared" si="21"/>
        <v>1990000_94000</v>
      </c>
      <c r="AX39" t="str">
        <f t="shared" si="21"/>
        <v>1990000_96000</v>
      </c>
      <c r="AY39" t="str">
        <f t="shared" si="21"/>
        <v>1990000_98000</v>
      </c>
      <c r="AZ39" t="str">
        <f t="shared" si="21"/>
        <v>1990000_100000</v>
      </c>
      <c r="BA39" t="str">
        <f t="shared" si="21"/>
        <v>1990000_102000</v>
      </c>
      <c r="BB39" t="str">
        <f t="shared" si="21"/>
        <v>1990000_104000</v>
      </c>
      <c r="BC39" t="str">
        <f t="shared" si="21"/>
        <v>1990000_106000</v>
      </c>
      <c r="BD39" t="str">
        <f t="shared" si="21"/>
        <v>1990000_108000</v>
      </c>
      <c r="BE39" t="str">
        <f t="shared" si="21"/>
        <v>1990000_110000</v>
      </c>
      <c r="BF39" t="str">
        <f t="shared" si="21"/>
        <v>1990000_112000</v>
      </c>
      <c r="BG39" t="str">
        <f t="shared" si="21"/>
        <v>1990000_114000</v>
      </c>
      <c r="BH39" t="str">
        <f t="shared" si="21"/>
        <v>1990000_116000</v>
      </c>
      <c r="BI39" t="str">
        <f t="shared" si="21"/>
        <v>1990000_118000</v>
      </c>
      <c r="BJ39" t="str">
        <f t="shared" si="21"/>
        <v>1990000_120000</v>
      </c>
      <c r="BK39" t="str">
        <f t="shared" si="21"/>
        <v>1990000_122000</v>
      </c>
      <c r="BL39" t="str">
        <f t="shared" si="21"/>
        <v>1990000_124000</v>
      </c>
    </row>
    <row r="40" spans="3:64">
      <c r="C40" t="str">
        <f t="shared" ref="C40:BL40" si="22">_xlfn.TEXTJOIN("_",TRUE,$A$2,C29)</f>
        <v>1990000_2200</v>
      </c>
      <c r="D40" t="str">
        <f t="shared" si="22"/>
        <v>1990000_4400</v>
      </c>
      <c r="E40" t="str">
        <f t="shared" si="22"/>
        <v>1990000_6600</v>
      </c>
      <c r="F40" t="str">
        <f t="shared" si="22"/>
        <v>1990000_8800</v>
      </c>
      <c r="G40" t="str">
        <f t="shared" si="22"/>
        <v>1990000_11000</v>
      </c>
      <c r="H40" t="str">
        <f t="shared" si="22"/>
        <v>1990000_13200</v>
      </c>
      <c r="I40" t="str">
        <f t="shared" si="22"/>
        <v>1990000_15400</v>
      </c>
      <c r="J40" t="str">
        <f t="shared" si="22"/>
        <v>1990000_17600</v>
      </c>
      <c r="K40" t="str">
        <f t="shared" si="22"/>
        <v>1990000_19800</v>
      </c>
      <c r="L40" t="str">
        <f t="shared" si="22"/>
        <v>1990000_22000</v>
      </c>
      <c r="M40" t="str">
        <f t="shared" si="22"/>
        <v>1990000_24200</v>
      </c>
      <c r="N40" t="str">
        <f t="shared" si="22"/>
        <v>1990000_26400</v>
      </c>
      <c r="O40" t="str">
        <f t="shared" si="22"/>
        <v>1990000_28600</v>
      </c>
      <c r="P40" t="str">
        <f t="shared" si="22"/>
        <v>1990000_30800</v>
      </c>
      <c r="Q40" t="str">
        <f t="shared" si="22"/>
        <v>1990000_33000</v>
      </c>
      <c r="R40" t="str">
        <f t="shared" si="22"/>
        <v>1990000_35200</v>
      </c>
      <c r="S40" t="str">
        <f t="shared" si="22"/>
        <v>1990000_37400</v>
      </c>
      <c r="T40" t="str">
        <f t="shared" si="22"/>
        <v>1990000_39600</v>
      </c>
      <c r="U40" t="str">
        <f t="shared" si="22"/>
        <v>1990000_41800</v>
      </c>
      <c r="V40" t="str">
        <f t="shared" si="22"/>
        <v>1990000_44000</v>
      </c>
      <c r="W40" t="str">
        <f t="shared" si="22"/>
        <v>1990000_46200</v>
      </c>
      <c r="X40" t="str">
        <f t="shared" si="22"/>
        <v>1990000_48400</v>
      </c>
      <c r="Y40" t="str">
        <f t="shared" si="22"/>
        <v>1990000_50600</v>
      </c>
      <c r="Z40" t="str">
        <f t="shared" si="22"/>
        <v>1990000_52800</v>
      </c>
      <c r="AA40" t="str">
        <f t="shared" si="22"/>
        <v>1990000_55000</v>
      </c>
      <c r="AB40" t="str">
        <f t="shared" si="22"/>
        <v>1990000_57200</v>
      </c>
      <c r="AC40" t="str">
        <f t="shared" si="22"/>
        <v>1990000_59400</v>
      </c>
      <c r="AD40" t="str">
        <f t="shared" si="22"/>
        <v>1990000_61600</v>
      </c>
      <c r="AE40" t="str">
        <f t="shared" si="22"/>
        <v>1990000_63800</v>
      </c>
      <c r="AF40" t="str">
        <f t="shared" si="22"/>
        <v>1990000_66000</v>
      </c>
      <c r="AG40" t="str">
        <f t="shared" si="22"/>
        <v>1990000_68200</v>
      </c>
      <c r="AH40" t="str">
        <f t="shared" si="22"/>
        <v>1990000_70400</v>
      </c>
      <c r="AI40" t="str">
        <f t="shared" si="22"/>
        <v>1990000_72600</v>
      </c>
      <c r="AJ40" t="str">
        <f t="shared" si="22"/>
        <v>1990000_74800</v>
      </c>
      <c r="AK40" t="str">
        <f t="shared" si="22"/>
        <v>1990000_77000</v>
      </c>
      <c r="AL40" t="str">
        <f t="shared" si="22"/>
        <v>1990000_79200</v>
      </c>
      <c r="AM40" t="str">
        <f t="shared" si="22"/>
        <v>1990000_81400</v>
      </c>
      <c r="AN40" t="str">
        <f t="shared" si="22"/>
        <v>1990000_83600</v>
      </c>
      <c r="AO40" t="str">
        <f t="shared" si="22"/>
        <v>1990000_85800</v>
      </c>
      <c r="AP40" t="str">
        <f t="shared" si="22"/>
        <v>1990000_88000</v>
      </c>
      <c r="AQ40" t="str">
        <f t="shared" si="22"/>
        <v>1990000_90200</v>
      </c>
      <c r="AR40" t="str">
        <f t="shared" si="22"/>
        <v>1990000_92400</v>
      </c>
      <c r="AS40" t="str">
        <f t="shared" si="22"/>
        <v>1990000_94600</v>
      </c>
      <c r="AT40" t="str">
        <f t="shared" si="22"/>
        <v>1990000_96800</v>
      </c>
      <c r="AU40" t="str">
        <f t="shared" si="22"/>
        <v>1990000_99000</v>
      </c>
      <c r="AV40" t="str">
        <f t="shared" si="22"/>
        <v>1990000_101200</v>
      </c>
      <c r="AW40" t="str">
        <f t="shared" si="22"/>
        <v>1990000_103400</v>
      </c>
      <c r="AX40" t="str">
        <f t="shared" si="22"/>
        <v>1990000_105600</v>
      </c>
      <c r="AY40" t="str">
        <f t="shared" si="22"/>
        <v>1990000_107800</v>
      </c>
      <c r="AZ40" t="str">
        <f t="shared" si="22"/>
        <v>1990000_110000</v>
      </c>
      <c r="BA40" t="str">
        <f t="shared" si="22"/>
        <v>1990000_112200</v>
      </c>
      <c r="BB40" t="str">
        <f t="shared" si="22"/>
        <v>1990000_114400</v>
      </c>
      <c r="BC40" t="str">
        <f t="shared" si="22"/>
        <v>1990000_116600</v>
      </c>
      <c r="BD40" t="str">
        <f t="shared" si="22"/>
        <v>1990000_118800</v>
      </c>
      <c r="BE40" t="str">
        <f t="shared" si="22"/>
        <v>1990000_121000</v>
      </c>
      <c r="BF40" t="str">
        <f t="shared" si="22"/>
        <v>1990000_123200</v>
      </c>
      <c r="BG40" t="str">
        <f t="shared" si="22"/>
        <v>1990000_125400</v>
      </c>
      <c r="BH40" t="str">
        <f t="shared" si="22"/>
        <v>1990000_127600</v>
      </c>
      <c r="BI40" t="str">
        <f t="shared" si="22"/>
        <v>1990000_129800</v>
      </c>
      <c r="BJ40" t="str">
        <f t="shared" si="22"/>
        <v>1990000_132000</v>
      </c>
      <c r="BK40" t="str">
        <f t="shared" si="22"/>
        <v>1990000_134200</v>
      </c>
      <c r="BL40" t="str">
        <f t="shared" si="22"/>
        <v>1990000_136400</v>
      </c>
    </row>
    <row r="41" spans="3:64">
      <c r="C41" t="str">
        <f t="shared" ref="C41:BL41" si="23">_xlfn.TEXTJOIN("_",TRUE,$A$2,C30)</f>
        <v>1990000_2400</v>
      </c>
      <c r="D41" t="str">
        <f t="shared" si="23"/>
        <v>1990000_4800</v>
      </c>
      <c r="E41" t="str">
        <f t="shared" si="23"/>
        <v>1990000_7200</v>
      </c>
      <c r="F41" t="str">
        <f t="shared" si="23"/>
        <v>1990000_9600</v>
      </c>
      <c r="G41" t="str">
        <f t="shared" si="23"/>
        <v>1990000_12000</v>
      </c>
      <c r="H41" t="str">
        <f t="shared" si="23"/>
        <v>1990000_14400</v>
      </c>
      <c r="I41" t="str">
        <f t="shared" si="23"/>
        <v>1990000_16800</v>
      </c>
      <c r="J41" t="str">
        <f t="shared" si="23"/>
        <v>1990000_19200</v>
      </c>
      <c r="K41" t="str">
        <f t="shared" si="23"/>
        <v>1990000_21600</v>
      </c>
      <c r="L41" t="str">
        <f t="shared" si="23"/>
        <v>1990000_24000</v>
      </c>
      <c r="M41" t="str">
        <f t="shared" si="23"/>
        <v>1990000_26400</v>
      </c>
      <c r="N41" t="str">
        <f t="shared" si="23"/>
        <v>1990000_28800</v>
      </c>
      <c r="O41" t="str">
        <f t="shared" si="23"/>
        <v>1990000_31200</v>
      </c>
      <c r="P41" t="str">
        <f t="shared" si="23"/>
        <v>1990000_33600</v>
      </c>
      <c r="Q41" t="str">
        <f t="shared" si="23"/>
        <v>1990000_36000</v>
      </c>
      <c r="R41" t="str">
        <f t="shared" si="23"/>
        <v>1990000_38400</v>
      </c>
      <c r="S41" t="str">
        <f t="shared" si="23"/>
        <v>1990000_40800</v>
      </c>
      <c r="T41" t="str">
        <f t="shared" si="23"/>
        <v>1990000_43200</v>
      </c>
      <c r="U41" t="str">
        <f t="shared" si="23"/>
        <v>1990000_45600</v>
      </c>
      <c r="V41" t="str">
        <f t="shared" si="23"/>
        <v>1990000_48000</v>
      </c>
      <c r="W41" t="str">
        <f t="shared" si="23"/>
        <v>1990000_50400</v>
      </c>
      <c r="X41" t="str">
        <f t="shared" si="23"/>
        <v>1990000_52800</v>
      </c>
      <c r="Y41" t="str">
        <f t="shared" si="23"/>
        <v>1990000_55200</v>
      </c>
      <c r="Z41" t="str">
        <f t="shared" si="23"/>
        <v>1990000_57600</v>
      </c>
      <c r="AA41" t="str">
        <f t="shared" si="23"/>
        <v>1990000_60000</v>
      </c>
      <c r="AB41" t="str">
        <f t="shared" si="23"/>
        <v>1990000_62400</v>
      </c>
      <c r="AC41" t="str">
        <f t="shared" si="23"/>
        <v>1990000_64800</v>
      </c>
      <c r="AD41" t="str">
        <f t="shared" si="23"/>
        <v>1990000_67200</v>
      </c>
      <c r="AE41" t="str">
        <f t="shared" si="23"/>
        <v>1990000_69600</v>
      </c>
      <c r="AF41" t="str">
        <f t="shared" si="23"/>
        <v>1990000_72000</v>
      </c>
      <c r="AG41" t="str">
        <f t="shared" si="23"/>
        <v>1990000_74400</v>
      </c>
      <c r="AH41" t="str">
        <f t="shared" si="23"/>
        <v>1990000_76800</v>
      </c>
      <c r="AI41" t="str">
        <f t="shared" si="23"/>
        <v>1990000_79200</v>
      </c>
      <c r="AJ41" t="str">
        <f t="shared" si="23"/>
        <v>1990000_81600</v>
      </c>
      <c r="AK41" t="str">
        <f t="shared" si="23"/>
        <v>1990000_84000</v>
      </c>
      <c r="AL41" t="str">
        <f t="shared" si="23"/>
        <v>1990000_86400</v>
      </c>
      <c r="AM41" t="str">
        <f t="shared" si="23"/>
        <v>1990000_88800</v>
      </c>
      <c r="AN41" t="str">
        <f t="shared" si="23"/>
        <v>1990000_91200</v>
      </c>
      <c r="AO41" t="str">
        <f t="shared" si="23"/>
        <v>1990000_93600</v>
      </c>
      <c r="AP41" t="str">
        <f t="shared" si="23"/>
        <v>1990000_96000</v>
      </c>
      <c r="AQ41" t="str">
        <f t="shared" si="23"/>
        <v>1990000_98400</v>
      </c>
      <c r="AR41" t="str">
        <f t="shared" si="23"/>
        <v>1990000_100800</v>
      </c>
      <c r="AS41" t="str">
        <f t="shared" si="23"/>
        <v>1990000_103200</v>
      </c>
      <c r="AT41" t="str">
        <f t="shared" si="23"/>
        <v>1990000_105600</v>
      </c>
      <c r="AU41" t="str">
        <f t="shared" si="23"/>
        <v>1990000_108000</v>
      </c>
      <c r="AV41" t="str">
        <f t="shared" si="23"/>
        <v>1990000_110400</v>
      </c>
      <c r="AW41" t="str">
        <f t="shared" si="23"/>
        <v>1990000_112800</v>
      </c>
      <c r="AX41" t="str">
        <f t="shared" si="23"/>
        <v>1990000_115200</v>
      </c>
      <c r="AY41" t="str">
        <f t="shared" si="23"/>
        <v>1990000_117600</v>
      </c>
      <c r="AZ41" t="str">
        <f t="shared" si="23"/>
        <v>1990000_120000</v>
      </c>
      <c r="BA41" t="str">
        <f t="shared" si="23"/>
        <v>1990000_122400</v>
      </c>
      <c r="BB41" t="str">
        <f t="shared" si="23"/>
        <v>1990000_124800</v>
      </c>
      <c r="BC41" t="str">
        <f t="shared" si="23"/>
        <v>1990000_127200</v>
      </c>
      <c r="BD41" t="str">
        <f t="shared" si="23"/>
        <v>1990000_129600</v>
      </c>
      <c r="BE41" t="str">
        <f t="shared" si="23"/>
        <v>1990000_132000</v>
      </c>
      <c r="BF41" t="str">
        <f t="shared" si="23"/>
        <v>1990000_134400</v>
      </c>
      <c r="BG41" t="str">
        <f t="shared" si="23"/>
        <v>1990000_136800</v>
      </c>
      <c r="BH41" t="str">
        <f t="shared" si="23"/>
        <v>1990000_139200</v>
      </c>
      <c r="BI41" t="str">
        <f t="shared" si="23"/>
        <v>1990000_141600</v>
      </c>
      <c r="BJ41" t="str">
        <f t="shared" si="23"/>
        <v>1990000_144000</v>
      </c>
      <c r="BK41" t="str">
        <f t="shared" si="23"/>
        <v>1990000_146400</v>
      </c>
      <c r="BL41" t="str">
        <f t="shared" si="23"/>
        <v>1990000_148800</v>
      </c>
    </row>
    <row r="42" spans="3:64">
      <c r="C42" t="str">
        <f t="shared" ref="C42:BL42" si="24">_xlfn.TEXTJOIN("_",TRUE,$A$2,C31)</f>
        <v>1990000_2600</v>
      </c>
      <c r="D42" t="str">
        <f t="shared" si="24"/>
        <v>1990000_5200</v>
      </c>
      <c r="E42" t="str">
        <f t="shared" si="24"/>
        <v>1990000_7800</v>
      </c>
      <c r="F42" t="str">
        <f t="shared" si="24"/>
        <v>1990000_10400</v>
      </c>
      <c r="G42" t="str">
        <f t="shared" si="24"/>
        <v>1990000_13000</v>
      </c>
      <c r="H42" t="str">
        <f t="shared" si="24"/>
        <v>1990000_15600</v>
      </c>
      <c r="I42" t="str">
        <f t="shared" si="24"/>
        <v>1990000_18200</v>
      </c>
      <c r="J42" t="str">
        <f t="shared" si="24"/>
        <v>1990000_20800</v>
      </c>
      <c r="K42" t="str">
        <f t="shared" si="24"/>
        <v>1990000_23400</v>
      </c>
      <c r="L42" t="str">
        <f t="shared" si="24"/>
        <v>1990000_26000</v>
      </c>
      <c r="M42" t="str">
        <f t="shared" si="24"/>
        <v>1990000_28600</v>
      </c>
      <c r="N42" t="str">
        <f t="shared" si="24"/>
        <v>1990000_31200</v>
      </c>
      <c r="O42" t="str">
        <f t="shared" si="24"/>
        <v>1990000_33800</v>
      </c>
      <c r="P42" t="str">
        <f t="shared" si="24"/>
        <v>1990000_36400</v>
      </c>
      <c r="Q42" t="str">
        <f t="shared" si="24"/>
        <v>1990000_39000</v>
      </c>
      <c r="R42" t="str">
        <f t="shared" si="24"/>
        <v>1990000_41600</v>
      </c>
      <c r="S42" t="str">
        <f t="shared" si="24"/>
        <v>1990000_44200</v>
      </c>
      <c r="T42" t="str">
        <f t="shared" si="24"/>
        <v>1990000_46800</v>
      </c>
      <c r="U42" t="str">
        <f t="shared" si="24"/>
        <v>1990000_49400</v>
      </c>
      <c r="V42" t="str">
        <f t="shared" si="24"/>
        <v>1990000_52000</v>
      </c>
      <c r="W42" t="str">
        <f t="shared" si="24"/>
        <v>1990000_54600</v>
      </c>
      <c r="X42" t="str">
        <f t="shared" si="24"/>
        <v>1990000_57200</v>
      </c>
      <c r="Y42" t="str">
        <f t="shared" si="24"/>
        <v>1990000_59800</v>
      </c>
      <c r="Z42" t="str">
        <f t="shared" si="24"/>
        <v>1990000_62400</v>
      </c>
      <c r="AA42" t="str">
        <f t="shared" si="24"/>
        <v>1990000_65000</v>
      </c>
      <c r="AB42" t="str">
        <f t="shared" si="24"/>
        <v>1990000_67600</v>
      </c>
      <c r="AC42" t="str">
        <f t="shared" si="24"/>
        <v>1990000_70200</v>
      </c>
      <c r="AD42" t="str">
        <f t="shared" si="24"/>
        <v>1990000_72800</v>
      </c>
      <c r="AE42" t="str">
        <f t="shared" si="24"/>
        <v>1990000_75400</v>
      </c>
      <c r="AF42" t="str">
        <f t="shared" si="24"/>
        <v>1990000_78000</v>
      </c>
      <c r="AG42" t="str">
        <f t="shared" si="24"/>
        <v>1990000_80600</v>
      </c>
      <c r="AH42" t="str">
        <f t="shared" si="24"/>
        <v>1990000_83200</v>
      </c>
      <c r="AI42" t="str">
        <f t="shared" si="24"/>
        <v>1990000_85800</v>
      </c>
      <c r="AJ42" t="str">
        <f t="shared" si="24"/>
        <v>1990000_88400</v>
      </c>
      <c r="AK42" t="str">
        <f t="shared" si="24"/>
        <v>1990000_91000</v>
      </c>
      <c r="AL42" t="str">
        <f t="shared" si="24"/>
        <v>1990000_93600</v>
      </c>
      <c r="AM42" t="str">
        <f t="shared" si="24"/>
        <v>1990000_96200</v>
      </c>
      <c r="AN42" t="str">
        <f t="shared" si="24"/>
        <v>1990000_98800</v>
      </c>
      <c r="AO42" t="str">
        <f t="shared" si="24"/>
        <v>1990000_101400</v>
      </c>
      <c r="AP42" t="str">
        <f t="shared" si="24"/>
        <v>1990000_104000</v>
      </c>
      <c r="AQ42" t="str">
        <f t="shared" si="24"/>
        <v>1990000_106600</v>
      </c>
      <c r="AR42" t="str">
        <f t="shared" si="24"/>
        <v>1990000_109200</v>
      </c>
      <c r="AS42" t="str">
        <f t="shared" si="24"/>
        <v>1990000_111800</v>
      </c>
      <c r="AT42" t="str">
        <f t="shared" si="24"/>
        <v>1990000_114400</v>
      </c>
      <c r="AU42" t="str">
        <f t="shared" si="24"/>
        <v>1990000_117000</v>
      </c>
      <c r="AV42" t="str">
        <f t="shared" si="24"/>
        <v>1990000_119600</v>
      </c>
      <c r="AW42" t="str">
        <f t="shared" si="24"/>
        <v>1990000_122200</v>
      </c>
      <c r="AX42" t="str">
        <f t="shared" si="24"/>
        <v>1990000_124800</v>
      </c>
      <c r="AY42" t="str">
        <f t="shared" si="24"/>
        <v>1990000_127400</v>
      </c>
      <c r="AZ42" t="str">
        <f t="shared" si="24"/>
        <v>1990000_130000</v>
      </c>
      <c r="BA42" t="str">
        <f t="shared" si="24"/>
        <v>1990000_132600</v>
      </c>
      <c r="BB42" t="str">
        <f t="shared" si="24"/>
        <v>1990000_135200</v>
      </c>
      <c r="BC42" t="str">
        <f t="shared" si="24"/>
        <v>1990000_137800</v>
      </c>
      <c r="BD42" t="str">
        <f t="shared" si="24"/>
        <v>1990000_140400</v>
      </c>
      <c r="BE42" t="str">
        <f t="shared" si="24"/>
        <v>1990000_143000</v>
      </c>
      <c r="BF42" t="str">
        <f t="shared" si="24"/>
        <v>1990000_145600</v>
      </c>
      <c r="BG42" t="str">
        <f t="shared" si="24"/>
        <v>1990000_148200</v>
      </c>
      <c r="BH42" t="str">
        <f t="shared" si="24"/>
        <v>1990000_150800</v>
      </c>
      <c r="BI42" t="str">
        <f t="shared" si="24"/>
        <v>1990000_153400</v>
      </c>
      <c r="BJ42" t="str">
        <f t="shared" si="24"/>
        <v>1990000_156000</v>
      </c>
      <c r="BK42" t="str">
        <f t="shared" si="24"/>
        <v>1990000_158600</v>
      </c>
      <c r="BL42" t="str">
        <f t="shared" si="24"/>
        <v>1990000_161200</v>
      </c>
    </row>
    <row r="43" spans="3:64">
      <c r="C43" t="str">
        <f t="shared" ref="C43:BL43" si="25">_xlfn.TEXTJOIN("_",TRUE,$A$2,C32)</f>
        <v>1990000_2800</v>
      </c>
      <c r="D43" t="str">
        <f t="shared" si="25"/>
        <v>1990000_5600</v>
      </c>
      <c r="E43" t="str">
        <f t="shared" si="25"/>
        <v>1990000_8400</v>
      </c>
      <c r="F43" t="str">
        <f t="shared" si="25"/>
        <v>1990000_11200</v>
      </c>
      <c r="G43" t="str">
        <f t="shared" si="25"/>
        <v>1990000_14000</v>
      </c>
      <c r="H43" t="str">
        <f t="shared" si="25"/>
        <v>1990000_16800</v>
      </c>
      <c r="I43" t="str">
        <f t="shared" si="25"/>
        <v>1990000_19600</v>
      </c>
      <c r="J43" t="str">
        <f t="shared" si="25"/>
        <v>1990000_22400</v>
      </c>
      <c r="K43" t="str">
        <f t="shared" si="25"/>
        <v>1990000_25200</v>
      </c>
      <c r="L43" t="str">
        <f t="shared" si="25"/>
        <v>1990000_28000</v>
      </c>
      <c r="M43" t="str">
        <f t="shared" si="25"/>
        <v>1990000_30800</v>
      </c>
      <c r="N43" t="str">
        <f t="shared" si="25"/>
        <v>1990000_33600</v>
      </c>
      <c r="O43" t="str">
        <f t="shared" si="25"/>
        <v>1990000_36400</v>
      </c>
      <c r="P43" t="str">
        <f t="shared" si="25"/>
        <v>1990000_39200</v>
      </c>
      <c r="Q43" t="str">
        <f t="shared" si="25"/>
        <v>1990000_42000</v>
      </c>
      <c r="R43" t="str">
        <f t="shared" si="25"/>
        <v>1990000_44800</v>
      </c>
      <c r="S43" t="str">
        <f t="shared" si="25"/>
        <v>1990000_47600</v>
      </c>
      <c r="T43" t="str">
        <f t="shared" si="25"/>
        <v>1990000_50400</v>
      </c>
      <c r="U43" t="str">
        <f t="shared" si="25"/>
        <v>1990000_53200</v>
      </c>
      <c r="V43" t="str">
        <f t="shared" si="25"/>
        <v>1990000_56000</v>
      </c>
      <c r="W43" t="str">
        <f t="shared" si="25"/>
        <v>1990000_58800</v>
      </c>
      <c r="X43" t="str">
        <f t="shared" si="25"/>
        <v>1990000_61600</v>
      </c>
      <c r="Y43" t="str">
        <f t="shared" si="25"/>
        <v>1990000_64400</v>
      </c>
      <c r="Z43" t="str">
        <f t="shared" si="25"/>
        <v>1990000_67200</v>
      </c>
      <c r="AA43" t="str">
        <f t="shared" si="25"/>
        <v>1990000_70000</v>
      </c>
      <c r="AB43" t="str">
        <f t="shared" si="25"/>
        <v>1990000_72800</v>
      </c>
      <c r="AC43" t="str">
        <f t="shared" si="25"/>
        <v>1990000_75600</v>
      </c>
      <c r="AD43" t="str">
        <f t="shared" si="25"/>
        <v>1990000_78400</v>
      </c>
      <c r="AE43" t="str">
        <f t="shared" si="25"/>
        <v>1990000_81200</v>
      </c>
      <c r="AF43" t="str">
        <f t="shared" si="25"/>
        <v>1990000_84000</v>
      </c>
      <c r="AG43" t="str">
        <f t="shared" si="25"/>
        <v>1990000_86800</v>
      </c>
      <c r="AH43" t="str">
        <f t="shared" si="25"/>
        <v>1990000_89600</v>
      </c>
      <c r="AI43" t="str">
        <f t="shared" si="25"/>
        <v>1990000_92400</v>
      </c>
      <c r="AJ43" t="str">
        <f t="shared" si="25"/>
        <v>1990000_95200</v>
      </c>
      <c r="AK43" t="str">
        <f t="shared" si="25"/>
        <v>1990000_98000</v>
      </c>
      <c r="AL43" t="str">
        <f t="shared" si="25"/>
        <v>1990000_100800</v>
      </c>
      <c r="AM43" t="str">
        <f t="shared" si="25"/>
        <v>1990000_103600</v>
      </c>
      <c r="AN43" t="str">
        <f t="shared" si="25"/>
        <v>1990000_106400</v>
      </c>
      <c r="AO43" t="str">
        <f t="shared" si="25"/>
        <v>1990000_109200</v>
      </c>
      <c r="AP43" t="str">
        <f t="shared" si="25"/>
        <v>1990000_112000</v>
      </c>
      <c r="AQ43" t="str">
        <f t="shared" si="25"/>
        <v>1990000_114800</v>
      </c>
      <c r="AR43" t="str">
        <f t="shared" si="25"/>
        <v>1990000_117600</v>
      </c>
      <c r="AS43" t="str">
        <f t="shared" si="25"/>
        <v>1990000_120400</v>
      </c>
      <c r="AT43" t="str">
        <f t="shared" si="25"/>
        <v>1990000_123200</v>
      </c>
      <c r="AU43" t="str">
        <f t="shared" si="25"/>
        <v>1990000_126000</v>
      </c>
      <c r="AV43" t="str">
        <f t="shared" si="25"/>
        <v>1990000_128800</v>
      </c>
      <c r="AW43" t="str">
        <f t="shared" si="25"/>
        <v>1990000_131600</v>
      </c>
      <c r="AX43" t="str">
        <f t="shared" si="25"/>
        <v>1990000_134400</v>
      </c>
      <c r="AY43" t="str">
        <f t="shared" si="25"/>
        <v>1990000_137200</v>
      </c>
      <c r="AZ43" t="str">
        <f t="shared" si="25"/>
        <v>1990000_140000</v>
      </c>
      <c r="BA43" t="str">
        <f t="shared" si="25"/>
        <v>1990000_142800</v>
      </c>
      <c r="BB43" t="str">
        <f t="shared" si="25"/>
        <v>1990000_145600</v>
      </c>
      <c r="BC43" t="str">
        <f t="shared" si="25"/>
        <v>1990000_148400</v>
      </c>
      <c r="BD43" t="str">
        <f t="shared" si="25"/>
        <v>1990000_151200</v>
      </c>
      <c r="BE43" t="str">
        <f t="shared" si="25"/>
        <v>1990000_154000</v>
      </c>
      <c r="BF43" t="str">
        <f t="shared" si="25"/>
        <v>1990000_156800</v>
      </c>
      <c r="BG43" t="str">
        <f t="shared" si="25"/>
        <v>1990000_159600</v>
      </c>
      <c r="BH43" t="str">
        <f t="shared" si="25"/>
        <v>1990000_162400</v>
      </c>
      <c r="BI43" t="str">
        <f t="shared" si="25"/>
        <v>1990000_165200</v>
      </c>
      <c r="BJ43" t="str">
        <f t="shared" si="25"/>
        <v>1990000_168000</v>
      </c>
      <c r="BK43" t="str">
        <f t="shared" si="25"/>
        <v>1990000_170800</v>
      </c>
      <c r="BL43" t="str">
        <f t="shared" si="25"/>
        <v>1990000_173600</v>
      </c>
    </row>
    <row r="44" spans="3:64">
      <c r="C44" t="str">
        <f t="shared" ref="C44:BL44" si="26">_xlfn.TEXTJOIN("_",TRUE,$A$2,C33)</f>
        <v>1990000_3000</v>
      </c>
      <c r="D44" t="str">
        <f t="shared" si="26"/>
        <v>1990000_6000</v>
      </c>
      <c r="E44" t="str">
        <f t="shared" si="26"/>
        <v>1990000_9000</v>
      </c>
      <c r="F44" t="str">
        <f t="shared" si="26"/>
        <v>1990000_12000</v>
      </c>
      <c r="G44" t="str">
        <f t="shared" si="26"/>
        <v>1990000_15000</v>
      </c>
      <c r="H44" t="str">
        <f t="shared" si="26"/>
        <v>1990000_18000</v>
      </c>
      <c r="I44" t="str">
        <f t="shared" si="26"/>
        <v>1990000_21000</v>
      </c>
      <c r="J44" t="str">
        <f t="shared" si="26"/>
        <v>1990000_24000</v>
      </c>
      <c r="K44" t="str">
        <f t="shared" si="26"/>
        <v>1990000_27000</v>
      </c>
      <c r="L44" t="str">
        <f t="shared" si="26"/>
        <v>1990000_30000</v>
      </c>
      <c r="M44" t="str">
        <f t="shared" si="26"/>
        <v>1990000_33000</v>
      </c>
      <c r="N44" t="str">
        <f t="shared" si="26"/>
        <v>1990000_36000</v>
      </c>
      <c r="O44" t="str">
        <f t="shared" si="26"/>
        <v>1990000_39000</v>
      </c>
      <c r="P44" t="str">
        <f t="shared" si="26"/>
        <v>1990000_42000</v>
      </c>
      <c r="Q44" t="str">
        <f t="shared" si="26"/>
        <v>1990000_45000</v>
      </c>
      <c r="R44" t="str">
        <f t="shared" si="26"/>
        <v>1990000_48000</v>
      </c>
      <c r="S44" t="str">
        <f t="shared" si="26"/>
        <v>1990000_51000</v>
      </c>
      <c r="T44" t="str">
        <f t="shared" si="26"/>
        <v>1990000_54000</v>
      </c>
      <c r="U44" t="str">
        <f t="shared" si="26"/>
        <v>1990000_57000</v>
      </c>
      <c r="V44" t="str">
        <f t="shared" si="26"/>
        <v>1990000_60000</v>
      </c>
      <c r="W44" t="str">
        <f t="shared" si="26"/>
        <v>1990000_63000</v>
      </c>
      <c r="X44" t="str">
        <f t="shared" si="26"/>
        <v>1990000_66000</v>
      </c>
      <c r="Y44" t="str">
        <f t="shared" si="26"/>
        <v>1990000_69000</v>
      </c>
      <c r="Z44" t="str">
        <f t="shared" si="26"/>
        <v>1990000_72000</v>
      </c>
      <c r="AA44" t="str">
        <f t="shared" si="26"/>
        <v>1990000_75000</v>
      </c>
      <c r="AB44" t="str">
        <f t="shared" si="26"/>
        <v>1990000_78000</v>
      </c>
      <c r="AC44" t="str">
        <f t="shared" si="26"/>
        <v>1990000_81000</v>
      </c>
      <c r="AD44" t="str">
        <f t="shared" si="26"/>
        <v>1990000_84000</v>
      </c>
      <c r="AE44" t="str">
        <f t="shared" si="26"/>
        <v>1990000_87000</v>
      </c>
      <c r="AF44" t="str">
        <f t="shared" si="26"/>
        <v>1990000_90000</v>
      </c>
      <c r="AG44" t="str">
        <f t="shared" si="26"/>
        <v>1990000_93000</v>
      </c>
      <c r="AH44" t="str">
        <f t="shared" si="26"/>
        <v>1990000_96000</v>
      </c>
      <c r="AI44" t="str">
        <f t="shared" si="26"/>
        <v>1990000_99000</v>
      </c>
      <c r="AJ44" t="str">
        <f t="shared" si="26"/>
        <v>1990000_102000</v>
      </c>
      <c r="AK44" t="str">
        <f t="shared" si="26"/>
        <v>1990000_105000</v>
      </c>
      <c r="AL44" t="str">
        <f t="shared" si="26"/>
        <v>1990000_108000</v>
      </c>
      <c r="AM44" t="str">
        <f t="shared" si="26"/>
        <v>1990000_111000</v>
      </c>
      <c r="AN44" t="str">
        <f t="shared" si="26"/>
        <v>1990000_114000</v>
      </c>
      <c r="AO44" t="str">
        <f t="shared" si="26"/>
        <v>1990000_117000</v>
      </c>
      <c r="AP44" t="str">
        <f t="shared" si="26"/>
        <v>1990000_120000</v>
      </c>
      <c r="AQ44" t="str">
        <f t="shared" si="26"/>
        <v>1990000_123000</v>
      </c>
      <c r="AR44" t="str">
        <f t="shared" si="26"/>
        <v>1990000_126000</v>
      </c>
      <c r="AS44" t="str">
        <f t="shared" si="26"/>
        <v>1990000_129000</v>
      </c>
      <c r="AT44" t="str">
        <f t="shared" si="26"/>
        <v>1990000_132000</v>
      </c>
      <c r="AU44" t="str">
        <f t="shared" si="26"/>
        <v>1990000_135000</v>
      </c>
      <c r="AV44" t="str">
        <f t="shared" si="26"/>
        <v>1990000_138000</v>
      </c>
      <c r="AW44" t="str">
        <f t="shared" si="26"/>
        <v>1990000_141000</v>
      </c>
      <c r="AX44" t="str">
        <f t="shared" si="26"/>
        <v>1990000_144000</v>
      </c>
      <c r="AY44" t="str">
        <f t="shared" si="26"/>
        <v>1990000_147000</v>
      </c>
      <c r="AZ44" t="str">
        <f t="shared" si="26"/>
        <v>1990000_150000</v>
      </c>
      <c r="BA44" t="str">
        <f t="shared" si="26"/>
        <v>1990000_153000</v>
      </c>
      <c r="BB44" t="str">
        <f t="shared" si="26"/>
        <v>1990000_156000</v>
      </c>
      <c r="BC44" t="str">
        <f t="shared" si="26"/>
        <v>1990000_159000</v>
      </c>
      <c r="BD44" t="str">
        <f t="shared" si="26"/>
        <v>1990000_162000</v>
      </c>
      <c r="BE44" t="str">
        <f t="shared" si="26"/>
        <v>1990000_165000</v>
      </c>
      <c r="BF44" t="str">
        <f t="shared" si="26"/>
        <v>1990000_168000</v>
      </c>
      <c r="BG44" t="str">
        <f t="shared" si="26"/>
        <v>1990000_171000</v>
      </c>
      <c r="BH44" t="str">
        <f t="shared" si="26"/>
        <v>1990000_174000</v>
      </c>
      <c r="BI44" t="str">
        <f t="shared" si="26"/>
        <v>1990000_177000</v>
      </c>
      <c r="BJ44" t="str">
        <f t="shared" si="26"/>
        <v>1990000_180000</v>
      </c>
      <c r="BK44" t="str">
        <f t="shared" si="26"/>
        <v>1990000_183000</v>
      </c>
      <c r="BL44" t="str">
        <f t="shared" si="26"/>
        <v>1990000_186000</v>
      </c>
    </row>
    <row r="45" spans="3:64">
      <c r="C45" t="str">
        <f t="shared" ref="C45:BL45" si="27">_xlfn.TEXTJOIN("_",TRUE,$A$2,C34)</f>
        <v>1990000_3200</v>
      </c>
      <c r="D45" t="str">
        <f t="shared" si="27"/>
        <v>1990000_6400</v>
      </c>
      <c r="E45" t="str">
        <f t="shared" si="27"/>
        <v>1990000_9600</v>
      </c>
      <c r="F45" t="str">
        <f t="shared" si="27"/>
        <v>1990000_12800</v>
      </c>
      <c r="G45" t="str">
        <f t="shared" si="27"/>
        <v>1990000_16000</v>
      </c>
      <c r="H45" t="str">
        <f t="shared" si="27"/>
        <v>1990000_19200</v>
      </c>
      <c r="I45" t="str">
        <f t="shared" si="27"/>
        <v>1990000_22400</v>
      </c>
      <c r="J45" t="str">
        <f t="shared" si="27"/>
        <v>1990000_25600</v>
      </c>
      <c r="K45" t="str">
        <f t="shared" si="27"/>
        <v>1990000_28800</v>
      </c>
      <c r="L45" t="str">
        <f t="shared" si="27"/>
        <v>1990000_32000</v>
      </c>
      <c r="M45" t="str">
        <f t="shared" si="27"/>
        <v>1990000_35200</v>
      </c>
      <c r="N45" t="str">
        <f t="shared" si="27"/>
        <v>1990000_38400</v>
      </c>
      <c r="O45" t="str">
        <f t="shared" si="27"/>
        <v>1990000_41600</v>
      </c>
      <c r="P45" t="str">
        <f t="shared" si="27"/>
        <v>1990000_44800</v>
      </c>
      <c r="Q45" t="str">
        <f t="shared" si="27"/>
        <v>1990000_48000</v>
      </c>
      <c r="R45" t="str">
        <f t="shared" si="27"/>
        <v>1990000_51200</v>
      </c>
      <c r="S45" t="str">
        <f t="shared" si="27"/>
        <v>1990000_54400</v>
      </c>
      <c r="T45" t="str">
        <f t="shared" si="27"/>
        <v>1990000_57600</v>
      </c>
      <c r="U45" t="str">
        <f t="shared" si="27"/>
        <v>1990000_60800</v>
      </c>
      <c r="V45" t="str">
        <f t="shared" si="27"/>
        <v>1990000_64000</v>
      </c>
      <c r="W45" t="str">
        <f t="shared" si="27"/>
        <v>1990000_67200</v>
      </c>
      <c r="X45" t="str">
        <f t="shared" si="27"/>
        <v>1990000_70400</v>
      </c>
      <c r="Y45" t="str">
        <f t="shared" si="27"/>
        <v>1990000_73600</v>
      </c>
      <c r="Z45" t="str">
        <f t="shared" si="27"/>
        <v>1990000_76800</v>
      </c>
      <c r="AA45" t="str">
        <f t="shared" si="27"/>
        <v>1990000_80000</v>
      </c>
      <c r="AB45" t="str">
        <f t="shared" si="27"/>
        <v>1990000_83200</v>
      </c>
      <c r="AC45" t="str">
        <f t="shared" si="27"/>
        <v>1990000_86400</v>
      </c>
      <c r="AD45" t="str">
        <f t="shared" si="27"/>
        <v>1990000_89600</v>
      </c>
      <c r="AE45" t="str">
        <f t="shared" si="27"/>
        <v>1990000_92800</v>
      </c>
      <c r="AF45" t="str">
        <f t="shared" si="27"/>
        <v>1990000_96000</v>
      </c>
      <c r="AG45" t="str">
        <f t="shared" si="27"/>
        <v>1990000_99200</v>
      </c>
      <c r="AH45" t="str">
        <f t="shared" si="27"/>
        <v>1990000_102400</v>
      </c>
      <c r="AI45" t="str">
        <f t="shared" si="27"/>
        <v>1990000_105600</v>
      </c>
      <c r="AJ45" t="str">
        <f t="shared" si="27"/>
        <v>1990000_108800</v>
      </c>
      <c r="AK45" t="str">
        <f t="shared" si="27"/>
        <v>1990000_112000</v>
      </c>
      <c r="AL45" t="str">
        <f t="shared" si="27"/>
        <v>1990000_115200</v>
      </c>
      <c r="AM45" t="str">
        <f t="shared" si="27"/>
        <v>1990000_118400</v>
      </c>
      <c r="AN45" t="str">
        <f t="shared" si="27"/>
        <v>1990000_121600</v>
      </c>
      <c r="AO45" t="str">
        <f t="shared" si="27"/>
        <v>1990000_124800</v>
      </c>
      <c r="AP45" t="str">
        <f t="shared" si="27"/>
        <v>1990000_128000</v>
      </c>
      <c r="AQ45" t="str">
        <f t="shared" si="27"/>
        <v>1990000_131200</v>
      </c>
      <c r="AR45" t="str">
        <f t="shared" si="27"/>
        <v>1990000_134400</v>
      </c>
      <c r="AS45" t="str">
        <f t="shared" si="27"/>
        <v>1990000_137600</v>
      </c>
      <c r="AT45" t="str">
        <f t="shared" si="27"/>
        <v>1990000_140800</v>
      </c>
      <c r="AU45" t="str">
        <f t="shared" si="27"/>
        <v>1990000_144000</v>
      </c>
      <c r="AV45" t="str">
        <f t="shared" si="27"/>
        <v>1990000_147200</v>
      </c>
      <c r="AW45" t="str">
        <f t="shared" si="27"/>
        <v>1990000_150400</v>
      </c>
      <c r="AX45" t="str">
        <f t="shared" si="27"/>
        <v>1990000_153600</v>
      </c>
      <c r="AY45" t="str">
        <f t="shared" si="27"/>
        <v>1990000_156800</v>
      </c>
      <c r="AZ45" t="str">
        <f t="shared" si="27"/>
        <v>1990000_160000</v>
      </c>
      <c r="BA45" t="str">
        <f t="shared" si="27"/>
        <v>1990000_163200</v>
      </c>
      <c r="BB45" t="str">
        <f t="shared" si="27"/>
        <v>1990000_166400</v>
      </c>
      <c r="BC45" t="str">
        <f t="shared" si="27"/>
        <v>1990000_169600</v>
      </c>
      <c r="BD45" t="str">
        <f t="shared" si="27"/>
        <v>1990000_172800</v>
      </c>
      <c r="BE45" t="str">
        <f t="shared" si="27"/>
        <v>1990000_176000</v>
      </c>
      <c r="BF45" t="str">
        <f t="shared" si="27"/>
        <v>1990000_179200</v>
      </c>
      <c r="BG45" t="str">
        <f t="shared" si="27"/>
        <v>1990000_182400</v>
      </c>
      <c r="BH45" t="str">
        <f t="shared" si="27"/>
        <v>1990000_185600</v>
      </c>
      <c r="BI45" t="str">
        <f t="shared" si="27"/>
        <v>1990000_188800</v>
      </c>
      <c r="BJ45" t="str">
        <f t="shared" si="27"/>
        <v>1990000_192000</v>
      </c>
      <c r="BK45" t="str">
        <f t="shared" si="27"/>
        <v>1990000_195200</v>
      </c>
      <c r="BL45" t="str">
        <f t="shared" si="27"/>
        <v>1990000_198400</v>
      </c>
    </row>
    <row r="46" spans="3:64">
      <c r="C46" t="str">
        <f t="shared" ref="C46:BL46" si="28">_xlfn.TEXTJOIN("_",TRUE,$A$2,C35)</f>
        <v>1990000_3400</v>
      </c>
      <c r="D46" t="str">
        <f t="shared" si="28"/>
        <v>1990000_6800</v>
      </c>
      <c r="E46" t="str">
        <f t="shared" si="28"/>
        <v>1990000_10200</v>
      </c>
      <c r="F46" t="str">
        <f t="shared" si="28"/>
        <v>1990000_13600</v>
      </c>
      <c r="G46" t="str">
        <f t="shared" si="28"/>
        <v>1990000_17000</v>
      </c>
      <c r="H46" t="str">
        <f t="shared" si="28"/>
        <v>1990000_20400</v>
      </c>
      <c r="I46" t="str">
        <f t="shared" si="28"/>
        <v>1990000_23800</v>
      </c>
      <c r="J46" t="str">
        <f t="shared" si="28"/>
        <v>1990000_27200</v>
      </c>
      <c r="K46" t="str">
        <f t="shared" si="28"/>
        <v>1990000_30600</v>
      </c>
      <c r="L46" t="str">
        <f t="shared" si="28"/>
        <v>1990000_34000</v>
      </c>
      <c r="M46" t="str">
        <f t="shared" si="28"/>
        <v>1990000_37400</v>
      </c>
      <c r="N46" t="str">
        <f t="shared" si="28"/>
        <v>1990000_40800</v>
      </c>
      <c r="O46" t="str">
        <f t="shared" si="28"/>
        <v>1990000_44200</v>
      </c>
      <c r="P46" t="str">
        <f t="shared" si="28"/>
        <v>1990000_47600</v>
      </c>
      <c r="Q46" t="str">
        <f t="shared" si="28"/>
        <v>1990000_51000</v>
      </c>
      <c r="R46" t="str">
        <f t="shared" si="28"/>
        <v>1990000_54400</v>
      </c>
      <c r="S46" t="str">
        <f t="shared" si="28"/>
        <v>1990000_57800</v>
      </c>
      <c r="T46" t="str">
        <f t="shared" si="28"/>
        <v>1990000_61200</v>
      </c>
      <c r="U46" t="str">
        <f t="shared" si="28"/>
        <v>1990000_64600</v>
      </c>
      <c r="V46" t="str">
        <f t="shared" si="28"/>
        <v>1990000_68000</v>
      </c>
      <c r="W46" t="str">
        <f t="shared" si="28"/>
        <v>1990000_71400</v>
      </c>
      <c r="X46" t="str">
        <f t="shared" si="28"/>
        <v>1990000_74800</v>
      </c>
      <c r="Y46" t="str">
        <f t="shared" si="28"/>
        <v>1990000_78200</v>
      </c>
      <c r="Z46" t="str">
        <f t="shared" si="28"/>
        <v>1990000_81600</v>
      </c>
      <c r="AA46" t="str">
        <f t="shared" si="28"/>
        <v>1990000_85000</v>
      </c>
      <c r="AB46" t="str">
        <f t="shared" si="28"/>
        <v>1990000_88400</v>
      </c>
      <c r="AC46" t="str">
        <f t="shared" si="28"/>
        <v>1990000_91800</v>
      </c>
      <c r="AD46" t="str">
        <f t="shared" si="28"/>
        <v>1990000_95200</v>
      </c>
      <c r="AE46" t="str">
        <f t="shared" si="28"/>
        <v>1990000_98600</v>
      </c>
      <c r="AF46" t="str">
        <f t="shared" si="28"/>
        <v>1990000_102000</v>
      </c>
      <c r="AG46" t="str">
        <f t="shared" si="28"/>
        <v>1990000_105400</v>
      </c>
      <c r="AH46" t="str">
        <f t="shared" si="28"/>
        <v>1990000_108800</v>
      </c>
      <c r="AI46" t="str">
        <f t="shared" si="28"/>
        <v>1990000_112200</v>
      </c>
      <c r="AJ46" t="str">
        <f t="shared" si="28"/>
        <v>1990000_115600</v>
      </c>
      <c r="AK46" t="str">
        <f t="shared" si="28"/>
        <v>1990000_119000</v>
      </c>
      <c r="AL46" t="str">
        <f t="shared" si="28"/>
        <v>1990000_122400</v>
      </c>
      <c r="AM46" t="str">
        <f t="shared" si="28"/>
        <v>1990000_125800</v>
      </c>
      <c r="AN46" t="str">
        <f t="shared" si="28"/>
        <v>1990000_129200</v>
      </c>
      <c r="AO46" t="str">
        <f t="shared" si="28"/>
        <v>1990000_132600</v>
      </c>
      <c r="AP46" t="str">
        <f t="shared" si="28"/>
        <v>1990000_136000</v>
      </c>
      <c r="AQ46" t="str">
        <f t="shared" si="28"/>
        <v>1990000_139400</v>
      </c>
      <c r="AR46" t="str">
        <f t="shared" si="28"/>
        <v>1990000_142800</v>
      </c>
      <c r="AS46" t="str">
        <f t="shared" si="28"/>
        <v>1990000_146200</v>
      </c>
      <c r="AT46" t="str">
        <f t="shared" si="28"/>
        <v>1990000_149600</v>
      </c>
      <c r="AU46" t="str">
        <f t="shared" si="28"/>
        <v>1990000_153000</v>
      </c>
      <c r="AV46" t="str">
        <f t="shared" si="28"/>
        <v>1990000_156400</v>
      </c>
      <c r="AW46" t="str">
        <f t="shared" si="28"/>
        <v>1990000_159800</v>
      </c>
      <c r="AX46" t="str">
        <f t="shared" si="28"/>
        <v>1990000_163200</v>
      </c>
      <c r="AY46" t="str">
        <f t="shared" si="28"/>
        <v>1990000_166600</v>
      </c>
      <c r="AZ46" t="str">
        <f t="shared" si="28"/>
        <v>1990000_170000</v>
      </c>
      <c r="BA46" t="str">
        <f t="shared" si="28"/>
        <v>1990000_173400</v>
      </c>
      <c r="BB46" t="str">
        <f t="shared" si="28"/>
        <v>1990000_176800</v>
      </c>
      <c r="BC46" t="str">
        <f t="shared" si="28"/>
        <v>1990000_180200</v>
      </c>
      <c r="BD46" t="str">
        <f t="shared" si="28"/>
        <v>1990000_183600</v>
      </c>
      <c r="BE46" t="str">
        <f t="shared" si="28"/>
        <v>1990000_187000</v>
      </c>
      <c r="BF46" t="str">
        <f t="shared" si="28"/>
        <v>1990000_190400</v>
      </c>
      <c r="BG46" t="str">
        <f t="shared" si="28"/>
        <v>1990000_193800</v>
      </c>
      <c r="BH46" t="str">
        <f t="shared" si="28"/>
        <v>1990000_197200</v>
      </c>
      <c r="BI46" t="str">
        <f t="shared" si="28"/>
        <v>1990000_200600</v>
      </c>
      <c r="BJ46" t="str">
        <f t="shared" si="28"/>
        <v>1990000_204000</v>
      </c>
      <c r="BK46" t="str">
        <f t="shared" si="28"/>
        <v>1990000_207400</v>
      </c>
      <c r="BL46" t="str">
        <f t="shared" si="28"/>
        <v>1990000_210800</v>
      </c>
    </row>
    <row r="47" spans="3:64">
      <c r="C47" t="str">
        <f t="shared" ref="C47:BL47" si="29">_xlfn.TEXTJOIN("_",TRUE,$A$2,C36)</f>
        <v>1990000_3600</v>
      </c>
      <c r="D47" t="str">
        <f t="shared" si="29"/>
        <v>1990000_7200</v>
      </c>
      <c r="E47" t="str">
        <f t="shared" si="29"/>
        <v>1990000_10800</v>
      </c>
      <c r="F47" t="str">
        <f t="shared" si="29"/>
        <v>1990000_14400</v>
      </c>
      <c r="G47" t="str">
        <f t="shared" si="29"/>
        <v>1990000_18000</v>
      </c>
      <c r="H47" t="str">
        <f t="shared" si="29"/>
        <v>1990000_21600</v>
      </c>
      <c r="I47" t="str">
        <f t="shared" si="29"/>
        <v>1990000_25200</v>
      </c>
      <c r="J47" t="str">
        <f t="shared" si="29"/>
        <v>1990000_28800</v>
      </c>
      <c r="K47" t="str">
        <f t="shared" si="29"/>
        <v>1990000_32400</v>
      </c>
      <c r="L47" t="str">
        <f t="shared" si="29"/>
        <v>1990000_36000</v>
      </c>
      <c r="M47" t="str">
        <f t="shared" si="29"/>
        <v>1990000_39600</v>
      </c>
      <c r="N47" t="str">
        <f t="shared" si="29"/>
        <v>1990000_43200</v>
      </c>
      <c r="O47" t="str">
        <f t="shared" si="29"/>
        <v>1990000_46800</v>
      </c>
      <c r="P47" t="str">
        <f t="shared" si="29"/>
        <v>1990000_50400</v>
      </c>
      <c r="Q47" t="str">
        <f t="shared" si="29"/>
        <v>1990000_54000</v>
      </c>
      <c r="R47" t="str">
        <f t="shared" si="29"/>
        <v>1990000_57600</v>
      </c>
      <c r="S47" t="str">
        <f t="shared" si="29"/>
        <v>1990000_61200</v>
      </c>
      <c r="T47" t="str">
        <f t="shared" si="29"/>
        <v>1990000_64800</v>
      </c>
      <c r="U47" t="str">
        <f t="shared" si="29"/>
        <v>1990000_68400</v>
      </c>
      <c r="V47" t="str">
        <f t="shared" si="29"/>
        <v>1990000_72000</v>
      </c>
      <c r="W47" t="str">
        <f t="shared" si="29"/>
        <v>1990000_75600</v>
      </c>
      <c r="X47" t="str">
        <f t="shared" si="29"/>
        <v>1990000_79200</v>
      </c>
      <c r="Y47" t="str">
        <f t="shared" si="29"/>
        <v>1990000_82800</v>
      </c>
      <c r="Z47" t="str">
        <f t="shared" si="29"/>
        <v>1990000_86400</v>
      </c>
      <c r="AA47" t="str">
        <f t="shared" si="29"/>
        <v>1990000_90000</v>
      </c>
      <c r="AB47" t="str">
        <f t="shared" si="29"/>
        <v>1990000_93600</v>
      </c>
      <c r="AC47" t="str">
        <f t="shared" si="29"/>
        <v>1990000_97200</v>
      </c>
      <c r="AD47" t="str">
        <f t="shared" si="29"/>
        <v>1990000_100800</v>
      </c>
      <c r="AE47" t="str">
        <f t="shared" si="29"/>
        <v>1990000_104400</v>
      </c>
      <c r="AF47" t="str">
        <f t="shared" si="29"/>
        <v>1990000_108000</v>
      </c>
      <c r="AG47" t="str">
        <f t="shared" si="29"/>
        <v>1990000_111600</v>
      </c>
      <c r="AH47" t="str">
        <f t="shared" si="29"/>
        <v>1990000_115200</v>
      </c>
      <c r="AI47" t="str">
        <f t="shared" si="29"/>
        <v>1990000_118800</v>
      </c>
      <c r="AJ47" t="str">
        <f t="shared" si="29"/>
        <v>1990000_122400</v>
      </c>
      <c r="AK47" t="str">
        <f t="shared" si="29"/>
        <v>1990000_126000</v>
      </c>
      <c r="AL47" t="str">
        <f t="shared" si="29"/>
        <v>1990000_129600</v>
      </c>
      <c r="AM47" t="str">
        <f t="shared" si="29"/>
        <v>1990000_133200</v>
      </c>
      <c r="AN47" t="str">
        <f t="shared" si="29"/>
        <v>1990000_136800</v>
      </c>
      <c r="AO47" t="str">
        <f t="shared" si="29"/>
        <v>1990000_140400</v>
      </c>
      <c r="AP47" t="str">
        <f t="shared" si="29"/>
        <v>1990000_144000</v>
      </c>
      <c r="AQ47" t="str">
        <f t="shared" si="29"/>
        <v>1990000_147600</v>
      </c>
      <c r="AR47" t="str">
        <f t="shared" si="29"/>
        <v>1990000_151200</v>
      </c>
      <c r="AS47" t="str">
        <f t="shared" si="29"/>
        <v>1990000_154800</v>
      </c>
      <c r="AT47" t="str">
        <f t="shared" si="29"/>
        <v>1990000_158400</v>
      </c>
      <c r="AU47" t="str">
        <f t="shared" si="29"/>
        <v>1990000_162000</v>
      </c>
      <c r="AV47" t="str">
        <f t="shared" si="29"/>
        <v>1990000_165600</v>
      </c>
      <c r="AW47" t="str">
        <f t="shared" si="29"/>
        <v>1990000_169200</v>
      </c>
      <c r="AX47" t="str">
        <f t="shared" si="29"/>
        <v>1990000_172800</v>
      </c>
      <c r="AY47" t="str">
        <f t="shared" si="29"/>
        <v>1990000_176400</v>
      </c>
      <c r="AZ47" t="str">
        <f t="shared" si="29"/>
        <v>1990000_180000</v>
      </c>
      <c r="BA47" t="str">
        <f t="shared" si="29"/>
        <v>1990000_183600</v>
      </c>
      <c r="BB47" t="str">
        <f t="shared" si="29"/>
        <v>1990000_187200</v>
      </c>
      <c r="BC47" t="str">
        <f t="shared" si="29"/>
        <v>1990000_190800</v>
      </c>
      <c r="BD47" t="str">
        <f t="shared" si="29"/>
        <v>1990000_194400</v>
      </c>
      <c r="BE47" t="str">
        <f t="shared" si="29"/>
        <v>1990000_198000</v>
      </c>
      <c r="BF47" t="str">
        <f t="shared" si="29"/>
        <v>1990000_201600</v>
      </c>
      <c r="BG47" t="str">
        <f t="shared" si="29"/>
        <v>1990000_205200</v>
      </c>
      <c r="BH47" t="str">
        <f t="shared" si="29"/>
        <v>1990000_208800</v>
      </c>
      <c r="BI47" t="str">
        <f t="shared" si="29"/>
        <v>1990000_212400</v>
      </c>
      <c r="BJ47" t="str">
        <f t="shared" si="29"/>
        <v>1990000_216000</v>
      </c>
      <c r="BK47" t="str">
        <f t="shared" si="29"/>
        <v>1990000_219600</v>
      </c>
      <c r="BL47" t="str">
        <f t="shared" si="29"/>
        <v>1990000_223200</v>
      </c>
    </row>
    <row r="49" spans="3:64">
      <c r="C49" t="str">
        <f t="shared" ref="C49:AI49" si="30">_xlfn.TEXTJOIN(",",TRUE,C39:C47)</f>
        <v>1990000_2000,1990000_2200,1990000_2400,1990000_2600,1990000_2800,1990000_3000,1990000_3200,1990000_3400,1990000_3600</v>
      </c>
      <c r="D49" t="str">
        <f t="shared" si="30"/>
        <v>1990000_4000,1990000_4400,1990000_4800,1990000_5200,1990000_5600,1990000_6000,1990000_6400,1990000_6800,1990000_7200</v>
      </c>
      <c r="E49" t="str">
        <f t="shared" si="30"/>
        <v>1990000_6000,1990000_6600,1990000_7200,1990000_7800,1990000_8400,1990000_9000,1990000_9600,1990000_10200,1990000_10800</v>
      </c>
      <c r="F49" t="str">
        <f t="shared" si="30"/>
        <v>1990000_8000,1990000_8800,1990000_9600,1990000_10400,1990000_11200,1990000_12000,1990000_12800,1990000_13600,1990000_14400</v>
      </c>
      <c r="G49" t="str">
        <f t="shared" si="30"/>
        <v>1990000_10000,1990000_11000,1990000_12000,1990000_13000,1990000_14000,1990000_15000,1990000_16000,1990000_17000,1990000_18000</v>
      </c>
      <c r="H49" t="str">
        <f t="shared" si="30"/>
        <v>1990000_12000,1990000_13200,1990000_14400,1990000_15600,1990000_16800,1990000_18000,1990000_19200,1990000_20400,1990000_21600</v>
      </c>
      <c r="I49" t="str">
        <f t="shared" si="30"/>
        <v>1990000_14000,1990000_15400,1990000_16800,1990000_18200,1990000_19600,1990000_21000,1990000_22400,1990000_23800,1990000_25200</v>
      </c>
      <c r="J49" t="str">
        <f t="shared" si="30"/>
        <v>1990000_16000,1990000_17600,1990000_19200,1990000_20800,1990000_22400,1990000_24000,1990000_25600,1990000_27200,1990000_28800</v>
      </c>
      <c r="K49" t="str">
        <f t="shared" si="30"/>
        <v>1990000_18000,1990000_19800,1990000_21600,1990000_23400,1990000_25200,1990000_27000,1990000_28800,1990000_30600,1990000_32400</v>
      </c>
      <c r="L49" t="str">
        <f t="shared" si="30"/>
        <v>1990000_20000,1990000_22000,1990000_24000,1990000_26000,1990000_28000,1990000_30000,1990000_32000,1990000_34000,1990000_36000</v>
      </c>
      <c r="M49" t="str">
        <f t="shared" si="30"/>
        <v>1990000_22000,1990000_24200,1990000_26400,1990000_28600,1990000_30800,1990000_33000,1990000_35200,1990000_37400,1990000_39600</v>
      </c>
      <c r="N49" t="str">
        <f t="shared" si="30"/>
        <v>1990000_24000,1990000_26400,1990000_28800,1990000_31200,1990000_33600,1990000_36000,1990000_38400,1990000_40800,1990000_43200</v>
      </c>
      <c r="O49" t="str">
        <f t="shared" si="30"/>
        <v>1990000_26000,1990000_28600,1990000_31200,1990000_33800,1990000_36400,1990000_39000,1990000_41600,1990000_44200,1990000_46800</v>
      </c>
      <c r="P49" t="str">
        <f t="shared" si="30"/>
        <v>1990000_28000,1990000_30800,1990000_33600,1990000_36400,1990000_39200,1990000_42000,1990000_44800,1990000_47600,1990000_50400</v>
      </c>
      <c r="Q49" t="str">
        <f t="shared" si="30"/>
        <v>1990000_30000,1990000_33000,1990000_36000,1990000_39000,1990000_42000,1990000_45000,1990000_48000,1990000_51000,1990000_54000</v>
      </c>
      <c r="R49" t="str">
        <f t="shared" si="30"/>
        <v>1990000_32000,1990000_35200,1990000_38400,1990000_41600,1990000_44800,1990000_48000,1990000_51200,1990000_54400,1990000_57600</v>
      </c>
      <c r="S49" t="str">
        <f t="shared" si="30"/>
        <v>1990000_34000,1990000_37400,1990000_40800,1990000_44200,1990000_47600,1990000_51000,1990000_54400,1990000_57800,1990000_61200</v>
      </c>
      <c r="T49" t="str">
        <f t="shared" si="30"/>
        <v>1990000_36000,1990000_39600,1990000_43200,1990000_46800,1990000_50400,1990000_54000,1990000_57600,1990000_61200,1990000_64800</v>
      </c>
      <c r="U49" t="str">
        <f t="shared" si="30"/>
        <v>1990000_38000,1990000_41800,1990000_45600,1990000_49400,1990000_53200,1990000_57000,1990000_60800,1990000_64600,1990000_68400</v>
      </c>
      <c r="V49" t="str">
        <f t="shared" si="30"/>
        <v>1990000_40000,1990000_44000,1990000_48000,1990000_52000,1990000_56000,1990000_60000,1990000_64000,1990000_68000,1990000_72000</v>
      </c>
      <c r="W49" t="str">
        <f t="shared" si="30"/>
        <v>1990000_42000,1990000_46200,1990000_50400,1990000_54600,1990000_58800,1990000_63000,1990000_67200,1990000_71400,1990000_75600</v>
      </c>
      <c r="X49" t="str">
        <f t="shared" si="30"/>
        <v>1990000_44000,1990000_48400,1990000_52800,1990000_57200,1990000_61600,1990000_66000,1990000_70400,1990000_74800,1990000_79200</v>
      </c>
      <c r="Y49" t="str">
        <f t="shared" si="30"/>
        <v>1990000_46000,1990000_50600,1990000_55200,1990000_59800,1990000_64400,1990000_69000,1990000_73600,1990000_78200,1990000_82800</v>
      </c>
      <c r="Z49" t="str">
        <f t="shared" si="30"/>
        <v>1990000_48000,1990000_52800,1990000_57600,1990000_62400,1990000_67200,1990000_72000,1990000_76800,1990000_81600,1990000_86400</v>
      </c>
      <c r="AA49" t="str">
        <f t="shared" si="30"/>
        <v>1990000_50000,1990000_55000,1990000_60000,1990000_65000,1990000_70000,1990000_75000,1990000_80000,1990000_85000,1990000_90000</v>
      </c>
      <c r="AB49" t="str">
        <f t="shared" si="30"/>
        <v>1990000_52000,1990000_57200,1990000_62400,1990000_67600,1990000_72800,1990000_78000,1990000_83200,1990000_88400,1990000_93600</v>
      </c>
      <c r="AC49" t="str">
        <f t="shared" si="30"/>
        <v>1990000_54000,1990000_59400,1990000_64800,1990000_70200,1990000_75600,1990000_81000,1990000_86400,1990000_91800,1990000_97200</v>
      </c>
      <c r="AD49" t="str">
        <f t="shared" si="30"/>
        <v>1990000_56000,1990000_61600,1990000_67200,1990000_72800,1990000_78400,1990000_84000,1990000_89600,1990000_95200,1990000_100800</v>
      </c>
      <c r="AE49" t="str">
        <f t="shared" si="30"/>
        <v>1990000_58000,1990000_63800,1990000_69600,1990000_75400,1990000_81200,1990000_87000,1990000_92800,1990000_98600,1990000_104400</v>
      </c>
      <c r="AF49" t="str">
        <f t="shared" si="30"/>
        <v>1990000_60000,1990000_66000,1990000_72000,1990000_78000,1990000_84000,1990000_90000,1990000_96000,1990000_102000,1990000_108000</v>
      </c>
      <c r="AG49" t="str">
        <f t="shared" si="30"/>
        <v>1990000_62000,1990000_68200,1990000_74400,1990000_80600,1990000_86800,1990000_93000,1990000_99200,1990000_105400,1990000_111600</v>
      </c>
      <c r="AH49" t="str">
        <f t="shared" si="30"/>
        <v>1990000_64000,1990000_70400,1990000_76800,1990000_83200,1990000_89600,1990000_96000,1990000_102400,1990000_108800,1990000_115200</v>
      </c>
      <c r="AI49" t="str">
        <f t="shared" si="30"/>
        <v>1990000_66000,1990000_72600,1990000_79200,1990000_85800,1990000_92400,1990000_99000,1990000_105600,1990000_112200,1990000_118800</v>
      </c>
      <c r="AJ49" t="str">
        <f t="shared" ref="AJ49:BL49" si="31">_xlfn.TEXTJOIN(",",TRUE,AJ39:AJ47)</f>
        <v>1990000_68000,1990000_74800,1990000_81600,1990000_88400,1990000_95200,1990000_102000,1990000_108800,1990000_115600,1990000_122400</v>
      </c>
      <c r="AK49" t="str">
        <f t="shared" si="31"/>
        <v>1990000_70000,1990000_77000,1990000_84000,1990000_91000,1990000_98000,1990000_105000,1990000_112000,1990000_119000,1990000_126000</v>
      </c>
      <c r="AL49" t="str">
        <f t="shared" si="31"/>
        <v>1990000_72000,1990000_79200,1990000_86400,1990000_93600,1990000_100800,1990000_108000,1990000_115200,1990000_122400,1990000_129600</v>
      </c>
      <c r="AM49" t="str">
        <f t="shared" si="31"/>
        <v>1990000_74000,1990000_81400,1990000_88800,1990000_96200,1990000_103600,1990000_111000,1990000_118400,1990000_125800,1990000_133200</v>
      </c>
      <c r="AN49" t="str">
        <f t="shared" si="31"/>
        <v>1990000_76000,1990000_83600,1990000_91200,1990000_98800,1990000_106400,1990000_114000,1990000_121600,1990000_129200,1990000_136800</v>
      </c>
      <c r="AO49" t="str">
        <f t="shared" si="31"/>
        <v>1990000_78000,1990000_85800,1990000_93600,1990000_101400,1990000_109200,1990000_117000,1990000_124800,1990000_132600,1990000_140400</v>
      </c>
      <c r="AP49" t="str">
        <f t="shared" si="31"/>
        <v>1990000_80000,1990000_88000,1990000_96000,1990000_104000,1990000_112000,1990000_120000,1990000_128000,1990000_136000,1990000_144000</v>
      </c>
      <c r="AQ49" t="str">
        <f t="shared" si="31"/>
        <v>1990000_82000,1990000_90200,1990000_98400,1990000_106600,1990000_114800,1990000_123000,1990000_131200,1990000_139400,1990000_147600</v>
      </c>
      <c r="AR49" t="str">
        <f t="shared" si="31"/>
        <v>1990000_84000,1990000_92400,1990000_100800,1990000_109200,1990000_117600,1990000_126000,1990000_134400,1990000_142800,1990000_151200</v>
      </c>
      <c r="AS49" t="str">
        <f t="shared" si="31"/>
        <v>1990000_86000,1990000_94600,1990000_103200,1990000_111800,1990000_120400,1990000_129000,1990000_137600,1990000_146200,1990000_154800</v>
      </c>
      <c r="AT49" t="str">
        <f t="shared" si="31"/>
        <v>1990000_88000,1990000_96800,1990000_105600,1990000_114400,1990000_123200,1990000_132000,1990000_140800,1990000_149600,1990000_158400</v>
      </c>
      <c r="AU49" t="str">
        <f t="shared" si="31"/>
        <v>1990000_90000,1990000_99000,1990000_108000,1990000_117000,1990000_126000,1990000_135000,1990000_144000,1990000_153000,1990000_162000</v>
      </c>
      <c r="AV49" t="str">
        <f t="shared" si="31"/>
        <v>1990000_92000,1990000_101200,1990000_110400,1990000_119600,1990000_128800,1990000_138000,1990000_147200,1990000_156400,1990000_165600</v>
      </c>
      <c r="AW49" t="str">
        <f t="shared" si="31"/>
        <v>1990000_94000,1990000_103400,1990000_112800,1990000_122200,1990000_131600,1990000_141000,1990000_150400,1990000_159800,1990000_169200</v>
      </c>
      <c r="AX49" t="str">
        <f t="shared" si="31"/>
        <v>1990000_96000,1990000_105600,1990000_115200,1990000_124800,1990000_134400,1990000_144000,1990000_153600,1990000_163200,1990000_172800</v>
      </c>
      <c r="AY49" t="str">
        <f t="shared" si="31"/>
        <v>1990000_98000,1990000_107800,1990000_117600,1990000_127400,1990000_137200,1990000_147000,1990000_156800,1990000_166600,1990000_176400</v>
      </c>
      <c r="AZ49" t="str">
        <f t="shared" si="31"/>
        <v>1990000_100000,1990000_110000,1990000_120000,1990000_130000,1990000_140000,1990000_150000,1990000_160000,1990000_170000,1990000_180000</v>
      </c>
      <c r="BA49" t="str">
        <f t="shared" si="31"/>
        <v>1990000_102000,1990000_112200,1990000_122400,1990000_132600,1990000_142800,1990000_153000,1990000_163200,1990000_173400,1990000_183600</v>
      </c>
      <c r="BB49" t="str">
        <f t="shared" si="31"/>
        <v>1990000_104000,1990000_114400,1990000_124800,1990000_135200,1990000_145600,1990000_156000,1990000_166400,1990000_176800,1990000_187200</v>
      </c>
      <c r="BC49" t="str">
        <f t="shared" si="31"/>
        <v>1990000_106000,1990000_116600,1990000_127200,1990000_137800,1990000_148400,1990000_159000,1990000_169600,1990000_180200,1990000_190800</v>
      </c>
      <c r="BD49" t="str">
        <f t="shared" si="31"/>
        <v>1990000_108000,1990000_118800,1990000_129600,1990000_140400,1990000_151200,1990000_162000,1990000_172800,1990000_183600,1990000_194400</v>
      </c>
      <c r="BE49" t="str">
        <f t="shared" si="31"/>
        <v>1990000_110000,1990000_121000,1990000_132000,1990000_143000,1990000_154000,1990000_165000,1990000_176000,1990000_187000,1990000_198000</v>
      </c>
      <c r="BF49" t="str">
        <f t="shared" si="31"/>
        <v>1990000_112000,1990000_123200,1990000_134400,1990000_145600,1990000_156800,1990000_168000,1990000_179200,1990000_190400,1990000_201600</v>
      </c>
      <c r="BG49" t="str">
        <f t="shared" si="31"/>
        <v>1990000_114000,1990000_125400,1990000_136800,1990000_148200,1990000_159600,1990000_171000,1990000_182400,1990000_193800,1990000_205200</v>
      </c>
      <c r="BH49" t="str">
        <f t="shared" si="31"/>
        <v>1990000_116000,1990000_127600,1990000_139200,1990000_150800,1990000_162400,1990000_174000,1990000_185600,1990000_197200,1990000_208800</v>
      </c>
      <c r="BI49" t="str">
        <f t="shared" si="31"/>
        <v>1990000_118000,1990000_129800,1990000_141600,1990000_153400,1990000_165200,1990000_177000,1990000_188800,1990000_200600,1990000_212400</v>
      </c>
      <c r="BJ49" t="str">
        <f t="shared" si="31"/>
        <v>1990000_120000,1990000_132000,1990000_144000,1990000_156000,1990000_168000,1990000_180000,1990000_192000,1990000_204000,1990000_216000</v>
      </c>
      <c r="BK49" t="str">
        <f t="shared" si="31"/>
        <v>1990000_122000,1990000_134200,1990000_146400,1990000_158600,1990000_170800,1990000_183000,1990000_195200,1990000_207400,1990000_219600</v>
      </c>
      <c r="BL49" t="str">
        <f t="shared" si="31"/>
        <v>1990000_124000,1990000_136400,1990000_148800,1990000_161200,1990000_173600,1990000_186000,1990000_198400,1990000_210800,1990000_223200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V123"/>
  <sheetViews>
    <sheetView topLeftCell="A97" workbookViewId="0">
      <selection activeCell="V112" sqref="V112"/>
    </sheetView>
  </sheetViews>
  <sheetFormatPr defaultColWidth="9" defaultRowHeight="13.5"/>
  <cols>
    <col min="7" max="8" width="9.25"/>
    <col min="9" max="9" width="9.375"/>
    <col min="10" max="10" width="11" customWidth="1"/>
    <col min="11" max="13" width="9.375"/>
    <col min="14" max="14" width="9.25"/>
    <col min="19" max="19" width="9.25"/>
    <col min="20" max="22" width="9.375"/>
  </cols>
  <sheetData>
    <row r="5" spans="1:15">
      <c r="A5" t="str">
        <f>_xlfn.TEXTJOIN("_",TRUE,A6:A15)</f>
        <v>1101251_1101252_1101253_1101254_1101255_1101256_1101257_1101258_1101259_1101260</v>
      </c>
      <c r="B5" t="str">
        <f>_xlfn.TEXTJOIN("_",TRUE,B6:B15)</f>
        <v>1101261_1101262_1101263_1101264_1101265_1101266_1101267_1101268_1101269_1101270</v>
      </c>
      <c r="C5" t="str">
        <f>_xlfn.TEXTJOIN("_",TRUE,C6:C11)</f>
        <v>1101271_1101272_1101273_1101274_1101275_1101276</v>
      </c>
      <c r="O5">
        <v>1101274</v>
      </c>
    </row>
    <row r="6" spans="1:15">
      <c r="A6">
        <v>1101251</v>
      </c>
      <c r="B6">
        <v>1101261</v>
      </c>
      <c r="C6">
        <v>1101271</v>
      </c>
      <c r="G6" t="str">
        <f>_xlfn.TEXTJOIN("_",TRUE,G7:G9)</f>
        <v>1101107_1101108_1101109</v>
      </c>
      <c r="J6" t="str">
        <f>_xlfn.TEXTJOIN("_",TRUE,J7:J9)</f>
        <v>11011071_11011081_11011091</v>
      </c>
      <c r="O6">
        <v>1101275</v>
      </c>
    </row>
    <row r="7" ht="16.5" spans="1:15">
      <c r="A7">
        <v>1101252</v>
      </c>
      <c r="B7">
        <v>1101262</v>
      </c>
      <c r="C7">
        <v>1101272</v>
      </c>
      <c r="G7">
        <v>1101107</v>
      </c>
      <c r="J7" s="1">
        <v>11011071</v>
      </c>
      <c r="O7">
        <v>1101276</v>
      </c>
    </row>
    <row r="8" ht="16.5" spans="1:15">
      <c r="A8">
        <v>1101253</v>
      </c>
      <c r="B8">
        <v>1101263</v>
      </c>
      <c r="C8">
        <v>1101273</v>
      </c>
      <c r="G8">
        <v>1101108</v>
      </c>
      <c r="J8" s="1">
        <v>11011081</v>
      </c>
      <c r="O8">
        <v>1101256</v>
      </c>
    </row>
    <row r="9" ht="16.5" spans="1:15">
      <c r="A9">
        <v>1101254</v>
      </c>
      <c r="B9">
        <v>1101264</v>
      </c>
      <c r="C9">
        <v>1101274</v>
      </c>
      <c r="G9">
        <v>1101109</v>
      </c>
      <c r="J9" s="1">
        <v>11011091</v>
      </c>
      <c r="O9">
        <v>1101261</v>
      </c>
    </row>
    <row r="10" spans="1:15">
      <c r="A10">
        <v>1101255</v>
      </c>
      <c r="B10">
        <v>1101265</v>
      </c>
      <c r="C10">
        <v>1101275</v>
      </c>
      <c r="O10">
        <v>1101263</v>
      </c>
    </row>
    <row r="11" spans="1:15">
      <c r="A11">
        <v>1101256</v>
      </c>
      <c r="B11">
        <v>1101266</v>
      </c>
      <c r="C11">
        <v>1101276</v>
      </c>
      <c r="O11">
        <v>1101266</v>
      </c>
    </row>
    <row r="12" spans="1:15">
      <c r="A12">
        <v>1101257</v>
      </c>
      <c r="B12">
        <v>1101267</v>
      </c>
      <c r="O12">
        <v>1101269</v>
      </c>
    </row>
    <row r="13" spans="1:15">
      <c r="A13">
        <v>1101258</v>
      </c>
      <c r="B13">
        <v>1101268</v>
      </c>
    </row>
    <row r="14" spans="1:15">
      <c r="A14">
        <v>1101259</v>
      </c>
      <c r="B14">
        <v>1101269</v>
      </c>
    </row>
    <row r="15" spans="1:15">
      <c r="A15">
        <v>1101260</v>
      </c>
      <c r="B15">
        <v>1101270</v>
      </c>
      <c r="G15" t="str">
        <f>_xlfn.TEXTJOIN("_",TRUE,G16:G18)</f>
        <v>1101110_1101111_1101112</v>
      </c>
      <c r="J15" t="str">
        <f>_xlfn.TEXTJOIN("_",TRUE,J16:J18)</f>
        <v>11011101_11011111_11011121</v>
      </c>
    </row>
    <row r="16" ht="16.5" spans="1:15">
      <c r="G16">
        <v>1101110</v>
      </c>
      <c r="J16" s="1">
        <v>11011101</v>
      </c>
    </row>
    <row r="17" ht="16.5" spans="7:10">
      <c r="G17">
        <v>1101111</v>
      </c>
      <c r="J17" s="1">
        <v>11011111</v>
      </c>
    </row>
    <row r="18" ht="16.5" spans="7:10">
      <c r="G18">
        <v>1101112</v>
      </c>
      <c r="J18" s="1">
        <v>11011121</v>
      </c>
    </row>
    <row r="24" spans="7:10">
      <c r="G24" t="str">
        <f>_xlfn.TEXTJOIN("_",TRUE,G25:G29)</f>
        <v>1102266_1102267_1102268_1102269_1102270</v>
      </c>
      <c r="H24" t="str">
        <f>_xlfn.TEXTJOIN("_",TRUE,H25:H30)</f>
        <v>1102271_1102272_1102273_1102274_1102275_1102276</v>
      </c>
    </row>
    <row r="25" ht="16.5" spans="7:10">
      <c r="G25" s="2">
        <v>1102266</v>
      </c>
      <c r="H25" s="2">
        <v>1102271</v>
      </c>
    </row>
    <row r="26" ht="16.5" spans="7:10">
      <c r="G26" s="2">
        <v>1102267</v>
      </c>
      <c r="H26" s="2">
        <v>1102272</v>
      </c>
    </row>
    <row r="27" ht="16.5" spans="7:10">
      <c r="G27" s="2">
        <v>1102268</v>
      </c>
      <c r="H27" s="2">
        <v>1102273</v>
      </c>
    </row>
    <row r="28" ht="16.5" spans="7:10">
      <c r="G28" s="2">
        <v>1102269</v>
      </c>
      <c r="H28" s="2">
        <v>1102274</v>
      </c>
    </row>
    <row r="29" ht="16.5" spans="7:10">
      <c r="G29" s="2">
        <v>1102270</v>
      </c>
      <c r="H29" s="2">
        <v>1102275</v>
      </c>
    </row>
    <row r="30" ht="16.5" spans="7:10">
      <c r="H30" s="2">
        <v>1102276</v>
      </c>
    </row>
    <row r="33" spans="7:8">
      <c r="G33" t="str">
        <f>_xlfn.TEXTJOIN("_",TRUE,G34:G38)</f>
        <v>1103266_1103267_1103268_1103269_1103270</v>
      </c>
      <c r="H33" t="str">
        <f>_xlfn.TEXTJOIN("_",TRUE,H34:H38)</f>
        <v>1103271_1103272_1103273_1103274_1103275</v>
      </c>
    </row>
    <row r="34" ht="16.5" spans="7:8">
      <c r="G34" s="3">
        <v>1103266</v>
      </c>
      <c r="H34" s="4">
        <v>1103271</v>
      </c>
    </row>
    <row r="35" ht="16.5" spans="7:8">
      <c r="G35" s="3">
        <v>1103267</v>
      </c>
      <c r="H35" s="4">
        <v>1103272</v>
      </c>
    </row>
    <row r="36" ht="16.5" spans="7:8">
      <c r="G36" s="3">
        <v>1103268</v>
      </c>
      <c r="H36" s="4">
        <v>1103273</v>
      </c>
    </row>
    <row r="37" ht="16.5" spans="7:8">
      <c r="G37" s="4">
        <v>1103269</v>
      </c>
      <c r="H37" s="4">
        <v>1103274</v>
      </c>
    </row>
    <row r="38" ht="16.5" spans="7:8">
      <c r="G38" s="4">
        <v>1103270</v>
      </c>
      <c r="H38" s="4">
        <v>1103275</v>
      </c>
    </row>
    <row r="40" spans="7:8">
      <c r="G40" t="str">
        <f>_xlfn.TEXTJOIN("_",TRUE,G41:G45)</f>
        <v>1104263_1104264_1104265_1104266_1104267</v>
      </c>
      <c r="H40" t="str">
        <f>_xlfn.TEXTJOIN("_",TRUE,H41:H45)</f>
        <v>1104268_1104269_1104270_1104271_1104272</v>
      </c>
    </row>
    <row r="41" ht="16.5" spans="7:8">
      <c r="G41" s="2">
        <v>1104263</v>
      </c>
      <c r="H41" s="2">
        <v>1104268</v>
      </c>
    </row>
    <row r="42" ht="16.5" spans="7:8">
      <c r="G42" s="2">
        <v>1104264</v>
      </c>
      <c r="H42" s="2">
        <v>1104269</v>
      </c>
    </row>
    <row r="43" ht="16.5" spans="7:8">
      <c r="G43" s="2">
        <v>1104265</v>
      </c>
      <c r="H43" s="2">
        <v>1104270</v>
      </c>
    </row>
    <row r="44" ht="16.5" spans="7:8">
      <c r="G44" s="2">
        <v>1104266</v>
      </c>
      <c r="H44" s="2">
        <v>1104271</v>
      </c>
    </row>
    <row r="45" ht="16.5" spans="7:8">
      <c r="G45" s="2">
        <v>1104267</v>
      </c>
      <c r="H45" s="2">
        <v>1104272</v>
      </c>
    </row>
    <row r="47" spans="7:8">
      <c r="G47" t="str">
        <f>_xlfn.TEXTJOIN("_",TRUE,G48:G52)</f>
        <v>1105266_1105267_1105268_1105269</v>
      </c>
      <c r="H47" t="str">
        <f>_xlfn.TEXTJOIN("_",TRUE,H48:H52)</f>
        <v>1105270_1105271_1105272_1105273_1105274</v>
      </c>
    </row>
    <row r="48" ht="16.5" spans="7:8">
      <c r="G48" s="3">
        <v>1105266</v>
      </c>
      <c r="H48" s="4">
        <v>1105270</v>
      </c>
    </row>
    <row r="49" ht="16.5" spans="6:19">
      <c r="G49" s="3">
        <v>1105267</v>
      </c>
      <c r="H49" s="4">
        <v>1105271</v>
      </c>
    </row>
    <row r="50" ht="16.5" spans="6:19">
      <c r="G50" s="3">
        <v>1105268</v>
      </c>
      <c r="H50" s="4">
        <v>1105272</v>
      </c>
    </row>
    <row r="51" ht="16.5" spans="6:19">
      <c r="G51" s="4">
        <v>1105269</v>
      </c>
      <c r="H51" s="4">
        <v>1105273</v>
      </c>
    </row>
    <row r="52" ht="16.5" spans="6:19">
      <c r="H52" s="4">
        <v>1105274</v>
      </c>
    </row>
    <row r="54" spans="6:19">
      <c r="G54" t="str">
        <f>_xlfn.TEXTJOIN("_",TRUE,G55:G59)</f>
        <v>1106261_1106262_1106263_1106264_1106265</v>
      </c>
      <c r="H54" t="str">
        <f>_xlfn.TEXTJOIN("_",TRUE,H55:H60)</f>
        <v>1106266_1106267_1106268_1106269_1106270_1106271</v>
      </c>
    </row>
    <row r="55" ht="16.5" spans="6:19">
      <c r="G55" s="2">
        <v>1106261</v>
      </c>
      <c r="H55" s="2">
        <v>1106266</v>
      </c>
    </row>
    <row r="56" ht="16.5" spans="6:19">
      <c r="G56" s="2">
        <v>1106262</v>
      </c>
      <c r="H56" s="2">
        <v>1106267</v>
      </c>
    </row>
    <row r="57" ht="16.5" spans="6:19">
      <c r="G57" s="2">
        <v>1106263</v>
      </c>
      <c r="H57" s="2">
        <v>1106268</v>
      </c>
    </row>
    <row r="58" ht="16.5" spans="6:19">
      <c r="G58" s="2">
        <v>1106264</v>
      </c>
      <c r="H58" s="2">
        <v>1106269</v>
      </c>
    </row>
    <row r="59" ht="16.5" spans="6:19">
      <c r="G59" s="2">
        <v>1106265</v>
      </c>
      <c r="H59" s="2">
        <v>1106270</v>
      </c>
    </row>
    <row r="60" ht="16.5" spans="6:19">
      <c r="H60" s="2">
        <v>1106271</v>
      </c>
    </row>
    <row r="62" spans="6:19">
      <c r="F62" t="str">
        <f t="shared" ref="F62:H62" si="0">_xlfn.TEXTJOIN("_",TRUE,F63:F67)</f>
        <v>1107101_1107102_1107103_1107104_1107105</v>
      </c>
      <c r="G62" t="str">
        <f t="shared" si="0"/>
        <v>1107106_1107107_1107108</v>
      </c>
      <c r="H62" t="str">
        <f t="shared" si="0"/>
        <v>1107109_1107110_1107111_1107112</v>
      </c>
      <c r="K62" t="str">
        <f t="shared" ref="K62:M62" si="1">_xlfn.TEXTJOIN("_",TRUE,K63:K67)</f>
        <v>11071011_11071021_11071031_11071041_11071051</v>
      </c>
      <c r="L62" t="str">
        <f t="shared" si="1"/>
        <v>11071061_11071071_11071081</v>
      </c>
      <c r="M62" t="str">
        <f t="shared" si="1"/>
        <v>11071091_11071101_11071111_11071121</v>
      </c>
      <c r="R62" t="str">
        <f>_xlfn.TEXTJOIN("_",TRUE,R63:R67)</f>
        <v>1107259_1107260_1107261_1107262_1107263</v>
      </c>
      <c r="S62" t="str">
        <f>_xlfn.TEXTJOIN("_",TRUE,S63:S67)</f>
        <v>1107264_1107265_1107266_1107267_1107268</v>
      </c>
    </row>
    <row r="63" ht="16.5" spans="6:19">
      <c r="F63">
        <v>1107101</v>
      </c>
      <c r="G63">
        <v>1107106</v>
      </c>
      <c r="H63">
        <v>1107109</v>
      </c>
      <c r="K63">
        <f>F63*10+1</f>
        <v>11071011</v>
      </c>
      <c r="L63">
        <f>G63*10+1</f>
        <v>11071061</v>
      </c>
      <c r="M63">
        <f>H63*10+1</f>
        <v>11071091</v>
      </c>
      <c r="R63" s="3">
        <v>1107259</v>
      </c>
      <c r="S63" s="3">
        <v>1107264</v>
      </c>
    </row>
    <row r="64" ht="16.5" spans="6:19">
      <c r="F64">
        <v>1107102</v>
      </c>
      <c r="G64">
        <v>1107107</v>
      </c>
      <c r="H64">
        <v>1107110</v>
      </c>
      <c r="K64">
        <f t="shared" ref="K64:K69" si="2">F64*10+1</f>
        <v>11071021</v>
      </c>
      <c r="L64">
        <f>G64*10+1</f>
        <v>11071071</v>
      </c>
      <c r="M64">
        <f>H64*10+1</f>
        <v>11071101</v>
      </c>
      <c r="R64" s="3">
        <v>1107260</v>
      </c>
      <c r="S64" s="3">
        <v>1107265</v>
      </c>
    </row>
    <row r="65" ht="16.5" spans="6:19">
      <c r="F65">
        <v>1107103</v>
      </c>
      <c r="G65">
        <v>1107108</v>
      </c>
      <c r="H65">
        <v>1107111</v>
      </c>
      <c r="K65">
        <f t="shared" si="2"/>
        <v>11071031</v>
      </c>
      <c r="L65">
        <f>G65*10+1</f>
        <v>11071081</v>
      </c>
      <c r="M65">
        <f>H65*10+1</f>
        <v>11071111</v>
      </c>
      <c r="R65" s="3">
        <v>1107261</v>
      </c>
      <c r="S65" s="3">
        <v>1107266</v>
      </c>
    </row>
    <row r="66" ht="16.5" spans="6:19">
      <c r="F66">
        <v>1107104</v>
      </c>
      <c r="H66">
        <v>1107112</v>
      </c>
      <c r="K66">
        <f t="shared" si="2"/>
        <v>11071041</v>
      </c>
      <c r="M66">
        <f>H66*10+1</f>
        <v>11071121</v>
      </c>
      <c r="R66" s="3">
        <v>1107262</v>
      </c>
      <c r="S66" s="3">
        <v>1107267</v>
      </c>
    </row>
    <row r="67" ht="16.5" spans="6:19">
      <c r="F67">
        <v>1107105</v>
      </c>
      <c r="K67">
        <f t="shared" si="2"/>
        <v>11071051</v>
      </c>
      <c r="R67" s="3">
        <v>1107263</v>
      </c>
      <c r="S67" s="3">
        <v>1107268</v>
      </c>
    </row>
    <row r="69" spans="6:19">
      <c r="F69" t="str">
        <f t="shared" ref="F69:H69" si="3">_xlfn.TEXTJOIN("_",TRUE,F70:F74)</f>
        <v>1108101_1108102_1108103_1108104_1108105</v>
      </c>
      <c r="G69" t="str">
        <f t="shared" si="3"/>
        <v>1108106_1108107_1108108</v>
      </c>
      <c r="H69" t="str">
        <f t="shared" si="3"/>
        <v>1108109_1108110</v>
      </c>
      <c r="K69" t="str">
        <f t="shared" ref="K69:M69" si="4">_xlfn.TEXTJOIN("_",TRUE,K70:K74)</f>
        <v>11081011_11081021_11081031_11081041_11081051</v>
      </c>
      <c r="L69" t="str">
        <f t="shared" si="4"/>
        <v>11081061_11081071_11081081</v>
      </c>
      <c r="M69" t="str">
        <f t="shared" si="4"/>
        <v>11081091_11081101</v>
      </c>
      <c r="R69" t="str">
        <f>_xlfn.TEXTJOIN("_",TRUE,R70:R74)</f>
        <v>1108261_1108262_1108263_1108264_1108265</v>
      </c>
      <c r="S69" t="str">
        <f>_xlfn.TEXTJOIN("_",TRUE,S70:S74)</f>
        <v>1108266_1108267_1108268_1108269</v>
      </c>
    </row>
    <row r="70" ht="16.5" spans="6:19">
      <c r="F70">
        <v>1108101</v>
      </c>
      <c r="G70">
        <v>1108106</v>
      </c>
      <c r="H70">
        <v>1108109</v>
      </c>
      <c r="K70">
        <f>F70*10+1</f>
        <v>11081011</v>
      </c>
      <c r="L70">
        <f>G70*10+1</f>
        <v>11081061</v>
      </c>
      <c r="M70">
        <f>H70*10+1</f>
        <v>11081091</v>
      </c>
      <c r="R70" s="2">
        <v>1108261</v>
      </c>
      <c r="S70" s="2">
        <v>1108266</v>
      </c>
    </row>
    <row r="71" ht="16.5" spans="6:19">
      <c r="F71">
        <v>1108102</v>
      </c>
      <c r="G71">
        <v>1108107</v>
      </c>
      <c r="H71">
        <v>1108110</v>
      </c>
      <c r="K71">
        <f>F71*10+1</f>
        <v>11081021</v>
      </c>
      <c r="L71">
        <f>G71*10+1</f>
        <v>11081071</v>
      </c>
      <c r="M71">
        <f>H71*10+1</f>
        <v>11081101</v>
      </c>
      <c r="R71" s="2">
        <v>1108262</v>
      </c>
      <c r="S71" s="2">
        <v>1108267</v>
      </c>
    </row>
    <row r="72" ht="16.5" spans="6:19">
      <c r="F72">
        <v>1108103</v>
      </c>
      <c r="G72">
        <v>1108108</v>
      </c>
      <c r="K72">
        <f>F72*10+1</f>
        <v>11081031</v>
      </c>
      <c r="L72">
        <f>G72*10+1</f>
        <v>11081081</v>
      </c>
      <c r="R72" s="2">
        <v>1108263</v>
      </c>
      <c r="S72" s="2">
        <v>1108268</v>
      </c>
    </row>
    <row r="73" ht="16.5" spans="6:19">
      <c r="F73">
        <v>1108104</v>
      </c>
      <c r="K73">
        <f>F73*10+1</f>
        <v>11081041</v>
      </c>
      <c r="R73" s="2">
        <v>1108264</v>
      </c>
      <c r="S73" s="2">
        <v>1108269</v>
      </c>
    </row>
    <row r="74" ht="16.5" spans="6:19">
      <c r="F74">
        <v>1108105</v>
      </c>
      <c r="K74">
        <f>F74*10+1</f>
        <v>11081051</v>
      </c>
      <c r="R74" s="2">
        <v>1108265</v>
      </c>
    </row>
    <row r="79" spans="6:19">
      <c r="R79" t="str">
        <f>_xlfn.TEXTJOIN("_",TRUE,R80:R84)</f>
        <v>1110261_1110262_1110263_1110264_1110265</v>
      </c>
      <c r="S79" t="str">
        <f>_xlfn.TEXTJOIN("_",TRUE,S80:S84)</f>
        <v>1110266_1110267_1110268_1110269_1110270</v>
      </c>
    </row>
    <row r="80" ht="16.5" spans="6:19">
      <c r="R80" s="2">
        <v>1110261</v>
      </c>
      <c r="S80" s="2">
        <v>1110266</v>
      </c>
    </row>
    <row r="81" ht="16.5" spans="6:19">
      <c r="R81" s="2">
        <v>1110262</v>
      </c>
      <c r="S81" s="2">
        <v>1110267</v>
      </c>
    </row>
    <row r="82" ht="16.5" spans="6:19">
      <c r="R82" s="2">
        <v>1110263</v>
      </c>
      <c r="S82" s="2">
        <v>1110268</v>
      </c>
    </row>
    <row r="83" ht="16.5" spans="6:19">
      <c r="F83" t="str">
        <f>_xlfn.TEXTJOIN("_",TRUE,F84:F115)</f>
        <v>1202101_1202103_1202105_1202107_1202109_1202111_1202113_1202115_1202117_1202119_1202121_1202123_1202125_1202127_1202129_1202131</v>
      </c>
      <c r="I83" t="str">
        <f>_xlfn.TEXTJOIN("_",TRUE,I84:I115)</f>
        <v>12021011_12021012_12021031_12021032_12021051_12021052_12021071_12021072_12021091_12021092_12021111_12021112_12021131_12021132_12021151_12021152_12021171_12021172_12021191_12021192_12021211_12021212_12021231_12021232_12021251_12021252_12021271_12021272_12021291_12021292_12021311_12021312</v>
      </c>
      <c r="K83" t="str">
        <f t="shared" ref="K83:N83" si="5">_xlfn.TEXTJOIN("_",TRUE,K84:K115)</f>
        <v>12021011_1_12021031_1_12021051_1_12021071_1_12021091_1_12021111_1_12021131_1_12021151_1_12021171_1_12021191_1_12021211_1_12021231_1_12021251_1_12021271_1_12021291_1_12021311_1</v>
      </c>
      <c r="M83" t="str">
        <f t="shared" si="5"/>
        <v>1202271_1202272_1202273_1202274_1202275_1202276_1202277_1202278_1202279_1202280_1202282_1202283_1202284_1202285_1202286_1202287_1202288_1202289_1202290</v>
      </c>
      <c r="N83" t="str">
        <f t="shared" si="5"/>
        <v>1202291_1202292_1202293_1202294_1202295_1202296_1202297_1202298_1202299_1202300_1202301_1202302_1202303_1202304_1202305_1202306_1202307</v>
      </c>
      <c r="R83" s="2">
        <v>1110264</v>
      </c>
      <c r="S83" s="2">
        <v>1110269</v>
      </c>
    </row>
    <row r="84" ht="16.5" spans="6:19">
      <c r="F84">
        <v>1202101</v>
      </c>
      <c r="I84">
        <v>12021011</v>
      </c>
      <c r="K84">
        <f>F84*10+1</f>
        <v>12021011</v>
      </c>
      <c r="M84" s="2">
        <v>1202271</v>
      </c>
      <c r="N84" s="2">
        <v>1202291</v>
      </c>
      <c r="R84" s="2">
        <v>1110265</v>
      </c>
      <c r="S84" s="2">
        <v>1110270</v>
      </c>
    </row>
    <row r="85" ht="16.5" spans="6:19">
      <c r="I85">
        <v>12021012</v>
      </c>
      <c r="K85">
        <f t="shared" ref="K85:K115" si="6">F85*10+1</f>
        <v>1</v>
      </c>
      <c r="M85" s="2">
        <v>1202272</v>
      </c>
      <c r="N85" s="2">
        <v>1202292</v>
      </c>
    </row>
    <row r="86" ht="16.5" spans="6:19">
      <c r="F86">
        <v>1202103</v>
      </c>
      <c r="I86">
        <v>12021031</v>
      </c>
      <c r="K86">
        <f t="shared" si="6"/>
        <v>12021031</v>
      </c>
      <c r="M86" s="2">
        <v>1202273</v>
      </c>
      <c r="N86" s="2">
        <v>1202293</v>
      </c>
    </row>
    <row r="87" ht="16.5" spans="6:19">
      <c r="I87">
        <v>12021032</v>
      </c>
      <c r="K87">
        <f t="shared" si="6"/>
        <v>1</v>
      </c>
      <c r="M87" s="2">
        <v>1202274</v>
      </c>
      <c r="N87" s="2">
        <v>1202294</v>
      </c>
      <c r="R87" t="str">
        <f>_xlfn.TEXTJOIN("_",TRUE,R88:R92)</f>
        <v>1111261_1111262_1111263_1111264_1111265</v>
      </c>
      <c r="S87" t="str">
        <f>_xlfn.TEXTJOIN("_",TRUE,S88:S93)</f>
        <v>1111266_1111267_1111268_1111269_1111270_1111271</v>
      </c>
    </row>
    <row r="88" ht="16.5" spans="6:19">
      <c r="F88">
        <v>1202105</v>
      </c>
      <c r="I88">
        <v>12021051</v>
      </c>
      <c r="K88">
        <f t="shared" si="6"/>
        <v>12021051</v>
      </c>
      <c r="M88" s="2">
        <v>1202275</v>
      </c>
      <c r="N88" s="2">
        <v>1202295</v>
      </c>
      <c r="R88" s="3">
        <v>1111261</v>
      </c>
      <c r="S88" s="3">
        <v>1111266</v>
      </c>
    </row>
    <row r="89" ht="16.5" spans="6:19">
      <c r="I89">
        <v>12021052</v>
      </c>
      <c r="K89">
        <f t="shared" si="6"/>
        <v>1</v>
      </c>
      <c r="M89" s="2">
        <v>1202276</v>
      </c>
      <c r="N89" s="2">
        <v>1202296</v>
      </c>
      <c r="R89" s="3">
        <v>1111262</v>
      </c>
      <c r="S89" s="3">
        <v>1111267</v>
      </c>
    </row>
    <row r="90" ht="16.5" spans="6:19">
      <c r="F90">
        <v>1202107</v>
      </c>
      <c r="I90">
        <v>12021071</v>
      </c>
      <c r="K90">
        <f t="shared" si="6"/>
        <v>12021071</v>
      </c>
      <c r="M90" s="2">
        <v>1202277</v>
      </c>
      <c r="N90" s="2">
        <v>1202297</v>
      </c>
      <c r="R90" s="3">
        <v>1111263</v>
      </c>
      <c r="S90" s="3">
        <v>1111268</v>
      </c>
    </row>
    <row r="91" ht="16.5" spans="6:19">
      <c r="I91">
        <v>12021072</v>
      </c>
      <c r="K91">
        <f t="shared" si="6"/>
        <v>1</v>
      </c>
      <c r="M91" s="2">
        <v>1202278</v>
      </c>
      <c r="N91" s="2">
        <v>1202298</v>
      </c>
      <c r="R91" s="3">
        <v>1111264</v>
      </c>
      <c r="S91" s="4">
        <v>1111269</v>
      </c>
    </row>
    <row r="92" ht="16.5" spans="6:19">
      <c r="F92">
        <v>1202109</v>
      </c>
      <c r="I92">
        <v>12021091</v>
      </c>
      <c r="K92">
        <f t="shared" si="6"/>
        <v>12021091</v>
      </c>
      <c r="M92" s="2">
        <v>1202279</v>
      </c>
      <c r="N92" s="2">
        <v>1202299</v>
      </c>
      <c r="R92" s="3">
        <v>1111265</v>
      </c>
      <c r="S92" s="4">
        <v>1111270</v>
      </c>
    </row>
    <row r="93" ht="16.5" spans="6:19">
      <c r="I93">
        <v>12021092</v>
      </c>
      <c r="K93">
        <f t="shared" si="6"/>
        <v>1</v>
      </c>
      <c r="M93" s="2">
        <v>1202280</v>
      </c>
      <c r="N93" s="2">
        <v>1202300</v>
      </c>
      <c r="S93" s="3">
        <v>1111271</v>
      </c>
    </row>
    <row r="94" ht="16.5" spans="6:19">
      <c r="F94">
        <v>1202111</v>
      </c>
      <c r="I94">
        <v>12021111</v>
      </c>
      <c r="K94">
        <f t="shared" si="6"/>
        <v>12021111</v>
      </c>
      <c r="M94" s="2">
        <v>1202282</v>
      </c>
      <c r="N94" s="2">
        <v>1202301</v>
      </c>
    </row>
    <row r="95" ht="16.5" spans="6:19">
      <c r="I95">
        <v>12021112</v>
      </c>
      <c r="K95">
        <f t="shared" si="6"/>
        <v>1</v>
      </c>
      <c r="M95" s="2">
        <v>1202283</v>
      </c>
      <c r="N95" s="2">
        <v>1202302</v>
      </c>
    </row>
    <row r="96" ht="16.5" spans="6:19">
      <c r="F96">
        <v>1202113</v>
      </c>
      <c r="I96">
        <v>12021131</v>
      </c>
      <c r="K96">
        <f t="shared" si="6"/>
        <v>12021131</v>
      </c>
      <c r="M96" s="2">
        <v>1202284</v>
      </c>
      <c r="N96" s="2">
        <v>1202303</v>
      </c>
      <c r="R96" t="str">
        <f>_xlfn.TEXTJOIN("_",TRUE,R97:R101)</f>
        <v>1112261_1112262_1112263_1112264_1112265</v>
      </c>
      <c r="S96" t="str">
        <f>_xlfn.TEXTJOIN("_",TRUE,S97:S101)</f>
        <v>1112266_1112267_1112268_1112269</v>
      </c>
    </row>
    <row r="97" ht="16.5" spans="6:22">
      <c r="I97">
        <v>12021132</v>
      </c>
      <c r="K97">
        <f t="shared" si="6"/>
        <v>1</v>
      </c>
      <c r="M97" s="2">
        <v>1202285</v>
      </c>
      <c r="N97" s="2">
        <v>1202304</v>
      </c>
      <c r="R97" s="2">
        <v>1112261</v>
      </c>
      <c r="S97" s="2">
        <v>1112266</v>
      </c>
    </row>
    <row r="98" ht="16.5" spans="6:22">
      <c r="F98">
        <v>1202115</v>
      </c>
      <c r="I98">
        <v>12021151</v>
      </c>
      <c r="K98">
        <f t="shared" si="6"/>
        <v>12021151</v>
      </c>
      <c r="M98" s="5">
        <v>1202286</v>
      </c>
      <c r="N98" s="2">
        <v>1202305</v>
      </c>
      <c r="R98" s="2">
        <v>1112262</v>
      </c>
      <c r="S98" s="2">
        <v>1112267</v>
      </c>
    </row>
    <row r="99" ht="16.5" spans="6:22">
      <c r="I99">
        <v>12021152</v>
      </c>
      <c r="K99">
        <f t="shared" si="6"/>
        <v>1</v>
      </c>
      <c r="M99" s="2">
        <v>1202287</v>
      </c>
      <c r="N99" s="2">
        <v>1202306</v>
      </c>
      <c r="R99" s="2">
        <v>1112263</v>
      </c>
      <c r="S99" s="2">
        <v>1112268</v>
      </c>
    </row>
    <row r="100" ht="16.5" spans="6:22">
      <c r="F100">
        <v>1202117</v>
      </c>
      <c r="I100">
        <v>12021171</v>
      </c>
      <c r="K100">
        <f t="shared" si="6"/>
        <v>12021171</v>
      </c>
      <c r="M100" s="2">
        <v>1202288</v>
      </c>
      <c r="N100" s="2">
        <v>1202307</v>
      </c>
      <c r="R100" s="2">
        <v>1112264</v>
      </c>
      <c r="S100" s="2">
        <v>1112269</v>
      </c>
    </row>
    <row r="101" ht="16.5" spans="6:22">
      <c r="I101">
        <v>12021172</v>
      </c>
      <c r="K101">
        <f t="shared" si="6"/>
        <v>1</v>
      </c>
      <c r="M101" s="2">
        <v>1202289</v>
      </c>
      <c r="R101" s="2">
        <v>1112265</v>
      </c>
    </row>
    <row r="102" ht="16.5" spans="6:22">
      <c r="F102">
        <v>1202119</v>
      </c>
      <c r="I102">
        <v>12021191</v>
      </c>
      <c r="K102">
        <f t="shared" si="6"/>
        <v>12021191</v>
      </c>
      <c r="M102" s="2">
        <v>1202290</v>
      </c>
    </row>
    <row r="103" spans="6:22">
      <c r="I103">
        <v>12021192</v>
      </c>
      <c r="K103">
        <f t="shared" si="6"/>
        <v>1</v>
      </c>
    </row>
    <row r="104" spans="6:22">
      <c r="F104">
        <v>1202121</v>
      </c>
      <c r="I104">
        <v>12021211</v>
      </c>
      <c r="K104">
        <f t="shared" si="6"/>
        <v>12021211</v>
      </c>
    </row>
    <row r="105" spans="6:22">
      <c r="I105">
        <v>12021212</v>
      </c>
      <c r="K105">
        <f t="shared" si="6"/>
        <v>1</v>
      </c>
    </row>
    <row r="106" spans="6:22">
      <c r="F106">
        <v>1202123</v>
      </c>
      <c r="I106">
        <v>12021231</v>
      </c>
      <c r="K106">
        <f t="shared" si="6"/>
        <v>12021231</v>
      </c>
    </row>
    <row r="107" spans="6:22">
      <c r="I107">
        <v>12021232</v>
      </c>
      <c r="K107">
        <f t="shared" si="6"/>
        <v>1</v>
      </c>
    </row>
    <row r="108" spans="6:22">
      <c r="F108">
        <v>1202125</v>
      </c>
      <c r="I108">
        <v>12021251</v>
      </c>
      <c r="K108">
        <f t="shared" si="6"/>
        <v>12021251</v>
      </c>
    </row>
    <row r="109" spans="6:22">
      <c r="I109">
        <v>12021252</v>
      </c>
      <c r="K109">
        <f t="shared" si="6"/>
        <v>1</v>
      </c>
    </row>
    <row r="110" spans="6:22">
      <c r="F110">
        <v>1202127</v>
      </c>
      <c r="I110">
        <v>12021271</v>
      </c>
      <c r="K110">
        <f t="shared" si="6"/>
        <v>12021271</v>
      </c>
    </row>
    <row r="111" spans="6:22">
      <c r="I111">
        <v>12021272</v>
      </c>
      <c r="K111">
        <f t="shared" si="6"/>
        <v>1</v>
      </c>
    </row>
    <row r="112" spans="6:22">
      <c r="F112">
        <v>1202129</v>
      </c>
      <c r="I112">
        <v>12021291</v>
      </c>
      <c r="K112">
        <f t="shared" si="6"/>
        <v>12021291</v>
      </c>
      <c r="P112" t="str">
        <f t="shared" ref="P112:R112" si="7">_xlfn.TEXTJOIN("_",TRUE,P113:P117)</f>
        <v>1111109_1111110_1111106_1111107_1111108</v>
      </c>
      <c r="Q112" t="str">
        <f t="shared" si="7"/>
        <v>1111103_1111104_1111105</v>
      </c>
      <c r="R112" t="str">
        <f t="shared" si="7"/>
        <v>1111102_1111101</v>
      </c>
      <c r="T112" t="str">
        <f t="shared" ref="T112:V112" si="8">_xlfn.TEXTJOIN("_",TRUE,T113:T117)</f>
        <v>11111091_11111101_11111061_11111071_11111081</v>
      </c>
      <c r="U112" t="str">
        <f t="shared" si="8"/>
        <v>11111031_11111041_11111051</v>
      </c>
      <c r="V112" t="str">
        <f t="shared" si="8"/>
        <v>11111021_11111011</v>
      </c>
    </row>
    <row r="113" spans="6:22">
      <c r="I113">
        <v>12021292</v>
      </c>
      <c r="K113">
        <f t="shared" si="6"/>
        <v>1</v>
      </c>
      <c r="P113">
        <v>1111109</v>
      </c>
      <c r="Q113">
        <v>1111103</v>
      </c>
      <c r="R113">
        <v>1111102</v>
      </c>
      <c r="T113">
        <f>P113*10+1</f>
        <v>11111091</v>
      </c>
      <c r="U113">
        <f>Q113*10+1</f>
        <v>11111031</v>
      </c>
      <c r="V113">
        <f>R113*10+1</f>
        <v>11111021</v>
      </c>
    </row>
    <row r="114" spans="6:22">
      <c r="F114">
        <v>1202131</v>
      </c>
      <c r="I114">
        <v>12021311</v>
      </c>
      <c r="K114">
        <f t="shared" si="6"/>
        <v>12021311</v>
      </c>
      <c r="P114">
        <v>1111110</v>
      </c>
      <c r="Q114">
        <v>1111104</v>
      </c>
      <c r="R114">
        <v>1111101</v>
      </c>
      <c r="T114">
        <f>P114*10+1</f>
        <v>11111101</v>
      </c>
      <c r="U114">
        <f>Q114*10+1</f>
        <v>11111041</v>
      </c>
      <c r="V114">
        <f>R114*10+1</f>
        <v>11111011</v>
      </c>
    </row>
    <row r="115" spans="6:22">
      <c r="I115">
        <v>12021312</v>
      </c>
      <c r="K115">
        <f t="shared" si="6"/>
        <v>1</v>
      </c>
      <c r="P115">
        <v>1111106</v>
      </c>
      <c r="Q115">
        <v>1111105</v>
      </c>
      <c r="T115">
        <f>P115*10+1</f>
        <v>11111061</v>
      </c>
      <c r="U115">
        <f>Q115*10+1</f>
        <v>11111051</v>
      </c>
    </row>
    <row r="116" spans="6:22">
      <c r="P116">
        <v>1111107</v>
      </c>
      <c r="T116">
        <f>P116*10+1</f>
        <v>11111071</v>
      </c>
    </row>
    <row r="117" spans="6:22">
      <c r="P117">
        <v>1111108</v>
      </c>
      <c r="T117">
        <f>P117*10+1</f>
        <v>11111081</v>
      </c>
    </row>
    <row r="118" spans="6:22">
      <c r="F118" t="str">
        <f t="shared" ref="F118:H118" si="9">_xlfn.TEXTJOIN("_",TRUE,F119:F123)</f>
        <v>1301251_1301252_1301253_1301254_1301255</v>
      </c>
      <c r="G118" t="str">
        <f t="shared" si="9"/>
        <v>1301256_1301257_1301258</v>
      </c>
      <c r="H118" t="str">
        <f t="shared" si="9"/>
        <v>1301259_1301260</v>
      </c>
    </row>
    <row r="119" ht="16.5" spans="6:22">
      <c r="F119" s="3">
        <v>1301251</v>
      </c>
      <c r="G119">
        <v>1301256</v>
      </c>
      <c r="H119">
        <v>1301259</v>
      </c>
    </row>
    <row r="120" ht="16.5" spans="6:22">
      <c r="F120" s="3">
        <v>1301252</v>
      </c>
      <c r="G120">
        <v>1301257</v>
      </c>
      <c r="H120">
        <v>1301260</v>
      </c>
    </row>
    <row r="121" spans="6:22">
      <c r="F121">
        <v>1301253</v>
      </c>
      <c r="G121">
        <v>1301258</v>
      </c>
    </row>
    <row r="122" spans="6:22">
      <c r="F122">
        <v>1301254</v>
      </c>
    </row>
    <row r="123" spans="6:22">
      <c r="F123">
        <v>1301255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121"/>
  <sheetViews>
    <sheetView topLeftCell="A100" workbookViewId="0">
      <selection activeCell="Q112" sqref="Q112:Q116"/>
    </sheetView>
  </sheetViews>
  <sheetFormatPr defaultColWidth="9" defaultRowHeight="13.5"/>
  <sheetData>
    <row r="2" spans="1:22">
      <c r="E2" t="str">
        <f>_xlfn.TEXTJOIN("_",TRUE,E3:E11)</f>
        <v>1101274_1101275_1101276_1101256_1101261_1101263_1101266_1101269_1101257</v>
      </c>
      <c r="M2" t="str">
        <f>_xlfn.TEXTJOIN("_",TRUE,M3:M12)</f>
        <v>1102275_1102276_1102272_1102252_1102254_1102258_1102260_1102262_1102266_1102256</v>
      </c>
      <c r="U2" t="str">
        <f>_xlfn.TEXTJOIN("_",TRUE,U3:U12)</f>
        <v>1103269_1103272_1103254_1103258_1103260_1103259_1103261_1103264_1103255</v>
      </c>
    </row>
    <row r="3" spans="1:22">
      <c r="A3">
        <v>1101251</v>
      </c>
      <c r="B3">
        <v>1101261</v>
      </c>
      <c r="C3">
        <v>1101271</v>
      </c>
      <c r="E3">
        <v>1101274</v>
      </c>
      <c r="F3">
        <v>1101268</v>
      </c>
      <c r="J3">
        <v>1102251</v>
      </c>
      <c r="K3">
        <v>1102264</v>
      </c>
      <c r="M3">
        <v>1102275</v>
      </c>
      <c r="N3">
        <v>1102264</v>
      </c>
      <c r="R3">
        <v>1103251</v>
      </c>
      <c r="S3">
        <v>1103263</v>
      </c>
      <c r="U3">
        <v>1103269</v>
      </c>
      <c r="V3">
        <v>1103263</v>
      </c>
    </row>
    <row r="4" spans="1:22">
      <c r="A4">
        <v>1101252</v>
      </c>
      <c r="B4">
        <v>1101262</v>
      </c>
      <c r="C4">
        <v>1101272</v>
      </c>
      <c r="E4">
        <v>1101275</v>
      </c>
      <c r="F4">
        <v>1101267</v>
      </c>
      <c r="J4">
        <v>1102252</v>
      </c>
      <c r="K4">
        <v>1102265</v>
      </c>
      <c r="M4">
        <v>1102276</v>
      </c>
      <c r="N4">
        <v>1102263</v>
      </c>
      <c r="R4">
        <v>1103252</v>
      </c>
      <c r="S4">
        <v>1103264</v>
      </c>
      <c r="U4">
        <v>1103272</v>
      </c>
      <c r="V4">
        <v>1103256</v>
      </c>
    </row>
    <row r="5" spans="1:22">
      <c r="A5">
        <v>1101253</v>
      </c>
      <c r="B5">
        <v>1101263</v>
      </c>
      <c r="C5">
        <v>1101273</v>
      </c>
      <c r="E5">
        <v>1101276</v>
      </c>
      <c r="F5">
        <v>1101259</v>
      </c>
      <c r="J5">
        <v>1102253</v>
      </c>
      <c r="K5">
        <v>1102266</v>
      </c>
      <c r="M5">
        <v>1102272</v>
      </c>
      <c r="N5">
        <v>1102257</v>
      </c>
      <c r="R5">
        <v>1103253</v>
      </c>
      <c r="S5">
        <v>1103265</v>
      </c>
      <c r="U5">
        <v>1103254</v>
      </c>
      <c r="V5">
        <v>1103257</v>
      </c>
    </row>
    <row r="6" spans="1:22">
      <c r="A6">
        <v>1101254</v>
      </c>
      <c r="B6">
        <v>1101264</v>
      </c>
      <c r="C6">
        <v>1101274</v>
      </c>
      <c r="E6">
        <v>1101256</v>
      </c>
      <c r="F6">
        <v>1101258</v>
      </c>
      <c r="J6">
        <v>1102254</v>
      </c>
      <c r="K6">
        <v>1102267</v>
      </c>
      <c r="M6">
        <v>1102252</v>
      </c>
      <c r="N6">
        <v>1102255</v>
      </c>
      <c r="R6">
        <v>1103254</v>
      </c>
      <c r="S6">
        <v>1103266</v>
      </c>
      <c r="U6">
        <v>1103258</v>
      </c>
      <c r="V6">
        <v>1103262</v>
      </c>
    </row>
    <row r="7" spans="1:22">
      <c r="A7">
        <v>1101255</v>
      </c>
      <c r="B7">
        <v>1101265</v>
      </c>
      <c r="C7">
        <v>1101275</v>
      </c>
      <c r="E7">
        <v>1101261</v>
      </c>
      <c r="F7">
        <v>1101262</v>
      </c>
      <c r="J7">
        <v>1102255</v>
      </c>
      <c r="K7">
        <v>1102268</v>
      </c>
      <c r="M7">
        <v>1102254</v>
      </c>
      <c r="N7">
        <v>1102259</v>
      </c>
      <c r="R7">
        <v>1103255</v>
      </c>
      <c r="S7">
        <v>1103267</v>
      </c>
      <c r="U7">
        <v>1103260</v>
      </c>
      <c r="V7">
        <v>1103251</v>
      </c>
    </row>
    <row r="8" spans="1:22">
      <c r="A8">
        <v>1101256</v>
      </c>
      <c r="B8">
        <v>1101266</v>
      </c>
      <c r="C8">
        <v>1101276</v>
      </c>
      <c r="E8">
        <v>1101263</v>
      </c>
      <c r="F8">
        <v>1101265</v>
      </c>
      <c r="J8">
        <v>1102256</v>
      </c>
      <c r="K8">
        <v>1102269</v>
      </c>
      <c r="M8">
        <v>1102258</v>
      </c>
      <c r="N8">
        <v>1102261</v>
      </c>
      <c r="R8">
        <v>1103256</v>
      </c>
      <c r="S8">
        <v>1103268</v>
      </c>
      <c r="U8">
        <v>1103259</v>
      </c>
      <c r="V8">
        <v>1103252</v>
      </c>
    </row>
    <row r="9" spans="1:22">
      <c r="A9">
        <v>1101257</v>
      </c>
      <c r="B9">
        <v>1101267</v>
      </c>
      <c r="E9">
        <v>1101266</v>
      </c>
      <c r="F9">
        <v>1101254</v>
      </c>
      <c r="J9">
        <v>1102257</v>
      </c>
      <c r="K9">
        <v>1102270</v>
      </c>
      <c r="M9">
        <v>1102260</v>
      </c>
      <c r="N9">
        <v>1102251</v>
      </c>
      <c r="R9">
        <v>1103257</v>
      </c>
      <c r="S9">
        <v>1103269</v>
      </c>
      <c r="U9">
        <v>1103261</v>
      </c>
      <c r="V9">
        <v>1103253</v>
      </c>
    </row>
    <row r="10" spans="1:22">
      <c r="A10">
        <v>1101258</v>
      </c>
      <c r="B10">
        <v>1101268</v>
      </c>
      <c r="E10">
        <v>1101269</v>
      </c>
      <c r="F10">
        <v>1101253</v>
      </c>
      <c r="J10">
        <v>1102258</v>
      </c>
      <c r="K10">
        <v>1102271</v>
      </c>
      <c r="M10">
        <v>1102262</v>
      </c>
      <c r="N10">
        <v>1102253</v>
      </c>
      <c r="R10">
        <v>1103258</v>
      </c>
      <c r="S10">
        <v>1103270</v>
      </c>
      <c r="U10">
        <v>1103264</v>
      </c>
      <c r="V10">
        <v>1103273</v>
      </c>
    </row>
    <row r="11" spans="1:22">
      <c r="A11">
        <v>1101259</v>
      </c>
      <c r="B11">
        <v>1101269</v>
      </c>
      <c r="E11">
        <v>1101257</v>
      </c>
      <c r="F11">
        <v>1101251</v>
      </c>
      <c r="J11">
        <v>1102259</v>
      </c>
      <c r="K11">
        <v>1102272</v>
      </c>
      <c r="M11">
        <v>1102266</v>
      </c>
      <c r="N11">
        <v>1102269</v>
      </c>
      <c r="R11">
        <v>1103259</v>
      </c>
      <c r="S11">
        <v>1103271</v>
      </c>
      <c r="U11">
        <v>1103255</v>
      </c>
      <c r="V11">
        <v>1103274</v>
      </c>
    </row>
    <row r="12" spans="1:22">
      <c r="A12">
        <v>1101260</v>
      </c>
      <c r="B12">
        <v>1101270</v>
      </c>
      <c r="F12">
        <v>1101252</v>
      </c>
      <c r="J12">
        <v>1102260</v>
      </c>
      <c r="K12">
        <v>1102273</v>
      </c>
      <c r="M12">
        <v>1102256</v>
      </c>
      <c r="N12">
        <v>1102268</v>
      </c>
      <c r="R12">
        <v>1103260</v>
      </c>
      <c r="S12">
        <v>1103272</v>
      </c>
      <c r="V12">
        <v>1103275</v>
      </c>
    </row>
    <row r="13" spans="1:22">
      <c r="F13">
        <v>1101255</v>
      </c>
      <c r="J13">
        <v>1102261</v>
      </c>
      <c r="K13">
        <v>1102274</v>
      </c>
      <c r="N13">
        <v>1102267</v>
      </c>
      <c r="R13">
        <v>1103261</v>
      </c>
      <c r="S13">
        <v>1103273</v>
      </c>
      <c r="V13">
        <v>1103268</v>
      </c>
    </row>
    <row r="14" spans="1:22">
      <c r="F14">
        <v>1101260</v>
      </c>
      <c r="J14">
        <v>1102262</v>
      </c>
      <c r="K14">
        <v>1102275</v>
      </c>
      <c r="N14">
        <v>1102274</v>
      </c>
      <c r="R14">
        <v>1103262</v>
      </c>
      <c r="S14">
        <v>1103274</v>
      </c>
      <c r="V14">
        <v>1103270</v>
      </c>
    </row>
    <row r="15" spans="1:22">
      <c r="F15">
        <v>1101264</v>
      </c>
      <c r="J15">
        <v>1102263</v>
      </c>
      <c r="K15">
        <v>1102276</v>
      </c>
      <c r="N15">
        <v>1102265</v>
      </c>
      <c r="S15">
        <v>1103275</v>
      </c>
      <c r="V15">
        <v>1103265</v>
      </c>
    </row>
    <row r="16" spans="1:22">
      <c r="F16">
        <v>1101270</v>
      </c>
      <c r="N16">
        <v>1102273</v>
      </c>
      <c r="V16">
        <v>1103266</v>
      </c>
    </row>
    <row r="17" spans="1:22">
      <c r="F17">
        <v>1101271</v>
      </c>
      <c r="N17">
        <v>1102270</v>
      </c>
      <c r="V17">
        <v>1103267</v>
      </c>
    </row>
    <row r="18" spans="1:22">
      <c r="F18">
        <v>1101272</v>
      </c>
      <c r="N18">
        <v>1102271</v>
      </c>
      <c r="V18">
        <v>1103271</v>
      </c>
    </row>
    <row r="19" spans="1:22">
      <c r="F19">
        <v>1101273</v>
      </c>
    </row>
    <row r="24" spans="1:22">
      <c r="E24" t="str">
        <f>_xlfn.TEXTJOIN("_",TRUE,E25:E33)</f>
        <v>1104266_1104269_1104254_1104257_1104258_1104260_1104255</v>
      </c>
      <c r="M24" t="str">
        <f>_xlfn.TEXTJOIN("_",TRUE,M25:M33)</f>
        <v>1105268_1105271_1105254_1105255_1105258_1105259_1105260_1105261</v>
      </c>
      <c r="U24" t="str">
        <f>_xlfn.TEXTJOIN("_",TRUE,U25:U33)</f>
        <v>1106266_1106268_1106257_1106258_1106259_1106260_1106262_1106264</v>
      </c>
    </row>
    <row r="25" spans="1:22">
      <c r="A25">
        <v>1104251</v>
      </c>
      <c r="B25">
        <v>1104261</v>
      </c>
      <c r="E25">
        <v>1104266</v>
      </c>
      <c r="F25">
        <v>1104256</v>
      </c>
      <c r="J25">
        <v>1105251</v>
      </c>
      <c r="K25">
        <v>1105263</v>
      </c>
      <c r="M25">
        <v>1105268</v>
      </c>
      <c r="N25">
        <v>1105263</v>
      </c>
      <c r="R25">
        <v>1106251</v>
      </c>
      <c r="S25">
        <v>1106262</v>
      </c>
      <c r="U25">
        <v>1106266</v>
      </c>
      <c r="V25">
        <v>1106263</v>
      </c>
    </row>
    <row r="26" spans="1:22">
      <c r="A26">
        <v>1104252</v>
      </c>
      <c r="B26">
        <v>1104262</v>
      </c>
      <c r="E26">
        <v>1104269</v>
      </c>
      <c r="F26">
        <v>1104259</v>
      </c>
      <c r="J26">
        <v>1105252</v>
      </c>
      <c r="K26">
        <v>1105264</v>
      </c>
      <c r="M26">
        <v>1105271</v>
      </c>
      <c r="N26">
        <v>1105256</v>
      </c>
      <c r="R26">
        <v>1106252</v>
      </c>
      <c r="S26">
        <v>1106263</v>
      </c>
      <c r="U26">
        <v>1106268</v>
      </c>
      <c r="V26">
        <v>1106261</v>
      </c>
    </row>
    <row r="27" spans="1:22">
      <c r="A27">
        <v>1104253</v>
      </c>
      <c r="B27">
        <v>1104263</v>
      </c>
      <c r="E27">
        <v>1104254</v>
      </c>
      <c r="F27">
        <v>1104261</v>
      </c>
      <c r="J27">
        <v>1105253</v>
      </c>
      <c r="K27">
        <v>1105265</v>
      </c>
      <c r="M27">
        <v>1105254</v>
      </c>
      <c r="N27">
        <v>1105257</v>
      </c>
      <c r="R27">
        <v>1106253</v>
      </c>
      <c r="S27">
        <v>1106264</v>
      </c>
      <c r="U27">
        <v>1106257</v>
      </c>
      <c r="V27">
        <v>1106254</v>
      </c>
    </row>
    <row r="28" spans="1:22">
      <c r="A28">
        <v>1104254</v>
      </c>
      <c r="B28">
        <v>1104264</v>
      </c>
      <c r="E28">
        <v>1104257</v>
      </c>
      <c r="F28">
        <v>1104251</v>
      </c>
      <c r="J28">
        <v>1105254</v>
      </c>
      <c r="K28">
        <v>1105266</v>
      </c>
      <c r="M28">
        <v>1105255</v>
      </c>
      <c r="N28">
        <v>1105262</v>
      </c>
      <c r="R28">
        <v>1106254</v>
      </c>
      <c r="S28">
        <v>1106265</v>
      </c>
      <c r="U28">
        <v>1106258</v>
      </c>
      <c r="V28">
        <v>1106253</v>
      </c>
    </row>
    <row r="29" spans="1:22">
      <c r="A29">
        <v>1104255</v>
      </c>
      <c r="B29">
        <v>1104265</v>
      </c>
      <c r="E29">
        <v>1104258</v>
      </c>
      <c r="F29">
        <v>1104252</v>
      </c>
      <c r="J29">
        <v>1105255</v>
      </c>
      <c r="K29">
        <v>1105267</v>
      </c>
      <c r="M29">
        <v>1105258</v>
      </c>
      <c r="N29">
        <v>1105251</v>
      </c>
      <c r="R29">
        <v>1106255</v>
      </c>
      <c r="S29">
        <v>1106266</v>
      </c>
      <c r="U29">
        <v>1106259</v>
      </c>
      <c r="V29">
        <v>1106251</v>
      </c>
    </row>
    <row r="30" spans="1:22">
      <c r="A30">
        <v>1104256</v>
      </c>
      <c r="B30">
        <v>1104266</v>
      </c>
      <c r="E30">
        <v>1104260</v>
      </c>
      <c r="F30">
        <v>1104253</v>
      </c>
      <c r="J30">
        <v>1105256</v>
      </c>
      <c r="K30">
        <v>1105268</v>
      </c>
      <c r="M30">
        <v>1105259</v>
      </c>
      <c r="N30">
        <v>1105252</v>
      </c>
      <c r="R30">
        <v>1106256</v>
      </c>
      <c r="S30">
        <v>1106267</v>
      </c>
      <c r="U30">
        <v>1106260</v>
      </c>
      <c r="V30">
        <v>1106252</v>
      </c>
    </row>
    <row r="31" spans="1:22">
      <c r="A31">
        <v>1104257</v>
      </c>
      <c r="B31">
        <v>1104267</v>
      </c>
      <c r="E31">
        <v>1104255</v>
      </c>
      <c r="F31">
        <v>1104270</v>
      </c>
      <c r="J31">
        <v>1105257</v>
      </c>
      <c r="K31">
        <v>1105269</v>
      </c>
      <c r="M31">
        <v>1105260</v>
      </c>
      <c r="N31">
        <v>1105253</v>
      </c>
      <c r="R31">
        <v>1106257</v>
      </c>
      <c r="S31">
        <v>1106268</v>
      </c>
      <c r="U31">
        <v>1106262</v>
      </c>
    </row>
    <row r="32" spans="1:22">
      <c r="A32">
        <v>1104258</v>
      </c>
      <c r="B32">
        <v>1104268</v>
      </c>
      <c r="F32">
        <v>1104271</v>
      </c>
      <c r="J32">
        <v>1105258</v>
      </c>
      <c r="K32">
        <v>1105270</v>
      </c>
      <c r="M32">
        <v>1105261</v>
      </c>
      <c r="N32">
        <v>1105272</v>
      </c>
      <c r="R32">
        <v>1106258</v>
      </c>
      <c r="S32">
        <v>1106269</v>
      </c>
      <c r="U32">
        <v>1106264</v>
      </c>
      <c r="V32">
        <v>1106256</v>
      </c>
    </row>
    <row r="33" spans="1:22">
      <c r="A33">
        <v>1104259</v>
      </c>
      <c r="B33">
        <v>1104269</v>
      </c>
      <c r="F33">
        <v>1104272</v>
      </c>
      <c r="J33">
        <v>1105259</v>
      </c>
      <c r="K33">
        <v>1105271</v>
      </c>
      <c r="N33">
        <v>1105273</v>
      </c>
      <c r="R33">
        <v>1106259</v>
      </c>
      <c r="S33">
        <v>1106270</v>
      </c>
      <c r="V33">
        <v>1106265</v>
      </c>
    </row>
    <row r="34" spans="1:22">
      <c r="A34">
        <v>1104260</v>
      </c>
      <c r="B34">
        <v>1104270</v>
      </c>
      <c r="F34">
        <v>1104265</v>
      </c>
      <c r="J34">
        <v>1105260</v>
      </c>
      <c r="K34">
        <v>1105272</v>
      </c>
      <c r="N34">
        <v>1105274</v>
      </c>
      <c r="R34">
        <v>1106260</v>
      </c>
      <c r="S34">
        <v>1106271</v>
      </c>
      <c r="V34">
        <v>1106267</v>
      </c>
    </row>
    <row r="35" spans="1:22">
      <c r="B35">
        <v>1104271</v>
      </c>
      <c r="F35">
        <v>1104267</v>
      </c>
      <c r="J35">
        <v>1105261</v>
      </c>
      <c r="K35">
        <v>1105273</v>
      </c>
      <c r="N35">
        <v>1105267</v>
      </c>
      <c r="R35">
        <v>1106261</v>
      </c>
      <c r="V35">
        <v>1106269</v>
      </c>
    </row>
    <row r="36" spans="1:22">
      <c r="B36">
        <v>1104272</v>
      </c>
      <c r="F36">
        <v>1104262</v>
      </c>
      <c r="J36">
        <v>1105262</v>
      </c>
      <c r="K36">
        <v>1105274</v>
      </c>
      <c r="N36">
        <v>1105269</v>
      </c>
      <c r="V36">
        <v>1106270</v>
      </c>
    </row>
    <row r="37" spans="1:22">
      <c r="F37">
        <v>1104263</v>
      </c>
      <c r="N37">
        <v>1105264</v>
      </c>
      <c r="V37">
        <v>1106271</v>
      </c>
    </row>
    <row r="38" spans="1:22">
      <c r="F38">
        <v>1104264</v>
      </c>
      <c r="N38">
        <v>1105265</v>
      </c>
    </row>
    <row r="39" spans="1:22">
      <c r="F39">
        <v>1104268</v>
      </c>
      <c r="N39">
        <v>1105266</v>
      </c>
    </row>
    <row r="40" spans="1:22">
      <c r="N40">
        <v>1105270</v>
      </c>
    </row>
    <row r="45" spans="1:22">
      <c r="E45" t="str">
        <f>_xlfn.TEXTJOIN("_",TRUE,E46:E54)</f>
        <v>1107267_1107268_1107259_1107253_1107261</v>
      </c>
      <c r="M45" t="str">
        <f>_xlfn.TEXTJOIN("_",TRUE,M46:M54)</f>
        <v>1108268_1108269_1108261_1108262</v>
      </c>
      <c r="U45" t="str">
        <f>_xlfn.TEXTJOIN("_",TRUE,U46:U54)</f>
        <v>1109268_1109269_1109261_1109262</v>
      </c>
    </row>
    <row r="46" spans="1:22">
      <c r="A46">
        <v>1107251</v>
      </c>
      <c r="B46">
        <v>1107259</v>
      </c>
      <c r="E46">
        <v>1107267</v>
      </c>
      <c r="F46">
        <v>1107258</v>
      </c>
      <c r="J46">
        <v>1108251</v>
      </c>
      <c r="K46">
        <v>1108261</v>
      </c>
      <c r="M46">
        <v>1108268</v>
      </c>
      <c r="N46">
        <v>1108263</v>
      </c>
      <c r="R46">
        <v>1109251</v>
      </c>
      <c r="S46">
        <v>1109260</v>
      </c>
      <c r="U46">
        <v>1109268</v>
      </c>
      <c r="V46">
        <v>1109263</v>
      </c>
    </row>
    <row r="47" spans="1:22">
      <c r="A47">
        <v>1107252</v>
      </c>
      <c r="B47">
        <v>1107260</v>
      </c>
      <c r="E47">
        <v>1107268</v>
      </c>
      <c r="F47">
        <v>1107262</v>
      </c>
      <c r="J47">
        <v>1108252</v>
      </c>
      <c r="K47">
        <v>1108262</v>
      </c>
      <c r="M47">
        <v>1108269</v>
      </c>
      <c r="N47">
        <v>1108255</v>
      </c>
      <c r="R47">
        <v>1109252</v>
      </c>
      <c r="S47">
        <v>1109261</v>
      </c>
      <c r="U47">
        <v>1109269</v>
      </c>
      <c r="V47">
        <v>1109255</v>
      </c>
    </row>
    <row r="48" spans="1:22">
      <c r="A48">
        <v>1107253</v>
      </c>
      <c r="B48">
        <v>1107261</v>
      </c>
      <c r="E48">
        <v>1107259</v>
      </c>
      <c r="F48">
        <v>1107263</v>
      </c>
      <c r="J48">
        <v>1108253</v>
      </c>
      <c r="K48">
        <v>1108263</v>
      </c>
      <c r="M48">
        <v>1108261</v>
      </c>
      <c r="N48">
        <v>1108264</v>
      </c>
      <c r="R48">
        <v>1109253</v>
      </c>
      <c r="S48">
        <v>1109262</v>
      </c>
      <c r="U48">
        <v>1109261</v>
      </c>
      <c r="V48">
        <v>1109264</v>
      </c>
    </row>
    <row r="49" spans="1:22">
      <c r="A49">
        <v>1107254</v>
      </c>
      <c r="B49">
        <v>1107262</v>
      </c>
      <c r="E49">
        <v>1107253</v>
      </c>
      <c r="F49">
        <v>1107260</v>
      </c>
      <c r="J49">
        <v>1108254</v>
      </c>
      <c r="K49">
        <v>1108264</v>
      </c>
      <c r="M49">
        <v>1108262</v>
      </c>
      <c r="N49">
        <v>1108253</v>
      </c>
      <c r="R49">
        <v>1109254</v>
      </c>
      <c r="S49">
        <v>1109263</v>
      </c>
      <c r="U49">
        <v>1109262</v>
      </c>
      <c r="V49">
        <v>1109253</v>
      </c>
    </row>
    <row r="50" spans="1:22">
      <c r="A50">
        <v>1107255</v>
      </c>
      <c r="B50">
        <v>1107263</v>
      </c>
      <c r="E50">
        <v>1107261</v>
      </c>
      <c r="F50">
        <v>1107252</v>
      </c>
      <c r="J50">
        <v>1108255</v>
      </c>
      <c r="K50">
        <v>1108265</v>
      </c>
      <c r="N50">
        <v>1108254</v>
      </c>
      <c r="R50">
        <v>1109255</v>
      </c>
      <c r="S50">
        <v>1109264</v>
      </c>
      <c r="V50">
        <v>1109254</v>
      </c>
    </row>
    <row r="51" spans="1:22">
      <c r="A51">
        <v>1107256</v>
      </c>
      <c r="B51">
        <v>1107264</v>
      </c>
      <c r="F51">
        <v>1107255</v>
      </c>
      <c r="J51">
        <v>1108256</v>
      </c>
      <c r="K51">
        <v>1108266</v>
      </c>
      <c r="N51">
        <v>1108257</v>
      </c>
      <c r="R51">
        <v>1109256</v>
      </c>
      <c r="S51">
        <v>1109265</v>
      </c>
      <c r="V51">
        <v>1109257</v>
      </c>
    </row>
    <row r="52" spans="1:22">
      <c r="A52">
        <v>1107257</v>
      </c>
      <c r="B52">
        <v>1107265</v>
      </c>
      <c r="F52">
        <v>1107254</v>
      </c>
      <c r="J52">
        <v>1108257</v>
      </c>
      <c r="K52">
        <v>1108267</v>
      </c>
      <c r="N52">
        <v>1108256</v>
      </c>
      <c r="R52">
        <v>1109257</v>
      </c>
      <c r="S52">
        <v>1109266</v>
      </c>
      <c r="V52">
        <v>1109256</v>
      </c>
    </row>
    <row r="53" spans="1:22">
      <c r="A53">
        <v>1107258</v>
      </c>
      <c r="B53">
        <v>1107266</v>
      </c>
      <c r="F53">
        <v>1107256</v>
      </c>
      <c r="J53">
        <v>1108258</v>
      </c>
      <c r="K53">
        <v>1108268</v>
      </c>
      <c r="N53">
        <v>1108258</v>
      </c>
      <c r="R53">
        <v>1109258</v>
      </c>
      <c r="S53">
        <v>1109267</v>
      </c>
      <c r="V53">
        <v>1109258</v>
      </c>
    </row>
    <row r="54" spans="1:22">
      <c r="B54">
        <v>1107267</v>
      </c>
      <c r="F54">
        <v>1107257</v>
      </c>
      <c r="J54">
        <v>1108259</v>
      </c>
      <c r="K54">
        <v>1108269</v>
      </c>
      <c r="N54">
        <v>1108259</v>
      </c>
      <c r="R54">
        <v>1109259</v>
      </c>
      <c r="S54">
        <v>1109268</v>
      </c>
      <c r="V54">
        <v>1109259</v>
      </c>
    </row>
    <row r="55" spans="1:22">
      <c r="B55">
        <v>1107268</v>
      </c>
      <c r="F55">
        <v>1107251</v>
      </c>
      <c r="J55">
        <v>1108260</v>
      </c>
      <c r="N55">
        <v>1108260</v>
      </c>
      <c r="S55">
        <v>1109269</v>
      </c>
      <c r="V55">
        <v>1109260</v>
      </c>
    </row>
    <row r="56" spans="1:22">
      <c r="F56">
        <v>1107264</v>
      </c>
      <c r="N56">
        <v>1108252</v>
      </c>
      <c r="V56">
        <v>1109252</v>
      </c>
    </row>
    <row r="57" spans="1:22">
      <c r="F57">
        <v>1107265</v>
      </c>
      <c r="N57">
        <v>1108251</v>
      </c>
      <c r="V57">
        <v>1109251</v>
      </c>
    </row>
    <row r="58" spans="1:22">
      <c r="F58">
        <v>1107266</v>
      </c>
      <c r="N58">
        <v>1108265</v>
      </c>
      <c r="V58">
        <v>1109265</v>
      </c>
    </row>
    <row r="59" spans="1:22">
      <c r="N59">
        <v>1108266</v>
      </c>
      <c r="V59">
        <v>1109266</v>
      </c>
    </row>
    <row r="60" spans="1:22">
      <c r="N60">
        <v>1108267</v>
      </c>
      <c r="V60">
        <v>1109267</v>
      </c>
    </row>
    <row r="64" spans="1:22">
      <c r="E64" t="str">
        <f>_xlfn.TEXTJOIN("_",TRUE,E65:E73)</f>
        <v>1110268_1110269_1110259_1110253_1110261</v>
      </c>
      <c r="M64" t="str">
        <f>_xlfn.TEXTJOIN("_",TRUE,M65:M73)</f>
        <v>1111251_1111271_1111267_1111265_1111264_1111263_1111256_1111260</v>
      </c>
      <c r="U64" t="str">
        <f>_xlfn.TEXTJOIN("_",TRUE,U65:U73)</f>
        <v>1112268_1112269_1112261_1112260_1112257</v>
      </c>
    </row>
    <row r="65" spans="1:22">
      <c r="A65">
        <v>1110251</v>
      </c>
      <c r="B65">
        <v>1110260</v>
      </c>
      <c r="E65">
        <v>1110268</v>
      </c>
      <c r="F65">
        <v>1110255</v>
      </c>
      <c r="J65">
        <v>1111251</v>
      </c>
      <c r="K65">
        <v>1111262</v>
      </c>
      <c r="M65">
        <v>1111251</v>
      </c>
      <c r="N65">
        <v>1111261</v>
      </c>
      <c r="R65">
        <v>1112251</v>
      </c>
      <c r="S65">
        <v>1112260</v>
      </c>
      <c r="U65">
        <v>1112268</v>
      </c>
      <c r="V65">
        <v>1112264</v>
      </c>
    </row>
    <row r="66" spans="1:22">
      <c r="A66">
        <v>1110252</v>
      </c>
      <c r="B66">
        <v>1110261</v>
      </c>
      <c r="E66">
        <v>1110269</v>
      </c>
      <c r="F66">
        <v>1110263</v>
      </c>
      <c r="J66">
        <v>1111252</v>
      </c>
      <c r="K66">
        <v>1111263</v>
      </c>
      <c r="M66">
        <v>1111271</v>
      </c>
      <c r="N66">
        <v>1111255</v>
      </c>
      <c r="R66">
        <v>1112252</v>
      </c>
      <c r="S66">
        <v>1112261</v>
      </c>
      <c r="U66">
        <v>1112269</v>
      </c>
      <c r="V66">
        <v>1112255</v>
      </c>
    </row>
    <row r="67" spans="1:22">
      <c r="A67">
        <v>1110253</v>
      </c>
      <c r="B67">
        <v>1110262</v>
      </c>
      <c r="E67">
        <v>1110259</v>
      </c>
      <c r="F67">
        <v>1110257</v>
      </c>
      <c r="J67">
        <v>1111253</v>
      </c>
      <c r="K67">
        <v>1111264</v>
      </c>
      <c r="M67">
        <v>1111267</v>
      </c>
      <c r="N67">
        <v>1111257</v>
      </c>
      <c r="R67">
        <v>1112253</v>
      </c>
      <c r="S67">
        <v>1112262</v>
      </c>
      <c r="U67">
        <v>1112261</v>
      </c>
      <c r="V67">
        <v>1112254</v>
      </c>
    </row>
    <row r="68" spans="1:22">
      <c r="A68">
        <v>1110254</v>
      </c>
      <c r="B68">
        <v>1110263</v>
      </c>
      <c r="E68">
        <v>1110253</v>
      </c>
      <c r="F68">
        <v>1110252</v>
      </c>
      <c r="J68">
        <v>1111254</v>
      </c>
      <c r="K68">
        <v>1111265</v>
      </c>
      <c r="M68">
        <v>1111265</v>
      </c>
      <c r="N68">
        <v>1111266</v>
      </c>
      <c r="R68">
        <v>1112254</v>
      </c>
      <c r="S68">
        <v>1112263</v>
      </c>
      <c r="U68">
        <v>1112260</v>
      </c>
      <c r="V68">
        <v>1112263</v>
      </c>
    </row>
    <row r="69" spans="1:22">
      <c r="A69">
        <v>1110255</v>
      </c>
      <c r="B69">
        <v>1110264</v>
      </c>
      <c r="E69">
        <v>1110261</v>
      </c>
      <c r="F69">
        <v>1110262</v>
      </c>
      <c r="J69">
        <v>1111255</v>
      </c>
      <c r="K69">
        <v>1111266</v>
      </c>
      <c r="M69">
        <v>1111264</v>
      </c>
      <c r="N69">
        <v>1111254</v>
      </c>
      <c r="R69">
        <v>1112255</v>
      </c>
      <c r="S69">
        <v>1112264</v>
      </c>
      <c r="U69">
        <v>1112257</v>
      </c>
      <c r="V69">
        <v>1112262</v>
      </c>
    </row>
    <row r="70" spans="1:22">
      <c r="A70">
        <v>1110256</v>
      </c>
      <c r="B70">
        <v>1110265</v>
      </c>
      <c r="F70">
        <v>1110260</v>
      </c>
      <c r="J70">
        <v>1111256</v>
      </c>
      <c r="K70">
        <v>1111267</v>
      </c>
      <c r="M70">
        <v>1111263</v>
      </c>
      <c r="N70">
        <v>1111268</v>
      </c>
      <c r="R70">
        <v>1112256</v>
      </c>
      <c r="S70">
        <v>1112265</v>
      </c>
      <c r="V70">
        <v>1112256</v>
      </c>
    </row>
    <row r="71" spans="1:22">
      <c r="A71">
        <v>1110257</v>
      </c>
      <c r="B71">
        <v>1110266</v>
      </c>
      <c r="F71">
        <v>1110254</v>
      </c>
      <c r="J71">
        <v>1111257</v>
      </c>
      <c r="K71">
        <v>1111268</v>
      </c>
      <c r="M71">
        <v>1111256</v>
      </c>
      <c r="N71">
        <v>1111262</v>
      </c>
      <c r="R71">
        <v>1112257</v>
      </c>
      <c r="S71">
        <v>1112266</v>
      </c>
      <c r="V71">
        <v>1112258</v>
      </c>
    </row>
    <row r="72" spans="1:22">
      <c r="A72">
        <v>1110258</v>
      </c>
      <c r="B72">
        <v>1110267</v>
      </c>
      <c r="F72">
        <v>1110256</v>
      </c>
      <c r="J72">
        <v>1111258</v>
      </c>
      <c r="K72">
        <v>1111269</v>
      </c>
      <c r="M72">
        <v>1111260</v>
      </c>
      <c r="N72">
        <v>1111259</v>
      </c>
      <c r="R72">
        <v>1112258</v>
      </c>
      <c r="S72">
        <v>1112267</v>
      </c>
      <c r="V72">
        <v>1112259</v>
      </c>
    </row>
    <row r="73" spans="1:22">
      <c r="A73">
        <v>1110259</v>
      </c>
      <c r="B73">
        <v>1110268</v>
      </c>
      <c r="F73">
        <v>1110258</v>
      </c>
      <c r="J73">
        <v>1111259</v>
      </c>
      <c r="K73">
        <v>1111270</v>
      </c>
      <c r="N73">
        <v>1111258</v>
      </c>
      <c r="R73">
        <v>1112259</v>
      </c>
      <c r="S73">
        <v>1112268</v>
      </c>
      <c r="V73">
        <v>1112253</v>
      </c>
    </row>
    <row r="74" spans="1:22">
      <c r="B74">
        <v>1110269</v>
      </c>
      <c r="F74">
        <v>1110270</v>
      </c>
      <c r="J74">
        <v>1111260</v>
      </c>
      <c r="K74">
        <v>1111271</v>
      </c>
      <c r="N74">
        <v>1111270</v>
      </c>
      <c r="S74">
        <v>1112269</v>
      </c>
      <c r="V74">
        <v>1112252</v>
      </c>
    </row>
    <row r="75" spans="1:22">
      <c r="B75">
        <v>1110270</v>
      </c>
      <c r="F75">
        <v>1110251</v>
      </c>
      <c r="J75">
        <v>1111261</v>
      </c>
      <c r="N75">
        <v>1111269</v>
      </c>
      <c r="V75">
        <v>1112251</v>
      </c>
    </row>
    <row r="76" spans="1:22">
      <c r="F76">
        <v>1110264</v>
      </c>
      <c r="N76">
        <v>1111252</v>
      </c>
      <c r="V76">
        <v>1112265</v>
      </c>
    </row>
    <row r="77" spans="1:22">
      <c r="F77">
        <v>1110265</v>
      </c>
      <c r="N77">
        <v>1111253</v>
      </c>
      <c r="V77">
        <v>1112266</v>
      </c>
    </row>
    <row r="78" spans="1:22">
      <c r="F78">
        <v>1110266</v>
      </c>
      <c r="V78">
        <v>1112267</v>
      </c>
    </row>
    <row r="79" spans="1:22">
      <c r="F79">
        <v>1110267</v>
      </c>
    </row>
    <row r="85" spans="1:14">
      <c r="E85" t="str">
        <f t="shared" ref="E85:M85" si="0">_xlfn.TEXTJOIN("_",TRUE,E86:E99)</f>
        <v>1202293_1202307_1202299_1202291_1202282_1202274_1202270_1202261_1202258_1202251_1202253_1202267_1202268_1202265</v>
      </c>
      <c r="F85" t="str">
        <f t="shared" si="0"/>
        <v>1202306_1202298_1202292_1202281</v>
      </c>
      <c r="H85" t="str">
        <f t="shared" si="0"/>
        <v>1202300_1202259</v>
      </c>
      <c r="I85" t="str">
        <f t="shared" si="0"/>
        <v>1202286_1202284</v>
      </c>
      <c r="J85" t="str">
        <f t="shared" si="0"/>
        <v>1202302_1202303_1202304_1202305</v>
      </c>
      <c r="K85" t="str">
        <f t="shared" si="0"/>
        <v>1202294_1202295_1202296_1202297</v>
      </c>
      <c r="L85" t="str">
        <f t="shared" si="0"/>
        <v>1202287_1202288_1202289_1202290</v>
      </c>
      <c r="M85" t="str">
        <f t="shared" si="0"/>
        <v>1202277_1202278_1202279_1202280</v>
      </c>
    </row>
    <row r="86" spans="1:14">
      <c r="A86">
        <v>1202251</v>
      </c>
      <c r="B86">
        <v>1202269</v>
      </c>
      <c r="C86">
        <v>1202289</v>
      </c>
      <c r="E86">
        <v>1202293</v>
      </c>
      <c r="F86">
        <v>1202306</v>
      </c>
      <c r="G86">
        <v>1202255</v>
      </c>
      <c r="H86">
        <v>1202300</v>
      </c>
      <c r="I86">
        <v>1202286</v>
      </c>
      <c r="J86">
        <v>1202302</v>
      </c>
      <c r="K86">
        <v>1202294</v>
      </c>
      <c r="L86">
        <v>1202287</v>
      </c>
      <c r="M86">
        <v>1202277</v>
      </c>
      <c r="N86">
        <v>1202254</v>
      </c>
    </row>
    <row r="87" spans="1:14">
      <c r="A87">
        <v>1202252</v>
      </c>
      <c r="B87">
        <v>1202270</v>
      </c>
      <c r="C87">
        <v>1202290</v>
      </c>
      <c r="E87">
        <v>1202307</v>
      </c>
      <c r="F87">
        <v>1202298</v>
      </c>
      <c r="G87">
        <v>1202271</v>
      </c>
      <c r="H87">
        <v>1202259</v>
      </c>
      <c r="I87">
        <v>1202284</v>
      </c>
      <c r="J87">
        <v>1202303</v>
      </c>
      <c r="K87">
        <v>1202295</v>
      </c>
      <c r="L87">
        <v>1202288</v>
      </c>
      <c r="M87">
        <v>1202278</v>
      </c>
      <c r="N87">
        <v>1202262</v>
      </c>
    </row>
    <row r="88" spans="1:14">
      <c r="A88">
        <v>1202253</v>
      </c>
      <c r="B88">
        <v>1202271</v>
      </c>
      <c r="C88">
        <v>1202291</v>
      </c>
      <c r="E88">
        <v>1202299</v>
      </c>
      <c r="F88">
        <v>1202292</v>
      </c>
      <c r="G88">
        <v>1202252</v>
      </c>
      <c r="J88">
        <v>1202304</v>
      </c>
      <c r="K88">
        <v>1202296</v>
      </c>
      <c r="L88">
        <v>1202289</v>
      </c>
      <c r="M88">
        <v>1202279</v>
      </c>
      <c r="N88">
        <v>1202269</v>
      </c>
    </row>
    <row r="89" spans="1:14">
      <c r="A89">
        <v>1202254</v>
      </c>
      <c r="B89">
        <v>1202272</v>
      </c>
      <c r="C89">
        <v>1202292</v>
      </c>
      <c r="E89">
        <v>1202291</v>
      </c>
      <c r="F89">
        <v>1202281</v>
      </c>
      <c r="G89">
        <v>1202260</v>
      </c>
      <c r="J89">
        <v>1202305</v>
      </c>
      <c r="K89">
        <v>1202297</v>
      </c>
      <c r="L89">
        <v>1202290</v>
      </c>
      <c r="M89">
        <v>1202280</v>
      </c>
      <c r="N89">
        <v>1202276</v>
      </c>
    </row>
    <row r="90" spans="1:14">
      <c r="A90">
        <v>1202255</v>
      </c>
      <c r="B90">
        <v>1202273</v>
      </c>
      <c r="C90">
        <v>1202293</v>
      </c>
      <c r="E90">
        <v>1202282</v>
      </c>
      <c r="G90">
        <v>1202275</v>
      </c>
      <c r="N90">
        <v>1202283</v>
      </c>
    </row>
    <row r="91" spans="1:14">
      <c r="A91">
        <v>1202256</v>
      </c>
      <c r="B91">
        <v>1202274</v>
      </c>
      <c r="C91">
        <v>1202294</v>
      </c>
      <c r="E91">
        <v>1202274</v>
      </c>
      <c r="N91">
        <v>1202285</v>
      </c>
    </row>
    <row r="92" spans="1:14">
      <c r="A92">
        <v>1202257</v>
      </c>
      <c r="B92">
        <v>1202275</v>
      </c>
      <c r="C92">
        <v>1202295</v>
      </c>
      <c r="E92">
        <v>1202270</v>
      </c>
      <c r="N92">
        <v>1202301</v>
      </c>
    </row>
    <row r="93" spans="1:14">
      <c r="A93">
        <v>1202258</v>
      </c>
      <c r="B93">
        <v>1202276</v>
      </c>
      <c r="C93">
        <v>1202296</v>
      </c>
      <c r="E93">
        <v>1202261</v>
      </c>
      <c r="N93">
        <v>1202263</v>
      </c>
    </row>
    <row r="94" spans="1:14">
      <c r="A94">
        <v>1202259</v>
      </c>
      <c r="B94">
        <v>1202277</v>
      </c>
      <c r="C94">
        <v>1202297</v>
      </c>
      <c r="E94">
        <v>1202258</v>
      </c>
      <c r="N94">
        <v>1202264</v>
      </c>
    </row>
    <row r="95" spans="1:14">
      <c r="A95">
        <v>1202260</v>
      </c>
      <c r="B95">
        <v>1202278</v>
      </c>
      <c r="C95">
        <v>1202298</v>
      </c>
      <c r="E95">
        <v>1202251</v>
      </c>
      <c r="N95">
        <v>1202266</v>
      </c>
    </row>
    <row r="96" spans="1:14">
      <c r="A96">
        <v>1202261</v>
      </c>
      <c r="B96">
        <v>1202279</v>
      </c>
      <c r="C96">
        <v>1202299</v>
      </c>
      <c r="E96">
        <v>1202253</v>
      </c>
    </row>
    <row r="97" spans="1:17">
      <c r="A97">
        <v>1202262</v>
      </c>
      <c r="B97">
        <v>1202280</v>
      </c>
      <c r="C97">
        <v>1202300</v>
      </c>
      <c r="E97">
        <v>1202267</v>
      </c>
    </row>
    <row r="98" spans="1:17">
      <c r="A98">
        <v>1202263</v>
      </c>
      <c r="B98">
        <v>1202281</v>
      </c>
      <c r="C98">
        <v>1202301</v>
      </c>
      <c r="E98">
        <v>1202268</v>
      </c>
    </row>
    <row r="99" spans="1:17">
      <c r="A99">
        <v>1202264</v>
      </c>
      <c r="B99">
        <v>1202282</v>
      </c>
      <c r="C99">
        <v>1202302</v>
      </c>
      <c r="E99">
        <v>1202265</v>
      </c>
    </row>
    <row r="100" spans="1:17">
      <c r="A100">
        <v>1202265</v>
      </c>
      <c r="B100">
        <v>1202283</v>
      </c>
      <c r="C100">
        <v>1202303</v>
      </c>
    </row>
    <row r="101" spans="1:17">
      <c r="A101">
        <v>1202266</v>
      </c>
      <c r="B101">
        <v>1202284</v>
      </c>
      <c r="C101">
        <v>1202304</v>
      </c>
    </row>
    <row r="102" spans="1:17">
      <c r="A102">
        <v>1202267</v>
      </c>
      <c r="B102">
        <v>1202285</v>
      </c>
      <c r="C102">
        <v>1202305</v>
      </c>
    </row>
    <row r="103" spans="1:17">
      <c r="A103">
        <v>1202268</v>
      </c>
      <c r="B103">
        <v>1202286</v>
      </c>
      <c r="C103">
        <v>1202306</v>
      </c>
    </row>
    <row r="104" spans="1:17">
      <c r="B104">
        <v>1202287</v>
      </c>
      <c r="C104">
        <v>1202307</v>
      </c>
    </row>
    <row r="105" spans="1:17">
      <c r="B105">
        <v>1202288</v>
      </c>
    </row>
    <row r="111" spans="1:17">
      <c r="C111" t="str">
        <f>_xlfn.TEXTJOIN("_",TRUE,C112:C125)</f>
        <v>1301260_1301258</v>
      </c>
      <c r="J111" t="str">
        <f>_xlfn.TEXTJOIN("_",TRUE,J112:J125)</f>
        <v>1303256_1303257_1303259_1303260</v>
      </c>
      <c r="P111" t="str">
        <f>_xlfn.TEXTJOIN("_",TRUE,P112:P125)</f>
        <v>1304251_1304252_1304253</v>
      </c>
    </row>
    <row r="112" spans="1:17">
      <c r="A112">
        <v>1301251</v>
      </c>
      <c r="C112">
        <v>1301260</v>
      </c>
      <c r="D112">
        <v>1301251</v>
      </c>
      <c r="H112">
        <v>1303251</v>
      </c>
      <c r="J112">
        <v>1303256</v>
      </c>
      <c r="K112">
        <v>1303253</v>
      </c>
      <c r="N112">
        <v>1304251</v>
      </c>
      <c r="P112">
        <v>1304251</v>
      </c>
      <c r="Q112">
        <v>1304254</v>
      </c>
    </row>
    <row r="113" spans="1:17">
      <c r="A113">
        <v>1301252</v>
      </c>
      <c r="C113">
        <v>1301258</v>
      </c>
      <c r="D113">
        <v>1301252</v>
      </c>
      <c r="H113">
        <v>1303252</v>
      </c>
      <c r="J113">
        <v>1303257</v>
      </c>
      <c r="K113">
        <v>1303254</v>
      </c>
      <c r="N113">
        <v>1304252</v>
      </c>
      <c r="P113">
        <v>1304252</v>
      </c>
      <c r="Q113">
        <v>1304255</v>
      </c>
    </row>
    <row r="114" spans="1:17">
      <c r="A114">
        <v>1301253</v>
      </c>
      <c r="D114">
        <v>1301253</v>
      </c>
      <c r="H114">
        <v>1303253</v>
      </c>
      <c r="J114">
        <v>1303259</v>
      </c>
      <c r="K114">
        <v>1303255</v>
      </c>
      <c r="N114">
        <v>1304253</v>
      </c>
      <c r="P114">
        <v>1304253</v>
      </c>
      <c r="Q114">
        <v>1304256</v>
      </c>
    </row>
    <row r="115" spans="1:17">
      <c r="A115">
        <v>1301254</v>
      </c>
      <c r="D115">
        <v>1301254</v>
      </c>
      <c r="H115">
        <v>1303254</v>
      </c>
      <c r="J115">
        <v>1303260</v>
      </c>
      <c r="K115">
        <v>1303251</v>
      </c>
      <c r="N115">
        <v>1304254</v>
      </c>
      <c r="Q115">
        <v>1304257</v>
      </c>
    </row>
    <row r="116" spans="1:17">
      <c r="A116">
        <v>1301255</v>
      </c>
      <c r="D116">
        <v>1301255</v>
      </c>
      <c r="H116">
        <v>1303255</v>
      </c>
      <c r="K116">
        <v>1303252</v>
      </c>
      <c r="N116">
        <v>1304255</v>
      </c>
      <c r="Q116">
        <v>1304258</v>
      </c>
    </row>
    <row r="117" spans="1:17">
      <c r="A117">
        <v>1301256</v>
      </c>
      <c r="D117">
        <v>1301256</v>
      </c>
      <c r="H117">
        <v>1303256</v>
      </c>
      <c r="K117">
        <v>1303258</v>
      </c>
      <c r="N117">
        <v>1304256</v>
      </c>
    </row>
    <row r="118" spans="1:17">
      <c r="A118">
        <v>1301257</v>
      </c>
      <c r="D118">
        <v>1301257</v>
      </c>
      <c r="H118">
        <v>1303257</v>
      </c>
      <c r="N118">
        <v>1304257</v>
      </c>
    </row>
    <row r="119" spans="1:17">
      <c r="A119">
        <v>1301258</v>
      </c>
      <c r="D119">
        <v>1301259</v>
      </c>
      <c r="H119">
        <v>1303258</v>
      </c>
      <c r="N119">
        <v>1304258</v>
      </c>
    </row>
    <row r="120" spans="1:17">
      <c r="A120">
        <v>1301259</v>
      </c>
      <c r="H120">
        <v>1303259</v>
      </c>
    </row>
    <row r="121" spans="1:17">
      <c r="A121">
        <v>1301260</v>
      </c>
      <c r="H121">
        <v>1303260</v>
      </c>
    </row>
  </sheetData>
  <conditionalFormatting sqref="M2">
    <cfRule type="duplicateValues" dxfId="0" priority="22"/>
  </conditionalFormatting>
  <conditionalFormatting sqref="U2">
    <cfRule type="duplicateValues" dxfId="0" priority="21"/>
  </conditionalFormatting>
  <conditionalFormatting sqref="N3">
    <cfRule type="duplicateValues" dxfId="0" priority="98"/>
  </conditionalFormatting>
  <conditionalFormatting sqref="O3">
    <cfRule type="duplicateValues" dxfId="0" priority="107"/>
  </conditionalFormatting>
  <conditionalFormatting sqref="N4">
    <cfRule type="duplicateValues" dxfId="0" priority="97"/>
  </conditionalFormatting>
  <conditionalFormatting sqref="O4">
    <cfRule type="duplicateValues" dxfId="0" priority="106"/>
  </conditionalFormatting>
  <conditionalFormatting sqref="N8">
    <cfRule type="duplicateValues" dxfId="0" priority="95"/>
  </conditionalFormatting>
  <conditionalFormatting sqref="O8">
    <cfRule type="duplicateValues" dxfId="0" priority="104"/>
  </conditionalFormatting>
  <conditionalFormatting sqref="N9">
    <cfRule type="duplicateValues" dxfId="0" priority="94"/>
  </conditionalFormatting>
  <conditionalFormatting sqref="O9">
    <cfRule type="duplicateValues" dxfId="0" priority="103"/>
  </conditionalFormatting>
  <conditionalFormatting sqref="V9">
    <cfRule type="duplicateValues" dxfId="0" priority="86"/>
  </conditionalFormatting>
  <conditionalFormatting sqref="N10">
    <cfRule type="duplicateValues" dxfId="0" priority="93"/>
  </conditionalFormatting>
  <conditionalFormatting sqref="O10">
    <cfRule type="duplicateValues" dxfId="0" priority="102"/>
  </conditionalFormatting>
  <conditionalFormatting sqref="V10">
    <cfRule type="duplicateValues" dxfId="0" priority="85"/>
  </conditionalFormatting>
  <conditionalFormatting sqref="U11">
    <cfRule type="duplicateValues" dxfId="0" priority="81"/>
  </conditionalFormatting>
  <conditionalFormatting sqref="F12">
    <cfRule type="duplicateValues" dxfId="0" priority="113"/>
  </conditionalFormatting>
  <conditionalFormatting sqref="I12">
    <cfRule type="duplicateValues" dxfId="0" priority="121"/>
  </conditionalFormatting>
  <conditionalFormatting sqref="F17">
    <cfRule type="duplicateValues" dxfId="0" priority="110"/>
  </conditionalFormatting>
  <conditionalFormatting sqref="I17">
    <cfRule type="duplicateValues" dxfId="0" priority="118"/>
  </conditionalFormatting>
  <conditionalFormatting sqref="V18">
    <cfRule type="duplicateValues" dxfId="0" priority="39"/>
  </conditionalFormatting>
  <conditionalFormatting sqref="V19">
    <cfRule type="duplicateValues" dxfId="0" priority="82"/>
  </conditionalFormatting>
  <conditionalFormatting sqref="F20">
    <cfRule type="duplicateValues" dxfId="0" priority="109"/>
  </conditionalFormatting>
  <conditionalFormatting sqref="E24">
    <cfRule type="duplicateValues" dxfId="0" priority="20"/>
  </conditionalFormatting>
  <conditionalFormatting sqref="M24">
    <cfRule type="duplicateValues" dxfId="0" priority="19"/>
  </conditionalFormatting>
  <conditionalFormatting sqref="U24">
    <cfRule type="duplicateValues" dxfId="0" priority="18"/>
  </conditionalFormatting>
  <conditionalFormatting sqref="F28">
    <cfRule type="duplicateValues" dxfId="0" priority="78"/>
  </conditionalFormatting>
  <conditionalFormatting sqref="N28">
    <cfRule type="duplicateValues" dxfId="0" priority="71"/>
  </conditionalFormatting>
  <conditionalFormatting sqref="G29">
    <cfRule type="duplicateValues" dxfId="0" priority="54"/>
  </conditionalFormatting>
  <conditionalFormatting sqref="F30">
    <cfRule type="duplicateValues" dxfId="0" priority="51"/>
  </conditionalFormatting>
  <conditionalFormatting sqref="N35">
    <cfRule type="duplicateValues" dxfId="0" priority="61"/>
  </conditionalFormatting>
  <conditionalFormatting sqref="N36">
    <cfRule type="duplicateValues" dxfId="0" priority="60"/>
  </conditionalFormatting>
  <conditionalFormatting sqref="F39">
    <cfRule type="duplicateValues" dxfId="0" priority="44"/>
    <cfRule type="duplicateValues" dxfId="0" priority="43"/>
    <cfRule type="duplicateValues" dxfId="0" priority="42"/>
  </conditionalFormatting>
  <conditionalFormatting sqref="N40">
    <cfRule type="duplicateValues" dxfId="0" priority="57"/>
    <cfRule type="duplicateValues" dxfId="0" priority="56"/>
  </conditionalFormatting>
  <conditionalFormatting sqref="E45">
    <cfRule type="duplicateValues" dxfId="0" priority="17"/>
  </conditionalFormatting>
  <conditionalFormatting sqref="M45">
    <cfRule type="duplicateValues" dxfId="0" priority="16"/>
  </conditionalFormatting>
  <conditionalFormatting sqref="U45">
    <cfRule type="duplicateValues" dxfId="0" priority="15"/>
  </conditionalFormatting>
  <conditionalFormatting sqref="E64">
    <cfRule type="duplicateValues" dxfId="0" priority="14"/>
  </conditionalFormatting>
  <conditionalFormatting sqref="F64">
    <cfRule type="duplicateValues" dxfId="0" priority="31"/>
  </conditionalFormatting>
  <conditionalFormatting sqref="M64">
    <cfRule type="duplicateValues" dxfId="0" priority="13"/>
  </conditionalFormatting>
  <conditionalFormatting sqref="U64">
    <cfRule type="duplicateValues" dxfId="0" priority="12"/>
  </conditionalFormatting>
  <conditionalFormatting sqref="F65">
    <cfRule type="duplicateValues" dxfId="0" priority="30"/>
  </conditionalFormatting>
  <conditionalFormatting sqref="E85">
    <cfRule type="duplicateValues" dxfId="0" priority="11"/>
  </conditionalFormatting>
  <conditionalFormatting sqref="F85">
    <cfRule type="duplicateValues" dxfId="0" priority="10"/>
  </conditionalFormatting>
  <conditionalFormatting sqref="H85">
    <cfRule type="duplicateValues" dxfId="0" priority="9"/>
  </conditionalFormatting>
  <conditionalFormatting sqref="I85">
    <cfRule type="duplicateValues" dxfId="0" priority="8"/>
  </conditionalFormatting>
  <conditionalFormatting sqref="J85">
    <cfRule type="duplicateValues" dxfId="0" priority="7"/>
  </conditionalFormatting>
  <conditionalFormatting sqref="K85">
    <cfRule type="duplicateValues" dxfId="0" priority="6"/>
  </conditionalFormatting>
  <conditionalFormatting sqref="L85">
    <cfRule type="duplicateValues" dxfId="0" priority="5"/>
  </conditionalFormatting>
  <conditionalFormatting sqref="M85">
    <cfRule type="duplicateValues" dxfId="0" priority="4"/>
  </conditionalFormatting>
  <conditionalFormatting sqref="C111">
    <cfRule type="duplicateValues" dxfId="0" priority="3"/>
  </conditionalFormatting>
  <conditionalFormatting sqref="J111">
    <cfRule type="duplicateValues" dxfId="0" priority="2"/>
  </conditionalFormatting>
  <conditionalFormatting sqref="P111">
    <cfRule type="duplicateValues" dxfId="0" priority="1"/>
  </conditionalFormatting>
  <conditionalFormatting sqref="E3:E13">
    <cfRule type="duplicateValues" dxfId="0" priority="116"/>
  </conditionalFormatting>
  <conditionalFormatting sqref="F3:F7">
    <cfRule type="duplicateValues" dxfId="0" priority="115"/>
  </conditionalFormatting>
  <conditionalFormatting sqref="F8:F11">
    <cfRule type="duplicateValues" dxfId="0" priority="114"/>
  </conditionalFormatting>
  <conditionalFormatting sqref="F13:F14">
    <cfRule type="duplicateValues" dxfId="0" priority="112"/>
  </conditionalFormatting>
  <conditionalFormatting sqref="F15:F16">
    <cfRule type="duplicateValues" dxfId="0" priority="111"/>
  </conditionalFormatting>
  <conditionalFormatting sqref="F18:F19">
    <cfRule type="duplicateValues" dxfId="0" priority="36"/>
  </conditionalFormatting>
  <conditionalFormatting sqref="F25:F27">
    <cfRule type="duplicateValues" dxfId="0" priority="79"/>
  </conditionalFormatting>
  <conditionalFormatting sqref="F30:F35">
    <cfRule type="duplicateValues" dxfId="0" priority="49"/>
  </conditionalFormatting>
  <conditionalFormatting sqref="F31:F35">
    <cfRule type="duplicateValues" dxfId="0" priority="50"/>
  </conditionalFormatting>
  <conditionalFormatting sqref="F36:F38">
    <cfRule type="duplicateValues" dxfId="0" priority="47"/>
    <cfRule type="duplicateValues" dxfId="0" priority="46"/>
    <cfRule type="duplicateValues" dxfId="0" priority="45"/>
  </conditionalFormatting>
  <conditionalFormatting sqref="G29:G34">
    <cfRule type="duplicateValues" dxfId="0" priority="52"/>
  </conditionalFormatting>
  <conditionalFormatting sqref="G30:G34">
    <cfRule type="duplicateValues" dxfId="0" priority="53"/>
  </conditionalFormatting>
  <conditionalFormatting sqref="I3:I7">
    <cfRule type="duplicateValues" dxfId="0" priority="123"/>
  </conditionalFormatting>
  <conditionalFormatting sqref="I8:I11">
    <cfRule type="duplicateValues" dxfId="0" priority="122"/>
  </conditionalFormatting>
  <conditionalFormatting sqref="I13:I14">
    <cfRule type="duplicateValues" dxfId="0" priority="120"/>
  </conditionalFormatting>
  <conditionalFormatting sqref="I15:I16">
    <cfRule type="duplicateValues" dxfId="0" priority="119"/>
  </conditionalFormatting>
  <conditionalFormatting sqref="I18:I20">
    <cfRule type="duplicateValues" dxfId="0" priority="117"/>
  </conditionalFormatting>
  <conditionalFormatting sqref="N5:N7">
    <cfRule type="duplicateValues" dxfId="0" priority="96"/>
  </conditionalFormatting>
  <conditionalFormatting sqref="N11:N12">
    <cfRule type="duplicateValues" dxfId="0" priority="92"/>
  </conditionalFormatting>
  <conditionalFormatting sqref="N13:N17">
    <cfRule type="duplicateValues" dxfId="0" priority="91"/>
  </conditionalFormatting>
  <conditionalFormatting sqref="N18:N19">
    <cfRule type="duplicateValues" dxfId="0" priority="90"/>
  </conditionalFormatting>
  <conditionalFormatting sqref="N25:N27">
    <cfRule type="duplicateValues" dxfId="0" priority="72"/>
  </conditionalFormatting>
  <conditionalFormatting sqref="N29:N31">
    <cfRule type="duplicateValues" dxfId="0" priority="63"/>
  </conditionalFormatting>
  <conditionalFormatting sqref="N32:N34">
    <cfRule type="duplicateValues" dxfId="0" priority="62"/>
  </conditionalFormatting>
  <conditionalFormatting sqref="N37:N39">
    <cfRule type="duplicateValues" dxfId="0" priority="59"/>
    <cfRule type="duplicateValues" dxfId="0" priority="58"/>
  </conditionalFormatting>
  <conditionalFormatting sqref="O5:O7">
    <cfRule type="duplicateValues" dxfId="0" priority="105"/>
  </conditionalFormatting>
  <conditionalFormatting sqref="O11:O12">
    <cfRule type="duplicateValues" dxfId="0" priority="101"/>
  </conditionalFormatting>
  <conditionalFormatting sqref="O13:O17">
    <cfRule type="duplicateValues" dxfId="0" priority="100"/>
  </conditionalFormatting>
  <conditionalFormatting sqref="O18:O19">
    <cfRule type="duplicateValues" dxfId="0" priority="99"/>
  </conditionalFormatting>
  <conditionalFormatting sqref="V3:V5">
    <cfRule type="duplicateValues" dxfId="0" priority="88"/>
  </conditionalFormatting>
  <conditionalFormatting sqref="V6:V8">
    <cfRule type="duplicateValues" dxfId="0" priority="87"/>
  </conditionalFormatting>
  <conditionalFormatting sqref="V11:V14">
    <cfRule type="duplicateValues" dxfId="0" priority="84"/>
  </conditionalFormatting>
  <conditionalFormatting sqref="V15:V17">
    <cfRule type="duplicateValues" dxfId="0" priority="40"/>
  </conditionalFormatting>
  <conditionalFormatting sqref="V35:V37">
    <cfRule type="duplicateValues" dxfId="0" priority="65"/>
  </conditionalFormatting>
  <conditionalFormatting sqref="A2:H2 A3:D13 G3:H13">
    <cfRule type="duplicateValues" dxfId="0" priority="124"/>
  </conditionalFormatting>
  <conditionalFormatting sqref="J2:L2 N2 J3:N20">
    <cfRule type="duplicateValues" dxfId="0" priority="38"/>
  </conditionalFormatting>
  <conditionalFormatting sqref="A3:F20">
    <cfRule type="duplicateValues" dxfId="0" priority="37"/>
  </conditionalFormatting>
  <conditionalFormatting sqref="J3:M16">
    <cfRule type="duplicateValues" dxfId="0" priority="108"/>
  </conditionalFormatting>
  <conditionalFormatting sqref="R3:U10 R11:T11 R12:U16">
    <cfRule type="duplicateValues" dxfId="0" priority="89"/>
  </conditionalFormatting>
  <conditionalFormatting sqref="R3:V19">
    <cfRule type="duplicateValues" dxfId="0" priority="41"/>
  </conditionalFormatting>
  <conditionalFormatting sqref="A25:E37">
    <cfRule type="duplicateValues" dxfId="0" priority="80"/>
  </conditionalFormatting>
  <conditionalFormatting sqref="A25:F28 A29:E37">
    <cfRule type="duplicateValues" dxfId="0" priority="55"/>
  </conditionalFormatting>
  <conditionalFormatting sqref="A25:F35 A36:E37">
    <cfRule type="duplicateValues" dxfId="0" priority="48"/>
  </conditionalFormatting>
  <conditionalFormatting sqref="J25:M37">
    <cfRule type="duplicateValues" dxfId="0" priority="73"/>
  </conditionalFormatting>
  <conditionalFormatting sqref="J25:N36">
    <cfRule type="duplicateValues" dxfId="0" priority="64"/>
  </conditionalFormatting>
  <conditionalFormatting sqref="R25:V34 R35:U36">
    <cfRule type="duplicateValues" dxfId="0" priority="66"/>
  </conditionalFormatting>
  <conditionalFormatting sqref="A46:F58">
    <cfRule type="duplicateValues" dxfId="0" priority="35"/>
  </conditionalFormatting>
  <conditionalFormatting sqref="J46:N62">
    <cfRule type="duplicateValues" dxfId="0" priority="34"/>
  </conditionalFormatting>
  <conditionalFormatting sqref="R46:V62">
    <cfRule type="duplicateValues" dxfId="0" priority="33"/>
  </conditionalFormatting>
  <conditionalFormatting sqref="A65:E65 A66:F81">
    <cfRule type="duplicateValues" dxfId="0" priority="32"/>
  </conditionalFormatting>
  <conditionalFormatting sqref="A65:F80">
    <cfRule type="duplicateValues" dxfId="0" priority="29"/>
  </conditionalFormatting>
  <conditionalFormatting sqref="J65:N81">
    <cfRule type="duplicateValues" dxfId="0" priority="28"/>
  </conditionalFormatting>
  <conditionalFormatting sqref="R65:V82">
    <cfRule type="duplicateValues" dxfId="0" priority="27"/>
  </conditionalFormatting>
  <conditionalFormatting sqref="A86:Q105">
    <cfRule type="duplicateValues" dxfId="0" priority="25"/>
  </conditionalFormatting>
  <conditionalFormatting sqref="A86:G110 A111:B111 D111:G111 A112:G125">
    <cfRule type="duplicateValues" dxfId="0" priority="26"/>
  </conditionalFormatting>
  <conditionalFormatting sqref="H112:K123">
    <cfRule type="duplicateValues" dxfId="0" priority="24"/>
  </conditionalFormatting>
  <conditionalFormatting sqref="N112:Q122">
    <cfRule type="duplicateValues" dxfId="0" priority="23"/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BuildingUpgradeTable</vt:lpstr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2026-05-26T08:58:00Z</dcterms:created>
  <dcterms:modified xsi:type="dcterms:W3CDTF">2026-08-17T09:46:05Z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883EC4244DD04EF1B05470AF6E610802_13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1</vt:i4>
  </property>
</Properties>
</file>