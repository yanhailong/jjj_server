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<sst xmlns="http://schemas.openxmlformats.org/spreadsheetml/2006/main" count="5487" uniqueCount="1894">
  <si>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</si>
  <si>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</si>
  <si>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</si>
  <si>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</si>
  <si>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</si>
  <si>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</si>
  <si>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</si>
  <si>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</si>
  <si>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</si>
  <si>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</si>
  <si>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</si>
  <si>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</si>
  <si>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</si>
  <si>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</si>
  <si>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</si>
  <si>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</si>
  <si>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</si>
  <si>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</si>
  <si>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</si>
  <si>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</si>
  <si>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</si>
  <si>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</si>
  <si>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</si>
  <si>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</si>
  <si>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</si>
  <si>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</si>
  <si>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</si>
  <si>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</si>
  <si>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</si>
  <si>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</si>
  <si>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</si>
  <si>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</si>
  <si>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</si>
  <si>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</si>
  <si>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</si>
  <si>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</si>
  <si>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</si>
  <si>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</si>
  <si>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</si>
  <si>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</si>
  <si>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</si>
  <si>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</si>
  <si>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</si>
  <si>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</si>
  <si>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</si>
  <si>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</si>
  <si>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</si>
  <si>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</si>
  <si>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</si>
  <si>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</si>
  <si>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</si>
  <si>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</si>
  <si>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</si>
  <si>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</si>
  <si>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</si>
  <si>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</si>
  <si>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</si>
  <si>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</si>
  <si>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</si>
  <si>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</si>
  <si>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</si>
  <si>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</si>
  <si>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</si>
  <si>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1022505_500</t>
  </si>
  <si>
    <t>1990000_5819,1990000_11639,1990000_17458,1990000_23278,1990000_29098,1990000_34917,1990000_40737,1990000_46556,1990000_52376</t>
  </si>
  <si>
    <t>1024081_25</t>
  </si>
  <si>
    <t>10390001_1</t>
  </si>
  <si>
    <t>1990000_7274,1990000_14549,1990000_21823,1990000_29098,1990000_36372,1990000_43647,1990000_50921,1990000_58196,1990000_65470</t>
  </si>
  <si>
    <t>1024081_30</t>
  </si>
  <si>
    <t>1990000_8729,1990000_17458,1990000_26188,1990000_34917,1990000_43647,1990000_52376,1990000_61106,1990000_69835,1990000_78565</t>
  </si>
  <si>
    <t>1024081_35</t>
  </si>
  <si>
    <t>1022505_800</t>
  </si>
  <si>
    <t>1990000_10184,1990000_20368,1990000_30553,1990000_40737,1990000_50921,1990000_61106,1990000_71290,1990000_81474,1990000_91659</t>
  </si>
  <si>
    <t>1024081_40</t>
  </si>
  <si>
    <t>1990000_11639,1990000_23278,1990000_34917,1990000_46557,1990000_58196,1990000_69835,1990000_81474,1990000_93114,1990000_104753</t>
  </si>
  <si>
    <t>1024081_45</t>
  </si>
  <si>
    <t>1990000_13094,1990000_26188,1990000_39282,1990000_52376,1990000_65470,1990000_78565,1990000_91659,1990000_104753,1990000_117847</t>
  </si>
  <si>
    <t>1024081_50</t>
  </si>
  <si>
    <t>1022505_2000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</si>
  <si>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</si>
  <si>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</si>
  <si>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</si>
  <si>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</si>
  <si>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</si>
  <si>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</si>
  <si>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</si>
  <si>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</si>
  <si>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</si>
  <si>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</si>
  <si>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</si>
  <si>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</si>
  <si>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</si>
  <si>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</si>
  <si>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</si>
  <si>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</si>
  <si>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</si>
  <si>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</si>
  <si>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</si>
  <si>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</si>
  <si>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</si>
  <si>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</si>
  <si>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</si>
  <si>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</si>
  <si>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</si>
  <si>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</si>
  <si>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</si>
  <si>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</si>
  <si>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</si>
  <si>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</si>
  <si>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</si>
  <si>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</si>
  <si>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</si>
  <si>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</si>
  <si>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</si>
  <si>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</si>
  <si>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</si>
  <si>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</si>
  <si>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</si>
  <si>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</si>
  <si>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</si>
  <si>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</si>
  <si>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</si>
  <si>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</si>
  <si>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</si>
  <si>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</si>
  <si>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</si>
  <si>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</si>
  <si>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</si>
  <si>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</si>
  <si>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</si>
  <si>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</si>
  <si>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</si>
  <si>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</si>
  <si>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</si>
  <si>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</si>
  <si>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</si>
  <si>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</si>
  <si>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</si>
  <si>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</si>
  <si>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</si>
  <si>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</si>
  <si>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</si>
  <si>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</si>
  <si>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</si>
  <si>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</si>
  <si>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</si>
  <si>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</si>
  <si>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</si>
  <si>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</si>
  <si>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</si>
  <si>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</si>
  <si>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</si>
  <si>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</si>
  <si>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</si>
  <si>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</si>
  <si>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</si>
  <si>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</si>
  <si>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</si>
  <si>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</si>
  <si>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</si>
  <si>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</si>
  <si>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</si>
  <si>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</si>
  <si>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</si>
  <si>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</si>
  <si>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</si>
  <si>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</si>
  <si>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</si>
  <si>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</si>
  <si>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</si>
  <si>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</si>
  <si>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</si>
  <si>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</si>
  <si>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</si>
  <si>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</si>
  <si>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</si>
  <si>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</si>
  <si>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</si>
  <si>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</si>
  <si>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</si>
  <si>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</si>
  <si>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</si>
  <si>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</si>
  <si>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</si>
  <si>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</si>
  <si>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</si>
  <si>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</si>
  <si>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</si>
  <si>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</si>
  <si>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</si>
  <si>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</si>
  <si>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</si>
  <si>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</si>
  <si>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</si>
  <si>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</si>
  <si>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</si>
  <si>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</si>
  <si>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</si>
  <si>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</si>
  <si>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</si>
  <si>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</si>
  <si>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</si>
  <si>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</si>
  <si>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</si>
  <si>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</si>
  <si>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</si>
  <si>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</si>
  <si>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</si>
  <si>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</si>
  <si>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</si>
  <si>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</si>
  <si>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</si>
  <si>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1024083_15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</si>
  <si>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</si>
  <si>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</si>
  <si>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</si>
  <si>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</si>
  <si>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</si>
  <si>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</si>
  <si>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</si>
  <si>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</si>
  <si>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</si>
  <si>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</si>
  <si>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</si>
  <si>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</si>
  <si>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</si>
  <si>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</si>
  <si>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</si>
  <si>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</si>
  <si>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</si>
  <si>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</si>
  <si>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</si>
  <si>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</si>
  <si>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</si>
  <si>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</si>
  <si>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</si>
  <si>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</si>
  <si>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</si>
  <si>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</si>
  <si>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</si>
  <si>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</si>
  <si>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</si>
  <si>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</si>
  <si>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</si>
  <si>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</si>
  <si>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</si>
  <si>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</si>
  <si>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</si>
  <si>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</si>
  <si>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</si>
  <si>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</si>
  <si>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</si>
  <si>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</si>
  <si>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</si>
  <si>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</si>
  <si>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</si>
  <si>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</si>
  <si>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</si>
  <si>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</si>
  <si>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</si>
  <si>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</si>
  <si>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</si>
  <si>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</si>
  <si>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</si>
  <si>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</si>
  <si>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</si>
  <si>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</si>
  <si>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</si>
  <si>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</si>
  <si>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</si>
  <si>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</si>
  <si>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</si>
  <si>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</si>
  <si>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</si>
  <si>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</si>
  <si>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</si>
  <si>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</si>
  <si>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</si>
  <si>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</si>
  <si>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</si>
  <si>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</si>
  <si>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</si>
  <si>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</si>
  <si>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</si>
  <si>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</si>
  <si>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</si>
  <si>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</si>
  <si>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</si>
  <si>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</si>
  <si>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</si>
  <si>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</si>
  <si>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</si>
  <si>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</si>
  <si>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</si>
  <si>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</si>
  <si>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</si>
  <si>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</si>
  <si>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</si>
  <si>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</si>
  <si>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</si>
  <si>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</si>
  <si>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</si>
  <si>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</si>
  <si>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</si>
  <si>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</si>
  <si>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</si>
  <si>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</si>
  <si>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</si>
  <si>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</si>
  <si>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</si>
  <si>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</si>
  <si>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</si>
  <si>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</si>
  <si>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</si>
  <si>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</si>
  <si>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</si>
  <si>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</si>
  <si>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</si>
  <si>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</si>
  <si>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</si>
  <si>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</si>
  <si>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</si>
  <si>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</si>
  <si>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</si>
  <si>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</si>
  <si>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</si>
  <si>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</si>
  <si>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</si>
  <si>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</si>
  <si>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</si>
  <si>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</si>
  <si>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</si>
  <si>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</si>
  <si>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</si>
  <si>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</si>
  <si>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</si>
  <si>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</si>
  <si>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</si>
  <si>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</si>
  <si>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</si>
  <si>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</si>
  <si>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</si>
  <si>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</si>
  <si>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</si>
  <si>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</si>
  <si>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</si>
  <si>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</si>
  <si>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</si>
  <si>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</si>
  <si>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</si>
  <si>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</si>
  <si>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</si>
  <si>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</si>
  <si>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</si>
  <si>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</si>
  <si>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</si>
  <si>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</si>
  <si>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</si>
  <si>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</si>
  <si>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</si>
  <si>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</si>
  <si>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</si>
  <si>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</si>
  <si>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</si>
  <si>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</si>
  <si>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</si>
  <si>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</si>
  <si>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</si>
  <si>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</si>
  <si>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</si>
  <si>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</si>
  <si>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</si>
  <si>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</si>
  <si>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</si>
  <si>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</si>
  <si>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</si>
  <si>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</si>
  <si>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</si>
  <si>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</si>
  <si>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</si>
  <si>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</si>
  <si>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</si>
  <si>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</si>
  <si>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</si>
  <si>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</si>
  <si>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</si>
  <si>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</si>
  <si>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</si>
  <si>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</si>
  <si>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</si>
  <si>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</si>
  <si>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</si>
  <si>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</si>
  <si>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</si>
  <si>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</si>
  <si>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</si>
  <si>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</si>
  <si>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</si>
  <si>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</si>
  <si>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</si>
  <si>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</si>
  <si>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</si>
  <si>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</si>
  <si>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</si>
  <si>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</si>
  <si>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</si>
  <si>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</si>
  <si>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</si>
  <si>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</si>
  <si>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</si>
  <si>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</si>
  <si>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</si>
  <si>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</si>
  <si>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</si>
  <si>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</si>
  <si>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</si>
  <si>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</si>
  <si>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</si>
  <si>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</si>
  <si>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</si>
  <si>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</si>
  <si>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</si>
  <si>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</si>
  <si>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</si>
  <si>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</si>
  <si>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</si>
  <si>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</si>
  <si>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</si>
  <si>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</si>
  <si>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</si>
  <si>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</si>
  <si>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</si>
  <si>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</si>
  <si>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</si>
  <si>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</si>
  <si>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</si>
  <si>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</si>
  <si>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</si>
  <si>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</si>
  <si>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</si>
  <si>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</si>
  <si>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</si>
  <si>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</si>
  <si>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</si>
  <si>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</si>
  <si>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</si>
  <si>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</si>
  <si>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</si>
  <si>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</si>
  <si>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</si>
  <si>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</si>
  <si>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</si>
  <si>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</si>
  <si>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</si>
  <si>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</si>
  <si>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</si>
  <si>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</si>
  <si>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</si>
  <si>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</si>
  <si>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</si>
  <si>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</si>
  <si>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</si>
  <si>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</si>
  <si>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</si>
  <si>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</si>
  <si>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</si>
  <si>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</si>
  <si>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</si>
  <si>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</si>
  <si>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</si>
  <si>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</si>
  <si>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</si>
  <si>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</si>
  <si>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</si>
  <si>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</si>
  <si>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</si>
  <si>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</si>
  <si>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</si>
  <si>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</si>
  <si>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</si>
  <si>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</si>
  <si>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</si>
  <si>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</si>
  <si>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</si>
  <si>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</si>
  <si>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</si>
  <si>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</si>
  <si>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</si>
  <si>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</si>
  <si>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</si>
  <si>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</si>
  <si>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</si>
  <si>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</si>
  <si>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</si>
  <si>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</si>
  <si>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</si>
  <si>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</si>
  <si>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</si>
  <si>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</si>
  <si>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</si>
  <si>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</si>
  <si>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</si>
  <si>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</si>
  <si>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</si>
  <si>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</si>
  <si>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</si>
  <si>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</si>
  <si>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</si>
  <si>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</si>
  <si>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</si>
  <si>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</si>
  <si>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</si>
  <si>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</si>
  <si>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</si>
  <si>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</si>
  <si>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</si>
  <si>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</si>
  <si>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</si>
  <si>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</si>
  <si>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</si>
  <si>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</si>
  <si>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</si>
  <si>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</si>
  <si>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</si>
  <si>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</si>
  <si>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</si>
  <si>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</si>
  <si>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</si>
  <si>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</si>
  <si>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</si>
  <si>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</si>
  <si>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</si>
  <si>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</si>
  <si>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</si>
  <si>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</si>
  <si>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</si>
  <si>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</si>
  <si>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</si>
  <si>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</si>
  <si>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</si>
  <si>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</si>
  <si>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</si>
  <si>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</si>
  <si>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</si>
  <si>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</si>
  <si>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</si>
  <si>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</si>
  <si>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</si>
  <si>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</si>
  <si>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</si>
  <si>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</si>
  <si>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</si>
  <si>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</si>
  <si>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</si>
  <si>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</si>
  <si>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</si>
  <si>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</si>
  <si>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</si>
  <si>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</si>
  <si>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</si>
  <si>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</si>
  <si>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</si>
  <si>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</si>
  <si>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</si>
  <si>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</si>
  <si>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</si>
  <si>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</si>
  <si>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</si>
  <si>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</si>
  <si>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</si>
  <si>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</si>
  <si>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</si>
  <si>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</si>
  <si>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</si>
  <si>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</si>
  <si>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</si>
  <si>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</si>
  <si>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</si>
  <si>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</si>
  <si>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</si>
  <si>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</si>
  <si>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</si>
  <si>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</si>
  <si>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</si>
  <si>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</si>
  <si>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</si>
  <si>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</si>
  <si>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</si>
  <si>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</si>
  <si>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</si>
  <si>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</si>
  <si>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</si>
  <si>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</si>
  <si>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</si>
  <si>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</si>
  <si>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</si>
  <si>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</si>
  <si>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</si>
  <si>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</si>
  <si>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</si>
  <si>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</si>
  <si>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</si>
  <si>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</si>
  <si>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</si>
  <si>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</si>
  <si>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</si>
  <si>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</si>
  <si>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</si>
  <si>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</si>
  <si>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</si>
  <si>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</si>
  <si>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</si>
  <si>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</si>
  <si>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</si>
  <si>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</si>
  <si>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</si>
  <si>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</si>
  <si>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</si>
  <si>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</si>
  <si>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</si>
  <si>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</si>
  <si>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</si>
  <si>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</si>
  <si>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</si>
  <si>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</si>
  <si>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</si>
  <si>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</si>
  <si>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</si>
  <si>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</si>
  <si>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</si>
  <si>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</si>
  <si>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</si>
  <si>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</si>
  <si>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</si>
  <si>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</si>
  <si>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</si>
  <si>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</si>
  <si>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</si>
  <si>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</si>
  <si>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</si>
  <si>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</si>
  <si>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</si>
  <si>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</si>
  <si>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</si>
  <si>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</si>
  <si>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</si>
  <si>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</si>
  <si>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</si>
  <si>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</si>
  <si>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</si>
  <si>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</si>
  <si>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</si>
  <si>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</si>
  <si>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</si>
  <si>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</si>
  <si>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</si>
  <si>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</si>
  <si>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</si>
  <si>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</si>
  <si>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</si>
  <si>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</si>
  <si>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</si>
  <si>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</si>
  <si>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</si>
  <si>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</si>
  <si>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</si>
  <si>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</si>
  <si>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</si>
  <si>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</si>
  <si>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</si>
  <si>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</si>
  <si>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</si>
  <si>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</si>
  <si>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</si>
  <si>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</si>
  <si>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</si>
  <si>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</si>
  <si>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</si>
  <si>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</si>
  <si>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</si>
  <si>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</si>
  <si>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</si>
  <si>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</si>
  <si>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</si>
  <si>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</si>
  <si>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</si>
  <si>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</si>
  <si>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</si>
  <si>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</si>
  <si>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</si>
  <si>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</si>
  <si>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</si>
  <si>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</si>
  <si>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</si>
  <si>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</si>
  <si>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</si>
  <si>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</si>
  <si>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</si>
  <si>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</si>
  <si>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</si>
  <si>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</si>
  <si>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</si>
  <si>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</si>
  <si>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</si>
  <si>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</si>
  <si>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</si>
  <si>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</si>
  <si>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</si>
  <si>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</si>
  <si>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</si>
  <si>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</si>
  <si>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</si>
  <si>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</si>
  <si>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</si>
  <si>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</si>
  <si>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</si>
  <si>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</si>
  <si>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</si>
  <si>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</si>
  <si>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</si>
  <si>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</si>
  <si>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</si>
  <si>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</si>
  <si>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</si>
  <si>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</si>
  <si>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</si>
  <si>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</si>
  <si>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</si>
  <si>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</si>
  <si>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</si>
  <si>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</si>
  <si>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</si>
  <si>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</si>
  <si>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</si>
  <si>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</si>
  <si>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</si>
  <si>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</si>
  <si>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</si>
  <si>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</si>
  <si>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</si>
  <si>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</si>
  <si>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</si>
  <si>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</si>
  <si>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</si>
  <si>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</si>
  <si>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</si>
  <si>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</si>
  <si>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</si>
  <si>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</si>
  <si>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</si>
  <si>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</si>
  <si>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</si>
  <si>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</si>
  <si>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</si>
  <si>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</si>
  <si>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</si>
  <si>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</si>
  <si>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</si>
  <si>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</si>
  <si>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</si>
  <si>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</si>
  <si>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</si>
  <si>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</si>
  <si>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</si>
  <si>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</si>
  <si>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</si>
  <si>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</si>
  <si>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</si>
  <si>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</si>
  <si>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</si>
  <si>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</si>
  <si>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</si>
  <si>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</si>
  <si>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</si>
  <si>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</si>
  <si>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</si>
  <si>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</si>
  <si>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</si>
  <si>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</si>
  <si>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</si>
  <si>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</si>
  <si>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</si>
  <si>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</si>
  <si>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</si>
  <si>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</si>
  <si>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</si>
  <si>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</si>
  <si>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</si>
  <si>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</si>
  <si>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</si>
  <si>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</si>
  <si>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</si>
  <si>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</si>
  <si>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</si>
  <si>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</si>
  <si>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</si>
  <si>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</si>
  <si>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</si>
  <si>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</si>
  <si>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</si>
  <si>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</si>
  <si>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</si>
  <si>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</si>
  <si>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</si>
  <si>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</si>
  <si>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</si>
  <si>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</si>
  <si>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</si>
  <si>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</si>
  <si>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</si>
  <si>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</si>
  <si>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</si>
  <si>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</si>
  <si>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</si>
  <si>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</si>
  <si>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</si>
  <si>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</si>
  <si>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</si>
  <si>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</si>
  <si>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</si>
  <si>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</si>
  <si>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</si>
  <si>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</si>
  <si>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</si>
  <si>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</si>
  <si>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</si>
  <si>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</si>
  <si>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</si>
  <si>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</si>
  <si>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</si>
  <si>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</si>
  <si>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</si>
  <si>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</si>
  <si>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</si>
  <si>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</si>
  <si>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</si>
  <si>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</si>
  <si>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</si>
  <si>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</si>
  <si>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</si>
  <si>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</si>
  <si>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</si>
  <si>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</si>
  <si>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</si>
  <si>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</si>
  <si>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</si>
  <si>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</si>
  <si>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</si>
  <si>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</si>
  <si>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</si>
  <si>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</si>
  <si>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</si>
  <si>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</si>
  <si>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</si>
  <si>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</si>
  <si>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</si>
  <si>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</si>
  <si>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</si>
  <si>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</si>
  <si>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</si>
  <si>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</si>
  <si>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</si>
  <si>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</si>
  <si>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</si>
  <si>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</si>
  <si>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</si>
  <si>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</si>
  <si>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</si>
  <si>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</si>
  <si>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</si>
  <si>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</si>
  <si>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</si>
  <si>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</si>
  <si>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</si>
  <si>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</si>
  <si>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</si>
  <si>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</si>
  <si>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</si>
  <si>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</si>
  <si>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</si>
  <si>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</si>
  <si>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</si>
  <si>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</si>
  <si>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</si>
  <si>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</si>
  <si>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</si>
  <si>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</si>
  <si>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</si>
  <si>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</si>
  <si>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</si>
  <si>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</si>
  <si>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</si>
  <si>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</si>
  <si>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</si>
  <si>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</si>
  <si>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</si>
  <si>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</si>
  <si>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</si>
  <si>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</si>
  <si>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</si>
  <si>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</si>
  <si>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</si>
  <si>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</si>
  <si>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</si>
  <si>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</si>
  <si>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</si>
  <si>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</si>
  <si>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</si>
  <si>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</si>
  <si>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</si>
  <si>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</si>
  <si>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</si>
  <si>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</si>
  <si>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</si>
  <si>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</si>
  <si>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</si>
  <si>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</si>
  <si>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</si>
  <si>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</si>
  <si>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</si>
  <si>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</si>
  <si>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</si>
  <si>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</si>
  <si>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</si>
  <si>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</si>
  <si>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</si>
  <si>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</si>
  <si>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</si>
  <si>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</si>
  <si>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</si>
  <si>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</si>
  <si>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</si>
  <si>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</si>
  <si>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</si>
  <si>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</si>
  <si>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</si>
  <si>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</si>
  <si>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</si>
  <si>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</si>
  <si>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</si>
  <si>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</si>
  <si>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</si>
  <si>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</si>
  <si>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</si>
  <si>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</si>
  <si>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</si>
  <si>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</si>
  <si>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</si>
  <si>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</si>
  <si>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</si>
  <si>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</si>
  <si>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</si>
  <si>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</si>
  <si>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</si>
  <si>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</si>
  <si>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</si>
  <si>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</si>
  <si>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</si>
  <si>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</si>
  <si>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</si>
  <si>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</si>
  <si>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</si>
  <si>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</si>
  <si>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</si>
  <si>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</si>
  <si>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</si>
  <si>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</si>
  <si>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</si>
  <si>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</si>
  <si>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</si>
  <si>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</si>
  <si>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</si>
  <si>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</si>
  <si>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</si>
  <si>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</si>
  <si>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</si>
  <si>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</si>
  <si>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</si>
  <si>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</si>
  <si>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</si>
  <si>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</si>
  <si>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</si>
  <si>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</si>
  <si>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</si>
  <si>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</si>
  <si>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</si>
  <si>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</si>
  <si>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</si>
  <si>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</si>
  <si>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</si>
  <si>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</si>
  <si>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</si>
  <si>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</si>
  <si>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</si>
  <si>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</si>
  <si>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</si>
  <si>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</si>
  <si>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</si>
  <si>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</si>
  <si>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</si>
  <si>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</si>
  <si>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</si>
  <si>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</si>
  <si>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</si>
  <si>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</si>
  <si>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</si>
  <si>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</si>
  <si>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</si>
  <si>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</si>
  <si>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</si>
  <si>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</si>
  <si>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</si>
  <si>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</si>
  <si>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</si>
  <si>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</si>
  <si>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</si>
  <si>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</si>
  <si>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</si>
  <si>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</si>
  <si>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</si>
  <si>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</si>
  <si>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</si>
  <si>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</si>
  <si>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</si>
  <si>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</si>
  <si>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</si>
  <si>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</si>
  <si>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</si>
  <si>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</si>
  <si>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</si>
  <si>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</si>
  <si>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</si>
  <si>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</si>
  <si>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</si>
  <si>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</si>
  <si>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</si>
  <si>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</si>
  <si>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</si>
  <si>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</si>
  <si>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</si>
  <si>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</si>
  <si>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</si>
  <si>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</si>
  <si>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</si>
  <si>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</si>
  <si>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</si>
  <si>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</si>
  <si>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</si>
  <si>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</si>
  <si>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</si>
  <si>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</si>
  <si>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</si>
  <si>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</si>
  <si>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</si>
  <si>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</si>
  <si>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</si>
  <si>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</si>
  <si>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</si>
  <si>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</si>
  <si>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</si>
  <si>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</si>
  <si>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</si>
  <si>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</si>
  <si>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</si>
  <si>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</si>
  <si>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</si>
  <si>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</si>
  <si>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</si>
  <si>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</si>
  <si>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</si>
  <si>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</si>
  <si>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</si>
  <si>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</si>
  <si>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</si>
  <si>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</si>
  <si>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</si>
  <si>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</si>
  <si>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</si>
  <si>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</si>
  <si>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</si>
  <si>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</si>
  <si>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</si>
  <si>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</si>
  <si>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</si>
  <si>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</si>
  <si>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</si>
  <si>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</si>
  <si>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</si>
  <si>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</si>
  <si>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</si>
  <si>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</si>
  <si>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</si>
  <si>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</si>
  <si>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</si>
  <si>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</si>
  <si>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</si>
  <si>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</si>
  <si>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</si>
  <si>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</si>
  <si>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</si>
  <si>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</si>
  <si>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</si>
  <si>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</si>
  <si>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</si>
  <si>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</si>
  <si>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</si>
  <si>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</si>
  <si>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</si>
  <si>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</si>
  <si>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</si>
  <si>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</si>
  <si>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</si>
  <si>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</si>
  <si>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</si>
  <si>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</si>
  <si>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</si>
  <si>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</si>
  <si>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</si>
  <si>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</si>
  <si>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</si>
  <si>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</si>
  <si>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</si>
  <si>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</si>
  <si>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</si>
  <si>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</si>
  <si>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</si>
  <si>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</si>
  <si>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</si>
  <si>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</si>
  <si>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</si>
  <si>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</si>
  <si>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</si>
  <si>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</si>
  <si>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</si>
  <si>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</si>
  <si>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</si>
  <si>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</si>
  <si>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</si>
  <si>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</si>
  <si>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</si>
  <si>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</si>
  <si>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</si>
  <si>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</si>
  <si>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</si>
  <si>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</si>
  <si>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</si>
  <si>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</si>
  <si>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</si>
  <si>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</si>
  <si>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</si>
  <si>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</si>
  <si>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</si>
  <si>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</si>
  <si>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</si>
  <si>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</si>
  <si>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</si>
  <si>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</si>
  <si>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</si>
  <si>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</si>
  <si>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</si>
  <si>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</si>
  <si>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</si>
  <si>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</si>
  <si>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</si>
  <si>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</si>
  <si>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</si>
  <si>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</si>
  <si>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</si>
  <si>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</si>
  <si>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</si>
  <si>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</si>
  <si>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</si>
  <si>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</si>
  <si>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</si>
  <si>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</si>
  <si>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</si>
  <si>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</si>
  <si>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</si>
  <si>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</si>
  <si>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</si>
  <si>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</si>
  <si>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</si>
  <si>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</si>
  <si>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</si>
  <si>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</si>
  <si>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</si>
  <si>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</si>
  <si>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</si>
  <si>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</si>
  <si>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</si>
  <si>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</si>
  <si>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</si>
  <si>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</si>
  <si>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</si>
  <si>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</si>
  <si>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</si>
  <si>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</si>
  <si>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</si>
  <si>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</si>
  <si>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</si>
  <si>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</si>
  <si>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</si>
  <si>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</si>
  <si>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</si>
  <si>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</si>
  <si>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</si>
  <si>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</si>
  <si>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</si>
  <si>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</si>
  <si>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</si>
  <si>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</si>
  <si>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</si>
  <si>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</si>
  <si>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</si>
  <si>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</si>
  <si>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</si>
  <si>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</si>
  <si>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</si>
  <si>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</si>
  <si>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</si>
  <si>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</si>
  <si>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</si>
  <si>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</si>
  <si>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</si>
  <si>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</si>
  <si>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</si>
  <si>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</si>
  <si>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</si>
  <si>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</si>
  <si>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</si>
  <si>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</si>
  <si>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</si>
  <si>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</si>
  <si>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</si>
  <si>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</si>
  <si>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</si>
  <si>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</si>
  <si>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</si>
  <si>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</si>
  <si>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</si>
  <si>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</si>
  <si>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</si>
  <si>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</si>
  <si>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</si>
  <si>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</si>
  <si>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</si>
  <si>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</si>
  <si>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</si>
  <si>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</si>
  <si>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</si>
  <si>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</si>
  <si>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</si>
  <si>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</si>
  <si>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</si>
  <si>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</si>
  <si>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</si>
  <si>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</si>
  <si>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</si>
  <si>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</si>
  <si>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</si>
  <si>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</si>
  <si>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</si>
  <si>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</si>
  <si>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</si>
  <si>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</si>
  <si>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</si>
  <si>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</si>
  <si>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</si>
  <si>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</si>
  <si>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</si>
  <si>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</si>
  <si>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</si>
  <si>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</si>
  <si>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</si>
  <si>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</si>
  <si>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</si>
  <si>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</si>
  <si>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</si>
  <si>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</si>
  <si>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</si>
  <si>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</si>
  <si>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</si>
  <si>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</si>
  <si>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</si>
  <si>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</si>
  <si>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</si>
  <si>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</si>
  <si>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</si>
  <si>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</si>
  <si>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</si>
  <si>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</si>
  <si>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</si>
  <si>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</si>
  <si>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</si>
  <si>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</si>
  <si>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</si>
  <si>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</si>
  <si>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</si>
  <si>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</si>
  <si>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</si>
  <si>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</si>
  <si>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</si>
  <si>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</si>
  <si>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</si>
  <si>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</si>
  <si>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</si>
  <si>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</si>
  <si>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</si>
  <si>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</si>
  <si>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</si>
  <si>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</si>
  <si>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</si>
  <si>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</si>
  <si>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</si>
  <si>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</si>
  <si>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</si>
  <si>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</si>
  <si>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</si>
  <si>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</si>
  <si>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</si>
  <si>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</si>
  <si>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</si>
  <si>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</si>
  <si>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</si>
  <si>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</si>
  <si>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</si>
  <si>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</si>
  <si>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</si>
  <si>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</si>
  <si>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</si>
  <si>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</si>
  <si>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</si>
  <si>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</si>
  <si>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</si>
  <si>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</si>
  <si>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</si>
  <si>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</si>
  <si>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</si>
  <si>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</si>
  <si>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</si>
  <si>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</si>
  <si>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</si>
  <si>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</si>
  <si>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</si>
  <si>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</si>
  <si>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</si>
  <si>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</si>
  <si>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</si>
  <si>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</si>
  <si>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</si>
  <si>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</si>
  <si>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</si>
  <si>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</si>
  <si>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</si>
  <si>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</si>
  <si>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</si>
  <si>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</si>
  <si>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</si>
  <si>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</si>
  <si>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</si>
  <si>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</si>
  <si>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</si>
  <si>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</si>
  <si>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</si>
  <si>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</si>
  <si>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</si>
  <si>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</si>
  <si>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</si>
  <si>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</si>
  <si>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</si>
  <si>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</si>
  <si>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</si>
  <si>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</si>
  <si>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</si>
  <si>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</si>
  <si>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</si>
  <si>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</si>
  <si>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</si>
  <si>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</si>
  <si>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</si>
  <si>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</si>
  <si>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</si>
  <si>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</si>
  <si>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</si>
  <si>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</si>
  <si>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</si>
  <si>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</si>
  <si>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</si>
  <si>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</si>
  <si>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</si>
  <si>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</si>
  <si>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</si>
  <si>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</si>
  <si>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</si>
  <si>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</si>
  <si>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</si>
  <si>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</si>
  <si>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</si>
  <si>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</si>
  <si>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</si>
  <si>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</si>
  <si>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</si>
  <si>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</si>
  <si>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</si>
  <si>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</si>
  <si>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</si>
  <si>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</si>
  <si>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</si>
  <si>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</si>
  <si>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</si>
  <si>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</si>
  <si>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</si>
  <si>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</si>
  <si>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</si>
  <si>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</si>
  <si>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</si>
  <si>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</si>
  <si>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</si>
  <si>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</si>
  <si>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</si>
  <si>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</si>
  <si>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</si>
  <si>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</si>
  <si>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</si>
  <si>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</si>
  <si>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</si>
  <si>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</si>
  <si>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</si>
  <si>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</si>
  <si>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</si>
  <si>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</si>
  <si>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</si>
  <si>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</si>
  <si>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</si>
  <si>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</si>
  <si>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</si>
  <si>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</si>
  <si>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</si>
  <si>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</si>
  <si>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</si>
  <si>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</si>
  <si>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</si>
  <si>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</si>
  <si>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</si>
  <si>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</si>
  <si>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</si>
  <si>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</si>
  <si>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</si>
  <si>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</si>
  <si>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</si>
  <si>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</si>
  <si>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</si>
  <si>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</si>
  <si>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</si>
  <si>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</si>
  <si>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</si>
  <si>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</si>
  <si>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</si>
  <si>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</si>
  <si>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</si>
  <si>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</si>
  <si>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</si>
  <si>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</si>
  <si>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</si>
  <si>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</si>
  <si>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</si>
  <si>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</si>
  <si>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</si>
  <si>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</si>
  <si>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</si>
  <si>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</si>
  <si>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</si>
  <si>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</si>
  <si>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</si>
  <si>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</si>
  <si>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</si>
  <si>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</si>
  <si>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</si>
  <si>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</si>
  <si>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</si>
  <si>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</si>
  <si>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</si>
  <si>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</si>
  <si>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</si>
  <si>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</si>
  <si>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</si>
  <si>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</si>
  <si>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</si>
  <si>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</si>
  <si>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</si>
  <si>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</si>
  <si>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</si>
  <si>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</si>
  <si>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</si>
  <si>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</si>
  <si>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</si>
  <si>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</si>
  <si>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</si>
  <si>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</si>
  <si>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</si>
  <si>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</si>
  <si>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</si>
  <si>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</si>
  <si>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</si>
  <si>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</si>
  <si>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</si>
  <si>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</si>
  <si>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</si>
  <si>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</si>
  <si>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</si>
  <si>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</si>
  <si>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</si>
  <si>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</si>
  <si>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</si>
  <si>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</si>
  <si>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</si>
  <si>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</si>
  <si>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</si>
  <si>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</si>
  <si>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</si>
  <si>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</si>
  <si>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</si>
  <si>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</si>
  <si>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</si>
  <si>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</si>
  <si>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</si>
  <si>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</si>
  <si>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</si>
  <si>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</si>
  <si>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</si>
  <si>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</si>
  <si>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</si>
  <si>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</si>
  <si>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</si>
  <si>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</si>
  <si>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</si>
  <si>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</si>
  <si>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</si>
  <si>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</si>
  <si>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</si>
  <si>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</si>
  <si>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</si>
  <si>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</si>
  <si>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</si>
  <si>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</si>
  <si>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</si>
  <si>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</si>
  <si>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</si>
  <si>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</si>
  <si>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</si>
  <si>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</si>
  <si>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</si>
  <si>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</si>
  <si>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</si>
  <si>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</si>
  <si>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</si>
  <si>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</si>
  <si>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</si>
  <si>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</si>
  <si>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</si>
  <si>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</si>
  <si>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</si>
  <si>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</si>
  <si>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</si>
  <si>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</si>
  <si>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</si>
  <si>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</si>
  <si>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</si>
  <si>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</si>
  <si>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</si>
  <si>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</si>
  <si>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</si>
  <si>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</si>
  <si>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</si>
  <si>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</si>
  <si>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</si>
  <si>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</si>
  <si>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</si>
  <si>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</si>
  <si>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</si>
  <si>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</si>
  <si>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</si>
  <si>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</si>
  <si>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</si>
  <si>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</si>
  <si>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</si>
  <si>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</si>
  <si>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</si>
  <si>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</si>
  <si>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</si>
  <si>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</si>
  <si>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</si>
  <si>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</si>
  <si>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</si>
  <si>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</si>
  <si>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</si>
  <si>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</si>
  <si>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</si>
  <si>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</si>
  <si>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</si>
  <si>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</si>
  <si>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</si>
  <si>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</si>
  <si>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</si>
  <si>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</si>
  <si>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</si>
  <si>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</si>
  <si>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</si>
  <si>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</si>
  <si>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</si>
  <si>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</si>
  <si>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</si>
  <si>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</si>
  <si>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</si>
  <si>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</si>
  <si>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</si>
  <si>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</si>
  <si>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</si>
  <si>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</si>
  <si>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</si>
  <si>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</si>
  <si>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</si>
  <si>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</si>
  <si>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</si>
  <si>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</si>
  <si>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</si>
  <si>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</si>
  <si>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</si>
  <si>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</si>
  <si>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</si>
  <si>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</si>
  <si>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</si>
  <si>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</si>
  <si>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</si>
  <si>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</si>
  <si>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</si>
  <si>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</si>
  <si>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</si>
  <si>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</si>
  <si>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</si>
  <si>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</si>
  <si>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</si>
  <si>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</si>
  <si>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</si>
  <si>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</si>
  <si>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</si>
  <si>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</si>
  <si>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</si>
  <si>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</si>
  <si>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</si>
  <si>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</si>
  <si>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</si>
  <si>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</si>
  <si>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</si>
  <si>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</si>
  <si>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</si>
  <si>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</si>
  <si>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</si>
  <si>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</si>
  <si>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</si>
  <si>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</si>
  <si>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</si>
  <si>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</si>
  <si>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</si>
  <si>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</si>
  <si>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</si>
  <si>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</si>
  <si>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</si>
  <si>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</si>
  <si>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</si>
  <si>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</si>
  <si>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</si>
  <si>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</si>
  <si>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</si>
  <si>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</si>
  <si>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</si>
  <si>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</si>
  <si>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</si>
  <si>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</si>
  <si>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</si>
  <si>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</si>
  <si>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</si>
  <si>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</si>
  <si>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</si>
  <si>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</si>
  <si>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</si>
  <si>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</si>
  <si>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</si>
  <si>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</si>
  <si>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</si>
  <si>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</si>
  <si>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</si>
  <si>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</si>
  <si>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</si>
  <si>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</si>
  <si>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</si>
  <si>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</si>
  <si>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</si>
  <si>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</si>
  <si>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</si>
  <si>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</si>
  <si>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</si>
  <si>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</si>
  <si>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</si>
  <si>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</si>
  <si>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</si>
  <si>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</si>
  <si>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</si>
  <si>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</si>
  <si>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</si>
  <si>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</si>
  <si>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</si>
  <si>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</si>
  <si>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</si>
  <si>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</si>
  <si>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</si>
  <si>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</si>
  <si>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</si>
  <si>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</si>
  <si>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</si>
  <si>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</si>
  <si>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</si>
  <si>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</si>
  <si>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</si>
  <si>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</si>
  <si>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</si>
  <si>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</si>
  <si>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</si>
  <si>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</si>
  <si>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</si>
  <si>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</si>
  <si>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</si>
  <si>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</si>
  <si>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</si>
  <si>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</si>
  <si>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</si>
  <si>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</si>
  <si>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</si>
  <si>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</si>
  <si>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</si>
  <si>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</si>
  <si>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</si>
  <si>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</si>
  <si>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</si>
  <si>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</si>
  <si>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</si>
  <si>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</si>
  <si>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</si>
  <si>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</si>
  <si>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</si>
  <si>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</si>
  <si>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</si>
  <si>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</si>
  <si>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</si>
  <si>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</si>
  <si>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</si>
  <si>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</si>
  <si>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</si>
  <si>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</si>
  <si>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</si>
  <si>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</si>
  <si>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</si>
  <si>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</si>
  <si>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</si>
  <si>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</si>
  <si>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</si>
  <si>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</si>
  <si>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1980000_25</t>
  </si>
  <si>
    <t>1022505_600</t>
  </si>
  <si>
    <t>1980000_30</t>
  </si>
  <si>
    <t>1022505_700</t>
  </si>
  <si>
    <t>1980000_35</t>
  </si>
  <si>
    <t>1980000_40</t>
  </si>
  <si>
    <t>1022505_900</t>
  </si>
  <si>
    <t>1202300_1202259</t>
  </si>
  <si>
    <t>1980000_45</t>
  </si>
  <si>
    <t>1022505_1000</t>
  </si>
  <si>
    <t>1202286_1202284</t>
  </si>
  <si>
    <t>1980000_50</t>
  </si>
  <si>
    <t>1022505_1100</t>
  </si>
  <si>
    <t>1202302_1202303_1202304_1202305</t>
  </si>
  <si>
    <t>1980000_55</t>
  </si>
  <si>
    <t>1022505_1200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</si>
  <si>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</si>
  <si>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</si>
  <si>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</si>
  <si>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</si>
  <si>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</si>
  <si>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</si>
  <si>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</si>
  <si>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</si>
  <si>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1022505_1500</t>
  </si>
  <si>
    <t>1980000_75</t>
  </si>
  <si>
    <t>1022505_1600</t>
  </si>
  <si>
    <t>1980000_80</t>
  </si>
  <si>
    <t>1022505_1700</t>
  </si>
  <si>
    <t>1980000_85</t>
  </si>
  <si>
    <t>1022505_1800</t>
  </si>
  <si>
    <t>1980000_90</t>
  </si>
  <si>
    <t>1022505_1900</t>
  </si>
  <si>
    <t>1980000_95</t>
  </si>
  <si>
    <t>1980000_100</t>
  </si>
  <si>
    <t>1022505_2100</t>
  </si>
  <si>
    <t>1980000_105</t>
  </si>
  <si>
    <t>1022505_2200</t>
  </si>
  <si>
    <t>1980000_110</t>
  </si>
  <si>
    <t>1022505_2300</t>
  </si>
  <si>
    <t>1980000_115</t>
  </si>
  <si>
    <t>1022505_2400</t>
  </si>
  <si>
    <t>1980000_120</t>
  </si>
  <si>
    <t>1022505_2500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</si>
  <si>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</si>
  <si>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</si>
  <si>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</si>
  <si>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</si>
  <si>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</si>
  <si>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</si>
  <si>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</si>
  <si>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</si>
  <si>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</si>
  <si>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1022505_3000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</si>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</sst>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topLeftCell="B1" workbookViewId="0">
      <pane ySplit="4" topLeftCell="A945" activePane="bottomLeft" state="frozen"/>
      <selection/>
      <selection pane="bottomLeft" activeCell="H964" sqref="H964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60</v>
      </c>
      <c r="L7" s="15" t="s">
        <v>47</v>
      </c>
      <c r="M7" s="15"/>
      <c r="N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80</v>
      </c>
      <c r="L8" s="15" t="s">
        <v>63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64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65</v>
      </c>
      <c r="J9" s="15">
        <v>500</v>
      </c>
      <c r="K9" s="15">
        <v>100</v>
      </c>
      <c r="L9" s="15" t="s">
        <v>63</v>
      </c>
      <c r="M9" s="15" t="s">
        <v>66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68</v>
      </c>
      <c r="J10" s="15">
        <v>600</v>
      </c>
      <c r="K10" s="15">
        <v>120</v>
      </c>
      <c r="L10" s="15" t="s">
        <v>63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70</v>
      </c>
      <c r="J11" s="15">
        <v>700</v>
      </c>
      <c r="K11" s="15">
        <v>140</v>
      </c>
      <c r="L11" s="15" t="s">
        <v>71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72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73</v>
      </c>
      <c r="J12" s="15">
        <v>800</v>
      </c>
      <c r="K12" s="15">
        <v>160</v>
      </c>
      <c r="L12" s="15" t="s">
        <v>71</v>
      </c>
      <c r="M12" s="15"/>
      <c r="N12" s="15"/>
      <c r="O12" s="15"/>
      <c r="R12" s="5">
        <v>1101254</v>
      </c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75</v>
      </c>
      <c r="J13" s="15">
        <v>900</v>
      </c>
      <c r="K13" s="15">
        <v>180</v>
      </c>
      <c r="L13" s="15" t="s">
        <v>71</v>
      </c>
      <c r="M13" s="15"/>
      <c r="N13" s="15"/>
      <c r="O13" s="15"/>
      <c r="R13" s="5">
        <v>1101253</v>
      </c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77</v>
      </c>
      <c r="J14" s="15">
        <v>1000</v>
      </c>
      <c r="K14" s="15">
        <v>200</v>
      </c>
      <c r="L14" s="15" t="s">
        <v>78</v>
      </c>
      <c r="M14" s="15" t="s">
        <v>79</v>
      </c>
      <c r="N14" s="15">
        <v>20</v>
      </c>
      <c r="O14" s="15"/>
      <c r="R14" s="5">
        <v>1101251</v>
      </c>
      <c r="S14" s="27">
        <v>18</v>
      </c>
      <c r="T14" s="28" t="s">
        <v>80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81</v>
      </c>
      <c r="J15" s="15">
        <v>1100</v>
      </c>
      <c r="K15" s="15">
        <v>220</v>
      </c>
      <c r="L15" s="15" t="s">
        <v>78</v>
      </c>
      <c r="M15" s="15"/>
      <c r="N15" s="15"/>
      <c r="O15" s="15"/>
      <c r="R15" s="5">
        <v>1101252</v>
      </c>
      <c r="S15" s="27">
        <v>20</v>
      </c>
      <c r="T15" s="28" t="s">
        <v>82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83</v>
      </c>
      <c r="J16" s="15">
        <v>1200</v>
      </c>
      <c r="K16" s="15">
        <v>240</v>
      </c>
      <c r="L16" s="15" t="s">
        <v>78</v>
      </c>
      <c r="M16" s="15"/>
      <c r="N16" s="15"/>
      <c r="O16" s="15"/>
      <c r="R16" s="5">
        <v>1101255</v>
      </c>
      <c r="S16" s="27">
        <v>22</v>
      </c>
      <c r="T16" s="28" t="s">
        <v>84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85</v>
      </c>
      <c r="J17" s="15">
        <v>1300</v>
      </c>
      <c r="K17" s="15">
        <v>260</v>
      </c>
      <c r="L17" s="15" t="s">
        <v>86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87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88</v>
      </c>
      <c r="J18" s="15">
        <v>1400</v>
      </c>
      <c r="K18" s="15">
        <v>280</v>
      </c>
      <c r="L18" s="15" t="s">
        <v>86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89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90</v>
      </c>
      <c r="J19" s="15">
        <v>1500</v>
      </c>
      <c r="K19" s="15">
        <v>300</v>
      </c>
      <c r="L19" s="15" t="s">
        <v>86</v>
      </c>
      <c r="M19" s="15" t="s">
        <v>91</v>
      </c>
      <c r="N19" s="15">
        <v>30</v>
      </c>
      <c r="O19" s="15"/>
      <c r="P19" s="14"/>
      <c r="Q19" s="14"/>
      <c r="R19" s="5"/>
      <c r="S19" s="27">
        <v>28</v>
      </c>
      <c r="T19" s="28" t="s">
        <v>92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93</v>
      </c>
      <c r="J20" s="15">
        <v>1600</v>
      </c>
      <c r="K20" s="15">
        <v>320</v>
      </c>
      <c r="L20" s="15" t="s">
        <v>94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95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96</v>
      </c>
      <c r="J21" s="15">
        <v>1700</v>
      </c>
      <c r="K21" s="15">
        <v>340</v>
      </c>
      <c r="L21" s="15" t="s">
        <v>94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97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98</v>
      </c>
      <c r="J22" s="15">
        <v>1800</v>
      </c>
      <c r="K22" s="15">
        <v>360</v>
      </c>
      <c r="L22" s="15" t="s">
        <v>94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99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100</v>
      </c>
      <c r="J23" s="15">
        <v>1900</v>
      </c>
      <c r="K23" s="15">
        <v>380</v>
      </c>
      <c r="L23" s="15" t="s">
        <v>101</v>
      </c>
      <c r="M23" s="15"/>
      <c r="N23" s="15"/>
      <c r="O23" s="15"/>
      <c r="P23" s="14"/>
      <c r="Q23" s="14"/>
      <c r="R23" s="5"/>
      <c r="S23" s="27">
        <v>36</v>
      </c>
      <c r="T23" s="28" t="s">
        <v>102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103</v>
      </c>
      <c r="J24" s="15">
        <v>2000</v>
      </c>
      <c r="K24" s="15">
        <v>400</v>
      </c>
      <c r="L24" s="15" t="s">
        <v>101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104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105</v>
      </c>
      <c r="J25" s="15">
        <v>2100</v>
      </c>
      <c r="K25" s="15">
        <v>420</v>
      </c>
      <c r="L25" s="15" t="s">
        <v>101</v>
      </c>
      <c r="M25" s="15"/>
      <c r="N25" s="15"/>
      <c r="O25" s="15"/>
      <c r="P25" s="14"/>
      <c r="Q25" s="14"/>
      <c r="R25" s="5"/>
      <c r="S25" s="27">
        <v>40</v>
      </c>
      <c r="T25" s="28" t="s">
        <v>106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107</v>
      </c>
      <c r="J26" s="15">
        <v>2200</v>
      </c>
      <c r="K26" s="15">
        <v>440</v>
      </c>
      <c r="L26" s="15" t="s">
        <v>108</v>
      </c>
      <c r="M26" s="15"/>
      <c r="N26" s="15"/>
      <c r="O26" s="15"/>
      <c r="P26" s="14"/>
      <c r="Q26" s="14"/>
      <c r="R26" s="5"/>
      <c r="S26" s="27">
        <v>42</v>
      </c>
      <c r="T26" s="28" t="s">
        <v>109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110</v>
      </c>
      <c r="J27" s="15">
        <v>2300</v>
      </c>
      <c r="K27" s="15">
        <v>460</v>
      </c>
      <c r="L27" s="15" t="s">
        <v>108</v>
      </c>
      <c r="M27" s="15"/>
      <c r="N27" s="15"/>
      <c r="O27" s="15"/>
      <c r="P27" s="14"/>
      <c r="Q27" s="14"/>
      <c r="R27" s="5"/>
      <c r="S27" s="27">
        <v>44</v>
      </c>
      <c r="T27" s="28" t="s">
        <v>111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112</v>
      </c>
      <c r="J28" s="15">
        <v>2400</v>
      </c>
      <c r="K28" s="15">
        <v>480</v>
      </c>
      <c r="L28" s="15" t="s">
        <v>108</v>
      </c>
      <c r="M28" s="15"/>
      <c r="N28" s="15"/>
      <c r="O28" s="15"/>
      <c r="P28" s="14"/>
      <c r="Q28" s="14"/>
      <c r="R28" s="5"/>
      <c r="S28" s="27">
        <v>46</v>
      </c>
      <c r="T28" s="28" t="s">
        <v>113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114</v>
      </c>
      <c r="J29" s="15">
        <v>2500</v>
      </c>
      <c r="K29" s="15">
        <v>500</v>
      </c>
      <c r="L29" s="15" t="s">
        <v>115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116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117</v>
      </c>
      <c r="J30" s="15">
        <v>2600</v>
      </c>
      <c r="K30" s="15">
        <v>520</v>
      </c>
      <c r="L30" s="15" t="s">
        <v>115</v>
      </c>
      <c r="M30" s="15"/>
      <c r="N30" s="15"/>
      <c r="O30" s="15"/>
      <c r="P30" s="14"/>
      <c r="Q30" s="14"/>
      <c r="R30" s="5"/>
      <c r="S30" s="27">
        <v>50</v>
      </c>
      <c r="T30" s="28" t="s">
        <v>118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119</v>
      </c>
      <c r="J31" s="15">
        <v>2700</v>
      </c>
      <c r="K31" s="15">
        <v>540</v>
      </c>
      <c r="L31" s="15" t="s">
        <v>115</v>
      </c>
      <c r="M31" s="15"/>
      <c r="N31" s="15"/>
      <c r="O31" s="15"/>
      <c r="P31" s="14"/>
      <c r="Q31" s="14"/>
      <c r="R31" s="5"/>
      <c r="S31" s="27">
        <v>52</v>
      </c>
      <c r="T31" s="28" t="s">
        <v>120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121</v>
      </c>
      <c r="J32" s="15">
        <v>2800</v>
      </c>
      <c r="K32" s="15">
        <v>560</v>
      </c>
      <c r="L32" s="15" t="s">
        <v>122</v>
      </c>
      <c r="M32" s="15"/>
      <c r="N32" s="15"/>
      <c r="O32" s="15"/>
      <c r="P32" s="14"/>
      <c r="Q32" s="14"/>
      <c r="R32" s="5"/>
      <c r="S32" s="27">
        <v>54</v>
      </c>
      <c r="T32" s="28" t="s">
        <v>123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124</v>
      </c>
      <c r="J33" s="15">
        <v>2900</v>
      </c>
      <c r="K33" s="15">
        <v>580</v>
      </c>
      <c r="L33" s="15" t="s">
        <v>122</v>
      </c>
      <c r="M33" s="15"/>
      <c r="N33" s="15"/>
      <c r="O33" s="15"/>
      <c r="P33" s="14"/>
      <c r="Q33" s="14"/>
      <c r="R33" s="5"/>
      <c r="S33" s="27">
        <v>56</v>
      </c>
      <c r="T33" s="28" t="s">
        <v>125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126</v>
      </c>
      <c r="J34" s="15">
        <v>3000</v>
      </c>
      <c r="K34" s="15">
        <v>600</v>
      </c>
      <c r="L34" s="15" t="s">
        <v>122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127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128</v>
      </c>
      <c r="J35" s="15">
        <v>3100</v>
      </c>
      <c r="K35" s="15">
        <v>620</v>
      </c>
      <c r="L35" s="15" t="s">
        <v>129</v>
      </c>
      <c r="M35" s="15"/>
      <c r="N35" s="15"/>
      <c r="O35" s="15"/>
      <c r="P35" s="14"/>
      <c r="Q35" s="14"/>
      <c r="R35" s="5"/>
      <c r="S35" s="27">
        <v>60</v>
      </c>
      <c r="T35" s="28" t="s">
        <v>130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131</v>
      </c>
      <c r="J36" s="15">
        <v>3200</v>
      </c>
      <c r="K36" s="15">
        <v>640</v>
      </c>
      <c r="L36" s="15" t="s">
        <v>129</v>
      </c>
      <c r="M36" s="15"/>
      <c r="N36" s="15"/>
      <c r="O36" s="15"/>
      <c r="P36" s="14"/>
      <c r="Q36" s="14"/>
      <c r="R36" s="5"/>
      <c r="S36" s="27">
        <v>62</v>
      </c>
      <c r="T36" s="11" t="s">
        <v>132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133</v>
      </c>
      <c r="J37" s="15">
        <v>3300</v>
      </c>
      <c r="K37" s="15">
        <v>660</v>
      </c>
      <c r="L37" s="15" t="s">
        <v>129</v>
      </c>
      <c r="M37" s="15"/>
      <c r="N37" s="15"/>
      <c r="O37" s="15"/>
      <c r="P37" s="14"/>
      <c r="Q37" s="14"/>
      <c r="R37" s="5"/>
      <c r="S37" s="27">
        <v>64</v>
      </c>
      <c r="T37" s="11" t="s">
        <v>134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135</v>
      </c>
      <c r="J38" s="15">
        <v>3400</v>
      </c>
      <c r="K38" s="15">
        <v>680</v>
      </c>
      <c r="L38" s="15" t="s">
        <v>136</v>
      </c>
      <c r="M38" s="15"/>
      <c r="N38" s="15"/>
      <c r="O38" s="15"/>
      <c r="P38" s="14"/>
      <c r="Q38" s="14"/>
      <c r="R38" s="5"/>
      <c r="S38" s="27">
        <v>66</v>
      </c>
      <c r="T38" s="28" t="s">
        <v>137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138</v>
      </c>
      <c r="J39" s="15">
        <v>3500</v>
      </c>
      <c r="K39" s="15">
        <v>700</v>
      </c>
      <c r="L39" s="15" t="s">
        <v>136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139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140</v>
      </c>
      <c r="J40" s="15">
        <v>3600</v>
      </c>
      <c r="K40" s="15">
        <v>720</v>
      </c>
      <c r="L40" s="15" t="s">
        <v>136</v>
      </c>
      <c r="M40" s="15"/>
      <c r="N40" s="15"/>
      <c r="O40" s="15"/>
      <c r="P40" s="14"/>
      <c r="Q40" s="14"/>
      <c r="R40" s="5"/>
      <c r="S40" s="27">
        <v>70</v>
      </c>
      <c r="T40" s="28" t="s">
        <v>141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142</v>
      </c>
      <c r="J41" s="15">
        <v>3700</v>
      </c>
      <c r="K41" s="15">
        <v>740</v>
      </c>
      <c r="L41" s="15" t="s">
        <v>143</v>
      </c>
      <c r="M41" s="15"/>
      <c r="N41" s="15"/>
      <c r="O41" s="15"/>
      <c r="P41" s="14"/>
      <c r="Q41" s="14"/>
      <c r="R41" s="5"/>
      <c r="S41" s="27">
        <v>72</v>
      </c>
      <c r="T41" s="28" t="s">
        <v>144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145</v>
      </c>
      <c r="J42" s="15">
        <v>3800</v>
      </c>
      <c r="K42" s="15">
        <v>760</v>
      </c>
      <c r="L42" s="15" t="s">
        <v>143</v>
      </c>
      <c r="M42" s="15"/>
      <c r="N42" s="15"/>
      <c r="O42" s="15"/>
      <c r="P42" s="14"/>
      <c r="Q42" s="14"/>
      <c r="R42" s="5"/>
      <c r="S42" s="27">
        <v>74</v>
      </c>
      <c r="T42" s="28" t="s">
        <v>146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147</v>
      </c>
      <c r="J43" s="15">
        <v>3900</v>
      </c>
      <c r="K43" s="15">
        <v>780</v>
      </c>
      <c r="L43" s="15" t="s">
        <v>143</v>
      </c>
      <c r="M43" s="15"/>
      <c r="N43" s="15"/>
      <c r="O43" s="15"/>
      <c r="P43" s="14"/>
      <c r="Q43" s="14"/>
      <c r="R43" s="5"/>
      <c r="S43" s="27">
        <v>76</v>
      </c>
      <c r="T43" s="28" t="s">
        <v>148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149</v>
      </c>
      <c r="J44" s="15">
        <v>4000</v>
      </c>
      <c r="K44" s="15">
        <v>800</v>
      </c>
      <c r="L44" s="15" t="s">
        <v>150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151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152</v>
      </c>
      <c r="J45" s="15">
        <v>4100</v>
      </c>
      <c r="K45" s="15">
        <v>820</v>
      </c>
      <c r="L45" s="15" t="s">
        <v>150</v>
      </c>
      <c r="M45" s="15"/>
      <c r="N45" s="15"/>
      <c r="O45" s="15"/>
      <c r="P45" s="14"/>
      <c r="Q45" s="14"/>
      <c r="R45" s="5"/>
      <c r="S45" s="27">
        <v>80</v>
      </c>
      <c r="T45" s="28" t="s">
        <v>153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154</v>
      </c>
      <c r="J46" s="15">
        <v>4200</v>
      </c>
      <c r="K46" s="15">
        <v>840</v>
      </c>
      <c r="L46" s="15" t="s">
        <v>150</v>
      </c>
      <c r="M46" s="15"/>
      <c r="N46" s="15"/>
      <c r="O46" s="15"/>
      <c r="P46" s="14"/>
      <c r="Q46" s="14"/>
      <c r="R46" s="5"/>
      <c r="S46" s="27">
        <v>82</v>
      </c>
      <c r="T46" s="11" t="s">
        <v>155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156</v>
      </c>
      <c r="J47" s="15">
        <v>4300</v>
      </c>
      <c r="K47" s="15">
        <v>860</v>
      </c>
      <c r="L47" s="15" t="s">
        <v>157</v>
      </c>
      <c r="M47" s="15"/>
      <c r="N47" s="15"/>
      <c r="O47" s="15"/>
      <c r="P47" s="14"/>
      <c r="Q47" s="14"/>
      <c r="R47" s="5"/>
      <c r="S47" s="27">
        <v>84</v>
      </c>
      <c r="T47" s="28" t="s">
        <v>158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159</v>
      </c>
      <c r="J48" s="15">
        <v>4400</v>
      </c>
      <c r="K48" s="15">
        <v>880</v>
      </c>
      <c r="L48" s="15" t="s">
        <v>157</v>
      </c>
      <c r="M48" s="15"/>
      <c r="N48" s="15"/>
      <c r="O48" s="15"/>
      <c r="P48" s="14"/>
      <c r="Q48" s="14"/>
      <c r="R48" s="5"/>
      <c r="S48" s="27">
        <v>86</v>
      </c>
      <c r="T48" s="28" t="s">
        <v>160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161</v>
      </c>
      <c r="J49" s="15">
        <v>4500</v>
      </c>
      <c r="K49" s="15">
        <v>900</v>
      </c>
      <c r="L49" s="15" t="s">
        <v>157</v>
      </c>
      <c r="M49" s="15"/>
      <c r="N49" s="15"/>
      <c r="O49" s="15"/>
      <c r="P49" s="14"/>
      <c r="Q49" s="14"/>
      <c r="R49" s="5"/>
      <c r="S49" s="27">
        <v>88</v>
      </c>
      <c r="T49" s="28" t="s">
        <v>162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163</v>
      </c>
      <c r="J50" s="15">
        <v>4600</v>
      </c>
      <c r="K50" s="15">
        <v>920</v>
      </c>
      <c r="L50" s="15" t="s">
        <v>164</v>
      </c>
      <c r="M50" s="15"/>
      <c r="N50" s="15"/>
      <c r="O50" s="15"/>
      <c r="P50" s="14"/>
      <c r="Q50" s="14"/>
      <c r="R50" s="5"/>
      <c r="S50" s="27">
        <v>90</v>
      </c>
      <c r="T50" s="28" t="s">
        <v>165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166</v>
      </c>
      <c r="J51" s="15">
        <v>4700</v>
      </c>
      <c r="K51" s="15">
        <v>940</v>
      </c>
      <c r="L51" s="15" t="s">
        <v>164</v>
      </c>
      <c r="M51" s="15"/>
      <c r="N51" s="15"/>
      <c r="O51" s="15"/>
      <c r="P51" s="14"/>
      <c r="Q51" s="14"/>
      <c r="R51" s="5"/>
      <c r="S51" s="27">
        <v>92</v>
      </c>
      <c r="T51" s="28" t="s">
        <v>167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168</v>
      </c>
      <c r="J52" s="15">
        <v>4800</v>
      </c>
      <c r="K52" s="15">
        <v>960</v>
      </c>
      <c r="L52" s="15" t="s">
        <v>164</v>
      </c>
      <c r="M52" s="15"/>
      <c r="N52" s="15"/>
      <c r="O52" s="15"/>
      <c r="P52" s="14"/>
      <c r="Q52" s="14"/>
      <c r="R52" s="5"/>
      <c r="S52" s="27">
        <v>94</v>
      </c>
      <c r="T52" s="28" t="s">
        <v>169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170</v>
      </c>
      <c r="J53" s="15">
        <v>4900</v>
      </c>
      <c r="K53" s="15">
        <v>980</v>
      </c>
      <c r="L53" s="15" t="s">
        <v>171</v>
      </c>
      <c r="M53" s="15"/>
      <c r="N53" s="15"/>
      <c r="O53" s="15"/>
      <c r="P53" s="14"/>
      <c r="Q53" s="14"/>
      <c r="R53" s="5"/>
      <c r="S53" s="27">
        <v>96</v>
      </c>
      <c r="T53" s="11" t="s">
        <v>172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173</v>
      </c>
      <c r="J54" s="15">
        <v>5000</v>
      </c>
      <c r="K54" s="15">
        <v>1000</v>
      </c>
      <c r="L54" s="15" t="s">
        <v>171</v>
      </c>
      <c r="M54" s="15"/>
      <c r="N54" s="15"/>
      <c r="O54" s="15"/>
      <c r="P54" s="14"/>
      <c r="Q54" s="14"/>
      <c r="R54" s="5"/>
      <c r="S54" s="27">
        <v>98</v>
      </c>
      <c r="T54" s="28" t="s">
        <v>174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175</v>
      </c>
      <c r="J55" s="15">
        <v>5100</v>
      </c>
      <c r="K55" s="15">
        <v>1020</v>
      </c>
      <c r="L55" s="15" t="s">
        <v>171</v>
      </c>
      <c r="M55" s="15"/>
      <c r="N55" s="15"/>
      <c r="O55" s="15"/>
      <c r="P55" s="14"/>
      <c r="Q55" s="14"/>
      <c r="R55" s="5"/>
      <c r="S55" s="27">
        <v>100</v>
      </c>
      <c r="T55" s="28" t="s">
        <v>176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177</v>
      </c>
      <c r="J56" s="15">
        <v>5200</v>
      </c>
      <c r="K56" s="15">
        <v>1040</v>
      </c>
      <c r="L56" s="15" t="s">
        <v>178</v>
      </c>
      <c r="M56" s="15"/>
      <c r="N56" s="15"/>
      <c r="O56" s="15"/>
      <c r="P56" s="14"/>
      <c r="Q56" s="14"/>
      <c r="R56" s="5"/>
      <c r="S56" s="27">
        <v>102</v>
      </c>
      <c r="T56" s="28" t="s">
        <v>179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180</v>
      </c>
      <c r="J57" s="15">
        <v>5300</v>
      </c>
      <c r="K57" s="15">
        <v>1060</v>
      </c>
      <c r="L57" s="15" t="s">
        <v>178</v>
      </c>
      <c r="M57" s="15"/>
      <c r="N57" s="15"/>
      <c r="O57" s="15"/>
      <c r="P57" s="14"/>
      <c r="Q57" s="14"/>
      <c r="R57" s="5"/>
      <c r="S57" s="27">
        <v>104</v>
      </c>
      <c r="T57" s="28" t="s">
        <v>181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182</v>
      </c>
      <c r="J58" s="15">
        <v>5400</v>
      </c>
      <c r="K58" s="15">
        <v>1080</v>
      </c>
      <c r="L58" s="15" t="s">
        <v>178</v>
      </c>
      <c r="M58" s="15"/>
      <c r="N58" s="15"/>
      <c r="O58" s="15"/>
      <c r="P58" s="14"/>
      <c r="Q58" s="14"/>
      <c r="R58" s="5"/>
      <c r="S58" s="27">
        <v>106</v>
      </c>
      <c r="T58" s="28" t="s">
        <v>183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184</v>
      </c>
      <c r="J59" s="15">
        <v>5500</v>
      </c>
      <c r="K59" s="15">
        <v>1100</v>
      </c>
      <c r="L59" s="15" t="s">
        <v>185</v>
      </c>
      <c r="M59" s="15"/>
      <c r="N59" s="15"/>
      <c r="O59" s="15"/>
      <c r="P59" s="14"/>
      <c r="Q59" s="14"/>
      <c r="R59" s="5"/>
      <c r="S59" s="27">
        <v>108</v>
      </c>
      <c r="T59" s="28" t="s">
        <v>186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187</v>
      </c>
      <c r="J60" s="15">
        <v>5600</v>
      </c>
      <c r="K60" s="15">
        <v>1120</v>
      </c>
      <c r="L60" s="15" t="s">
        <v>185</v>
      </c>
      <c r="M60" s="15"/>
      <c r="N60" s="15"/>
      <c r="O60" s="15"/>
      <c r="P60" s="14"/>
      <c r="Q60" s="14"/>
      <c r="R60" s="5"/>
      <c r="S60" s="27">
        <v>110</v>
      </c>
      <c r="T60" s="28" t="s">
        <v>188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189</v>
      </c>
      <c r="J61" s="15">
        <v>5700</v>
      </c>
      <c r="K61" s="15">
        <v>1140</v>
      </c>
      <c r="L61" s="15" t="s">
        <v>185</v>
      </c>
      <c r="M61" s="15"/>
      <c r="N61" s="15"/>
      <c r="O61" s="15"/>
      <c r="P61" s="14"/>
      <c r="Q61" s="14"/>
      <c r="R61" s="5"/>
      <c r="S61" s="27">
        <v>112</v>
      </c>
      <c r="T61" s="28" t="s">
        <v>190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191</v>
      </c>
      <c r="J62" s="15">
        <v>5800</v>
      </c>
      <c r="K62" s="15">
        <v>1160</v>
      </c>
      <c r="L62" s="15" t="s">
        <v>192</v>
      </c>
      <c r="M62" s="15"/>
      <c r="N62" s="15"/>
      <c r="O62" s="15"/>
      <c r="P62" s="14"/>
      <c r="Q62" s="14"/>
      <c r="R62" s="5"/>
      <c r="S62" s="27">
        <v>114</v>
      </c>
      <c r="T62" s="28" t="s">
        <v>193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194</v>
      </c>
      <c r="J63" s="15">
        <v>5900</v>
      </c>
      <c r="K63" s="15">
        <v>1180</v>
      </c>
      <c r="L63" s="15" t="s">
        <v>192</v>
      </c>
      <c r="M63" s="15"/>
      <c r="N63" s="15"/>
      <c r="O63" s="15"/>
      <c r="P63" s="14"/>
      <c r="Q63" s="14"/>
      <c r="R63" s="5"/>
      <c r="S63" s="27">
        <v>116</v>
      </c>
      <c r="T63" s="28" t="s">
        <v>195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20</v>
      </c>
      <c r="F64" s="25">
        <v>60</v>
      </c>
      <c r="G64" s="10">
        <v>12</v>
      </c>
      <c r="H64" s="10"/>
      <c r="I64" s="25" t="s">
        <v>196</v>
      </c>
      <c r="J64" s="15">
        <v>6000</v>
      </c>
      <c r="K64" s="15">
        <v>1200</v>
      </c>
      <c r="L64" s="15" t="s">
        <v>192</v>
      </c>
      <c r="M64" s="15"/>
      <c r="N64" s="15"/>
      <c r="O64" s="15"/>
      <c r="P64" s="14"/>
      <c r="Q64" s="14"/>
      <c r="R64" s="5"/>
      <c r="S64" s="27">
        <v>118</v>
      </c>
      <c r="T64" s="28" t="s">
        <v>197</v>
      </c>
    </row>
    <row r="65" customHeight="1" spans="1:20">
      <c r="A65" s="25">
        <f t="shared" si="2"/>
        <v>1102001</v>
      </c>
      <c r="B65" s="25">
        <v>1102</v>
      </c>
      <c r="C65" s="25" t="s">
        <v>198</v>
      </c>
      <c r="D65" s="25" t="s">
        <v>199</v>
      </c>
      <c r="E65" s="25">
        <v>3</v>
      </c>
      <c r="F65" s="25">
        <v>1</v>
      </c>
      <c r="G65" s="10">
        <v>6</v>
      </c>
      <c r="H65" s="10" t="s">
        <v>200</v>
      </c>
      <c r="I65" s="25" t="s">
        <v>201</v>
      </c>
      <c r="J65" s="15">
        <v>200</v>
      </c>
      <c r="K65" s="15">
        <v>25</v>
      </c>
      <c r="L65" s="15" t="s">
        <v>71</v>
      </c>
      <c r="M65" s="15"/>
      <c r="N65" s="15"/>
      <c r="O65" s="15"/>
      <c r="P65" s="14" t="s">
        <v>202</v>
      </c>
      <c r="Q65" s="14" t="s">
        <v>203</v>
      </c>
      <c r="R65" s="5" t="s">
        <v>204</v>
      </c>
      <c r="S65" s="27">
        <v>1</v>
      </c>
      <c r="T65" s="28" t="s">
        <v>205</v>
      </c>
    </row>
    <row r="66" customHeight="1" spans="1:20">
      <c r="A66" s="25">
        <f t="shared" si="2"/>
        <v>1102002</v>
      </c>
      <c r="B66" s="25">
        <v>1102</v>
      </c>
      <c r="C66" s="25" t="s">
        <v>198</v>
      </c>
      <c r="D66" s="25" t="s">
        <v>199</v>
      </c>
      <c r="E66" s="25">
        <v>3</v>
      </c>
      <c r="F66" s="25">
        <v>2</v>
      </c>
      <c r="G66" s="10">
        <v>9</v>
      </c>
      <c r="H66" s="10" t="s">
        <v>206</v>
      </c>
      <c r="I66" s="25" t="s">
        <v>207</v>
      </c>
      <c r="J66" s="15">
        <v>400</v>
      </c>
      <c r="K66" s="15">
        <v>50</v>
      </c>
      <c r="L66" s="15" t="s">
        <v>71</v>
      </c>
      <c r="M66" s="15"/>
      <c r="N66" s="15"/>
      <c r="O66" s="15"/>
      <c r="P66" s="14" t="s">
        <v>208</v>
      </c>
      <c r="Q66" s="14" t="s">
        <v>209</v>
      </c>
      <c r="R66" s="5">
        <v>1102264</v>
      </c>
      <c r="S66" s="27">
        <v>2</v>
      </c>
      <c r="T66" s="28" t="s">
        <v>210</v>
      </c>
    </row>
    <row r="67" customHeight="1" spans="1:20">
      <c r="A67" s="25">
        <f t="shared" si="2"/>
        <v>1102003</v>
      </c>
      <c r="B67" s="25">
        <v>1102</v>
      </c>
      <c r="C67" s="25" t="s">
        <v>198</v>
      </c>
      <c r="D67" s="25" t="s">
        <v>199</v>
      </c>
      <c r="E67" s="25">
        <v>3</v>
      </c>
      <c r="F67" s="25">
        <v>3</v>
      </c>
      <c r="G67" s="10">
        <v>12</v>
      </c>
      <c r="H67" s="10" t="s">
        <v>211</v>
      </c>
      <c r="I67" s="25" t="s">
        <v>212</v>
      </c>
      <c r="J67" s="15">
        <v>600</v>
      </c>
      <c r="K67" s="15">
        <v>75</v>
      </c>
      <c r="L67" s="15" t="s">
        <v>71</v>
      </c>
      <c r="M67" s="15"/>
      <c r="N67" s="15"/>
      <c r="O67" s="15"/>
      <c r="P67" s="14" t="s">
        <v>213</v>
      </c>
      <c r="Q67" s="14" t="s">
        <v>214</v>
      </c>
      <c r="R67" s="5">
        <v>1102263</v>
      </c>
      <c r="S67" s="27">
        <v>4</v>
      </c>
      <c r="T67" s="28" t="s">
        <v>215</v>
      </c>
    </row>
    <row r="68" customHeight="1" spans="1:20">
      <c r="A68" s="25">
        <f t="shared" si="2"/>
        <v>1102004</v>
      </c>
      <c r="B68" s="25">
        <v>1102</v>
      </c>
      <c r="C68" s="25" t="s">
        <v>198</v>
      </c>
      <c r="D68" s="25" t="s">
        <v>199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216</v>
      </c>
      <c r="J68" s="15">
        <v>800</v>
      </c>
      <c r="K68" s="15">
        <v>100</v>
      </c>
      <c r="L68" s="15" t="s">
        <v>78</v>
      </c>
      <c r="M68" s="15"/>
      <c r="N68" s="15"/>
      <c r="O68" s="15"/>
      <c r="R68" s="5">
        <v>1102257</v>
      </c>
      <c r="S68" s="27">
        <v>6</v>
      </c>
      <c r="T68" s="28" t="s">
        <v>217</v>
      </c>
    </row>
    <row r="69" customHeight="1" spans="1:20">
      <c r="A69" s="25">
        <f t="shared" si="2"/>
        <v>1102005</v>
      </c>
      <c r="B69" s="25">
        <v>1102</v>
      </c>
      <c r="C69" s="25" t="s">
        <v>198</v>
      </c>
      <c r="D69" s="25" t="s">
        <v>199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218</v>
      </c>
      <c r="J69" s="15">
        <v>1000</v>
      </c>
      <c r="K69" s="15">
        <v>125</v>
      </c>
      <c r="L69" s="15" t="s">
        <v>78</v>
      </c>
      <c r="M69" s="15" t="s">
        <v>219</v>
      </c>
      <c r="N69" s="15">
        <v>10</v>
      </c>
      <c r="O69" s="15"/>
      <c r="R69" s="5">
        <v>1102255</v>
      </c>
      <c r="S69" s="27">
        <v>8</v>
      </c>
      <c r="T69" s="28" t="s">
        <v>220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198</v>
      </c>
      <c r="D70" s="25" t="s">
        <v>199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221</v>
      </c>
      <c r="J70" s="15">
        <v>1200</v>
      </c>
      <c r="K70" s="15">
        <v>150</v>
      </c>
      <c r="L70" s="15" t="s">
        <v>78</v>
      </c>
      <c r="M70" s="15"/>
      <c r="N70" s="15"/>
      <c r="O70" s="15"/>
      <c r="R70" s="5">
        <v>1102259</v>
      </c>
      <c r="S70" s="27">
        <v>10</v>
      </c>
      <c r="T70" s="28" t="s">
        <v>222</v>
      </c>
    </row>
    <row r="71" customHeight="1" spans="1:20">
      <c r="A71" s="25">
        <f t="shared" si="4"/>
        <v>1102007</v>
      </c>
      <c r="B71" s="25">
        <v>1102</v>
      </c>
      <c r="C71" s="25" t="s">
        <v>198</v>
      </c>
      <c r="D71" s="25" t="s">
        <v>199</v>
      </c>
      <c r="E71" s="25">
        <f t="shared" si="3"/>
        <v>5</v>
      </c>
      <c r="F71" s="25">
        <v>7</v>
      </c>
      <c r="G71" s="10">
        <v>12</v>
      </c>
      <c r="I71" s="25" t="s">
        <v>223</v>
      </c>
      <c r="J71" s="15">
        <v>1400</v>
      </c>
      <c r="K71" s="15">
        <v>175</v>
      </c>
      <c r="L71" s="15" t="s">
        <v>86</v>
      </c>
      <c r="M71" s="15"/>
      <c r="N71" s="15"/>
      <c r="O71" s="15"/>
      <c r="R71" s="5">
        <v>1102261</v>
      </c>
      <c r="S71" s="27">
        <v>12</v>
      </c>
      <c r="T71" s="28" t="s">
        <v>224</v>
      </c>
    </row>
    <row r="72" customHeight="1" spans="1:20">
      <c r="A72" s="25">
        <f t="shared" si="4"/>
        <v>1102008</v>
      </c>
      <c r="B72" s="25">
        <v>1102</v>
      </c>
      <c r="C72" s="25" t="s">
        <v>198</v>
      </c>
      <c r="D72" s="25" t="s">
        <v>199</v>
      </c>
      <c r="E72" s="25">
        <f t="shared" si="3"/>
        <v>5</v>
      </c>
      <c r="F72" s="25">
        <v>8</v>
      </c>
      <c r="G72" s="10">
        <v>12</v>
      </c>
      <c r="I72" s="25" t="s">
        <v>225</v>
      </c>
      <c r="J72" s="15">
        <v>1600</v>
      </c>
      <c r="K72" s="15">
        <v>200</v>
      </c>
      <c r="L72" s="15" t="s">
        <v>86</v>
      </c>
      <c r="M72" s="15"/>
      <c r="N72" s="15"/>
      <c r="O72" s="15"/>
      <c r="R72" s="5">
        <v>1102251</v>
      </c>
      <c r="S72" s="27">
        <v>14</v>
      </c>
      <c r="T72" s="28" t="s">
        <v>226</v>
      </c>
    </row>
    <row r="73" customHeight="1" spans="1:20">
      <c r="A73" s="25">
        <f t="shared" si="4"/>
        <v>1102009</v>
      </c>
      <c r="B73" s="25">
        <v>1102</v>
      </c>
      <c r="C73" s="25" t="s">
        <v>198</v>
      </c>
      <c r="D73" s="25" t="s">
        <v>199</v>
      </c>
      <c r="E73" s="25">
        <f t="shared" si="3"/>
        <v>5</v>
      </c>
      <c r="F73" s="25">
        <v>9</v>
      </c>
      <c r="G73" s="10">
        <v>12</v>
      </c>
      <c r="I73" s="25" t="s">
        <v>227</v>
      </c>
      <c r="J73" s="15">
        <v>1800</v>
      </c>
      <c r="K73" s="15">
        <v>225</v>
      </c>
      <c r="L73" s="15" t="s">
        <v>86</v>
      </c>
      <c r="M73" s="15"/>
      <c r="N73" s="15"/>
      <c r="O73" s="15"/>
      <c r="R73" s="5">
        <v>1102253</v>
      </c>
      <c r="S73" s="27">
        <v>16</v>
      </c>
      <c r="T73" s="28" t="s">
        <v>228</v>
      </c>
    </row>
    <row r="74" customHeight="1" spans="1:20">
      <c r="A74" s="25">
        <f t="shared" si="4"/>
        <v>1102010</v>
      </c>
      <c r="B74" s="25">
        <v>1102</v>
      </c>
      <c r="C74" s="25" t="s">
        <v>198</v>
      </c>
      <c r="D74" s="25" t="s">
        <v>199</v>
      </c>
      <c r="E74" s="25">
        <f t="shared" si="3"/>
        <v>6</v>
      </c>
      <c r="F74" s="25">
        <v>10</v>
      </c>
      <c r="G74" s="10">
        <v>12</v>
      </c>
      <c r="I74" s="25" t="s">
        <v>229</v>
      </c>
      <c r="J74" s="15">
        <v>2000</v>
      </c>
      <c r="K74" s="15">
        <v>250</v>
      </c>
      <c r="L74" s="15" t="s">
        <v>94</v>
      </c>
      <c r="M74" s="15" t="s">
        <v>230</v>
      </c>
      <c r="N74" s="15">
        <v>20</v>
      </c>
      <c r="O74" s="15"/>
      <c r="R74" s="5">
        <v>1102269</v>
      </c>
      <c r="S74" s="27">
        <v>18</v>
      </c>
      <c r="T74" s="28" t="s">
        <v>231</v>
      </c>
    </row>
    <row r="75" customHeight="1" spans="1:20">
      <c r="A75" s="25">
        <f t="shared" si="4"/>
        <v>1102011</v>
      </c>
      <c r="B75" s="25">
        <v>1102</v>
      </c>
      <c r="C75" s="25" t="s">
        <v>198</v>
      </c>
      <c r="D75" s="25" t="s">
        <v>199</v>
      </c>
      <c r="E75" s="25">
        <f t="shared" si="3"/>
        <v>6</v>
      </c>
      <c r="F75" s="25">
        <v>11</v>
      </c>
      <c r="G75" s="10">
        <v>12</v>
      </c>
      <c r="I75" s="25" t="s">
        <v>232</v>
      </c>
      <c r="J75" s="15">
        <v>2200</v>
      </c>
      <c r="K75" s="15">
        <v>275</v>
      </c>
      <c r="L75" s="15" t="s">
        <v>94</v>
      </c>
      <c r="M75" s="15"/>
      <c r="N75" s="15"/>
      <c r="O75" s="15"/>
      <c r="R75" s="5">
        <v>1102268</v>
      </c>
      <c r="S75" s="27">
        <v>20</v>
      </c>
      <c r="T75" s="28" t="s">
        <v>233</v>
      </c>
    </row>
    <row r="76" customHeight="1" spans="1:20">
      <c r="A76" s="25">
        <f t="shared" si="4"/>
        <v>1102012</v>
      </c>
      <c r="B76" s="25">
        <v>1102</v>
      </c>
      <c r="C76" s="25" t="s">
        <v>198</v>
      </c>
      <c r="D76" s="25" t="s">
        <v>199</v>
      </c>
      <c r="E76" s="25">
        <f t="shared" si="3"/>
        <v>6</v>
      </c>
      <c r="F76" s="25">
        <v>12</v>
      </c>
      <c r="G76" s="10">
        <v>12</v>
      </c>
      <c r="I76" s="25" t="s">
        <v>234</v>
      </c>
      <c r="J76" s="15">
        <v>2400</v>
      </c>
      <c r="K76" s="15">
        <v>300</v>
      </c>
      <c r="L76" s="15" t="s">
        <v>94</v>
      </c>
      <c r="M76" s="15"/>
      <c r="N76" s="15"/>
      <c r="O76" s="15"/>
      <c r="R76" s="5">
        <v>1102267</v>
      </c>
      <c r="S76" s="27">
        <v>22</v>
      </c>
      <c r="T76" s="28" t="s">
        <v>235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198</v>
      </c>
      <c r="D77" s="25" t="s">
        <v>199</v>
      </c>
      <c r="E77" s="25">
        <f t="shared" si="3"/>
        <v>7</v>
      </c>
      <c r="F77" s="25">
        <v>13</v>
      </c>
      <c r="G77" s="10">
        <v>12</v>
      </c>
      <c r="I77" s="25" t="s">
        <v>236</v>
      </c>
      <c r="J77" s="15">
        <v>2600</v>
      </c>
      <c r="K77" s="15">
        <v>325</v>
      </c>
      <c r="L77" s="15" t="s">
        <v>101</v>
      </c>
      <c r="M77" s="15"/>
      <c r="N77" s="15"/>
      <c r="O77" s="15"/>
      <c r="R77" s="5">
        <v>1102274</v>
      </c>
      <c r="S77" s="27">
        <v>24</v>
      </c>
      <c r="T77" s="28" t="s">
        <v>237</v>
      </c>
    </row>
    <row r="78" customHeight="1" spans="1:20">
      <c r="A78" s="25">
        <f t="shared" si="5"/>
        <v>1102014</v>
      </c>
      <c r="B78" s="25">
        <v>1102</v>
      </c>
      <c r="C78" s="25" t="s">
        <v>198</v>
      </c>
      <c r="D78" s="25" t="s">
        <v>199</v>
      </c>
      <c r="E78" s="25">
        <f t="shared" si="3"/>
        <v>7</v>
      </c>
      <c r="F78" s="25">
        <v>14</v>
      </c>
      <c r="G78" s="10">
        <v>12</v>
      </c>
      <c r="I78" s="25" t="s">
        <v>238</v>
      </c>
      <c r="J78" s="15">
        <v>2800</v>
      </c>
      <c r="K78" s="15">
        <v>350</v>
      </c>
      <c r="L78" s="15" t="s">
        <v>101</v>
      </c>
      <c r="M78" s="15"/>
      <c r="N78" s="15"/>
      <c r="O78" s="15"/>
      <c r="R78" s="5">
        <v>1102265</v>
      </c>
      <c r="S78" s="27">
        <v>26</v>
      </c>
      <c r="T78" s="28" t="s">
        <v>239</v>
      </c>
    </row>
    <row r="79" customHeight="1" spans="1:20">
      <c r="A79" s="25">
        <f t="shared" si="5"/>
        <v>1102015</v>
      </c>
      <c r="B79" s="25">
        <v>1102</v>
      </c>
      <c r="C79" s="25" t="s">
        <v>198</v>
      </c>
      <c r="D79" s="25" t="s">
        <v>199</v>
      </c>
      <c r="E79" s="25">
        <f t="shared" si="3"/>
        <v>7</v>
      </c>
      <c r="F79" s="25">
        <v>15</v>
      </c>
      <c r="G79" s="10">
        <v>12</v>
      </c>
      <c r="I79" s="25" t="s">
        <v>240</v>
      </c>
      <c r="J79" s="15">
        <v>3000</v>
      </c>
      <c r="K79" s="15">
        <v>375</v>
      </c>
      <c r="L79" s="15" t="s">
        <v>101</v>
      </c>
      <c r="M79" s="15" t="s">
        <v>241</v>
      </c>
      <c r="N79" s="15">
        <v>30</v>
      </c>
      <c r="O79" s="15"/>
      <c r="R79" s="5">
        <v>1102273</v>
      </c>
      <c r="S79" s="27">
        <v>28</v>
      </c>
      <c r="T79" s="28" t="s">
        <v>242</v>
      </c>
    </row>
    <row r="80" customHeight="1" spans="1:20">
      <c r="A80" s="25">
        <f t="shared" si="5"/>
        <v>1102016</v>
      </c>
      <c r="B80" s="25">
        <v>1102</v>
      </c>
      <c r="C80" s="25" t="s">
        <v>198</v>
      </c>
      <c r="D80" s="25" t="s">
        <v>199</v>
      </c>
      <c r="E80" s="25">
        <f t="shared" si="3"/>
        <v>8</v>
      </c>
      <c r="F80" s="25">
        <v>16</v>
      </c>
      <c r="G80" s="10">
        <v>12</v>
      </c>
      <c r="I80" s="25" t="s">
        <v>243</v>
      </c>
      <c r="J80" s="15">
        <v>3200</v>
      </c>
      <c r="K80" s="15">
        <v>400</v>
      </c>
      <c r="L80" s="15" t="s">
        <v>108</v>
      </c>
      <c r="M80" s="15"/>
      <c r="N80" s="15"/>
      <c r="O80" s="15"/>
      <c r="R80" s="5">
        <v>1102270</v>
      </c>
      <c r="S80" s="27">
        <v>30</v>
      </c>
      <c r="T80" s="28" t="s">
        <v>244</v>
      </c>
    </row>
    <row r="81" customHeight="1" spans="1:20">
      <c r="A81" s="25">
        <f t="shared" si="5"/>
        <v>1102017</v>
      </c>
      <c r="B81" s="25">
        <v>1102</v>
      </c>
      <c r="C81" s="25" t="s">
        <v>198</v>
      </c>
      <c r="D81" s="25" t="s">
        <v>199</v>
      </c>
      <c r="E81" s="25">
        <f t="shared" si="3"/>
        <v>8</v>
      </c>
      <c r="F81" s="25">
        <v>17</v>
      </c>
      <c r="G81" s="10">
        <v>12</v>
      </c>
      <c r="I81" s="25" t="s">
        <v>245</v>
      </c>
      <c r="J81" s="15">
        <v>3400</v>
      </c>
      <c r="K81" s="15">
        <v>425</v>
      </c>
      <c r="L81" s="15" t="s">
        <v>108</v>
      </c>
      <c r="M81" s="15"/>
      <c r="N81" s="15"/>
      <c r="O81" s="15"/>
      <c r="R81" s="5">
        <v>1102271</v>
      </c>
      <c r="S81" s="27">
        <v>32</v>
      </c>
      <c r="T81" s="28" t="s">
        <v>246</v>
      </c>
    </row>
    <row r="82" customHeight="1" spans="1:20">
      <c r="A82" s="25">
        <f t="shared" si="5"/>
        <v>1102018</v>
      </c>
      <c r="B82" s="25">
        <v>1102</v>
      </c>
      <c r="C82" s="25" t="s">
        <v>198</v>
      </c>
      <c r="D82" s="25" t="s">
        <v>199</v>
      </c>
      <c r="E82" s="25">
        <f t="shared" si="3"/>
        <v>8</v>
      </c>
      <c r="F82" s="25">
        <v>18</v>
      </c>
      <c r="G82" s="10">
        <v>12</v>
      </c>
      <c r="I82" s="25" t="s">
        <v>247</v>
      </c>
      <c r="J82" s="15">
        <v>3600</v>
      </c>
      <c r="K82" s="15">
        <v>450</v>
      </c>
      <c r="L82" s="15" t="s">
        <v>108</v>
      </c>
      <c r="M82" s="15"/>
      <c r="N82" s="15"/>
      <c r="O82" s="15"/>
      <c r="S82" s="27">
        <v>34</v>
      </c>
      <c r="T82" s="28" t="s">
        <v>248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198</v>
      </c>
      <c r="D83" s="25" t="s">
        <v>199</v>
      </c>
      <c r="E83" s="25">
        <f t="shared" si="3"/>
        <v>9</v>
      </c>
      <c r="F83" s="25">
        <v>19</v>
      </c>
      <c r="G83" s="10">
        <v>12</v>
      </c>
      <c r="I83" s="25" t="s">
        <v>249</v>
      </c>
      <c r="J83" s="15">
        <v>3800</v>
      </c>
      <c r="K83" s="15">
        <v>475</v>
      </c>
      <c r="L83" s="15" t="s">
        <v>115</v>
      </c>
      <c r="M83" s="15"/>
      <c r="N83" s="15"/>
      <c r="O83" s="15"/>
      <c r="S83" s="27">
        <v>36</v>
      </c>
      <c r="T83" s="28" t="s">
        <v>250</v>
      </c>
    </row>
    <row r="84" customHeight="1" spans="1:20">
      <c r="A84" s="25">
        <f t="shared" si="6"/>
        <v>1102020</v>
      </c>
      <c r="B84" s="25">
        <v>1102</v>
      </c>
      <c r="C84" s="25" t="s">
        <v>198</v>
      </c>
      <c r="D84" s="25" t="s">
        <v>199</v>
      </c>
      <c r="E84" s="25">
        <f t="shared" si="3"/>
        <v>9</v>
      </c>
      <c r="F84" s="25">
        <v>20</v>
      </c>
      <c r="G84" s="10">
        <v>12</v>
      </c>
      <c r="I84" s="25" t="s">
        <v>251</v>
      </c>
      <c r="J84" s="15">
        <v>4000</v>
      </c>
      <c r="K84" s="15">
        <v>500</v>
      </c>
      <c r="L84" s="15" t="s">
        <v>115</v>
      </c>
      <c r="M84" s="15" t="s">
        <v>252</v>
      </c>
      <c r="N84" s="15">
        <v>40</v>
      </c>
      <c r="O84" s="15"/>
      <c r="S84" s="27">
        <v>38</v>
      </c>
      <c r="T84" s="28" t="s">
        <v>253</v>
      </c>
    </row>
    <row r="85" customHeight="1" spans="1:20">
      <c r="A85" s="25">
        <f t="shared" si="6"/>
        <v>1102021</v>
      </c>
      <c r="B85" s="25">
        <v>1102</v>
      </c>
      <c r="C85" s="25" t="s">
        <v>198</v>
      </c>
      <c r="D85" s="25" t="s">
        <v>199</v>
      </c>
      <c r="E85" s="25">
        <f t="shared" si="3"/>
        <v>9</v>
      </c>
      <c r="F85" s="25">
        <v>21</v>
      </c>
      <c r="G85" s="10">
        <v>12</v>
      </c>
      <c r="I85" s="25" t="s">
        <v>254</v>
      </c>
      <c r="J85" s="15">
        <v>4200</v>
      </c>
      <c r="K85" s="15">
        <v>525</v>
      </c>
      <c r="L85" s="15" t="s">
        <v>115</v>
      </c>
      <c r="M85" s="15"/>
      <c r="N85" s="15"/>
      <c r="O85" s="15"/>
      <c r="S85" s="27">
        <v>40</v>
      </c>
      <c r="T85" s="28" t="s">
        <v>255</v>
      </c>
    </row>
    <row r="86" customHeight="1" spans="1:20">
      <c r="A86" s="25">
        <f t="shared" si="6"/>
        <v>1102022</v>
      </c>
      <c r="B86" s="25">
        <v>1102</v>
      </c>
      <c r="C86" s="25" t="s">
        <v>198</v>
      </c>
      <c r="D86" s="25" t="s">
        <v>199</v>
      </c>
      <c r="E86" s="25">
        <f t="shared" si="3"/>
        <v>10</v>
      </c>
      <c r="F86" s="25">
        <v>22</v>
      </c>
      <c r="G86" s="10">
        <v>12</v>
      </c>
      <c r="I86" s="25" t="s">
        <v>256</v>
      </c>
      <c r="J86" s="15">
        <v>4400</v>
      </c>
      <c r="K86" s="15">
        <v>550</v>
      </c>
      <c r="L86" s="15" t="s">
        <v>122</v>
      </c>
      <c r="M86" s="15"/>
      <c r="N86" s="15"/>
      <c r="O86" s="15"/>
      <c r="S86" s="27">
        <v>42</v>
      </c>
      <c r="T86" s="28" t="s">
        <v>257</v>
      </c>
    </row>
    <row r="87" customHeight="1" spans="1:20">
      <c r="A87" s="25">
        <f t="shared" si="6"/>
        <v>1102023</v>
      </c>
      <c r="B87" s="25">
        <v>1102</v>
      </c>
      <c r="C87" s="25" t="s">
        <v>198</v>
      </c>
      <c r="D87" s="25" t="s">
        <v>199</v>
      </c>
      <c r="E87" s="25">
        <f t="shared" si="3"/>
        <v>10</v>
      </c>
      <c r="F87" s="25">
        <v>23</v>
      </c>
      <c r="G87" s="10">
        <v>12</v>
      </c>
      <c r="I87" s="25" t="s">
        <v>258</v>
      </c>
      <c r="J87" s="15">
        <v>4600</v>
      </c>
      <c r="K87" s="15">
        <v>575</v>
      </c>
      <c r="L87" s="15" t="s">
        <v>122</v>
      </c>
      <c r="M87" s="15"/>
      <c r="N87" s="15"/>
      <c r="O87" s="15"/>
      <c r="S87" s="27">
        <v>44</v>
      </c>
      <c r="T87" s="28" t="s">
        <v>259</v>
      </c>
    </row>
    <row r="88" customHeight="1" spans="1:20">
      <c r="A88" s="25">
        <f t="shared" si="6"/>
        <v>1102024</v>
      </c>
      <c r="B88" s="25">
        <v>1102</v>
      </c>
      <c r="C88" s="25" t="s">
        <v>198</v>
      </c>
      <c r="D88" s="25" t="s">
        <v>199</v>
      </c>
      <c r="E88" s="25">
        <f t="shared" si="3"/>
        <v>10</v>
      </c>
      <c r="F88" s="25">
        <v>24</v>
      </c>
      <c r="G88" s="10">
        <v>12</v>
      </c>
      <c r="I88" s="25" t="s">
        <v>260</v>
      </c>
      <c r="J88" s="15">
        <v>4800</v>
      </c>
      <c r="K88" s="15">
        <v>600</v>
      </c>
      <c r="L88" s="15" t="s">
        <v>122</v>
      </c>
      <c r="M88" s="15"/>
      <c r="N88" s="15"/>
      <c r="O88" s="15"/>
      <c r="S88" s="27">
        <v>46</v>
      </c>
      <c r="T88" s="28" t="s">
        <v>261</v>
      </c>
    </row>
    <row r="89" customHeight="1" spans="1:20">
      <c r="A89" s="25">
        <f t="shared" si="6"/>
        <v>1102025</v>
      </c>
      <c r="B89" s="25">
        <v>1102</v>
      </c>
      <c r="C89" s="25" t="s">
        <v>198</v>
      </c>
      <c r="D89" s="25" t="s">
        <v>199</v>
      </c>
      <c r="E89" s="25">
        <f t="shared" si="3"/>
        <v>11</v>
      </c>
      <c r="F89" s="25">
        <v>25</v>
      </c>
      <c r="G89" s="10">
        <v>12</v>
      </c>
      <c r="I89" s="25" t="s">
        <v>262</v>
      </c>
      <c r="J89" s="15">
        <v>5000</v>
      </c>
      <c r="K89" s="15">
        <v>625</v>
      </c>
      <c r="L89" s="15" t="s">
        <v>129</v>
      </c>
      <c r="M89" s="15"/>
      <c r="N89" s="15">
        <v>50</v>
      </c>
      <c r="O89" s="15"/>
      <c r="S89" s="27">
        <v>48</v>
      </c>
      <c r="T89" s="28" t="s">
        <v>263</v>
      </c>
    </row>
    <row r="90" customHeight="1" spans="1:20">
      <c r="A90" s="25">
        <f t="shared" si="6"/>
        <v>1102026</v>
      </c>
      <c r="B90" s="25">
        <v>1102</v>
      </c>
      <c r="C90" s="25" t="s">
        <v>198</v>
      </c>
      <c r="D90" s="25" t="s">
        <v>199</v>
      </c>
      <c r="E90" s="25">
        <f t="shared" si="3"/>
        <v>11</v>
      </c>
      <c r="F90" s="25">
        <v>26</v>
      </c>
      <c r="G90" s="10">
        <v>12</v>
      </c>
      <c r="I90" s="25" t="s">
        <v>264</v>
      </c>
      <c r="J90" s="15">
        <v>5200</v>
      </c>
      <c r="K90" s="15">
        <v>650</v>
      </c>
      <c r="L90" s="15" t="s">
        <v>129</v>
      </c>
      <c r="M90" s="15"/>
      <c r="N90" s="15"/>
      <c r="O90" s="15"/>
      <c r="S90" s="27">
        <v>50</v>
      </c>
      <c r="T90" s="28" t="s">
        <v>265</v>
      </c>
    </row>
    <row r="91" customHeight="1" spans="1:20">
      <c r="A91" s="25">
        <f t="shared" si="6"/>
        <v>1102027</v>
      </c>
      <c r="B91" s="25">
        <v>1102</v>
      </c>
      <c r="C91" s="25" t="s">
        <v>198</v>
      </c>
      <c r="D91" s="25" t="s">
        <v>199</v>
      </c>
      <c r="E91" s="25">
        <f t="shared" si="3"/>
        <v>11</v>
      </c>
      <c r="F91" s="25">
        <v>27</v>
      </c>
      <c r="G91" s="10">
        <v>12</v>
      </c>
      <c r="I91" s="25" t="s">
        <v>266</v>
      </c>
      <c r="J91" s="15">
        <v>5400</v>
      </c>
      <c r="K91" s="15">
        <v>675</v>
      </c>
      <c r="L91" s="15" t="s">
        <v>129</v>
      </c>
      <c r="M91" s="15"/>
      <c r="N91" s="15"/>
      <c r="O91" s="15"/>
      <c r="S91" s="27">
        <v>52</v>
      </c>
      <c r="T91" s="10" t="s">
        <v>267</v>
      </c>
    </row>
    <row r="92" customHeight="1" spans="1:20">
      <c r="A92" s="25">
        <f t="shared" si="6"/>
        <v>1102028</v>
      </c>
      <c r="B92" s="25">
        <v>1102</v>
      </c>
      <c r="C92" s="25" t="s">
        <v>198</v>
      </c>
      <c r="D92" s="25" t="s">
        <v>199</v>
      </c>
      <c r="E92" s="25">
        <f t="shared" si="3"/>
        <v>12</v>
      </c>
      <c r="F92" s="25">
        <v>28</v>
      </c>
      <c r="G92" s="10">
        <v>12</v>
      </c>
      <c r="I92" s="25" t="s">
        <v>268</v>
      </c>
      <c r="J92" s="15">
        <v>5600</v>
      </c>
      <c r="K92" s="15">
        <v>700</v>
      </c>
      <c r="L92" s="15" t="s">
        <v>136</v>
      </c>
      <c r="M92" s="15"/>
      <c r="N92" s="15"/>
      <c r="O92" s="15"/>
      <c r="S92" s="27">
        <v>54</v>
      </c>
      <c r="T92" s="28" t="s">
        <v>269</v>
      </c>
    </row>
    <row r="93" customHeight="1" spans="1:20">
      <c r="A93" s="25">
        <f t="shared" si="6"/>
        <v>1102029</v>
      </c>
      <c r="B93" s="25">
        <v>1102</v>
      </c>
      <c r="C93" s="25" t="s">
        <v>198</v>
      </c>
      <c r="D93" s="25" t="s">
        <v>199</v>
      </c>
      <c r="E93" s="25">
        <f t="shared" si="3"/>
        <v>12</v>
      </c>
      <c r="F93" s="25">
        <v>29</v>
      </c>
      <c r="G93" s="10">
        <v>12</v>
      </c>
      <c r="I93" s="25" t="s">
        <v>270</v>
      </c>
      <c r="J93" s="15">
        <v>5800</v>
      </c>
      <c r="K93" s="15">
        <v>725</v>
      </c>
      <c r="L93" s="15" t="s">
        <v>136</v>
      </c>
      <c r="M93" s="15"/>
      <c r="N93" s="15"/>
      <c r="O93" s="15"/>
      <c r="S93" s="27">
        <v>56</v>
      </c>
      <c r="T93" s="28" t="s">
        <v>271</v>
      </c>
    </row>
    <row r="94" customHeight="1" spans="1:20">
      <c r="A94" s="25">
        <f t="shared" si="6"/>
        <v>1102030</v>
      </c>
      <c r="B94" s="25">
        <v>1102</v>
      </c>
      <c r="C94" s="25" t="s">
        <v>198</v>
      </c>
      <c r="D94" s="25" t="s">
        <v>199</v>
      </c>
      <c r="E94" s="25">
        <f t="shared" si="3"/>
        <v>12</v>
      </c>
      <c r="F94" s="25">
        <v>30</v>
      </c>
      <c r="G94" s="10">
        <v>12</v>
      </c>
      <c r="I94" s="25" t="s">
        <v>272</v>
      </c>
      <c r="J94" s="15">
        <v>6000</v>
      </c>
      <c r="K94" s="15">
        <v>750</v>
      </c>
      <c r="L94" s="15" t="s">
        <v>136</v>
      </c>
      <c r="M94" s="15"/>
      <c r="N94" s="15">
        <v>60</v>
      </c>
      <c r="O94" s="15"/>
      <c r="R94" s="5" t="s">
        <v>273</v>
      </c>
      <c r="S94" s="27">
        <v>58</v>
      </c>
      <c r="T94" s="28" t="s">
        <v>274</v>
      </c>
    </row>
    <row r="95" customHeight="1" spans="1:20">
      <c r="A95" s="25">
        <f t="shared" si="6"/>
        <v>1102031</v>
      </c>
      <c r="B95" s="25">
        <v>1102</v>
      </c>
      <c r="C95" s="25" t="s">
        <v>198</v>
      </c>
      <c r="D95" s="25" t="s">
        <v>199</v>
      </c>
      <c r="E95" s="25">
        <f t="shared" si="3"/>
        <v>13</v>
      </c>
      <c r="F95" s="25">
        <v>31</v>
      </c>
      <c r="G95" s="10">
        <v>12</v>
      </c>
      <c r="I95" s="25" t="s">
        <v>275</v>
      </c>
      <c r="J95" s="15">
        <v>6200</v>
      </c>
      <c r="K95" s="15">
        <v>775</v>
      </c>
      <c r="L95" s="15" t="s">
        <v>143</v>
      </c>
      <c r="M95" s="15"/>
      <c r="N95" s="15"/>
      <c r="O95" s="15"/>
      <c r="R95" s="5" t="s">
        <v>273</v>
      </c>
      <c r="S95" s="27">
        <v>60</v>
      </c>
      <c r="T95" s="28" t="s">
        <v>276</v>
      </c>
    </row>
    <row r="96" customHeight="1" spans="1:20">
      <c r="A96" s="25">
        <f t="shared" si="6"/>
        <v>1102032</v>
      </c>
      <c r="B96" s="25">
        <v>1102</v>
      </c>
      <c r="C96" s="25" t="s">
        <v>198</v>
      </c>
      <c r="D96" s="25" t="s">
        <v>199</v>
      </c>
      <c r="E96" s="25">
        <f t="shared" si="3"/>
        <v>13</v>
      </c>
      <c r="F96" s="25">
        <v>32</v>
      </c>
      <c r="G96" s="10">
        <v>12</v>
      </c>
      <c r="I96" s="25" t="s">
        <v>277</v>
      </c>
      <c r="J96" s="15">
        <v>6400</v>
      </c>
      <c r="K96" s="15">
        <v>800</v>
      </c>
      <c r="L96" s="15" t="s">
        <v>143</v>
      </c>
      <c r="M96" s="15"/>
      <c r="N96" s="15"/>
      <c r="O96" s="15"/>
      <c r="R96" s="5" t="s">
        <v>273</v>
      </c>
      <c r="S96" s="27">
        <v>62</v>
      </c>
      <c r="T96" s="10" t="s">
        <v>278</v>
      </c>
    </row>
    <row r="97" customHeight="1" spans="1:20">
      <c r="A97" s="25">
        <f t="shared" si="6"/>
        <v>1102033</v>
      </c>
      <c r="B97" s="25">
        <v>1102</v>
      </c>
      <c r="C97" s="25" t="s">
        <v>198</v>
      </c>
      <c r="D97" s="25" t="s">
        <v>199</v>
      </c>
      <c r="E97" s="25">
        <f t="shared" si="3"/>
        <v>13</v>
      </c>
      <c r="F97" s="25">
        <v>33</v>
      </c>
      <c r="G97" s="10">
        <v>12</v>
      </c>
      <c r="I97" s="25" t="s">
        <v>279</v>
      </c>
      <c r="J97" s="15">
        <v>6600</v>
      </c>
      <c r="K97" s="15">
        <v>825</v>
      </c>
      <c r="L97" s="15" t="s">
        <v>143</v>
      </c>
      <c r="M97" s="15"/>
      <c r="N97" s="15"/>
      <c r="O97" s="15"/>
      <c r="R97" s="5" t="s">
        <v>273</v>
      </c>
      <c r="S97" s="27">
        <v>64</v>
      </c>
      <c r="T97" s="28" t="s">
        <v>280</v>
      </c>
    </row>
    <row r="98" customHeight="1" spans="1:20">
      <c r="A98" s="25">
        <f t="shared" si="6"/>
        <v>1102034</v>
      </c>
      <c r="B98" s="25">
        <v>1102</v>
      </c>
      <c r="C98" s="25" t="s">
        <v>198</v>
      </c>
      <c r="D98" s="25" t="s">
        <v>199</v>
      </c>
      <c r="E98" s="25">
        <f t="shared" si="3"/>
        <v>14</v>
      </c>
      <c r="F98" s="25">
        <v>34</v>
      </c>
      <c r="G98" s="10">
        <v>12</v>
      </c>
      <c r="I98" s="25" t="s">
        <v>281</v>
      </c>
      <c r="J98" s="15">
        <v>6800</v>
      </c>
      <c r="K98" s="15">
        <v>850</v>
      </c>
      <c r="L98" s="15" t="s">
        <v>150</v>
      </c>
      <c r="M98" s="15"/>
      <c r="N98" s="15"/>
      <c r="O98" s="15"/>
      <c r="R98" s="5" t="s">
        <v>273</v>
      </c>
      <c r="S98" s="27">
        <v>66</v>
      </c>
      <c r="T98" s="28" t="s">
        <v>282</v>
      </c>
    </row>
    <row r="99" customHeight="1" spans="1:20">
      <c r="A99" s="25">
        <f t="shared" si="6"/>
        <v>1102035</v>
      </c>
      <c r="B99" s="25">
        <v>1102</v>
      </c>
      <c r="C99" s="25" t="s">
        <v>198</v>
      </c>
      <c r="D99" s="25" t="s">
        <v>199</v>
      </c>
      <c r="E99" s="25">
        <f t="shared" si="3"/>
        <v>14</v>
      </c>
      <c r="F99" s="25">
        <v>35</v>
      </c>
      <c r="G99" s="10">
        <v>12</v>
      </c>
      <c r="I99" s="25" t="s">
        <v>283</v>
      </c>
      <c r="J99" s="15">
        <v>7000</v>
      </c>
      <c r="K99" s="15">
        <v>875</v>
      </c>
      <c r="L99" s="15" t="s">
        <v>150</v>
      </c>
      <c r="M99" s="15"/>
      <c r="N99" s="15">
        <v>70</v>
      </c>
      <c r="O99" s="15"/>
      <c r="R99" s="5" t="s">
        <v>273</v>
      </c>
      <c r="S99" s="27">
        <v>68</v>
      </c>
      <c r="T99" s="28" t="s">
        <v>284</v>
      </c>
    </row>
    <row r="100" customHeight="1" spans="1:20">
      <c r="A100" s="25">
        <f t="shared" si="6"/>
        <v>1102036</v>
      </c>
      <c r="B100" s="25">
        <v>1102</v>
      </c>
      <c r="C100" s="25" t="s">
        <v>198</v>
      </c>
      <c r="D100" s="25" t="s">
        <v>199</v>
      </c>
      <c r="E100" s="25">
        <f t="shared" si="3"/>
        <v>14</v>
      </c>
      <c r="F100" s="25">
        <v>36</v>
      </c>
      <c r="G100" s="10">
        <v>12</v>
      </c>
      <c r="I100" s="25" t="s">
        <v>285</v>
      </c>
      <c r="J100" s="15">
        <v>7200</v>
      </c>
      <c r="K100" s="15">
        <v>900</v>
      </c>
      <c r="L100" s="15" t="s">
        <v>150</v>
      </c>
      <c r="M100" s="15"/>
      <c r="N100" s="15"/>
      <c r="O100" s="15"/>
      <c r="R100" s="5" t="s">
        <v>273</v>
      </c>
      <c r="S100" s="27">
        <v>70</v>
      </c>
      <c r="T100" s="28" t="s">
        <v>286</v>
      </c>
    </row>
    <row r="101" customHeight="1" spans="1:20">
      <c r="A101" s="25">
        <f t="shared" si="6"/>
        <v>1102037</v>
      </c>
      <c r="B101" s="25">
        <v>1102</v>
      </c>
      <c r="C101" s="25" t="s">
        <v>198</v>
      </c>
      <c r="D101" s="25" t="s">
        <v>199</v>
      </c>
      <c r="E101" s="25">
        <f t="shared" si="3"/>
        <v>15</v>
      </c>
      <c r="F101" s="25">
        <v>37</v>
      </c>
      <c r="G101" s="10">
        <v>12</v>
      </c>
      <c r="I101" s="25" t="s">
        <v>287</v>
      </c>
      <c r="J101" s="15">
        <v>7400</v>
      </c>
      <c r="K101" s="15">
        <v>925</v>
      </c>
      <c r="L101" s="15" t="s">
        <v>157</v>
      </c>
      <c r="M101" s="15"/>
      <c r="N101" s="15"/>
      <c r="O101" s="15"/>
      <c r="R101" s="5" t="s">
        <v>273</v>
      </c>
      <c r="S101" s="27">
        <v>72</v>
      </c>
      <c r="T101" s="28" t="s">
        <v>288</v>
      </c>
    </row>
    <row r="102" customHeight="1" spans="1:20">
      <c r="A102" s="25">
        <f t="shared" si="6"/>
        <v>1102038</v>
      </c>
      <c r="B102" s="25">
        <v>1102</v>
      </c>
      <c r="C102" s="25" t="s">
        <v>198</v>
      </c>
      <c r="D102" s="25" t="s">
        <v>199</v>
      </c>
      <c r="E102" s="25">
        <f t="shared" si="3"/>
        <v>15</v>
      </c>
      <c r="F102" s="25">
        <v>38</v>
      </c>
      <c r="G102" s="10">
        <v>12</v>
      </c>
      <c r="I102" s="25" t="s">
        <v>289</v>
      </c>
      <c r="J102" s="15">
        <v>7600</v>
      </c>
      <c r="K102" s="15">
        <v>950</v>
      </c>
      <c r="L102" s="15" t="s">
        <v>157</v>
      </c>
      <c r="M102" s="15"/>
      <c r="N102" s="15"/>
      <c r="O102" s="15"/>
      <c r="R102" s="5" t="s">
        <v>273</v>
      </c>
      <c r="S102" s="27">
        <v>74</v>
      </c>
      <c r="T102" s="28" t="s">
        <v>290</v>
      </c>
    </row>
    <row r="103" customHeight="1" spans="1:20">
      <c r="A103" s="25">
        <f t="shared" si="6"/>
        <v>1102039</v>
      </c>
      <c r="B103" s="25">
        <v>1102</v>
      </c>
      <c r="C103" s="25" t="s">
        <v>198</v>
      </c>
      <c r="D103" s="25" t="s">
        <v>199</v>
      </c>
      <c r="E103" s="25">
        <f t="shared" si="3"/>
        <v>15</v>
      </c>
      <c r="F103" s="25">
        <v>39</v>
      </c>
      <c r="G103" s="10">
        <v>12</v>
      </c>
      <c r="I103" s="25" t="s">
        <v>291</v>
      </c>
      <c r="J103" s="15">
        <v>7800</v>
      </c>
      <c r="K103" s="15">
        <v>975</v>
      </c>
      <c r="L103" s="15" t="s">
        <v>157</v>
      </c>
      <c r="M103" s="15"/>
      <c r="N103" s="15"/>
      <c r="O103" s="15"/>
      <c r="R103" s="5" t="s">
        <v>273</v>
      </c>
      <c r="S103" s="27">
        <v>76</v>
      </c>
      <c r="T103" s="28" t="s">
        <v>292</v>
      </c>
    </row>
    <row r="104" customHeight="1" spans="1:20">
      <c r="A104" s="25">
        <f t="shared" si="6"/>
        <v>1102040</v>
      </c>
      <c r="B104" s="25">
        <v>1102</v>
      </c>
      <c r="C104" s="25" t="s">
        <v>198</v>
      </c>
      <c r="D104" s="25" t="s">
        <v>199</v>
      </c>
      <c r="E104" s="25">
        <f t="shared" si="3"/>
        <v>16</v>
      </c>
      <c r="F104" s="25">
        <v>40</v>
      </c>
      <c r="G104" s="10">
        <v>12</v>
      </c>
      <c r="I104" s="25" t="s">
        <v>293</v>
      </c>
      <c r="J104" s="15">
        <v>8000</v>
      </c>
      <c r="K104" s="15">
        <v>1000</v>
      </c>
      <c r="L104" s="15" t="s">
        <v>164</v>
      </c>
      <c r="M104" s="15"/>
      <c r="N104" s="15">
        <v>80</v>
      </c>
      <c r="O104" s="15"/>
      <c r="R104" s="5" t="s">
        <v>273</v>
      </c>
      <c r="S104" s="27">
        <v>78</v>
      </c>
      <c r="T104" s="28" t="s">
        <v>294</v>
      </c>
    </row>
    <row r="105" customHeight="1" spans="1:20">
      <c r="A105" s="25">
        <f t="shared" si="6"/>
        <v>1102041</v>
      </c>
      <c r="B105" s="25">
        <v>1102</v>
      </c>
      <c r="C105" s="25" t="s">
        <v>198</v>
      </c>
      <c r="D105" s="25" t="s">
        <v>199</v>
      </c>
      <c r="E105" s="25">
        <f t="shared" si="3"/>
        <v>16</v>
      </c>
      <c r="F105" s="25">
        <v>41</v>
      </c>
      <c r="G105" s="10">
        <v>12</v>
      </c>
      <c r="I105" s="25" t="s">
        <v>295</v>
      </c>
      <c r="J105" s="15">
        <v>8200</v>
      </c>
      <c r="K105" s="15">
        <v>1025</v>
      </c>
      <c r="L105" s="15" t="s">
        <v>164</v>
      </c>
      <c r="M105" s="15"/>
      <c r="N105" s="15"/>
      <c r="O105" s="15"/>
      <c r="R105" s="5" t="s">
        <v>273</v>
      </c>
      <c r="S105" s="27">
        <v>80</v>
      </c>
      <c r="T105" s="28" t="s">
        <v>296</v>
      </c>
    </row>
    <row r="106" customHeight="1" spans="1:20">
      <c r="A106" s="25">
        <f t="shared" si="6"/>
        <v>1102042</v>
      </c>
      <c r="B106" s="25">
        <v>1102</v>
      </c>
      <c r="C106" s="25" t="s">
        <v>198</v>
      </c>
      <c r="D106" s="25" t="s">
        <v>199</v>
      </c>
      <c r="E106" s="25">
        <f t="shared" si="3"/>
        <v>16</v>
      </c>
      <c r="F106" s="25">
        <v>42</v>
      </c>
      <c r="G106" s="10">
        <v>12</v>
      </c>
      <c r="I106" s="25" t="s">
        <v>297</v>
      </c>
      <c r="J106" s="15">
        <v>8400</v>
      </c>
      <c r="K106" s="15">
        <v>1050</v>
      </c>
      <c r="L106" s="15" t="s">
        <v>164</v>
      </c>
      <c r="M106" s="15"/>
      <c r="N106" s="15"/>
      <c r="O106" s="15"/>
      <c r="R106" s="5" t="s">
        <v>273</v>
      </c>
      <c r="S106" s="27">
        <v>82</v>
      </c>
      <c r="T106" s="28" t="s">
        <v>298</v>
      </c>
    </row>
    <row r="107" customHeight="1" spans="1:20">
      <c r="A107" s="25">
        <f t="shared" si="6"/>
        <v>1102043</v>
      </c>
      <c r="B107" s="25">
        <v>1102</v>
      </c>
      <c r="C107" s="25" t="s">
        <v>198</v>
      </c>
      <c r="D107" s="25" t="s">
        <v>199</v>
      </c>
      <c r="E107" s="25">
        <f t="shared" si="3"/>
        <v>17</v>
      </c>
      <c r="F107" s="25">
        <v>43</v>
      </c>
      <c r="G107" s="10">
        <v>12</v>
      </c>
      <c r="I107" s="25" t="s">
        <v>299</v>
      </c>
      <c r="J107" s="15">
        <v>8600</v>
      </c>
      <c r="K107" s="15">
        <v>1075</v>
      </c>
      <c r="L107" s="15" t="s">
        <v>171</v>
      </c>
      <c r="M107" s="15"/>
      <c r="N107" s="15"/>
      <c r="O107" s="15"/>
      <c r="R107" s="5" t="s">
        <v>273</v>
      </c>
      <c r="S107" s="27">
        <v>84</v>
      </c>
      <c r="T107" s="28" t="s">
        <v>300</v>
      </c>
    </row>
    <row r="108" customHeight="1" spans="1:20">
      <c r="A108" s="25">
        <f t="shared" si="6"/>
        <v>1102044</v>
      </c>
      <c r="B108" s="25">
        <v>1102</v>
      </c>
      <c r="C108" s="25" t="s">
        <v>198</v>
      </c>
      <c r="D108" s="25" t="s">
        <v>199</v>
      </c>
      <c r="E108" s="25">
        <f t="shared" si="3"/>
        <v>17</v>
      </c>
      <c r="F108" s="25">
        <v>44</v>
      </c>
      <c r="G108" s="10">
        <v>12</v>
      </c>
      <c r="I108" s="25" t="s">
        <v>301</v>
      </c>
      <c r="J108" s="15">
        <v>8800</v>
      </c>
      <c r="K108" s="15">
        <v>1100</v>
      </c>
      <c r="L108" s="15" t="s">
        <v>171</v>
      </c>
      <c r="M108" s="15"/>
      <c r="N108" s="15"/>
      <c r="O108" s="15"/>
      <c r="R108" s="5" t="s">
        <v>273</v>
      </c>
      <c r="S108" s="27">
        <v>86</v>
      </c>
      <c r="T108" s="28" t="s">
        <v>302</v>
      </c>
    </row>
    <row r="109" customHeight="1" spans="1:20">
      <c r="A109" s="25">
        <f t="shared" si="6"/>
        <v>1102045</v>
      </c>
      <c r="B109" s="25">
        <v>1102</v>
      </c>
      <c r="C109" s="25" t="s">
        <v>198</v>
      </c>
      <c r="D109" s="25" t="s">
        <v>199</v>
      </c>
      <c r="E109" s="25">
        <f t="shared" si="3"/>
        <v>17</v>
      </c>
      <c r="F109" s="25">
        <v>45</v>
      </c>
      <c r="G109" s="10">
        <v>12</v>
      </c>
      <c r="I109" s="25" t="s">
        <v>303</v>
      </c>
      <c r="J109" s="15">
        <v>9000</v>
      </c>
      <c r="K109" s="15">
        <v>1125</v>
      </c>
      <c r="L109" s="15" t="s">
        <v>171</v>
      </c>
      <c r="M109" s="15"/>
      <c r="N109" s="15"/>
      <c r="O109" s="15"/>
      <c r="R109" s="5" t="s">
        <v>273</v>
      </c>
      <c r="S109" s="27">
        <v>88</v>
      </c>
      <c r="T109" s="28" t="s">
        <v>304</v>
      </c>
    </row>
    <row r="110" customHeight="1" spans="1:20">
      <c r="A110" s="25">
        <f t="shared" si="6"/>
        <v>1102046</v>
      </c>
      <c r="B110" s="25">
        <v>1102</v>
      </c>
      <c r="C110" s="25" t="s">
        <v>198</v>
      </c>
      <c r="D110" s="25" t="s">
        <v>199</v>
      </c>
      <c r="E110" s="25">
        <f t="shared" si="3"/>
        <v>18</v>
      </c>
      <c r="F110" s="25">
        <v>46</v>
      </c>
      <c r="G110" s="10">
        <v>12</v>
      </c>
      <c r="I110" s="25" t="s">
        <v>305</v>
      </c>
      <c r="J110" s="15">
        <v>9200</v>
      </c>
      <c r="K110" s="15">
        <v>1150</v>
      </c>
      <c r="L110" s="15" t="s">
        <v>178</v>
      </c>
      <c r="M110" s="15"/>
      <c r="N110" s="15"/>
      <c r="O110" s="15"/>
      <c r="R110" s="5" t="s">
        <v>273</v>
      </c>
      <c r="S110" s="27">
        <v>90</v>
      </c>
      <c r="T110" s="28" t="s">
        <v>306</v>
      </c>
    </row>
    <row r="111" customHeight="1" spans="1:20">
      <c r="A111" s="25">
        <f t="shared" si="6"/>
        <v>1102047</v>
      </c>
      <c r="B111" s="25">
        <v>1102</v>
      </c>
      <c r="C111" s="25" t="s">
        <v>198</v>
      </c>
      <c r="D111" s="25" t="s">
        <v>199</v>
      </c>
      <c r="E111" s="25">
        <f t="shared" si="3"/>
        <v>18</v>
      </c>
      <c r="F111" s="25">
        <v>47</v>
      </c>
      <c r="G111" s="10">
        <v>12</v>
      </c>
      <c r="I111" s="25" t="s">
        <v>307</v>
      </c>
      <c r="J111" s="15">
        <v>9400</v>
      </c>
      <c r="K111" s="15">
        <v>1175</v>
      </c>
      <c r="L111" s="15" t="s">
        <v>178</v>
      </c>
      <c r="M111" s="15"/>
      <c r="N111" s="15"/>
      <c r="O111" s="15"/>
      <c r="R111" s="5" t="s">
        <v>273</v>
      </c>
      <c r="S111" s="27">
        <v>92</v>
      </c>
      <c r="T111" s="28" t="s">
        <v>308</v>
      </c>
    </row>
    <row r="112" customHeight="1" spans="1:20">
      <c r="A112" s="25">
        <f t="shared" si="6"/>
        <v>1102048</v>
      </c>
      <c r="B112" s="25">
        <v>1102</v>
      </c>
      <c r="C112" s="25" t="s">
        <v>198</v>
      </c>
      <c r="D112" s="25" t="s">
        <v>199</v>
      </c>
      <c r="E112" s="25">
        <f t="shared" si="3"/>
        <v>18</v>
      </c>
      <c r="F112" s="25">
        <v>48</v>
      </c>
      <c r="G112" s="10">
        <v>12</v>
      </c>
      <c r="I112" s="25" t="s">
        <v>309</v>
      </c>
      <c r="J112" s="15">
        <v>9600</v>
      </c>
      <c r="K112" s="15">
        <v>1200</v>
      </c>
      <c r="L112" s="15" t="s">
        <v>178</v>
      </c>
      <c r="M112" s="15"/>
      <c r="N112" s="15"/>
      <c r="O112" s="15"/>
      <c r="R112" s="5" t="s">
        <v>273</v>
      </c>
      <c r="S112" s="27">
        <v>94</v>
      </c>
      <c r="T112" s="28" t="s">
        <v>310</v>
      </c>
    </row>
    <row r="113" customHeight="1" spans="1:20">
      <c r="A113" s="25">
        <f t="shared" si="6"/>
        <v>1102049</v>
      </c>
      <c r="B113" s="25">
        <v>1102</v>
      </c>
      <c r="C113" s="25" t="s">
        <v>198</v>
      </c>
      <c r="D113" s="25" t="s">
        <v>199</v>
      </c>
      <c r="E113" s="25">
        <f t="shared" si="3"/>
        <v>19</v>
      </c>
      <c r="F113" s="25">
        <v>49</v>
      </c>
      <c r="G113" s="10">
        <v>12</v>
      </c>
      <c r="I113" s="25" t="s">
        <v>311</v>
      </c>
      <c r="J113" s="15">
        <v>9800</v>
      </c>
      <c r="K113" s="15">
        <v>1225</v>
      </c>
      <c r="L113" s="15" t="s">
        <v>185</v>
      </c>
      <c r="M113" s="15"/>
      <c r="N113" s="15"/>
      <c r="O113" s="15"/>
      <c r="R113" s="5" t="s">
        <v>273</v>
      </c>
      <c r="S113" s="27">
        <v>96</v>
      </c>
      <c r="T113" s="28" t="s">
        <v>312</v>
      </c>
    </row>
    <row r="114" customHeight="1" spans="1:20">
      <c r="A114" s="25">
        <f t="shared" si="6"/>
        <v>1102050</v>
      </c>
      <c r="B114" s="25">
        <v>1102</v>
      </c>
      <c r="C114" s="25" t="s">
        <v>198</v>
      </c>
      <c r="D114" s="25" t="s">
        <v>199</v>
      </c>
      <c r="E114" s="25">
        <f t="shared" si="3"/>
        <v>19</v>
      </c>
      <c r="F114" s="25">
        <v>50</v>
      </c>
      <c r="G114" s="10">
        <v>12</v>
      </c>
      <c r="I114" s="25" t="s">
        <v>313</v>
      </c>
      <c r="J114" s="15">
        <v>10000</v>
      </c>
      <c r="K114" s="15">
        <v>1250</v>
      </c>
      <c r="L114" s="15" t="s">
        <v>185</v>
      </c>
      <c r="M114" s="15"/>
      <c r="N114" s="15"/>
      <c r="O114" s="15"/>
      <c r="R114" s="5" t="s">
        <v>273</v>
      </c>
      <c r="S114" s="27">
        <v>98</v>
      </c>
      <c r="T114" s="28" t="s">
        <v>314</v>
      </c>
    </row>
    <row r="115" customHeight="1" spans="1:20">
      <c r="A115" s="25">
        <f t="shared" si="6"/>
        <v>1102051</v>
      </c>
      <c r="B115" s="25">
        <v>1102</v>
      </c>
      <c r="C115" s="25" t="s">
        <v>198</v>
      </c>
      <c r="D115" s="25" t="s">
        <v>199</v>
      </c>
      <c r="E115" s="25">
        <f t="shared" si="3"/>
        <v>19</v>
      </c>
      <c r="F115" s="25">
        <v>51</v>
      </c>
      <c r="G115" s="10">
        <v>12</v>
      </c>
      <c r="I115" s="25" t="s">
        <v>315</v>
      </c>
      <c r="J115" s="15">
        <v>10200</v>
      </c>
      <c r="K115" s="15">
        <v>1275</v>
      </c>
      <c r="L115" s="15" t="s">
        <v>185</v>
      </c>
      <c r="M115" s="15"/>
      <c r="N115" s="15"/>
      <c r="O115" s="15"/>
      <c r="R115" s="5" t="s">
        <v>273</v>
      </c>
      <c r="S115" s="27">
        <v>100</v>
      </c>
      <c r="T115" s="28" t="s">
        <v>316</v>
      </c>
    </row>
    <row r="116" customHeight="1" spans="1:20">
      <c r="A116" s="25">
        <f t="shared" si="6"/>
        <v>1102052</v>
      </c>
      <c r="B116" s="25">
        <v>1102</v>
      </c>
      <c r="C116" s="25" t="s">
        <v>198</v>
      </c>
      <c r="D116" s="25" t="s">
        <v>199</v>
      </c>
      <c r="E116" s="25">
        <f t="shared" si="3"/>
        <v>20</v>
      </c>
      <c r="F116" s="25">
        <v>52</v>
      </c>
      <c r="G116" s="10">
        <v>12</v>
      </c>
      <c r="I116" s="25" t="s">
        <v>317</v>
      </c>
      <c r="J116" s="15">
        <v>10400</v>
      </c>
      <c r="K116" s="15">
        <v>1300</v>
      </c>
      <c r="L116" s="15" t="s">
        <v>192</v>
      </c>
      <c r="M116" s="15"/>
      <c r="N116" s="15"/>
      <c r="O116" s="15"/>
      <c r="R116" s="5" t="s">
        <v>273</v>
      </c>
      <c r="S116" s="27">
        <v>102</v>
      </c>
      <c r="T116" s="28" t="s">
        <v>318</v>
      </c>
    </row>
    <row r="117" customHeight="1" spans="1:20">
      <c r="A117" s="25">
        <f t="shared" si="6"/>
        <v>1102053</v>
      </c>
      <c r="B117" s="25">
        <v>1102</v>
      </c>
      <c r="C117" s="25" t="s">
        <v>198</v>
      </c>
      <c r="D117" s="25" t="s">
        <v>199</v>
      </c>
      <c r="E117" s="25">
        <f t="shared" si="3"/>
        <v>20</v>
      </c>
      <c r="F117" s="25">
        <v>53</v>
      </c>
      <c r="G117" s="10">
        <v>12</v>
      </c>
      <c r="I117" s="25" t="s">
        <v>319</v>
      </c>
      <c r="J117" s="15">
        <v>10600</v>
      </c>
      <c r="K117" s="15">
        <v>1325</v>
      </c>
      <c r="L117" s="15" t="s">
        <v>192</v>
      </c>
      <c r="M117" s="15"/>
      <c r="N117" s="15"/>
      <c r="O117" s="15"/>
      <c r="R117" s="5" t="s">
        <v>273</v>
      </c>
      <c r="S117" s="27">
        <v>104</v>
      </c>
      <c r="T117" s="28" t="s">
        <v>320</v>
      </c>
    </row>
    <row r="118" customHeight="1" spans="1:20">
      <c r="A118" s="25">
        <f t="shared" si="6"/>
        <v>1102054</v>
      </c>
      <c r="B118" s="25">
        <v>1102</v>
      </c>
      <c r="C118" s="25" t="s">
        <v>198</v>
      </c>
      <c r="D118" s="25" t="s">
        <v>199</v>
      </c>
      <c r="E118" s="25">
        <f t="shared" si="3"/>
        <v>20</v>
      </c>
      <c r="F118" s="25">
        <v>54</v>
      </c>
      <c r="G118" s="10">
        <v>12</v>
      </c>
      <c r="I118" s="25" t="s">
        <v>321</v>
      </c>
      <c r="J118" s="15">
        <v>10800</v>
      </c>
      <c r="K118" s="15">
        <v>1350</v>
      </c>
      <c r="L118" s="15" t="s">
        <v>192</v>
      </c>
      <c r="M118" s="15"/>
      <c r="N118" s="15"/>
      <c r="O118" s="15"/>
      <c r="R118" s="5" t="s">
        <v>273</v>
      </c>
      <c r="S118" s="27">
        <v>106</v>
      </c>
      <c r="T118" s="28" t="s">
        <v>322</v>
      </c>
    </row>
    <row r="119" customHeight="1" spans="1:20">
      <c r="A119" s="25">
        <f t="shared" si="6"/>
        <v>1102055</v>
      </c>
      <c r="B119" s="25">
        <v>1102</v>
      </c>
      <c r="C119" s="25" t="s">
        <v>198</v>
      </c>
      <c r="D119" s="25" t="s">
        <v>199</v>
      </c>
      <c r="E119" s="25">
        <f t="shared" si="3"/>
        <v>21</v>
      </c>
      <c r="F119" s="25">
        <v>55</v>
      </c>
      <c r="G119" s="10">
        <v>12</v>
      </c>
      <c r="I119" s="25" t="s">
        <v>323</v>
      </c>
      <c r="J119" s="15">
        <v>11000</v>
      </c>
      <c r="K119" s="15">
        <v>1375</v>
      </c>
      <c r="L119" s="15" t="s">
        <v>324</v>
      </c>
      <c r="M119" s="15"/>
      <c r="N119" s="15"/>
      <c r="O119" s="15"/>
      <c r="R119" s="5" t="s">
        <v>273</v>
      </c>
      <c r="S119" s="27">
        <v>108</v>
      </c>
      <c r="T119" s="28" t="s">
        <v>325</v>
      </c>
    </row>
    <row r="120" customHeight="1" spans="1:20">
      <c r="A120" s="25">
        <f t="shared" si="6"/>
        <v>1102056</v>
      </c>
      <c r="B120" s="25">
        <v>1102</v>
      </c>
      <c r="C120" s="25" t="s">
        <v>198</v>
      </c>
      <c r="D120" s="25" t="s">
        <v>199</v>
      </c>
      <c r="E120" s="25">
        <f t="shared" si="3"/>
        <v>21</v>
      </c>
      <c r="F120" s="25">
        <v>56</v>
      </c>
      <c r="G120" s="10">
        <v>12</v>
      </c>
      <c r="I120" s="25" t="s">
        <v>326</v>
      </c>
      <c r="J120" s="15">
        <v>11200</v>
      </c>
      <c r="K120" s="15">
        <v>1400</v>
      </c>
      <c r="L120" s="15" t="s">
        <v>324</v>
      </c>
      <c r="M120" s="15"/>
      <c r="N120" s="15"/>
      <c r="O120" s="15"/>
      <c r="R120" s="5" t="s">
        <v>273</v>
      </c>
      <c r="S120" s="27">
        <v>110</v>
      </c>
      <c r="T120" s="28" t="s">
        <v>327</v>
      </c>
    </row>
    <row r="121" customHeight="1" spans="1:20">
      <c r="A121" s="25">
        <f t="shared" si="6"/>
        <v>1102057</v>
      </c>
      <c r="B121" s="25">
        <v>1102</v>
      </c>
      <c r="C121" s="25" t="s">
        <v>198</v>
      </c>
      <c r="D121" s="25" t="s">
        <v>199</v>
      </c>
      <c r="E121" s="25">
        <f t="shared" si="3"/>
        <v>21</v>
      </c>
      <c r="F121" s="25">
        <v>57</v>
      </c>
      <c r="G121" s="10">
        <v>12</v>
      </c>
      <c r="I121" s="25" t="s">
        <v>328</v>
      </c>
      <c r="J121" s="15">
        <v>11400</v>
      </c>
      <c r="K121" s="15">
        <v>1425</v>
      </c>
      <c r="L121" s="15" t="s">
        <v>324</v>
      </c>
      <c r="M121" s="15"/>
      <c r="N121" s="15"/>
      <c r="O121" s="15"/>
      <c r="R121" s="5" t="s">
        <v>273</v>
      </c>
      <c r="S121" s="27">
        <v>112</v>
      </c>
      <c r="T121" s="28" t="s">
        <v>329</v>
      </c>
    </row>
    <row r="122" customHeight="1" spans="1:20">
      <c r="A122" s="25">
        <f t="shared" si="6"/>
        <v>1102058</v>
      </c>
      <c r="B122" s="25">
        <v>1102</v>
      </c>
      <c r="C122" s="25" t="s">
        <v>198</v>
      </c>
      <c r="D122" s="25" t="s">
        <v>199</v>
      </c>
      <c r="E122" s="25">
        <f t="shared" si="3"/>
        <v>22</v>
      </c>
      <c r="F122" s="25">
        <v>58</v>
      </c>
      <c r="G122" s="10">
        <v>12</v>
      </c>
      <c r="I122" s="25" t="s">
        <v>330</v>
      </c>
      <c r="J122" s="15">
        <v>11600</v>
      </c>
      <c r="K122" s="15">
        <v>1450</v>
      </c>
      <c r="L122" s="15" t="s">
        <v>331</v>
      </c>
      <c r="M122" s="15"/>
      <c r="N122" s="15"/>
      <c r="O122" s="15"/>
      <c r="R122" s="5" t="s">
        <v>273</v>
      </c>
      <c r="S122" s="27">
        <v>114</v>
      </c>
      <c r="T122" s="28" t="s">
        <v>332</v>
      </c>
    </row>
    <row r="123" customHeight="1" spans="1:20">
      <c r="A123" s="25">
        <f t="shared" si="6"/>
        <v>1102059</v>
      </c>
      <c r="B123" s="25">
        <v>1102</v>
      </c>
      <c r="C123" s="25" t="s">
        <v>198</v>
      </c>
      <c r="D123" s="25" t="s">
        <v>199</v>
      </c>
      <c r="E123" s="25">
        <f t="shared" si="3"/>
        <v>22</v>
      </c>
      <c r="F123" s="25">
        <v>59</v>
      </c>
      <c r="G123" s="10">
        <v>12</v>
      </c>
      <c r="I123" s="25" t="s">
        <v>333</v>
      </c>
      <c r="J123" s="15">
        <v>11800</v>
      </c>
      <c r="K123" s="15">
        <v>1475</v>
      </c>
      <c r="L123" s="15" t="s">
        <v>331</v>
      </c>
      <c r="M123" s="15"/>
      <c r="N123" s="15"/>
      <c r="O123" s="15"/>
      <c r="R123" s="5" t="s">
        <v>273</v>
      </c>
      <c r="S123" s="27">
        <v>116</v>
      </c>
      <c r="T123" s="10" t="s">
        <v>334</v>
      </c>
    </row>
    <row r="124" customHeight="1" spans="1:20">
      <c r="A124" s="25">
        <f t="shared" si="6"/>
        <v>1102060</v>
      </c>
      <c r="B124" s="25">
        <v>1102</v>
      </c>
      <c r="C124" s="25" t="s">
        <v>198</v>
      </c>
      <c r="D124" s="25" t="s">
        <v>199</v>
      </c>
      <c r="E124" s="25">
        <v>22</v>
      </c>
      <c r="F124" s="25">
        <v>60</v>
      </c>
      <c r="G124" s="10">
        <v>12</v>
      </c>
      <c r="I124" s="25" t="s">
        <v>335</v>
      </c>
      <c r="J124" s="15">
        <v>12000</v>
      </c>
      <c r="K124" s="15">
        <v>1500</v>
      </c>
      <c r="L124" s="15" t="s">
        <v>331</v>
      </c>
      <c r="M124" s="15"/>
      <c r="N124" s="15"/>
      <c r="O124" s="15"/>
      <c r="R124" s="5" t="s">
        <v>273</v>
      </c>
      <c r="S124" s="27"/>
      <c r="T124" s="10" t="s">
        <v>336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337</v>
      </c>
      <c r="D125" s="29" t="s">
        <v>338</v>
      </c>
      <c r="E125" s="25">
        <v>27</v>
      </c>
      <c r="F125" s="29">
        <v>1</v>
      </c>
      <c r="G125" s="29">
        <v>6</v>
      </c>
      <c r="H125" s="29" t="s">
        <v>339</v>
      </c>
      <c r="I125" s="29" t="s">
        <v>340</v>
      </c>
      <c r="J125" s="30">
        <v>800</v>
      </c>
      <c r="K125" s="15">
        <v>55</v>
      </c>
      <c r="L125" s="15" t="s">
        <v>341</v>
      </c>
      <c r="M125" s="30"/>
      <c r="N125" s="30"/>
      <c r="O125" s="30"/>
      <c r="P125" s="31" t="s">
        <v>342</v>
      </c>
      <c r="Q125" s="31" t="s">
        <v>343</v>
      </c>
      <c r="R125" s="6" t="s">
        <v>344</v>
      </c>
      <c r="S125" s="32">
        <v>2</v>
      </c>
      <c r="T125" s="28" t="s">
        <v>345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337</v>
      </c>
      <c r="D126" s="29" t="s">
        <v>338</v>
      </c>
      <c r="E126" s="25">
        <v>27</v>
      </c>
      <c r="F126" s="29">
        <v>2</v>
      </c>
      <c r="G126" s="29">
        <v>8</v>
      </c>
      <c r="H126" s="29" t="s">
        <v>346</v>
      </c>
      <c r="I126" s="29" t="s">
        <v>347</v>
      </c>
      <c r="J126" s="30">
        <v>1600</v>
      </c>
      <c r="K126" s="15">
        <v>110</v>
      </c>
      <c r="L126" s="15" t="s">
        <v>341</v>
      </c>
      <c r="M126" s="30"/>
      <c r="N126" s="30"/>
      <c r="O126" s="30"/>
      <c r="P126" s="31" t="s">
        <v>348</v>
      </c>
      <c r="Q126" s="31" t="s">
        <v>349</v>
      </c>
      <c r="R126" s="6">
        <v>1103263</v>
      </c>
      <c r="S126" s="32">
        <v>4</v>
      </c>
      <c r="T126" s="28" t="s">
        <v>350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337</v>
      </c>
      <c r="D127" s="29" t="s">
        <v>338</v>
      </c>
      <c r="E127" s="25">
        <v>27</v>
      </c>
      <c r="F127" s="29">
        <v>3</v>
      </c>
      <c r="G127" s="29">
        <v>10</v>
      </c>
      <c r="H127" s="29" t="s">
        <v>351</v>
      </c>
      <c r="I127" s="29" t="s">
        <v>352</v>
      </c>
      <c r="J127" s="30">
        <v>2400</v>
      </c>
      <c r="K127" s="15">
        <v>165</v>
      </c>
      <c r="L127" s="15" t="s">
        <v>341</v>
      </c>
      <c r="M127" s="30"/>
      <c r="N127" s="30"/>
      <c r="O127" s="30"/>
      <c r="P127" s="31" t="s">
        <v>353</v>
      </c>
      <c r="Q127" s="31" t="s">
        <v>354</v>
      </c>
      <c r="R127" s="6">
        <v>1103256</v>
      </c>
      <c r="S127" s="32">
        <v>8</v>
      </c>
      <c r="T127" s="28" t="s">
        <v>355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337</v>
      </c>
      <c r="D128" s="29" t="s">
        <v>338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356</v>
      </c>
      <c r="J128" s="30">
        <v>3200</v>
      </c>
      <c r="K128" s="15">
        <v>220</v>
      </c>
      <c r="L128" s="15" t="s">
        <v>357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358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337</v>
      </c>
      <c r="D129" s="29" t="s">
        <v>338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359</v>
      </c>
      <c r="J129" s="30">
        <v>4000</v>
      </c>
      <c r="K129" s="15">
        <v>275</v>
      </c>
      <c r="L129" s="15" t="s">
        <v>357</v>
      </c>
      <c r="M129" s="30" t="s">
        <v>360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361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337</v>
      </c>
      <c r="D130" s="29" t="s">
        <v>338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362</v>
      </c>
      <c r="J130" s="30">
        <v>4800</v>
      </c>
      <c r="K130" s="15">
        <v>330</v>
      </c>
      <c r="L130" s="15" t="s">
        <v>357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363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337</v>
      </c>
      <c r="D131" s="29" t="s">
        <v>338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364</v>
      </c>
      <c r="J131" s="30">
        <v>5600</v>
      </c>
      <c r="K131" s="15">
        <v>385</v>
      </c>
      <c r="L131" s="15" t="s">
        <v>365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366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337</v>
      </c>
      <c r="D132" s="29" t="s">
        <v>338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367</v>
      </c>
      <c r="J132" s="30">
        <v>6400</v>
      </c>
      <c r="K132" s="15">
        <v>440</v>
      </c>
      <c r="L132" s="15" t="s">
        <v>365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368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337</v>
      </c>
      <c r="D133" s="29" t="s">
        <v>338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369</v>
      </c>
      <c r="J133" s="30">
        <v>7200</v>
      </c>
      <c r="K133" s="15">
        <v>495</v>
      </c>
      <c r="L133" s="15" t="s">
        <v>365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370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337</v>
      </c>
      <c r="D134" s="29" t="s">
        <v>338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371</v>
      </c>
      <c r="J134" s="30">
        <v>8000</v>
      </c>
      <c r="K134" s="15">
        <v>550</v>
      </c>
      <c r="L134" s="15" t="s">
        <v>372</v>
      </c>
      <c r="M134" s="30" t="s">
        <v>373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374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337</v>
      </c>
      <c r="D135" s="29" t="s">
        <v>338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375</v>
      </c>
      <c r="J135" s="30">
        <v>8800</v>
      </c>
      <c r="K135" s="15">
        <v>605</v>
      </c>
      <c r="L135" s="15" t="s">
        <v>372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376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337</v>
      </c>
      <c r="D136" s="29" t="s">
        <v>338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377</v>
      </c>
      <c r="J136" s="30">
        <v>9600</v>
      </c>
      <c r="K136" s="15">
        <v>660</v>
      </c>
      <c r="L136" s="15" t="s">
        <v>372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378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337</v>
      </c>
      <c r="D137" s="29" t="s">
        <v>338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379</v>
      </c>
      <c r="J137" s="30">
        <v>10400</v>
      </c>
      <c r="K137" s="15">
        <v>715</v>
      </c>
      <c r="L137" s="15" t="s">
        <v>380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381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337</v>
      </c>
      <c r="D138" s="29" t="s">
        <v>338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382</v>
      </c>
      <c r="J138" s="30">
        <v>11200</v>
      </c>
      <c r="K138" s="15">
        <v>770</v>
      </c>
      <c r="L138" s="15" t="s">
        <v>380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383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337</v>
      </c>
      <c r="D139" s="29" t="s">
        <v>338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384</v>
      </c>
      <c r="J139" s="30">
        <v>12000</v>
      </c>
      <c r="K139" s="15">
        <v>825</v>
      </c>
      <c r="L139" s="15" t="s">
        <v>380</v>
      </c>
      <c r="M139" s="30" t="s">
        <v>385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386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337</v>
      </c>
      <c r="D140" s="29" t="s">
        <v>338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387</v>
      </c>
      <c r="J140" s="30">
        <v>12800</v>
      </c>
      <c r="K140" s="15">
        <v>880</v>
      </c>
      <c r="L140" s="15" t="s">
        <v>388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389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337</v>
      </c>
      <c r="D141" s="29" t="s">
        <v>338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390</v>
      </c>
      <c r="J141" s="30">
        <v>13600</v>
      </c>
      <c r="K141" s="15">
        <v>935</v>
      </c>
      <c r="L141" s="15" t="s">
        <v>388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391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337</v>
      </c>
      <c r="D142" s="29" t="s">
        <v>338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392</v>
      </c>
      <c r="J142" s="30">
        <v>14400</v>
      </c>
      <c r="K142" s="15">
        <v>990</v>
      </c>
      <c r="L142" s="15" t="s">
        <v>388</v>
      </c>
      <c r="M142" s="30"/>
      <c r="N142" s="30"/>
      <c r="O142" s="30"/>
      <c r="P142" s="31"/>
      <c r="Q142" s="31"/>
      <c r="S142" s="32">
        <v>68</v>
      </c>
      <c r="T142" s="28" t="s">
        <v>393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337</v>
      </c>
      <c r="D143" s="29" t="s">
        <v>338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394</v>
      </c>
      <c r="J143" s="30">
        <v>15200</v>
      </c>
      <c r="K143" s="15">
        <v>1045</v>
      </c>
      <c r="L143" s="15" t="s">
        <v>395</v>
      </c>
      <c r="M143" s="30"/>
      <c r="N143" s="30"/>
      <c r="O143" s="30"/>
      <c r="P143" s="31"/>
      <c r="Q143" s="31"/>
      <c r="S143" s="32">
        <v>72</v>
      </c>
      <c r="T143" s="28" t="s">
        <v>396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337</v>
      </c>
      <c r="D144" s="29" t="s">
        <v>338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397</v>
      </c>
      <c r="J144" s="30">
        <v>16000</v>
      </c>
      <c r="K144" s="15">
        <v>1100</v>
      </c>
      <c r="L144" s="15" t="s">
        <v>395</v>
      </c>
      <c r="M144" s="30" t="s">
        <v>398</v>
      </c>
      <c r="N144" s="30">
        <v>40</v>
      </c>
      <c r="O144" s="30"/>
      <c r="P144" s="31"/>
      <c r="Q144" s="31"/>
      <c r="S144" s="32">
        <v>76</v>
      </c>
      <c r="T144" s="28" t="s">
        <v>399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337</v>
      </c>
      <c r="D145" s="29" t="s">
        <v>338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400</v>
      </c>
      <c r="J145" s="30">
        <v>16800</v>
      </c>
      <c r="K145" s="15">
        <v>1155</v>
      </c>
      <c r="L145" s="15" t="s">
        <v>395</v>
      </c>
      <c r="M145" s="30"/>
      <c r="N145" s="30"/>
      <c r="O145" s="30"/>
      <c r="P145" s="31"/>
      <c r="Q145" s="31"/>
      <c r="S145" s="32">
        <v>80</v>
      </c>
      <c r="T145" s="28" t="s">
        <v>401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337</v>
      </c>
      <c r="D146" s="29" t="s">
        <v>338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402</v>
      </c>
      <c r="J146" s="30">
        <v>17600</v>
      </c>
      <c r="K146" s="15">
        <v>1210</v>
      </c>
      <c r="L146" s="15" t="s">
        <v>403</v>
      </c>
      <c r="M146" s="30"/>
      <c r="N146" s="30"/>
      <c r="O146" s="30"/>
      <c r="P146" s="31"/>
      <c r="Q146" s="31"/>
      <c r="S146" s="32">
        <v>84</v>
      </c>
      <c r="T146" s="28" t="s">
        <v>404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337</v>
      </c>
      <c r="D147" s="29" t="s">
        <v>338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405</v>
      </c>
      <c r="J147" s="30">
        <v>18400</v>
      </c>
      <c r="K147" s="15">
        <v>1265</v>
      </c>
      <c r="L147" s="15" t="s">
        <v>403</v>
      </c>
      <c r="M147" s="30"/>
      <c r="N147" s="30"/>
      <c r="O147" s="30"/>
      <c r="P147" s="31"/>
      <c r="Q147" s="31"/>
      <c r="S147" s="32">
        <v>88</v>
      </c>
      <c r="T147" s="28" t="s">
        <v>406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337</v>
      </c>
      <c r="D148" s="29" t="s">
        <v>338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407</v>
      </c>
      <c r="J148" s="30">
        <v>19200</v>
      </c>
      <c r="K148" s="15">
        <v>1320</v>
      </c>
      <c r="L148" s="15" t="s">
        <v>403</v>
      </c>
      <c r="M148" s="30"/>
      <c r="N148" s="30"/>
      <c r="O148" s="30"/>
      <c r="P148" s="31"/>
      <c r="Q148" s="31"/>
      <c r="S148" s="32">
        <v>92</v>
      </c>
      <c r="T148" s="28" t="s">
        <v>408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337</v>
      </c>
      <c r="D149" s="29" t="s">
        <v>338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409</v>
      </c>
      <c r="J149" s="30">
        <v>20000</v>
      </c>
      <c r="K149" s="15">
        <v>1375</v>
      </c>
      <c r="L149" s="15" t="s">
        <v>410</v>
      </c>
      <c r="M149" s="30" t="s">
        <v>411</v>
      </c>
      <c r="N149" s="30">
        <v>50</v>
      </c>
      <c r="O149" s="30"/>
      <c r="P149" s="31"/>
      <c r="Q149" s="31"/>
      <c r="R149" s="7"/>
      <c r="S149" s="32">
        <v>96</v>
      </c>
      <c r="T149" s="28" t="s">
        <v>412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337</v>
      </c>
      <c r="D150" s="29" t="s">
        <v>338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413</v>
      </c>
      <c r="J150" s="30">
        <v>20800</v>
      </c>
      <c r="K150" s="15">
        <v>1430</v>
      </c>
      <c r="L150" s="15" t="s">
        <v>410</v>
      </c>
      <c r="M150" s="30"/>
      <c r="N150" s="30"/>
      <c r="O150" s="30"/>
      <c r="P150" s="31"/>
      <c r="Q150" s="31"/>
      <c r="R150" s="33" t="s">
        <v>273</v>
      </c>
      <c r="S150" s="32">
        <v>100</v>
      </c>
      <c r="T150" s="28" t="s">
        <v>414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337</v>
      </c>
      <c r="D151" s="29" t="s">
        <v>338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415</v>
      </c>
      <c r="J151" s="30">
        <v>21600</v>
      </c>
      <c r="K151" s="15">
        <v>1485</v>
      </c>
      <c r="L151" s="15" t="s">
        <v>410</v>
      </c>
      <c r="M151" s="30"/>
      <c r="N151" s="30"/>
      <c r="O151" s="30"/>
      <c r="P151" s="31"/>
      <c r="Q151" s="31"/>
      <c r="R151" s="33" t="s">
        <v>273</v>
      </c>
      <c r="S151" s="32">
        <v>104</v>
      </c>
      <c r="T151" s="28" t="s">
        <v>416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337</v>
      </c>
      <c r="D152" s="29" t="s">
        <v>338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417</v>
      </c>
      <c r="J152" s="30">
        <v>22400</v>
      </c>
      <c r="K152" s="15">
        <v>1540</v>
      </c>
      <c r="L152" s="15" t="s">
        <v>418</v>
      </c>
      <c r="M152" s="30"/>
      <c r="N152" s="30"/>
      <c r="O152" s="30"/>
      <c r="P152" s="31"/>
      <c r="Q152" s="31"/>
      <c r="R152" s="33" t="s">
        <v>273</v>
      </c>
      <c r="S152" s="32">
        <v>108</v>
      </c>
      <c r="T152" s="28" t="s">
        <v>419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337</v>
      </c>
      <c r="D153" s="29" t="s">
        <v>338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420</v>
      </c>
      <c r="J153" s="30">
        <v>23200</v>
      </c>
      <c r="K153" s="15">
        <v>1595</v>
      </c>
      <c r="L153" s="15" t="s">
        <v>418</v>
      </c>
      <c r="M153" s="30"/>
      <c r="N153" s="30"/>
      <c r="O153" s="30"/>
      <c r="P153" s="31"/>
      <c r="Q153" s="31"/>
      <c r="R153" s="33" t="s">
        <v>273</v>
      </c>
      <c r="S153" s="32">
        <v>112</v>
      </c>
      <c r="T153" s="28" t="s">
        <v>421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337</v>
      </c>
      <c r="D154" s="29" t="s">
        <v>338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422</v>
      </c>
      <c r="J154" s="30">
        <v>24000</v>
      </c>
      <c r="K154" s="15">
        <v>1650</v>
      </c>
      <c r="L154" s="15" t="s">
        <v>418</v>
      </c>
      <c r="M154" s="30" t="s">
        <v>423</v>
      </c>
      <c r="N154" s="30">
        <v>60</v>
      </c>
      <c r="O154" s="30"/>
      <c r="P154" s="31"/>
      <c r="Q154" s="31"/>
      <c r="R154" s="33" t="s">
        <v>273</v>
      </c>
      <c r="S154" s="32">
        <v>116</v>
      </c>
      <c r="T154" s="28" t="s">
        <v>424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337</v>
      </c>
      <c r="D155" s="29" t="s">
        <v>338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425</v>
      </c>
      <c r="J155" s="30">
        <v>24800</v>
      </c>
      <c r="K155" s="15">
        <v>1705</v>
      </c>
      <c r="L155" s="15" t="s">
        <v>426</v>
      </c>
      <c r="M155" s="30"/>
      <c r="N155" s="30"/>
      <c r="O155" s="30"/>
      <c r="P155" s="31"/>
      <c r="Q155" s="31"/>
      <c r="R155" s="33" t="s">
        <v>273</v>
      </c>
      <c r="S155" s="32">
        <v>120</v>
      </c>
      <c r="T155" s="28" t="s">
        <v>427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337</v>
      </c>
      <c r="D156" s="29" t="s">
        <v>338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428</v>
      </c>
      <c r="J156" s="30">
        <v>25600</v>
      </c>
      <c r="K156" s="15">
        <v>1760</v>
      </c>
      <c r="L156" s="15" t="s">
        <v>426</v>
      </c>
      <c r="M156" s="30"/>
      <c r="N156" s="30"/>
      <c r="O156" s="30"/>
      <c r="P156" s="31"/>
      <c r="Q156" s="31"/>
      <c r="R156" s="33" t="s">
        <v>273</v>
      </c>
      <c r="S156" s="32">
        <v>124</v>
      </c>
      <c r="T156" s="28" t="s">
        <v>429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337</v>
      </c>
      <c r="D157" s="29" t="s">
        <v>338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430</v>
      </c>
      <c r="J157" s="30">
        <v>26400</v>
      </c>
      <c r="K157" s="15">
        <v>1815</v>
      </c>
      <c r="L157" s="15" t="s">
        <v>426</v>
      </c>
      <c r="M157" s="30"/>
      <c r="N157" s="30"/>
      <c r="O157" s="30"/>
      <c r="P157" s="31"/>
      <c r="Q157" s="31"/>
      <c r="R157" s="33" t="s">
        <v>273</v>
      </c>
      <c r="S157" s="32">
        <v>128</v>
      </c>
      <c r="T157" s="28" t="s">
        <v>431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337</v>
      </c>
      <c r="D158" s="29" t="s">
        <v>338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432</v>
      </c>
      <c r="J158" s="30">
        <v>27200</v>
      </c>
      <c r="K158" s="15">
        <v>1870</v>
      </c>
      <c r="L158" s="15" t="s">
        <v>433</v>
      </c>
      <c r="M158" s="30"/>
      <c r="N158" s="30"/>
      <c r="O158" s="30"/>
      <c r="P158" s="31"/>
      <c r="Q158" s="31"/>
      <c r="R158" s="33" t="s">
        <v>273</v>
      </c>
      <c r="S158" s="32">
        <v>132</v>
      </c>
      <c r="T158" s="28" t="s">
        <v>434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337</v>
      </c>
      <c r="D159" s="29" t="s">
        <v>338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435</v>
      </c>
      <c r="J159" s="30">
        <v>28000</v>
      </c>
      <c r="K159" s="15">
        <v>1925</v>
      </c>
      <c r="L159" s="15" t="s">
        <v>433</v>
      </c>
      <c r="M159" s="30"/>
      <c r="N159" s="30">
        <v>70</v>
      </c>
      <c r="O159" s="30"/>
      <c r="P159" s="31"/>
      <c r="Q159" s="31"/>
      <c r="R159" s="33" t="s">
        <v>273</v>
      </c>
      <c r="S159" s="32">
        <v>136</v>
      </c>
      <c r="T159" s="28" t="s">
        <v>436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337</v>
      </c>
      <c r="D160" s="29" t="s">
        <v>338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437</v>
      </c>
      <c r="J160" s="30">
        <v>28800</v>
      </c>
      <c r="K160" s="15">
        <v>1980</v>
      </c>
      <c r="L160" s="15" t="s">
        <v>433</v>
      </c>
      <c r="M160" s="30"/>
      <c r="N160" s="30"/>
      <c r="O160" s="30"/>
      <c r="P160" s="31"/>
      <c r="Q160" s="31"/>
      <c r="R160" s="33" t="s">
        <v>273</v>
      </c>
      <c r="S160" s="32">
        <v>140</v>
      </c>
      <c r="T160" s="28" t="s">
        <v>438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337</v>
      </c>
      <c r="D161" s="29" t="s">
        <v>338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439</v>
      </c>
      <c r="J161" s="30">
        <v>29600</v>
      </c>
      <c r="K161" s="15">
        <v>2035</v>
      </c>
      <c r="L161" s="15" t="s">
        <v>440</v>
      </c>
      <c r="M161" s="30"/>
      <c r="N161" s="30"/>
      <c r="O161" s="30"/>
      <c r="P161" s="31"/>
      <c r="Q161" s="31"/>
      <c r="R161" s="33" t="s">
        <v>273</v>
      </c>
      <c r="S161" s="32">
        <v>144</v>
      </c>
      <c r="T161" s="28" t="s">
        <v>441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337</v>
      </c>
      <c r="D162" s="29" t="s">
        <v>338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442</v>
      </c>
      <c r="J162" s="30">
        <v>30400</v>
      </c>
      <c r="K162" s="15">
        <v>2090</v>
      </c>
      <c r="L162" s="15" t="s">
        <v>440</v>
      </c>
      <c r="M162" s="30"/>
      <c r="N162" s="30"/>
      <c r="O162" s="30"/>
      <c r="P162" s="31"/>
      <c r="Q162" s="31"/>
      <c r="R162" s="33" t="s">
        <v>273</v>
      </c>
      <c r="S162" s="32">
        <v>148</v>
      </c>
      <c r="T162" s="28" t="s">
        <v>443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337</v>
      </c>
      <c r="D163" s="29" t="s">
        <v>338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444</v>
      </c>
      <c r="J163" s="30">
        <v>31200</v>
      </c>
      <c r="K163" s="15">
        <v>2145</v>
      </c>
      <c r="L163" s="15" t="s">
        <v>440</v>
      </c>
      <c r="M163" s="30"/>
      <c r="N163" s="30"/>
      <c r="O163" s="30"/>
      <c r="P163" s="31"/>
      <c r="Q163" s="31"/>
      <c r="R163" s="33" t="s">
        <v>273</v>
      </c>
      <c r="S163" s="32">
        <v>152</v>
      </c>
      <c r="T163" s="28" t="s">
        <v>445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337</v>
      </c>
      <c r="D164" s="29" t="s">
        <v>338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446</v>
      </c>
      <c r="J164" s="30">
        <v>32000</v>
      </c>
      <c r="K164" s="15">
        <v>2200</v>
      </c>
      <c r="L164" s="15" t="s">
        <v>447</v>
      </c>
      <c r="M164" s="30"/>
      <c r="N164" s="30">
        <v>80</v>
      </c>
      <c r="O164" s="30"/>
      <c r="P164" s="31"/>
      <c r="Q164" s="31"/>
      <c r="R164" s="33" t="s">
        <v>273</v>
      </c>
      <c r="S164" s="32">
        <v>156</v>
      </c>
      <c r="T164" s="28" t="s">
        <v>448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337</v>
      </c>
      <c r="D165" s="29" t="s">
        <v>338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449</v>
      </c>
      <c r="J165" s="30">
        <v>32800</v>
      </c>
      <c r="K165" s="15">
        <v>2255</v>
      </c>
      <c r="L165" s="15" t="s">
        <v>447</v>
      </c>
      <c r="M165" s="30"/>
      <c r="N165" s="30"/>
      <c r="O165" s="30"/>
      <c r="P165" s="31"/>
      <c r="Q165" s="31"/>
      <c r="R165" s="33" t="s">
        <v>273</v>
      </c>
      <c r="S165" s="32">
        <v>160</v>
      </c>
      <c r="T165" s="28" t="s">
        <v>450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337</v>
      </c>
      <c r="D166" s="29" t="s">
        <v>338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451</v>
      </c>
      <c r="J166" s="30">
        <v>33600</v>
      </c>
      <c r="K166" s="15">
        <v>2310</v>
      </c>
      <c r="L166" s="15" t="s">
        <v>447</v>
      </c>
      <c r="M166" s="30"/>
      <c r="N166" s="30"/>
      <c r="O166" s="30"/>
      <c r="P166" s="31"/>
      <c r="Q166" s="31"/>
      <c r="R166" s="6" t="s">
        <v>273</v>
      </c>
      <c r="S166" s="32">
        <v>164</v>
      </c>
      <c r="T166" s="28" t="s">
        <v>452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337</v>
      </c>
      <c r="D167" s="29" t="s">
        <v>338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453</v>
      </c>
      <c r="J167" s="30">
        <v>34400</v>
      </c>
      <c r="K167" s="15">
        <v>2365</v>
      </c>
      <c r="L167" s="15" t="s">
        <v>454</v>
      </c>
      <c r="M167" s="30"/>
      <c r="N167" s="30"/>
      <c r="O167" s="30"/>
      <c r="P167" s="31"/>
      <c r="Q167" s="31"/>
      <c r="R167" s="6" t="s">
        <v>273</v>
      </c>
      <c r="S167" s="32">
        <v>168</v>
      </c>
      <c r="T167" s="28" t="s">
        <v>455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337</v>
      </c>
      <c r="D168" s="29" t="s">
        <v>338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456</v>
      </c>
      <c r="J168" s="30">
        <v>35200</v>
      </c>
      <c r="K168" s="15">
        <v>2420</v>
      </c>
      <c r="L168" s="15" t="s">
        <v>454</v>
      </c>
      <c r="M168" s="30"/>
      <c r="N168" s="30"/>
      <c r="O168" s="30"/>
      <c r="P168" s="31"/>
      <c r="Q168" s="31"/>
      <c r="R168" s="6" t="s">
        <v>273</v>
      </c>
      <c r="S168" s="32">
        <v>172</v>
      </c>
      <c r="T168" s="28" t="s">
        <v>457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337</v>
      </c>
      <c r="D169" s="29" t="s">
        <v>338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458</v>
      </c>
      <c r="J169" s="30">
        <v>36000</v>
      </c>
      <c r="K169" s="15">
        <v>2475</v>
      </c>
      <c r="L169" s="15" t="s">
        <v>454</v>
      </c>
      <c r="M169" s="30"/>
      <c r="N169" s="30"/>
      <c r="O169" s="30"/>
      <c r="P169" s="31"/>
      <c r="Q169" s="31"/>
      <c r="R169" s="6" t="s">
        <v>273</v>
      </c>
      <c r="S169" s="32">
        <v>176</v>
      </c>
      <c r="T169" s="28" t="s">
        <v>459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337</v>
      </c>
      <c r="D170" s="29" t="s">
        <v>338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460</v>
      </c>
      <c r="J170" s="30">
        <v>36800</v>
      </c>
      <c r="K170" s="15">
        <v>2530</v>
      </c>
      <c r="L170" s="15" t="s">
        <v>461</v>
      </c>
      <c r="M170" s="30"/>
      <c r="N170" s="30"/>
      <c r="O170" s="30"/>
      <c r="P170" s="31"/>
      <c r="Q170" s="31"/>
      <c r="R170" s="6" t="s">
        <v>273</v>
      </c>
      <c r="S170" s="32">
        <v>180</v>
      </c>
      <c r="T170" s="28" t="s">
        <v>462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337</v>
      </c>
      <c r="D171" s="29" t="s">
        <v>338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463</v>
      </c>
      <c r="J171" s="30">
        <v>37600</v>
      </c>
      <c r="K171" s="15">
        <v>2585</v>
      </c>
      <c r="L171" s="15" t="s">
        <v>461</v>
      </c>
      <c r="M171" s="30"/>
      <c r="N171" s="30"/>
      <c r="O171" s="30"/>
      <c r="P171" s="31"/>
      <c r="Q171" s="31"/>
      <c r="R171" s="6" t="s">
        <v>273</v>
      </c>
      <c r="S171" s="32">
        <v>184</v>
      </c>
      <c r="T171" s="28" t="s">
        <v>464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337</v>
      </c>
      <c r="D172" s="29" t="s">
        <v>338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465</v>
      </c>
      <c r="J172" s="30">
        <v>38400</v>
      </c>
      <c r="K172" s="15">
        <v>2640</v>
      </c>
      <c r="L172" s="15" t="s">
        <v>461</v>
      </c>
      <c r="M172" s="30"/>
      <c r="N172" s="30"/>
      <c r="O172" s="30"/>
      <c r="P172" s="31"/>
      <c r="Q172" s="31"/>
      <c r="R172" s="6" t="s">
        <v>273</v>
      </c>
      <c r="S172" s="32">
        <v>188</v>
      </c>
      <c r="T172" s="28" t="s">
        <v>466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337</v>
      </c>
      <c r="D173" s="29" t="s">
        <v>338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467</v>
      </c>
      <c r="J173" s="30">
        <v>39200</v>
      </c>
      <c r="K173" s="15">
        <v>2695</v>
      </c>
      <c r="L173" s="15" t="s">
        <v>468</v>
      </c>
      <c r="M173" s="30"/>
      <c r="N173" s="30"/>
      <c r="O173" s="30"/>
      <c r="P173" s="31"/>
      <c r="Q173" s="31"/>
      <c r="R173" s="6" t="s">
        <v>273</v>
      </c>
      <c r="S173" s="32">
        <v>192</v>
      </c>
      <c r="T173" s="28" t="s">
        <v>469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337</v>
      </c>
      <c r="D174" s="29" t="s">
        <v>338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470</v>
      </c>
      <c r="J174" s="30">
        <v>40000</v>
      </c>
      <c r="K174" s="15">
        <v>2750</v>
      </c>
      <c r="L174" s="15" t="s">
        <v>468</v>
      </c>
      <c r="M174" s="30"/>
      <c r="N174" s="30"/>
      <c r="O174" s="30"/>
      <c r="P174" s="31"/>
      <c r="Q174" s="31"/>
      <c r="R174" s="6" t="s">
        <v>273</v>
      </c>
      <c r="S174" s="32">
        <v>196</v>
      </c>
      <c r="T174" s="28" t="s">
        <v>471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337</v>
      </c>
      <c r="D175" s="29" t="s">
        <v>338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472</v>
      </c>
      <c r="J175" s="30">
        <v>40800</v>
      </c>
      <c r="K175" s="15">
        <v>2805</v>
      </c>
      <c r="L175" s="15" t="s">
        <v>468</v>
      </c>
      <c r="M175" s="30"/>
      <c r="N175" s="30"/>
      <c r="O175" s="30"/>
      <c r="P175" s="31"/>
      <c r="Q175" s="31"/>
      <c r="R175" s="6" t="s">
        <v>273</v>
      </c>
      <c r="S175" s="32">
        <v>200</v>
      </c>
      <c r="T175" s="28" t="s">
        <v>473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337</v>
      </c>
      <c r="D176" s="29" t="s">
        <v>338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474</v>
      </c>
      <c r="J176" s="30">
        <v>41600</v>
      </c>
      <c r="K176" s="15">
        <v>2860</v>
      </c>
      <c r="L176" s="15" t="s">
        <v>475</v>
      </c>
      <c r="M176" s="30"/>
      <c r="N176" s="30"/>
      <c r="O176" s="30"/>
      <c r="P176" s="31"/>
      <c r="Q176" s="31"/>
      <c r="R176" s="6" t="s">
        <v>273</v>
      </c>
      <c r="S176" s="32">
        <v>204</v>
      </c>
      <c r="T176" s="28" t="s">
        <v>476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337</v>
      </c>
      <c r="D177" s="29" t="s">
        <v>338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477</v>
      </c>
      <c r="J177" s="30">
        <v>42400</v>
      </c>
      <c r="K177" s="15">
        <v>2915</v>
      </c>
      <c r="L177" s="15" t="s">
        <v>475</v>
      </c>
      <c r="M177" s="30"/>
      <c r="N177" s="30"/>
      <c r="O177" s="30"/>
      <c r="P177" s="31"/>
      <c r="Q177" s="31"/>
      <c r="R177" s="6" t="s">
        <v>273</v>
      </c>
      <c r="S177" s="32">
        <v>208</v>
      </c>
      <c r="T177" s="28" t="s">
        <v>478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337</v>
      </c>
      <c r="D178" s="29" t="s">
        <v>338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479</v>
      </c>
      <c r="J178" s="30">
        <v>43200</v>
      </c>
      <c r="K178" s="15">
        <v>2970</v>
      </c>
      <c r="L178" s="15" t="s">
        <v>475</v>
      </c>
      <c r="M178" s="30"/>
      <c r="N178" s="30"/>
      <c r="O178" s="30"/>
      <c r="P178" s="31"/>
      <c r="Q178" s="31"/>
      <c r="R178" s="6" t="s">
        <v>273</v>
      </c>
      <c r="S178" s="32">
        <v>212</v>
      </c>
      <c r="T178" s="28" t="s">
        <v>480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337</v>
      </c>
      <c r="D179" s="29" t="s">
        <v>338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481</v>
      </c>
      <c r="J179" s="30">
        <v>44000</v>
      </c>
      <c r="K179" s="15">
        <v>3025</v>
      </c>
      <c r="L179" s="15" t="s">
        <v>482</v>
      </c>
      <c r="M179" s="30"/>
      <c r="N179" s="30"/>
      <c r="O179" s="30"/>
      <c r="P179" s="31"/>
      <c r="Q179" s="31"/>
      <c r="R179" s="6" t="s">
        <v>273</v>
      </c>
      <c r="S179" s="32">
        <v>216</v>
      </c>
      <c r="T179" s="28" t="s">
        <v>483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337</v>
      </c>
      <c r="D180" s="29" t="s">
        <v>338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484</v>
      </c>
      <c r="J180" s="30">
        <v>44800</v>
      </c>
      <c r="K180" s="15">
        <v>3080</v>
      </c>
      <c r="L180" s="15" t="s">
        <v>482</v>
      </c>
      <c r="M180" s="30"/>
      <c r="N180" s="30"/>
      <c r="O180" s="30"/>
      <c r="P180" s="31"/>
      <c r="Q180" s="31"/>
      <c r="R180" s="6" t="s">
        <v>273</v>
      </c>
      <c r="S180" s="32">
        <v>220</v>
      </c>
      <c r="T180" s="28" t="s">
        <v>485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337</v>
      </c>
      <c r="D181" s="29" t="s">
        <v>338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486</v>
      </c>
      <c r="J181" s="30">
        <v>45600</v>
      </c>
      <c r="K181" s="15">
        <v>3135</v>
      </c>
      <c r="L181" s="15" t="s">
        <v>482</v>
      </c>
      <c r="M181" s="30"/>
      <c r="N181" s="30"/>
      <c r="O181" s="30"/>
      <c r="P181" s="31"/>
      <c r="Q181" s="31"/>
      <c r="R181" s="6" t="s">
        <v>273</v>
      </c>
      <c r="S181" s="32">
        <v>224</v>
      </c>
      <c r="T181" s="28" t="s">
        <v>487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337</v>
      </c>
      <c r="D182" s="29" t="s">
        <v>338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488</v>
      </c>
      <c r="J182" s="30">
        <v>46400</v>
      </c>
      <c r="K182" s="15">
        <v>3190</v>
      </c>
      <c r="L182" s="15" t="s">
        <v>489</v>
      </c>
      <c r="M182" s="30"/>
      <c r="N182" s="30"/>
      <c r="O182" s="30"/>
      <c r="P182" s="31"/>
      <c r="Q182" s="31"/>
      <c r="R182" s="6" t="s">
        <v>273</v>
      </c>
      <c r="S182" s="32">
        <v>228</v>
      </c>
      <c r="T182" s="28" t="s">
        <v>490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337</v>
      </c>
      <c r="D183" s="29" t="s">
        <v>338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491</v>
      </c>
      <c r="J183" s="30">
        <v>47200</v>
      </c>
      <c r="K183" s="15">
        <v>3245</v>
      </c>
      <c r="L183" s="15" t="s">
        <v>489</v>
      </c>
      <c r="M183" s="30"/>
      <c r="N183" s="30"/>
      <c r="O183" s="30"/>
      <c r="P183" s="31"/>
      <c r="Q183" s="31"/>
      <c r="R183" s="6" t="s">
        <v>273</v>
      </c>
      <c r="S183" s="32">
        <v>232</v>
      </c>
      <c r="T183" s="28" t="s">
        <v>492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337</v>
      </c>
      <c r="D184" s="29" t="s">
        <v>338</v>
      </c>
      <c r="E184" s="25">
        <v>46</v>
      </c>
      <c r="F184" s="29">
        <v>60</v>
      </c>
      <c r="G184" s="29">
        <v>10</v>
      </c>
      <c r="H184" s="29"/>
      <c r="I184" s="29" t="s">
        <v>493</v>
      </c>
      <c r="J184" s="30">
        <v>48000</v>
      </c>
      <c r="K184" s="15">
        <v>3300</v>
      </c>
      <c r="L184" s="15" t="s">
        <v>489</v>
      </c>
      <c r="M184" s="30"/>
      <c r="N184" s="30"/>
      <c r="O184" s="30"/>
      <c r="P184" s="31"/>
      <c r="Q184" s="31"/>
      <c r="R184" s="6" t="s">
        <v>273</v>
      </c>
      <c r="S184" s="32"/>
      <c r="T184" s="28" t="s">
        <v>494</v>
      </c>
    </row>
    <row r="185" customHeight="1" spans="1:20">
      <c r="A185" s="25">
        <f t="shared" si="9"/>
        <v>1104001</v>
      </c>
      <c r="B185" s="25">
        <v>1104</v>
      </c>
      <c r="C185" s="25" t="s">
        <v>495</v>
      </c>
      <c r="D185" s="25" t="s">
        <v>496</v>
      </c>
      <c r="E185" s="25">
        <v>23</v>
      </c>
      <c r="F185" s="25">
        <v>1</v>
      </c>
      <c r="G185" s="25">
        <v>6</v>
      </c>
      <c r="H185" s="25" t="s">
        <v>497</v>
      </c>
      <c r="I185" s="25" t="s">
        <v>498</v>
      </c>
      <c r="J185" s="15">
        <v>700</v>
      </c>
      <c r="K185" s="15">
        <v>50</v>
      </c>
      <c r="L185" s="15" t="s">
        <v>499</v>
      </c>
      <c r="M185" s="15"/>
      <c r="N185" s="15"/>
      <c r="O185" s="15"/>
      <c r="P185" s="14" t="s">
        <v>500</v>
      </c>
      <c r="Q185" s="14" t="s">
        <v>501</v>
      </c>
      <c r="R185" s="5" t="s">
        <v>502</v>
      </c>
      <c r="S185" s="27">
        <v>2</v>
      </c>
      <c r="T185" s="28" t="s">
        <v>503</v>
      </c>
    </row>
    <row r="186" customHeight="1" spans="1:20">
      <c r="A186" s="25">
        <f t="shared" si="9"/>
        <v>1104002</v>
      </c>
      <c r="B186" s="25">
        <v>1104</v>
      </c>
      <c r="C186" s="25" t="s">
        <v>495</v>
      </c>
      <c r="D186" s="25" t="s">
        <v>496</v>
      </c>
      <c r="E186" s="25">
        <v>23</v>
      </c>
      <c r="F186" s="25">
        <v>2</v>
      </c>
      <c r="G186" s="25">
        <v>8</v>
      </c>
      <c r="H186" s="25" t="s">
        <v>504</v>
      </c>
      <c r="I186" s="25" t="s">
        <v>505</v>
      </c>
      <c r="J186" s="15">
        <v>1400</v>
      </c>
      <c r="K186" s="15">
        <v>100</v>
      </c>
      <c r="L186" s="15" t="s">
        <v>499</v>
      </c>
      <c r="M186" s="15"/>
      <c r="N186" s="15"/>
      <c r="O186" s="15"/>
      <c r="P186" s="14" t="s">
        <v>506</v>
      </c>
      <c r="Q186" s="14" t="s">
        <v>507</v>
      </c>
      <c r="R186" s="5">
        <v>1104256</v>
      </c>
      <c r="S186" s="27">
        <v>4</v>
      </c>
      <c r="T186" s="28" t="s">
        <v>508</v>
      </c>
    </row>
    <row r="187" customHeight="1" spans="1:20">
      <c r="A187" s="25">
        <f t="shared" si="9"/>
        <v>1104003</v>
      </c>
      <c r="B187" s="25">
        <v>1104</v>
      </c>
      <c r="C187" s="25" t="s">
        <v>495</v>
      </c>
      <c r="D187" s="25" t="s">
        <v>496</v>
      </c>
      <c r="E187" s="25">
        <v>23</v>
      </c>
      <c r="F187" s="25">
        <v>3</v>
      </c>
      <c r="G187" s="25">
        <v>10</v>
      </c>
      <c r="H187" s="25" t="s">
        <v>509</v>
      </c>
      <c r="I187" s="25" t="s">
        <v>510</v>
      </c>
      <c r="J187" s="15">
        <v>2100</v>
      </c>
      <c r="K187" s="15">
        <v>150</v>
      </c>
      <c r="L187" s="15" t="s">
        <v>499</v>
      </c>
      <c r="M187" s="15"/>
      <c r="N187" s="15"/>
      <c r="O187" s="15"/>
      <c r="P187" s="14" t="s">
        <v>511</v>
      </c>
      <c r="Q187" s="14" t="s">
        <v>512</v>
      </c>
      <c r="R187" s="5">
        <v>1104259</v>
      </c>
      <c r="S187" s="27">
        <v>8</v>
      </c>
      <c r="T187" s="28" t="s">
        <v>513</v>
      </c>
    </row>
    <row r="188" customHeight="1" spans="1:20">
      <c r="A188" s="25">
        <f t="shared" si="9"/>
        <v>1104004</v>
      </c>
      <c r="B188" s="25">
        <v>1104</v>
      </c>
      <c r="C188" s="25" t="s">
        <v>495</v>
      </c>
      <c r="D188" s="25" t="s">
        <v>496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514</v>
      </c>
      <c r="J188" s="15">
        <v>2800</v>
      </c>
      <c r="K188" s="15">
        <v>200</v>
      </c>
      <c r="L188" s="15" t="s">
        <v>515</v>
      </c>
      <c r="M188" s="15"/>
      <c r="N188" s="15"/>
      <c r="O188" s="15"/>
      <c r="R188" s="5">
        <v>1104261</v>
      </c>
      <c r="S188" s="27">
        <v>12</v>
      </c>
      <c r="T188" s="28" t="s">
        <v>516</v>
      </c>
    </row>
    <row r="189" customHeight="1" spans="1:20">
      <c r="A189" s="25">
        <f t="shared" si="9"/>
        <v>1104005</v>
      </c>
      <c r="B189" s="25">
        <v>1104</v>
      </c>
      <c r="C189" s="25" t="s">
        <v>495</v>
      </c>
      <c r="D189" s="25" t="s">
        <v>496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517</v>
      </c>
      <c r="J189" s="15">
        <v>3500</v>
      </c>
      <c r="K189" s="15">
        <v>250</v>
      </c>
      <c r="L189" s="15" t="s">
        <v>515</v>
      </c>
      <c r="M189" s="15" t="s">
        <v>518</v>
      </c>
      <c r="N189" s="15">
        <v>10</v>
      </c>
      <c r="O189" s="15"/>
      <c r="R189" s="5">
        <v>1104251</v>
      </c>
      <c r="S189" s="27">
        <v>16</v>
      </c>
      <c r="T189" s="28" t="s">
        <v>519</v>
      </c>
    </row>
    <row r="190" customHeight="1" spans="1:20">
      <c r="A190" s="25">
        <f t="shared" si="9"/>
        <v>1104006</v>
      </c>
      <c r="B190" s="25">
        <v>1104</v>
      </c>
      <c r="C190" s="25" t="s">
        <v>495</v>
      </c>
      <c r="D190" s="25" t="s">
        <v>496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520</v>
      </c>
      <c r="J190" s="15">
        <v>4200</v>
      </c>
      <c r="K190" s="15">
        <v>300</v>
      </c>
      <c r="L190" s="15" t="s">
        <v>515</v>
      </c>
      <c r="M190" s="15"/>
      <c r="N190" s="15"/>
      <c r="O190" s="15"/>
      <c r="R190" s="5">
        <v>1104252</v>
      </c>
      <c r="S190" s="27">
        <v>20</v>
      </c>
      <c r="T190" s="28" t="s">
        <v>521</v>
      </c>
    </row>
    <row r="191" customHeight="1" spans="1:20">
      <c r="A191" s="25">
        <f t="shared" si="9"/>
        <v>1104007</v>
      </c>
      <c r="B191" s="25">
        <v>1104</v>
      </c>
      <c r="C191" s="25" t="s">
        <v>495</v>
      </c>
      <c r="D191" s="25" t="s">
        <v>496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522</v>
      </c>
      <c r="J191" s="15">
        <v>4900</v>
      </c>
      <c r="K191" s="15">
        <v>350</v>
      </c>
      <c r="L191" s="15" t="s">
        <v>523</v>
      </c>
      <c r="M191" s="15"/>
      <c r="N191" s="15"/>
      <c r="O191" s="15"/>
      <c r="R191" s="5">
        <v>1104253</v>
      </c>
      <c r="S191" s="27">
        <v>24</v>
      </c>
      <c r="T191" s="28" t="s">
        <v>524</v>
      </c>
    </row>
    <row r="192" customHeight="1" spans="1:20">
      <c r="A192" s="25">
        <f t="shared" si="9"/>
        <v>1104008</v>
      </c>
      <c r="B192" s="25">
        <v>1104</v>
      </c>
      <c r="C192" s="25" t="s">
        <v>495</v>
      </c>
      <c r="D192" s="25" t="s">
        <v>496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525</v>
      </c>
      <c r="J192" s="15">
        <v>5600</v>
      </c>
      <c r="K192" s="15">
        <v>400</v>
      </c>
      <c r="L192" s="15" t="s">
        <v>523</v>
      </c>
      <c r="M192" s="15"/>
      <c r="N192" s="15"/>
      <c r="O192" s="15"/>
      <c r="R192" s="5">
        <v>1104270</v>
      </c>
      <c r="S192" s="27">
        <v>28</v>
      </c>
      <c r="T192" s="28" t="s">
        <v>526</v>
      </c>
    </row>
    <row r="193" customHeight="1" spans="1:20">
      <c r="A193" s="25">
        <f t="shared" si="9"/>
        <v>1104009</v>
      </c>
      <c r="B193" s="25">
        <v>1104</v>
      </c>
      <c r="C193" s="25" t="s">
        <v>495</v>
      </c>
      <c r="D193" s="25" t="s">
        <v>496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527</v>
      </c>
      <c r="J193" s="15">
        <v>6300</v>
      </c>
      <c r="K193" s="15">
        <v>450</v>
      </c>
      <c r="L193" s="15" t="s">
        <v>523</v>
      </c>
      <c r="M193" s="15"/>
      <c r="N193" s="15"/>
      <c r="O193" s="15"/>
      <c r="R193" s="5">
        <v>1104271</v>
      </c>
      <c r="S193" s="27">
        <v>32</v>
      </c>
      <c r="T193" s="28" t="s">
        <v>528</v>
      </c>
    </row>
    <row r="194" customHeight="1" spans="1:20">
      <c r="A194" s="25">
        <f t="shared" si="9"/>
        <v>1104010</v>
      </c>
      <c r="B194" s="25">
        <v>1104</v>
      </c>
      <c r="C194" s="25" t="s">
        <v>495</v>
      </c>
      <c r="D194" s="25" t="s">
        <v>496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529</v>
      </c>
      <c r="J194" s="15">
        <v>7000</v>
      </c>
      <c r="K194" s="15">
        <v>500</v>
      </c>
      <c r="L194" s="15" t="s">
        <v>530</v>
      </c>
      <c r="M194" s="15" t="s">
        <v>531</v>
      </c>
      <c r="N194" s="15">
        <v>20</v>
      </c>
      <c r="O194" s="15"/>
      <c r="R194" s="5">
        <v>1104272</v>
      </c>
      <c r="S194" s="27">
        <v>36</v>
      </c>
      <c r="T194" s="28" t="s">
        <v>532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495</v>
      </c>
      <c r="D195" s="25" t="s">
        <v>496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533</v>
      </c>
      <c r="J195" s="15">
        <v>7700</v>
      </c>
      <c r="K195" s="15">
        <v>550</v>
      </c>
      <c r="L195" s="15" t="s">
        <v>530</v>
      </c>
      <c r="M195" s="15"/>
      <c r="N195" s="15"/>
      <c r="O195" s="15"/>
      <c r="R195" s="5">
        <v>1104265</v>
      </c>
      <c r="S195" s="27">
        <v>40</v>
      </c>
      <c r="T195" s="10" t="s">
        <v>534</v>
      </c>
    </row>
    <row r="196" customHeight="1" spans="1:20">
      <c r="A196" s="25">
        <f t="shared" si="11"/>
        <v>1104012</v>
      </c>
      <c r="B196" s="25">
        <v>1104</v>
      </c>
      <c r="C196" s="25" t="s">
        <v>495</v>
      </c>
      <c r="D196" s="25" t="s">
        <v>496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535</v>
      </c>
      <c r="J196" s="15">
        <v>8400</v>
      </c>
      <c r="K196" s="15">
        <v>600</v>
      </c>
      <c r="L196" s="15" t="s">
        <v>530</v>
      </c>
      <c r="M196" s="15"/>
      <c r="N196" s="15"/>
      <c r="O196" s="15"/>
      <c r="R196" s="5">
        <v>1104267</v>
      </c>
      <c r="S196" s="27">
        <v>44</v>
      </c>
      <c r="T196" s="28" t="s">
        <v>536</v>
      </c>
    </row>
    <row r="197" customHeight="1" spans="1:20">
      <c r="A197" s="25">
        <f t="shared" si="11"/>
        <v>1104013</v>
      </c>
      <c r="B197" s="25">
        <v>1104</v>
      </c>
      <c r="C197" s="25" t="s">
        <v>495</v>
      </c>
      <c r="D197" s="25" t="s">
        <v>496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537</v>
      </c>
      <c r="J197" s="15">
        <v>9100</v>
      </c>
      <c r="K197" s="15">
        <v>650</v>
      </c>
      <c r="L197" s="15" t="s">
        <v>341</v>
      </c>
      <c r="M197" s="15"/>
      <c r="N197" s="15"/>
      <c r="O197" s="15"/>
      <c r="R197" s="5">
        <v>1104262</v>
      </c>
      <c r="S197" s="27">
        <v>48</v>
      </c>
      <c r="T197" s="28" t="s">
        <v>538</v>
      </c>
    </row>
    <row r="198" customHeight="1" spans="1:20">
      <c r="A198" s="25">
        <f t="shared" si="11"/>
        <v>1104014</v>
      </c>
      <c r="B198" s="25">
        <v>1104</v>
      </c>
      <c r="C198" s="25" t="s">
        <v>495</v>
      </c>
      <c r="D198" s="25" t="s">
        <v>496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539</v>
      </c>
      <c r="J198" s="15">
        <v>9800</v>
      </c>
      <c r="K198" s="15">
        <v>700</v>
      </c>
      <c r="L198" s="15" t="s">
        <v>341</v>
      </c>
      <c r="M198" s="15"/>
      <c r="N198" s="15"/>
      <c r="O198" s="15"/>
      <c r="R198" s="5">
        <v>1104263</v>
      </c>
      <c r="S198" s="27">
        <v>52</v>
      </c>
      <c r="T198" s="28" t="s">
        <v>540</v>
      </c>
    </row>
    <row r="199" customHeight="1" spans="1:20">
      <c r="A199" s="25">
        <f t="shared" si="11"/>
        <v>1104015</v>
      </c>
      <c r="B199" s="25">
        <v>1104</v>
      </c>
      <c r="C199" s="25" t="s">
        <v>495</v>
      </c>
      <c r="D199" s="25" t="s">
        <v>496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541</v>
      </c>
      <c r="J199" s="15">
        <v>10500</v>
      </c>
      <c r="K199" s="15">
        <v>750</v>
      </c>
      <c r="L199" s="15" t="s">
        <v>341</v>
      </c>
      <c r="M199" s="15" t="s">
        <v>542</v>
      </c>
      <c r="N199" s="15">
        <v>30</v>
      </c>
      <c r="O199" s="15"/>
      <c r="R199" s="5">
        <v>1104264</v>
      </c>
      <c r="S199" s="27">
        <v>56</v>
      </c>
      <c r="T199" s="28" t="s">
        <v>543</v>
      </c>
    </row>
    <row r="200" customHeight="1" spans="1:20">
      <c r="A200" s="25">
        <f t="shared" si="11"/>
        <v>1104016</v>
      </c>
      <c r="B200" s="25">
        <v>1104</v>
      </c>
      <c r="C200" s="25" t="s">
        <v>495</v>
      </c>
      <c r="D200" s="25" t="s">
        <v>496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544</v>
      </c>
      <c r="J200" s="15">
        <v>11200</v>
      </c>
      <c r="K200" s="15">
        <v>800</v>
      </c>
      <c r="L200" s="15" t="s">
        <v>357</v>
      </c>
      <c r="M200" s="15"/>
      <c r="N200" s="15"/>
      <c r="O200" s="15"/>
      <c r="R200" s="5">
        <v>1104268</v>
      </c>
      <c r="S200" s="27">
        <v>60</v>
      </c>
      <c r="T200" s="28" t="s">
        <v>545</v>
      </c>
    </row>
    <row r="201" customHeight="1" spans="1:20">
      <c r="A201" s="25">
        <f t="shared" si="11"/>
        <v>1104017</v>
      </c>
      <c r="B201" s="25">
        <v>1104</v>
      </c>
      <c r="C201" s="25" t="s">
        <v>495</v>
      </c>
      <c r="D201" s="25" t="s">
        <v>496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546</v>
      </c>
      <c r="J201" s="15">
        <v>11900</v>
      </c>
      <c r="K201" s="15">
        <v>850</v>
      </c>
      <c r="L201" s="15" t="s">
        <v>357</v>
      </c>
      <c r="M201" s="15"/>
      <c r="N201" s="15"/>
      <c r="O201" s="15"/>
      <c r="S201" s="27">
        <v>64</v>
      </c>
      <c r="T201" s="28" t="s">
        <v>547</v>
      </c>
    </row>
    <row r="202" customHeight="1" spans="1:20">
      <c r="A202" s="25">
        <f t="shared" si="11"/>
        <v>1104018</v>
      </c>
      <c r="B202" s="25">
        <v>1104</v>
      </c>
      <c r="C202" s="25" t="s">
        <v>495</v>
      </c>
      <c r="D202" s="25" t="s">
        <v>496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548</v>
      </c>
      <c r="J202" s="15">
        <v>12600</v>
      </c>
      <c r="K202" s="15">
        <v>900</v>
      </c>
      <c r="L202" s="15" t="s">
        <v>357</v>
      </c>
      <c r="M202" s="15"/>
      <c r="N202" s="15"/>
      <c r="O202" s="15"/>
      <c r="S202" s="27">
        <v>68</v>
      </c>
      <c r="T202" s="28" t="s">
        <v>549</v>
      </c>
    </row>
    <row r="203" customHeight="1" spans="1:20">
      <c r="A203" s="25">
        <f t="shared" si="11"/>
        <v>1104019</v>
      </c>
      <c r="B203" s="25">
        <v>1104</v>
      </c>
      <c r="C203" s="25" t="s">
        <v>495</v>
      </c>
      <c r="D203" s="25" t="s">
        <v>496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550</v>
      </c>
      <c r="J203" s="15">
        <v>13300</v>
      </c>
      <c r="K203" s="15">
        <v>950</v>
      </c>
      <c r="L203" s="15" t="s">
        <v>365</v>
      </c>
      <c r="M203" s="15"/>
      <c r="N203" s="15"/>
      <c r="O203" s="15"/>
      <c r="S203" s="27">
        <v>72</v>
      </c>
      <c r="T203" s="10" t="s">
        <v>551</v>
      </c>
    </row>
    <row r="204" customHeight="1" spans="1:20">
      <c r="A204" s="25">
        <f t="shared" si="11"/>
        <v>1104020</v>
      </c>
      <c r="B204" s="25">
        <v>1104</v>
      </c>
      <c r="C204" s="25" t="s">
        <v>495</v>
      </c>
      <c r="D204" s="25" t="s">
        <v>496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552</v>
      </c>
      <c r="J204" s="15">
        <v>14000</v>
      </c>
      <c r="K204" s="15">
        <v>1000</v>
      </c>
      <c r="L204" s="15" t="s">
        <v>365</v>
      </c>
      <c r="M204" s="15" t="s">
        <v>553</v>
      </c>
      <c r="N204" s="15">
        <v>40</v>
      </c>
      <c r="O204" s="15"/>
      <c r="S204" s="27">
        <v>76</v>
      </c>
      <c r="T204" s="28" t="s">
        <v>554</v>
      </c>
    </row>
    <row r="205" customHeight="1" spans="1:20">
      <c r="A205" s="25">
        <f t="shared" si="11"/>
        <v>1104021</v>
      </c>
      <c r="B205" s="25">
        <v>1104</v>
      </c>
      <c r="C205" s="25" t="s">
        <v>495</v>
      </c>
      <c r="D205" s="25" t="s">
        <v>496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555</v>
      </c>
      <c r="J205" s="15">
        <v>14700</v>
      </c>
      <c r="K205" s="15">
        <v>1050</v>
      </c>
      <c r="L205" s="15" t="s">
        <v>365</v>
      </c>
      <c r="M205" s="15"/>
      <c r="N205" s="15"/>
      <c r="O205" s="15"/>
      <c r="S205" s="27">
        <v>80</v>
      </c>
      <c r="T205" s="28" t="s">
        <v>556</v>
      </c>
    </row>
    <row r="206" customHeight="1" spans="1:20">
      <c r="A206" s="25">
        <f t="shared" si="11"/>
        <v>1104022</v>
      </c>
      <c r="B206" s="25">
        <v>1104</v>
      </c>
      <c r="C206" s="25" t="s">
        <v>495</v>
      </c>
      <c r="D206" s="25" t="s">
        <v>496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557</v>
      </c>
      <c r="J206" s="15">
        <v>15400</v>
      </c>
      <c r="K206" s="15">
        <v>1100</v>
      </c>
      <c r="L206" s="15" t="s">
        <v>372</v>
      </c>
      <c r="M206" s="15"/>
      <c r="N206" s="15"/>
      <c r="O206" s="15"/>
      <c r="S206" s="27">
        <v>84</v>
      </c>
      <c r="T206" s="28" t="s">
        <v>558</v>
      </c>
    </row>
    <row r="207" customHeight="1" spans="1:20">
      <c r="A207" s="25">
        <f t="shared" si="11"/>
        <v>1104023</v>
      </c>
      <c r="B207" s="25">
        <v>1104</v>
      </c>
      <c r="C207" s="25" t="s">
        <v>495</v>
      </c>
      <c r="D207" s="25" t="s">
        <v>496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559</v>
      </c>
      <c r="J207" s="15">
        <v>16100</v>
      </c>
      <c r="K207" s="15">
        <v>1150</v>
      </c>
      <c r="L207" s="15" t="s">
        <v>372</v>
      </c>
      <c r="M207" s="15"/>
      <c r="N207" s="15"/>
      <c r="O207" s="15"/>
      <c r="R207" s="5" t="s">
        <v>273</v>
      </c>
      <c r="S207" s="27">
        <v>88</v>
      </c>
      <c r="T207" s="28" t="s">
        <v>560</v>
      </c>
    </row>
    <row r="208" customHeight="1" spans="1:20">
      <c r="A208" s="25">
        <f t="shared" si="11"/>
        <v>1104024</v>
      </c>
      <c r="B208" s="25">
        <v>1104</v>
      </c>
      <c r="C208" s="25" t="s">
        <v>495</v>
      </c>
      <c r="D208" s="25" t="s">
        <v>496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561</v>
      </c>
      <c r="J208" s="15">
        <v>16800</v>
      </c>
      <c r="K208" s="15">
        <v>1200</v>
      </c>
      <c r="L208" s="15" t="s">
        <v>372</v>
      </c>
      <c r="M208" s="15"/>
      <c r="N208" s="15"/>
      <c r="O208" s="15"/>
      <c r="R208" s="5" t="s">
        <v>273</v>
      </c>
      <c r="S208" s="27">
        <v>92</v>
      </c>
      <c r="T208" s="10" t="s">
        <v>562</v>
      </c>
    </row>
    <row r="209" customHeight="1" spans="1:20">
      <c r="A209" s="25">
        <f t="shared" si="11"/>
        <v>1104025</v>
      </c>
      <c r="B209" s="25">
        <v>1104</v>
      </c>
      <c r="C209" s="25" t="s">
        <v>495</v>
      </c>
      <c r="D209" s="25" t="s">
        <v>496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563</v>
      </c>
      <c r="J209" s="15">
        <v>17500</v>
      </c>
      <c r="K209" s="15">
        <v>1250</v>
      </c>
      <c r="L209" s="15" t="s">
        <v>380</v>
      </c>
      <c r="M209" s="15" t="s">
        <v>564</v>
      </c>
      <c r="N209" s="15">
        <v>50</v>
      </c>
      <c r="O209" s="15"/>
      <c r="R209" s="5" t="s">
        <v>273</v>
      </c>
      <c r="S209" s="27">
        <v>96</v>
      </c>
      <c r="T209" s="10" t="s">
        <v>565</v>
      </c>
    </row>
    <row r="210" customHeight="1" spans="1:20">
      <c r="A210" s="25">
        <f t="shared" si="11"/>
        <v>1104026</v>
      </c>
      <c r="B210" s="25">
        <v>1104</v>
      </c>
      <c r="C210" s="25" t="s">
        <v>495</v>
      </c>
      <c r="D210" s="25" t="s">
        <v>496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566</v>
      </c>
      <c r="J210" s="15">
        <v>18200</v>
      </c>
      <c r="K210" s="15">
        <v>1300</v>
      </c>
      <c r="L210" s="15" t="s">
        <v>380</v>
      </c>
      <c r="M210" s="15"/>
      <c r="N210" s="15"/>
      <c r="O210" s="15"/>
      <c r="R210" s="5" t="s">
        <v>273</v>
      </c>
      <c r="S210" s="27">
        <v>100</v>
      </c>
      <c r="T210" s="10" t="s">
        <v>567</v>
      </c>
    </row>
    <row r="211" customHeight="1" spans="1:20">
      <c r="A211" s="25">
        <f t="shared" si="11"/>
        <v>1104027</v>
      </c>
      <c r="B211" s="25">
        <v>1104</v>
      </c>
      <c r="C211" s="25" t="s">
        <v>495</v>
      </c>
      <c r="D211" s="25" t="s">
        <v>496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568</v>
      </c>
      <c r="J211" s="15">
        <v>18900</v>
      </c>
      <c r="K211" s="15">
        <v>1350</v>
      </c>
      <c r="L211" s="15" t="s">
        <v>380</v>
      </c>
      <c r="M211" s="15"/>
      <c r="N211" s="15"/>
      <c r="O211" s="15"/>
      <c r="R211" s="5" t="s">
        <v>273</v>
      </c>
      <c r="S211" s="27">
        <v>104</v>
      </c>
      <c r="T211" s="10" t="s">
        <v>569</v>
      </c>
    </row>
    <row r="212" customHeight="1" spans="1:20">
      <c r="A212" s="25">
        <f t="shared" si="11"/>
        <v>1104028</v>
      </c>
      <c r="B212" s="25">
        <v>1104</v>
      </c>
      <c r="C212" s="25" t="s">
        <v>495</v>
      </c>
      <c r="D212" s="25" t="s">
        <v>496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570</v>
      </c>
      <c r="J212" s="15">
        <v>19600</v>
      </c>
      <c r="K212" s="15">
        <v>1400</v>
      </c>
      <c r="L212" s="15" t="s">
        <v>388</v>
      </c>
      <c r="M212" s="15"/>
      <c r="N212" s="15"/>
      <c r="O212" s="15"/>
      <c r="R212" s="5" t="s">
        <v>273</v>
      </c>
      <c r="S212" s="27">
        <v>108</v>
      </c>
      <c r="T212" s="28" t="s">
        <v>571</v>
      </c>
    </row>
    <row r="213" customHeight="1" spans="1:20">
      <c r="A213" s="25">
        <f t="shared" si="11"/>
        <v>1104029</v>
      </c>
      <c r="B213" s="25">
        <v>1104</v>
      </c>
      <c r="C213" s="25" t="s">
        <v>495</v>
      </c>
      <c r="D213" s="25" t="s">
        <v>496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572</v>
      </c>
      <c r="J213" s="15">
        <v>20300</v>
      </c>
      <c r="K213" s="15">
        <v>1450</v>
      </c>
      <c r="L213" s="15" t="s">
        <v>388</v>
      </c>
      <c r="M213" s="15"/>
      <c r="N213" s="15"/>
      <c r="O213" s="15"/>
      <c r="R213" s="5" t="s">
        <v>273</v>
      </c>
      <c r="S213" s="27">
        <v>112</v>
      </c>
      <c r="T213" s="28" t="s">
        <v>573</v>
      </c>
    </row>
    <row r="214" customHeight="1" spans="1:20">
      <c r="A214" s="25">
        <f t="shared" si="11"/>
        <v>1104030</v>
      </c>
      <c r="B214" s="25">
        <v>1104</v>
      </c>
      <c r="C214" s="25" t="s">
        <v>495</v>
      </c>
      <c r="D214" s="25" t="s">
        <v>496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574</v>
      </c>
      <c r="J214" s="15">
        <v>21000</v>
      </c>
      <c r="K214" s="15">
        <v>1500</v>
      </c>
      <c r="L214" s="15" t="s">
        <v>388</v>
      </c>
      <c r="M214" s="15" t="s">
        <v>575</v>
      </c>
      <c r="N214" s="15">
        <v>60</v>
      </c>
      <c r="O214" s="15"/>
      <c r="R214" s="5" t="s">
        <v>273</v>
      </c>
      <c r="S214" s="27">
        <v>116</v>
      </c>
      <c r="T214" s="28" t="s">
        <v>576</v>
      </c>
    </row>
    <row r="215" customHeight="1" spans="1:20">
      <c r="A215" s="25">
        <f t="shared" si="11"/>
        <v>1104031</v>
      </c>
      <c r="B215" s="25">
        <v>1104</v>
      </c>
      <c r="C215" s="25" t="s">
        <v>495</v>
      </c>
      <c r="D215" s="25" t="s">
        <v>496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577</v>
      </c>
      <c r="J215" s="15">
        <v>21700</v>
      </c>
      <c r="K215" s="15">
        <v>1550</v>
      </c>
      <c r="L215" s="15" t="s">
        <v>395</v>
      </c>
      <c r="M215" s="15"/>
      <c r="N215" s="15"/>
      <c r="O215" s="15"/>
      <c r="R215" s="5" t="s">
        <v>273</v>
      </c>
      <c r="S215" s="27">
        <v>120</v>
      </c>
      <c r="T215" s="28" t="s">
        <v>578</v>
      </c>
    </row>
    <row r="216" customHeight="1" spans="1:20">
      <c r="A216" s="25">
        <f t="shared" si="11"/>
        <v>1104032</v>
      </c>
      <c r="B216" s="25">
        <v>1104</v>
      </c>
      <c r="C216" s="25" t="s">
        <v>495</v>
      </c>
      <c r="D216" s="25" t="s">
        <v>496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579</v>
      </c>
      <c r="J216" s="15">
        <v>22400</v>
      </c>
      <c r="K216" s="15">
        <v>1600</v>
      </c>
      <c r="L216" s="15" t="s">
        <v>395</v>
      </c>
      <c r="M216" s="15"/>
      <c r="N216" s="15"/>
      <c r="O216" s="15"/>
      <c r="R216" s="5" t="s">
        <v>273</v>
      </c>
      <c r="S216" s="27">
        <v>124</v>
      </c>
      <c r="T216" s="28" t="s">
        <v>580</v>
      </c>
    </row>
    <row r="217" customHeight="1" spans="1:20">
      <c r="A217" s="25">
        <f t="shared" si="11"/>
        <v>1104033</v>
      </c>
      <c r="B217" s="25">
        <v>1104</v>
      </c>
      <c r="C217" s="25" t="s">
        <v>495</v>
      </c>
      <c r="D217" s="25" t="s">
        <v>496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581</v>
      </c>
      <c r="J217" s="15">
        <v>23100</v>
      </c>
      <c r="K217" s="15">
        <v>1650</v>
      </c>
      <c r="L217" s="15" t="s">
        <v>395</v>
      </c>
      <c r="M217" s="15"/>
      <c r="N217" s="15"/>
      <c r="O217" s="15"/>
      <c r="R217" s="5" t="s">
        <v>273</v>
      </c>
      <c r="S217" s="27">
        <v>128</v>
      </c>
      <c r="T217" s="28" t="s">
        <v>582</v>
      </c>
    </row>
    <row r="218" customHeight="1" spans="1:20">
      <c r="A218" s="25">
        <f t="shared" si="11"/>
        <v>1104034</v>
      </c>
      <c r="B218" s="25">
        <v>1104</v>
      </c>
      <c r="C218" s="25" t="s">
        <v>495</v>
      </c>
      <c r="D218" s="25" t="s">
        <v>496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583</v>
      </c>
      <c r="J218" s="15">
        <v>23800</v>
      </c>
      <c r="K218" s="15">
        <v>1700</v>
      </c>
      <c r="L218" s="15" t="s">
        <v>403</v>
      </c>
      <c r="M218" s="15"/>
      <c r="N218" s="15"/>
      <c r="O218" s="15"/>
      <c r="R218" s="5" t="s">
        <v>273</v>
      </c>
      <c r="S218" s="27">
        <v>132</v>
      </c>
      <c r="T218" s="28" t="s">
        <v>584</v>
      </c>
    </row>
    <row r="219" customHeight="1" spans="1:20">
      <c r="A219" s="25">
        <f t="shared" si="11"/>
        <v>1104035</v>
      </c>
      <c r="B219" s="25">
        <v>1104</v>
      </c>
      <c r="C219" s="25" t="s">
        <v>495</v>
      </c>
      <c r="D219" s="25" t="s">
        <v>496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585</v>
      </c>
      <c r="J219" s="15">
        <v>24500</v>
      </c>
      <c r="K219" s="15">
        <v>1750</v>
      </c>
      <c r="L219" s="15" t="s">
        <v>403</v>
      </c>
      <c r="M219" s="15"/>
      <c r="N219" s="15"/>
      <c r="O219" s="15"/>
      <c r="R219" s="5" t="s">
        <v>273</v>
      </c>
      <c r="S219" s="27">
        <v>136</v>
      </c>
      <c r="T219" s="28" t="s">
        <v>586</v>
      </c>
    </row>
    <row r="220" customHeight="1" spans="1:20">
      <c r="A220" s="25">
        <f t="shared" si="11"/>
        <v>1104036</v>
      </c>
      <c r="B220" s="25">
        <v>1104</v>
      </c>
      <c r="C220" s="25" t="s">
        <v>495</v>
      </c>
      <c r="D220" s="25" t="s">
        <v>496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587</v>
      </c>
      <c r="J220" s="15">
        <v>25200</v>
      </c>
      <c r="K220" s="15">
        <v>1800</v>
      </c>
      <c r="L220" s="15" t="s">
        <v>403</v>
      </c>
      <c r="M220" s="15"/>
      <c r="N220" s="15"/>
      <c r="O220" s="15"/>
      <c r="R220" s="5" t="s">
        <v>273</v>
      </c>
      <c r="S220" s="27">
        <v>140</v>
      </c>
      <c r="T220" s="28" t="s">
        <v>588</v>
      </c>
    </row>
    <row r="221" customHeight="1" spans="1:20">
      <c r="A221" s="25">
        <f t="shared" si="11"/>
        <v>1104037</v>
      </c>
      <c r="B221" s="25">
        <v>1104</v>
      </c>
      <c r="C221" s="25" t="s">
        <v>495</v>
      </c>
      <c r="D221" s="25" t="s">
        <v>496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589</v>
      </c>
      <c r="J221" s="15">
        <v>25900</v>
      </c>
      <c r="K221" s="15">
        <v>1850</v>
      </c>
      <c r="L221" s="15" t="s">
        <v>410</v>
      </c>
      <c r="M221" s="15"/>
      <c r="N221" s="15"/>
      <c r="O221" s="15"/>
      <c r="R221" s="5" t="s">
        <v>273</v>
      </c>
      <c r="S221" s="27">
        <v>144</v>
      </c>
      <c r="T221" s="28" t="s">
        <v>590</v>
      </c>
    </row>
    <row r="222" customHeight="1" spans="1:20">
      <c r="A222" s="25">
        <f t="shared" si="11"/>
        <v>1104038</v>
      </c>
      <c r="B222" s="25">
        <v>1104</v>
      </c>
      <c r="C222" s="25" t="s">
        <v>495</v>
      </c>
      <c r="D222" s="25" t="s">
        <v>496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591</v>
      </c>
      <c r="J222" s="15">
        <v>26600</v>
      </c>
      <c r="K222" s="15">
        <v>1900</v>
      </c>
      <c r="L222" s="15" t="s">
        <v>410</v>
      </c>
      <c r="M222" s="15"/>
      <c r="N222" s="15"/>
      <c r="O222" s="15"/>
      <c r="R222" s="5" t="s">
        <v>273</v>
      </c>
      <c r="S222" s="27">
        <v>148</v>
      </c>
      <c r="T222" s="28" t="s">
        <v>592</v>
      </c>
    </row>
    <row r="223" customHeight="1" spans="1:20">
      <c r="A223" s="25">
        <f t="shared" si="11"/>
        <v>1104039</v>
      </c>
      <c r="B223" s="25">
        <v>1104</v>
      </c>
      <c r="C223" s="25" t="s">
        <v>495</v>
      </c>
      <c r="D223" s="25" t="s">
        <v>496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593</v>
      </c>
      <c r="J223" s="15">
        <v>27300</v>
      </c>
      <c r="K223" s="15">
        <v>1950</v>
      </c>
      <c r="L223" s="15" t="s">
        <v>410</v>
      </c>
      <c r="M223" s="15"/>
      <c r="N223" s="15"/>
      <c r="O223" s="15"/>
      <c r="R223" s="5" t="s">
        <v>273</v>
      </c>
      <c r="S223" s="27">
        <v>152</v>
      </c>
      <c r="T223" s="28" t="s">
        <v>594</v>
      </c>
    </row>
    <row r="224" customHeight="1" spans="1:20">
      <c r="A224" s="25">
        <f t="shared" si="11"/>
        <v>1104040</v>
      </c>
      <c r="B224" s="25">
        <v>1104</v>
      </c>
      <c r="C224" s="25" t="s">
        <v>495</v>
      </c>
      <c r="D224" s="25" t="s">
        <v>496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595</v>
      </c>
      <c r="J224" s="15">
        <v>28000</v>
      </c>
      <c r="K224" s="15">
        <v>2000</v>
      </c>
      <c r="L224" s="15" t="s">
        <v>418</v>
      </c>
      <c r="M224" s="15"/>
      <c r="N224" s="15"/>
      <c r="O224" s="15"/>
      <c r="R224" s="5" t="s">
        <v>273</v>
      </c>
      <c r="S224" s="27">
        <v>156</v>
      </c>
      <c r="T224" s="28" t="s">
        <v>596</v>
      </c>
    </row>
    <row r="225" customHeight="1" spans="1:20">
      <c r="A225" s="25">
        <f t="shared" si="11"/>
        <v>1104041</v>
      </c>
      <c r="B225" s="25">
        <v>1104</v>
      </c>
      <c r="C225" s="25" t="s">
        <v>495</v>
      </c>
      <c r="D225" s="25" t="s">
        <v>496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597</v>
      </c>
      <c r="J225" s="15">
        <v>28700</v>
      </c>
      <c r="K225" s="15">
        <v>2050</v>
      </c>
      <c r="L225" s="15" t="s">
        <v>418</v>
      </c>
      <c r="M225" s="15"/>
      <c r="N225" s="15"/>
      <c r="O225" s="15"/>
      <c r="R225" s="5" t="s">
        <v>273</v>
      </c>
      <c r="S225" s="27">
        <v>160</v>
      </c>
      <c r="T225" s="28" t="s">
        <v>598</v>
      </c>
    </row>
    <row r="226" customHeight="1" spans="1:20">
      <c r="A226" s="25">
        <f t="shared" si="11"/>
        <v>1104042</v>
      </c>
      <c r="B226" s="25">
        <v>1104</v>
      </c>
      <c r="C226" s="25" t="s">
        <v>495</v>
      </c>
      <c r="D226" s="25" t="s">
        <v>496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599</v>
      </c>
      <c r="J226" s="15">
        <v>29400</v>
      </c>
      <c r="K226" s="15">
        <v>2100</v>
      </c>
      <c r="L226" s="15" t="s">
        <v>418</v>
      </c>
      <c r="M226" s="15"/>
      <c r="N226" s="15"/>
      <c r="O226" s="15"/>
      <c r="R226" s="5" t="s">
        <v>273</v>
      </c>
      <c r="S226" s="27">
        <v>164</v>
      </c>
      <c r="T226" s="28" t="s">
        <v>600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495</v>
      </c>
      <c r="D227" s="25" t="s">
        <v>496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601</v>
      </c>
      <c r="J227" s="15">
        <v>30100</v>
      </c>
      <c r="K227" s="15">
        <v>2150</v>
      </c>
      <c r="L227" s="15" t="s">
        <v>426</v>
      </c>
      <c r="M227" s="15"/>
      <c r="N227" s="15"/>
      <c r="O227" s="15"/>
      <c r="R227" s="5" t="s">
        <v>273</v>
      </c>
      <c r="S227" s="27">
        <v>168</v>
      </c>
      <c r="T227" s="28" t="s">
        <v>602</v>
      </c>
    </row>
    <row r="228" customHeight="1" spans="1:20">
      <c r="A228" s="25">
        <f t="shared" si="12"/>
        <v>1104044</v>
      </c>
      <c r="B228" s="25">
        <v>1104</v>
      </c>
      <c r="C228" s="25" t="s">
        <v>495</v>
      </c>
      <c r="D228" s="25" t="s">
        <v>496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603</v>
      </c>
      <c r="J228" s="15">
        <v>30800</v>
      </c>
      <c r="K228" s="15">
        <v>2200</v>
      </c>
      <c r="L228" s="15" t="s">
        <v>426</v>
      </c>
      <c r="M228" s="15"/>
      <c r="N228" s="15"/>
      <c r="O228" s="15"/>
      <c r="R228" s="5" t="s">
        <v>273</v>
      </c>
      <c r="S228" s="27">
        <v>172</v>
      </c>
      <c r="T228" s="28" t="s">
        <v>604</v>
      </c>
    </row>
    <row r="229" customHeight="1" spans="1:20">
      <c r="A229" s="25">
        <f t="shared" si="12"/>
        <v>1104045</v>
      </c>
      <c r="B229" s="25">
        <v>1104</v>
      </c>
      <c r="C229" s="25" t="s">
        <v>495</v>
      </c>
      <c r="D229" s="25" t="s">
        <v>496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605</v>
      </c>
      <c r="J229" s="15">
        <v>31500</v>
      </c>
      <c r="K229" s="15">
        <v>2250</v>
      </c>
      <c r="L229" s="15" t="s">
        <v>426</v>
      </c>
      <c r="M229" s="15"/>
      <c r="N229" s="15"/>
      <c r="O229" s="15"/>
      <c r="R229" s="5" t="s">
        <v>273</v>
      </c>
      <c r="S229" s="27">
        <v>176</v>
      </c>
      <c r="T229" s="28" t="s">
        <v>606</v>
      </c>
    </row>
    <row r="230" customHeight="1" spans="1:20">
      <c r="A230" s="25">
        <f t="shared" si="12"/>
        <v>1104046</v>
      </c>
      <c r="B230" s="25">
        <v>1104</v>
      </c>
      <c r="C230" s="25" t="s">
        <v>495</v>
      </c>
      <c r="D230" s="25" t="s">
        <v>496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607</v>
      </c>
      <c r="J230" s="15">
        <v>32200</v>
      </c>
      <c r="K230" s="15">
        <v>2300</v>
      </c>
      <c r="L230" s="15" t="s">
        <v>433</v>
      </c>
      <c r="M230" s="15"/>
      <c r="N230" s="15"/>
      <c r="O230" s="15"/>
      <c r="R230" s="5" t="s">
        <v>273</v>
      </c>
      <c r="S230" s="27">
        <v>180</v>
      </c>
      <c r="T230" s="28" t="s">
        <v>608</v>
      </c>
    </row>
    <row r="231" customHeight="1" spans="1:20">
      <c r="A231" s="25">
        <f t="shared" si="12"/>
        <v>1104047</v>
      </c>
      <c r="B231" s="25">
        <v>1104</v>
      </c>
      <c r="C231" s="25" t="s">
        <v>495</v>
      </c>
      <c r="D231" s="25" t="s">
        <v>496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609</v>
      </c>
      <c r="J231" s="15">
        <v>32900</v>
      </c>
      <c r="K231" s="15">
        <v>2350</v>
      </c>
      <c r="L231" s="15" t="s">
        <v>433</v>
      </c>
      <c r="M231" s="15"/>
      <c r="N231" s="15"/>
      <c r="O231" s="15"/>
      <c r="R231" s="5" t="s">
        <v>273</v>
      </c>
      <c r="S231" s="27">
        <v>184</v>
      </c>
      <c r="T231" s="28" t="s">
        <v>610</v>
      </c>
    </row>
    <row r="232" customHeight="1" spans="1:20">
      <c r="A232" s="25">
        <f t="shared" si="12"/>
        <v>1104048</v>
      </c>
      <c r="B232" s="25">
        <v>1104</v>
      </c>
      <c r="C232" s="25" t="s">
        <v>495</v>
      </c>
      <c r="D232" s="25" t="s">
        <v>496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611</v>
      </c>
      <c r="J232" s="15">
        <v>33600</v>
      </c>
      <c r="K232" s="15">
        <v>2400</v>
      </c>
      <c r="L232" s="15" t="s">
        <v>433</v>
      </c>
      <c r="M232" s="15"/>
      <c r="N232" s="15"/>
      <c r="O232" s="15"/>
      <c r="R232" s="5" t="s">
        <v>273</v>
      </c>
      <c r="S232" s="27">
        <v>188</v>
      </c>
      <c r="T232" s="28" t="s">
        <v>612</v>
      </c>
    </row>
    <row r="233" customHeight="1" spans="1:20">
      <c r="A233" s="25">
        <f t="shared" si="12"/>
        <v>1104049</v>
      </c>
      <c r="B233" s="25">
        <v>1104</v>
      </c>
      <c r="C233" s="25" t="s">
        <v>495</v>
      </c>
      <c r="D233" s="25" t="s">
        <v>496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613</v>
      </c>
      <c r="J233" s="15">
        <v>34300</v>
      </c>
      <c r="K233" s="15">
        <v>2450</v>
      </c>
      <c r="L233" s="15" t="s">
        <v>440</v>
      </c>
      <c r="M233" s="15"/>
      <c r="N233" s="15"/>
      <c r="O233" s="15"/>
      <c r="R233" s="5" t="s">
        <v>273</v>
      </c>
      <c r="S233" s="27">
        <v>192</v>
      </c>
      <c r="T233" s="28" t="s">
        <v>614</v>
      </c>
    </row>
    <row r="234" customHeight="1" spans="1:20">
      <c r="A234" s="25">
        <f t="shared" si="12"/>
        <v>1104050</v>
      </c>
      <c r="B234" s="25">
        <v>1104</v>
      </c>
      <c r="C234" s="25" t="s">
        <v>495</v>
      </c>
      <c r="D234" s="25" t="s">
        <v>496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615</v>
      </c>
      <c r="J234" s="15">
        <v>35000</v>
      </c>
      <c r="K234" s="15">
        <v>2500</v>
      </c>
      <c r="L234" s="15" t="s">
        <v>440</v>
      </c>
      <c r="M234" s="15"/>
      <c r="N234" s="15"/>
      <c r="O234" s="15"/>
      <c r="R234" s="5" t="s">
        <v>273</v>
      </c>
      <c r="S234" s="27">
        <v>196</v>
      </c>
      <c r="T234" s="28" t="s">
        <v>616</v>
      </c>
    </row>
    <row r="235" customHeight="1" spans="1:20">
      <c r="A235" s="25">
        <f t="shared" si="12"/>
        <v>1104051</v>
      </c>
      <c r="B235" s="25">
        <v>1104</v>
      </c>
      <c r="C235" s="25" t="s">
        <v>495</v>
      </c>
      <c r="D235" s="25" t="s">
        <v>496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617</v>
      </c>
      <c r="J235" s="15">
        <v>35700</v>
      </c>
      <c r="K235" s="15">
        <v>2550</v>
      </c>
      <c r="L235" s="15" t="s">
        <v>440</v>
      </c>
      <c r="M235" s="15"/>
      <c r="N235" s="15"/>
      <c r="O235" s="15"/>
      <c r="R235" s="5" t="s">
        <v>273</v>
      </c>
      <c r="S235" s="27">
        <v>200</v>
      </c>
      <c r="T235" s="10" t="s">
        <v>618</v>
      </c>
    </row>
    <row r="236" customHeight="1" spans="1:20">
      <c r="A236" s="25">
        <f t="shared" si="12"/>
        <v>1104052</v>
      </c>
      <c r="B236" s="25">
        <v>1104</v>
      </c>
      <c r="C236" s="25" t="s">
        <v>495</v>
      </c>
      <c r="D236" s="25" t="s">
        <v>496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619</v>
      </c>
      <c r="J236" s="15">
        <v>36400</v>
      </c>
      <c r="K236" s="15">
        <v>2600</v>
      </c>
      <c r="L236" s="15" t="s">
        <v>447</v>
      </c>
      <c r="M236" s="15"/>
      <c r="N236" s="15"/>
      <c r="O236" s="15"/>
      <c r="R236" s="5" t="s">
        <v>273</v>
      </c>
      <c r="S236" s="27">
        <v>204</v>
      </c>
      <c r="T236" s="28" t="s">
        <v>620</v>
      </c>
    </row>
    <row r="237" customHeight="1" spans="1:20">
      <c r="A237" s="25">
        <f t="shared" si="12"/>
        <v>1104053</v>
      </c>
      <c r="B237" s="25">
        <v>1104</v>
      </c>
      <c r="C237" s="25" t="s">
        <v>495</v>
      </c>
      <c r="D237" s="25" t="s">
        <v>496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621</v>
      </c>
      <c r="J237" s="15">
        <v>37100</v>
      </c>
      <c r="K237" s="15">
        <v>2650</v>
      </c>
      <c r="L237" s="15" t="s">
        <v>447</v>
      </c>
      <c r="M237" s="15"/>
      <c r="N237" s="15"/>
      <c r="O237" s="15"/>
      <c r="R237" s="5" t="s">
        <v>273</v>
      </c>
      <c r="S237" s="27">
        <v>208</v>
      </c>
      <c r="T237" s="28" t="s">
        <v>622</v>
      </c>
    </row>
    <row r="238" customHeight="1" spans="1:20">
      <c r="A238" s="25">
        <f t="shared" si="12"/>
        <v>1104054</v>
      </c>
      <c r="B238" s="25">
        <v>1104</v>
      </c>
      <c r="C238" s="25" t="s">
        <v>495</v>
      </c>
      <c r="D238" s="25" t="s">
        <v>496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623</v>
      </c>
      <c r="J238" s="15">
        <v>37800</v>
      </c>
      <c r="K238" s="15">
        <v>2700</v>
      </c>
      <c r="L238" s="15" t="s">
        <v>447</v>
      </c>
      <c r="M238" s="15"/>
      <c r="N238" s="15"/>
      <c r="O238" s="15"/>
      <c r="R238" s="5" t="s">
        <v>273</v>
      </c>
      <c r="S238" s="27">
        <v>212</v>
      </c>
      <c r="T238" s="28" t="s">
        <v>624</v>
      </c>
    </row>
    <row r="239" customHeight="1" spans="1:20">
      <c r="A239" s="25">
        <f t="shared" si="12"/>
        <v>1104055</v>
      </c>
      <c r="B239" s="25">
        <v>1104</v>
      </c>
      <c r="C239" s="25" t="s">
        <v>495</v>
      </c>
      <c r="D239" s="25" t="s">
        <v>496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625</v>
      </c>
      <c r="J239" s="15">
        <v>38500</v>
      </c>
      <c r="K239" s="15">
        <v>2750</v>
      </c>
      <c r="L239" s="15" t="s">
        <v>454</v>
      </c>
      <c r="M239" s="15"/>
      <c r="N239" s="15"/>
      <c r="O239" s="15"/>
      <c r="R239" s="5" t="s">
        <v>273</v>
      </c>
      <c r="S239" s="27">
        <v>216</v>
      </c>
      <c r="T239" s="28" t="s">
        <v>626</v>
      </c>
    </row>
    <row r="240" customHeight="1" spans="1:20">
      <c r="A240" s="25">
        <f t="shared" si="12"/>
        <v>1104056</v>
      </c>
      <c r="B240" s="25">
        <v>1104</v>
      </c>
      <c r="C240" s="25" t="s">
        <v>495</v>
      </c>
      <c r="D240" s="25" t="s">
        <v>496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627</v>
      </c>
      <c r="J240" s="15">
        <v>39200</v>
      </c>
      <c r="K240" s="15">
        <v>2800</v>
      </c>
      <c r="L240" s="15" t="s">
        <v>454</v>
      </c>
      <c r="M240" s="15"/>
      <c r="N240" s="15"/>
      <c r="O240" s="15"/>
      <c r="R240" s="5" t="s">
        <v>273</v>
      </c>
      <c r="S240" s="27">
        <v>220</v>
      </c>
      <c r="T240" s="28" t="s">
        <v>628</v>
      </c>
    </row>
    <row r="241" customHeight="1" spans="1:20">
      <c r="A241" s="25">
        <f t="shared" si="12"/>
        <v>1104057</v>
      </c>
      <c r="B241" s="25">
        <v>1104</v>
      </c>
      <c r="C241" s="25" t="s">
        <v>495</v>
      </c>
      <c r="D241" s="25" t="s">
        <v>496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629</v>
      </c>
      <c r="J241" s="15">
        <v>39900</v>
      </c>
      <c r="K241" s="15">
        <v>2850</v>
      </c>
      <c r="L241" s="15" t="s">
        <v>454</v>
      </c>
      <c r="M241" s="15"/>
      <c r="N241" s="15"/>
      <c r="O241" s="15"/>
      <c r="R241" s="5" t="s">
        <v>273</v>
      </c>
      <c r="S241" s="27">
        <v>224</v>
      </c>
      <c r="T241" s="28" t="s">
        <v>630</v>
      </c>
    </row>
    <row r="242" customHeight="1" spans="1:20">
      <c r="A242" s="25">
        <f t="shared" si="12"/>
        <v>1104058</v>
      </c>
      <c r="B242" s="25">
        <v>1104</v>
      </c>
      <c r="C242" s="25" t="s">
        <v>495</v>
      </c>
      <c r="D242" s="25" t="s">
        <v>496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631</v>
      </c>
      <c r="J242" s="15">
        <v>40600</v>
      </c>
      <c r="K242" s="15">
        <v>2900</v>
      </c>
      <c r="L242" s="15" t="s">
        <v>461</v>
      </c>
      <c r="M242" s="15"/>
      <c r="N242" s="15"/>
      <c r="O242" s="15"/>
      <c r="R242" s="5" t="s">
        <v>273</v>
      </c>
      <c r="S242" s="27">
        <v>228</v>
      </c>
      <c r="T242" s="28" t="s">
        <v>632</v>
      </c>
    </row>
    <row r="243" customHeight="1" spans="1:20">
      <c r="A243" s="25">
        <f t="shared" si="12"/>
        <v>1104059</v>
      </c>
      <c r="B243" s="25">
        <v>1104</v>
      </c>
      <c r="C243" s="25" t="s">
        <v>495</v>
      </c>
      <c r="D243" s="25" t="s">
        <v>496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633</v>
      </c>
      <c r="J243" s="15">
        <v>41300</v>
      </c>
      <c r="K243" s="15">
        <v>2950</v>
      </c>
      <c r="L243" s="15" t="s">
        <v>461</v>
      </c>
      <c r="M243" s="15"/>
      <c r="N243" s="15"/>
      <c r="O243" s="15"/>
      <c r="R243" s="5" t="s">
        <v>273</v>
      </c>
      <c r="S243" s="27">
        <v>232</v>
      </c>
      <c r="T243" s="28" t="s">
        <v>634</v>
      </c>
    </row>
    <row r="244" customHeight="1" spans="1:20">
      <c r="A244" s="25">
        <f t="shared" si="12"/>
        <v>1104060</v>
      </c>
      <c r="B244" s="25">
        <v>1104</v>
      </c>
      <c r="C244" s="25" t="s">
        <v>495</v>
      </c>
      <c r="D244" s="25" t="s">
        <v>496</v>
      </c>
      <c r="E244" s="25">
        <v>42</v>
      </c>
      <c r="F244" s="25">
        <v>60</v>
      </c>
      <c r="G244" s="25">
        <v>10</v>
      </c>
      <c r="H244" s="25"/>
      <c r="I244" s="25" t="s">
        <v>635</v>
      </c>
      <c r="J244" s="15">
        <v>42000</v>
      </c>
      <c r="K244" s="15">
        <v>3000</v>
      </c>
      <c r="L244" s="15" t="s">
        <v>461</v>
      </c>
      <c r="M244" s="15"/>
      <c r="N244" s="15"/>
      <c r="O244" s="15"/>
      <c r="R244" s="5" t="s">
        <v>273</v>
      </c>
      <c r="S244" s="27"/>
      <c r="T244" s="28" t="s">
        <v>636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637</v>
      </c>
      <c r="D245" s="29" t="s">
        <v>638</v>
      </c>
      <c r="E245" s="25">
        <v>19</v>
      </c>
      <c r="F245" s="29">
        <v>1</v>
      </c>
      <c r="G245" s="29">
        <v>6</v>
      </c>
      <c r="H245" s="29" t="s">
        <v>639</v>
      </c>
      <c r="I245" s="29" t="s">
        <v>640</v>
      </c>
      <c r="J245" s="30">
        <v>600</v>
      </c>
      <c r="K245" s="15">
        <v>45</v>
      </c>
      <c r="L245" s="15" t="s">
        <v>185</v>
      </c>
      <c r="M245" s="30"/>
      <c r="N245" s="30"/>
      <c r="O245" s="30"/>
      <c r="P245" s="31" t="s">
        <v>641</v>
      </c>
      <c r="Q245" s="34" t="s">
        <v>642</v>
      </c>
      <c r="R245" s="6" t="s">
        <v>643</v>
      </c>
      <c r="S245" s="32">
        <v>2</v>
      </c>
      <c r="T245" s="28" t="s">
        <v>644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637</v>
      </c>
      <c r="D246" s="29" t="s">
        <v>638</v>
      </c>
      <c r="E246" s="25">
        <v>19</v>
      </c>
      <c r="F246" s="29">
        <v>2</v>
      </c>
      <c r="G246" s="29">
        <v>8</v>
      </c>
      <c r="H246" s="29" t="s">
        <v>645</v>
      </c>
      <c r="I246" s="29" t="s">
        <v>646</v>
      </c>
      <c r="J246" s="30">
        <v>1200</v>
      </c>
      <c r="K246" s="15">
        <v>90</v>
      </c>
      <c r="L246" s="15" t="s">
        <v>185</v>
      </c>
      <c r="M246" s="30"/>
      <c r="N246" s="30"/>
      <c r="O246" s="30"/>
      <c r="P246" s="31" t="s">
        <v>647</v>
      </c>
      <c r="Q246" s="34" t="s">
        <v>648</v>
      </c>
      <c r="R246" s="6">
        <v>1105263</v>
      </c>
      <c r="S246" s="32">
        <v>4</v>
      </c>
      <c r="T246" s="28" t="s">
        <v>649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637</v>
      </c>
      <c r="D247" s="29" t="s">
        <v>638</v>
      </c>
      <c r="E247" s="25">
        <v>19</v>
      </c>
      <c r="F247" s="29">
        <v>3</v>
      </c>
      <c r="G247" s="29">
        <v>10</v>
      </c>
      <c r="H247" s="29" t="s">
        <v>650</v>
      </c>
      <c r="I247" s="29" t="s">
        <v>651</v>
      </c>
      <c r="J247" s="30">
        <v>1800</v>
      </c>
      <c r="K247" s="15">
        <v>135</v>
      </c>
      <c r="L247" s="15" t="s">
        <v>185</v>
      </c>
      <c r="M247" s="30"/>
      <c r="N247" s="30"/>
      <c r="O247" s="30"/>
      <c r="P247" s="31" t="s">
        <v>652</v>
      </c>
      <c r="Q247" s="34" t="s">
        <v>653</v>
      </c>
      <c r="R247" s="6">
        <v>1105256</v>
      </c>
      <c r="S247" s="32">
        <v>8</v>
      </c>
      <c r="T247" s="28" t="s">
        <v>654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637</v>
      </c>
      <c r="D248" s="29" t="s">
        <v>638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655</v>
      </c>
      <c r="J248" s="30">
        <v>2400</v>
      </c>
      <c r="K248" s="15">
        <v>180</v>
      </c>
      <c r="L248" s="15" t="s">
        <v>192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656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637</v>
      </c>
      <c r="D249" s="29" t="s">
        <v>638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657</v>
      </c>
      <c r="J249" s="30">
        <v>3000</v>
      </c>
      <c r="K249" s="15">
        <v>225</v>
      </c>
      <c r="L249" s="15" t="s">
        <v>192</v>
      </c>
      <c r="M249" s="30" t="s">
        <v>658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659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637</v>
      </c>
      <c r="D250" s="29" t="s">
        <v>638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660</v>
      </c>
      <c r="J250" s="30">
        <v>3600</v>
      </c>
      <c r="K250" s="15">
        <v>270</v>
      </c>
      <c r="L250" s="15" t="s">
        <v>192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661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637</v>
      </c>
      <c r="D251" s="29" t="s">
        <v>638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662</v>
      </c>
      <c r="J251" s="30">
        <v>4200</v>
      </c>
      <c r="K251" s="15">
        <v>315</v>
      </c>
      <c r="L251" s="15" t="s">
        <v>324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663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637</v>
      </c>
      <c r="D252" s="29" t="s">
        <v>638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664</v>
      </c>
      <c r="J252" s="30">
        <v>4800</v>
      </c>
      <c r="K252" s="15">
        <v>360</v>
      </c>
      <c r="L252" s="15" t="s">
        <v>324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665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637</v>
      </c>
      <c r="D253" s="29" t="s">
        <v>638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666</v>
      </c>
      <c r="J253" s="30">
        <v>5400</v>
      </c>
      <c r="K253" s="15">
        <v>405</v>
      </c>
      <c r="L253" s="15" t="s">
        <v>324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667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637</v>
      </c>
      <c r="D254" s="29" t="s">
        <v>638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668</v>
      </c>
      <c r="J254" s="30">
        <v>6000</v>
      </c>
      <c r="K254" s="15">
        <v>450</v>
      </c>
      <c r="L254" s="15" t="s">
        <v>331</v>
      </c>
      <c r="M254" s="30" t="s">
        <v>669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670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637</v>
      </c>
      <c r="D255" s="29" t="s">
        <v>638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671</v>
      </c>
      <c r="J255" s="30">
        <v>6600</v>
      </c>
      <c r="K255" s="15">
        <v>495</v>
      </c>
      <c r="L255" s="15" t="s">
        <v>331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672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637</v>
      </c>
      <c r="D256" s="29" t="s">
        <v>638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673</v>
      </c>
      <c r="J256" s="30">
        <v>7200</v>
      </c>
      <c r="K256" s="15">
        <v>540</v>
      </c>
      <c r="L256" s="15" t="s">
        <v>331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674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637</v>
      </c>
      <c r="D257" s="29" t="s">
        <v>638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675</v>
      </c>
      <c r="J257" s="30">
        <v>7800</v>
      </c>
      <c r="K257" s="15">
        <v>585</v>
      </c>
      <c r="L257" s="15" t="s">
        <v>499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676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637</v>
      </c>
      <c r="D258" s="29" t="s">
        <v>638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677</v>
      </c>
      <c r="J258" s="30">
        <v>8400</v>
      </c>
      <c r="K258" s="15">
        <v>630</v>
      </c>
      <c r="L258" s="15" t="s">
        <v>499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678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637</v>
      </c>
      <c r="D259" s="29" t="s">
        <v>638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679</v>
      </c>
      <c r="J259" s="30">
        <v>9000</v>
      </c>
      <c r="K259" s="15">
        <v>675</v>
      </c>
      <c r="L259" s="15" t="s">
        <v>499</v>
      </c>
      <c r="M259" s="30" t="s">
        <v>680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681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637</v>
      </c>
      <c r="D260" s="29" t="s">
        <v>638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682</v>
      </c>
      <c r="J260" s="30">
        <v>9600</v>
      </c>
      <c r="K260" s="15">
        <v>720</v>
      </c>
      <c r="L260" s="15" t="s">
        <v>515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683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637</v>
      </c>
      <c r="D261" s="29" t="s">
        <v>638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684</v>
      </c>
      <c r="J261" s="30">
        <v>10200</v>
      </c>
      <c r="K261" s="15">
        <v>765</v>
      </c>
      <c r="L261" s="15" t="s">
        <v>515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685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637</v>
      </c>
      <c r="D262" s="29" t="s">
        <v>638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686</v>
      </c>
      <c r="J262" s="30">
        <v>10800</v>
      </c>
      <c r="K262" s="15">
        <v>810</v>
      </c>
      <c r="L262" s="15" t="s">
        <v>515</v>
      </c>
      <c r="M262" s="30"/>
      <c r="N262" s="30"/>
      <c r="O262" s="30"/>
      <c r="P262" s="31"/>
      <c r="Q262" s="31"/>
      <c r="S262" s="32">
        <v>68</v>
      </c>
      <c r="T262" s="28" t="s">
        <v>687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637</v>
      </c>
      <c r="D263" s="29" t="s">
        <v>638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688</v>
      </c>
      <c r="J263" s="30">
        <v>11400</v>
      </c>
      <c r="K263" s="15">
        <v>855</v>
      </c>
      <c r="L263" s="15" t="s">
        <v>523</v>
      </c>
      <c r="M263" s="30"/>
      <c r="N263" s="30"/>
      <c r="O263" s="30"/>
      <c r="P263" s="31"/>
      <c r="Q263" s="31"/>
      <c r="S263" s="32">
        <v>72</v>
      </c>
      <c r="T263" s="28" t="s">
        <v>689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637</v>
      </c>
      <c r="D264" s="29" t="s">
        <v>638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690</v>
      </c>
      <c r="J264" s="30">
        <v>12000</v>
      </c>
      <c r="K264" s="15">
        <v>900</v>
      </c>
      <c r="L264" s="15" t="s">
        <v>523</v>
      </c>
      <c r="M264" s="30" t="s">
        <v>691</v>
      </c>
      <c r="N264" s="30">
        <v>40</v>
      </c>
      <c r="O264" s="30"/>
      <c r="P264" s="31"/>
      <c r="Q264" s="31"/>
      <c r="S264" s="32">
        <v>76</v>
      </c>
      <c r="T264" s="28" t="s">
        <v>692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637</v>
      </c>
      <c r="D265" s="29" t="s">
        <v>638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693</v>
      </c>
      <c r="J265" s="30">
        <v>12600</v>
      </c>
      <c r="K265" s="15">
        <v>945</v>
      </c>
      <c r="L265" s="15" t="s">
        <v>523</v>
      </c>
      <c r="M265" s="30"/>
      <c r="N265" s="30"/>
      <c r="O265" s="30"/>
      <c r="P265" s="31"/>
      <c r="Q265" s="31"/>
      <c r="S265" s="32">
        <v>80</v>
      </c>
      <c r="T265" s="28" t="s">
        <v>694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637</v>
      </c>
      <c r="D266" s="29" t="s">
        <v>638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695</v>
      </c>
      <c r="J266" s="30">
        <v>13200</v>
      </c>
      <c r="K266" s="15">
        <v>990</v>
      </c>
      <c r="L266" s="15" t="s">
        <v>530</v>
      </c>
      <c r="M266" s="30"/>
      <c r="N266" s="30"/>
      <c r="O266" s="30"/>
      <c r="P266" s="31"/>
      <c r="Q266" s="31"/>
      <c r="S266" s="32">
        <v>84</v>
      </c>
      <c r="T266" s="28" t="s">
        <v>696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637</v>
      </c>
      <c r="D267" s="29" t="s">
        <v>638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697</v>
      </c>
      <c r="J267" s="30">
        <v>13800</v>
      </c>
      <c r="K267" s="15">
        <v>1035</v>
      </c>
      <c r="L267" s="15" t="s">
        <v>530</v>
      </c>
      <c r="M267" s="30"/>
      <c r="N267" s="30"/>
      <c r="O267" s="30"/>
      <c r="P267" s="31"/>
      <c r="Q267" s="31"/>
      <c r="S267" s="32">
        <v>88</v>
      </c>
      <c r="T267" s="28" t="s">
        <v>698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637</v>
      </c>
      <c r="D268" s="29" t="s">
        <v>638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699</v>
      </c>
      <c r="J268" s="30">
        <v>14400</v>
      </c>
      <c r="K268" s="15">
        <v>1080</v>
      </c>
      <c r="L268" s="15" t="s">
        <v>530</v>
      </c>
      <c r="M268" s="30"/>
      <c r="N268" s="30"/>
      <c r="O268" s="30"/>
      <c r="P268" s="31"/>
      <c r="Q268" s="31"/>
      <c r="S268" s="32">
        <v>92</v>
      </c>
      <c r="T268" s="28" t="s">
        <v>700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637</v>
      </c>
      <c r="D269" s="29" t="s">
        <v>638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701</v>
      </c>
      <c r="J269" s="30">
        <v>15000</v>
      </c>
      <c r="K269" s="15">
        <v>1125</v>
      </c>
      <c r="L269" s="15" t="s">
        <v>341</v>
      </c>
      <c r="M269" s="30" t="s">
        <v>702</v>
      </c>
      <c r="N269" s="30">
        <v>50</v>
      </c>
      <c r="O269" s="30"/>
      <c r="P269" s="31"/>
      <c r="Q269" s="31"/>
      <c r="R269" s="7"/>
      <c r="S269" s="32">
        <v>96</v>
      </c>
      <c r="T269" s="28" t="s">
        <v>703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637</v>
      </c>
      <c r="D270" s="29" t="s">
        <v>638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704</v>
      </c>
      <c r="J270" s="30">
        <v>15600</v>
      </c>
      <c r="K270" s="15">
        <v>1170</v>
      </c>
      <c r="L270" s="15" t="s">
        <v>341</v>
      </c>
      <c r="M270" s="30"/>
      <c r="N270" s="30"/>
      <c r="O270" s="30"/>
      <c r="P270" s="31"/>
      <c r="Q270" s="31"/>
      <c r="R270" s="33" t="s">
        <v>273</v>
      </c>
      <c r="S270" s="32">
        <v>100</v>
      </c>
      <c r="T270" s="28" t="s">
        <v>705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637</v>
      </c>
      <c r="D271" s="29" t="s">
        <v>638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706</v>
      </c>
      <c r="J271" s="30">
        <v>16200</v>
      </c>
      <c r="K271" s="15">
        <v>1215</v>
      </c>
      <c r="L271" s="15" t="s">
        <v>341</v>
      </c>
      <c r="M271" s="30"/>
      <c r="N271" s="30"/>
      <c r="O271" s="30"/>
      <c r="P271" s="31"/>
      <c r="Q271" s="31"/>
      <c r="R271" s="33" t="s">
        <v>273</v>
      </c>
      <c r="S271" s="32">
        <v>104</v>
      </c>
      <c r="T271" s="28" t="s">
        <v>707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637</v>
      </c>
      <c r="D272" s="29" t="s">
        <v>638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708</v>
      </c>
      <c r="J272" s="30">
        <v>16800</v>
      </c>
      <c r="K272" s="15">
        <v>1260</v>
      </c>
      <c r="L272" s="15" t="s">
        <v>357</v>
      </c>
      <c r="M272" s="30"/>
      <c r="N272" s="30"/>
      <c r="O272" s="30"/>
      <c r="P272" s="31"/>
      <c r="Q272" s="31"/>
      <c r="R272" s="33" t="s">
        <v>273</v>
      </c>
      <c r="S272" s="32">
        <v>108</v>
      </c>
      <c r="T272" s="28" t="s">
        <v>709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637</v>
      </c>
      <c r="D273" s="29" t="s">
        <v>638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710</v>
      </c>
      <c r="J273" s="30">
        <v>17400</v>
      </c>
      <c r="K273" s="15">
        <v>1305</v>
      </c>
      <c r="L273" s="15" t="s">
        <v>357</v>
      </c>
      <c r="M273" s="30"/>
      <c r="N273" s="30"/>
      <c r="O273" s="30"/>
      <c r="P273" s="31"/>
      <c r="Q273" s="31"/>
      <c r="R273" s="33" t="s">
        <v>273</v>
      </c>
      <c r="S273" s="32">
        <v>112</v>
      </c>
      <c r="T273" s="28" t="s">
        <v>711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637</v>
      </c>
      <c r="D274" s="29" t="s">
        <v>638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712</v>
      </c>
      <c r="J274" s="30">
        <v>18000</v>
      </c>
      <c r="K274" s="15">
        <v>1350</v>
      </c>
      <c r="L274" s="15" t="s">
        <v>357</v>
      </c>
      <c r="M274" s="30" t="s">
        <v>713</v>
      </c>
      <c r="N274" s="30">
        <v>60</v>
      </c>
      <c r="O274" s="30"/>
      <c r="P274" s="31"/>
      <c r="Q274" s="31"/>
      <c r="R274" s="33" t="s">
        <v>273</v>
      </c>
      <c r="S274" s="32">
        <v>116</v>
      </c>
      <c r="T274" s="28" t="s">
        <v>714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637</v>
      </c>
      <c r="D275" s="29" t="s">
        <v>638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715</v>
      </c>
      <c r="J275" s="30">
        <v>18600</v>
      </c>
      <c r="K275" s="15">
        <v>1395</v>
      </c>
      <c r="L275" s="15" t="s">
        <v>365</v>
      </c>
      <c r="M275" s="30"/>
      <c r="N275" s="30"/>
      <c r="O275" s="30"/>
      <c r="P275" s="31"/>
      <c r="Q275" s="31"/>
      <c r="R275" s="33" t="s">
        <v>273</v>
      </c>
      <c r="S275" s="32">
        <v>120</v>
      </c>
      <c r="T275" s="28" t="s">
        <v>716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637</v>
      </c>
      <c r="D276" s="29" t="s">
        <v>638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717</v>
      </c>
      <c r="J276" s="30">
        <v>19200</v>
      </c>
      <c r="K276" s="15">
        <v>1440</v>
      </c>
      <c r="L276" s="15" t="s">
        <v>365</v>
      </c>
      <c r="M276" s="30"/>
      <c r="N276" s="30"/>
      <c r="O276" s="30"/>
      <c r="P276" s="31"/>
      <c r="Q276" s="31"/>
      <c r="R276" s="33" t="s">
        <v>273</v>
      </c>
      <c r="S276" s="32">
        <v>124</v>
      </c>
      <c r="T276" s="28" t="s">
        <v>718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637</v>
      </c>
      <c r="D277" s="29" t="s">
        <v>638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719</v>
      </c>
      <c r="J277" s="30">
        <v>19800</v>
      </c>
      <c r="K277" s="15">
        <v>1485</v>
      </c>
      <c r="L277" s="15" t="s">
        <v>365</v>
      </c>
      <c r="M277" s="30"/>
      <c r="N277" s="30"/>
      <c r="O277" s="30"/>
      <c r="P277" s="31"/>
      <c r="Q277" s="31"/>
      <c r="R277" s="33" t="s">
        <v>273</v>
      </c>
      <c r="S277" s="32">
        <v>128</v>
      </c>
      <c r="T277" s="28" t="s">
        <v>720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637</v>
      </c>
      <c r="D278" s="29" t="s">
        <v>638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721</v>
      </c>
      <c r="J278" s="30">
        <v>20400</v>
      </c>
      <c r="K278" s="15">
        <v>1530</v>
      </c>
      <c r="L278" s="15" t="s">
        <v>372</v>
      </c>
      <c r="M278" s="30"/>
      <c r="N278" s="30"/>
      <c r="O278" s="30"/>
      <c r="P278" s="31"/>
      <c r="Q278" s="31"/>
      <c r="R278" s="33" t="s">
        <v>273</v>
      </c>
      <c r="S278" s="32">
        <v>132</v>
      </c>
      <c r="T278" s="28" t="s">
        <v>722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637</v>
      </c>
      <c r="D279" s="29" t="s">
        <v>638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723</v>
      </c>
      <c r="J279" s="30">
        <v>21000</v>
      </c>
      <c r="K279" s="15">
        <v>1575</v>
      </c>
      <c r="L279" s="15" t="s">
        <v>372</v>
      </c>
      <c r="M279" s="30"/>
      <c r="N279" s="30"/>
      <c r="O279" s="30"/>
      <c r="P279" s="31"/>
      <c r="Q279" s="31"/>
      <c r="R279" s="33" t="s">
        <v>273</v>
      </c>
      <c r="S279" s="32">
        <v>136</v>
      </c>
      <c r="T279" s="28" t="s">
        <v>724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637</v>
      </c>
      <c r="D280" s="29" t="s">
        <v>638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725</v>
      </c>
      <c r="J280" s="30">
        <v>21600</v>
      </c>
      <c r="K280" s="15">
        <v>1620</v>
      </c>
      <c r="L280" s="15" t="s">
        <v>372</v>
      </c>
      <c r="M280" s="30"/>
      <c r="N280" s="30"/>
      <c r="O280" s="30"/>
      <c r="P280" s="31"/>
      <c r="Q280" s="31"/>
      <c r="R280" s="33" t="s">
        <v>273</v>
      </c>
      <c r="S280" s="32">
        <v>140</v>
      </c>
      <c r="T280" s="28" t="s">
        <v>726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637</v>
      </c>
      <c r="D281" s="29" t="s">
        <v>638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727</v>
      </c>
      <c r="J281" s="30">
        <v>22200</v>
      </c>
      <c r="K281" s="15">
        <v>1665</v>
      </c>
      <c r="L281" s="15" t="s">
        <v>380</v>
      </c>
      <c r="M281" s="30"/>
      <c r="N281" s="30"/>
      <c r="O281" s="30"/>
      <c r="P281" s="31"/>
      <c r="Q281" s="31"/>
      <c r="R281" s="33" t="s">
        <v>273</v>
      </c>
      <c r="S281" s="32">
        <v>144</v>
      </c>
      <c r="T281" s="28" t="s">
        <v>728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637</v>
      </c>
      <c r="D282" s="29" t="s">
        <v>638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729</v>
      </c>
      <c r="J282" s="30">
        <v>22800</v>
      </c>
      <c r="K282" s="15">
        <v>1710</v>
      </c>
      <c r="L282" s="15" t="s">
        <v>380</v>
      </c>
      <c r="M282" s="30"/>
      <c r="N282" s="30"/>
      <c r="O282" s="30"/>
      <c r="P282" s="31"/>
      <c r="Q282" s="31"/>
      <c r="R282" s="33" t="s">
        <v>273</v>
      </c>
      <c r="S282" s="32">
        <v>148</v>
      </c>
      <c r="T282" s="28" t="s">
        <v>730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637</v>
      </c>
      <c r="D283" s="29" t="s">
        <v>638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731</v>
      </c>
      <c r="J283" s="30">
        <v>23400</v>
      </c>
      <c r="K283" s="15">
        <v>1755</v>
      </c>
      <c r="L283" s="15" t="s">
        <v>380</v>
      </c>
      <c r="M283" s="30"/>
      <c r="N283" s="30"/>
      <c r="O283" s="30"/>
      <c r="P283" s="31"/>
      <c r="Q283" s="31"/>
      <c r="R283" s="33" t="s">
        <v>273</v>
      </c>
      <c r="S283" s="32">
        <v>152</v>
      </c>
      <c r="T283" s="28" t="s">
        <v>732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637</v>
      </c>
      <c r="D284" s="29" t="s">
        <v>638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733</v>
      </c>
      <c r="J284" s="30">
        <v>24000</v>
      </c>
      <c r="K284" s="15">
        <v>1800</v>
      </c>
      <c r="L284" s="15" t="s">
        <v>388</v>
      </c>
      <c r="M284" s="30"/>
      <c r="N284" s="30"/>
      <c r="O284" s="30"/>
      <c r="P284" s="31"/>
      <c r="Q284" s="31"/>
      <c r="R284" s="33" t="s">
        <v>273</v>
      </c>
      <c r="S284" s="32">
        <v>156</v>
      </c>
      <c r="T284" s="28" t="s">
        <v>734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637</v>
      </c>
      <c r="D285" s="29" t="s">
        <v>638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735</v>
      </c>
      <c r="J285" s="30">
        <v>24600</v>
      </c>
      <c r="K285" s="15">
        <v>1845</v>
      </c>
      <c r="L285" s="15" t="s">
        <v>388</v>
      </c>
      <c r="M285" s="30"/>
      <c r="N285" s="30"/>
      <c r="O285" s="30"/>
      <c r="P285" s="31"/>
      <c r="Q285" s="31"/>
      <c r="R285" s="33" t="s">
        <v>273</v>
      </c>
      <c r="S285" s="32">
        <v>160</v>
      </c>
      <c r="T285" s="28" t="s">
        <v>736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637</v>
      </c>
      <c r="D286" s="29" t="s">
        <v>638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737</v>
      </c>
      <c r="J286" s="30">
        <v>25200</v>
      </c>
      <c r="K286" s="15">
        <v>1890</v>
      </c>
      <c r="L286" s="15" t="s">
        <v>388</v>
      </c>
      <c r="M286" s="30"/>
      <c r="N286" s="30"/>
      <c r="O286" s="30"/>
      <c r="P286" s="31"/>
      <c r="Q286" s="31"/>
      <c r="R286" s="6" t="s">
        <v>273</v>
      </c>
      <c r="S286" s="32">
        <v>164</v>
      </c>
      <c r="T286" s="28" t="s">
        <v>738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637</v>
      </c>
      <c r="D287" s="29" t="s">
        <v>638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739</v>
      </c>
      <c r="J287" s="30">
        <v>25800</v>
      </c>
      <c r="K287" s="15">
        <v>1935</v>
      </c>
      <c r="L287" s="15" t="s">
        <v>395</v>
      </c>
      <c r="M287" s="30"/>
      <c r="N287" s="30"/>
      <c r="O287" s="30"/>
      <c r="P287" s="31"/>
      <c r="Q287" s="31"/>
      <c r="R287" s="6" t="s">
        <v>273</v>
      </c>
      <c r="S287" s="32">
        <v>168</v>
      </c>
      <c r="T287" s="28" t="s">
        <v>740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637</v>
      </c>
      <c r="D288" s="29" t="s">
        <v>638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741</v>
      </c>
      <c r="J288" s="30">
        <v>26400</v>
      </c>
      <c r="K288" s="15">
        <v>1980</v>
      </c>
      <c r="L288" s="15" t="s">
        <v>395</v>
      </c>
      <c r="M288" s="30"/>
      <c r="N288" s="30"/>
      <c r="O288" s="30"/>
      <c r="P288" s="31"/>
      <c r="Q288" s="31"/>
      <c r="R288" s="6" t="s">
        <v>273</v>
      </c>
      <c r="S288" s="32">
        <v>172</v>
      </c>
      <c r="T288" s="28" t="s">
        <v>742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637</v>
      </c>
      <c r="D289" s="29" t="s">
        <v>638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743</v>
      </c>
      <c r="J289" s="30">
        <v>27000</v>
      </c>
      <c r="K289" s="15">
        <v>2025</v>
      </c>
      <c r="L289" s="15" t="s">
        <v>395</v>
      </c>
      <c r="M289" s="30"/>
      <c r="N289" s="30"/>
      <c r="O289" s="30"/>
      <c r="P289" s="31"/>
      <c r="Q289" s="31"/>
      <c r="R289" s="6" t="s">
        <v>273</v>
      </c>
      <c r="S289" s="32">
        <v>176</v>
      </c>
      <c r="T289" s="28" t="s">
        <v>744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637</v>
      </c>
      <c r="D290" s="29" t="s">
        <v>638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745</v>
      </c>
      <c r="J290" s="30">
        <v>27600</v>
      </c>
      <c r="K290" s="15">
        <v>2070</v>
      </c>
      <c r="L290" s="15" t="s">
        <v>403</v>
      </c>
      <c r="M290" s="30"/>
      <c r="N290" s="30"/>
      <c r="O290" s="30"/>
      <c r="P290" s="31"/>
      <c r="Q290" s="31"/>
      <c r="R290" s="6" t="s">
        <v>273</v>
      </c>
      <c r="S290" s="32">
        <v>180</v>
      </c>
      <c r="T290" s="28" t="s">
        <v>746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637</v>
      </c>
      <c r="D291" s="29" t="s">
        <v>638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747</v>
      </c>
      <c r="J291" s="30">
        <v>28200</v>
      </c>
      <c r="K291" s="15">
        <v>2115</v>
      </c>
      <c r="L291" s="15" t="s">
        <v>403</v>
      </c>
      <c r="M291" s="30"/>
      <c r="N291" s="30"/>
      <c r="O291" s="30"/>
      <c r="P291" s="31"/>
      <c r="Q291" s="31"/>
      <c r="R291" s="6" t="s">
        <v>273</v>
      </c>
      <c r="S291" s="32">
        <v>184</v>
      </c>
      <c r="T291" s="28" t="s">
        <v>748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637</v>
      </c>
      <c r="D292" s="29" t="s">
        <v>638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749</v>
      </c>
      <c r="J292" s="30">
        <v>28800</v>
      </c>
      <c r="K292" s="15">
        <v>2160</v>
      </c>
      <c r="L292" s="15" t="s">
        <v>403</v>
      </c>
      <c r="M292" s="30"/>
      <c r="N292" s="30"/>
      <c r="O292" s="30"/>
      <c r="P292" s="31"/>
      <c r="Q292" s="31"/>
      <c r="R292" s="6" t="s">
        <v>273</v>
      </c>
      <c r="S292" s="32">
        <v>188</v>
      </c>
      <c r="T292" s="28" t="s">
        <v>750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637</v>
      </c>
      <c r="D293" s="29" t="s">
        <v>638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751</v>
      </c>
      <c r="J293" s="30">
        <v>29400</v>
      </c>
      <c r="K293" s="15">
        <v>2205</v>
      </c>
      <c r="L293" s="15" t="s">
        <v>410</v>
      </c>
      <c r="M293" s="30"/>
      <c r="N293" s="30"/>
      <c r="O293" s="30"/>
      <c r="P293" s="31"/>
      <c r="Q293" s="31"/>
      <c r="R293" s="6" t="s">
        <v>273</v>
      </c>
      <c r="S293" s="32">
        <v>192</v>
      </c>
      <c r="T293" s="28" t="s">
        <v>752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637</v>
      </c>
      <c r="D294" s="29" t="s">
        <v>638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753</v>
      </c>
      <c r="J294" s="30">
        <v>30000</v>
      </c>
      <c r="K294" s="15">
        <v>2250</v>
      </c>
      <c r="L294" s="15" t="s">
        <v>410</v>
      </c>
      <c r="M294" s="30"/>
      <c r="N294" s="30"/>
      <c r="O294" s="30"/>
      <c r="P294" s="31"/>
      <c r="Q294" s="31"/>
      <c r="R294" s="6" t="s">
        <v>273</v>
      </c>
      <c r="S294" s="32">
        <v>196</v>
      </c>
      <c r="T294" s="28" t="s">
        <v>754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637</v>
      </c>
      <c r="D295" s="29" t="s">
        <v>638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755</v>
      </c>
      <c r="J295" s="30">
        <v>30600</v>
      </c>
      <c r="K295" s="15">
        <v>2295</v>
      </c>
      <c r="L295" s="15" t="s">
        <v>410</v>
      </c>
      <c r="M295" s="30"/>
      <c r="N295" s="30"/>
      <c r="O295" s="30"/>
      <c r="P295" s="31"/>
      <c r="Q295" s="31"/>
      <c r="R295" s="6" t="s">
        <v>273</v>
      </c>
      <c r="S295" s="32">
        <v>200</v>
      </c>
      <c r="T295" s="28" t="s">
        <v>756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637</v>
      </c>
      <c r="D296" s="29" t="s">
        <v>638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757</v>
      </c>
      <c r="J296" s="30">
        <v>31200</v>
      </c>
      <c r="K296" s="15">
        <v>2340</v>
      </c>
      <c r="L296" s="15" t="s">
        <v>418</v>
      </c>
      <c r="M296" s="30"/>
      <c r="N296" s="30"/>
      <c r="O296" s="30"/>
      <c r="P296" s="31"/>
      <c r="Q296" s="31"/>
      <c r="R296" s="6" t="s">
        <v>273</v>
      </c>
      <c r="S296" s="32">
        <v>204</v>
      </c>
      <c r="T296" s="28" t="s">
        <v>758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637</v>
      </c>
      <c r="D297" s="29" t="s">
        <v>638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759</v>
      </c>
      <c r="J297" s="30">
        <v>31800</v>
      </c>
      <c r="K297" s="15">
        <v>2385</v>
      </c>
      <c r="L297" s="15" t="s">
        <v>418</v>
      </c>
      <c r="M297" s="30"/>
      <c r="N297" s="30"/>
      <c r="O297" s="30"/>
      <c r="P297" s="31"/>
      <c r="Q297" s="31"/>
      <c r="R297" s="6" t="s">
        <v>273</v>
      </c>
      <c r="S297" s="32">
        <v>208</v>
      </c>
      <c r="T297" s="28" t="s">
        <v>760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637</v>
      </c>
      <c r="D298" s="29" t="s">
        <v>638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761</v>
      </c>
      <c r="J298" s="30">
        <v>32400</v>
      </c>
      <c r="K298" s="15">
        <v>2430</v>
      </c>
      <c r="L298" s="15" t="s">
        <v>418</v>
      </c>
      <c r="M298" s="30"/>
      <c r="N298" s="30"/>
      <c r="O298" s="30"/>
      <c r="P298" s="31"/>
      <c r="Q298" s="31"/>
      <c r="R298" s="6" t="s">
        <v>273</v>
      </c>
      <c r="S298" s="32">
        <v>212</v>
      </c>
      <c r="T298" s="28" t="s">
        <v>762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637</v>
      </c>
      <c r="D299" s="29" t="s">
        <v>638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763</v>
      </c>
      <c r="J299" s="30">
        <v>33000</v>
      </c>
      <c r="K299" s="15">
        <v>2475</v>
      </c>
      <c r="L299" s="15" t="s">
        <v>426</v>
      </c>
      <c r="M299" s="30"/>
      <c r="N299" s="30"/>
      <c r="O299" s="30"/>
      <c r="P299" s="31"/>
      <c r="Q299" s="31"/>
      <c r="R299" s="6" t="s">
        <v>273</v>
      </c>
      <c r="S299" s="32">
        <v>216</v>
      </c>
      <c r="T299" s="28" t="s">
        <v>764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637</v>
      </c>
      <c r="D300" s="29" t="s">
        <v>638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765</v>
      </c>
      <c r="J300" s="30">
        <v>33600</v>
      </c>
      <c r="K300" s="15">
        <v>2520</v>
      </c>
      <c r="L300" s="15" t="s">
        <v>426</v>
      </c>
      <c r="M300" s="30"/>
      <c r="N300" s="30"/>
      <c r="O300" s="30"/>
      <c r="P300" s="31"/>
      <c r="Q300" s="31"/>
      <c r="R300" s="6" t="s">
        <v>273</v>
      </c>
      <c r="S300" s="32">
        <v>220</v>
      </c>
      <c r="T300" s="28" t="s">
        <v>766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637</v>
      </c>
      <c r="D301" s="29" t="s">
        <v>638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767</v>
      </c>
      <c r="J301" s="30">
        <v>34200</v>
      </c>
      <c r="K301" s="15">
        <v>2565</v>
      </c>
      <c r="L301" s="15" t="s">
        <v>426</v>
      </c>
      <c r="M301" s="30"/>
      <c r="N301" s="30"/>
      <c r="O301" s="30"/>
      <c r="P301" s="31"/>
      <c r="Q301" s="31"/>
      <c r="R301" s="6" t="s">
        <v>273</v>
      </c>
      <c r="S301" s="32">
        <v>224</v>
      </c>
      <c r="T301" s="28" t="s">
        <v>768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637</v>
      </c>
      <c r="D302" s="29" t="s">
        <v>638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769</v>
      </c>
      <c r="J302" s="30">
        <v>34800</v>
      </c>
      <c r="K302" s="15">
        <v>2610</v>
      </c>
      <c r="L302" s="15" t="s">
        <v>433</v>
      </c>
      <c r="M302" s="30"/>
      <c r="N302" s="30"/>
      <c r="O302" s="30"/>
      <c r="P302" s="31"/>
      <c r="Q302" s="31"/>
      <c r="R302" s="6" t="s">
        <v>273</v>
      </c>
      <c r="S302" s="32">
        <v>228</v>
      </c>
      <c r="T302" s="28" t="s">
        <v>770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637</v>
      </c>
      <c r="D303" s="29" t="s">
        <v>638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771</v>
      </c>
      <c r="J303" s="30">
        <v>35400</v>
      </c>
      <c r="K303" s="15">
        <v>2655</v>
      </c>
      <c r="L303" s="15" t="s">
        <v>433</v>
      </c>
      <c r="M303" s="30"/>
      <c r="N303" s="30"/>
      <c r="O303" s="30"/>
      <c r="P303" s="31"/>
      <c r="Q303" s="31"/>
      <c r="R303" s="6" t="s">
        <v>273</v>
      </c>
      <c r="S303" s="32">
        <v>232</v>
      </c>
      <c r="T303" s="28" t="s">
        <v>772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637</v>
      </c>
      <c r="D304" s="29" t="s">
        <v>638</v>
      </c>
      <c r="E304" s="25">
        <v>38</v>
      </c>
      <c r="F304" s="29">
        <v>60</v>
      </c>
      <c r="G304" s="29">
        <v>10</v>
      </c>
      <c r="H304" s="29"/>
      <c r="I304" s="29" t="s">
        <v>773</v>
      </c>
      <c r="J304" s="30">
        <v>36000</v>
      </c>
      <c r="K304" s="15">
        <v>2700</v>
      </c>
      <c r="L304" s="15" t="s">
        <v>433</v>
      </c>
      <c r="M304" s="30"/>
      <c r="N304" s="30"/>
      <c r="O304" s="30"/>
      <c r="P304" s="31"/>
      <c r="Q304" s="31"/>
      <c r="R304" s="6" t="s">
        <v>273</v>
      </c>
      <c r="S304" s="32"/>
      <c r="T304" s="28" t="s">
        <v>774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775</v>
      </c>
      <c r="D305" s="25" t="s">
        <v>776</v>
      </c>
      <c r="E305" s="25">
        <v>15</v>
      </c>
      <c r="F305" s="25">
        <v>1</v>
      </c>
      <c r="G305" s="25">
        <v>6</v>
      </c>
      <c r="H305" s="25" t="s">
        <v>777</v>
      </c>
      <c r="I305" s="25" t="s">
        <v>778</v>
      </c>
      <c r="J305" s="15">
        <v>500</v>
      </c>
      <c r="K305" s="15">
        <v>40</v>
      </c>
      <c r="L305" s="15" t="s">
        <v>157</v>
      </c>
      <c r="M305" s="15"/>
      <c r="N305" s="15"/>
      <c r="O305" s="15"/>
      <c r="P305" s="14" t="s">
        <v>779</v>
      </c>
      <c r="Q305" s="8" t="s">
        <v>780</v>
      </c>
      <c r="R305" s="5" t="s">
        <v>781</v>
      </c>
      <c r="S305" s="27">
        <v>2</v>
      </c>
      <c r="T305" s="28" t="s">
        <v>782</v>
      </c>
    </row>
    <row r="306" customHeight="1" spans="1:20">
      <c r="A306" s="25">
        <f t="shared" si="16"/>
        <v>1106002</v>
      </c>
      <c r="B306" s="25">
        <v>1106</v>
      </c>
      <c r="C306" s="25" t="s">
        <v>775</v>
      </c>
      <c r="D306" s="25" t="s">
        <v>776</v>
      </c>
      <c r="E306" s="25">
        <v>15</v>
      </c>
      <c r="F306" s="25">
        <v>2</v>
      </c>
      <c r="G306" s="25">
        <v>8</v>
      </c>
      <c r="H306" s="25" t="s">
        <v>783</v>
      </c>
      <c r="I306" s="25" t="s">
        <v>784</v>
      </c>
      <c r="J306" s="15">
        <v>1000</v>
      </c>
      <c r="K306" s="15">
        <v>80</v>
      </c>
      <c r="L306" s="15" t="s">
        <v>157</v>
      </c>
      <c r="M306" s="15"/>
      <c r="N306" s="15"/>
      <c r="O306" s="15"/>
      <c r="P306" s="14" t="s">
        <v>785</v>
      </c>
      <c r="Q306" s="8" t="s">
        <v>786</v>
      </c>
      <c r="R306" s="5">
        <v>1106263</v>
      </c>
      <c r="S306" s="27">
        <v>4</v>
      </c>
      <c r="T306" s="28" t="s">
        <v>787</v>
      </c>
    </row>
    <row r="307" customHeight="1" spans="1:20">
      <c r="A307" s="25">
        <f t="shared" si="16"/>
        <v>1106003</v>
      </c>
      <c r="B307" s="25">
        <v>1106</v>
      </c>
      <c r="C307" s="25" t="s">
        <v>775</v>
      </c>
      <c r="D307" s="25" t="s">
        <v>776</v>
      </c>
      <c r="E307" s="25">
        <v>15</v>
      </c>
      <c r="F307" s="25">
        <v>3</v>
      </c>
      <c r="G307" s="25">
        <v>10</v>
      </c>
      <c r="H307" s="25" t="s">
        <v>788</v>
      </c>
      <c r="I307" s="25" t="s">
        <v>789</v>
      </c>
      <c r="J307" s="15">
        <v>1500</v>
      </c>
      <c r="K307" s="15">
        <v>120</v>
      </c>
      <c r="L307" s="15" t="s">
        <v>157</v>
      </c>
      <c r="M307" s="15"/>
      <c r="N307" s="15"/>
      <c r="O307" s="15"/>
      <c r="P307" s="14" t="s">
        <v>790</v>
      </c>
      <c r="Q307" s="8" t="s">
        <v>791</v>
      </c>
      <c r="R307" s="5">
        <v>1106261</v>
      </c>
      <c r="S307" s="27">
        <v>8</v>
      </c>
      <c r="T307" s="28" t="s">
        <v>792</v>
      </c>
    </row>
    <row r="308" customHeight="1" spans="1:20">
      <c r="A308" s="25">
        <f t="shared" si="16"/>
        <v>1106004</v>
      </c>
      <c r="B308" s="25">
        <v>1106</v>
      </c>
      <c r="C308" s="25" t="s">
        <v>775</v>
      </c>
      <c r="D308" s="25" t="s">
        <v>776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793</v>
      </c>
      <c r="J308" s="15">
        <v>2000</v>
      </c>
      <c r="K308" s="15">
        <v>160</v>
      </c>
      <c r="L308" s="15" t="s">
        <v>164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794</v>
      </c>
    </row>
    <row r="309" customHeight="1" spans="1:20">
      <c r="A309" s="25">
        <f t="shared" si="16"/>
        <v>1106005</v>
      </c>
      <c r="B309" s="25">
        <v>1106</v>
      </c>
      <c r="C309" s="25" t="s">
        <v>775</v>
      </c>
      <c r="D309" s="25" t="s">
        <v>776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795</v>
      </c>
      <c r="J309" s="15">
        <v>2500</v>
      </c>
      <c r="K309" s="15">
        <v>200</v>
      </c>
      <c r="L309" s="15" t="s">
        <v>164</v>
      </c>
      <c r="M309" s="15" t="s">
        <v>796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797</v>
      </c>
    </row>
    <row r="310" customHeight="1" spans="1:20">
      <c r="A310" s="25">
        <f t="shared" si="16"/>
        <v>1106006</v>
      </c>
      <c r="B310" s="25">
        <v>1106</v>
      </c>
      <c r="C310" s="25" t="s">
        <v>775</v>
      </c>
      <c r="D310" s="25" t="s">
        <v>776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798</v>
      </c>
      <c r="J310" s="15">
        <v>3000</v>
      </c>
      <c r="K310" s="15">
        <v>240</v>
      </c>
      <c r="L310" s="15" t="s">
        <v>164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799</v>
      </c>
    </row>
    <row r="311" customHeight="1" spans="1:20">
      <c r="A311" s="25">
        <f t="shared" si="16"/>
        <v>1106007</v>
      </c>
      <c r="B311" s="25">
        <v>1106</v>
      </c>
      <c r="C311" s="25" t="s">
        <v>775</v>
      </c>
      <c r="D311" s="25" t="s">
        <v>776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800</v>
      </c>
      <c r="J311" s="15">
        <v>3500</v>
      </c>
      <c r="K311" s="15">
        <v>280</v>
      </c>
      <c r="L311" s="15" t="s">
        <v>171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801</v>
      </c>
    </row>
    <row r="312" customHeight="1" spans="1:20">
      <c r="A312" s="25">
        <f t="shared" si="16"/>
        <v>1106008</v>
      </c>
      <c r="B312" s="25">
        <v>1106</v>
      </c>
      <c r="C312" s="25" t="s">
        <v>775</v>
      </c>
      <c r="D312" s="25" t="s">
        <v>776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802</v>
      </c>
      <c r="J312" s="15">
        <v>4000</v>
      </c>
      <c r="K312" s="15">
        <v>320</v>
      </c>
      <c r="L312" s="15" t="s">
        <v>171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803</v>
      </c>
    </row>
    <row r="313" customHeight="1" spans="1:20">
      <c r="A313" s="25">
        <f t="shared" si="16"/>
        <v>1106009</v>
      </c>
      <c r="B313" s="25">
        <v>1106</v>
      </c>
      <c r="C313" s="25" t="s">
        <v>775</v>
      </c>
      <c r="D313" s="25" t="s">
        <v>776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804</v>
      </c>
      <c r="J313" s="15">
        <v>4500</v>
      </c>
      <c r="K313" s="15">
        <v>360</v>
      </c>
      <c r="L313" s="15" t="s">
        <v>171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805</v>
      </c>
    </row>
    <row r="314" customHeight="1" spans="1:20">
      <c r="A314" s="25">
        <f t="shared" si="16"/>
        <v>1106010</v>
      </c>
      <c r="B314" s="25">
        <v>1106</v>
      </c>
      <c r="C314" s="25" t="s">
        <v>775</v>
      </c>
      <c r="D314" s="25" t="s">
        <v>776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806</v>
      </c>
      <c r="J314" s="15">
        <v>5000</v>
      </c>
      <c r="K314" s="15">
        <v>400</v>
      </c>
      <c r="L314" s="15" t="s">
        <v>178</v>
      </c>
      <c r="M314" s="15" t="s">
        <v>807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808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775</v>
      </c>
      <c r="D315" s="25" t="s">
        <v>776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809</v>
      </c>
      <c r="J315" s="15">
        <v>5500</v>
      </c>
      <c r="K315" s="15">
        <v>440</v>
      </c>
      <c r="L315" s="15" t="s">
        <v>178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810</v>
      </c>
    </row>
    <row r="316" customHeight="1" spans="1:20">
      <c r="A316" s="25">
        <f t="shared" si="18"/>
        <v>1106012</v>
      </c>
      <c r="B316" s="25">
        <v>1106</v>
      </c>
      <c r="C316" s="25" t="s">
        <v>775</v>
      </c>
      <c r="D316" s="25" t="s">
        <v>776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811</v>
      </c>
      <c r="J316" s="15">
        <v>6000</v>
      </c>
      <c r="K316" s="15">
        <v>480</v>
      </c>
      <c r="L316" s="15" t="s">
        <v>178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812</v>
      </c>
    </row>
    <row r="317" customHeight="1" spans="1:20">
      <c r="A317" s="25">
        <f t="shared" si="18"/>
        <v>1106013</v>
      </c>
      <c r="B317" s="25">
        <v>1106</v>
      </c>
      <c r="C317" s="25" t="s">
        <v>775</v>
      </c>
      <c r="D317" s="25" t="s">
        <v>776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813</v>
      </c>
      <c r="J317" s="15">
        <v>6500</v>
      </c>
      <c r="K317" s="15">
        <v>520</v>
      </c>
      <c r="L317" s="15" t="s">
        <v>185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814</v>
      </c>
    </row>
    <row r="318" customHeight="1" spans="1:20">
      <c r="A318" s="25">
        <f t="shared" si="18"/>
        <v>1106014</v>
      </c>
      <c r="B318" s="25">
        <v>1106</v>
      </c>
      <c r="C318" s="25" t="s">
        <v>775</v>
      </c>
      <c r="D318" s="25" t="s">
        <v>776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815</v>
      </c>
      <c r="J318" s="15">
        <v>7000</v>
      </c>
      <c r="K318" s="15">
        <v>560</v>
      </c>
      <c r="L318" s="15" t="s">
        <v>185</v>
      </c>
      <c r="M318" s="15"/>
      <c r="N318" s="15"/>
      <c r="O318" s="15"/>
      <c r="Q318" s="8"/>
      <c r="S318" s="27">
        <v>52</v>
      </c>
      <c r="T318" s="28" t="s">
        <v>816</v>
      </c>
    </row>
    <row r="319" customHeight="1" spans="1:20">
      <c r="A319" s="25">
        <f t="shared" si="18"/>
        <v>1106015</v>
      </c>
      <c r="B319" s="25">
        <v>1106</v>
      </c>
      <c r="C319" s="25" t="s">
        <v>775</v>
      </c>
      <c r="D319" s="25" t="s">
        <v>776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817</v>
      </c>
      <c r="J319" s="15">
        <v>7500</v>
      </c>
      <c r="K319" s="15">
        <v>600</v>
      </c>
      <c r="L319" s="15" t="s">
        <v>185</v>
      </c>
      <c r="M319" s="15" t="s">
        <v>818</v>
      </c>
      <c r="N319" s="15">
        <v>30</v>
      </c>
      <c r="O319" s="15"/>
      <c r="Q319" s="8"/>
      <c r="S319" s="27">
        <v>56</v>
      </c>
      <c r="T319" s="28" t="s">
        <v>819</v>
      </c>
    </row>
    <row r="320" customHeight="1" spans="1:20">
      <c r="A320" s="25">
        <f t="shared" si="18"/>
        <v>1106016</v>
      </c>
      <c r="B320" s="25">
        <v>1106</v>
      </c>
      <c r="C320" s="25" t="s">
        <v>775</v>
      </c>
      <c r="D320" s="25" t="s">
        <v>776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820</v>
      </c>
      <c r="J320" s="15">
        <v>8000</v>
      </c>
      <c r="K320" s="15">
        <v>640</v>
      </c>
      <c r="L320" s="15" t="s">
        <v>192</v>
      </c>
      <c r="M320" s="15"/>
      <c r="N320" s="15"/>
      <c r="O320" s="15"/>
      <c r="Q320" s="8"/>
      <c r="S320" s="27">
        <v>60</v>
      </c>
      <c r="T320" s="28" t="s">
        <v>821</v>
      </c>
    </row>
    <row r="321" customHeight="1" spans="1:20">
      <c r="A321" s="25">
        <f t="shared" si="18"/>
        <v>1106017</v>
      </c>
      <c r="B321" s="25">
        <v>1106</v>
      </c>
      <c r="C321" s="25" t="s">
        <v>775</v>
      </c>
      <c r="D321" s="25" t="s">
        <v>776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822</v>
      </c>
      <c r="J321" s="15">
        <v>8500</v>
      </c>
      <c r="K321" s="15">
        <v>680</v>
      </c>
      <c r="L321" s="15" t="s">
        <v>192</v>
      </c>
      <c r="M321" s="15"/>
      <c r="N321" s="15"/>
      <c r="O321" s="15"/>
      <c r="S321" s="27">
        <v>64</v>
      </c>
      <c r="T321" s="28" t="s">
        <v>823</v>
      </c>
    </row>
    <row r="322" customHeight="1" spans="1:20">
      <c r="A322" s="25">
        <f t="shared" si="18"/>
        <v>1106018</v>
      </c>
      <c r="B322" s="25">
        <v>1106</v>
      </c>
      <c r="C322" s="25" t="s">
        <v>775</v>
      </c>
      <c r="D322" s="25" t="s">
        <v>776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824</v>
      </c>
      <c r="J322" s="15">
        <v>9000</v>
      </c>
      <c r="K322" s="15">
        <v>720</v>
      </c>
      <c r="L322" s="15" t="s">
        <v>192</v>
      </c>
      <c r="M322" s="15"/>
      <c r="N322" s="15"/>
      <c r="O322" s="15"/>
      <c r="S322" s="27">
        <v>68</v>
      </c>
      <c r="T322" s="10" t="s">
        <v>825</v>
      </c>
    </row>
    <row r="323" customHeight="1" spans="1:20">
      <c r="A323" s="25">
        <f t="shared" si="18"/>
        <v>1106019</v>
      </c>
      <c r="B323" s="25">
        <v>1106</v>
      </c>
      <c r="C323" s="25" t="s">
        <v>775</v>
      </c>
      <c r="D323" s="25" t="s">
        <v>776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826</v>
      </c>
      <c r="J323" s="15">
        <v>9500</v>
      </c>
      <c r="K323" s="15">
        <v>760</v>
      </c>
      <c r="L323" s="15" t="s">
        <v>324</v>
      </c>
      <c r="M323" s="15"/>
      <c r="N323" s="15"/>
      <c r="O323" s="15"/>
      <c r="S323" s="27">
        <v>72</v>
      </c>
      <c r="T323" s="28" t="s">
        <v>827</v>
      </c>
    </row>
    <row r="324" customHeight="1" spans="1:20">
      <c r="A324" s="25">
        <f t="shared" si="18"/>
        <v>1106020</v>
      </c>
      <c r="B324" s="25">
        <v>1106</v>
      </c>
      <c r="C324" s="25" t="s">
        <v>775</v>
      </c>
      <c r="D324" s="25" t="s">
        <v>776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828</v>
      </c>
      <c r="J324" s="15">
        <v>10000</v>
      </c>
      <c r="K324" s="15">
        <v>800</v>
      </c>
      <c r="L324" s="15" t="s">
        <v>324</v>
      </c>
      <c r="M324" s="15" t="s">
        <v>829</v>
      </c>
      <c r="N324" s="15">
        <v>40</v>
      </c>
      <c r="O324" s="15"/>
      <c r="S324" s="27">
        <v>76</v>
      </c>
      <c r="T324" s="28" t="s">
        <v>830</v>
      </c>
    </row>
    <row r="325" customHeight="1" spans="1:20">
      <c r="A325" s="25">
        <f t="shared" si="18"/>
        <v>1106021</v>
      </c>
      <c r="B325" s="25">
        <v>1106</v>
      </c>
      <c r="C325" s="25" t="s">
        <v>775</v>
      </c>
      <c r="D325" s="25" t="s">
        <v>776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831</v>
      </c>
      <c r="J325" s="15">
        <v>10500</v>
      </c>
      <c r="K325" s="15">
        <v>840</v>
      </c>
      <c r="L325" s="15" t="s">
        <v>324</v>
      </c>
      <c r="M325" s="15"/>
      <c r="N325" s="15"/>
      <c r="O325" s="15"/>
      <c r="R325" s="5" t="s">
        <v>273</v>
      </c>
      <c r="S325" s="27">
        <v>80</v>
      </c>
      <c r="T325" s="28" t="s">
        <v>832</v>
      </c>
    </row>
    <row r="326" customHeight="1" spans="1:20">
      <c r="A326" s="25">
        <f t="shared" si="18"/>
        <v>1106022</v>
      </c>
      <c r="B326" s="25">
        <v>1106</v>
      </c>
      <c r="C326" s="25" t="s">
        <v>775</v>
      </c>
      <c r="D326" s="25" t="s">
        <v>776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833</v>
      </c>
      <c r="J326" s="15">
        <v>11000</v>
      </c>
      <c r="K326" s="15">
        <v>880</v>
      </c>
      <c r="L326" s="15" t="s">
        <v>331</v>
      </c>
      <c r="M326" s="15"/>
      <c r="N326" s="15"/>
      <c r="O326" s="15"/>
      <c r="R326" s="5" t="s">
        <v>273</v>
      </c>
      <c r="S326" s="27">
        <v>84</v>
      </c>
      <c r="T326" s="28" t="s">
        <v>834</v>
      </c>
    </row>
    <row r="327" customHeight="1" spans="1:20">
      <c r="A327" s="25">
        <f t="shared" si="18"/>
        <v>1106023</v>
      </c>
      <c r="B327" s="25">
        <v>1106</v>
      </c>
      <c r="C327" s="25" t="s">
        <v>775</v>
      </c>
      <c r="D327" s="25" t="s">
        <v>776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835</v>
      </c>
      <c r="J327" s="15">
        <v>11500</v>
      </c>
      <c r="K327" s="15">
        <v>920</v>
      </c>
      <c r="L327" s="15" t="s">
        <v>331</v>
      </c>
      <c r="M327" s="15"/>
      <c r="N327" s="15"/>
      <c r="O327" s="15"/>
      <c r="R327" s="5" t="s">
        <v>273</v>
      </c>
      <c r="S327" s="27">
        <v>88</v>
      </c>
      <c r="T327" s="28" t="s">
        <v>836</v>
      </c>
    </row>
    <row r="328" customHeight="1" spans="1:20">
      <c r="A328" s="25">
        <f t="shared" si="18"/>
        <v>1106024</v>
      </c>
      <c r="B328" s="25">
        <v>1106</v>
      </c>
      <c r="C328" s="25" t="s">
        <v>775</v>
      </c>
      <c r="D328" s="25" t="s">
        <v>776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837</v>
      </c>
      <c r="J328" s="15">
        <v>12000</v>
      </c>
      <c r="K328" s="15">
        <v>960</v>
      </c>
      <c r="L328" s="15" t="s">
        <v>331</v>
      </c>
      <c r="M328" s="15"/>
      <c r="N328" s="15"/>
      <c r="O328" s="15"/>
      <c r="R328" s="5" t="s">
        <v>273</v>
      </c>
      <c r="S328" s="27">
        <v>92</v>
      </c>
      <c r="T328" s="28" t="s">
        <v>838</v>
      </c>
    </row>
    <row r="329" customHeight="1" spans="1:20">
      <c r="A329" s="25">
        <f t="shared" si="18"/>
        <v>1106025</v>
      </c>
      <c r="B329" s="25">
        <v>1106</v>
      </c>
      <c r="C329" s="25" t="s">
        <v>775</v>
      </c>
      <c r="D329" s="25" t="s">
        <v>776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839</v>
      </c>
      <c r="J329" s="15">
        <v>12500</v>
      </c>
      <c r="K329" s="15">
        <v>1000</v>
      </c>
      <c r="L329" s="15" t="s">
        <v>499</v>
      </c>
      <c r="M329" s="15" t="s">
        <v>840</v>
      </c>
      <c r="N329" s="15">
        <v>50</v>
      </c>
      <c r="O329" s="15"/>
      <c r="R329" s="5" t="s">
        <v>273</v>
      </c>
      <c r="S329" s="27">
        <v>96</v>
      </c>
      <c r="T329" s="28" t="s">
        <v>841</v>
      </c>
    </row>
    <row r="330" customHeight="1" spans="1:20">
      <c r="A330" s="25">
        <f t="shared" si="18"/>
        <v>1106026</v>
      </c>
      <c r="B330" s="25">
        <v>1106</v>
      </c>
      <c r="C330" s="25" t="s">
        <v>775</v>
      </c>
      <c r="D330" s="25" t="s">
        <v>776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842</v>
      </c>
      <c r="J330" s="15">
        <v>13000</v>
      </c>
      <c r="K330" s="15">
        <v>1040</v>
      </c>
      <c r="L330" s="15" t="s">
        <v>499</v>
      </c>
      <c r="M330" s="15"/>
      <c r="N330" s="15"/>
      <c r="O330" s="15"/>
      <c r="R330" s="5" t="s">
        <v>273</v>
      </c>
      <c r="S330" s="27">
        <v>100</v>
      </c>
      <c r="T330" s="28" t="s">
        <v>843</v>
      </c>
    </row>
    <row r="331" customHeight="1" spans="1:20">
      <c r="A331" s="25">
        <f t="shared" si="18"/>
        <v>1106027</v>
      </c>
      <c r="B331" s="25">
        <v>1106</v>
      </c>
      <c r="C331" s="25" t="s">
        <v>775</v>
      </c>
      <c r="D331" s="25" t="s">
        <v>776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844</v>
      </c>
      <c r="J331" s="15">
        <v>13500</v>
      </c>
      <c r="K331" s="15">
        <v>1080</v>
      </c>
      <c r="L331" s="15" t="s">
        <v>499</v>
      </c>
      <c r="M331" s="15"/>
      <c r="N331" s="15"/>
      <c r="O331" s="15"/>
      <c r="R331" s="5" t="s">
        <v>273</v>
      </c>
      <c r="S331" s="27">
        <v>104</v>
      </c>
      <c r="T331" s="28" t="s">
        <v>845</v>
      </c>
    </row>
    <row r="332" customHeight="1" spans="1:20">
      <c r="A332" s="25">
        <f t="shared" si="18"/>
        <v>1106028</v>
      </c>
      <c r="B332" s="25">
        <v>1106</v>
      </c>
      <c r="C332" s="25" t="s">
        <v>775</v>
      </c>
      <c r="D332" s="25" t="s">
        <v>776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846</v>
      </c>
      <c r="J332" s="15">
        <v>14000</v>
      </c>
      <c r="K332" s="15">
        <v>1120</v>
      </c>
      <c r="L332" s="15" t="s">
        <v>515</v>
      </c>
      <c r="M332" s="15"/>
      <c r="N332" s="15"/>
      <c r="O332" s="15"/>
      <c r="R332" s="5" t="s">
        <v>273</v>
      </c>
      <c r="S332" s="27">
        <v>108</v>
      </c>
      <c r="T332" s="28" t="s">
        <v>847</v>
      </c>
    </row>
    <row r="333" customHeight="1" spans="1:20">
      <c r="A333" s="25">
        <f t="shared" si="18"/>
        <v>1106029</v>
      </c>
      <c r="B333" s="25">
        <v>1106</v>
      </c>
      <c r="C333" s="25" t="s">
        <v>775</v>
      </c>
      <c r="D333" s="25" t="s">
        <v>776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848</v>
      </c>
      <c r="J333" s="15">
        <v>14500</v>
      </c>
      <c r="K333" s="15">
        <v>1160</v>
      </c>
      <c r="L333" s="15" t="s">
        <v>515</v>
      </c>
      <c r="M333" s="15"/>
      <c r="N333" s="15"/>
      <c r="O333" s="15"/>
      <c r="R333" s="5" t="s">
        <v>273</v>
      </c>
      <c r="S333" s="27">
        <v>112</v>
      </c>
      <c r="T333" s="28" t="s">
        <v>849</v>
      </c>
    </row>
    <row r="334" customHeight="1" spans="1:20">
      <c r="A334" s="25">
        <f t="shared" si="18"/>
        <v>1106030</v>
      </c>
      <c r="B334" s="25">
        <v>1106</v>
      </c>
      <c r="C334" s="25" t="s">
        <v>775</v>
      </c>
      <c r="D334" s="25" t="s">
        <v>776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850</v>
      </c>
      <c r="J334" s="15">
        <v>15000</v>
      </c>
      <c r="K334" s="15">
        <v>1200</v>
      </c>
      <c r="L334" s="15" t="s">
        <v>515</v>
      </c>
      <c r="M334" s="15" t="s">
        <v>851</v>
      </c>
      <c r="N334" s="15">
        <v>60</v>
      </c>
      <c r="O334" s="15"/>
      <c r="R334" s="5" t="s">
        <v>273</v>
      </c>
      <c r="S334" s="27">
        <v>116</v>
      </c>
      <c r="T334" s="28" t="s">
        <v>852</v>
      </c>
    </row>
    <row r="335" customHeight="1" spans="1:20">
      <c r="A335" s="25">
        <f t="shared" si="18"/>
        <v>1106031</v>
      </c>
      <c r="B335" s="25">
        <v>1106</v>
      </c>
      <c r="C335" s="25" t="s">
        <v>775</v>
      </c>
      <c r="D335" s="25" t="s">
        <v>776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853</v>
      </c>
      <c r="J335" s="15">
        <v>15500</v>
      </c>
      <c r="K335" s="15">
        <v>1240</v>
      </c>
      <c r="L335" s="15" t="s">
        <v>523</v>
      </c>
      <c r="M335" s="15"/>
      <c r="N335" s="15"/>
      <c r="O335" s="15"/>
      <c r="R335" s="5" t="s">
        <v>273</v>
      </c>
      <c r="S335" s="27">
        <v>120</v>
      </c>
      <c r="T335" s="28" t="s">
        <v>854</v>
      </c>
    </row>
    <row r="336" customHeight="1" spans="1:20">
      <c r="A336" s="25">
        <f t="shared" si="18"/>
        <v>1106032</v>
      </c>
      <c r="B336" s="25">
        <v>1106</v>
      </c>
      <c r="C336" s="25" t="s">
        <v>775</v>
      </c>
      <c r="D336" s="25" t="s">
        <v>776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855</v>
      </c>
      <c r="J336" s="15">
        <v>16000</v>
      </c>
      <c r="K336" s="15">
        <v>1280</v>
      </c>
      <c r="L336" s="15" t="s">
        <v>523</v>
      </c>
      <c r="M336" s="15"/>
      <c r="N336" s="15"/>
      <c r="O336" s="15"/>
      <c r="R336" s="5" t="s">
        <v>273</v>
      </c>
      <c r="S336" s="27">
        <v>124</v>
      </c>
      <c r="T336" s="28" t="s">
        <v>856</v>
      </c>
    </row>
    <row r="337" customHeight="1" spans="1:20">
      <c r="A337" s="25">
        <f t="shared" si="18"/>
        <v>1106033</v>
      </c>
      <c r="B337" s="25">
        <v>1106</v>
      </c>
      <c r="C337" s="25" t="s">
        <v>775</v>
      </c>
      <c r="D337" s="25" t="s">
        <v>776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857</v>
      </c>
      <c r="J337" s="15">
        <v>16500</v>
      </c>
      <c r="K337" s="15">
        <v>1320</v>
      </c>
      <c r="L337" s="15" t="s">
        <v>523</v>
      </c>
      <c r="M337" s="15"/>
      <c r="N337" s="15"/>
      <c r="O337" s="15"/>
      <c r="R337" s="5" t="s">
        <v>273</v>
      </c>
      <c r="S337" s="27">
        <v>128</v>
      </c>
      <c r="T337" s="28" t="s">
        <v>858</v>
      </c>
    </row>
    <row r="338" customHeight="1" spans="1:20">
      <c r="A338" s="25">
        <f t="shared" si="18"/>
        <v>1106034</v>
      </c>
      <c r="B338" s="25">
        <v>1106</v>
      </c>
      <c r="C338" s="25" t="s">
        <v>775</v>
      </c>
      <c r="D338" s="25" t="s">
        <v>776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859</v>
      </c>
      <c r="J338" s="15">
        <v>17000</v>
      </c>
      <c r="K338" s="15">
        <v>1360</v>
      </c>
      <c r="L338" s="15" t="s">
        <v>530</v>
      </c>
      <c r="M338" s="15"/>
      <c r="N338" s="15"/>
      <c r="O338" s="15"/>
      <c r="R338" s="5" t="s">
        <v>273</v>
      </c>
      <c r="S338" s="27">
        <v>132</v>
      </c>
      <c r="T338" s="28" t="s">
        <v>860</v>
      </c>
    </row>
    <row r="339" customHeight="1" spans="1:20">
      <c r="A339" s="25">
        <f t="shared" si="18"/>
        <v>1106035</v>
      </c>
      <c r="B339" s="25">
        <v>1106</v>
      </c>
      <c r="C339" s="25" t="s">
        <v>775</v>
      </c>
      <c r="D339" s="25" t="s">
        <v>776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861</v>
      </c>
      <c r="J339" s="15">
        <v>17500</v>
      </c>
      <c r="K339" s="15">
        <v>1400</v>
      </c>
      <c r="L339" s="15" t="s">
        <v>530</v>
      </c>
      <c r="M339" s="15"/>
      <c r="N339" s="15"/>
      <c r="O339" s="15"/>
      <c r="R339" s="5" t="s">
        <v>273</v>
      </c>
      <c r="S339" s="27">
        <v>136</v>
      </c>
      <c r="T339" s="28" t="s">
        <v>862</v>
      </c>
    </row>
    <row r="340" customHeight="1" spans="1:20">
      <c r="A340" s="25">
        <f t="shared" si="18"/>
        <v>1106036</v>
      </c>
      <c r="B340" s="25">
        <v>1106</v>
      </c>
      <c r="C340" s="25" t="s">
        <v>775</v>
      </c>
      <c r="D340" s="25" t="s">
        <v>776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863</v>
      </c>
      <c r="J340" s="15">
        <v>18000</v>
      </c>
      <c r="K340" s="15">
        <v>1440</v>
      </c>
      <c r="L340" s="15" t="s">
        <v>530</v>
      </c>
      <c r="M340" s="15"/>
      <c r="N340" s="15"/>
      <c r="O340" s="15"/>
      <c r="R340" s="5" t="s">
        <v>273</v>
      </c>
      <c r="S340" s="27">
        <v>140</v>
      </c>
      <c r="T340" s="28" t="s">
        <v>864</v>
      </c>
    </row>
    <row r="341" customHeight="1" spans="1:20">
      <c r="A341" s="25">
        <f t="shared" si="18"/>
        <v>1106037</v>
      </c>
      <c r="B341" s="25">
        <v>1106</v>
      </c>
      <c r="C341" s="25" t="s">
        <v>775</v>
      </c>
      <c r="D341" s="25" t="s">
        <v>776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865</v>
      </c>
      <c r="J341" s="15">
        <v>18500</v>
      </c>
      <c r="K341" s="15">
        <v>1480</v>
      </c>
      <c r="L341" s="15" t="s">
        <v>341</v>
      </c>
      <c r="M341" s="15"/>
      <c r="N341" s="15"/>
      <c r="O341" s="15"/>
      <c r="R341" s="5" t="s">
        <v>273</v>
      </c>
      <c r="S341" s="27">
        <v>144</v>
      </c>
      <c r="T341" s="28" t="s">
        <v>866</v>
      </c>
    </row>
    <row r="342" customHeight="1" spans="1:20">
      <c r="A342" s="25">
        <f t="shared" si="18"/>
        <v>1106038</v>
      </c>
      <c r="B342" s="25">
        <v>1106</v>
      </c>
      <c r="C342" s="25" t="s">
        <v>775</v>
      </c>
      <c r="D342" s="25" t="s">
        <v>776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867</v>
      </c>
      <c r="J342" s="15">
        <v>19000</v>
      </c>
      <c r="K342" s="15">
        <v>1520</v>
      </c>
      <c r="L342" s="15" t="s">
        <v>341</v>
      </c>
      <c r="M342" s="15"/>
      <c r="N342" s="15"/>
      <c r="O342" s="15"/>
      <c r="R342" s="5" t="s">
        <v>273</v>
      </c>
      <c r="S342" s="27">
        <v>148</v>
      </c>
      <c r="T342" s="28" t="s">
        <v>868</v>
      </c>
    </row>
    <row r="343" customHeight="1" spans="1:20">
      <c r="A343" s="25">
        <f t="shared" si="18"/>
        <v>1106039</v>
      </c>
      <c r="B343" s="25">
        <v>1106</v>
      </c>
      <c r="C343" s="25" t="s">
        <v>775</v>
      </c>
      <c r="D343" s="25" t="s">
        <v>776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869</v>
      </c>
      <c r="J343" s="15">
        <v>19500</v>
      </c>
      <c r="K343" s="15">
        <v>1560</v>
      </c>
      <c r="L343" s="15" t="s">
        <v>341</v>
      </c>
      <c r="M343" s="15"/>
      <c r="N343" s="15"/>
      <c r="O343" s="15"/>
      <c r="R343" s="5" t="s">
        <v>273</v>
      </c>
      <c r="S343" s="27">
        <v>152</v>
      </c>
      <c r="T343" s="28" t="s">
        <v>870</v>
      </c>
    </row>
    <row r="344" customHeight="1" spans="1:20">
      <c r="A344" s="25">
        <f t="shared" si="18"/>
        <v>1106040</v>
      </c>
      <c r="B344" s="25">
        <v>1106</v>
      </c>
      <c r="C344" s="25" t="s">
        <v>775</v>
      </c>
      <c r="D344" s="25" t="s">
        <v>776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871</v>
      </c>
      <c r="J344" s="15">
        <v>20000</v>
      </c>
      <c r="K344" s="15">
        <v>1600</v>
      </c>
      <c r="L344" s="15" t="s">
        <v>357</v>
      </c>
      <c r="M344" s="15"/>
      <c r="N344" s="15"/>
      <c r="O344" s="15"/>
      <c r="R344" s="5" t="s">
        <v>273</v>
      </c>
      <c r="S344" s="27">
        <v>156</v>
      </c>
      <c r="T344" s="28" t="s">
        <v>872</v>
      </c>
    </row>
    <row r="345" customHeight="1" spans="1:20">
      <c r="A345" s="25">
        <f t="shared" si="18"/>
        <v>1106041</v>
      </c>
      <c r="B345" s="25">
        <v>1106</v>
      </c>
      <c r="C345" s="25" t="s">
        <v>775</v>
      </c>
      <c r="D345" s="25" t="s">
        <v>776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873</v>
      </c>
      <c r="J345" s="15">
        <v>20500</v>
      </c>
      <c r="K345" s="15">
        <v>1640</v>
      </c>
      <c r="L345" s="15" t="s">
        <v>357</v>
      </c>
      <c r="M345" s="15"/>
      <c r="N345" s="15"/>
      <c r="O345" s="15"/>
      <c r="R345" s="5" t="s">
        <v>273</v>
      </c>
      <c r="S345" s="27">
        <v>160</v>
      </c>
      <c r="T345" s="28" t="s">
        <v>874</v>
      </c>
    </row>
    <row r="346" customHeight="1" spans="1:20">
      <c r="A346" s="25">
        <f t="shared" si="18"/>
        <v>1106042</v>
      </c>
      <c r="B346" s="25">
        <v>1106</v>
      </c>
      <c r="C346" s="25" t="s">
        <v>775</v>
      </c>
      <c r="D346" s="25" t="s">
        <v>776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875</v>
      </c>
      <c r="J346" s="15">
        <v>21000</v>
      </c>
      <c r="K346" s="15">
        <v>1680</v>
      </c>
      <c r="L346" s="15" t="s">
        <v>357</v>
      </c>
      <c r="M346" s="15"/>
      <c r="N346" s="15"/>
      <c r="O346" s="15"/>
      <c r="R346" s="5" t="s">
        <v>273</v>
      </c>
      <c r="S346" s="27">
        <v>164</v>
      </c>
      <c r="T346" s="28" t="s">
        <v>876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775</v>
      </c>
      <c r="D347" s="25" t="s">
        <v>776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877</v>
      </c>
      <c r="J347" s="15">
        <v>21500</v>
      </c>
      <c r="K347" s="15">
        <v>1720</v>
      </c>
      <c r="L347" s="15" t="s">
        <v>365</v>
      </c>
      <c r="M347" s="15"/>
      <c r="N347" s="15"/>
      <c r="O347" s="15"/>
      <c r="R347" s="5" t="s">
        <v>273</v>
      </c>
      <c r="S347" s="27">
        <v>168</v>
      </c>
      <c r="T347" s="28" t="s">
        <v>878</v>
      </c>
    </row>
    <row r="348" customHeight="1" spans="1:20">
      <c r="A348" s="25">
        <f t="shared" si="19"/>
        <v>1106044</v>
      </c>
      <c r="B348" s="25">
        <v>1106</v>
      </c>
      <c r="C348" s="25" t="s">
        <v>775</v>
      </c>
      <c r="D348" s="25" t="s">
        <v>776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879</v>
      </c>
      <c r="J348" s="15">
        <v>22000</v>
      </c>
      <c r="K348" s="15">
        <v>1760</v>
      </c>
      <c r="L348" s="15" t="s">
        <v>365</v>
      </c>
      <c r="M348" s="15"/>
      <c r="N348" s="15"/>
      <c r="O348" s="15"/>
      <c r="R348" s="5" t="s">
        <v>273</v>
      </c>
      <c r="S348" s="27">
        <v>172</v>
      </c>
      <c r="T348" s="10" t="s">
        <v>880</v>
      </c>
    </row>
    <row r="349" customHeight="1" spans="1:20">
      <c r="A349" s="25">
        <f t="shared" si="19"/>
        <v>1106045</v>
      </c>
      <c r="B349" s="25">
        <v>1106</v>
      </c>
      <c r="C349" s="25" t="s">
        <v>775</v>
      </c>
      <c r="D349" s="25" t="s">
        <v>776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881</v>
      </c>
      <c r="J349" s="15">
        <v>22500</v>
      </c>
      <c r="K349" s="15">
        <v>1800</v>
      </c>
      <c r="L349" s="15" t="s">
        <v>365</v>
      </c>
      <c r="M349" s="15"/>
      <c r="N349" s="15"/>
      <c r="O349" s="15"/>
      <c r="R349" s="5" t="s">
        <v>273</v>
      </c>
      <c r="S349" s="27">
        <v>176</v>
      </c>
      <c r="T349" s="28" t="s">
        <v>882</v>
      </c>
    </row>
    <row r="350" customHeight="1" spans="1:20">
      <c r="A350" s="25">
        <f t="shared" si="19"/>
        <v>1106046</v>
      </c>
      <c r="B350" s="25">
        <v>1106</v>
      </c>
      <c r="C350" s="25" t="s">
        <v>775</v>
      </c>
      <c r="D350" s="25" t="s">
        <v>776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883</v>
      </c>
      <c r="J350" s="15">
        <v>23000</v>
      </c>
      <c r="K350" s="15">
        <v>1840</v>
      </c>
      <c r="L350" s="15" t="s">
        <v>372</v>
      </c>
      <c r="M350" s="15"/>
      <c r="N350" s="15"/>
      <c r="O350" s="15"/>
      <c r="R350" s="5" t="s">
        <v>273</v>
      </c>
      <c r="S350" s="27">
        <v>180</v>
      </c>
      <c r="T350" s="28" t="s">
        <v>884</v>
      </c>
    </row>
    <row r="351" customHeight="1" spans="1:20">
      <c r="A351" s="25">
        <f t="shared" si="19"/>
        <v>1106047</v>
      </c>
      <c r="B351" s="25">
        <v>1106</v>
      </c>
      <c r="C351" s="25" t="s">
        <v>775</v>
      </c>
      <c r="D351" s="25" t="s">
        <v>776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885</v>
      </c>
      <c r="J351" s="15">
        <v>23500</v>
      </c>
      <c r="K351" s="15">
        <v>1880</v>
      </c>
      <c r="L351" s="15" t="s">
        <v>372</v>
      </c>
      <c r="M351" s="15"/>
      <c r="N351" s="15"/>
      <c r="O351" s="15"/>
      <c r="R351" s="5" t="s">
        <v>273</v>
      </c>
      <c r="S351" s="27">
        <v>184</v>
      </c>
      <c r="T351" s="28" t="s">
        <v>886</v>
      </c>
    </row>
    <row r="352" customHeight="1" spans="1:20">
      <c r="A352" s="25">
        <f t="shared" si="19"/>
        <v>1106048</v>
      </c>
      <c r="B352" s="25">
        <v>1106</v>
      </c>
      <c r="C352" s="25" t="s">
        <v>775</v>
      </c>
      <c r="D352" s="25" t="s">
        <v>776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887</v>
      </c>
      <c r="J352" s="15">
        <v>24000</v>
      </c>
      <c r="K352" s="15">
        <v>1920</v>
      </c>
      <c r="L352" s="15" t="s">
        <v>372</v>
      </c>
      <c r="M352" s="15"/>
      <c r="N352" s="15"/>
      <c r="O352" s="15"/>
      <c r="R352" s="5" t="s">
        <v>273</v>
      </c>
      <c r="S352" s="27">
        <v>188</v>
      </c>
      <c r="T352" s="28" t="s">
        <v>888</v>
      </c>
    </row>
    <row r="353" customHeight="1" spans="1:20">
      <c r="A353" s="25">
        <f t="shared" si="19"/>
        <v>1106049</v>
      </c>
      <c r="B353" s="25">
        <v>1106</v>
      </c>
      <c r="C353" s="25" t="s">
        <v>775</v>
      </c>
      <c r="D353" s="25" t="s">
        <v>776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889</v>
      </c>
      <c r="J353" s="15">
        <v>24500</v>
      </c>
      <c r="K353" s="15">
        <v>1960</v>
      </c>
      <c r="L353" s="15" t="s">
        <v>380</v>
      </c>
      <c r="M353" s="15"/>
      <c r="N353" s="15"/>
      <c r="O353" s="15"/>
      <c r="R353" s="5" t="s">
        <v>273</v>
      </c>
      <c r="S353" s="27">
        <v>192</v>
      </c>
      <c r="T353" s="28" t="s">
        <v>890</v>
      </c>
    </row>
    <row r="354" customHeight="1" spans="1:20">
      <c r="A354" s="25">
        <f t="shared" si="19"/>
        <v>1106050</v>
      </c>
      <c r="B354" s="25">
        <v>1106</v>
      </c>
      <c r="C354" s="25" t="s">
        <v>775</v>
      </c>
      <c r="D354" s="25" t="s">
        <v>776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891</v>
      </c>
      <c r="J354" s="15">
        <v>25000</v>
      </c>
      <c r="K354" s="15">
        <v>2000</v>
      </c>
      <c r="L354" s="15" t="s">
        <v>380</v>
      </c>
      <c r="M354" s="15"/>
      <c r="N354" s="15"/>
      <c r="O354" s="15"/>
      <c r="R354" s="5" t="s">
        <v>273</v>
      </c>
      <c r="S354" s="27">
        <v>196</v>
      </c>
      <c r="T354" s="28" t="s">
        <v>892</v>
      </c>
    </row>
    <row r="355" customHeight="1" spans="1:20">
      <c r="A355" s="25">
        <f t="shared" si="19"/>
        <v>1106051</v>
      </c>
      <c r="B355" s="25">
        <v>1106</v>
      </c>
      <c r="C355" s="25" t="s">
        <v>775</v>
      </c>
      <c r="D355" s="25" t="s">
        <v>776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893</v>
      </c>
      <c r="J355" s="15">
        <v>25500</v>
      </c>
      <c r="K355" s="15">
        <v>2040</v>
      </c>
      <c r="L355" s="15" t="s">
        <v>380</v>
      </c>
      <c r="M355" s="15"/>
      <c r="N355" s="15"/>
      <c r="O355" s="15"/>
      <c r="R355" s="5" t="s">
        <v>273</v>
      </c>
      <c r="S355" s="27">
        <v>200</v>
      </c>
      <c r="T355" s="28" t="s">
        <v>894</v>
      </c>
    </row>
    <row r="356" customHeight="1" spans="1:20">
      <c r="A356" s="25">
        <f t="shared" si="19"/>
        <v>1106052</v>
      </c>
      <c r="B356" s="25">
        <v>1106</v>
      </c>
      <c r="C356" s="25" t="s">
        <v>775</v>
      </c>
      <c r="D356" s="25" t="s">
        <v>776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895</v>
      </c>
      <c r="J356" s="15">
        <v>26000</v>
      </c>
      <c r="K356" s="15">
        <v>2080</v>
      </c>
      <c r="L356" s="15" t="s">
        <v>388</v>
      </c>
      <c r="M356" s="15"/>
      <c r="N356" s="15"/>
      <c r="O356" s="15"/>
      <c r="R356" s="5" t="s">
        <v>273</v>
      </c>
      <c r="S356" s="27">
        <v>204</v>
      </c>
      <c r="T356" s="28" t="s">
        <v>896</v>
      </c>
    </row>
    <row r="357" customHeight="1" spans="1:20">
      <c r="A357" s="25">
        <f t="shared" si="19"/>
        <v>1106053</v>
      </c>
      <c r="B357" s="25">
        <v>1106</v>
      </c>
      <c r="C357" s="25" t="s">
        <v>775</v>
      </c>
      <c r="D357" s="25" t="s">
        <v>776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897</v>
      </c>
      <c r="J357" s="15">
        <v>26500</v>
      </c>
      <c r="K357" s="15">
        <v>2120</v>
      </c>
      <c r="L357" s="15" t="s">
        <v>388</v>
      </c>
      <c r="M357" s="15"/>
      <c r="N357" s="15"/>
      <c r="O357" s="15"/>
      <c r="R357" s="5" t="s">
        <v>273</v>
      </c>
      <c r="S357" s="27">
        <v>208</v>
      </c>
      <c r="T357" s="28" t="s">
        <v>898</v>
      </c>
    </row>
    <row r="358" customHeight="1" spans="1:20">
      <c r="A358" s="25">
        <f t="shared" si="19"/>
        <v>1106054</v>
      </c>
      <c r="B358" s="25">
        <v>1106</v>
      </c>
      <c r="C358" s="25" t="s">
        <v>775</v>
      </c>
      <c r="D358" s="25" t="s">
        <v>776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899</v>
      </c>
      <c r="J358" s="15">
        <v>27000</v>
      </c>
      <c r="K358" s="15">
        <v>2160</v>
      </c>
      <c r="L358" s="15" t="s">
        <v>388</v>
      </c>
      <c r="M358" s="15"/>
      <c r="N358" s="15"/>
      <c r="O358" s="15"/>
      <c r="R358" s="5" t="s">
        <v>273</v>
      </c>
      <c r="S358" s="27">
        <v>212</v>
      </c>
      <c r="T358" s="28" t="s">
        <v>900</v>
      </c>
    </row>
    <row r="359" customHeight="1" spans="1:20">
      <c r="A359" s="25">
        <f t="shared" si="19"/>
        <v>1106055</v>
      </c>
      <c r="B359" s="25">
        <v>1106</v>
      </c>
      <c r="C359" s="25" t="s">
        <v>775</v>
      </c>
      <c r="D359" s="25" t="s">
        <v>776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901</v>
      </c>
      <c r="J359" s="15">
        <v>27500</v>
      </c>
      <c r="K359" s="15">
        <v>2200</v>
      </c>
      <c r="L359" s="15" t="s">
        <v>395</v>
      </c>
      <c r="M359" s="15"/>
      <c r="N359" s="15"/>
      <c r="O359" s="15"/>
      <c r="R359" s="5" t="s">
        <v>273</v>
      </c>
      <c r="S359" s="27">
        <v>216</v>
      </c>
      <c r="T359" s="28" t="s">
        <v>902</v>
      </c>
    </row>
    <row r="360" customHeight="1" spans="1:20">
      <c r="A360" s="25">
        <f t="shared" si="19"/>
        <v>1106056</v>
      </c>
      <c r="B360" s="25">
        <v>1106</v>
      </c>
      <c r="C360" s="25" t="s">
        <v>775</v>
      </c>
      <c r="D360" s="25" t="s">
        <v>776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903</v>
      </c>
      <c r="J360" s="15">
        <v>28000</v>
      </c>
      <c r="K360" s="15">
        <v>2240</v>
      </c>
      <c r="L360" s="15" t="s">
        <v>395</v>
      </c>
      <c r="M360" s="15"/>
      <c r="N360" s="15"/>
      <c r="O360" s="15"/>
      <c r="R360" s="5" t="s">
        <v>273</v>
      </c>
      <c r="S360" s="27">
        <v>220</v>
      </c>
      <c r="T360" s="28" t="s">
        <v>904</v>
      </c>
    </row>
    <row r="361" customHeight="1" spans="1:20">
      <c r="A361" s="25">
        <f t="shared" si="19"/>
        <v>1106057</v>
      </c>
      <c r="B361" s="25">
        <v>1106</v>
      </c>
      <c r="C361" s="25" t="s">
        <v>775</v>
      </c>
      <c r="D361" s="25" t="s">
        <v>776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905</v>
      </c>
      <c r="J361" s="15">
        <v>28500</v>
      </c>
      <c r="K361" s="15">
        <v>2280</v>
      </c>
      <c r="L361" s="15" t="s">
        <v>395</v>
      </c>
      <c r="M361" s="15"/>
      <c r="N361" s="15"/>
      <c r="O361" s="15"/>
      <c r="R361" s="5" t="s">
        <v>273</v>
      </c>
      <c r="S361" s="27">
        <v>224</v>
      </c>
      <c r="T361" s="28" t="s">
        <v>906</v>
      </c>
    </row>
    <row r="362" customHeight="1" spans="1:20">
      <c r="A362" s="25">
        <f t="shared" si="19"/>
        <v>1106058</v>
      </c>
      <c r="B362" s="25">
        <v>1106</v>
      </c>
      <c r="C362" s="25" t="s">
        <v>775</v>
      </c>
      <c r="D362" s="25" t="s">
        <v>776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907</v>
      </c>
      <c r="J362" s="15">
        <v>29000</v>
      </c>
      <c r="K362" s="15">
        <v>2320</v>
      </c>
      <c r="L362" s="15" t="s">
        <v>403</v>
      </c>
      <c r="M362" s="15"/>
      <c r="N362" s="15"/>
      <c r="O362" s="15"/>
      <c r="R362" s="5" t="s">
        <v>273</v>
      </c>
      <c r="S362" s="27">
        <v>228</v>
      </c>
      <c r="T362" s="28" t="s">
        <v>908</v>
      </c>
    </row>
    <row r="363" customHeight="1" spans="1:20">
      <c r="A363" s="25">
        <f t="shared" si="19"/>
        <v>1106059</v>
      </c>
      <c r="B363" s="25">
        <v>1106</v>
      </c>
      <c r="C363" s="25" t="s">
        <v>775</v>
      </c>
      <c r="D363" s="25" t="s">
        <v>776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909</v>
      </c>
      <c r="J363" s="15">
        <v>29500</v>
      </c>
      <c r="K363" s="15">
        <v>2360</v>
      </c>
      <c r="L363" s="15" t="s">
        <v>403</v>
      </c>
      <c r="M363" s="15"/>
      <c r="N363" s="15"/>
      <c r="O363" s="15"/>
      <c r="R363" s="5" t="s">
        <v>273</v>
      </c>
      <c r="S363" s="27">
        <v>232</v>
      </c>
      <c r="T363" s="28" t="s">
        <v>910</v>
      </c>
    </row>
    <row r="364" customHeight="1" spans="1:20">
      <c r="A364" s="25">
        <f t="shared" si="19"/>
        <v>1106060</v>
      </c>
      <c r="B364" s="25">
        <v>1106</v>
      </c>
      <c r="C364" s="25" t="s">
        <v>775</v>
      </c>
      <c r="D364" s="25" t="s">
        <v>776</v>
      </c>
      <c r="E364" s="25">
        <v>34</v>
      </c>
      <c r="F364" s="25">
        <v>60</v>
      </c>
      <c r="G364" s="25">
        <v>10</v>
      </c>
      <c r="H364" s="25"/>
      <c r="I364" s="25" t="s">
        <v>911</v>
      </c>
      <c r="J364" s="15">
        <v>30000</v>
      </c>
      <c r="K364" s="15">
        <v>2400</v>
      </c>
      <c r="L364" s="15" t="s">
        <v>403</v>
      </c>
      <c r="M364" s="15"/>
      <c r="N364" s="15"/>
      <c r="O364" s="15"/>
      <c r="R364" s="5" t="s">
        <v>273</v>
      </c>
      <c r="S364" s="27"/>
      <c r="T364" s="28" t="s">
        <v>912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913</v>
      </c>
      <c r="D365" s="29" t="s">
        <v>914</v>
      </c>
      <c r="E365" s="25">
        <v>11</v>
      </c>
      <c r="F365" s="29">
        <v>1</v>
      </c>
      <c r="G365" s="29">
        <v>5</v>
      </c>
      <c r="H365" s="29" t="s">
        <v>915</v>
      </c>
      <c r="I365" s="29" t="s">
        <v>916</v>
      </c>
      <c r="J365" s="30">
        <v>400</v>
      </c>
      <c r="K365" s="15">
        <v>35</v>
      </c>
      <c r="L365" s="15" t="s">
        <v>129</v>
      </c>
      <c r="M365" s="30"/>
      <c r="N365" s="30"/>
      <c r="O365" s="30"/>
      <c r="P365" s="31" t="s">
        <v>917</v>
      </c>
      <c r="Q365" s="31" t="s">
        <v>918</v>
      </c>
      <c r="R365" s="6" t="s">
        <v>919</v>
      </c>
      <c r="S365" s="32">
        <v>1</v>
      </c>
      <c r="T365" s="35" t="s">
        <v>920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913</v>
      </c>
      <c r="D366" s="29" t="s">
        <v>914</v>
      </c>
      <c r="E366" s="25">
        <v>11</v>
      </c>
      <c r="F366" s="29">
        <v>2</v>
      </c>
      <c r="G366" s="29">
        <v>8</v>
      </c>
      <c r="H366" s="29" t="s">
        <v>921</v>
      </c>
      <c r="I366" s="29" t="s">
        <v>922</v>
      </c>
      <c r="J366" s="30">
        <v>800</v>
      </c>
      <c r="K366" s="15">
        <v>70</v>
      </c>
      <c r="L366" s="15" t="s">
        <v>129</v>
      </c>
      <c r="M366" s="30"/>
      <c r="N366" s="30"/>
      <c r="O366" s="30"/>
      <c r="P366" s="31" t="s">
        <v>923</v>
      </c>
      <c r="Q366" s="31" t="s">
        <v>924</v>
      </c>
      <c r="R366" s="6">
        <v>1107258</v>
      </c>
      <c r="S366" s="32">
        <v>2</v>
      </c>
      <c r="T366" s="35" t="s">
        <v>925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913</v>
      </c>
      <c r="D367" s="29" t="s">
        <v>914</v>
      </c>
      <c r="E367" s="25">
        <v>11</v>
      </c>
      <c r="F367" s="29">
        <v>3</v>
      </c>
      <c r="G367" s="29">
        <v>12</v>
      </c>
      <c r="H367" s="29" t="s">
        <v>926</v>
      </c>
      <c r="I367" s="29" t="s">
        <v>927</v>
      </c>
      <c r="J367" s="30">
        <v>1200</v>
      </c>
      <c r="K367" s="15">
        <v>105</v>
      </c>
      <c r="L367" s="15" t="s">
        <v>129</v>
      </c>
      <c r="M367" s="30"/>
      <c r="N367" s="30"/>
      <c r="O367" s="30"/>
      <c r="P367" s="31" t="s">
        <v>928</v>
      </c>
      <c r="Q367" s="31" t="s">
        <v>929</v>
      </c>
      <c r="R367" s="6">
        <v>1107262</v>
      </c>
      <c r="S367" s="32">
        <v>4</v>
      </c>
      <c r="T367" s="35" t="s">
        <v>930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913</v>
      </c>
      <c r="D368" s="29" t="s">
        <v>914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931</v>
      </c>
      <c r="J368" s="30">
        <v>1600</v>
      </c>
      <c r="K368" s="15">
        <v>140</v>
      </c>
      <c r="L368" s="15" t="s">
        <v>136</v>
      </c>
      <c r="M368" s="30"/>
      <c r="N368" s="30"/>
      <c r="O368" s="30"/>
      <c r="R368" s="6">
        <v>1107263</v>
      </c>
      <c r="S368" s="32">
        <v>6</v>
      </c>
      <c r="T368" s="35" t="s">
        <v>932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913</v>
      </c>
      <c r="D369" s="29" t="s">
        <v>914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933</v>
      </c>
      <c r="J369" s="30">
        <v>2000</v>
      </c>
      <c r="K369" s="15">
        <v>175</v>
      </c>
      <c r="L369" s="15" t="s">
        <v>136</v>
      </c>
      <c r="M369" s="30" t="s">
        <v>934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935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913</v>
      </c>
      <c r="D370" s="29" t="s">
        <v>914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936</v>
      </c>
      <c r="J370" s="30">
        <v>2400</v>
      </c>
      <c r="K370" s="15">
        <v>210</v>
      </c>
      <c r="L370" s="15" t="s">
        <v>136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937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913</v>
      </c>
      <c r="D371" s="29" t="s">
        <v>914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938</v>
      </c>
      <c r="J371" s="30">
        <v>2800</v>
      </c>
      <c r="K371" s="15">
        <v>245</v>
      </c>
      <c r="L371" s="15" t="s">
        <v>143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939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913</v>
      </c>
      <c r="D372" s="29" t="s">
        <v>914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940</v>
      </c>
      <c r="J372" s="30">
        <v>3200</v>
      </c>
      <c r="K372" s="15">
        <v>280</v>
      </c>
      <c r="L372" s="15" t="s">
        <v>143</v>
      </c>
      <c r="M372" s="30"/>
      <c r="N372" s="30"/>
      <c r="O372" s="30"/>
      <c r="P372" s="31"/>
      <c r="Q372" s="34"/>
      <c r="R372" s="6"/>
      <c r="S372" s="32">
        <v>14</v>
      </c>
      <c r="T372" s="35" t="s">
        <v>941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913</v>
      </c>
      <c r="D373" s="29" t="s">
        <v>914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942</v>
      </c>
      <c r="J373" s="30">
        <v>3600</v>
      </c>
      <c r="K373" s="15">
        <v>315</v>
      </c>
      <c r="L373" s="15" t="s">
        <v>143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943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913</v>
      </c>
      <c r="D374" s="29" t="s">
        <v>914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944</v>
      </c>
      <c r="J374" s="30">
        <v>4000</v>
      </c>
      <c r="K374" s="15">
        <v>350</v>
      </c>
      <c r="L374" s="15" t="s">
        <v>150</v>
      </c>
      <c r="M374" s="30" t="s">
        <v>945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946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913</v>
      </c>
      <c r="D375" s="29" t="s">
        <v>914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947</v>
      </c>
      <c r="J375" s="30">
        <v>4400</v>
      </c>
      <c r="K375" s="15">
        <v>385</v>
      </c>
      <c r="L375" s="15" t="s">
        <v>150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948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913</v>
      </c>
      <c r="D376" s="29" t="s">
        <v>914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949</v>
      </c>
      <c r="J376" s="30">
        <v>4800</v>
      </c>
      <c r="K376" s="15">
        <v>420</v>
      </c>
      <c r="L376" s="15" t="s">
        <v>150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950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913</v>
      </c>
      <c r="D377" s="29" t="s">
        <v>914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951</v>
      </c>
      <c r="J377" s="30">
        <v>5200</v>
      </c>
      <c r="K377" s="15">
        <v>455</v>
      </c>
      <c r="L377" s="15" t="s">
        <v>157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952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913</v>
      </c>
      <c r="D378" s="29" t="s">
        <v>914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953</v>
      </c>
      <c r="J378" s="30">
        <v>5600</v>
      </c>
      <c r="K378" s="15">
        <v>490</v>
      </c>
      <c r="L378" s="15" t="s">
        <v>157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954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913</v>
      </c>
      <c r="D379" s="29" t="s">
        <v>914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955</v>
      </c>
      <c r="J379" s="30">
        <v>6000</v>
      </c>
      <c r="K379" s="15">
        <v>525</v>
      </c>
      <c r="L379" s="15" t="s">
        <v>157</v>
      </c>
      <c r="M379" s="30" t="s">
        <v>956</v>
      </c>
      <c r="N379" s="30">
        <v>30</v>
      </c>
      <c r="O379" s="30"/>
      <c r="P379" s="31"/>
      <c r="Q379" s="31"/>
      <c r="S379" s="32">
        <v>28</v>
      </c>
      <c r="T379" s="35" t="s">
        <v>957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913</v>
      </c>
      <c r="D380" s="29" t="s">
        <v>914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958</v>
      </c>
      <c r="J380" s="30">
        <v>6400</v>
      </c>
      <c r="K380" s="15">
        <v>560</v>
      </c>
      <c r="L380" s="15" t="s">
        <v>164</v>
      </c>
      <c r="M380" s="30"/>
      <c r="N380" s="30"/>
      <c r="O380" s="30"/>
      <c r="P380" s="31"/>
      <c r="Q380" s="31"/>
      <c r="R380" s="6"/>
      <c r="S380" s="32">
        <v>30</v>
      </c>
      <c r="T380" s="35" t="s">
        <v>959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913</v>
      </c>
      <c r="D381" s="29" t="s">
        <v>914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960</v>
      </c>
      <c r="J381" s="30">
        <v>6800</v>
      </c>
      <c r="K381" s="15">
        <v>595</v>
      </c>
      <c r="L381" s="15" t="s">
        <v>164</v>
      </c>
      <c r="M381" s="30"/>
      <c r="N381" s="30"/>
      <c r="O381" s="30"/>
      <c r="P381" s="31"/>
      <c r="Q381" s="31"/>
      <c r="R381" s="7"/>
      <c r="S381" s="32">
        <v>32</v>
      </c>
      <c r="T381" s="35" t="s">
        <v>961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913</v>
      </c>
      <c r="D382" s="29" t="s">
        <v>914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962</v>
      </c>
      <c r="J382" s="30">
        <v>7200</v>
      </c>
      <c r="K382" s="15">
        <v>630</v>
      </c>
      <c r="L382" s="15" t="s">
        <v>164</v>
      </c>
      <c r="M382" s="30"/>
      <c r="N382" s="30"/>
      <c r="O382" s="30"/>
      <c r="P382" s="31"/>
      <c r="Q382" s="31"/>
      <c r="R382" s="6"/>
      <c r="S382" s="32">
        <v>34</v>
      </c>
      <c r="T382" s="35" t="s">
        <v>963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913</v>
      </c>
      <c r="D383" s="29" t="s">
        <v>914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964</v>
      </c>
      <c r="J383" s="30">
        <v>7600</v>
      </c>
      <c r="K383" s="15">
        <v>665</v>
      </c>
      <c r="L383" s="15" t="s">
        <v>171</v>
      </c>
      <c r="M383" s="30"/>
      <c r="N383" s="30"/>
      <c r="O383" s="30"/>
      <c r="P383" s="31"/>
      <c r="Q383" s="31"/>
      <c r="R383" s="6"/>
      <c r="S383" s="32">
        <v>36</v>
      </c>
      <c r="T383" s="35" t="s">
        <v>965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913</v>
      </c>
      <c r="D384" s="29" t="s">
        <v>914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966</v>
      </c>
      <c r="J384" s="30">
        <v>8000</v>
      </c>
      <c r="K384" s="15">
        <v>700</v>
      </c>
      <c r="L384" s="15" t="s">
        <v>171</v>
      </c>
      <c r="M384" s="30" t="s">
        <v>967</v>
      </c>
      <c r="N384" s="30">
        <v>40</v>
      </c>
      <c r="O384" s="30"/>
      <c r="P384" s="31"/>
      <c r="Q384" s="31"/>
      <c r="R384" s="6"/>
      <c r="S384" s="32">
        <v>38</v>
      </c>
      <c r="T384" s="35" t="s">
        <v>968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913</v>
      </c>
      <c r="D385" s="29" t="s">
        <v>914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969</v>
      </c>
      <c r="J385" s="30">
        <v>8400</v>
      </c>
      <c r="K385" s="15">
        <v>735</v>
      </c>
      <c r="L385" s="15" t="s">
        <v>171</v>
      </c>
      <c r="M385" s="30"/>
      <c r="N385" s="30"/>
      <c r="O385" s="30"/>
      <c r="P385" s="31"/>
      <c r="Q385" s="31"/>
      <c r="R385" s="6"/>
      <c r="S385" s="32">
        <v>40</v>
      </c>
      <c r="T385" s="35" t="s">
        <v>970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913</v>
      </c>
      <c r="D386" s="29" t="s">
        <v>914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971</v>
      </c>
      <c r="J386" s="30">
        <v>8800</v>
      </c>
      <c r="K386" s="15">
        <v>770</v>
      </c>
      <c r="L386" s="15" t="s">
        <v>178</v>
      </c>
      <c r="M386" s="30"/>
      <c r="N386" s="30"/>
      <c r="O386" s="30"/>
      <c r="P386" s="31"/>
      <c r="Q386" s="31"/>
      <c r="R386" s="6"/>
      <c r="S386" s="32">
        <v>42</v>
      </c>
      <c r="T386" s="35" t="s">
        <v>972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913</v>
      </c>
      <c r="D387" s="29" t="s">
        <v>914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973</v>
      </c>
      <c r="J387" s="30">
        <v>9200</v>
      </c>
      <c r="K387" s="15">
        <v>805</v>
      </c>
      <c r="L387" s="15" t="s">
        <v>178</v>
      </c>
      <c r="M387" s="30"/>
      <c r="N387" s="30"/>
      <c r="O387" s="30"/>
      <c r="P387" s="31"/>
      <c r="Q387" s="31"/>
      <c r="R387" s="6"/>
      <c r="S387" s="32">
        <v>44</v>
      </c>
      <c r="T387" s="35" t="s">
        <v>974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913</v>
      </c>
      <c r="D388" s="29" t="s">
        <v>914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975</v>
      </c>
      <c r="J388" s="30">
        <v>9600</v>
      </c>
      <c r="K388" s="15">
        <v>840</v>
      </c>
      <c r="L388" s="15" t="s">
        <v>178</v>
      </c>
      <c r="M388" s="30"/>
      <c r="N388" s="30"/>
      <c r="O388" s="30"/>
      <c r="P388" s="31"/>
      <c r="Q388" s="31"/>
      <c r="R388" s="6"/>
      <c r="S388" s="32">
        <v>46</v>
      </c>
      <c r="T388" s="35" t="s">
        <v>976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913</v>
      </c>
      <c r="D389" s="29" t="s">
        <v>914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977</v>
      </c>
      <c r="J389" s="30">
        <v>10000</v>
      </c>
      <c r="K389" s="15">
        <v>875</v>
      </c>
      <c r="L389" s="15" t="s">
        <v>185</v>
      </c>
      <c r="M389" s="30" t="s">
        <v>978</v>
      </c>
      <c r="N389" s="30">
        <v>50</v>
      </c>
      <c r="O389" s="30"/>
      <c r="P389" s="31"/>
      <c r="Q389" s="31"/>
      <c r="R389" s="33"/>
      <c r="S389" s="32">
        <v>48</v>
      </c>
      <c r="T389" s="35" t="s">
        <v>979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913</v>
      </c>
      <c r="D390" s="29" t="s">
        <v>914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980</v>
      </c>
      <c r="J390" s="30">
        <v>10400</v>
      </c>
      <c r="K390" s="15">
        <v>910</v>
      </c>
      <c r="L390" s="15" t="s">
        <v>185</v>
      </c>
      <c r="M390" s="30"/>
      <c r="N390" s="30"/>
      <c r="O390" s="30"/>
      <c r="P390" s="31"/>
      <c r="Q390" s="31"/>
      <c r="R390" s="33"/>
      <c r="S390" s="32">
        <v>50</v>
      </c>
      <c r="T390" s="35" t="s">
        <v>981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913</v>
      </c>
      <c r="D391" s="29" t="s">
        <v>914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982</v>
      </c>
      <c r="J391" s="30">
        <v>10800</v>
      </c>
      <c r="K391" s="15">
        <v>945</v>
      </c>
      <c r="L391" s="15" t="s">
        <v>185</v>
      </c>
      <c r="M391" s="30"/>
      <c r="N391" s="30"/>
      <c r="O391" s="30"/>
      <c r="P391" s="31"/>
      <c r="Q391" s="31"/>
      <c r="R391" s="33" t="s">
        <v>273</v>
      </c>
      <c r="S391" s="32">
        <v>52</v>
      </c>
      <c r="T391" s="35" t="s">
        <v>983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913</v>
      </c>
      <c r="D392" s="29" t="s">
        <v>914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984</v>
      </c>
      <c r="J392" s="30">
        <v>11200</v>
      </c>
      <c r="K392" s="15">
        <v>980</v>
      </c>
      <c r="L392" s="15" t="s">
        <v>192</v>
      </c>
      <c r="M392" s="30"/>
      <c r="N392" s="30"/>
      <c r="O392" s="30"/>
      <c r="P392" s="31"/>
      <c r="Q392" s="31"/>
      <c r="R392" s="33" t="s">
        <v>273</v>
      </c>
      <c r="S392" s="32">
        <v>54</v>
      </c>
      <c r="T392" s="35" t="s">
        <v>985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913</v>
      </c>
      <c r="D393" s="29" t="s">
        <v>914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986</v>
      </c>
      <c r="J393" s="30">
        <v>11600</v>
      </c>
      <c r="K393" s="15">
        <v>1015</v>
      </c>
      <c r="L393" s="15" t="s">
        <v>192</v>
      </c>
      <c r="M393" s="30"/>
      <c r="N393" s="30"/>
      <c r="O393" s="30"/>
      <c r="P393" s="31"/>
      <c r="Q393" s="31"/>
      <c r="R393" s="33" t="s">
        <v>273</v>
      </c>
      <c r="S393" s="32">
        <v>56</v>
      </c>
      <c r="T393" s="35" t="s">
        <v>987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913</v>
      </c>
      <c r="D394" s="29" t="s">
        <v>914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988</v>
      </c>
      <c r="J394" s="30">
        <v>12000</v>
      </c>
      <c r="K394" s="15">
        <v>1050</v>
      </c>
      <c r="L394" s="15" t="s">
        <v>192</v>
      </c>
      <c r="M394" s="30" t="s">
        <v>989</v>
      </c>
      <c r="N394" s="30">
        <v>60</v>
      </c>
      <c r="O394" s="30"/>
      <c r="P394" s="31"/>
      <c r="Q394" s="31"/>
      <c r="R394" s="33" t="s">
        <v>273</v>
      </c>
      <c r="S394" s="32">
        <v>58</v>
      </c>
      <c r="T394" s="35" t="s">
        <v>990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913</v>
      </c>
      <c r="D395" s="29" t="s">
        <v>914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991</v>
      </c>
      <c r="J395" s="30">
        <v>12400</v>
      </c>
      <c r="K395" s="15">
        <v>1085</v>
      </c>
      <c r="L395" s="15" t="s">
        <v>324</v>
      </c>
      <c r="M395" s="30"/>
      <c r="N395" s="30"/>
      <c r="O395" s="30"/>
      <c r="P395" s="31"/>
      <c r="Q395" s="31"/>
      <c r="R395" s="33" t="s">
        <v>273</v>
      </c>
      <c r="S395" s="32">
        <v>60</v>
      </c>
      <c r="T395" s="35" t="s">
        <v>992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913</v>
      </c>
      <c r="D396" s="29" t="s">
        <v>914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993</v>
      </c>
      <c r="J396" s="30">
        <v>12800</v>
      </c>
      <c r="K396" s="15">
        <v>1120</v>
      </c>
      <c r="L396" s="15" t="s">
        <v>324</v>
      </c>
      <c r="M396" s="30"/>
      <c r="N396" s="30"/>
      <c r="O396" s="30"/>
      <c r="P396" s="31"/>
      <c r="Q396" s="31"/>
      <c r="R396" s="33" t="s">
        <v>273</v>
      </c>
      <c r="S396" s="32">
        <v>62</v>
      </c>
      <c r="T396" s="35" t="s">
        <v>994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913</v>
      </c>
      <c r="D397" s="29" t="s">
        <v>914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995</v>
      </c>
      <c r="J397" s="30">
        <v>13200</v>
      </c>
      <c r="K397" s="15">
        <v>1155</v>
      </c>
      <c r="L397" s="15" t="s">
        <v>324</v>
      </c>
      <c r="M397" s="30"/>
      <c r="N397" s="30"/>
      <c r="O397" s="30"/>
      <c r="P397" s="31"/>
      <c r="Q397" s="31"/>
      <c r="R397" s="33" t="s">
        <v>273</v>
      </c>
      <c r="S397" s="32">
        <v>64</v>
      </c>
      <c r="T397" s="35" t="s">
        <v>996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913</v>
      </c>
      <c r="D398" s="29" t="s">
        <v>914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997</v>
      </c>
      <c r="J398" s="30">
        <v>13600</v>
      </c>
      <c r="K398" s="15">
        <v>1190</v>
      </c>
      <c r="L398" s="15" t="s">
        <v>331</v>
      </c>
      <c r="M398" s="30"/>
      <c r="N398" s="30"/>
      <c r="O398" s="30"/>
      <c r="P398" s="31"/>
      <c r="Q398" s="31"/>
      <c r="R398" s="33" t="s">
        <v>273</v>
      </c>
      <c r="S398" s="32">
        <v>66</v>
      </c>
      <c r="T398" s="35" t="s">
        <v>998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913</v>
      </c>
      <c r="D399" s="29" t="s">
        <v>914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999</v>
      </c>
      <c r="J399" s="30">
        <v>14000</v>
      </c>
      <c r="K399" s="15">
        <v>1225</v>
      </c>
      <c r="L399" s="15" t="s">
        <v>331</v>
      </c>
      <c r="M399" s="30"/>
      <c r="N399" s="30"/>
      <c r="O399" s="30"/>
      <c r="P399" s="31"/>
      <c r="Q399" s="31"/>
      <c r="R399" s="33" t="s">
        <v>273</v>
      </c>
      <c r="S399" s="32">
        <v>68</v>
      </c>
      <c r="T399" s="35" t="s">
        <v>1000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913</v>
      </c>
      <c r="D400" s="29" t="s">
        <v>914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1001</v>
      </c>
      <c r="J400" s="30">
        <v>14400</v>
      </c>
      <c r="K400" s="15">
        <v>1260</v>
      </c>
      <c r="L400" s="15" t="s">
        <v>331</v>
      </c>
      <c r="M400" s="30"/>
      <c r="N400" s="30"/>
      <c r="O400" s="30"/>
      <c r="P400" s="31"/>
      <c r="Q400" s="31"/>
      <c r="R400" s="33" t="s">
        <v>273</v>
      </c>
      <c r="S400" s="32">
        <v>70</v>
      </c>
      <c r="T400" s="35" t="s">
        <v>1002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913</v>
      </c>
      <c r="D401" s="29" t="s">
        <v>914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1003</v>
      </c>
      <c r="J401" s="30">
        <v>14800</v>
      </c>
      <c r="K401" s="15">
        <v>1295</v>
      </c>
      <c r="L401" s="15" t="s">
        <v>499</v>
      </c>
      <c r="M401" s="30"/>
      <c r="N401" s="30"/>
      <c r="O401" s="30"/>
      <c r="P401" s="31"/>
      <c r="Q401" s="31"/>
      <c r="R401" s="33" t="s">
        <v>273</v>
      </c>
      <c r="S401" s="32">
        <v>72</v>
      </c>
      <c r="T401" s="35" t="s">
        <v>1004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913</v>
      </c>
      <c r="D402" s="29" t="s">
        <v>914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1005</v>
      </c>
      <c r="J402" s="30">
        <v>15200</v>
      </c>
      <c r="K402" s="15">
        <v>1330</v>
      </c>
      <c r="L402" s="15" t="s">
        <v>499</v>
      </c>
      <c r="M402" s="30"/>
      <c r="N402" s="30"/>
      <c r="O402" s="30"/>
      <c r="P402" s="31"/>
      <c r="Q402" s="31"/>
      <c r="R402" s="33" t="s">
        <v>273</v>
      </c>
      <c r="S402" s="32">
        <v>74</v>
      </c>
      <c r="T402" s="35" t="s">
        <v>1006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913</v>
      </c>
      <c r="D403" s="29" t="s">
        <v>914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1007</v>
      </c>
      <c r="J403" s="30">
        <v>15600</v>
      </c>
      <c r="K403" s="15">
        <v>1365</v>
      </c>
      <c r="L403" s="15" t="s">
        <v>499</v>
      </c>
      <c r="M403" s="30"/>
      <c r="N403" s="30"/>
      <c r="O403" s="30"/>
      <c r="P403" s="31"/>
      <c r="Q403" s="31"/>
      <c r="R403" s="33" t="s">
        <v>273</v>
      </c>
      <c r="S403" s="32">
        <v>76</v>
      </c>
      <c r="T403" s="35" t="s">
        <v>1008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913</v>
      </c>
      <c r="D404" s="29" t="s">
        <v>914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1009</v>
      </c>
      <c r="J404" s="30">
        <v>16000</v>
      </c>
      <c r="K404" s="15">
        <v>1400</v>
      </c>
      <c r="L404" s="15" t="s">
        <v>515</v>
      </c>
      <c r="M404" s="30"/>
      <c r="N404" s="30"/>
      <c r="O404" s="30"/>
      <c r="P404" s="31"/>
      <c r="Q404" s="31"/>
      <c r="R404" s="33" t="s">
        <v>273</v>
      </c>
      <c r="S404" s="32">
        <v>78</v>
      </c>
      <c r="T404" s="35" t="s">
        <v>1010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913</v>
      </c>
      <c r="D405" s="29" t="s">
        <v>914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1011</v>
      </c>
      <c r="J405" s="30">
        <v>16400</v>
      </c>
      <c r="K405" s="15">
        <v>1435</v>
      </c>
      <c r="L405" s="15" t="s">
        <v>515</v>
      </c>
      <c r="M405" s="30"/>
      <c r="N405" s="30"/>
      <c r="O405" s="30"/>
      <c r="P405" s="31"/>
      <c r="Q405" s="31"/>
      <c r="R405" s="33" t="s">
        <v>273</v>
      </c>
      <c r="S405" s="32">
        <v>80</v>
      </c>
      <c r="T405" s="35" t="s">
        <v>1012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913</v>
      </c>
      <c r="D406" s="29" t="s">
        <v>914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1013</v>
      </c>
      <c r="J406" s="30">
        <v>16800</v>
      </c>
      <c r="K406" s="15">
        <v>1470</v>
      </c>
      <c r="L406" s="15" t="s">
        <v>515</v>
      </c>
      <c r="M406" s="30"/>
      <c r="N406" s="30"/>
      <c r="O406" s="30"/>
      <c r="P406" s="31"/>
      <c r="Q406" s="31"/>
      <c r="R406" s="6" t="s">
        <v>273</v>
      </c>
      <c r="S406" s="32">
        <v>82</v>
      </c>
      <c r="T406" s="35" t="s">
        <v>1014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913</v>
      </c>
      <c r="D407" s="29" t="s">
        <v>914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1015</v>
      </c>
      <c r="J407" s="30">
        <v>17200</v>
      </c>
      <c r="K407" s="15">
        <v>1505</v>
      </c>
      <c r="L407" s="15" t="s">
        <v>523</v>
      </c>
      <c r="M407" s="30"/>
      <c r="N407" s="30"/>
      <c r="O407" s="30"/>
      <c r="P407" s="31"/>
      <c r="Q407" s="31"/>
      <c r="R407" s="6" t="s">
        <v>273</v>
      </c>
      <c r="S407" s="32">
        <v>84</v>
      </c>
      <c r="T407" s="35" t="s">
        <v>1016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913</v>
      </c>
      <c r="D408" s="29" t="s">
        <v>914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1017</v>
      </c>
      <c r="J408" s="30">
        <v>17600</v>
      </c>
      <c r="K408" s="15">
        <v>1540</v>
      </c>
      <c r="L408" s="15" t="s">
        <v>523</v>
      </c>
      <c r="M408" s="30"/>
      <c r="N408" s="30"/>
      <c r="O408" s="30"/>
      <c r="P408" s="31"/>
      <c r="Q408" s="31"/>
      <c r="R408" s="6" t="s">
        <v>273</v>
      </c>
      <c r="S408" s="32">
        <v>86</v>
      </c>
      <c r="T408" s="35" t="s">
        <v>1018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913</v>
      </c>
      <c r="D409" s="29" t="s">
        <v>914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1019</v>
      </c>
      <c r="J409" s="30">
        <v>18000</v>
      </c>
      <c r="K409" s="15">
        <v>1575</v>
      </c>
      <c r="L409" s="15" t="s">
        <v>523</v>
      </c>
      <c r="M409" s="30"/>
      <c r="N409" s="30"/>
      <c r="O409" s="30"/>
      <c r="P409" s="31"/>
      <c r="Q409" s="31"/>
      <c r="R409" s="6" t="s">
        <v>273</v>
      </c>
      <c r="S409" s="32">
        <v>88</v>
      </c>
      <c r="T409" s="35" t="s">
        <v>1020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913</v>
      </c>
      <c r="D410" s="29" t="s">
        <v>914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1021</v>
      </c>
      <c r="J410" s="30">
        <v>18400</v>
      </c>
      <c r="K410" s="15">
        <v>1610</v>
      </c>
      <c r="L410" s="15" t="s">
        <v>530</v>
      </c>
      <c r="M410" s="30"/>
      <c r="N410" s="30"/>
      <c r="O410" s="30"/>
      <c r="P410" s="31"/>
      <c r="Q410" s="31"/>
      <c r="R410" s="6" t="s">
        <v>273</v>
      </c>
      <c r="S410" s="32">
        <v>90</v>
      </c>
      <c r="T410" s="35" t="s">
        <v>1022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913</v>
      </c>
      <c r="D411" s="29" t="s">
        <v>914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1023</v>
      </c>
      <c r="J411" s="30">
        <v>18800</v>
      </c>
      <c r="K411" s="15">
        <v>1645</v>
      </c>
      <c r="L411" s="15" t="s">
        <v>530</v>
      </c>
      <c r="M411" s="30"/>
      <c r="N411" s="30"/>
      <c r="O411" s="30"/>
      <c r="P411" s="31"/>
      <c r="Q411" s="31"/>
      <c r="R411" s="6" t="s">
        <v>273</v>
      </c>
      <c r="S411" s="32">
        <v>92</v>
      </c>
      <c r="T411" s="35" t="s">
        <v>1024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913</v>
      </c>
      <c r="D412" s="29" t="s">
        <v>914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1025</v>
      </c>
      <c r="J412" s="30">
        <v>19200</v>
      </c>
      <c r="K412" s="15">
        <v>1680</v>
      </c>
      <c r="L412" s="15" t="s">
        <v>530</v>
      </c>
      <c r="M412" s="30"/>
      <c r="N412" s="30"/>
      <c r="O412" s="30"/>
      <c r="P412" s="31"/>
      <c r="Q412" s="31"/>
      <c r="R412" s="6" t="s">
        <v>273</v>
      </c>
      <c r="S412" s="32">
        <v>94</v>
      </c>
      <c r="T412" s="35" t="s">
        <v>1026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913</v>
      </c>
      <c r="D413" s="29" t="s">
        <v>914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1027</v>
      </c>
      <c r="J413" s="30">
        <v>19600</v>
      </c>
      <c r="K413" s="15">
        <v>1715</v>
      </c>
      <c r="L413" s="15" t="s">
        <v>341</v>
      </c>
      <c r="M413" s="30"/>
      <c r="N413" s="30"/>
      <c r="O413" s="30"/>
      <c r="P413" s="31"/>
      <c r="Q413" s="31"/>
      <c r="R413" s="6" t="s">
        <v>273</v>
      </c>
      <c r="S413" s="32">
        <v>96</v>
      </c>
      <c r="T413" s="35" t="s">
        <v>1028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913</v>
      </c>
      <c r="D414" s="29" t="s">
        <v>914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1029</v>
      </c>
      <c r="J414" s="30">
        <v>20000</v>
      </c>
      <c r="K414" s="15">
        <v>1750</v>
      </c>
      <c r="L414" s="15" t="s">
        <v>341</v>
      </c>
      <c r="M414" s="30"/>
      <c r="N414" s="30"/>
      <c r="O414" s="30"/>
      <c r="P414" s="31"/>
      <c r="Q414" s="31"/>
      <c r="R414" s="6" t="s">
        <v>273</v>
      </c>
      <c r="S414" s="32">
        <v>98</v>
      </c>
      <c r="T414" s="35" t="s">
        <v>1030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913</v>
      </c>
      <c r="D415" s="29" t="s">
        <v>914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1031</v>
      </c>
      <c r="J415" s="30">
        <v>20400</v>
      </c>
      <c r="K415" s="15">
        <v>1785</v>
      </c>
      <c r="L415" s="15" t="s">
        <v>341</v>
      </c>
      <c r="M415" s="30"/>
      <c r="N415" s="30"/>
      <c r="O415" s="30"/>
      <c r="P415" s="31"/>
      <c r="Q415" s="31"/>
      <c r="R415" s="6" t="s">
        <v>273</v>
      </c>
      <c r="S415" s="32">
        <v>100</v>
      </c>
      <c r="T415" s="35" t="s">
        <v>1032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913</v>
      </c>
      <c r="D416" s="29" t="s">
        <v>914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1033</v>
      </c>
      <c r="J416" s="30">
        <v>20800</v>
      </c>
      <c r="K416" s="15">
        <v>1820</v>
      </c>
      <c r="L416" s="15" t="s">
        <v>357</v>
      </c>
      <c r="M416" s="30"/>
      <c r="N416" s="30"/>
      <c r="O416" s="30"/>
      <c r="P416" s="31"/>
      <c r="Q416" s="31"/>
      <c r="R416" s="6" t="s">
        <v>273</v>
      </c>
      <c r="S416" s="32">
        <v>102</v>
      </c>
      <c r="T416" s="35" t="s">
        <v>1034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913</v>
      </c>
      <c r="D417" s="29" t="s">
        <v>914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1035</v>
      </c>
      <c r="J417" s="30">
        <v>21200</v>
      </c>
      <c r="K417" s="15">
        <v>1855</v>
      </c>
      <c r="L417" s="15" t="s">
        <v>357</v>
      </c>
      <c r="M417" s="30"/>
      <c r="N417" s="30"/>
      <c r="O417" s="30"/>
      <c r="P417" s="31"/>
      <c r="Q417" s="31"/>
      <c r="R417" s="6" t="s">
        <v>273</v>
      </c>
      <c r="S417" s="32">
        <v>104</v>
      </c>
      <c r="T417" s="35" t="s">
        <v>1036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913</v>
      </c>
      <c r="D418" s="29" t="s">
        <v>914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1037</v>
      </c>
      <c r="J418" s="30">
        <v>21600</v>
      </c>
      <c r="K418" s="15">
        <v>1890</v>
      </c>
      <c r="L418" s="15" t="s">
        <v>357</v>
      </c>
      <c r="M418" s="30"/>
      <c r="N418" s="30"/>
      <c r="O418" s="30"/>
      <c r="P418" s="31"/>
      <c r="Q418" s="31"/>
      <c r="R418" s="6" t="s">
        <v>273</v>
      </c>
      <c r="S418" s="32">
        <v>106</v>
      </c>
      <c r="T418" s="35" t="s">
        <v>1038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913</v>
      </c>
      <c r="D419" s="29" t="s">
        <v>914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1039</v>
      </c>
      <c r="J419" s="30">
        <v>22000</v>
      </c>
      <c r="K419" s="15">
        <v>1925</v>
      </c>
      <c r="L419" s="15" t="s">
        <v>365</v>
      </c>
      <c r="M419" s="30"/>
      <c r="N419" s="30"/>
      <c r="O419" s="30"/>
      <c r="P419" s="31"/>
      <c r="Q419" s="31"/>
      <c r="R419" s="6" t="s">
        <v>273</v>
      </c>
      <c r="S419" s="32">
        <v>108</v>
      </c>
      <c r="T419" s="35" t="s">
        <v>1040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913</v>
      </c>
      <c r="D420" s="29" t="s">
        <v>914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1041</v>
      </c>
      <c r="J420" s="30">
        <v>22400</v>
      </c>
      <c r="K420" s="15">
        <v>1960</v>
      </c>
      <c r="L420" s="15" t="s">
        <v>365</v>
      </c>
      <c r="M420" s="30"/>
      <c r="N420" s="30"/>
      <c r="O420" s="30"/>
      <c r="P420" s="31"/>
      <c r="Q420" s="31"/>
      <c r="R420" s="6" t="s">
        <v>273</v>
      </c>
      <c r="S420" s="32">
        <v>110</v>
      </c>
      <c r="T420" s="35" t="s">
        <v>1042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913</v>
      </c>
      <c r="D421" s="29" t="s">
        <v>914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1043</v>
      </c>
      <c r="J421" s="30">
        <v>22800</v>
      </c>
      <c r="K421" s="15">
        <v>1995</v>
      </c>
      <c r="L421" s="15" t="s">
        <v>365</v>
      </c>
      <c r="M421" s="30"/>
      <c r="N421" s="30"/>
      <c r="O421" s="30"/>
      <c r="P421" s="31"/>
      <c r="Q421" s="31"/>
      <c r="R421" s="6" t="s">
        <v>273</v>
      </c>
      <c r="S421" s="32">
        <v>112</v>
      </c>
      <c r="T421" s="35" t="s">
        <v>1044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913</v>
      </c>
      <c r="D422" s="29" t="s">
        <v>914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1045</v>
      </c>
      <c r="J422" s="30">
        <v>23200</v>
      </c>
      <c r="K422" s="15">
        <v>2030</v>
      </c>
      <c r="L422" s="15" t="s">
        <v>372</v>
      </c>
      <c r="M422" s="30"/>
      <c r="N422" s="30"/>
      <c r="O422" s="30"/>
      <c r="P422" s="31"/>
      <c r="Q422" s="31"/>
      <c r="R422" s="6" t="s">
        <v>273</v>
      </c>
      <c r="S422" s="32">
        <v>114</v>
      </c>
      <c r="T422" s="13" t="s">
        <v>1046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913</v>
      </c>
      <c r="D423" s="29" t="s">
        <v>914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1047</v>
      </c>
      <c r="J423" s="30">
        <v>23600</v>
      </c>
      <c r="K423" s="15">
        <v>2065</v>
      </c>
      <c r="L423" s="15" t="s">
        <v>372</v>
      </c>
      <c r="M423" s="30"/>
      <c r="N423" s="30"/>
      <c r="O423" s="30"/>
      <c r="P423" s="31"/>
      <c r="Q423" s="31"/>
      <c r="R423" s="6" t="s">
        <v>273</v>
      </c>
      <c r="S423" s="32">
        <v>116</v>
      </c>
      <c r="T423" s="13" t="s">
        <v>1048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913</v>
      </c>
      <c r="D424" s="29" t="s">
        <v>914</v>
      </c>
      <c r="E424" s="25">
        <v>30</v>
      </c>
      <c r="F424" s="29">
        <v>60</v>
      </c>
      <c r="G424" s="29">
        <v>12</v>
      </c>
      <c r="H424" s="29"/>
      <c r="I424" s="29" t="s">
        <v>1049</v>
      </c>
      <c r="J424" s="30">
        <v>24000</v>
      </c>
      <c r="K424" s="15">
        <v>2100</v>
      </c>
      <c r="L424" s="15" t="s">
        <v>372</v>
      </c>
      <c r="M424" s="30"/>
      <c r="N424" s="30"/>
      <c r="O424" s="30"/>
      <c r="P424" s="31"/>
      <c r="Q424" s="31"/>
      <c r="R424" s="6" t="s">
        <v>273</v>
      </c>
      <c r="S424" s="32"/>
      <c r="T424" s="13" t="s">
        <v>1050</v>
      </c>
    </row>
    <row r="425" customHeight="1" spans="1:20">
      <c r="A425" s="25">
        <f t="shared" si="22"/>
        <v>1108001</v>
      </c>
      <c r="B425" s="25">
        <v>1108</v>
      </c>
      <c r="C425" s="25" t="s">
        <v>1051</v>
      </c>
      <c r="D425" s="25" t="s">
        <v>1052</v>
      </c>
      <c r="E425" s="25">
        <v>35</v>
      </c>
      <c r="F425" s="25">
        <v>1</v>
      </c>
      <c r="G425" s="25">
        <v>5</v>
      </c>
      <c r="H425" s="25" t="s">
        <v>1053</v>
      </c>
      <c r="I425" s="25" t="s">
        <v>1054</v>
      </c>
      <c r="J425" s="15">
        <v>1000</v>
      </c>
      <c r="K425" s="15">
        <v>65</v>
      </c>
      <c r="L425" s="15" t="s">
        <v>410</v>
      </c>
      <c r="M425" s="15"/>
      <c r="N425" s="15"/>
      <c r="O425" s="15"/>
      <c r="P425" s="14" t="s">
        <v>1055</v>
      </c>
      <c r="Q425" s="14" t="s">
        <v>1056</v>
      </c>
      <c r="R425" s="5" t="s">
        <v>1057</v>
      </c>
      <c r="S425" s="27">
        <v>2</v>
      </c>
      <c r="T425" s="28" t="s">
        <v>1058</v>
      </c>
    </row>
    <row r="426" customHeight="1" spans="1:20">
      <c r="A426" s="25">
        <f t="shared" si="22"/>
        <v>1108002</v>
      </c>
      <c r="B426" s="25">
        <v>1108</v>
      </c>
      <c r="C426" s="25" t="s">
        <v>1051</v>
      </c>
      <c r="D426" s="25" t="s">
        <v>1052</v>
      </c>
      <c r="E426" s="25">
        <v>35</v>
      </c>
      <c r="F426" s="25">
        <v>2</v>
      </c>
      <c r="G426" s="25">
        <v>8</v>
      </c>
      <c r="H426" s="25" t="s">
        <v>1059</v>
      </c>
      <c r="I426" s="25" t="s">
        <v>1060</v>
      </c>
      <c r="J426" s="15">
        <v>2000</v>
      </c>
      <c r="K426" s="15">
        <v>130</v>
      </c>
      <c r="L426" s="15" t="s">
        <v>410</v>
      </c>
      <c r="M426" s="15"/>
      <c r="N426" s="15"/>
      <c r="O426" s="15"/>
      <c r="P426" s="14" t="s">
        <v>1061</v>
      </c>
      <c r="Q426" s="14" t="s">
        <v>1062</v>
      </c>
      <c r="R426" s="5">
        <v>1108263</v>
      </c>
      <c r="S426" s="27">
        <v>4</v>
      </c>
      <c r="T426" s="28" t="s">
        <v>1063</v>
      </c>
    </row>
    <row r="427" customHeight="1" spans="1:20">
      <c r="A427" s="25">
        <f t="shared" si="22"/>
        <v>1108003</v>
      </c>
      <c r="B427" s="25">
        <v>1108</v>
      </c>
      <c r="C427" s="25" t="s">
        <v>1051</v>
      </c>
      <c r="D427" s="25" t="s">
        <v>1052</v>
      </c>
      <c r="E427" s="25">
        <v>35</v>
      </c>
      <c r="F427" s="25">
        <v>3</v>
      </c>
      <c r="G427" s="25">
        <v>10</v>
      </c>
      <c r="H427" s="25" t="s">
        <v>1064</v>
      </c>
      <c r="I427" s="25" t="s">
        <v>1065</v>
      </c>
      <c r="J427" s="15">
        <v>3000</v>
      </c>
      <c r="K427" s="15">
        <v>195</v>
      </c>
      <c r="L427" s="15" t="s">
        <v>410</v>
      </c>
      <c r="M427" s="15"/>
      <c r="N427" s="15"/>
      <c r="O427" s="15"/>
      <c r="P427" s="14" t="s">
        <v>1066</v>
      </c>
      <c r="Q427" s="14" t="s">
        <v>1067</v>
      </c>
      <c r="R427" s="5">
        <v>1108255</v>
      </c>
      <c r="S427" s="27">
        <v>8</v>
      </c>
      <c r="T427" s="28" t="s">
        <v>1068</v>
      </c>
    </row>
    <row r="428" customHeight="1" spans="1:20">
      <c r="A428" s="25">
        <f t="shared" si="22"/>
        <v>1108004</v>
      </c>
      <c r="B428" s="25">
        <v>1108</v>
      </c>
      <c r="C428" s="25" t="s">
        <v>1051</v>
      </c>
      <c r="D428" s="25" t="s">
        <v>1052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1069</v>
      </c>
      <c r="J428" s="15">
        <v>4000</v>
      </c>
      <c r="K428" s="15">
        <v>260</v>
      </c>
      <c r="L428" s="15" t="s">
        <v>418</v>
      </c>
      <c r="M428" s="15"/>
      <c r="N428" s="15"/>
      <c r="O428" s="15"/>
      <c r="R428" s="5">
        <v>1108264</v>
      </c>
      <c r="S428" s="27">
        <v>12</v>
      </c>
      <c r="T428" s="28" t="s">
        <v>1070</v>
      </c>
    </row>
    <row r="429" customHeight="1" spans="1:20">
      <c r="A429" s="25">
        <f t="shared" si="22"/>
        <v>1108005</v>
      </c>
      <c r="B429" s="25">
        <v>1108</v>
      </c>
      <c r="C429" s="25" t="s">
        <v>1051</v>
      </c>
      <c r="D429" s="25" t="s">
        <v>1052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1071</v>
      </c>
      <c r="J429" s="15">
        <v>5000</v>
      </c>
      <c r="K429" s="15">
        <v>325</v>
      </c>
      <c r="L429" s="15" t="s">
        <v>418</v>
      </c>
      <c r="M429" s="15" t="s">
        <v>1072</v>
      </c>
      <c r="N429" s="15">
        <v>10</v>
      </c>
      <c r="O429" s="15"/>
      <c r="R429" s="5">
        <v>1108253</v>
      </c>
      <c r="S429" s="27">
        <v>16</v>
      </c>
      <c r="T429" s="28" t="s">
        <v>1073</v>
      </c>
    </row>
    <row r="430" customHeight="1" spans="1:20">
      <c r="A430" s="25">
        <f t="shared" si="22"/>
        <v>1108006</v>
      </c>
      <c r="B430" s="25">
        <v>1108</v>
      </c>
      <c r="C430" s="25" t="s">
        <v>1051</v>
      </c>
      <c r="D430" s="25" t="s">
        <v>1052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1074</v>
      </c>
      <c r="J430" s="15">
        <v>6000</v>
      </c>
      <c r="K430" s="15">
        <v>390</v>
      </c>
      <c r="L430" s="15" t="s">
        <v>418</v>
      </c>
      <c r="M430" s="15"/>
      <c r="N430" s="15"/>
      <c r="O430" s="15"/>
      <c r="R430" s="5">
        <v>1108254</v>
      </c>
      <c r="S430" s="27">
        <v>20</v>
      </c>
      <c r="T430" s="28" t="s">
        <v>1075</v>
      </c>
    </row>
    <row r="431" customHeight="1" spans="1:20">
      <c r="A431" s="25">
        <f t="shared" si="22"/>
        <v>1108007</v>
      </c>
      <c r="B431" s="25">
        <v>1108</v>
      </c>
      <c r="C431" s="25" t="s">
        <v>1051</v>
      </c>
      <c r="D431" s="25" t="s">
        <v>1052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1076</v>
      </c>
      <c r="J431" s="15">
        <v>7000</v>
      </c>
      <c r="K431" s="15">
        <v>455</v>
      </c>
      <c r="L431" s="15" t="s">
        <v>426</v>
      </c>
      <c r="M431" s="15"/>
      <c r="N431" s="15"/>
      <c r="O431" s="15"/>
      <c r="R431" s="5">
        <v>1108257</v>
      </c>
      <c r="S431" s="27">
        <v>24</v>
      </c>
      <c r="T431" s="28" t="s">
        <v>1077</v>
      </c>
    </row>
    <row r="432" customHeight="1" spans="1:20">
      <c r="A432" s="25">
        <f t="shared" si="22"/>
        <v>1108008</v>
      </c>
      <c r="B432" s="25">
        <v>1108</v>
      </c>
      <c r="C432" s="25" t="s">
        <v>1051</v>
      </c>
      <c r="D432" s="25" t="s">
        <v>1052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1078</v>
      </c>
      <c r="J432" s="15">
        <v>8000</v>
      </c>
      <c r="K432" s="15">
        <v>520</v>
      </c>
      <c r="L432" s="15" t="s">
        <v>426</v>
      </c>
      <c r="M432" s="15"/>
      <c r="N432" s="15"/>
      <c r="O432" s="15"/>
      <c r="R432" s="5">
        <v>1108256</v>
      </c>
      <c r="S432" s="27">
        <v>28</v>
      </c>
      <c r="T432" s="28" t="s">
        <v>1079</v>
      </c>
    </row>
    <row r="433" customHeight="1" spans="1:20">
      <c r="A433" s="25">
        <f t="shared" si="22"/>
        <v>1108009</v>
      </c>
      <c r="B433" s="25">
        <v>1108</v>
      </c>
      <c r="C433" s="25" t="s">
        <v>1051</v>
      </c>
      <c r="D433" s="25" t="s">
        <v>1052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1080</v>
      </c>
      <c r="J433" s="15">
        <v>9000</v>
      </c>
      <c r="K433" s="15">
        <v>585</v>
      </c>
      <c r="L433" s="15" t="s">
        <v>426</v>
      </c>
      <c r="M433" s="15"/>
      <c r="N433" s="15"/>
      <c r="O433" s="15"/>
      <c r="R433" s="5">
        <v>1108258</v>
      </c>
      <c r="S433" s="27">
        <v>32</v>
      </c>
      <c r="T433" s="28" t="s">
        <v>1081</v>
      </c>
    </row>
    <row r="434" customHeight="1" spans="1:20">
      <c r="A434" s="25">
        <f t="shared" si="22"/>
        <v>1108010</v>
      </c>
      <c r="B434" s="25">
        <v>1108</v>
      </c>
      <c r="C434" s="25" t="s">
        <v>1051</v>
      </c>
      <c r="D434" s="25" t="s">
        <v>1052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1082</v>
      </c>
      <c r="J434" s="15">
        <v>10000</v>
      </c>
      <c r="K434" s="15">
        <v>650</v>
      </c>
      <c r="L434" s="15" t="s">
        <v>433</v>
      </c>
      <c r="M434" s="15" t="s">
        <v>1083</v>
      </c>
      <c r="N434" s="15">
        <v>20</v>
      </c>
      <c r="O434" s="15"/>
      <c r="R434" s="5">
        <v>1108259</v>
      </c>
      <c r="S434" s="27">
        <v>36</v>
      </c>
      <c r="T434" s="28" t="s">
        <v>1084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1051</v>
      </c>
      <c r="D435" s="25" t="s">
        <v>1052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1085</v>
      </c>
      <c r="J435" s="15">
        <v>11000</v>
      </c>
      <c r="K435" s="15">
        <v>715</v>
      </c>
      <c r="L435" s="15" t="s">
        <v>433</v>
      </c>
      <c r="M435" s="15"/>
      <c r="N435" s="15"/>
      <c r="O435" s="15"/>
      <c r="R435" s="5">
        <v>1108260</v>
      </c>
      <c r="S435" s="27">
        <v>40</v>
      </c>
      <c r="T435" s="28" t="s">
        <v>1086</v>
      </c>
    </row>
    <row r="436" customHeight="1" spans="1:20">
      <c r="A436" s="25">
        <f t="shared" si="24"/>
        <v>1108012</v>
      </c>
      <c r="B436" s="25">
        <v>1108</v>
      </c>
      <c r="C436" s="25" t="s">
        <v>1051</v>
      </c>
      <c r="D436" s="25" t="s">
        <v>1052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1087</v>
      </c>
      <c r="J436" s="15">
        <v>12000</v>
      </c>
      <c r="K436" s="15">
        <v>780</v>
      </c>
      <c r="L436" s="15" t="s">
        <v>433</v>
      </c>
      <c r="M436" s="15"/>
      <c r="N436" s="15"/>
      <c r="O436" s="15"/>
      <c r="S436" s="27">
        <v>44</v>
      </c>
      <c r="T436" s="28" t="s">
        <v>1088</v>
      </c>
    </row>
    <row r="437" customHeight="1" spans="1:20">
      <c r="A437" s="25">
        <f t="shared" si="24"/>
        <v>1108013</v>
      </c>
      <c r="B437" s="25">
        <v>1108</v>
      </c>
      <c r="C437" s="25" t="s">
        <v>1051</v>
      </c>
      <c r="D437" s="25" t="s">
        <v>1052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1089</v>
      </c>
      <c r="J437" s="15">
        <v>13000</v>
      </c>
      <c r="K437" s="15">
        <v>845</v>
      </c>
      <c r="L437" s="15" t="s">
        <v>440</v>
      </c>
      <c r="M437" s="15"/>
      <c r="N437" s="15"/>
      <c r="O437" s="15"/>
      <c r="R437" s="5">
        <v>1108251</v>
      </c>
      <c r="S437" s="27">
        <v>48</v>
      </c>
      <c r="T437" s="28" t="s">
        <v>1090</v>
      </c>
    </row>
    <row r="438" customHeight="1" spans="1:20">
      <c r="A438" s="25">
        <f t="shared" si="24"/>
        <v>1108014</v>
      </c>
      <c r="B438" s="25">
        <v>1108</v>
      </c>
      <c r="C438" s="25" t="s">
        <v>1051</v>
      </c>
      <c r="D438" s="25" t="s">
        <v>1052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1091</v>
      </c>
      <c r="J438" s="15">
        <v>14000</v>
      </c>
      <c r="K438" s="15">
        <v>910</v>
      </c>
      <c r="L438" s="15" t="s">
        <v>440</v>
      </c>
      <c r="M438" s="15"/>
      <c r="N438" s="15"/>
      <c r="O438" s="15"/>
      <c r="R438" s="5">
        <v>1108265</v>
      </c>
      <c r="S438" s="27">
        <v>52</v>
      </c>
      <c r="T438" s="28" t="s">
        <v>1092</v>
      </c>
    </row>
    <row r="439" customHeight="1" spans="1:20">
      <c r="A439" s="25">
        <f t="shared" si="24"/>
        <v>1108015</v>
      </c>
      <c r="B439" s="25">
        <v>1108</v>
      </c>
      <c r="C439" s="25" t="s">
        <v>1051</v>
      </c>
      <c r="D439" s="25" t="s">
        <v>1052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1093</v>
      </c>
      <c r="J439" s="15">
        <v>15000</v>
      </c>
      <c r="K439" s="15">
        <v>975</v>
      </c>
      <c r="L439" s="15" t="s">
        <v>440</v>
      </c>
      <c r="M439" s="15" t="s">
        <v>1094</v>
      </c>
      <c r="N439" s="15">
        <v>30</v>
      </c>
      <c r="O439" s="15"/>
      <c r="R439" s="5">
        <v>1108266</v>
      </c>
      <c r="S439" s="27">
        <v>56</v>
      </c>
      <c r="T439" s="28" t="s">
        <v>1095</v>
      </c>
    </row>
    <row r="440" customHeight="1" spans="1:20">
      <c r="A440" s="25">
        <f t="shared" si="24"/>
        <v>1108016</v>
      </c>
      <c r="B440" s="25">
        <v>1108</v>
      </c>
      <c r="C440" s="25" t="s">
        <v>1051</v>
      </c>
      <c r="D440" s="25" t="s">
        <v>1052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1096</v>
      </c>
      <c r="J440" s="15">
        <v>16000</v>
      </c>
      <c r="K440" s="15">
        <v>1040</v>
      </c>
      <c r="L440" s="15" t="s">
        <v>447</v>
      </c>
      <c r="M440" s="15"/>
      <c r="N440" s="15"/>
      <c r="O440" s="15"/>
      <c r="R440" s="5">
        <v>1108267</v>
      </c>
      <c r="S440" s="27">
        <v>60</v>
      </c>
      <c r="T440" s="28" t="s">
        <v>1097</v>
      </c>
    </row>
    <row r="441" customHeight="1" spans="1:20">
      <c r="A441" s="25">
        <f t="shared" si="24"/>
        <v>1108017</v>
      </c>
      <c r="B441" s="25">
        <v>1108</v>
      </c>
      <c r="C441" s="25" t="s">
        <v>1051</v>
      </c>
      <c r="D441" s="25" t="s">
        <v>1052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1098</v>
      </c>
      <c r="J441" s="15">
        <v>17000</v>
      </c>
      <c r="K441" s="15">
        <v>1105</v>
      </c>
      <c r="L441" s="15" t="s">
        <v>447</v>
      </c>
      <c r="M441" s="15"/>
      <c r="N441" s="15"/>
      <c r="O441" s="15"/>
      <c r="S441" s="27">
        <v>64</v>
      </c>
      <c r="T441" s="28" t="s">
        <v>1099</v>
      </c>
    </row>
    <row r="442" customHeight="1" spans="1:20">
      <c r="A442" s="25">
        <f t="shared" si="24"/>
        <v>1108018</v>
      </c>
      <c r="B442" s="25">
        <v>1108</v>
      </c>
      <c r="C442" s="25" t="s">
        <v>1051</v>
      </c>
      <c r="D442" s="25" t="s">
        <v>1052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1100</v>
      </c>
      <c r="J442" s="15">
        <v>18000</v>
      </c>
      <c r="K442" s="15">
        <v>1170</v>
      </c>
      <c r="L442" s="15" t="s">
        <v>447</v>
      </c>
      <c r="M442" s="15"/>
      <c r="N442" s="15"/>
      <c r="O442" s="15"/>
      <c r="S442" s="27">
        <v>68</v>
      </c>
      <c r="T442" s="28" t="s">
        <v>1101</v>
      </c>
    </row>
    <row r="443" customHeight="1" spans="1:20">
      <c r="A443" s="25">
        <f t="shared" si="24"/>
        <v>1108019</v>
      </c>
      <c r="B443" s="25">
        <v>1108</v>
      </c>
      <c r="C443" s="25" t="s">
        <v>1051</v>
      </c>
      <c r="D443" s="25" t="s">
        <v>1052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1102</v>
      </c>
      <c r="J443" s="15">
        <v>19000</v>
      </c>
      <c r="K443" s="15">
        <v>1235</v>
      </c>
      <c r="L443" s="15" t="s">
        <v>454</v>
      </c>
      <c r="M443" s="15"/>
      <c r="N443" s="15"/>
      <c r="O443" s="15"/>
      <c r="S443" s="27">
        <v>72</v>
      </c>
      <c r="T443" s="28" t="s">
        <v>1103</v>
      </c>
    </row>
    <row r="444" customHeight="1" spans="1:20">
      <c r="A444" s="25">
        <f t="shared" si="24"/>
        <v>1108020</v>
      </c>
      <c r="B444" s="25">
        <v>1108</v>
      </c>
      <c r="C444" s="25" t="s">
        <v>1051</v>
      </c>
      <c r="D444" s="25" t="s">
        <v>1052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1104</v>
      </c>
      <c r="J444" s="15">
        <v>20000</v>
      </c>
      <c r="K444" s="15">
        <v>1300</v>
      </c>
      <c r="L444" s="15" t="s">
        <v>454</v>
      </c>
      <c r="M444" s="15" t="s">
        <v>1105</v>
      </c>
      <c r="N444" s="15">
        <v>40</v>
      </c>
      <c r="O444" s="15"/>
      <c r="S444" s="27">
        <v>76</v>
      </c>
      <c r="T444" s="28" t="s">
        <v>1106</v>
      </c>
    </row>
    <row r="445" customHeight="1" spans="1:20">
      <c r="A445" s="25">
        <f t="shared" si="24"/>
        <v>1108021</v>
      </c>
      <c r="B445" s="25">
        <v>1108</v>
      </c>
      <c r="C445" s="25" t="s">
        <v>1051</v>
      </c>
      <c r="D445" s="25" t="s">
        <v>1052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1107</v>
      </c>
      <c r="J445" s="15">
        <v>21000</v>
      </c>
      <c r="K445" s="15">
        <v>1365</v>
      </c>
      <c r="L445" s="15" t="s">
        <v>454</v>
      </c>
      <c r="M445" s="15"/>
      <c r="N445" s="15"/>
      <c r="O445" s="15"/>
      <c r="S445" s="27">
        <v>80</v>
      </c>
      <c r="T445" s="28" t="s">
        <v>1108</v>
      </c>
    </row>
    <row r="446" customHeight="1" spans="1:20">
      <c r="A446" s="25">
        <f t="shared" si="24"/>
        <v>1108022</v>
      </c>
      <c r="B446" s="25">
        <v>1108</v>
      </c>
      <c r="C446" s="25" t="s">
        <v>1051</v>
      </c>
      <c r="D446" s="25" t="s">
        <v>1052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1109</v>
      </c>
      <c r="J446" s="15">
        <v>22000</v>
      </c>
      <c r="K446" s="15">
        <v>1430</v>
      </c>
      <c r="L446" s="15" t="s">
        <v>461</v>
      </c>
      <c r="M446" s="15"/>
      <c r="N446" s="15"/>
      <c r="O446" s="15"/>
      <c r="S446" s="27">
        <v>84</v>
      </c>
      <c r="T446" s="28" t="s">
        <v>1110</v>
      </c>
    </row>
    <row r="447" customHeight="1" spans="1:20">
      <c r="A447" s="25">
        <f t="shared" si="24"/>
        <v>1108023</v>
      </c>
      <c r="B447" s="25">
        <v>1108</v>
      </c>
      <c r="C447" s="25" t="s">
        <v>1051</v>
      </c>
      <c r="D447" s="25" t="s">
        <v>1052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1111</v>
      </c>
      <c r="J447" s="15">
        <v>23000</v>
      </c>
      <c r="K447" s="15">
        <v>1495</v>
      </c>
      <c r="L447" s="15" t="s">
        <v>461</v>
      </c>
      <c r="M447" s="15"/>
      <c r="N447" s="15"/>
      <c r="O447" s="15"/>
      <c r="S447" s="27">
        <v>88</v>
      </c>
      <c r="T447" s="28" t="s">
        <v>1112</v>
      </c>
    </row>
    <row r="448" customHeight="1" spans="1:20">
      <c r="A448" s="25">
        <f t="shared" si="24"/>
        <v>1108024</v>
      </c>
      <c r="B448" s="25">
        <v>1108</v>
      </c>
      <c r="C448" s="25" t="s">
        <v>1051</v>
      </c>
      <c r="D448" s="25" t="s">
        <v>1052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1113</v>
      </c>
      <c r="J448" s="15">
        <v>24000</v>
      </c>
      <c r="K448" s="15">
        <v>1560</v>
      </c>
      <c r="L448" s="15" t="s">
        <v>461</v>
      </c>
      <c r="M448" s="15"/>
      <c r="N448" s="15"/>
      <c r="O448" s="15"/>
      <c r="S448" s="27">
        <v>92</v>
      </c>
      <c r="T448" s="28" t="s">
        <v>1114</v>
      </c>
    </row>
    <row r="449" customHeight="1" spans="1:20">
      <c r="A449" s="25">
        <f t="shared" si="24"/>
        <v>1108025</v>
      </c>
      <c r="B449" s="25">
        <v>1108</v>
      </c>
      <c r="C449" s="25" t="s">
        <v>1051</v>
      </c>
      <c r="D449" s="25" t="s">
        <v>1052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1115</v>
      </c>
      <c r="J449" s="15">
        <v>25000</v>
      </c>
      <c r="K449" s="15">
        <v>1625</v>
      </c>
      <c r="L449" s="15" t="s">
        <v>468</v>
      </c>
      <c r="M449" s="15" t="s">
        <v>1116</v>
      </c>
      <c r="N449" s="15">
        <v>50</v>
      </c>
      <c r="O449" s="15"/>
      <c r="S449" s="27">
        <v>96</v>
      </c>
      <c r="T449" s="28" t="s">
        <v>1117</v>
      </c>
    </row>
    <row r="450" customHeight="1" spans="1:20">
      <c r="A450" s="25">
        <f t="shared" si="24"/>
        <v>1108026</v>
      </c>
      <c r="B450" s="25">
        <v>1108</v>
      </c>
      <c r="C450" s="25" t="s">
        <v>1051</v>
      </c>
      <c r="D450" s="25" t="s">
        <v>1052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1118</v>
      </c>
      <c r="J450" s="15">
        <v>26000</v>
      </c>
      <c r="K450" s="15">
        <v>1690</v>
      </c>
      <c r="L450" s="15" t="s">
        <v>468</v>
      </c>
      <c r="M450" s="15"/>
      <c r="N450" s="15"/>
      <c r="O450" s="15"/>
      <c r="R450" s="5" t="s">
        <v>273</v>
      </c>
      <c r="S450" s="27">
        <v>100</v>
      </c>
      <c r="T450" s="28" t="s">
        <v>1119</v>
      </c>
    </row>
    <row r="451" customHeight="1" spans="1:20">
      <c r="A451" s="25">
        <f t="shared" si="24"/>
        <v>1108027</v>
      </c>
      <c r="B451" s="25">
        <v>1108</v>
      </c>
      <c r="C451" s="25" t="s">
        <v>1051</v>
      </c>
      <c r="D451" s="25" t="s">
        <v>1052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1120</v>
      </c>
      <c r="J451" s="15">
        <v>27000</v>
      </c>
      <c r="K451" s="15">
        <v>1755</v>
      </c>
      <c r="L451" s="15" t="s">
        <v>468</v>
      </c>
      <c r="M451" s="15"/>
      <c r="N451" s="15"/>
      <c r="O451" s="15"/>
      <c r="R451" s="5" t="s">
        <v>273</v>
      </c>
      <c r="S451" s="27">
        <v>104</v>
      </c>
      <c r="T451" s="28" t="s">
        <v>1121</v>
      </c>
    </row>
    <row r="452" customHeight="1" spans="1:20">
      <c r="A452" s="25">
        <f t="shared" si="24"/>
        <v>1108028</v>
      </c>
      <c r="B452" s="25">
        <v>1108</v>
      </c>
      <c r="C452" s="25" t="s">
        <v>1051</v>
      </c>
      <c r="D452" s="25" t="s">
        <v>1052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1122</v>
      </c>
      <c r="J452" s="15">
        <v>28000</v>
      </c>
      <c r="K452" s="15">
        <v>1820</v>
      </c>
      <c r="L452" s="15" t="s">
        <v>475</v>
      </c>
      <c r="M452" s="15"/>
      <c r="N452" s="15"/>
      <c r="O452" s="15"/>
      <c r="R452" s="5" t="s">
        <v>273</v>
      </c>
      <c r="S452" s="27">
        <v>108</v>
      </c>
      <c r="T452" s="28" t="s">
        <v>1123</v>
      </c>
    </row>
    <row r="453" customHeight="1" spans="1:20">
      <c r="A453" s="25">
        <f t="shared" si="24"/>
        <v>1108029</v>
      </c>
      <c r="B453" s="25">
        <v>1108</v>
      </c>
      <c r="C453" s="25" t="s">
        <v>1051</v>
      </c>
      <c r="D453" s="25" t="s">
        <v>1052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1124</v>
      </c>
      <c r="J453" s="15">
        <v>29000</v>
      </c>
      <c r="K453" s="15">
        <v>1885</v>
      </c>
      <c r="L453" s="15" t="s">
        <v>475</v>
      </c>
      <c r="M453" s="15"/>
      <c r="N453" s="15"/>
      <c r="O453" s="15"/>
      <c r="R453" s="5" t="s">
        <v>273</v>
      </c>
      <c r="S453" s="27">
        <v>112</v>
      </c>
      <c r="T453" s="28" t="s">
        <v>1125</v>
      </c>
    </row>
    <row r="454" customHeight="1" spans="1:20">
      <c r="A454" s="25">
        <f t="shared" si="24"/>
        <v>1108030</v>
      </c>
      <c r="B454" s="25">
        <v>1108</v>
      </c>
      <c r="C454" s="25" t="s">
        <v>1051</v>
      </c>
      <c r="D454" s="25" t="s">
        <v>1052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1126</v>
      </c>
      <c r="J454" s="15">
        <v>30000</v>
      </c>
      <c r="K454" s="15">
        <v>1950</v>
      </c>
      <c r="L454" s="15" t="s">
        <v>475</v>
      </c>
      <c r="M454" s="15" t="s">
        <v>1127</v>
      </c>
      <c r="N454" s="15">
        <v>60</v>
      </c>
      <c r="O454" s="15"/>
      <c r="R454" s="5" t="s">
        <v>273</v>
      </c>
      <c r="S454" s="27">
        <v>116</v>
      </c>
      <c r="T454" s="28" t="s">
        <v>1128</v>
      </c>
    </row>
    <row r="455" customHeight="1" spans="1:20">
      <c r="A455" s="25">
        <f t="shared" si="24"/>
        <v>1108031</v>
      </c>
      <c r="B455" s="25">
        <v>1108</v>
      </c>
      <c r="C455" s="25" t="s">
        <v>1051</v>
      </c>
      <c r="D455" s="25" t="s">
        <v>1052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1129</v>
      </c>
      <c r="J455" s="15">
        <v>31000</v>
      </c>
      <c r="K455" s="15">
        <v>2015</v>
      </c>
      <c r="L455" s="15" t="s">
        <v>482</v>
      </c>
      <c r="M455" s="15"/>
      <c r="N455" s="15"/>
      <c r="O455" s="15"/>
      <c r="R455" s="5" t="s">
        <v>273</v>
      </c>
      <c r="S455" s="27">
        <v>120</v>
      </c>
      <c r="T455" s="28" t="s">
        <v>1130</v>
      </c>
    </row>
    <row r="456" customHeight="1" spans="1:20">
      <c r="A456" s="25">
        <f t="shared" si="24"/>
        <v>1108032</v>
      </c>
      <c r="B456" s="25">
        <v>1108</v>
      </c>
      <c r="C456" s="25" t="s">
        <v>1051</v>
      </c>
      <c r="D456" s="25" t="s">
        <v>1052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1131</v>
      </c>
      <c r="J456" s="15">
        <v>32000</v>
      </c>
      <c r="K456" s="15">
        <v>2080</v>
      </c>
      <c r="L456" s="15" t="s">
        <v>482</v>
      </c>
      <c r="M456" s="15"/>
      <c r="N456" s="15"/>
      <c r="O456" s="15"/>
      <c r="R456" s="5" t="s">
        <v>273</v>
      </c>
      <c r="S456" s="27">
        <v>124</v>
      </c>
      <c r="T456" s="28" t="s">
        <v>1132</v>
      </c>
    </row>
    <row r="457" customHeight="1" spans="1:20">
      <c r="A457" s="25">
        <f t="shared" si="24"/>
        <v>1108033</v>
      </c>
      <c r="B457" s="25">
        <v>1108</v>
      </c>
      <c r="C457" s="25" t="s">
        <v>1051</v>
      </c>
      <c r="D457" s="25" t="s">
        <v>1052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1133</v>
      </c>
      <c r="J457" s="15">
        <v>33000</v>
      </c>
      <c r="K457" s="15">
        <v>2145</v>
      </c>
      <c r="L457" s="15" t="s">
        <v>482</v>
      </c>
      <c r="M457" s="15"/>
      <c r="N457" s="15"/>
      <c r="O457" s="15"/>
      <c r="R457" s="5" t="s">
        <v>273</v>
      </c>
      <c r="S457" s="27">
        <v>128</v>
      </c>
      <c r="T457" s="28" t="s">
        <v>1134</v>
      </c>
    </row>
    <row r="458" customHeight="1" spans="1:20">
      <c r="A458" s="25">
        <f t="shared" si="24"/>
        <v>1108034</v>
      </c>
      <c r="B458" s="25">
        <v>1108</v>
      </c>
      <c r="C458" s="25" t="s">
        <v>1051</v>
      </c>
      <c r="D458" s="25" t="s">
        <v>1052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1135</v>
      </c>
      <c r="J458" s="15">
        <v>34000</v>
      </c>
      <c r="K458" s="15">
        <v>2210</v>
      </c>
      <c r="L458" s="15" t="s">
        <v>489</v>
      </c>
      <c r="M458" s="15"/>
      <c r="N458" s="15"/>
      <c r="O458" s="15"/>
      <c r="R458" s="5" t="s">
        <v>273</v>
      </c>
      <c r="S458" s="27">
        <v>132</v>
      </c>
      <c r="T458" s="28" t="s">
        <v>1136</v>
      </c>
    </row>
    <row r="459" customHeight="1" spans="1:20">
      <c r="A459" s="25">
        <f t="shared" si="24"/>
        <v>1108035</v>
      </c>
      <c r="B459" s="25">
        <v>1108</v>
      </c>
      <c r="C459" s="25" t="s">
        <v>1051</v>
      </c>
      <c r="D459" s="25" t="s">
        <v>1052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1137</v>
      </c>
      <c r="J459" s="15">
        <v>35000</v>
      </c>
      <c r="K459" s="15">
        <v>2275</v>
      </c>
      <c r="L459" s="15" t="s">
        <v>489</v>
      </c>
      <c r="M459" s="15"/>
      <c r="N459" s="15"/>
      <c r="O459" s="15"/>
      <c r="R459" s="5" t="s">
        <v>273</v>
      </c>
      <c r="S459" s="27">
        <v>136</v>
      </c>
      <c r="T459" s="28" t="s">
        <v>1138</v>
      </c>
    </row>
    <row r="460" customHeight="1" spans="1:20">
      <c r="A460" s="25">
        <f t="shared" si="24"/>
        <v>1108036</v>
      </c>
      <c r="B460" s="25">
        <v>1108</v>
      </c>
      <c r="C460" s="25" t="s">
        <v>1051</v>
      </c>
      <c r="D460" s="25" t="s">
        <v>1052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1139</v>
      </c>
      <c r="J460" s="15">
        <v>36000</v>
      </c>
      <c r="K460" s="15">
        <v>2340</v>
      </c>
      <c r="L460" s="15" t="s">
        <v>489</v>
      </c>
      <c r="M460" s="15"/>
      <c r="N460" s="15"/>
      <c r="O460" s="15"/>
      <c r="R460" s="5" t="s">
        <v>273</v>
      </c>
      <c r="S460" s="27">
        <v>140</v>
      </c>
      <c r="T460" s="28" t="s">
        <v>1140</v>
      </c>
    </row>
    <row r="461" customHeight="1" spans="1:20">
      <c r="A461" s="25">
        <f t="shared" si="24"/>
        <v>1108037</v>
      </c>
      <c r="B461" s="25">
        <v>1108</v>
      </c>
      <c r="C461" s="25" t="s">
        <v>1051</v>
      </c>
      <c r="D461" s="25" t="s">
        <v>1052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1141</v>
      </c>
      <c r="J461" s="15">
        <v>37000</v>
      </c>
      <c r="K461" s="15">
        <v>2405</v>
      </c>
      <c r="L461" s="15" t="s">
        <v>1142</v>
      </c>
      <c r="M461" s="15"/>
      <c r="N461" s="15"/>
      <c r="O461" s="15"/>
      <c r="R461" s="5" t="s">
        <v>273</v>
      </c>
      <c r="S461" s="27">
        <v>144</v>
      </c>
      <c r="T461" s="28" t="s">
        <v>1143</v>
      </c>
    </row>
    <row r="462" customHeight="1" spans="1:20">
      <c r="A462" s="25">
        <f t="shared" si="24"/>
        <v>1108038</v>
      </c>
      <c r="B462" s="25">
        <v>1108</v>
      </c>
      <c r="C462" s="25" t="s">
        <v>1051</v>
      </c>
      <c r="D462" s="25" t="s">
        <v>1052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1144</v>
      </c>
      <c r="J462" s="15">
        <v>38000</v>
      </c>
      <c r="K462" s="15">
        <v>2470</v>
      </c>
      <c r="L462" s="15" t="s">
        <v>1142</v>
      </c>
      <c r="M462" s="15"/>
      <c r="N462" s="15"/>
      <c r="O462" s="15"/>
      <c r="R462" s="5" t="s">
        <v>273</v>
      </c>
      <c r="S462" s="27">
        <v>148</v>
      </c>
      <c r="T462" s="28" t="s">
        <v>1145</v>
      </c>
    </row>
    <row r="463" customHeight="1" spans="1:20">
      <c r="A463" s="25">
        <f t="shared" si="24"/>
        <v>1108039</v>
      </c>
      <c r="B463" s="25">
        <v>1108</v>
      </c>
      <c r="C463" s="25" t="s">
        <v>1051</v>
      </c>
      <c r="D463" s="25" t="s">
        <v>1052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1146</v>
      </c>
      <c r="J463" s="15">
        <v>39000</v>
      </c>
      <c r="K463" s="15">
        <v>2535</v>
      </c>
      <c r="L463" s="15" t="s">
        <v>1142</v>
      </c>
      <c r="M463" s="15"/>
      <c r="N463" s="15"/>
      <c r="O463" s="15"/>
      <c r="R463" s="5" t="s">
        <v>273</v>
      </c>
      <c r="S463" s="27">
        <v>152</v>
      </c>
      <c r="T463" s="28" t="s">
        <v>1147</v>
      </c>
    </row>
    <row r="464" customHeight="1" spans="1:20">
      <c r="A464" s="25">
        <f t="shared" si="24"/>
        <v>1108040</v>
      </c>
      <c r="B464" s="25">
        <v>1108</v>
      </c>
      <c r="C464" s="25" t="s">
        <v>1051</v>
      </c>
      <c r="D464" s="25" t="s">
        <v>1052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1148</v>
      </c>
      <c r="J464" s="15">
        <v>40000</v>
      </c>
      <c r="K464" s="15">
        <v>2600</v>
      </c>
      <c r="L464" s="15" t="s">
        <v>1149</v>
      </c>
      <c r="M464" s="15"/>
      <c r="N464" s="15"/>
      <c r="O464" s="15"/>
      <c r="R464" s="5" t="s">
        <v>273</v>
      </c>
      <c r="S464" s="27">
        <v>156</v>
      </c>
      <c r="T464" s="28" t="s">
        <v>1150</v>
      </c>
    </row>
    <row r="465" customHeight="1" spans="1:20">
      <c r="A465" s="25">
        <f t="shared" si="24"/>
        <v>1108041</v>
      </c>
      <c r="B465" s="25">
        <v>1108</v>
      </c>
      <c r="C465" s="25" t="s">
        <v>1051</v>
      </c>
      <c r="D465" s="25" t="s">
        <v>1052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1151</v>
      </c>
      <c r="J465" s="15">
        <v>41000</v>
      </c>
      <c r="K465" s="15">
        <v>2665</v>
      </c>
      <c r="L465" s="15" t="s">
        <v>1149</v>
      </c>
      <c r="M465" s="15"/>
      <c r="N465" s="15"/>
      <c r="O465" s="15"/>
      <c r="R465" s="5" t="s">
        <v>273</v>
      </c>
      <c r="S465" s="27">
        <v>160</v>
      </c>
      <c r="T465" s="28" t="s">
        <v>1152</v>
      </c>
    </row>
    <row r="466" customHeight="1" spans="1:20">
      <c r="A466" s="25">
        <f t="shared" si="24"/>
        <v>1108042</v>
      </c>
      <c r="B466" s="25">
        <v>1108</v>
      </c>
      <c r="C466" s="25" t="s">
        <v>1051</v>
      </c>
      <c r="D466" s="25" t="s">
        <v>1052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1153</v>
      </c>
      <c r="J466" s="15">
        <v>42000</v>
      </c>
      <c r="K466" s="15">
        <v>2730</v>
      </c>
      <c r="L466" s="15" t="s">
        <v>1149</v>
      </c>
      <c r="M466" s="15"/>
      <c r="N466" s="15"/>
      <c r="O466" s="15"/>
      <c r="R466" s="5" t="s">
        <v>273</v>
      </c>
      <c r="S466" s="27">
        <v>164</v>
      </c>
      <c r="T466" s="28" t="s">
        <v>1154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1051</v>
      </c>
      <c r="D467" s="25" t="s">
        <v>1052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1155</v>
      </c>
      <c r="J467" s="15">
        <v>43000</v>
      </c>
      <c r="K467" s="15">
        <v>2795</v>
      </c>
      <c r="L467" s="15" t="s">
        <v>1156</v>
      </c>
      <c r="M467" s="15"/>
      <c r="N467" s="15"/>
      <c r="O467" s="15"/>
      <c r="R467" s="5" t="s">
        <v>273</v>
      </c>
      <c r="S467" s="27">
        <v>168</v>
      </c>
      <c r="T467" s="28" t="s">
        <v>1157</v>
      </c>
    </row>
    <row r="468" customHeight="1" spans="1:20">
      <c r="A468" s="25">
        <f t="shared" si="25"/>
        <v>1108044</v>
      </c>
      <c r="B468" s="25">
        <v>1108</v>
      </c>
      <c r="C468" s="25" t="s">
        <v>1051</v>
      </c>
      <c r="D468" s="25" t="s">
        <v>1052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1158</v>
      </c>
      <c r="J468" s="15">
        <v>44000</v>
      </c>
      <c r="K468" s="15">
        <v>2860</v>
      </c>
      <c r="L468" s="15" t="s">
        <v>1156</v>
      </c>
      <c r="M468" s="15"/>
      <c r="N468" s="15"/>
      <c r="O468" s="15"/>
      <c r="R468" s="5" t="s">
        <v>273</v>
      </c>
      <c r="S468" s="27">
        <v>172</v>
      </c>
      <c r="T468" s="28" t="s">
        <v>1159</v>
      </c>
    </row>
    <row r="469" customHeight="1" spans="1:20">
      <c r="A469" s="25">
        <f t="shared" si="25"/>
        <v>1108045</v>
      </c>
      <c r="B469" s="25">
        <v>1108</v>
      </c>
      <c r="C469" s="25" t="s">
        <v>1051</v>
      </c>
      <c r="D469" s="25" t="s">
        <v>1052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1160</v>
      </c>
      <c r="J469" s="15">
        <v>45000</v>
      </c>
      <c r="K469" s="15">
        <v>2925</v>
      </c>
      <c r="L469" s="15" t="s">
        <v>1156</v>
      </c>
      <c r="M469" s="15"/>
      <c r="N469" s="15"/>
      <c r="O469" s="15"/>
      <c r="R469" s="5" t="s">
        <v>273</v>
      </c>
      <c r="S469" s="27">
        <v>176</v>
      </c>
      <c r="T469" s="28" t="s">
        <v>1161</v>
      </c>
    </row>
    <row r="470" customHeight="1" spans="1:20">
      <c r="A470" s="25">
        <f t="shared" si="25"/>
        <v>1108046</v>
      </c>
      <c r="B470" s="25">
        <v>1108</v>
      </c>
      <c r="C470" s="25" t="s">
        <v>1051</v>
      </c>
      <c r="D470" s="25" t="s">
        <v>1052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1162</v>
      </c>
      <c r="J470" s="15">
        <v>46000</v>
      </c>
      <c r="K470" s="15">
        <v>2990</v>
      </c>
      <c r="L470" s="15" t="s">
        <v>1163</v>
      </c>
      <c r="M470" s="15"/>
      <c r="N470" s="15"/>
      <c r="O470" s="15"/>
      <c r="R470" s="5" t="s">
        <v>273</v>
      </c>
      <c r="S470" s="27">
        <v>180</v>
      </c>
      <c r="T470" s="28" t="s">
        <v>1164</v>
      </c>
    </row>
    <row r="471" customHeight="1" spans="1:20">
      <c r="A471" s="25">
        <f t="shared" si="25"/>
        <v>1108047</v>
      </c>
      <c r="B471" s="25">
        <v>1108</v>
      </c>
      <c r="C471" s="25" t="s">
        <v>1051</v>
      </c>
      <c r="D471" s="25" t="s">
        <v>1052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1165</v>
      </c>
      <c r="J471" s="15">
        <v>47000</v>
      </c>
      <c r="K471" s="15">
        <v>3055</v>
      </c>
      <c r="L471" s="15" t="s">
        <v>1163</v>
      </c>
      <c r="M471" s="15"/>
      <c r="N471" s="15"/>
      <c r="O471" s="15"/>
      <c r="R471" s="5" t="s">
        <v>273</v>
      </c>
      <c r="S471" s="27">
        <v>184</v>
      </c>
      <c r="T471" s="28" t="s">
        <v>1166</v>
      </c>
    </row>
    <row r="472" customHeight="1" spans="1:20">
      <c r="A472" s="25">
        <f t="shared" si="25"/>
        <v>1108048</v>
      </c>
      <c r="B472" s="25">
        <v>1108</v>
      </c>
      <c r="C472" s="25" t="s">
        <v>1051</v>
      </c>
      <c r="D472" s="25" t="s">
        <v>1052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1167</v>
      </c>
      <c r="J472" s="15">
        <v>48000</v>
      </c>
      <c r="K472" s="15">
        <v>3120</v>
      </c>
      <c r="L472" s="15" t="s">
        <v>1163</v>
      </c>
      <c r="M472" s="15"/>
      <c r="N472" s="15"/>
      <c r="O472" s="15"/>
      <c r="R472" s="5" t="s">
        <v>273</v>
      </c>
      <c r="S472" s="27">
        <v>188</v>
      </c>
      <c r="T472" s="28" t="s">
        <v>1168</v>
      </c>
    </row>
    <row r="473" customHeight="1" spans="1:20">
      <c r="A473" s="25">
        <f t="shared" si="25"/>
        <v>1108049</v>
      </c>
      <c r="B473" s="25">
        <v>1108</v>
      </c>
      <c r="C473" s="25" t="s">
        <v>1051</v>
      </c>
      <c r="D473" s="25" t="s">
        <v>1052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1169</v>
      </c>
      <c r="J473" s="15">
        <v>49000</v>
      </c>
      <c r="K473" s="15">
        <v>3185</v>
      </c>
      <c r="L473" s="15" t="s">
        <v>1170</v>
      </c>
      <c r="M473" s="15"/>
      <c r="N473" s="15"/>
      <c r="O473" s="15"/>
      <c r="R473" s="5" t="s">
        <v>273</v>
      </c>
      <c r="S473" s="27">
        <v>192</v>
      </c>
      <c r="T473" s="28" t="s">
        <v>1171</v>
      </c>
    </row>
    <row r="474" customHeight="1" spans="1:20">
      <c r="A474" s="25">
        <f t="shared" si="25"/>
        <v>1108050</v>
      </c>
      <c r="B474" s="25">
        <v>1108</v>
      </c>
      <c r="C474" s="25" t="s">
        <v>1051</v>
      </c>
      <c r="D474" s="25" t="s">
        <v>1052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1172</v>
      </c>
      <c r="J474" s="15">
        <v>50000</v>
      </c>
      <c r="K474" s="15">
        <v>3250</v>
      </c>
      <c r="L474" s="15" t="s">
        <v>1170</v>
      </c>
      <c r="M474" s="15"/>
      <c r="N474" s="15"/>
      <c r="O474" s="15"/>
      <c r="R474" s="5" t="s">
        <v>273</v>
      </c>
      <c r="S474" s="27">
        <v>196</v>
      </c>
      <c r="T474" s="28" t="s">
        <v>1173</v>
      </c>
    </row>
    <row r="475" customHeight="1" spans="1:20">
      <c r="A475" s="25">
        <f t="shared" si="25"/>
        <v>1108051</v>
      </c>
      <c r="B475" s="25">
        <v>1108</v>
      </c>
      <c r="C475" s="25" t="s">
        <v>1051</v>
      </c>
      <c r="D475" s="25" t="s">
        <v>1052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1174</v>
      </c>
      <c r="J475" s="15">
        <v>51000</v>
      </c>
      <c r="K475" s="15">
        <v>3315</v>
      </c>
      <c r="L475" s="15" t="s">
        <v>1170</v>
      </c>
      <c r="M475" s="15"/>
      <c r="N475" s="15"/>
      <c r="O475" s="15"/>
      <c r="R475" s="5" t="s">
        <v>273</v>
      </c>
      <c r="S475" s="27">
        <v>200</v>
      </c>
      <c r="T475" s="28" t="s">
        <v>1175</v>
      </c>
    </row>
    <row r="476" customHeight="1" spans="1:20">
      <c r="A476" s="25">
        <f t="shared" si="25"/>
        <v>1108052</v>
      </c>
      <c r="B476" s="25">
        <v>1108</v>
      </c>
      <c r="C476" s="25" t="s">
        <v>1051</v>
      </c>
      <c r="D476" s="25" t="s">
        <v>1052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1176</v>
      </c>
      <c r="J476" s="15">
        <v>52000</v>
      </c>
      <c r="K476" s="15">
        <v>3380</v>
      </c>
      <c r="L476" s="15" t="s">
        <v>1177</v>
      </c>
      <c r="M476" s="15"/>
      <c r="N476" s="15"/>
      <c r="O476" s="15"/>
      <c r="R476" s="5" t="s">
        <v>273</v>
      </c>
      <c r="S476" s="27">
        <v>204</v>
      </c>
      <c r="T476" s="28" t="s">
        <v>1178</v>
      </c>
    </row>
    <row r="477" customHeight="1" spans="1:20">
      <c r="A477" s="25">
        <f t="shared" si="25"/>
        <v>1108053</v>
      </c>
      <c r="B477" s="25">
        <v>1108</v>
      </c>
      <c r="C477" s="25" t="s">
        <v>1051</v>
      </c>
      <c r="D477" s="25" t="s">
        <v>1052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1179</v>
      </c>
      <c r="J477" s="15">
        <v>53000</v>
      </c>
      <c r="K477" s="15">
        <v>3445</v>
      </c>
      <c r="L477" s="15" t="s">
        <v>1177</v>
      </c>
      <c r="M477" s="15"/>
      <c r="N477" s="15"/>
      <c r="O477" s="15"/>
      <c r="R477" s="5" t="s">
        <v>273</v>
      </c>
      <c r="S477" s="27">
        <v>208</v>
      </c>
      <c r="T477" s="28" t="s">
        <v>1180</v>
      </c>
    </row>
    <row r="478" customHeight="1" spans="1:20">
      <c r="A478" s="25">
        <f t="shared" si="25"/>
        <v>1108054</v>
      </c>
      <c r="B478" s="25">
        <v>1108</v>
      </c>
      <c r="C478" s="25" t="s">
        <v>1051</v>
      </c>
      <c r="D478" s="25" t="s">
        <v>1052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1181</v>
      </c>
      <c r="J478" s="15">
        <v>54000</v>
      </c>
      <c r="K478" s="15">
        <v>3510</v>
      </c>
      <c r="L478" s="15" t="s">
        <v>1177</v>
      </c>
      <c r="M478" s="15"/>
      <c r="N478" s="15"/>
      <c r="O478" s="15"/>
      <c r="R478" s="5" t="s">
        <v>273</v>
      </c>
      <c r="S478" s="27">
        <v>212</v>
      </c>
      <c r="T478" s="28" t="s">
        <v>1182</v>
      </c>
    </row>
    <row r="479" customHeight="1" spans="1:20">
      <c r="A479" s="25">
        <f t="shared" si="25"/>
        <v>1108055</v>
      </c>
      <c r="B479" s="25">
        <v>1108</v>
      </c>
      <c r="C479" s="25" t="s">
        <v>1051</v>
      </c>
      <c r="D479" s="25" t="s">
        <v>1052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1183</v>
      </c>
      <c r="J479" s="15">
        <v>55000</v>
      </c>
      <c r="K479" s="15">
        <v>3575</v>
      </c>
      <c r="L479" s="15" t="s">
        <v>1184</v>
      </c>
      <c r="M479" s="15"/>
      <c r="N479" s="15"/>
      <c r="O479" s="15"/>
      <c r="R479" s="5" t="s">
        <v>273</v>
      </c>
      <c r="S479" s="27">
        <v>216</v>
      </c>
      <c r="T479" s="28" t="s">
        <v>1185</v>
      </c>
    </row>
    <row r="480" customHeight="1" spans="1:20">
      <c r="A480" s="25">
        <f t="shared" si="25"/>
        <v>1108056</v>
      </c>
      <c r="B480" s="25">
        <v>1108</v>
      </c>
      <c r="C480" s="25" t="s">
        <v>1051</v>
      </c>
      <c r="D480" s="25" t="s">
        <v>1052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1186</v>
      </c>
      <c r="J480" s="15">
        <v>56000</v>
      </c>
      <c r="K480" s="15">
        <v>3640</v>
      </c>
      <c r="L480" s="15" t="s">
        <v>1184</v>
      </c>
      <c r="M480" s="15"/>
      <c r="N480" s="15"/>
      <c r="O480" s="15"/>
      <c r="R480" s="5" t="s">
        <v>273</v>
      </c>
      <c r="S480" s="27">
        <v>220</v>
      </c>
      <c r="T480" s="28" t="s">
        <v>1187</v>
      </c>
    </row>
    <row r="481" customHeight="1" spans="1:20">
      <c r="A481" s="25">
        <f t="shared" si="25"/>
        <v>1108057</v>
      </c>
      <c r="B481" s="25">
        <v>1108</v>
      </c>
      <c r="C481" s="25" t="s">
        <v>1051</v>
      </c>
      <c r="D481" s="25" t="s">
        <v>1052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1188</v>
      </c>
      <c r="J481" s="15">
        <v>57000</v>
      </c>
      <c r="K481" s="15">
        <v>3705</v>
      </c>
      <c r="L481" s="15" t="s">
        <v>1184</v>
      </c>
      <c r="M481" s="15"/>
      <c r="N481" s="15"/>
      <c r="O481" s="15"/>
      <c r="R481" s="5" t="s">
        <v>273</v>
      </c>
      <c r="S481" s="27">
        <v>224</v>
      </c>
      <c r="T481" s="28" t="s">
        <v>1189</v>
      </c>
    </row>
    <row r="482" customHeight="1" spans="1:20">
      <c r="A482" s="25">
        <f t="shared" si="25"/>
        <v>1108058</v>
      </c>
      <c r="B482" s="25">
        <v>1108</v>
      </c>
      <c r="C482" s="25" t="s">
        <v>1051</v>
      </c>
      <c r="D482" s="25" t="s">
        <v>1052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1190</v>
      </c>
      <c r="J482" s="15">
        <v>58000</v>
      </c>
      <c r="K482" s="15">
        <v>3770</v>
      </c>
      <c r="L482" s="15" t="s">
        <v>1191</v>
      </c>
      <c r="M482" s="15"/>
      <c r="N482" s="15"/>
      <c r="O482" s="15"/>
      <c r="R482" s="5" t="s">
        <v>273</v>
      </c>
      <c r="S482" s="27">
        <v>228</v>
      </c>
      <c r="T482" s="28" t="s">
        <v>1192</v>
      </c>
    </row>
    <row r="483" customHeight="1" spans="1:20">
      <c r="A483" s="25">
        <f t="shared" si="25"/>
        <v>1108059</v>
      </c>
      <c r="B483" s="25">
        <v>1108</v>
      </c>
      <c r="C483" s="25" t="s">
        <v>1051</v>
      </c>
      <c r="D483" s="25" t="s">
        <v>1052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1193</v>
      </c>
      <c r="J483" s="15">
        <v>59000</v>
      </c>
      <c r="K483" s="15">
        <v>3835</v>
      </c>
      <c r="L483" s="15" t="s">
        <v>1191</v>
      </c>
      <c r="M483" s="15"/>
      <c r="N483" s="15"/>
      <c r="O483" s="15"/>
      <c r="R483" s="5" t="s">
        <v>273</v>
      </c>
      <c r="S483" s="27">
        <v>232</v>
      </c>
      <c r="T483" s="28" t="s">
        <v>1194</v>
      </c>
    </row>
    <row r="484" customHeight="1" spans="1:20">
      <c r="A484" s="25">
        <f t="shared" si="25"/>
        <v>1108060</v>
      </c>
      <c r="B484" s="25">
        <v>1108</v>
      </c>
      <c r="C484" s="25" t="s">
        <v>1051</v>
      </c>
      <c r="D484" s="25" t="s">
        <v>1052</v>
      </c>
      <c r="E484" s="25">
        <v>54</v>
      </c>
      <c r="F484" s="25">
        <v>60</v>
      </c>
      <c r="G484" s="25">
        <v>10</v>
      </c>
      <c r="H484" s="25"/>
      <c r="I484" s="25" t="s">
        <v>1195</v>
      </c>
      <c r="J484" s="15">
        <v>60000</v>
      </c>
      <c r="K484" s="15">
        <v>3900</v>
      </c>
      <c r="L484" s="15" t="s">
        <v>1191</v>
      </c>
      <c r="M484" s="15"/>
      <c r="N484" s="15"/>
      <c r="O484" s="15"/>
      <c r="R484" s="5" t="s">
        <v>273</v>
      </c>
      <c r="S484" s="27"/>
      <c r="T484" s="28" t="s">
        <v>1196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1197</v>
      </c>
      <c r="D485" s="29" t="s">
        <v>1198</v>
      </c>
      <c r="E485" s="25">
        <v>31</v>
      </c>
      <c r="F485" s="29">
        <v>1</v>
      </c>
      <c r="G485" s="29">
        <v>5</v>
      </c>
      <c r="H485" s="29" t="s">
        <v>1199</v>
      </c>
      <c r="I485" s="29" t="s">
        <v>1200</v>
      </c>
      <c r="J485" s="30">
        <v>900</v>
      </c>
      <c r="K485" s="15">
        <v>60</v>
      </c>
      <c r="L485" s="15" t="s">
        <v>380</v>
      </c>
      <c r="M485" s="30"/>
      <c r="N485" s="30"/>
      <c r="O485" s="30"/>
      <c r="P485" s="6" t="s">
        <v>1201</v>
      </c>
      <c r="Q485" s="6" t="s">
        <v>1202</v>
      </c>
      <c r="R485" s="6" t="s">
        <v>1203</v>
      </c>
      <c r="S485" s="32">
        <v>2</v>
      </c>
      <c r="T485" s="35" t="s">
        <v>1204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1197</v>
      </c>
      <c r="D486" s="29" t="s">
        <v>1198</v>
      </c>
      <c r="E486" s="25">
        <v>31</v>
      </c>
      <c r="F486" s="29">
        <v>2</v>
      </c>
      <c r="G486" s="29">
        <v>8</v>
      </c>
      <c r="H486" s="29" t="s">
        <v>1205</v>
      </c>
      <c r="I486" s="29" t="s">
        <v>1206</v>
      </c>
      <c r="J486" s="30">
        <v>1800</v>
      </c>
      <c r="K486" s="15">
        <v>120</v>
      </c>
      <c r="L486" s="15" t="s">
        <v>380</v>
      </c>
      <c r="M486" s="30"/>
      <c r="N486" s="30"/>
      <c r="O486" s="30"/>
      <c r="P486" s="6" t="s">
        <v>1207</v>
      </c>
      <c r="Q486" s="6" t="s">
        <v>1208</v>
      </c>
      <c r="R486" s="6">
        <v>1109263</v>
      </c>
      <c r="S486" s="32">
        <v>4</v>
      </c>
      <c r="T486" s="35" t="s">
        <v>1209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1197</v>
      </c>
      <c r="D487" s="29" t="s">
        <v>1198</v>
      </c>
      <c r="E487" s="25">
        <v>31</v>
      </c>
      <c r="F487" s="29">
        <v>3</v>
      </c>
      <c r="G487" s="29">
        <v>10</v>
      </c>
      <c r="H487" s="29" t="s">
        <v>1210</v>
      </c>
      <c r="I487" s="29" t="s">
        <v>1211</v>
      </c>
      <c r="J487" s="30">
        <v>2700</v>
      </c>
      <c r="K487" s="15">
        <v>180</v>
      </c>
      <c r="L487" s="15" t="s">
        <v>380</v>
      </c>
      <c r="M487" s="30"/>
      <c r="N487" s="30"/>
      <c r="O487" s="30"/>
      <c r="P487" s="6" t="s">
        <v>1212</v>
      </c>
      <c r="Q487" s="6" t="s">
        <v>1213</v>
      </c>
      <c r="R487" s="6">
        <v>1109255</v>
      </c>
      <c r="S487" s="32">
        <v>8</v>
      </c>
      <c r="T487" s="35" t="s">
        <v>1214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1197</v>
      </c>
      <c r="D488" s="29" t="s">
        <v>1198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1215</v>
      </c>
      <c r="J488" s="30">
        <v>3600</v>
      </c>
      <c r="K488" s="15">
        <v>240</v>
      </c>
      <c r="L488" s="15" t="s">
        <v>388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1216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1197</v>
      </c>
      <c r="D489" s="29" t="s">
        <v>1198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1217</v>
      </c>
      <c r="J489" s="30">
        <v>4500</v>
      </c>
      <c r="K489" s="15">
        <v>300</v>
      </c>
      <c r="L489" s="15" t="s">
        <v>388</v>
      </c>
      <c r="M489" s="30" t="s">
        <v>1218</v>
      </c>
      <c r="N489" s="30">
        <v>10</v>
      </c>
      <c r="O489" s="30"/>
      <c r="R489" s="6">
        <v>1109253</v>
      </c>
      <c r="S489" s="32">
        <v>16</v>
      </c>
      <c r="T489" s="35" t="s">
        <v>1219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1197</v>
      </c>
      <c r="D490" s="29" t="s">
        <v>1198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1220</v>
      </c>
      <c r="J490" s="30">
        <v>5400</v>
      </c>
      <c r="K490" s="15">
        <v>360</v>
      </c>
      <c r="L490" s="15" t="s">
        <v>388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1221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1197</v>
      </c>
      <c r="D491" s="29" t="s">
        <v>1198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1222</v>
      </c>
      <c r="J491" s="30">
        <v>6300</v>
      </c>
      <c r="K491" s="15">
        <v>420</v>
      </c>
      <c r="L491" s="15" t="s">
        <v>395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1223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1197</v>
      </c>
      <c r="D492" s="29" t="s">
        <v>1198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1224</v>
      </c>
      <c r="J492" s="30">
        <v>7200</v>
      </c>
      <c r="K492" s="15">
        <v>480</v>
      </c>
      <c r="L492" s="15" t="s">
        <v>395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1225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1197</v>
      </c>
      <c r="D493" s="29" t="s">
        <v>1198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1226</v>
      </c>
      <c r="J493" s="30">
        <v>8100</v>
      </c>
      <c r="K493" s="15">
        <v>540</v>
      </c>
      <c r="L493" s="15" t="s">
        <v>395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1227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1197</v>
      </c>
      <c r="D494" s="29" t="s">
        <v>1198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1228</v>
      </c>
      <c r="J494" s="30">
        <v>9000</v>
      </c>
      <c r="K494" s="15">
        <v>600</v>
      </c>
      <c r="L494" s="15" t="s">
        <v>403</v>
      </c>
      <c r="M494" s="30" t="s">
        <v>1229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1230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1197</v>
      </c>
      <c r="D495" s="29" t="s">
        <v>1198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1231</v>
      </c>
      <c r="J495" s="30">
        <v>9900</v>
      </c>
      <c r="K495" s="15">
        <v>660</v>
      </c>
      <c r="L495" s="15" t="s">
        <v>403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1232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1197</v>
      </c>
      <c r="D496" s="29" t="s">
        <v>1198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1233</v>
      </c>
      <c r="J496" s="30">
        <v>10800</v>
      </c>
      <c r="K496" s="15">
        <v>720</v>
      </c>
      <c r="L496" s="15" t="s">
        <v>403</v>
      </c>
      <c r="M496" s="30"/>
      <c r="N496" s="30"/>
      <c r="O496" s="30"/>
      <c r="P496" s="31"/>
      <c r="Q496" s="31"/>
      <c r="R496" s="6"/>
      <c r="S496" s="32">
        <v>44</v>
      </c>
      <c r="T496" s="35" t="s">
        <v>1234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1197</v>
      </c>
      <c r="D497" s="29" t="s">
        <v>1198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1235</v>
      </c>
      <c r="J497" s="30">
        <v>11700</v>
      </c>
      <c r="K497" s="15">
        <v>780</v>
      </c>
      <c r="L497" s="15" t="s">
        <v>410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1236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1197</v>
      </c>
      <c r="D498" s="29" t="s">
        <v>1198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1237</v>
      </c>
      <c r="J498" s="30">
        <v>12600</v>
      </c>
      <c r="K498" s="15">
        <v>840</v>
      </c>
      <c r="L498" s="15" t="s">
        <v>410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1238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1197</v>
      </c>
      <c r="D499" s="29" t="s">
        <v>1198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1239</v>
      </c>
      <c r="J499" s="30">
        <v>13500</v>
      </c>
      <c r="K499" s="15">
        <v>900</v>
      </c>
      <c r="L499" s="15" t="s">
        <v>410</v>
      </c>
      <c r="M499" s="30" t="s">
        <v>1240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1241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1197</v>
      </c>
      <c r="D500" s="29" t="s">
        <v>1198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1242</v>
      </c>
      <c r="J500" s="30">
        <v>14400</v>
      </c>
      <c r="K500" s="15">
        <v>960</v>
      </c>
      <c r="L500" s="15" t="s">
        <v>418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1243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1197</v>
      </c>
      <c r="D501" s="29" t="s">
        <v>1198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1244</v>
      </c>
      <c r="J501" s="30">
        <v>15300</v>
      </c>
      <c r="K501" s="15">
        <v>1020</v>
      </c>
      <c r="L501" s="15" t="s">
        <v>418</v>
      </c>
      <c r="M501" s="30"/>
      <c r="N501" s="30"/>
      <c r="O501" s="30"/>
      <c r="P501" s="31"/>
      <c r="Q501" s="31"/>
      <c r="R501" s="7"/>
      <c r="S501" s="32">
        <v>64</v>
      </c>
      <c r="T501" s="35" t="s">
        <v>1245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1197</v>
      </c>
      <c r="D502" s="29" t="s">
        <v>1198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1246</v>
      </c>
      <c r="J502" s="30">
        <v>16200</v>
      </c>
      <c r="K502" s="15">
        <v>1080</v>
      </c>
      <c r="L502" s="15" t="s">
        <v>418</v>
      </c>
      <c r="M502" s="30"/>
      <c r="N502" s="30"/>
      <c r="O502" s="30"/>
      <c r="P502" s="31"/>
      <c r="Q502" s="31"/>
      <c r="R502" s="7"/>
      <c r="S502" s="32">
        <v>68</v>
      </c>
      <c r="T502" s="35" t="s">
        <v>1247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1197</v>
      </c>
      <c r="D503" s="29" t="s">
        <v>1198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1248</v>
      </c>
      <c r="J503" s="30">
        <v>17100</v>
      </c>
      <c r="K503" s="15">
        <v>1140</v>
      </c>
      <c r="L503" s="15" t="s">
        <v>426</v>
      </c>
      <c r="M503" s="30"/>
      <c r="N503" s="30"/>
      <c r="O503" s="30"/>
      <c r="P503" s="31"/>
      <c r="Q503" s="31"/>
      <c r="R503" s="6"/>
      <c r="S503" s="32">
        <v>72</v>
      </c>
      <c r="T503" s="35" t="s">
        <v>1249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1197</v>
      </c>
      <c r="D504" s="29" t="s">
        <v>1198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1250</v>
      </c>
      <c r="J504" s="30">
        <v>18000</v>
      </c>
      <c r="K504" s="15">
        <v>1200</v>
      </c>
      <c r="L504" s="15" t="s">
        <v>426</v>
      </c>
      <c r="M504" s="30" t="s">
        <v>1251</v>
      </c>
      <c r="N504" s="30">
        <v>40</v>
      </c>
      <c r="O504" s="30"/>
      <c r="P504" s="31"/>
      <c r="Q504" s="31"/>
      <c r="R504" s="6"/>
      <c r="S504" s="32">
        <v>76</v>
      </c>
      <c r="T504" s="35" t="s">
        <v>1252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1197</v>
      </c>
      <c r="D505" s="29" t="s">
        <v>1198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1253</v>
      </c>
      <c r="J505" s="30">
        <v>18900</v>
      </c>
      <c r="K505" s="15">
        <v>1260</v>
      </c>
      <c r="L505" s="15" t="s">
        <v>426</v>
      </c>
      <c r="M505" s="30"/>
      <c r="N505" s="30"/>
      <c r="O505" s="30"/>
      <c r="P505" s="31"/>
      <c r="Q505" s="31"/>
      <c r="R505" s="6"/>
      <c r="S505" s="32">
        <v>80</v>
      </c>
      <c r="T505" s="35" t="s">
        <v>1254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1197</v>
      </c>
      <c r="D506" s="29" t="s">
        <v>1198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1255</v>
      </c>
      <c r="J506" s="30">
        <v>19800</v>
      </c>
      <c r="K506" s="15">
        <v>1320</v>
      </c>
      <c r="L506" s="15" t="s">
        <v>433</v>
      </c>
      <c r="M506" s="30"/>
      <c r="N506" s="30"/>
      <c r="O506" s="30"/>
      <c r="P506" s="31"/>
      <c r="Q506" s="31"/>
      <c r="R506" s="6"/>
      <c r="S506" s="32">
        <v>84</v>
      </c>
      <c r="T506" s="35" t="s">
        <v>1256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1197</v>
      </c>
      <c r="D507" s="29" t="s">
        <v>1198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1257</v>
      </c>
      <c r="J507" s="30">
        <v>20700</v>
      </c>
      <c r="K507" s="15">
        <v>1380</v>
      </c>
      <c r="L507" s="15" t="s">
        <v>433</v>
      </c>
      <c r="M507" s="30"/>
      <c r="N507" s="30"/>
      <c r="O507" s="30"/>
      <c r="P507" s="31"/>
      <c r="Q507" s="31"/>
      <c r="R507" s="6"/>
      <c r="S507" s="32">
        <v>88</v>
      </c>
      <c r="T507" s="35" t="s">
        <v>1258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1197</v>
      </c>
      <c r="D508" s="29" t="s">
        <v>1198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1259</v>
      </c>
      <c r="J508" s="30">
        <v>21600</v>
      </c>
      <c r="K508" s="15">
        <v>1440</v>
      </c>
      <c r="L508" s="15" t="s">
        <v>433</v>
      </c>
      <c r="M508" s="30"/>
      <c r="N508" s="30"/>
      <c r="O508" s="30"/>
      <c r="P508" s="31"/>
      <c r="Q508" s="31"/>
      <c r="R508" s="6"/>
      <c r="S508" s="32">
        <v>92</v>
      </c>
      <c r="T508" s="35" t="s">
        <v>1260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1197</v>
      </c>
      <c r="D509" s="29" t="s">
        <v>1198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1261</v>
      </c>
      <c r="J509" s="30">
        <v>22500</v>
      </c>
      <c r="K509" s="15">
        <v>1500</v>
      </c>
      <c r="L509" s="15" t="s">
        <v>440</v>
      </c>
      <c r="M509" s="30" t="s">
        <v>1262</v>
      </c>
      <c r="N509" s="30">
        <v>50</v>
      </c>
      <c r="O509" s="30"/>
      <c r="P509" s="31"/>
      <c r="Q509" s="31"/>
      <c r="R509" s="33"/>
      <c r="S509" s="32">
        <v>96</v>
      </c>
      <c r="T509" s="35" t="s">
        <v>1263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1197</v>
      </c>
      <c r="D510" s="29" t="s">
        <v>1198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1264</v>
      </c>
      <c r="J510" s="30">
        <v>23400</v>
      </c>
      <c r="K510" s="15">
        <v>1560</v>
      </c>
      <c r="L510" s="15" t="s">
        <v>440</v>
      </c>
      <c r="M510" s="30"/>
      <c r="N510" s="30"/>
      <c r="O510" s="30"/>
      <c r="P510" s="31"/>
      <c r="Q510" s="31"/>
      <c r="R510" s="33" t="s">
        <v>273</v>
      </c>
      <c r="S510" s="32">
        <v>100</v>
      </c>
      <c r="T510" s="35" t="s">
        <v>1265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1197</v>
      </c>
      <c r="D511" s="29" t="s">
        <v>1198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1266</v>
      </c>
      <c r="J511" s="30">
        <v>24300</v>
      </c>
      <c r="K511" s="15">
        <v>1620</v>
      </c>
      <c r="L511" s="15" t="s">
        <v>440</v>
      </c>
      <c r="M511" s="30"/>
      <c r="N511" s="30"/>
      <c r="O511" s="30"/>
      <c r="P511" s="31"/>
      <c r="Q511" s="31"/>
      <c r="R511" s="33" t="s">
        <v>273</v>
      </c>
      <c r="S511" s="32">
        <v>104</v>
      </c>
      <c r="T511" s="35" t="s">
        <v>1267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1197</v>
      </c>
      <c r="D512" s="29" t="s">
        <v>1198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1268</v>
      </c>
      <c r="J512" s="30">
        <v>25200</v>
      </c>
      <c r="K512" s="15">
        <v>1680</v>
      </c>
      <c r="L512" s="15" t="s">
        <v>447</v>
      </c>
      <c r="M512" s="30"/>
      <c r="N512" s="30"/>
      <c r="O512" s="30"/>
      <c r="P512" s="31"/>
      <c r="Q512" s="31"/>
      <c r="R512" s="33" t="s">
        <v>273</v>
      </c>
      <c r="S512" s="32">
        <v>108</v>
      </c>
      <c r="T512" s="35" t="s">
        <v>1269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1197</v>
      </c>
      <c r="D513" s="29" t="s">
        <v>1198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1270</v>
      </c>
      <c r="J513" s="30">
        <v>26100</v>
      </c>
      <c r="K513" s="15">
        <v>1740</v>
      </c>
      <c r="L513" s="15" t="s">
        <v>447</v>
      </c>
      <c r="M513" s="30"/>
      <c r="N513" s="30"/>
      <c r="O513" s="30"/>
      <c r="P513" s="31"/>
      <c r="Q513" s="31"/>
      <c r="R513" s="33" t="s">
        <v>273</v>
      </c>
      <c r="S513" s="32">
        <v>112</v>
      </c>
      <c r="T513" s="35" t="s">
        <v>1271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1197</v>
      </c>
      <c r="D514" s="29" t="s">
        <v>1198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1272</v>
      </c>
      <c r="J514" s="30">
        <v>27000</v>
      </c>
      <c r="K514" s="15">
        <v>1800</v>
      </c>
      <c r="L514" s="15" t="s">
        <v>447</v>
      </c>
      <c r="M514" s="30" t="s">
        <v>1273</v>
      </c>
      <c r="N514" s="30">
        <v>60</v>
      </c>
      <c r="O514" s="30"/>
      <c r="P514" s="31"/>
      <c r="Q514" s="31"/>
      <c r="R514" s="33" t="s">
        <v>273</v>
      </c>
      <c r="S514" s="32">
        <v>116</v>
      </c>
      <c r="T514" s="35" t="s">
        <v>1274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1197</v>
      </c>
      <c r="D515" s="29" t="s">
        <v>1198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1275</v>
      </c>
      <c r="J515" s="30">
        <v>27900</v>
      </c>
      <c r="K515" s="15">
        <v>1860</v>
      </c>
      <c r="L515" s="15" t="s">
        <v>454</v>
      </c>
      <c r="M515" s="30"/>
      <c r="N515" s="30"/>
      <c r="O515" s="30"/>
      <c r="P515" s="31"/>
      <c r="Q515" s="31"/>
      <c r="R515" s="33" t="s">
        <v>273</v>
      </c>
      <c r="S515" s="32">
        <v>120</v>
      </c>
      <c r="T515" s="35" t="s">
        <v>1276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1197</v>
      </c>
      <c r="D516" s="29" t="s">
        <v>1198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1277</v>
      </c>
      <c r="J516" s="30">
        <v>28800</v>
      </c>
      <c r="K516" s="15">
        <v>1920</v>
      </c>
      <c r="L516" s="15" t="s">
        <v>454</v>
      </c>
      <c r="M516" s="30"/>
      <c r="N516" s="30"/>
      <c r="O516" s="30"/>
      <c r="P516" s="31"/>
      <c r="Q516" s="31"/>
      <c r="R516" s="33" t="s">
        <v>273</v>
      </c>
      <c r="S516" s="32">
        <v>124</v>
      </c>
      <c r="T516" s="35" t="s">
        <v>1278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1197</v>
      </c>
      <c r="D517" s="29" t="s">
        <v>1198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1279</v>
      </c>
      <c r="J517" s="30">
        <v>29700</v>
      </c>
      <c r="K517" s="15">
        <v>1980</v>
      </c>
      <c r="L517" s="15" t="s">
        <v>454</v>
      </c>
      <c r="M517" s="30"/>
      <c r="N517" s="30"/>
      <c r="O517" s="30"/>
      <c r="P517" s="31"/>
      <c r="Q517" s="31"/>
      <c r="R517" s="33" t="s">
        <v>273</v>
      </c>
      <c r="S517" s="32">
        <v>128</v>
      </c>
      <c r="T517" s="35" t="s">
        <v>1280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1197</v>
      </c>
      <c r="D518" s="29" t="s">
        <v>1198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1281</v>
      </c>
      <c r="J518" s="30">
        <v>30600</v>
      </c>
      <c r="K518" s="15">
        <v>2040</v>
      </c>
      <c r="L518" s="15" t="s">
        <v>461</v>
      </c>
      <c r="M518" s="30"/>
      <c r="N518" s="30"/>
      <c r="O518" s="30"/>
      <c r="P518" s="31"/>
      <c r="Q518" s="31"/>
      <c r="R518" s="33" t="s">
        <v>273</v>
      </c>
      <c r="S518" s="32">
        <v>132</v>
      </c>
      <c r="T518" s="35" t="s">
        <v>1282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1197</v>
      </c>
      <c r="D519" s="29" t="s">
        <v>1198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1283</v>
      </c>
      <c r="J519" s="30">
        <v>31500</v>
      </c>
      <c r="K519" s="15">
        <v>2100</v>
      </c>
      <c r="L519" s="15" t="s">
        <v>461</v>
      </c>
      <c r="M519" s="30"/>
      <c r="N519" s="30"/>
      <c r="O519" s="30"/>
      <c r="P519" s="31"/>
      <c r="Q519" s="31"/>
      <c r="R519" s="33" t="s">
        <v>273</v>
      </c>
      <c r="S519" s="32">
        <v>136</v>
      </c>
      <c r="T519" s="35" t="s">
        <v>1284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1197</v>
      </c>
      <c r="D520" s="29" t="s">
        <v>1198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1285</v>
      </c>
      <c r="J520" s="30">
        <v>32400</v>
      </c>
      <c r="K520" s="15">
        <v>2160</v>
      </c>
      <c r="L520" s="15" t="s">
        <v>461</v>
      </c>
      <c r="M520" s="30"/>
      <c r="N520" s="30"/>
      <c r="O520" s="30"/>
      <c r="P520" s="31"/>
      <c r="Q520" s="31"/>
      <c r="R520" s="33" t="s">
        <v>273</v>
      </c>
      <c r="S520" s="32">
        <v>140</v>
      </c>
      <c r="T520" s="35" t="s">
        <v>1286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1197</v>
      </c>
      <c r="D521" s="29" t="s">
        <v>1198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1287</v>
      </c>
      <c r="J521" s="30">
        <v>33300</v>
      </c>
      <c r="K521" s="15">
        <v>2220</v>
      </c>
      <c r="L521" s="15" t="s">
        <v>468</v>
      </c>
      <c r="M521" s="30"/>
      <c r="N521" s="30"/>
      <c r="O521" s="30"/>
      <c r="P521" s="31"/>
      <c r="Q521" s="31"/>
      <c r="R521" s="33" t="s">
        <v>273</v>
      </c>
      <c r="S521" s="32">
        <v>144</v>
      </c>
      <c r="T521" s="35" t="s">
        <v>1288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1197</v>
      </c>
      <c r="D522" s="29" t="s">
        <v>1198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1289</v>
      </c>
      <c r="J522" s="30">
        <v>34200</v>
      </c>
      <c r="K522" s="15">
        <v>2280</v>
      </c>
      <c r="L522" s="15" t="s">
        <v>468</v>
      </c>
      <c r="M522" s="30"/>
      <c r="N522" s="30"/>
      <c r="O522" s="30"/>
      <c r="P522" s="31"/>
      <c r="Q522" s="31"/>
      <c r="R522" s="33" t="s">
        <v>273</v>
      </c>
      <c r="S522" s="32">
        <v>148</v>
      </c>
      <c r="T522" s="35" t="s">
        <v>1290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1197</v>
      </c>
      <c r="D523" s="29" t="s">
        <v>1198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1291</v>
      </c>
      <c r="J523" s="30">
        <v>35100</v>
      </c>
      <c r="K523" s="15">
        <v>2340</v>
      </c>
      <c r="L523" s="15" t="s">
        <v>468</v>
      </c>
      <c r="M523" s="30"/>
      <c r="N523" s="30"/>
      <c r="O523" s="30"/>
      <c r="P523" s="31"/>
      <c r="Q523" s="31"/>
      <c r="R523" s="33" t="s">
        <v>273</v>
      </c>
      <c r="S523" s="32">
        <v>152</v>
      </c>
      <c r="T523" s="35" t="s">
        <v>1292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1197</v>
      </c>
      <c r="D524" s="29" t="s">
        <v>1198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1293</v>
      </c>
      <c r="J524" s="30">
        <v>36000</v>
      </c>
      <c r="K524" s="15">
        <v>2400</v>
      </c>
      <c r="L524" s="15" t="s">
        <v>475</v>
      </c>
      <c r="M524" s="30"/>
      <c r="N524" s="30"/>
      <c r="O524" s="30"/>
      <c r="P524" s="31"/>
      <c r="Q524" s="31"/>
      <c r="R524" s="33" t="s">
        <v>273</v>
      </c>
      <c r="S524" s="32">
        <v>156</v>
      </c>
      <c r="T524" s="35" t="s">
        <v>1294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1197</v>
      </c>
      <c r="D525" s="29" t="s">
        <v>1198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1295</v>
      </c>
      <c r="J525" s="30">
        <v>36900</v>
      </c>
      <c r="K525" s="15">
        <v>2460</v>
      </c>
      <c r="L525" s="15" t="s">
        <v>475</v>
      </c>
      <c r="M525" s="30"/>
      <c r="N525" s="30"/>
      <c r="O525" s="30"/>
      <c r="P525" s="31"/>
      <c r="Q525" s="31"/>
      <c r="R525" s="33" t="s">
        <v>273</v>
      </c>
      <c r="S525" s="32">
        <v>160</v>
      </c>
      <c r="T525" s="35" t="s">
        <v>1296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1197</v>
      </c>
      <c r="D526" s="29" t="s">
        <v>1198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1297</v>
      </c>
      <c r="J526" s="30">
        <v>37800</v>
      </c>
      <c r="K526" s="15">
        <v>2520</v>
      </c>
      <c r="L526" s="15" t="s">
        <v>475</v>
      </c>
      <c r="M526" s="30"/>
      <c r="N526" s="30"/>
      <c r="O526" s="30"/>
      <c r="P526" s="31"/>
      <c r="Q526" s="31"/>
      <c r="R526" s="33" t="s">
        <v>273</v>
      </c>
      <c r="S526" s="32">
        <v>164</v>
      </c>
      <c r="T526" s="35" t="s">
        <v>1298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1197</v>
      </c>
      <c r="D527" s="29" t="s">
        <v>1198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1299</v>
      </c>
      <c r="J527" s="30">
        <v>38700</v>
      </c>
      <c r="K527" s="15">
        <v>2580</v>
      </c>
      <c r="L527" s="15" t="s">
        <v>482</v>
      </c>
      <c r="M527" s="30"/>
      <c r="N527" s="30"/>
      <c r="O527" s="30"/>
      <c r="P527" s="31"/>
      <c r="Q527" s="31"/>
      <c r="R527" s="6" t="s">
        <v>273</v>
      </c>
      <c r="S527" s="32">
        <v>168</v>
      </c>
      <c r="T527" s="35" t="s">
        <v>1300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1197</v>
      </c>
      <c r="D528" s="29" t="s">
        <v>1198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1301</v>
      </c>
      <c r="J528" s="30">
        <v>39600</v>
      </c>
      <c r="K528" s="15">
        <v>2640</v>
      </c>
      <c r="L528" s="15" t="s">
        <v>482</v>
      </c>
      <c r="M528" s="30"/>
      <c r="N528" s="30"/>
      <c r="O528" s="30"/>
      <c r="P528" s="31"/>
      <c r="Q528" s="31"/>
      <c r="R528" s="6" t="s">
        <v>273</v>
      </c>
      <c r="S528" s="32">
        <v>172</v>
      </c>
      <c r="T528" s="35" t="s">
        <v>1302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1197</v>
      </c>
      <c r="D529" s="29" t="s">
        <v>1198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1303</v>
      </c>
      <c r="J529" s="30">
        <v>40500</v>
      </c>
      <c r="K529" s="15">
        <v>2700</v>
      </c>
      <c r="L529" s="15" t="s">
        <v>482</v>
      </c>
      <c r="M529" s="30"/>
      <c r="N529" s="30"/>
      <c r="O529" s="30"/>
      <c r="P529" s="31"/>
      <c r="Q529" s="31"/>
      <c r="R529" s="6" t="s">
        <v>273</v>
      </c>
      <c r="S529" s="32">
        <v>176</v>
      </c>
      <c r="T529" s="35" t="s">
        <v>1304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1197</v>
      </c>
      <c r="D530" s="29" t="s">
        <v>1198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1305</v>
      </c>
      <c r="J530" s="30">
        <v>41400</v>
      </c>
      <c r="K530" s="15">
        <v>2760</v>
      </c>
      <c r="L530" s="15" t="s">
        <v>489</v>
      </c>
      <c r="M530" s="30"/>
      <c r="N530" s="30"/>
      <c r="O530" s="30"/>
      <c r="P530" s="31"/>
      <c r="Q530" s="31"/>
      <c r="R530" s="6" t="s">
        <v>273</v>
      </c>
      <c r="S530" s="32">
        <v>180</v>
      </c>
      <c r="T530" s="35" t="s">
        <v>1306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1197</v>
      </c>
      <c r="D531" s="29" t="s">
        <v>1198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1307</v>
      </c>
      <c r="J531" s="30">
        <v>42300</v>
      </c>
      <c r="K531" s="15">
        <v>2820</v>
      </c>
      <c r="L531" s="15" t="s">
        <v>489</v>
      </c>
      <c r="M531" s="30"/>
      <c r="N531" s="30"/>
      <c r="O531" s="30"/>
      <c r="P531" s="31"/>
      <c r="Q531" s="31"/>
      <c r="R531" s="6" t="s">
        <v>273</v>
      </c>
      <c r="S531" s="32">
        <v>184</v>
      </c>
      <c r="T531" s="35" t="s">
        <v>1308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1197</v>
      </c>
      <c r="D532" s="29" t="s">
        <v>1198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1309</v>
      </c>
      <c r="J532" s="30">
        <v>43200</v>
      </c>
      <c r="K532" s="15">
        <v>2880</v>
      </c>
      <c r="L532" s="15" t="s">
        <v>489</v>
      </c>
      <c r="M532" s="30"/>
      <c r="N532" s="30"/>
      <c r="O532" s="30"/>
      <c r="P532" s="31"/>
      <c r="Q532" s="31"/>
      <c r="R532" s="6" t="s">
        <v>273</v>
      </c>
      <c r="S532" s="32">
        <v>188</v>
      </c>
      <c r="T532" s="35" t="s">
        <v>1310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1197</v>
      </c>
      <c r="D533" s="29" t="s">
        <v>1198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1311</v>
      </c>
      <c r="J533" s="30">
        <v>44100</v>
      </c>
      <c r="K533" s="15">
        <v>2940</v>
      </c>
      <c r="L533" s="15" t="s">
        <v>1142</v>
      </c>
      <c r="M533" s="30"/>
      <c r="N533" s="30"/>
      <c r="O533" s="30"/>
      <c r="P533" s="31"/>
      <c r="Q533" s="31"/>
      <c r="R533" s="6" t="s">
        <v>273</v>
      </c>
      <c r="S533" s="32">
        <v>192</v>
      </c>
      <c r="T533" s="35" t="s">
        <v>1312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1197</v>
      </c>
      <c r="D534" s="29" t="s">
        <v>1198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1313</v>
      </c>
      <c r="J534" s="30">
        <v>45000</v>
      </c>
      <c r="K534" s="15">
        <v>3000</v>
      </c>
      <c r="L534" s="15" t="s">
        <v>1142</v>
      </c>
      <c r="M534" s="30"/>
      <c r="N534" s="30"/>
      <c r="O534" s="30"/>
      <c r="P534" s="31"/>
      <c r="Q534" s="31"/>
      <c r="R534" s="6" t="s">
        <v>273</v>
      </c>
      <c r="S534" s="32">
        <v>196</v>
      </c>
      <c r="T534" s="35" t="s">
        <v>1314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1197</v>
      </c>
      <c r="D535" s="29" t="s">
        <v>1198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1315</v>
      </c>
      <c r="J535" s="30">
        <v>45900</v>
      </c>
      <c r="K535" s="15">
        <v>3060</v>
      </c>
      <c r="L535" s="15" t="s">
        <v>1142</v>
      </c>
      <c r="M535" s="30"/>
      <c r="N535" s="30"/>
      <c r="O535" s="30"/>
      <c r="P535" s="31"/>
      <c r="Q535" s="31"/>
      <c r="R535" s="6" t="s">
        <v>273</v>
      </c>
      <c r="S535" s="32">
        <v>200</v>
      </c>
      <c r="T535" s="35" t="s">
        <v>1316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1197</v>
      </c>
      <c r="D536" s="29" t="s">
        <v>1198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1317</v>
      </c>
      <c r="J536" s="30">
        <v>46800</v>
      </c>
      <c r="K536" s="15">
        <v>3120</v>
      </c>
      <c r="L536" s="15" t="s">
        <v>1149</v>
      </c>
      <c r="M536" s="30"/>
      <c r="N536" s="30"/>
      <c r="O536" s="30"/>
      <c r="P536" s="31"/>
      <c r="Q536" s="31"/>
      <c r="R536" s="6" t="s">
        <v>273</v>
      </c>
      <c r="S536" s="32">
        <v>204</v>
      </c>
      <c r="T536" s="35" t="s">
        <v>1318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1197</v>
      </c>
      <c r="D537" s="29" t="s">
        <v>1198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1319</v>
      </c>
      <c r="J537" s="30">
        <v>47700</v>
      </c>
      <c r="K537" s="15">
        <v>3180</v>
      </c>
      <c r="L537" s="15" t="s">
        <v>1149</v>
      </c>
      <c r="M537" s="30"/>
      <c r="N537" s="30"/>
      <c r="O537" s="30"/>
      <c r="P537" s="31"/>
      <c r="Q537" s="31"/>
      <c r="R537" s="6" t="s">
        <v>273</v>
      </c>
      <c r="S537" s="32">
        <v>208</v>
      </c>
      <c r="T537" s="35" t="s">
        <v>1320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1197</v>
      </c>
      <c r="D538" s="29" t="s">
        <v>1198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1321</v>
      </c>
      <c r="J538" s="30">
        <v>48600</v>
      </c>
      <c r="K538" s="15">
        <v>3240</v>
      </c>
      <c r="L538" s="15" t="s">
        <v>1149</v>
      </c>
      <c r="M538" s="30"/>
      <c r="N538" s="30"/>
      <c r="O538" s="30"/>
      <c r="P538" s="31"/>
      <c r="Q538" s="31"/>
      <c r="R538" s="6" t="s">
        <v>273</v>
      </c>
      <c r="S538" s="32">
        <v>212</v>
      </c>
      <c r="T538" s="35" t="s">
        <v>1322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1197</v>
      </c>
      <c r="D539" s="29" t="s">
        <v>1198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1323</v>
      </c>
      <c r="J539" s="30">
        <v>49500</v>
      </c>
      <c r="K539" s="15">
        <v>3300</v>
      </c>
      <c r="L539" s="15" t="s">
        <v>1156</v>
      </c>
      <c r="M539" s="30"/>
      <c r="N539" s="30"/>
      <c r="O539" s="30"/>
      <c r="P539" s="31"/>
      <c r="Q539" s="31"/>
      <c r="R539" s="6" t="s">
        <v>273</v>
      </c>
      <c r="S539" s="32">
        <v>216</v>
      </c>
      <c r="T539" s="35" t="s">
        <v>1324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1197</v>
      </c>
      <c r="D540" s="29" t="s">
        <v>1198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1325</v>
      </c>
      <c r="J540" s="30">
        <v>50400</v>
      </c>
      <c r="K540" s="15">
        <v>3360</v>
      </c>
      <c r="L540" s="15" t="s">
        <v>1156</v>
      </c>
      <c r="M540" s="30"/>
      <c r="N540" s="30"/>
      <c r="O540" s="30"/>
      <c r="P540" s="31"/>
      <c r="Q540" s="31"/>
      <c r="R540" s="6" t="s">
        <v>273</v>
      </c>
      <c r="S540" s="32">
        <v>220</v>
      </c>
      <c r="T540" s="35" t="s">
        <v>1326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1197</v>
      </c>
      <c r="D541" s="29" t="s">
        <v>1198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1327</v>
      </c>
      <c r="J541" s="30">
        <v>51300</v>
      </c>
      <c r="K541" s="15">
        <v>3420</v>
      </c>
      <c r="L541" s="15" t="s">
        <v>1156</v>
      </c>
      <c r="M541" s="30"/>
      <c r="N541" s="30"/>
      <c r="O541" s="30"/>
      <c r="P541" s="31"/>
      <c r="Q541" s="31"/>
      <c r="R541" s="6" t="s">
        <v>273</v>
      </c>
      <c r="S541" s="32">
        <v>224</v>
      </c>
      <c r="T541" s="35" t="s">
        <v>1328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1197</v>
      </c>
      <c r="D542" s="29" t="s">
        <v>1198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1329</v>
      </c>
      <c r="J542" s="30">
        <v>52200</v>
      </c>
      <c r="K542" s="15">
        <v>3480</v>
      </c>
      <c r="L542" s="15" t="s">
        <v>1163</v>
      </c>
      <c r="M542" s="30"/>
      <c r="N542" s="30"/>
      <c r="O542" s="30"/>
      <c r="P542" s="31"/>
      <c r="Q542" s="31"/>
      <c r="R542" s="6" t="s">
        <v>273</v>
      </c>
      <c r="S542" s="32">
        <v>228</v>
      </c>
      <c r="T542" s="35" t="s">
        <v>1330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1197</v>
      </c>
      <c r="D543" s="29" t="s">
        <v>1198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1331</v>
      </c>
      <c r="J543" s="30">
        <v>53100</v>
      </c>
      <c r="K543" s="15">
        <v>3540</v>
      </c>
      <c r="L543" s="15" t="s">
        <v>1163</v>
      </c>
      <c r="M543" s="30"/>
      <c r="N543" s="30"/>
      <c r="O543" s="30"/>
      <c r="P543" s="31"/>
      <c r="Q543" s="31"/>
      <c r="R543" s="6" t="s">
        <v>273</v>
      </c>
      <c r="S543" s="32">
        <v>232</v>
      </c>
      <c r="T543" s="35" t="s">
        <v>1332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1197</v>
      </c>
      <c r="D544" s="29" t="s">
        <v>1198</v>
      </c>
      <c r="E544" s="25">
        <v>50</v>
      </c>
      <c r="F544" s="29">
        <v>60</v>
      </c>
      <c r="G544" s="29">
        <v>10</v>
      </c>
      <c r="H544" s="29"/>
      <c r="I544" s="29" t="s">
        <v>1333</v>
      </c>
      <c r="J544" s="30">
        <v>54000</v>
      </c>
      <c r="K544" s="15">
        <v>3600</v>
      </c>
      <c r="L544" s="15" t="s">
        <v>1163</v>
      </c>
      <c r="M544" s="30"/>
      <c r="N544" s="30"/>
      <c r="O544" s="30"/>
      <c r="P544" s="31"/>
      <c r="Q544" s="31"/>
      <c r="R544" s="6" t="s">
        <v>273</v>
      </c>
      <c r="S544" s="32"/>
      <c r="T544" s="35" t="s">
        <v>1334</v>
      </c>
    </row>
    <row r="545" customHeight="1" spans="1:20">
      <c r="A545" s="25">
        <f t="shared" si="28"/>
        <v>1110001</v>
      </c>
      <c r="B545" s="25">
        <v>1110</v>
      </c>
      <c r="C545" s="25" t="s">
        <v>1335</v>
      </c>
      <c r="D545" s="25" t="s">
        <v>1336</v>
      </c>
      <c r="E545" s="25">
        <v>7</v>
      </c>
      <c r="F545" s="25">
        <v>1</v>
      </c>
      <c r="G545" s="25">
        <v>5</v>
      </c>
      <c r="H545" s="25" t="s">
        <v>1337</v>
      </c>
      <c r="I545" s="25" t="s">
        <v>1338</v>
      </c>
      <c r="J545" s="15">
        <v>300</v>
      </c>
      <c r="K545" s="15">
        <v>30</v>
      </c>
      <c r="L545" s="15" t="s">
        <v>101</v>
      </c>
      <c r="M545" s="15"/>
      <c r="N545" s="15"/>
      <c r="O545" s="15"/>
      <c r="P545" s="5" t="s">
        <v>1339</v>
      </c>
      <c r="Q545" s="5" t="s">
        <v>1340</v>
      </c>
      <c r="R545" s="5" t="s">
        <v>1341</v>
      </c>
      <c r="S545" s="27">
        <v>1</v>
      </c>
      <c r="T545" s="28" t="s">
        <v>1342</v>
      </c>
    </row>
    <row r="546" customHeight="1" spans="1:20">
      <c r="A546" s="25">
        <f t="shared" si="28"/>
        <v>1110002</v>
      </c>
      <c r="B546" s="25">
        <v>1110</v>
      </c>
      <c r="C546" s="25" t="s">
        <v>1335</v>
      </c>
      <c r="D546" s="25" t="s">
        <v>1336</v>
      </c>
      <c r="E546" s="25">
        <v>7</v>
      </c>
      <c r="F546" s="25">
        <v>2</v>
      </c>
      <c r="G546" s="25">
        <v>8</v>
      </c>
      <c r="H546" s="25" t="s">
        <v>1343</v>
      </c>
      <c r="I546" s="25" t="s">
        <v>1344</v>
      </c>
      <c r="J546" s="15">
        <v>600</v>
      </c>
      <c r="K546" s="15">
        <v>60</v>
      </c>
      <c r="L546" s="15" t="s">
        <v>101</v>
      </c>
      <c r="M546" s="15"/>
      <c r="N546" s="15"/>
      <c r="O546" s="15"/>
      <c r="P546" s="5" t="s">
        <v>1345</v>
      </c>
      <c r="Q546" s="5" t="s">
        <v>1346</v>
      </c>
      <c r="R546" s="5">
        <v>1110255</v>
      </c>
      <c r="S546" s="27">
        <v>2</v>
      </c>
      <c r="T546" s="28" t="s">
        <v>1347</v>
      </c>
    </row>
    <row r="547" customHeight="1" spans="1:20">
      <c r="A547" s="25">
        <f t="shared" si="28"/>
        <v>1110003</v>
      </c>
      <c r="B547" s="25">
        <v>1110</v>
      </c>
      <c r="C547" s="25" t="s">
        <v>1335</v>
      </c>
      <c r="D547" s="25" t="s">
        <v>1336</v>
      </c>
      <c r="E547" s="25">
        <v>7</v>
      </c>
      <c r="F547" s="25">
        <v>3</v>
      </c>
      <c r="G547" s="25">
        <v>12</v>
      </c>
      <c r="H547" s="25" t="s">
        <v>1348</v>
      </c>
      <c r="I547" s="25" t="s">
        <v>1349</v>
      </c>
      <c r="J547" s="15">
        <v>900</v>
      </c>
      <c r="K547" s="15">
        <v>90</v>
      </c>
      <c r="L547" s="15" t="s">
        <v>101</v>
      </c>
      <c r="M547" s="15"/>
      <c r="N547" s="15"/>
      <c r="O547" s="15"/>
      <c r="P547" s="5" t="s">
        <v>1350</v>
      </c>
      <c r="Q547" s="5" t="s">
        <v>1351</v>
      </c>
      <c r="R547" s="5">
        <v>1110263</v>
      </c>
      <c r="S547" s="27">
        <v>4</v>
      </c>
      <c r="T547" s="28" t="s">
        <v>1352</v>
      </c>
    </row>
    <row r="548" customHeight="1" spans="1:20">
      <c r="A548" s="25">
        <f t="shared" si="28"/>
        <v>1110004</v>
      </c>
      <c r="B548" s="25">
        <v>1110</v>
      </c>
      <c r="C548" s="25" t="s">
        <v>1335</v>
      </c>
      <c r="D548" s="25" t="s">
        <v>1336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1353</v>
      </c>
      <c r="J548" s="15">
        <v>1200</v>
      </c>
      <c r="K548" s="15">
        <v>120</v>
      </c>
      <c r="L548" s="15" t="s">
        <v>108</v>
      </c>
      <c r="M548" s="15"/>
      <c r="N548" s="15"/>
      <c r="O548" s="15"/>
      <c r="R548" s="5">
        <v>1110257</v>
      </c>
      <c r="S548" s="27">
        <v>6</v>
      </c>
      <c r="T548" s="28" t="s">
        <v>1354</v>
      </c>
    </row>
    <row r="549" customHeight="1" spans="1:20">
      <c r="A549" s="25">
        <f t="shared" si="28"/>
        <v>1110005</v>
      </c>
      <c r="B549" s="25">
        <v>1110</v>
      </c>
      <c r="C549" s="25" t="s">
        <v>1335</v>
      </c>
      <c r="D549" s="25" t="s">
        <v>1336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1355</v>
      </c>
      <c r="J549" s="15">
        <v>1500</v>
      </c>
      <c r="K549" s="15">
        <v>150</v>
      </c>
      <c r="L549" s="15" t="s">
        <v>108</v>
      </c>
      <c r="M549" s="15" t="s">
        <v>1356</v>
      </c>
      <c r="N549" s="15">
        <v>10</v>
      </c>
      <c r="O549" s="15"/>
      <c r="R549" s="5">
        <v>1110252</v>
      </c>
      <c r="S549" s="27">
        <v>8</v>
      </c>
      <c r="T549" s="28" t="s">
        <v>1357</v>
      </c>
    </row>
    <row r="550" customHeight="1" spans="1:20">
      <c r="A550" s="25">
        <f t="shared" si="28"/>
        <v>1110006</v>
      </c>
      <c r="B550" s="25">
        <v>1110</v>
      </c>
      <c r="C550" s="25" t="s">
        <v>1335</v>
      </c>
      <c r="D550" s="25" t="s">
        <v>1336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1358</v>
      </c>
      <c r="J550" s="15">
        <v>1800</v>
      </c>
      <c r="K550" s="15">
        <v>180</v>
      </c>
      <c r="L550" s="15" t="s">
        <v>108</v>
      </c>
      <c r="M550" s="15"/>
      <c r="N550" s="15"/>
      <c r="O550" s="15"/>
      <c r="R550" s="5">
        <v>1110262</v>
      </c>
      <c r="S550" s="27">
        <v>10</v>
      </c>
      <c r="T550" s="28" t="s">
        <v>1359</v>
      </c>
    </row>
    <row r="551" customHeight="1" spans="1:20">
      <c r="A551" s="25">
        <f t="shared" si="28"/>
        <v>1110007</v>
      </c>
      <c r="B551" s="25">
        <v>1110</v>
      </c>
      <c r="C551" s="25" t="s">
        <v>1335</v>
      </c>
      <c r="D551" s="25" t="s">
        <v>1336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1360</v>
      </c>
      <c r="J551" s="15">
        <v>2100</v>
      </c>
      <c r="K551" s="15">
        <v>210</v>
      </c>
      <c r="L551" s="15" t="s">
        <v>115</v>
      </c>
      <c r="M551" s="15"/>
      <c r="N551" s="15"/>
      <c r="O551" s="15"/>
      <c r="R551" s="5">
        <v>1110260</v>
      </c>
      <c r="S551" s="27">
        <v>12</v>
      </c>
      <c r="T551" s="28" t="s">
        <v>1361</v>
      </c>
    </row>
    <row r="552" customHeight="1" spans="1:20">
      <c r="A552" s="25">
        <f t="shared" si="28"/>
        <v>1110008</v>
      </c>
      <c r="B552" s="25">
        <v>1110</v>
      </c>
      <c r="C552" s="25" t="s">
        <v>1335</v>
      </c>
      <c r="D552" s="25" t="s">
        <v>1336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1362</v>
      </c>
      <c r="J552" s="15">
        <v>2400</v>
      </c>
      <c r="K552" s="15">
        <v>240</v>
      </c>
      <c r="L552" s="15" t="s">
        <v>115</v>
      </c>
      <c r="M552" s="15"/>
      <c r="N552" s="15"/>
      <c r="O552" s="15"/>
      <c r="R552" s="5">
        <v>1110254</v>
      </c>
      <c r="S552" s="27">
        <v>14</v>
      </c>
      <c r="T552" s="28" t="s">
        <v>1363</v>
      </c>
    </row>
    <row r="553" customHeight="1" spans="1:20">
      <c r="A553" s="25">
        <f t="shared" si="28"/>
        <v>1110009</v>
      </c>
      <c r="B553" s="25">
        <v>1110</v>
      </c>
      <c r="C553" s="25" t="s">
        <v>1335</v>
      </c>
      <c r="D553" s="25" t="s">
        <v>1336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1364</v>
      </c>
      <c r="J553" s="15">
        <v>2700</v>
      </c>
      <c r="K553" s="15">
        <v>270</v>
      </c>
      <c r="L553" s="15" t="s">
        <v>115</v>
      </c>
      <c r="M553" s="15"/>
      <c r="N553" s="15"/>
      <c r="O553" s="15"/>
      <c r="R553" s="5">
        <v>1110256</v>
      </c>
      <c r="S553" s="27">
        <v>16</v>
      </c>
      <c r="T553" s="28" t="s">
        <v>1365</v>
      </c>
    </row>
    <row r="554" customHeight="1" spans="1:20">
      <c r="A554" s="25">
        <f t="shared" si="28"/>
        <v>1110010</v>
      </c>
      <c r="B554" s="25">
        <v>1110</v>
      </c>
      <c r="C554" s="25" t="s">
        <v>1335</v>
      </c>
      <c r="D554" s="25" t="s">
        <v>1336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1366</v>
      </c>
      <c r="J554" s="15">
        <v>3000</v>
      </c>
      <c r="K554" s="15">
        <v>300</v>
      </c>
      <c r="L554" s="15" t="s">
        <v>122</v>
      </c>
      <c r="M554" s="15" t="s">
        <v>1367</v>
      </c>
      <c r="N554" s="15">
        <v>20</v>
      </c>
      <c r="O554" s="15"/>
      <c r="R554" s="5">
        <v>1110258</v>
      </c>
      <c r="S554" s="27">
        <v>18</v>
      </c>
      <c r="T554" s="28" t="s">
        <v>1368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1335</v>
      </c>
      <c r="D555" s="25" t="s">
        <v>1336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1369</v>
      </c>
      <c r="J555" s="15">
        <v>3300</v>
      </c>
      <c r="K555" s="15">
        <v>330</v>
      </c>
      <c r="L555" s="15" t="s">
        <v>122</v>
      </c>
      <c r="M555" s="15"/>
      <c r="N555" s="15"/>
      <c r="O555" s="15"/>
      <c r="R555" s="5">
        <v>1110270</v>
      </c>
      <c r="S555" s="27">
        <v>20</v>
      </c>
      <c r="T555" s="28" t="s">
        <v>1370</v>
      </c>
    </row>
    <row r="556" customHeight="1" spans="1:20">
      <c r="A556" s="25">
        <f t="shared" si="30"/>
        <v>1110012</v>
      </c>
      <c r="B556" s="25">
        <v>1110</v>
      </c>
      <c r="C556" s="25" t="s">
        <v>1335</v>
      </c>
      <c r="D556" s="25" t="s">
        <v>1336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1371</v>
      </c>
      <c r="J556" s="15">
        <v>3600</v>
      </c>
      <c r="K556" s="15">
        <v>360</v>
      </c>
      <c r="L556" s="15" t="s">
        <v>122</v>
      </c>
      <c r="M556" s="15"/>
      <c r="N556" s="15"/>
      <c r="O556" s="15"/>
      <c r="S556" s="27">
        <v>22</v>
      </c>
      <c r="T556" s="28" t="s">
        <v>1372</v>
      </c>
    </row>
    <row r="557" customHeight="1" spans="1:20">
      <c r="A557" s="25">
        <f t="shared" si="30"/>
        <v>1110013</v>
      </c>
      <c r="B557" s="25">
        <v>1110</v>
      </c>
      <c r="C557" s="25" t="s">
        <v>1335</v>
      </c>
      <c r="D557" s="25" t="s">
        <v>1336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1373</v>
      </c>
      <c r="J557" s="15">
        <v>3900</v>
      </c>
      <c r="K557" s="15">
        <v>390</v>
      </c>
      <c r="L557" s="15" t="s">
        <v>129</v>
      </c>
      <c r="M557" s="15"/>
      <c r="N557" s="15"/>
      <c r="O557" s="15"/>
      <c r="R557" s="5">
        <v>1110264</v>
      </c>
      <c r="S557" s="27">
        <v>24</v>
      </c>
      <c r="T557" s="28" t="s">
        <v>1374</v>
      </c>
    </row>
    <row r="558" customHeight="1" spans="1:20">
      <c r="A558" s="25">
        <f t="shared" si="30"/>
        <v>1110014</v>
      </c>
      <c r="B558" s="25">
        <v>1110</v>
      </c>
      <c r="C558" s="25" t="s">
        <v>1335</v>
      </c>
      <c r="D558" s="25" t="s">
        <v>1336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1375</v>
      </c>
      <c r="J558" s="15">
        <v>4200</v>
      </c>
      <c r="K558" s="15">
        <v>420</v>
      </c>
      <c r="L558" s="15" t="s">
        <v>129</v>
      </c>
      <c r="M558" s="15"/>
      <c r="N558" s="15"/>
      <c r="O558" s="15"/>
      <c r="R558" s="5">
        <v>1110265</v>
      </c>
      <c r="S558" s="27">
        <v>26</v>
      </c>
      <c r="T558" s="28" t="s">
        <v>1376</v>
      </c>
    </row>
    <row r="559" customHeight="1" spans="1:20">
      <c r="A559" s="25">
        <f t="shared" si="30"/>
        <v>1110015</v>
      </c>
      <c r="B559" s="25">
        <v>1110</v>
      </c>
      <c r="C559" s="25" t="s">
        <v>1335</v>
      </c>
      <c r="D559" s="25" t="s">
        <v>1336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1377</v>
      </c>
      <c r="J559" s="15">
        <v>4500</v>
      </c>
      <c r="K559" s="15">
        <v>450</v>
      </c>
      <c r="L559" s="15" t="s">
        <v>129</v>
      </c>
      <c r="M559" s="15" t="s">
        <v>1378</v>
      </c>
      <c r="N559" s="15">
        <v>30</v>
      </c>
      <c r="O559" s="15"/>
      <c r="R559" s="5">
        <v>1110266</v>
      </c>
      <c r="S559" s="27">
        <v>28</v>
      </c>
      <c r="T559" s="28" t="s">
        <v>1379</v>
      </c>
    </row>
    <row r="560" customHeight="1" spans="1:20">
      <c r="A560" s="25">
        <f t="shared" si="30"/>
        <v>1110016</v>
      </c>
      <c r="B560" s="25">
        <v>1110</v>
      </c>
      <c r="C560" s="25" t="s">
        <v>1335</v>
      </c>
      <c r="D560" s="25" t="s">
        <v>1336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1380</v>
      </c>
      <c r="J560" s="15">
        <v>4800</v>
      </c>
      <c r="K560" s="15">
        <v>480</v>
      </c>
      <c r="L560" s="15" t="s">
        <v>136</v>
      </c>
      <c r="M560" s="15"/>
      <c r="N560" s="15"/>
      <c r="O560" s="15"/>
      <c r="R560" s="5">
        <v>1110267</v>
      </c>
      <c r="S560" s="27">
        <v>30</v>
      </c>
      <c r="T560" s="28" t="s">
        <v>1381</v>
      </c>
    </row>
    <row r="561" customHeight="1" spans="1:20">
      <c r="A561" s="25">
        <f t="shared" si="30"/>
        <v>1110017</v>
      </c>
      <c r="B561" s="25">
        <v>1110</v>
      </c>
      <c r="C561" s="25" t="s">
        <v>1335</v>
      </c>
      <c r="D561" s="25" t="s">
        <v>1336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1382</v>
      </c>
      <c r="J561" s="15">
        <v>5100</v>
      </c>
      <c r="K561" s="15">
        <v>510</v>
      </c>
      <c r="L561" s="15" t="s">
        <v>136</v>
      </c>
      <c r="M561" s="15"/>
      <c r="N561" s="15"/>
      <c r="O561" s="15"/>
      <c r="S561" s="27">
        <v>32</v>
      </c>
      <c r="T561" s="28" t="s">
        <v>1383</v>
      </c>
    </row>
    <row r="562" customHeight="1" spans="1:20">
      <c r="A562" s="25">
        <f t="shared" si="30"/>
        <v>1110018</v>
      </c>
      <c r="B562" s="25">
        <v>1110</v>
      </c>
      <c r="C562" s="25" t="s">
        <v>1335</v>
      </c>
      <c r="D562" s="25" t="s">
        <v>1336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1384</v>
      </c>
      <c r="J562" s="15">
        <v>5400</v>
      </c>
      <c r="K562" s="15">
        <v>540</v>
      </c>
      <c r="L562" s="15" t="s">
        <v>136</v>
      </c>
      <c r="M562" s="15"/>
      <c r="N562" s="15"/>
      <c r="O562" s="15"/>
      <c r="S562" s="27">
        <v>34</v>
      </c>
      <c r="T562" s="28" t="s">
        <v>1385</v>
      </c>
    </row>
    <row r="563" customHeight="1" spans="1:20">
      <c r="A563" s="25">
        <f t="shared" si="30"/>
        <v>1110019</v>
      </c>
      <c r="B563" s="25">
        <v>1110</v>
      </c>
      <c r="C563" s="25" t="s">
        <v>1335</v>
      </c>
      <c r="D563" s="25" t="s">
        <v>1336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1386</v>
      </c>
      <c r="J563" s="15">
        <v>5700</v>
      </c>
      <c r="K563" s="15">
        <v>570</v>
      </c>
      <c r="L563" s="15" t="s">
        <v>143</v>
      </c>
      <c r="M563" s="15"/>
      <c r="N563" s="15"/>
      <c r="O563" s="15"/>
      <c r="S563" s="27">
        <v>36</v>
      </c>
      <c r="T563" s="28" t="s">
        <v>1387</v>
      </c>
    </row>
    <row r="564" customHeight="1" spans="1:20">
      <c r="A564" s="25">
        <f t="shared" si="30"/>
        <v>1110020</v>
      </c>
      <c r="B564" s="25">
        <v>1110</v>
      </c>
      <c r="C564" s="25" t="s">
        <v>1335</v>
      </c>
      <c r="D564" s="25" t="s">
        <v>1336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1388</v>
      </c>
      <c r="J564" s="15">
        <v>6000</v>
      </c>
      <c r="K564" s="15">
        <v>600</v>
      </c>
      <c r="L564" s="15" t="s">
        <v>143</v>
      </c>
      <c r="M564" s="15" t="s">
        <v>1389</v>
      </c>
      <c r="N564" s="15">
        <v>40</v>
      </c>
      <c r="O564" s="15"/>
      <c r="S564" s="27">
        <v>38</v>
      </c>
      <c r="T564" s="28" t="s">
        <v>1390</v>
      </c>
    </row>
    <row r="565" customHeight="1" spans="1:20">
      <c r="A565" s="25">
        <f t="shared" si="30"/>
        <v>1110021</v>
      </c>
      <c r="B565" s="25">
        <v>1110</v>
      </c>
      <c r="C565" s="25" t="s">
        <v>1335</v>
      </c>
      <c r="D565" s="25" t="s">
        <v>1336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1391</v>
      </c>
      <c r="J565" s="15">
        <v>6300</v>
      </c>
      <c r="K565" s="15">
        <v>630</v>
      </c>
      <c r="L565" s="15" t="s">
        <v>143</v>
      </c>
      <c r="M565" s="15"/>
      <c r="N565" s="15"/>
      <c r="O565" s="15"/>
      <c r="S565" s="27">
        <v>40</v>
      </c>
      <c r="T565" s="28" t="s">
        <v>1392</v>
      </c>
    </row>
    <row r="566" customHeight="1" spans="1:20">
      <c r="A566" s="25">
        <f t="shared" si="30"/>
        <v>1110022</v>
      </c>
      <c r="B566" s="25">
        <v>1110</v>
      </c>
      <c r="C566" s="25" t="s">
        <v>1335</v>
      </c>
      <c r="D566" s="25" t="s">
        <v>1336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1393</v>
      </c>
      <c r="J566" s="15">
        <v>6600</v>
      </c>
      <c r="K566" s="15">
        <v>660</v>
      </c>
      <c r="L566" s="15" t="s">
        <v>150</v>
      </c>
      <c r="M566" s="15"/>
      <c r="N566" s="15"/>
      <c r="O566" s="15"/>
      <c r="S566" s="27">
        <v>42</v>
      </c>
      <c r="T566" s="28" t="s">
        <v>1394</v>
      </c>
    </row>
    <row r="567" customHeight="1" spans="1:20">
      <c r="A567" s="25">
        <f t="shared" si="30"/>
        <v>1110023</v>
      </c>
      <c r="B567" s="25">
        <v>1110</v>
      </c>
      <c r="C567" s="25" t="s">
        <v>1335</v>
      </c>
      <c r="D567" s="25" t="s">
        <v>1336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1395</v>
      </c>
      <c r="J567" s="15">
        <v>6900</v>
      </c>
      <c r="K567" s="15">
        <v>690</v>
      </c>
      <c r="L567" s="15" t="s">
        <v>150</v>
      </c>
      <c r="M567" s="15"/>
      <c r="N567" s="15"/>
      <c r="O567" s="15"/>
      <c r="S567" s="27">
        <v>44</v>
      </c>
      <c r="T567" s="28" t="s">
        <v>1396</v>
      </c>
    </row>
    <row r="568" customHeight="1" spans="1:20">
      <c r="A568" s="25">
        <f t="shared" si="30"/>
        <v>1110024</v>
      </c>
      <c r="B568" s="25">
        <v>1110</v>
      </c>
      <c r="C568" s="25" t="s">
        <v>1335</v>
      </c>
      <c r="D568" s="25" t="s">
        <v>1336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1397</v>
      </c>
      <c r="J568" s="15">
        <v>7200</v>
      </c>
      <c r="K568" s="15">
        <v>720</v>
      </c>
      <c r="L568" s="15" t="s">
        <v>150</v>
      </c>
      <c r="M568" s="15"/>
      <c r="N568" s="15"/>
      <c r="O568" s="15"/>
      <c r="S568" s="27">
        <v>46</v>
      </c>
      <c r="T568" s="28" t="s">
        <v>1398</v>
      </c>
    </row>
    <row r="569" customHeight="1" spans="1:20">
      <c r="A569" s="25">
        <f t="shared" si="30"/>
        <v>1110025</v>
      </c>
      <c r="B569" s="25">
        <v>1110</v>
      </c>
      <c r="C569" s="25" t="s">
        <v>1335</v>
      </c>
      <c r="D569" s="25" t="s">
        <v>1336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1399</v>
      </c>
      <c r="J569" s="15">
        <v>7500</v>
      </c>
      <c r="K569" s="15">
        <v>750</v>
      </c>
      <c r="L569" s="15" t="s">
        <v>157</v>
      </c>
      <c r="M569" s="15" t="s">
        <v>1400</v>
      </c>
      <c r="N569" s="15">
        <v>50</v>
      </c>
      <c r="O569" s="15"/>
      <c r="S569" s="27">
        <v>48</v>
      </c>
      <c r="T569" s="28" t="s">
        <v>1401</v>
      </c>
    </row>
    <row r="570" customHeight="1" spans="1:20">
      <c r="A570" s="25">
        <f t="shared" si="30"/>
        <v>1110026</v>
      </c>
      <c r="B570" s="25">
        <v>1110</v>
      </c>
      <c r="C570" s="25" t="s">
        <v>1335</v>
      </c>
      <c r="D570" s="25" t="s">
        <v>1336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1402</v>
      </c>
      <c r="J570" s="15">
        <v>7800</v>
      </c>
      <c r="K570" s="15">
        <v>780</v>
      </c>
      <c r="L570" s="15" t="s">
        <v>157</v>
      </c>
      <c r="M570" s="15"/>
      <c r="N570" s="15"/>
      <c r="O570" s="15"/>
      <c r="R570" s="5" t="s">
        <v>273</v>
      </c>
      <c r="S570" s="27">
        <v>50</v>
      </c>
      <c r="T570" s="28" t="s">
        <v>1403</v>
      </c>
    </row>
    <row r="571" customHeight="1" spans="1:20">
      <c r="A571" s="25">
        <f t="shared" si="30"/>
        <v>1110027</v>
      </c>
      <c r="B571" s="25">
        <v>1110</v>
      </c>
      <c r="C571" s="25" t="s">
        <v>1335</v>
      </c>
      <c r="D571" s="25" t="s">
        <v>1336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1404</v>
      </c>
      <c r="J571" s="15">
        <v>8100</v>
      </c>
      <c r="K571" s="15">
        <v>810</v>
      </c>
      <c r="L571" s="15" t="s">
        <v>157</v>
      </c>
      <c r="M571" s="15"/>
      <c r="N571" s="15"/>
      <c r="O571" s="15"/>
      <c r="R571" s="5" t="s">
        <v>273</v>
      </c>
      <c r="S571" s="27">
        <v>52</v>
      </c>
      <c r="T571" s="28" t="s">
        <v>1405</v>
      </c>
    </row>
    <row r="572" customHeight="1" spans="1:20">
      <c r="A572" s="25">
        <f t="shared" si="30"/>
        <v>1110028</v>
      </c>
      <c r="B572" s="25">
        <v>1110</v>
      </c>
      <c r="C572" s="25" t="s">
        <v>1335</v>
      </c>
      <c r="D572" s="25" t="s">
        <v>1336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1406</v>
      </c>
      <c r="J572" s="15">
        <v>8400</v>
      </c>
      <c r="K572" s="15">
        <v>840</v>
      </c>
      <c r="L572" s="15" t="s">
        <v>164</v>
      </c>
      <c r="M572" s="15"/>
      <c r="N572" s="15"/>
      <c r="O572" s="15"/>
      <c r="R572" s="5" t="s">
        <v>273</v>
      </c>
      <c r="S572" s="27">
        <v>54</v>
      </c>
      <c r="T572" s="28" t="s">
        <v>1407</v>
      </c>
    </row>
    <row r="573" customHeight="1" spans="1:20">
      <c r="A573" s="25">
        <f t="shared" si="30"/>
        <v>1110029</v>
      </c>
      <c r="B573" s="25">
        <v>1110</v>
      </c>
      <c r="C573" s="25" t="s">
        <v>1335</v>
      </c>
      <c r="D573" s="25" t="s">
        <v>1336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1408</v>
      </c>
      <c r="J573" s="15">
        <v>8700</v>
      </c>
      <c r="K573" s="15">
        <v>870</v>
      </c>
      <c r="L573" s="15" t="s">
        <v>164</v>
      </c>
      <c r="M573" s="15"/>
      <c r="N573" s="15"/>
      <c r="O573" s="15"/>
      <c r="R573" s="5" t="s">
        <v>273</v>
      </c>
      <c r="S573" s="27">
        <v>56</v>
      </c>
      <c r="T573" s="28" t="s">
        <v>1409</v>
      </c>
    </row>
    <row r="574" customHeight="1" spans="1:20">
      <c r="A574" s="25">
        <f t="shared" si="30"/>
        <v>1110030</v>
      </c>
      <c r="B574" s="25">
        <v>1110</v>
      </c>
      <c r="C574" s="25" t="s">
        <v>1335</v>
      </c>
      <c r="D574" s="25" t="s">
        <v>1336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1410</v>
      </c>
      <c r="J574" s="15">
        <v>9000</v>
      </c>
      <c r="K574" s="15">
        <v>900</v>
      </c>
      <c r="L574" s="15" t="s">
        <v>164</v>
      </c>
      <c r="M574" s="15"/>
      <c r="N574" s="15">
        <v>60</v>
      </c>
      <c r="O574" s="15"/>
      <c r="R574" s="5" t="s">
        <v>273</v>
      </c>
      <c r="S574" s="27">
        <v>58</v>
      </c>
      <c r="T574" s="28" t="s">
        <v>1411</v>
      </c>
    </row>
    <row r="575" customHeight="1" spans="1:20">
      <c r="A575" s="25">
        <f t="shared" si="30"/>
        <v>1110031</v>
      </c>
      <c r="B575" s="25">
        <v>1110</v>
      </c>
      <c r="C575" s="25" t="s">
        <v>1335</v>
      </c>
      <c r="D575" s="25" t="s">
        <v>1336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1412</v>
      </c>
      <c r="J575" s="15">
        <v>9300</v>
      </c>
      <c r="K575" s="15">
        <v>930</v>
      </c>
      <c r="L575" s="15" t="s">
        <v>171</v>
      </c>
      <c r="M575" s="15"/>
      <c r="N575" s="15"/>
      <c r="O575" s="15"/>
      <c r="R575" s="5" t="s">
        <v>273</v>
      </c>
      <c r="S575" s="27">
        <v>60</v>
      </c>
      <c r="T575" s="28" t="s">
        <v>1413</v>
      </c>
    </row>
    <row r="576" customHeight="1" spans="1:20">
      <c r="A576" s="25">
        <f t="shared" si="30"/>
        <v>1110032</v>
      </c>
      <c r="B576" s="25">
        <v>1110</v>
      </c>
      <c r="C576" s="25" t="s">
        <v>1335</v>
      </c>
      <c r="D576" s="25" t="s">
        <v>1336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1414</v>
      </c>
      <c r="J576" s="15">
        <v>9600</v>
      </c>
      <c r="K576" s="15">
        <v>960</v>
      </c>
      <c r="L576" s="15" t="s">
        <v>171</v>
      </c>
      <c r="M576" s="15"/>
      <c r="N576" s="15"/>
      <c r="O576" s="15"/>
      <c r="R576" s="5" t="s">
        <v>273</v>
      </c>
      <c r="S576" s="27">
        <v>62</v>
      </c>
      <c r="T576" s="28" t="s">
        <v>1415</v>
      </c>
    </row>
    <row r="577" customHeight="1" spans="1:20">
      <c r="A577" s="25">
        <f t="shared" si="30"/>
        <v>1110033</v>
      </c>
      <c r="B577" s="25">
        <v>1110</v>
      </c>
      <c r="C577" s="25" t="s">
        <v>1335</v>
      </c>
      <c r="D577" s="25" t="s">
        <v>1336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1416</v>
      </c>
      <c r="J577" s="15">
        <v>9900</v>
      </c>
      <c r="K577" s="15">
        <v>990</v>
      </c>
      <c r="L577" s="15" t="s">
        <v>171</v>
      </c>
      <c r="M577" s="15"/>
      <c r="N577" s="15"/>
      <c r="O577" s="15"/>
      <c r="R577" s="5" t="s">
        <v>273</v>
      </c>
      <c r="S577" s="27">
        <v>64</v>
      </c>
      <c r="T577" s="28" t="s">
        <v>1417</v>
      </c>
    </row>
    <row r="578" customHeight="1" spans="1:20">
      <c r="A578" s="25">
        <f t="shared" si="30"/>
        <v>1110034</v>
      </c>
      <c r="B578" s="25">
        <v>1110</v>
      </c>
      <c r="C578" s="25" t="s">
        <v>1335</v>
      </c>
      <c r="D578" s="25" t="s">
        <v>1336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1418</v>
      </c>
      <c r="J578" s="15">
        <v>10200</v>
      </c>
      <c r="K578" s="15">
        <v>1020</v>
      </c>
      <c r="L578" s="15" t="s">
        <v>178</v>
      </c>
      <c r="M578" s="15"/>
      <c r="N578" s="15"/>
      <c r="O578" s="15"/>
      <c r="R578" s="5" t="s">
        <v>273</v>
      </c>
      <c r="S578" s="27">
        <v>66</v>
      </c>
      <c r="T578" s="28" t="s">
        <v>1419</v>
      </c>
    </row>
    <row r="579" customHeight="1" spans="1:20">
      <c r="A579" s="25">
        <f t="shared" si="30"/>
        <v>1110035</v>
      </c>
      <c r="B579" s="25">
        <v>1110</v>
      </c>
      <c r="C579" s="25" t="s">
        <v>1335</v>
      </c>
      <c r="D579" s="25" t="s">
        <v>1336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1420</v>
      </c>
      <c r="J579" s="15">
        <v>10500</v>
      </c>
      <c r="K579" s="15">
        <v>1050</v>
      </c>
      <c r="L579" s="15" t="s">
        <v>178</v>
      </c>
      <c r="M579" s="15"/>
      <c r="N579" s="15"/>
      <c r="O579" s="15"/>
      <c r="R579" s="5" t="s">
        <v>273</v>
      </c>
      <c r="S579" s="27">
        <v>68</v>
      </c>
      <c r="T579" s="28" t="s">
        <v>1421</v>
      </c>
    </row>
    <row r="580" customHeight="1" spans="1:20">
      <c r="A580" s="25">
        <f t="shared" si="30"/>
        <v>1110036</v>
      </c>
      <c r="B580" s="25">
        <v>1110</v>
      </c>
      <c r="C580" s="25" t="s">
        <v>1335</v>
      </c>
      <c r="D580" s="25" t="s">
        <v>1336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1422</v>
      </c>
      <c r="J580" s="15">
        <v>10800</v>
      </c>
      <c r="K580" s="15">
        <v>1080</v>
      </c>
      <c r="L580" s="15" t="s">
        <v>178</v>
      </c>
      <c r="M580" s="15"/>
      <c r="N580" s="15"/>
      <c r="O580" s="15"/>
      <c r="R580" s="5" t="s">
        <v>273</v>
      </c>
      <c r="S580" s="27">
        <v>70</v>
      </c>
      <c r="T580" s="28" t="s">
        <v>1423</v>
      </c>
    </row>
    <row r="581" customHeight="1" spans="1:20">
      <c r="A581" s="25">
        <f t="shared" si="30"/>
        <v>1110037</v>
      </c>
      <c r="B581" s="25">
        <v>1110</v>
      </c>
      <c r="C581" s="25" t="s">
        <v>1335</v>
      </c>
      <c r="D581" s="25" t="s">
        <v>1336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1424</v>
      </c>
      <c r="J581" s="15">
        <v>11100</v>
      </c>
      <c r="K581" s="15">
        <v>1110</v>
      </c>
      <c r="L581" s="15" t="s">
        <v>185</v>
      </c>
      <c r="M581" s="15"/>
      <c r="N581" s="15"/>
      <c r="O581" s="15"/>
      <c r="R581" s="5" t="s">
        <v>273</v>
      </c>
      <c r="S581" s="27">
        <v>72</v>
      </c>
      <c r="T581" s="28" t="s">
        <v>1425</v>
      </c>
    </row>
    <row r="582" customHeight="1" spans="1:20">
      <c r="A582" s="25">
        <f t="shared" si="30"/>
        <v>1110038</v>
      </c>
      <c r="B582" s="25">
        <v>1110</v>
      </c>
      <c r="C582" s="25" t="s">
        <v>1335</v>
      </c>
      <c r="D582" s="25" t="s">
        <v>1336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1426</v>
      </c>
      <c r="J582" s="15">
        <v>11400</v>
      </c>
      <c r="K582" s="15">
        <v>1140</v>
      </c>
      <c r="L582" s="15" t="s">
        <v>185</v>
      </c>
      <c r="M582" s="15"/>
      <c r="N582" s="15"/>
      <c r="O582" s="15"/>
      <c r="R582" s="5" t="s">
        <v>273</v>
      </c>
      <c r="S582" s="27">
        <v>74</v>
      </c>
      <c r="T582" s="28" t="s">
        <v>1427</v>
      </c>
    </row>
    <row r="583" customHeight="1" spans="1:20">
      <c r="A583" s="25">
        <f t="shared" si="30"/>
        <v>1110039</v>
      </c>
      <c r="B583" s="25">
        <v>1110</v>
      </c>
      <c r="C583" s="25" t="s">
        <v>1335</v>
      </c>
      <c r="D583" s="25" t="s">
        <v>1336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1428</v>
      </c>
      <c r="J583" s="15">
        <v>11700</v>
      </c>
      <c r="K583" s="15">
        <v>1170</v>
      </c>
      <c r="L583" s="15" t="s">
        <v>185</v>
      </c>
      <c r="M583" s="15"/>
      <c r="N583" s="15"/>
      <c r="O583" s="15"/>
      <c r="R583" s="5" t="s">
        <v>273</v>
      </c>
      <c r="S583" s="27">
        <v>76</v>
      </c>
      <c r="T583" s="28" t="s">
        <v>1429</v>
      </c>
    </row>
    <row r="584" customHeight="1" spans="1:20">
      <c r="A584" s="25">
        <f t="shared" si="30"/>
        <v>1110040</v>
      </c>
      <c r="B584" s="25">
        <v>1110</v>
      </c>
      <c r="C584" s="25" t="s">
        <v>1335</v>
      </c>
      <c r="D584" s="25" t="s">
        <v>1336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1430</v>
      </c>
      <c r="J584" s="15">
        <v>12000</v>
      </c>
      <c r="K584" s="15">
        <v>1200</v>
      </c>
      <c r="L584" s="15" t="s">
        <v>192</v>
      </c>
      <c r="M584" s="15"/>
      <c r="N584" s="15"/>
      <c r="O584" s="15"/>
      <c r="R584" s="5" t="s">
        <v>273</v>
      </c>
      <c r="S584" s="27">
        <v>78</v>
      </c>
      <c r="T584" s="28" t="s">
        <v>1431</v>
      </c>
    </row>
    <row r="585" customHeight="1" spans="1:20">
      <c r="A585" s="25">
        <f t="shared" si="30"/>
        <v>1110041</v>
      </c>
      <c r="B585" s="25">
        <v>1110</v>
      </c>
      <c r="C585" s="25" t="s">
        <v>1335</v>
      </c>
      <c r="D585" s="25" t="s">
        <v>1336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1432</v>
      </c>
      <c r="J585" s="15">
        <v>12300</v>
      </c>
      <c r="K585" s="15">
        <v>1230</v>
      </c>
      <c r="L585" s="15" t="s">
        <v>192</v>
      </c>
      <c r="M585" s="15"/>
      <c r="N585" s="15"/>
      <c r="O585" s="15"/>
      <c r="R585" s="5" t="s">
        <v>273</v>
      </c>
      <c r="S585" s="27">
        <v>80</v>
      </c>
      <c r="T585" s="28" t="s">
        <v>1433</v>
      </c>
    </row>
    <row r="586" customHeight="1" spans="1:20">
      <c r="A586" s="25">
        <f t="shared" si="30"/>
        <v>1110042</v>
      </c>
      <c r="B586" s="25">
        <v>1110</v>
      </c>
      <c r="C586" s="25" t="s">
        <v>1335</v>
      </c>
      <c r="D586" s="25" t="s">
        <v>1336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1434</v>
      </c>
      <c r="J586" s="15">
        <v>12600</v>
      </c>
      <c r="K586" s="15">
        <v>1260</v>
      </c>
      <c r="L586" s="15" t="s">
        <v>192</v>
      </c>
      <c r="M586" s="15"/>
      <c r="N586" s="15"/>
      <c r="O586" s="15"/>
      <c r="R586" s="5" t="s">
        <v>273</v>
      </c>
      <c r="S586" s="27">
        <v>82</v>
      </c>
      <c r="T586" s="28" t="s">
        <v>1435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1335</v>
      </c>
      <c r="D587" s="25" t="s">
        <v>1336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1436</v>
      </c>
      <c r="J587" s="15">
        <v>12900</v>
      </c>
      <c r="K587" s="15">
        <v>1290</v>
      </c>
      <c r="L587" s="15" t="s">
        <v>324</v>
      </c>
      <c r="M587" s="15"/>
      <c r="N587" s="15"/>
      <c r="O587" s="15"/>
      <c r="R587" s="5" t="s">
        <v>273</v>
      </c>
      <c r="S587" s="27">
        <v>84</v>
      </c>
      <c r="T587" s="28" t="s">
        <v>1437</v>
      </c>
    </row>
    <row r="588" customHeight="1" spans="1:20">
      <c r="A588" s="25">
        <f t="shared" si="31"/>
        <v>1110044</v>
      </c>
      <c r="B588" s="25">
        <v>1110</v>
      </c>
      <c r="C588" s="25" t="s">
        <v>1335</v>
      </c>
      <c r="D588" s="25" t="s">
        <v>1336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1438</v>
      </c>
      <c r="J588" s="15">
        <v>13200</v>
      </c>
      <c r="K588" s="15">
        <v>1320</v>
      </c>
      <c r="L588" s="15" t="s">
        <v>324</v>
      </c>
      <c r="M588" s="15"/>
      <c r="N588" s="15"/>
      <c r="O588" s="15"/>
      <c r="R588" s="5" t="s">
        <v>273</v>
      </c>
      <c r="S588" s="27">
        <v>86</v>
      </c>
      <c r="T588" s="28" t="s">
        <v>1439</v>
      </c>
    </row>
    <row r="589" customHeight="1" spans="1:20">
      <c r="A589" s="25">
        <f t="shared" si="31"/>
        <v>1110045</v>
      </c>
      <c r="B589" s="25">
        <v>1110</v>
      </c>
      <c r="C589" s="25" t="s">
        <v>1335</v>
      </c>
      <c r="D589" s="25" t="s">
        <v>1336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1440</v>
      </c>
      <c r="J589" s="15">
        <v>13500</v>
      </c>
      <c r="K589" s="15">
        <v>1350</v>
      </c>
      <c r="L589" s="15" t="s">
        <v>324</v>
      </c>
      <c r="M589" s="15"/>
      <c r="N589" s="15"/>
      <c r="O589" s="15"/>
      <c r="R589" s="5" t="s">
        <v>273</v>
      </c>
      <c r="S589" s="27">
        <v>88</v>
      </c>
      <c r="T589" s="28" t="s">
        <v>1441</v>
      </c>
    </row>
    <row r="590" customHeight="1" spans="1:20">
      <c r="A590" s="25">
        <f t="shared" si="31"/>
        <v>1110046</v>
      </c>
      <c r="B590" s="25">
        <v>1110</v>
      </c>
      <c r="C590" s="25" t="s">
        <v>1335</v>
      </c>
      <c r="D590" s="25" t="s">
        <v>1336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1442</v>
      </c>
      <c r="J590" s="15">
        <v>13800</v>
      </c>
      <c r="K590" s="15">
        <v>1380</v>
      </c>
      <c r="L590" s="15" t="s">
        <v>331</v>
      </c>
      <c r="M590" s="15"/>
      <c r="N590" s="15"/>
      <c r="O590" s="15"/>
      <c r="R590" s="5" t="s">
        <v>273</v>
      </c>
      <c r="S590" s="27">
        <v>90</v>
      </c>
      <c r="T590" s="28" t="s">
        <v>1443</v>
      </c>
    </row>
    <row r="591" customHeight="1" spans="1:20">
      <c r="A591" s="25">
        <f t="shared" si="31"/>
        <v>1110047</v>
      </c>
      <c r="B591" s="25">
        <v>1110</v>
      </c>
      <c r="C591" s="25" t="s">
        <v>1335</v>
      </c>
      <c r="D591" s="25" t="s">
        <v>1336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1444</v>
      </c>
      <c r="J591" s="15">
        <v>14100</v>
      </c>
      <c r="K591" s="15">
        <v>1410</v>
      </c>
      <c r="L591" s="15" t="s">
        <v>331</v>
      </c>
      <c r="M591" s="15"/>
      <c r="N591" s="15"/>
      <c r="O591" s="15"/>
      <c r="R591" s="5" t="s">
        <v>273</v>
      </c>
      <c r="S591" s="27">
        <v>92</v>
      </c>
      <c r="T591" s="28" t="s">
        <v>1445</v>
      </c>
    </row>
    <row r="592" customHeight="1" spans="1:20">
      <c r="A592" s="25">
        <f t="shared" si="31"/>
        <v>1110048</v>
      </c>
      <c r="B592" s="25">
        <v>1110</v>
      </c>
      <c r="C592" s="25" t="s">
        <v>1335</v>
      </c>
      <c r="D592" s="25" t="s">
        <v>1336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1446</v>
      </c>
      <c r="J592" s="15">
        <v>14400</v>
      </c>
      <c r="K592" s="15">
        <v>1440</v>
      </c>
      <c r="L592" s="15" t="s">
        <v>331</v>
      </c>
      <c r="M592" s="15"/>
      <c r="N592" s="15"/>
      <c r="O592" s="15"/>
      <c r="R592" s="5" t="s">
        <v>273</v>
      </c>
      <c r="S592" s="27">
        <v>94</v>
      </c>
      <c r="T592" s="28" t="s">
        <v>1447</v>
      </c>
    </row>
    <row r="593" customHeight="1" spans="1:20">
      <c r="A593" s="25">
        <f t="shared" si="31"/>
        <v>1110049</v>
      </c>
      <c r="B593" s="25">
        <v>1110</v>
      </c>
      <c r="C593" s="25" t="s">
        <v>1335</v>
      </c>
      <c r="D593" s="25" t="s">
        <v>1336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1448</v>
      </c>
      <c r="J593" s="15">
        <v>14700</v>
      </c>
      <c r="K593" s="15">
        <v>1470</v>
      </c>
      <c r="L593" s="15" t="s">
        <v>499</v>
      </c>
      <c r="M593" s="15"/>
      <c r="N593" s="15"/>
      <c r="O593" s="15"/>
      <c r="R593" s="5" t="s">
        <v>273</v>
      </c>
      <c r="S593" s="27">
        <v>96</v>
      </c>
      <c r="T593" s="28" t="s">
        <v>1449</v>
      </c>
    </row>
    <row r="594" customHeight="1" spans="1:20">
      <c r="A594" s="25">
        <f t="shared" si="31"/>
        <v>1110050</v>
      </c>
      <c r="B594" s="25">
        <v>1110</v>
      </c>
      <c r="C594" s="25" t="s">
        <v>1335</v>
      </c>
      <c r="D594" s="25" t="s">
        <v>1336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1450</v>
      </c>
      <c r="J594" s="15">
        <v>15000</v>
      </c>
      <c r="K594" s="15">
        <v>1500</v>
      </c>
      <c r="L594" s="15" t="s">
        <v>499</v>
      </c>
      <c r="M594" s="15"/>
      <c r="N594" s="15"/>
      <c r="O594" s="15"/>
      <c r="R594" s="5" t="s">
        <v>273</v>
      </c>
      <c r="S594" s="27">
        <v>98</v>
      </c>
      <c r="T594" s="28" t="s">
        <v>1451</v>
      </c>
    </row>
    <row r="595" customHeight="1" spans="1:20">
      <c r="A595" s="25">
        <f t="shared" si="31"/>
        <v>1110051</v>
      </c>
      <c r="B595" s="25">
        <v>1110</v>
      </c>
      <c r="C595" s="25" t="s">
        <v>1335</v>
      </c>
      <c r="D595" s="25" t="s">
        <v>1336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1452</v>
      </c>
      <c r="J595" s="15">
        <v>15300</v>
      </c>
      <c r="K595" s="15">
        <v>1530</v>
      </c>
      <c r="L595" s="15" t="s">
        <v>499</v>
      </c>
      <c r="M595" s="15"/>
      <c r="N595" s="15"/>
      <c r="O595" s="15"/>
      <c r="R595" s="5" t="s">
        <v>273</v>
      </c>
      <c r="S595" s="27">
        <v>100</v>
      </c>
      <c r="T595" s="28" t="s">
        <v>1453</v>
      </c>
    </row>
    <row r="596" customHeight="1" spans="1:20">
      <c r="A596" s="25">
        <f t="shared" si="31"/>
        <v>1110052</v>
      </c>
      <c r="B596" s="25">
        <v>1110</v>
      </c>
      <c r="C596" s="25" t="s">
        <v>1335</v>
      </c>
      <c r="D596" s="25" t="s">
        <v>1336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1454</v>
      </c>
      <c r="J596" s="15">
        <v>15600</v>
      </c>
      <c r="K596" s="15">
        <v>1560</v>
      </c>
      <c r="L596" s="15" t="s">
        <v>515</v>
      </c>
      <c r="M596" s="15"/>
      <c r="N596" s="15"/>
      <c r="O596" s="15"/>
      <c r="R596" s="5" t="s">
        <v>273</v>
      </c>
      <c r="S596" s="27">
        <v>102</v>
      </c>
      <c r="T596" s="28" t="s">
        <v>1455</v>
      </c>
    </row>
    <row r="597" customHeight="1" spans="1:20">
      <c r="A597" s="25">
        <f t="shared" si="31"/>
        <v>1110053</v>
      </c>
      <c r="B597" s="25">
        <v>1110</v>
      </c>
      <c r="C597" s="25" t="s">
        <v>1335</v>
      </c>
      <c r="D597" s="25" t="s">
        <v>1336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1456</v>
      </c>
      <c r="J597" s="15">
        <v>15900</v>
      </c>
      <c r="K597" s="15">
        <v>1590</v>
      </c>
      <c r="L597" s="15" t="s">
        <v>515</v>
      </c>
      <c r="M597" s="15"/>
      <c r="N597" s="15"/>
      <c r="O597" s="15"/>
      <c r="R597" s="5" t="s">
        <v>273</v>
      </c>
      <c r="S597" s="27">
        <v>104</v>
      </c>
      <c r="T597" s="28" t="s">
        <v>1457</v>
      </c>
    </row>
    <row r="598" customHeight="1" spans="1:20">
      <c r="A598" s="25">
        <f t="shared" si="31"/>
        <v>1110054</v>
      </c>
      <c r="B598" s="25">
        <v>1110</v>
      </c>
      <c r="C598" s="25" t="s">
        <v>1335</v>
      </c>
      <c r="D598" s="25" t="s">
        <v>1336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1458</v>
      </c>
      <c r="J598" s="15">
        <v>16200</v>
      </c>
      <c r="K598" s="15">
        <v>1620</v>
      </c>
      <c r="L598" s="15" t="s">
        <v>515</v>
      </c>
      <c r="M598" s="15"/>
      <c r="N598" s="15"/>
      <c r="O598" s="15"/>
      <c r="R598" s="5" t="s">
        <v>273</v>
      </c>
      <c r="S598" s="27">
        <v>106</v>
      </c>
      <c r="T598" s="28" t="s">
        <v>1459</v>
      </c>
    </row>
    <row r="599" customHeight="1" spans="1:20">
      <c r="A599" s="25">
        <f t="shared" si="31"/>
        <v>1110055</v>
      </c>
      <c r="B599" s="25">
        <v>1110</v>
      </c>
      <c r="C599" s="25" t="s">
        <v>1335</v>
      </c>
      <c r="D599" s="25" t="s">
        <v>1336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1460</v>
      </c>
      <c r="J599" s="15">
        <v>16500</v>
      </c>
      <c r="K599" s="15">
        <v>1650</v>
      </c>
      <c r="L599" s="15" t="s">
        <v>523</v>
      </c>
      <c r="M599" s="15"/>
      <c r="N599" s="15"/>
      <c r="O599" s="15"/>
      <c r="R599" s="5" t="s">
        <v>273</v>
      </c>
      <c r="S599" s="27">
        <v>108</v>
      </c>
      <c r="T599" s="28" t="s">
        <v>1461</v>
      </c>
    </row>
    <row r="600" customHeight="1" spans="1:20">
      <c r="A600" s="25">
        <f t="shared" si="31"/>
        <v>1110056</v>
      </c>
      <c r="B600" s="25">
        <v>1110</v>
      </c>
      <c r="C600" s="25" t="s">
        <v>1335</v>
      </c>
      <c r="D600" s="25" t="s">
        <v>1336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1462</v>
      </c>
      <c r="J600" s="15">
        <v>16800</v>
      </c>
      <c r="K600" s="15">
        <v>1680</v>
      </c>
      <c r="L600" s="15" t="s">
        <v>523</v>
      </c>
      <c r="M600" s="15"/>
      <c r="N600" s="15"/>
      <c r="O600" s="15"/>
      <c r="R600" s="5" t="s">
        <v>273</v>
      </c>
      <c r="S600" s="27">
        <v>110</v>
      </c>
      <c r="T600" s="28" t="s">
        <v>1463</v>
      </c>
    </row>
    <row r="601" customHeight="1" spans="1:20">
      <c r="A601" s="25">
        <f t="shared" si="31"/>
        <v>1110057</v>
      </c>
      <c r="B601" s="25">
        <v>1110</v>
      </c>
      <c r="C601" s="25" t="s">
        <v>1335</v>
      </c>
      <c r="D601" s="25" t="s">
        <v>1336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1464</v>
      </c>
      <c r="J601" s="15">
        <v>17100</v>
      </c>
      <c r="K601" s="15">
        <v>1710</v>
      </c>
      <c r="L601" s="15" t="s">
        <v>523</v>
      </c>
      <c r="M601" s="15"/>
      <c r="N601" s="15"/>
      <c r="O601" s="15"/>
      <c r="R601" s="5" t="s">
        <v>273</v>
      </c>
      <c r="S601" s="27">
        <v>112</v>
      </c>
      <c r="T601" s="28" t="s">
        <v>1465</v>
      </c>
    </row>
    <row r="602" customHeight="1" spans="1:20">
      <c r="A602" s="25">
        <f t="shared" si="31"/>
        <v>1110058</v>
      </c>
      <c r="B602" s="25">
        <v>1110</v>
      </c>
      <c r="C602" s="25" t="s">
        <v>1335</v>
      </c>
      <c r="D602" s="25" t="s">
        <v>1336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1466</v>
      </c>
      <c r="J602" s="15">
        <v>17400</v>
      </c>
      <c r="K602" s="15">
        <v>1740</v>
      </c>
      <c r="L602" s="15" t="s">
        <v>530</v>
      </c>
      <c r="M602" s="15"/>
      <c r="N602" s="15"/>
      <c r="O602" s="15"/>
      <c r="R602" s="5" t="s">
        <v>273</v>
      </c>
      <c r="S602" s="27">
        <v>114</v>
      </c>
      <c r="T602" s="28" t="s">
        <v>1467</v>
      </c>
    </row>
    <row r="603" customHeight="1" spans="1:20">
      <c r="A603" s="25">
        <f t="shared" si="31"/>
        <v>1110059</v>
      </c>
      <c r="B603" s="25">
        <v>1110</v>
      </c>
      <c r="C603" s="25" t="s">
        <v>1335</v>
      </c>
      <c r="D603" s="25" t="s">
        <v>1336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1468</v>
      </c>
      <c r="J603" s="15">
        <v>17700</v>
      </c>
      <c r="K603" s="15">
        <v>1770</v>
      </c>
      <c r="L603" s="15" t="s">
        <v>530</v>
      </c>
      <c r="M603" s="15"/>
      <c r="N603" s="15"/>
      <c r="O603" s="15"/>
      <c r="R603" s="5" t="s">
        <v>273</v>
      </c>
      <c r="S603" s="27">
        <v>116</v>
      </c>
      <c r="T603" s="10" t="s">
        <v>1469</v>
      </c>
    </row>
    <row r="604" customHeight="1" spans="1:20">
      <c r="A604" s="25">
        <f t="shared" si="31"/>
        <v>1110060</v>
      </c>
      <c r="B604" s="25">
        <v>1110</v>
      </c>
      <c r="C604" s="25" t="s">
        <v>1335</v>
      </c>
      <c r="D604" s="25" t="s">
        <v>1336</v>
      </c>
      <c r="E604" s="25">
        <v>26</v>
      </c>
      <c r="F604" s="25">
        <v>60</v>
      </c>
      <c r="G604" s="25">
        <v>12</v>
      </c>
      <c r="H604" s="25"/>
      <c r="I604" s="25" t="s">
        <v>1470</v>
      </c>
      <c r="J604" s="15">
        <v>18000</v>
      </c>
      <c r="K604" s="15">
        <v>1800</v>
      </c>
      <c r="L604" s="15" t="s">
        <v>530</v>
      </c>
      <c r="M604" s="15"/>
      <c r="N604" s="15"/>
      <c r="O604" s="15"/>
      <c r="R604" s="5" t="s">
        <v>273</v>
      </c>
      <c r="S604" s="27"/>
      <c r="T604" s="10" t="s">
        <v>1471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1472</v>
      </c>
      <c r="D605" s="29" t="s">
        <v>1473</v>
      </c>
      <c r="E605" s="25">
        <v>44</v>
      </c>
      <c r="F605" s="29">
        <v>1</v>
      </c>
      <c r="G605" s="29">
        <v>5</v>
      </c>
      <c r="H605" s="29" t="s">
        <v>1474</v>
      </c>
      <c r="I605" s="29" t="s">
        <v>1475</v>
      </c>
      <c r="J605" s="30">
        <v>1200</v>
      </c>
      <c r="K605" s="15">
        <v>75</v>
      </c>
      <c r="L605" s="15" t="s">
        <v>475</v>
      </c>
      <c r="M605" s="30"/>
      <c r="N605" s="30"/>
      <c r="O605" s="30"/>
      <c r="P605" s="6" t="s">
        <v>1476</v>
      </c>
      <c r="Q605" s="6" t="s">
        <v>1477</v>
      </c>
      <c r="R605" s="6" t="s">
        <v>1478</v>
      </c>
      <c r="S605" s="32">
        <v>2</v>
      </c>
      <c r="T605" s="35" t="s">
        <v>1479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1472</v>
      </c>
      <c r="D606" s="29" t="s">
        <v>1473</v>
      </c>
      <c r="E606" s="25">
        <v>44</v>
      </c>
      <c r="F606" s="29">
        <v>2</v>
      </c>
      <c r="G606" s="29">
        <v>8</v>
      </c>
      <c r="H606" s="29" t="s">
        <v>1480</v>
      </c>
      <c r="I606" s="29" t="s">
        <v>1481</v>
      </c>
      <c r="J606" s="30">
        <v>2400</v>
      </c>
      <c r="K606" s="15">
        <v>150</v>
      </c>
      <c r="L606" s="15" t="s">
        <v>475</v>
      </c>
      <c r="M606" s="30"/>
      <c r="N606" s="30"/>
      <c r="O606" s="30"/>
      <c r="P606" s="6" t="s">
        <v>1482</v>
      </c>
      <c r="Q606" s="6" t="s">
        <v>1483</v>
      </c>
      <c r="R606" s="6">
        <v>1111261</v>
      </c>
      <c r="S606" s="32">
        <v>4</v>
      </c>
      <c r="T606" s="35" t="s">
        <v>1484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1472</v>
      </c>
      <c r="D607" s="29" t="s">
        <v>1473</v>
      </c>
      <c r="E607" s="25">
        <v>44</v>
      </c>
      <c r="F607" s="29">
        <v>3</v>
      </c>
      <c r="G607" s="29">
        <v>10</v>
      </c>
      <c r="H607" s="29" t="s">
        <v>1485</v>
      </c>
      <c r="I607" s="29" t="s">
        <v>1486</v>
      </c>
      <c r="J607" s="30">
        <v>3600</v>
      </c>
      <c r="K607" s="15">
        <v>225</v>
      </c>
      <c r="L607" s="15" t="s">
        <v>475</v>
      </c>
      <c r="M607" s="30"/>
      <c r="N607" s="30"/>
      <c r="O607" s="30"/>
      <c r="P607" s="6" t="s">
        <v>1487</v>
      </c>
      <c r="Q607" s="6" t="s">
        <v>1488</v>
      </c>
      <c r="R607" s="6">
        <v>1111255</v>
      </c>
      <c r="S607" s="32">
        <v>8</v>
      </c>
      <c r="T607" s="35" t="s">
        <v>1489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1472</v>
      </c>
      <c r="D608" s="29" t="s">
        <v>1473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1490</v>
      </c>
      <c r="J608" s="30">
        <v>4800</v>
      </c>
      <c r="K608" s="15">
        <v>300</v>
      </c>
      <c r="L608" s="15" t="s">
        <v>482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1491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1472</v>
      </c>
      <c r="D609" s="29" t="s">
        <v>1473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1492</v>
      </c>
      <c r="J609" s="30">
        <v>6000</v>
      </c>
      <c r="K609" s="15">
        <v>375</v>
      </c>
      <c r="L609" s="15" t="s">
        <v>482</v>
      </c>
      <c r="M609" s="30" t="s">
        <v>1493</v>
      </c>
      <c r="N609" s="30">
        <v>10</v>
      </c>
      <c r="O609" s="30"/>
      <c r="R609" s="6">
        <v>1111266</v>
      </c>
      <c r="S609" s="32">
        <v>16</v>
      </c>
      <c r="T609" s="35" t="s">
        <v>1494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1472</v>
      </c>
      <c r="D610" s="29" t="s">
        <v>1473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1495</v>
      </c>
      <c r="J610" s="30">
        <v>7200</v>
      </c>
      <c r="K610" s="15">
        <v>450</v>
      </c>
      <c r="L610" s="15" t="s">
        <v>482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1496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1472</v>
      </c>
      <c r="D611" s="29" t="s">
        <v>1473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1497</v>
      </c>
      <c r="J611" s="30">
        <v>8400</v>
      </c>
      <c r="K611" s="15">
        <v>525</v>
      </c>
      <c r="L611" s="15" t="s">
        <v>489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1498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1472</v>
      </c>
      <c r="D612" s="29" t="s">
        <v>1473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1499</v>
      </c>
      <c r="J612" s="30">
        <v>9600</v>
      </c>
      <c r="K612" s="15">
        <v>600</v>
      </c>
      <c r="L612" s="15" t="s">
        <v>489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1500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1472</v>
      </c>
      <c r="D613" s="29" t="s">
        <v>1473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1501</v>
      </c>
      <c r="J613" s="30">
        <v>10800</v>
      </c>
      <c r="K613" s="15">
        <v>675</v>
      </c>
      <c r="L613" s="15" t="s">
        <v>489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1502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1472</v>
      </c>
      <c r="D614" s="29" t="s">
        <v>1473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1503</v>
      </c>
      <c r="J614" s="30">
        <v>12000</v>
      </c>
      <c r="K614" s="15">
        <v>750</v>
      </c>
      <c r="L614" s="15" t="s">
        <v>1142</v>
      </c>
      <c r="M614" s="30" t="s">
        <v>1504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1505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1472</v>
      </c>
      <c r="D615" s="29" t="s">
        <v>1473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1506</v>
      </c>
      <c r="J615" s="30">
        <v>13200</v>
      </c>
      <c r="K615" s="15">
        <v>825</v>
      </c>
      <c r="L615" s="15" t="s">
        <v>1142</v>
      </c>
      <c r="M615" s="30"/>
      <c r="N615" s="30"/>
      <c r="O615" s="30"/>
      <c r="P615" s="31"/>
      <c r="Q615" s="31"/>
      <c r="R615" s="6"/>
      <c r="S615" s="32">
        <v>40</v>
      </c>
      <c r="T615" s="35" t="s">
        <v>1507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1472</v>
      </c>
      <c r="D616" s="29" t="s">
        <v>1473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1508</v>
      </c>
      <c r="J616" s="30">
        <v>14400</v>
      </c>
      <c r="K616" s="15">
        <v>900</v>
      </c>
      <c r="L616" s="15" t="s">
        <v>1142</v>
      </c>
      <c r="M616" s="30"/>
      <c r="N616" s="30"/>
      <c r="O616" s="30"/>
      <c r="P616" s="31"/>
      <c r="Q616" s="31"/>
      <c r="R616" s="6"/>
      <c r="S616" s="32">
        <v>44</v>
      </c>
      <c r="T616" s="35" t="s">
        <v>1509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1472</v>
      </c>
      <c r="D617" s="29" t="s">
        <v>1473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1510</v>
      </c>
      <c r="J617" s="30">
        <v>15600</v>
      </c>
      <c r="K617" s="15">
        <v>975</v>
      </c>
      <c r="L617" s="15" t="s">
        <v>1149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1511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1472</v>
      </c>
      <c r="D618" s="29" t="s">
        <v>1473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1512</v>
      </c>
      <c r="J618" s="30">
        <v>16800</v>
      </c>
      <c r="K618" s="15">
        <v>1050</v>
      </c>
      <c r="L618" s="15" t="s">
        <v>1149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1513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1472</v>
      </c>
      <c r="D619" s="29" t="s">
        <v>1473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1514</v>
      </c>
      <c r="J619" s="30">
        <v>18000</v>
      </c>
      <c r="K619" s="15">
        <v>1125</v>
      </c>
      <c r="L619" s="15" t="s">
        <v>1149</v>
      </c>
      <c r="M619" s="30" t="s">
        <v>1515</v>
      </c>
      <c r="N619" s="30">
        <v>30</v>
      </c>
      <c r="O619" s="30"/>
      <c r="P619" s="31"/>
      <c r="Q619" s="31"/>
      <c r="S619" s="32">
        <v>56</v>
      </c>
      <c r="T619" s="35" t="s">
        <v>1516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1472</v>
      </c>
      <c r="D620" s="29" t="s">
        <v>1473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1517</v>
      </c>
      <c r="J620" s="30">
        <v>19200</v>
      </c>
      <c r="K620" s="15">
        <v>1200</v>
      </c>
      <c r="L620" s="15" t="s">
        <v>1156</v>
      </c>
      <c r="M620" s="30"/>
      <c r="N620" s="30"/>
      <c r="O620" s="30"/>
      <c r="P620" s="31"/>
      <c r="Q620" s="31"/>
      <c r="S620" s="32">
        <v>60</v>
      </c>
      <c r="T620" s="35" t="s">
        <v>1518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1472</v>
      </c>
      <c r="D621" s="29" t="s">
        <v>1473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1519</v>
      </c>
      <c r="J621" s="30">
        <v>20400</v>
      </c>
      <c r="K621" s="15">
        <v>1275</v>
      </c>
      <c r="L621" s="15" t="s">
        <v>1156</v>
      </c>
      <c r="M621" s="30"/>
      <c r="N621" s="30"/>
      <c r="O621" s="30"/>
      <c r="P621" s="31"/>
      <c r="Q621" s="31"/>
      <c r="S621" s="32">
        <v>64</v>
      </c>
      <c r="T621" s="35" t="s">
        <v>1520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1472</v>
      </c>
      <c r="D622" s="29" t="s">
        <v>1473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1521</v>
      </c>
      <c r="J622" s="30">
        <v>21600</v>
      </c>
      <c r="K622" s="15">
        <v>1350</v>
      </c>
      <c r="L622" s="15" t="s">
        <v>1156</v>
      </c>
      <c r="M622" s="30"/>
      <c r="N622" s="30"/>
      <c r="O622" s="30"/>
      <c r="P622" s="31"/>
      <c r="Q622" s="31"/>
      <c r="R622" s="7"/>
      <c r="S622" s="32">
        <v>68</v>
      </c>
      <c r="T622" s="35" t="s">
        <v>1522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1472</v>
      </c>
      <c r="D623" s="29" t="s">
        <v>1473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1523</v>
      </c>
      <c r="J623" s="30">
        <v>22800</v>
      </c>
      <c r="K623" s="15">
        <v>1425</v>
      </c>
      <c r="L623" s="15" t="s">
        <v>1163</v>
      </c>
      <c r="M623" s="30"/>
      <c r="N623" s="30"/>
      <c r="O623" s="30"/>
      <c r="P623" s="31"/>
      <c r="Q623" s="31"/>
      <c r="R623" s="7"/>
      <c r="S623" s="32">
        <v>72</v>
      </c>
      <c r="T623" s="35" t="s">
        <v>1524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1472</v>
      </c>
      <c r="D624" s="29" t="s">
        <v>1473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1525</v>
      </c>
      <c r="J624" s="30">
        <v>24000</v>
      </c>
      <c r="K624" s="15">
        <v>1500</v>
      </c>
      <c r="L624" s="15" t="s">
        <v>1163</v>
      </c>
      <c r="M624" s="30" t="s">
        <v>1526</v>
      </c>
      <c r="N624" s="30">
        <v>40</v>
      </c>
      <c r="O624" s="30"/>
      <c r="P624" s="31"/>
      <c r="Q624" s="31"/>
      <c r="R624" s="7"/>
      <c r="S624" s="32">
        <v>76</v>
      </c>
      <c r="T624" s="35" t="s">
        <v>1527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1472</v>
      </c>
      <c r="D625" s="29" t="s">
        <v>1473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1528</v>
      </c>
      <c r="J625" s="30">
        <v>25200</v>
      </c>
      <c r="K625" s="15">
        <v>1575</v>
      </c>
      <c r="L625" s="15" t="s">
        <v>1163</v>
      </c>
      <c r="M625" s="30"/>
      <c r="N625" s="30"/>
      <c r="O625" s="30"/>
      <c r="P625" s="31"/>
      <c r="Q625" s="31"/>
      <c r="R625" s="6"/>
      <c r="S625" s="32">
        <v>80</v>
      </c>
      <c r="T625" s="35" t="s">
        <v>1529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1472</v>
      </c>
      <c r="D626" s="29" t="s">
        <v>1473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1530</v>
      </c>
      <c r="J626" s="30">
        <v>26400</v>
      </c>
      <c r="K626" s="15">
        <v>1650</v>
      </c>
      <c r="L626" s="15" t="s">
        <v>1170</v>
      </c>
      <c r="M626" s="30"/>
      <c r="N626" s="30"/>
      <c r="O626" s="30"/>
      <c r="P626" s="31"/>
      <c r="Q626" s="31"/>
      <c r="R626" s="6"/>
      <c r="S626" s="32">
        <v>84</v>
      </c>
      <c r="T626" s="35" t="s">
        <v>1531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1472</v>
      </c>
      <c r="D627" s="29" t="s">
        <v>1473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1532</v>
      </c>
      <c r="J627" s="30">
        <v>27600</v>
      </c>
      <c r="K627" s="15">
        <v>1725</v>
      </c>
      <c r="L627" s="15" t="s">
        <v>1170</v>
      </c>
      <c r="M627" s="30"/>
      <c r="N627" s="30"/>
      <c r="O627" s="30"/>
      <c r="P627" s="31"/>
      <c r="Q627" s="31"/>
      <c r="R627" s="6"/>
      <c r="S627" s="32">
        <v>88</v>
      </c>
      <c r="T627" s="35" t="s">
        <v>1533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1472</v>
      </c>
      <c r="D628" s="29" t="s">
        <v>1473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1534</v>
      </c>
      <c r="J628" s="30">
        <v>28800</v>
      </c>
      <c r="K628" s="15">
        <v>1800</v>
      </c>
      <c r="L628" s="15" t="s">
        <v>1170</v>
      </c>
      <c r="M628" s="30"/>
      <c r="N628" s="30"/>
      <c r="O628" s="30"/>
      <c r="P628" s="31"/>
      <c r="Q628" s="31"/>
      <c r="R628" s="6"/>
      <c r="S628" s="32">
        <v>92</v>
      </c>
      <c r="T628" s="35" t="s">
        <v>1535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1472</v>
      </c>
      <c r="D629" s="29" t="s">
        <v>1473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1536</v>
      </c>
      <c r="J629" s="30">
        <v>30000</v>
      </c>
      <c r="K629" s="15">
        <v>1875</v>
      </c>
      <c r="L629" s="15" t="s">
        <v>1177</v>
      </c>
      <c r="M629" s="30" t="s">
        <v>1537</v>
      </c>
      <c r="N629" s="30">
        <v>50</v>
      </c>
      <c r="O629" s="30"/>
      <c r="P629" s="31"/>
      <c r="Q629" s="31"/>
      <c r="R629" s="33"/>
      <c r="S629" s="32">
        <v>96</v>
      </c>
      <c r="T629" s="35" t="s">
        <v>1538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1472</v>
      </c>
      <c r="D630" s="29" t="s">
        <v>1473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1539</v>
      </c>
      <c r="J630" s="30">
        <v>31200</v>
      </c>
      <c r="K630" s="15">
        <v>1950</v>
      </c>
      <c r="L630" s="15" t="s">
        <v>1177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1540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1472</v>
      </c>
      <c r="D631" s="29" t="s">
        <v>1473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1541</v>
      </c>
      <c r="J631" s="30">
        <v>32400</v>
      </c>
      <c r="K631" s="15">
        <v>2025</v>
      </c>
      <c r="L631" s="15" t="s">
        <v>1177</v>
      </c>
      <c r="M631" s="30"/>
      <c r="N631" s="30"/>
      <c r="O631" s="30"/>
      <c r="P631" s="31"/>
      <c r="Q631" s="31"/>
      <c r="R631" s="33"/>
      <c r="S631" s="32">
        <v>104</v>
      </c>
      <c r="T631" s="35" t="s">
        <v>1542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1472</v>
      </c>
      <c r="D632" s="29" t="s">
        <v>1473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1543</v>
      </c>
      <c r="J632" s="30">
        <v>33600</v>
      </c>
      <c r="K632" s="15">
        <v>2100</v>
      </c>
      <c r="L632" s="15" t="s">
        <v>1184</v>
      </c>
      <c r="M632" s="30"/>
      <c r="N632" s="30"/>
      <c r="O632" s="30"/>
      <c r="P632" s="31"/>
      <c r="Q632" s="31"/>
      <c r="R632" s="33" t="s">
        <v>273</v>
      </c>
      <c r="S632" s="32">
        <v>108</v>
      </c>
      <c r="T632" s="35" t="s">
        <v>1544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1472</v>
      </c>
      <c r="D633" s="29" t="s">
        <v>1473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1545</v>
      </c>
      <c r="J633" s="30">
        <v>34800</v>
      </c>
      <c r="K633" s="15">
        <v>2175</v>
      </c>
      <c r="L633" s="15" t="s">
        <v>1184</v>
      </c>
      <c r="M633" s="30"/>
      <c r="N633" s="30"/>
      <c r="O633" s="30"/>
      <c r="P633" s="31"/>
      <c r="Q633" s="31"/>
      <c r="R633" s="33" t="s">
        <v>273</v>
      </c>
      <c r="S633" s="32">
        <v>112</v>
      </c>
      <c r="T633" s="35" t="s">
        <v>1546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1472</v>
      </c>
      <c r="D634" s="29" t="s">
        <v>1473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1547</v>
      </c>
      <c r="J634" s="30">
        <v>36000</v>
      </c>
      <c r="K634" s="15">
        <v>2250</v>
      </c>
      <c r="L634" s="15" t="s">
        <v>1184</v>
      </c>
      <c r="M634" s="30" t="s">
        <v>1548</v>
      </c>
      <c r="N634" s="30">
        <v>60</v>
      </c>
      <c r="O634" s="30"/>
      <c r="P634" s="31"/>
      <c r="Q634" s="31"/>
      <c r="R634" s="33" t="s">
        <v>273</v>
      </c>
      <c r="S634" s="32">
        <v>116</v>
      </c>
      <c r="T634" s="35" t="s">
        <v>1549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1472</v>
      </c>
      <c r="D635" s="29" t="s">
        <v>1473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1550</v>
      </c>
      <c r="J635" s="30">
        <v>37200</v>
      </c>
      <c r="K635" s="15">
        <v>2325</v>
      </c>
      <c r="L635" s="15" t="s">
        <v>1191</v>
      </c>
      <c r="M635" s="30"/>
      <c r="N635" s="30"/>
      <c r="O635" s="30"/>
      <c r="P635" s="31"/>
      <c r="Q635" s="31"/>
      <c r="R635" s="33" t="s">
        <v>273</v>
      </c>
      <c r="S635" s="32">
        <v>120</v>
      </c>
      <c r="T635" s="35" t="s">
        <v>1551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1472</v>
      </c>
      <c r="D636" s="29" t="s">
        <v>1473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1552</v>
      </c>
      <c r="J636" s="30">
        <v>38400</v>
      </c>
      <c r="K636" s="15">
        <v>2400</v>
      </c>
      <c r="L636" s="15" t="s">
        <v>1191</v>
      </c>
      <c r="M636" s="30"/>
      <c r="N636" s="30"/>
      <c r="O636" s="30"/>
      <c r="P636" s="31"/>
      <c r="Q636" s="31"/>
      <c r="R636" s="33" t="s">
        <v>273</v>
      </c>
      <c r="S636" s="32">
        <v>124</v>
      </c>
      <c r="T636" s="35" t="s">
        <v>1553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1472</v>
      </c>
      <c r="D637" s="29" t="s">
        <v>1473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1554</v>
      </c>
      <c r="J637" s="30">
        <v>39600</v>
      </c>
      <c r="K637" s="15">
        <v>2475</v>
      </c>
      <c r="L637" s="15" t="s">
        <v>1191</v>
      </c>
      <c r="M637" s="30"/>
      <c r="N637" s="30"/>
      <c r="O637" s="30"/>
      <c r="P637" s="31"/>
      <c r="Q637" s="31"/>
      <c r="R637" s="33" t="s">
        <v>273</v>
      </c>
      <c r="S637" s="32">
        <v>128</v>
      </c>
      <c r="T637" s="35" t="s">
        <v>1555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1472</v>
      </c>
      <c r="D638" s="29" t="s">
        <v>1473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1556</v>
      </c>
      <c r="J638" s="30">
        <v>40800</v>
      </c>
      <c r="K638" s="15">
        <v>2550</v>
      </c>
      <c r="L638" s="15" t="s">
        <v>1557</v>
      </c>
      <c r="M638" s="30"/>
      <c r="N638" s="30"/>
      <c r="O638" s="30"/>
      <c r="P638" s="31"/>
      <c r="Q638" s="31"/>
      <c r="R638" s="33" t="s">
        <v>273</v>
      </c>
      <c r="S638" s="32">
        <v>132</v>
      </c>
      <c r="T638" s="35" t="s">
        <v>1558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1472</v>
      </c>
      <c r="D639" s="29" t="s">
        <v>1473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1559</v>
      </c>
      <c r="J639" s="30">
        <v>42000</v>
      </c>
      <c r="K639" s="15">
        <v>2625</v>
      </c>
      <c r="L639" s="15" t="s">
        <v>1557</v>
      </c>
      <c r="M639" s="30"/>
      <c r="N639" s="30"/>
      <c r="O639" s="30"/>
      <c r="P639" s="31"/>
      <c r="Q639" s="31"/>
      <c r="R639" s="33" t="s">
        <v>273</v>
      </c>
      <c r="S639" s="32">
        <v>136</v>
      </c>
      <c r="T639" s="35" t="s">
        <v>1560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1472</v>
      </c>
      <c r="D640" s="29" t="s">
        <v>1473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1561</v>
      </c>
      <c r="J640" s="30">
        <v>43200</v>
      </c>
      <c r="K640" s="15">
        <v>2700</v>
      </c>
      <c r="L640" s="15" t="s">
        <v>1557</v>
      </c>
      <c r="M640" s="30"/>
      <c r="N640" s="30"/>
      <c r="O640" s="30"/>
      <c r="P640" s="31"/>
      <c r="Q640" s="31"/>
      <c r="R640" s="33" t="s">
        <v>273</v>
      </c>
      <c r="S640" s="32">
        <v>140</v>
      </c>
      <c r="T640" s="35" t="s">
        <v>1562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1472</v>
      </c>
      <c r="D641" s="29" t="s">
        <v>1473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1563</v>
      </c>
      <c r="J641" s="30">
        <v>44400</v>
      </c>
      <c r="K641" s="15">
        <v>2775</v>
      </c>
      <c r="L641" s="15" t="s">
        <v>1564</v>
      </c>
      <c r="M641" s="30"/>
      <c r="N641" s="30"/>
      <c r="O641" s="30"/>
      <c r="P641" s="31"/>
      <c r="Q641" s="31"/>
      <c r="R641" s="33" t="s">
        <v>273</v>
      </c>
      <c r="S641" s="32">
        <v>144</v>
      </c>
      <c r="T641" s="35" t="s">
        <v>1565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1472</v>
      </c>
      <c r="D642" s="29" t="s">
        <v>1473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1566</v>
      </c>
      <c r="J642" s="30">
        <v>45600</v>
      </c>
      <c r="K642" s="15">
        <v>2850</v>
      </c>
      <c r="L642" s="15" t="s">
        <v>1564</v>
      </c>
      <c r="M642" s="30"/>
      <c r="N642" s="30"/>
      <c r="O642" s="30"/>
      <c r="P642" s="31"/>
      <c r="Q642" s="31"/>
      <c r="R642" s="33" t="s">
        <v>273</v>
      </c>
      <c r="S642" s="32">
        <v>148</v>
      </c>
      <c r="T642" s="35" t="s">
        <v>1567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1472</v>
      </c>
      <c r="D643" s="29" t="s">
        <v>1473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1568</v>
      </c>
      <c r="J643" s="30">
        <v>46800</v>
      </c>
      <c r="K643" s="15">
        <v>2925</v>
      </c>
      <c r="L643" s="15" t="s">
        <v>1564</v>
      </c>
      <c r="M643" s="30"/>
      <c r="N643" s="30"/>
      <c r="O643" s="30"/>
      <c r="P643" s="31"/>
      <c r="Q643" s="31"/>
      <c r="R643" s="33" t="s">
        <v>273</v>
      </c>
      <c r="S643" s="32">
        <v>152</v>
      </c>
      <c r="T643" s="35" t="s">
        <v>1569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1472</v>
      </c>
      <c r="D644" s="29" t="s">
        <v>1473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1570</v>
      </c>
      <c r="J644" s="30">
        <v>48000</v>
      </c>
      <c r="K644" s="15">
        <v>3000</v>
      </c>
      <c r="L644" s="15" t="s">
        <v>1571</v>
      </c>
      <c r="M644" s="30"/>
      <c r="N644" s="30"/>
      <c r="O644" s="30"/>
      <c r="P644" s="31"/>
      <c r="Q644" s="31"/>
      <c r="R644" s="33" t="s">
        <v>273</v>
      </c>
      <c r="S644" s="32">
        <v>156</v>
      </c>
      <c r="T644" s="35" t="s">
        <v>1572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1472</v>
      </c>
      <c r="D645" s="29" t="s">
        <v>1473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1573</v>
      </c>
      <c r="J645" s="30">
        <v>49200</v>
      </c>
      <c r="K645" s="15">
        <v>3075</v>
      </c>
      <c r="L645" s="15" t="s">
        <v>1571</v>
      </c>
      <c r="M645" s="30"/>
      <c r="N645" s="30"/>
      <c r="O645" s="30"/>
      <c r="P645" s="31"/>
      <c r="Q645" s="31"/>
      <c r="R645" s="33" t="s">
        <v>273</v>
      </c>
      <c r="S645" s="32">
        <v>160</v>
      </c>
      <c r="T645" s="35" t="s">
        <v>1574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1472</v>
      </c>
      <c r="D646" s="29" t="s">
        <v>1473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1575</v>
      </c>
      <c r="J646" s="30">
        <v>50400</v>
      </c>
      <c r="K646" s="15">
        <v>3150</v>
      </c>
      <c r="L646" s="15" t="s">
        <v>1571</v>
      </c>
      <c r="M646" s="30"/>
      <c r="N646" s="30"/>
      <c r="O646" s="30"/>
      <c r="P646" s="31"/>
      <c r="Q646" s="31"/>
      <c r="R646" s="33" t="s">
        <v>273</v>
      </c>
      <c r="S646" s="32">
        <v>164</v>
      </c>
      <c r="T646" s="35" t="s">
        <v>1576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1472</v>
      </c>
      <c r="D647" s="29" t="s">
        <v>1473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1577</v>
      </c>
      <c r="J647" s="30">
        <v>51600</v>
      </c>
      <c r="K647" s="15">
        <v>3225</v>
      </c>
      <c r="L647" s="15" t="s">
        <v>1578</v>
      </c>
      <c r="M647" s="30"/>
      <c r="N647" s="30"/>
      <c r="O647" s="30"/>
      <c r="P647" s="31"/>
      <c r="Q647" s="31"/>
      <c r="R647" s="33" t="s">
        <v>273</v>
      </c>
      <c r="S647" s="32">
        <v>168</v>
      </c>
      <c r="T647" s="35" t="s">
        <v>1579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1472</v>
      </c>
      <c r="D648" s="29" t="s">
        <v>1473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1580</v>
      </c>
      <c r="J648" s="30">
        <v>52800</v>
      </c>
      <c r="K648" s="15">
        <v>3300</v>
      </c>
      <c r="L648" s="15" t="s">
        <v>1578</v>
      </c>
      <c r="M648" s="30"/>
      <c r="N648" s="30"/>
      <c r="O648" s="30"/>
      <c r="P648" s="31"/>
      <c r="Q648" s="31"/>
      <c r="R648" s="33" t="s">
        <v>273</v>
      </c>
      <c r="S648" s="32">
        <v>172</v>
      </c>
      <c r="T648" s="35" t="s">
        <v>1581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1472</v>
      </c>
      <c r="D649" s="29" t="s">
        <v>1473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1582</v>
      </c>
      <c r="J649" s="30">
        <v>54000</v>
      </c>
      <c r="K649" s="15">
        <v>3375</v>
      </c>
      <c r="L649" s="15" t="s">
        <v>1578</v>
      </c>
      <c r="M649" s="30"/>
      <c r="N649" s="30"/>
      <c r="O649" s="30"/>
      <c r="P649" s="31"/>
      <c r="Q649" s="31"/>
      <c r="R649" s="6" t="s">
        <v>273</v>
      </c>
      <c r="S649" s="32">
        <v>176</v>
      </c>
      <c r="T649" s="35" t="s">
        <v>1583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1472</v>
      </c>
      <c r="D650" s="29" t="s">
        <v>1473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1584</v>
      </c>
      <c r="J650" s="30">
        <v>55200</v>
      </c>
      <c r="K650" s="15">
        <v>3450</v>
      </c>
      <c r="L650" s="15" t="s">
        <v>1585</v>
      </c>
      <c r="M650" s="30"/>
      <c r="N650" s="30"/>
      <c r="O650" s="30"/>
      <c r="P650" s="31"/>
      <c r="Q650" s="31"/>
      <c r="R650" s="6" t="s">
        <v>273</v>
      </c>
      <c r="S650" s="32">
        <v>180</v>
      </c>
      <c r="T650" s="35" t="s">
        <v>1586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1472</v>
      </c>
      <c r="D651" s="29" t="s">
        <v>1473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1587</v>
      </c>
      <c r="J651" s="30">
        <v>56400</v>
      </c>
      <c r="K651" s="15">
        <v>3525</v>
      </c>
      <c r="L651" s="15" t="s">
        <v>1585</v>
      </c>
      <c r="M651" s="30"/>
      <c r="N651" s="30"/>
      <c r="O651" s="30"/>
      <c r="P651" s="31"/>
      <c r="Q651" s="31"/>
      <c r="R651" s="6" t="s">
        <v>273</v>
      </c>
      <c r="S651" s="32">
        <v>184</v>
      </c>
      <c r="T651" s="35" t="s">
        <v>1588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1472</v>
      </c>
      <c r="D652" s="29" t="s">
        <v>1473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1589</v>
      </c>
      <c r="J652" s="30">
        <v>57600</v>
      </c>
      <c r="K652" s="15">
        <v>3600</v>
      </c>
      <c r="L652" s="15" t="s">
        <v>1585</v>
      </c>
      <c r="M652" s="30"/>
      <c r="N652" s="30"/>
      <c r="O652" s="30"/>
      <c r="P652" s="31"/>
      <c r="Q652" s="31"/>
      <c r="R652" s="6" t="s">
        <v>273</v>
      </c>
      <c r="S652" s="32">
        <v>188</v>
      </c>
      <c r="T652" s="35" t="s">
        <v>1590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1472</v>
      </c>
      <c r="D653" s="29" t="s">
        <v>1473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1591</v>
      </c>
      <c r="J653" s="30">
        <v>58800</v>
      </c>
      <c r="K653" s="15">
        <v>3675</v>
      </c>
      <c r="L653" s="15" t="s">
        <v>1592</v>
      </c>
      <c r="M653" s="30"/>
      <c r="N653" s="30"/>
      <c r="O653" s="30"/>
      <c r="P653" s="31"/>
      <c r="Q653" s="31"/>
      <c r="R653" s="6" t="s">
        <v>273</v>
      </c>
      <c r="S653" s="32">
        <v>192</v>
      </c>
      <c r="T653" s="35" t="s">
        <v>1593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1472</v>
      </c>
      <c r="D654" s="29" t="s">
        <v>1473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1594</v>
      </c>
      <c r="J654" s="30">
        <v>60000</v>
      </c>
      <c r="K654" s="15">
        <v>3750</v>
      </c>
      <c r="L654" s="15" t="s">
        <v>1592</v>
      </c>
      <c r="M654" s="30"/>
      <c r="N654" s="30"/>
      <c r="O654" s="30"/>
      <c r="P654" s="31"/>
      <c r="Q654" s="31"/>
      <c r="R654" s="6" t="s">
        <v>273</v>
      </c>
      <c r="S654" s="32">
        <v>196</v>
      </c>
      <c r="T654" s="35" t="s">
        <v>1595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1472</v>
      </c>
      <c r="D655" s="29" t="s">
        <v>1473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1596</v>
      </c>
      <c r="J655" s="30">
        <v>61200</v>
      </c>
      <c r="K655" s="15">
        <v>3825</v>
      </c>
      <c r="L655" s="15" t="s">
        <v>1592</v>
      </c>
      <c r="M655" s="30"/>
      <c r="N655" s="30"/>
      <c r="O655" s="30"/>
      <c r="P655" s="31"/>
      <c r="Q655" s="31"/>
      <c r="R655" s="6" t="s">
        <v>273</v>
      </c>
      <c r="S655" s="32">
        <v>200</v>
      </c>
      <c r="T655" s="35" t="s">
        <v>1597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1472</v>
      </c>
      <c r="D656" s="29" t="s">
        <v>1473</v>
      </c>
      <c r="E656" s="25">
        <f>E655</f>
        <v>60</v>
      </c>
      <c r="F656" s="29">
        <v>52</v>
      </c>
      <c r="G656" s="29">
        <v>10</v>
      </c>
      <c r="H656" s="29"/>
      <c r="I656" s="29" t="s">
        <v>1598</v>
      </c>
      <c r="J656" s="30">
        <v>62400</v>
      </c>
      <c r="K656" s="15">
        <v>3900</v>
      </c>
      <c r="L656" s="15" t="s">
        <v>1592</v>
      </c>
      <c r="M656" s="30"/>
      <c r="N656" s="30"/>
      <c r="O656" s="30"/>
      <c r="P656" s="31"/>
      <c r="Q656" s="31"/>
      <c r="R656" s="6" t="s">
        <v>273</v>
      </c>
      <c r="S656" s="32">
        <v>204</v>
      </c>
      <c r="T656" s="35" t="s">
        <v>1599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1472</v>
      </c>
      <c r="D657" s="29" t="s">
        <v>1473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1600</v>
      </c>
      <c r="J657" s="30">
        <v>63600</v>
      </c>
      <c r="K657" s="15">
        <v>3975</v>
      </c>
      <c r="L657" s="15" t="s">
        <v>1592</v>
      </c>
      <c r="M657" s="30"/>
      <c r="N657" s="30"/>
      <c r="O657" s="30"/>
      <c r="P657" s="31"/>
      <c r="Q657" s="31"/>
      <c r="R657" s="6" t="s">
        <v>273</v>
      </c>
      <c r="S657" s="32">
        <v>208</v>
      </c>
      <c r="T657" s="35" t="s">
        <v>1601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1472</v>
      </c>
      <c r="D658" s="29" t="s">
        <v>1473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1602</v>
      </c>
      <c r="J658" s="30">
        <v>64800</v>
      </c>
      <c r="K658" s="15">
        <v>4050</v>
      </c>
      <c r="L658" s="15" t="s">
        <v>1592</v>
      </c>
      <c r="M658" s="30"/>
      <c r="N658" s="30"/>
      <c r="O658" s="30"/>
      <c r="P658" s="31"/>
      <c r="Q658" s="31"/>
      <c r="R658" s="6" t="s">
        <v>273</v>
      </c>
      <c r="S658" s="32">
        <v>212</v>
      </c>
      <c r="T658" s="35" t="s">
        <v>1603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1472</v>
      </c>
      <c r="D659" s="29" t="s">
        <v>1473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1604</v>
      </c>
      <c r="J659" s="30">
        <v>66000</v>
      </c>
      <c r="K659" s="15">
        <v>4125</v>
      </c>
      <c r="L659" s="15" t="s">
        <v>1592</v>
      </c>
      <c r="M659" s="30"/>
      <c r="N659" s="30"/>
      <c r="O659" s="30"/>
      <c r="P659" s="31"/>
      <c r="Q659" s="31"/>
      <c r="R659" s="6" t="s">
        <v>273</v>
      </c>
      <c r="S659" s="32">
        <v>216</v>
      </c>
      <c r="T659" s="35" t="s">
        <v>1605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1472</v>
      </c>
      <c r="D660" s="29" t="s">
        <v>1473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1606</v>
      </c>
      <c r="J660" s="30">
        <v>67200</v>
      </c>
      <c r="K660" s="15">
        <v>4200</v>
      </c>
      <c r="L660" s="15" t="s">
        <v>1592</v>
      </c>
      <c r="M660" s="30"/>
      <c r="N660" s="30"/>
      <c r="O660" s="30"/>
      <c r="P660" s="31"/>
      <c r="Q660" s="31"/>
      <c r="R660" s="6" t="s">
        <v>273</v>
      </c>
      <c r="S660" s="32">
        <v>220</v>
      </c>
      <c r="T660" s="35" t="s">
        <v>1607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1472</v>
      </c>
      <c r="D661" s="29" t="s">
        <v>1473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1608</v>
      </c>
      <c r="J661" s="30">
        <v>68400</v>
      </c>
      <c r="K661" s="15">
        <v>4275</v>
      </c>
      <c r="L661" s="15" t="s">
        <v>1592</v>
      </c>
      <c r="M661" s="30"/>
      <c r="N661" s="30"/>
      <c r="O661" s="30"/>
      <c r="P661" s="31"/>
      <c r="Q661" s="31"/>
      <c r="R661" s="6" t="s">
        <v>273</v>
      </c>
      <c r="S661" s="32">
        <v>224</v>
      </c>
      <c r="T661" s="35" t="s">
        <v>1609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1472</v>
      </c>
      <c r="D662" s="29" t="s">
        <v>1473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1610</v>
      </c>
      <c r="J662" s="30">
        <v>69600</v>
      </c>
      <c r="K662" s="15">
        <v>4350</v>
      </c>
      <c r="L662" s="15" t="s">
        <v>1592</v>
      </c>
      <c r="M662" s="30"/>
      <c r="N662" s="30"/>
      <c r="O662" s="30"/>
      <c r="P662" s="31"/>
      <c r="Q662" s="31"/>
      <c r="R662" s="6" t="s">
        <v>273</v>
      </c>
      <c r="S662" s="32">
        <v>228</v>
      </c>
      <c r="T662" s="35" t="s">
        <v>1611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1472</v>
      </c>
      <c r="D663" s="29" t="s">
        <v>1473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1612</v>
      </c>
      <c r="J663" s="30">
        <v>70800</v>
      </c>
      <c r="K663" s="15">
        <v>4425</v>
      </c>
      <c r="L663" s="15" t="s">
        <v>1592</v>
      </c>
      <c r="M663" s="30"/>
      <c r="N663" s="30"/>
      <c r="O663" s="30"/>
      <c r="P663" s="31"/>
      <c r="Q663" s="31"/>
      <c r="R663" s="6" t="s">
        <v>273</v>
      </c>
      <c r="S663" s="32">
        <v>232</v>
      </c>
      <c r="T663" s="35" t="s">
        <v>1613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1472</v>
      </c>
      <c r="D664" s="29" t="s">
        <v>1473</v>
      </c>
      <c r="E664" s="25">
        <v>60</v>
      </c>
      <c r="F664" s="29">
        <v>60</v>
      </c>
      <c r="G664" s="29">
        <v>10</v>
      </c>
      <c r="H664" s="29"/>
      <c r="I664" s="29" t="s">
        <v>1614</v>
      </c>
      <c r="J664" s="30">
        <v>72000</v>
      </c>
      <c r="K664" s="15">
        <v>4500</v>
      </c>
      <c r="L664" s="15" t="s">
        <v>1592</v>
      </c>
      <c r="M664" s="30"/>
      <c r="N664" s="30"/>
      <c r="O664" s="30"/>
      <c r="P664" s="31"/>
      <c r="Q664" s="31"/>
      <c r="R664" s="6" t="s">
        <v>273</v>
      </c>
      <c r="S664" s="32"/>
      <c r="T664" s="35" t="s">
        <v>1615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1616</v>
      </c>
      <c r="D665" s="25" t="s">
        <v>1617</v>
      </c>
      <c r="E665" s="25">
        <v>39</v>
      </c>
      <c r="F665" s="25">
        <v>1</v>
      </c>
      <c r="G665" s="25">
        <v>5</v>
      </c>
      <c r="H665" s="25" t="s">
        <v>1618</v>
      </c>
      <c r="I665" s="25" t="s">
        <v>1619</v>
      </c>
      <c r="J665" s="15">
        <v>1100</v>
      </c>
      <c r="K665" s="15">
        <v>70</v>
      </c>
      <c r="L665" s="15" t="s">
        <v>440</v>
      </c>
      <c r="M665" s="15"/>
      <c r="N665" s="15"/>
      <c r="O665" s="15"/>
      <c r="P665" s="5" t="s">
        <v>1620</v>
      </c>
      <c r="Q665" s="5" t="s">
        <v>1621</v>
      </c>
      <c r="R665" s="5" t="s">
        <v>1622</v>
      </c>
      <c r="S665" s="27">
        <v>2</v>
      </c>
      <c r="T665" s="28" t="s">
        <v>1623</v>
      </c>
    </row>
    <row r="666" customHeight="1" spans="1:20">
      <c r="A666" s="25">
        <f t="shared" si="36"/>
        <v>1112002</v>
      </c>
      <c r="B666" s="25">
        <v>1112</v>
      </c>
      <c r="C666" s="25" t="s">
        <v>1616</v>
      </c>
      <c r="D666" s="25" t="s">
        <v>1617</v>
      </c>
      <c r="E666" s="25">
        <v>39</v>
      </c>
      <c r="F666" s="25">
        <v>2</v>
      </c>
      <c r="G666" s="25">
        <v>8</v>
      </c>
      <c r="H666" s="25" t="s">
        <v>1624</v>
      </c>
      <c r="I666" s="25" t="s">
        <v>1625</v>
      </c>
      <c r="J666" s="15">
        <v>2200</v>
      </c>
      <c r="K666" s="15">
        <v>140</v>
      </c>
      <c r="L666" s="15" t="s">
        <v>440</v>
      </c>
      <c r="M666" s="15"/>
      <c r="N666" s="15"/>
      <c r="O666" s="15"/>
      <c r="P666" s="5" t="s">
        <v>1626</v>
      </c>
      <c r="Q666" s="5" t="s">
        <v>1627</v>
      </c>
      <c r="R666" s="5">
        <v>1112264</v>
      </c>
      <c r="S666" s="27">
        <v>4</v>
      </c>
      <c r="T666" s="28" t="s">
        <v>1628</v>
      </c>
    </row>
    <row r="667" customHeight="1" spans="1:20">
      <c r="A667" s="25">
        <f t="shared" si="36"/>
        <v>1112003</v>
      </c>
      <c r="B667" s="25">
        <v>1112</v>
      </c>
      <c r="C667" s="25" t="s">
        <v>1616</v>
      </c>
      <c r="D667" s="25" t="s">
        <v>1617</v>
      </c>
      <c r="E667" s="25">
        <v>39</v>
      </c>
      <c r="F667" s="25">
        <v>3</v>
      </c>
      <c r="G667" s="25">
        <v>10</v>
      </c>
      <c r="H667" s="25" t="s">
        <v>1629</v>
      </c>
      <c r="I667" s="25" t="s">
        <v>1630</v>
      </c>
      <c r="J667" s="15">
        <v>3300</v>
      </c>
      <c r="K667" s="15">
        <v>210</v>
      </c>
      <c r="L667" s="15" t="s">
        <v>440</v>
      </c>
      <c r="M667" s="15"/>
      <c r="N667" s="15"/>
      <c r="O667" s="15"/>
      <c r="P667" s="5" t="s">
        <v>1631</v>
      </c>
      <c r="Q667" s="5" t="s">
        <v>1632</v>
      </c>
      <c r="R667" s="5">
        <v>1112255</v>
      </c>
      <c r="S667" s="27">
        <v>8</v>
      </c>
      <c r="T667" s="28" t="s">
        <v>1633</v>
      </c>
    </row>
    <row r="668" customHeight="1" spans="1:20">
      <c r="A668" s="25">
        <f t="shared" si="36"/>
        <v>1112004</v>
      </c>
      <c r="B668" s="25">
        <v>1112</v>
      </c>
      <c r="C668" s="25" t="s">
        <v>1616</v>
      </c>
      <c r="D668" s="25" t="s">
        <v>1617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1634</v>
      </c>
      <c r="J668" s="15">
        <v>4400</v>
      </c>
      <c r="K668" s="15">
        <v>280</v>
      </c>
      <c r="L668" s="15" t="s">
        <v>447</v>
      </c>
      <c r="M668" s="15"/>
      <c r="N668" s="15"/>
      <c r="O668" s="15"/>
      <c r="R668" s="5">
        <v>1112254</v>
      </c>
      <c r="S668" s="27">
        <v>12</v>
      </c>
      <c r="T668" s="28" t="s">
        <v>1635</v>
      </c>
    </row>
    <row r="669" customHeight="1" spans="1:20">
      <c r="A669" s="25">
        <f t="shared" si="36"/>
        <v>1112005</v>
      </c>
      <c r="B669" s="25">
        <v>1112</v>
      </c>
      <c r="C669" s="25" t="s">
        <v>1616</v>
      </c>
      <c r="D669" s="25" t="s">
        <v>1617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1636</v>
      </c>
      <c r="J669" s="15">
        <v>5500</v>
      </c>
      <c r="K669" s="15">
        <v>350</v>
      </c>
      <c r="L669" s="15" t="s">
        <v>447</v>
      </c>
      <c r="M669" s="15" t="s">
        <v>1637</v>
      </c>
      <c r="N669" s="15">
        <v>10</v>
      </c>
      <c r="O669" s="15"/>
      <c r="R669" s="5">
        <v>1112263</v>
      </c>
      <c r="S669" s="27">
        <v>16</v>
      </c>
      <c r="T669" s="28" t="s">
        <v>1638</v>
      </c>
    </row>
    <row r="670" customHeight="1" spans="1:20">
      <c r="A670" s="25">
        <f t="shared" si="36"/>
        <v>1112006</v>
      </c>
      <c r="B670" s="25">
        <v>1112</v>
      </c>
      <c r="C670" s="25" t="s">
        <v>1616</v>
      </c>
      <c r="D670" s="25" t="s">
        <v>1617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1639</v>
      </c>
      <c r="J670" s="15">
        <v>6600</v>
      </c>
      <c r="K670" s="15">
        <v>420</v>
      </c>
      <c r="L670" s="15" t="s">
        <v>447</v>
      </c>
      <c r="M670" s="15"/>
      <c r="N670" s="15"/>
      <c r="O670" s="15"/>
      <c r="R670" s="5">
        <v>1112262</v>
      </c>
      <c r="S670" s="27">
        <v>20</v>
      </c>
      <c r="T670" s="28" t="s">
        <v>1640</v>
      </c>
    </row>
    <row r="671" customHeight="1" spans="1:20">
      <c r="A671" s="25">
        <f t="shared" si="36"/>
        <v>1112007</v>
      </c>
      <c r="B671" s="25">
        <v>1112</v>
      </c>
      <c r="C671" s="25" t="s">
        <v>1616</v>
      </c>
      <c r="D671" s="25" t="s">
        <v>1617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1641</v>
      </c>
      <c r="J671" s="15">
        <v>7700</v>
      </c>
      <c r="K671" s="15">
        <v>490</v>
      </c>
      <c r="L671" s="15" t="s">
        <v>454</v>
      </c>
      <c r="M671" s="15"/>
      <c r="N671" s="15"/>
      <c r="O671" s="15"/>
      <c r="R671" s="5">
        <v>1112256</v>
      </c>
      <c r="S671" s="27">
        <v>24</v>
      </c>
      <c r="T671" s="28" t="s">
        <v>1642</v>
      </c>
    </row>
    <row r="672" customHeight="1" spans="1:20">
      <c r="A672" s="25">
        <f t="shared" si="36"/>
        <v>1112008</v>
      </c>
      <c r="B672" s="25">
        <v>1112</v>
      </c>
      <c r="C672" s="25" t="s">
        <v>1616</v>
      </c>
      <c r="D672" s="25" t="s">
        <v>1617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1643</v>
      </c>
      <c r="J672" s="15">
        <v>8800</v>
      </c>
      <c r="K672" s="15">
        <v>560</v>
      </c>
      <c r="L672" s="15" t="s">
        <v>454</v>
      </c>
      <c r="M672" s="15"/>
      <c r="N672" s="15"/>
      <c r="O672" s="15"/>
      <c r="S672" s="27">
        <v>28</v>
      </c>
      <c r="T672" s="28" t="s">
        <v>1644</v>
      </c>
    </row>
    <row r="673" customHeight="1" spans="1:20">
      <c r="A673" s="25">
        <f t="shared" si="36"/>
        <v>1112009</v>
      </c>
      <c r="B673" s="25">
        <v>1112</v>
      </c>
      <c r="C673" s="25" t="s">
        <v>1616</v>
      </c>
      <c r="D673" s="25" t="s">
        <v>1617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1645</v>
      </c>
      <c r="J673" s="15">
        <v>9900</v>
      </c>
      <c r="K673" s="15">
        <v>630</v>
      </c>
      <c r="L673" s="15" t="s">
        <v>454</v>
      </c>
      <c r="M673" s="15"/>
      <c r="N673" s="15"/>
      <c r="O673" s="15"/>
      <c r="R673" s="5">
        <v>1112259</v>
      </c>
      <c r="S673" s="27">
        <v>32</v>
      </c>
      <c r="T673" s="28" t="s">
        <v>1646</v>
      </c>
    </row>
    <row r="674" customHeight="1" spans="1:20">
      <c r="A674" s="25">
        <f t="shared" si="36"/>
        <v>1112010</v>
      </c>
      <c r="B674" s="25">
        <v>1112</v>
      </c>
      <c r="C674" s="25" t="s">
        <v>1616</v>
      </c>
      <c r="D674" s="25" t="s">
        <v>1617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1647</v>
      </c>
      <c r="J674" s="15">
        <v>11000</v>
      </c>
      <c r="K674" s="15">
        <v>700</v>
      </c>
      <c r="L674" s="15" t="s">
        <v>461</v>
      </c>
      <c r="M674" s="15" t="s">
        <v>1648</v>
      </c>
      <c r="N674" s="15">
        <v>20</v>
      </c>
      <c r="O674" s="15"/>
      <c r="R674" s="8"/>
      <c r="S674" s="27">
        <v>36</v>
      </c>
      <c r="T674" s="28" t="s">
        <v>1649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1616</v>
      </c>
      <c r="D675" s="25" t="s">
        <v>1617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1650</v>
      </c>
      <c r="J675" s="15">
        <v>12100</v>
      </c>
      <c r="K675" s="15">
        <v>770</v>
      </c>
      <c r="L675" s="15" t="s">
        <v>461</v>
      </c>
      <c r="M675" s="15"/>
      <c r="N675" s="15"/>
      <c r="O675" s="15"/>
      <c r="P675" s="14"/>
      <c r="Q675" s="14"/>
      <c r="R675" s="5"/>
      <c r="S675" s="27">
        <v>40</v>
      </c>
      <c r="T675" s="28" t="s">
        <v>1651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1616</v>
      </c>
      <c r="D676" s="25" t="s">
        <v>1617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1652</v>
      </c>
      <c r="J676" s="15">
        <v>13200</v>
      </c>
      <c r="K676" s="15">
        <v>840</v>
      </c>
      <c r="L676" s="15" t="s">
        <v>461</v>
      </c>
      <c r="M676" s="15"/>
      <c r="N676" s="15"/>
      <c r="O676" s="15"/>
      <c r="P676" s="14"/>
      <c r="Q676" s="14"/>
      <c r="R676" s="5"/>
      <c r="S676" s="27">
        <v>44</v>
      </c>
      <c r="T676" s="28" t="s">
        <v>1653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1616</v>
      </c>
      <c r="D677" s="25" t="s">
        <v>1617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1654</v>
      </c>
      <c r="J677" s="15">
        <v>14300</v>
      </c>
      <c r="K677" s="15">
        <v>910</v>
      </c>
      <c r="L677" s="15" t="s">
        <v>468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1655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1616</v>
      </c>
      <c r="D678" s="25" t="s">
        <v>1617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1656</v>
      </c>
      <c r="J678" s="15">
        <v>15400</v>
      </c>
      <c r="K678" s="15">
        <v>980</v>
      </c>
      <c r="L678" s="15" t="s">
        <v>468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1657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1616</v>
      </c>
      <c r="D679" s="25" t="s">
        <v>1617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1658</v>
      </c>
      <c r="J679" s="15">
        <v>16500</v>
      </c>
      <c r="K679" s="15">
        <v>1050</v>
      </c>
      <c r="L679" s="15" t="s">
        <v>468</v>
      </c>
      <c r="M679" s="15" t="s">
        <v>1659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1660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1616</v>
      </c>
      <c r="D680" s="25" t="s">
        <v>1617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1661</v>
      </c>
      <c r="J680" s="15">
        <v>17600</v>
      </c>
      <c r="K680" s="15">
        <v>1120</v>
      </c>
      <c r="L680" s="15" t="s">
        <v>475</v>
      </c>
      <c r="M680" s="15"/>
      <c r="N680" s="15"/>
      <c r="O680" s="15"/>
      <c r="P680" s="14"/>
      <c r="Q680" s="14"/>
      <c r="S680" s="27">
        <v>60</v>
      </c>
      <c r="T680" s="28" t="s">
        <v>1662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1616</v>
      </c>
      <c r="D681" s="25" t="s">
        <v>1617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1663</v>
      </c>
      <c r="J681" s="15">
        <v>18700</v>
      </c>
      <c r="K681" s="15">
        <v>1190</v>
      </c>
      <c r="L681" s="15" t="s">
        <v>475</v>
      </c>
      <c r="M681" s="15"/>
      <c r="N681" s="15"/>
      <c r="O681" s="15"/>
      <c r="P681" s="14"/>
      <c r="Q681" s="14"/>
      <c r="S681" s="27">
        <v>64</v>
      </c>
      <c r="T681" s="28" t="s">
        <v>1664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1616</v>
      </c>
      <c r="D682" s="25" t="s">
        <v>1617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1665</v>
      </c>
      <c r="J682" s="15">
        <v>19800</v>
      </c>
      <c r="K682" s="15">
        <v>1260</v>
      </c>
      <c r="L682" s="15" t="s">
        <v>475</v>
      </c>
      <c r="M682" s="15"/>
      <c r="N682" s="15"/>
      <c r="O682" s="15"/>
      <c r="P682" s="14"/>
      <c r="Q682" s="14"/>
      <c r="S682" s="27">
        <v>68</v>
      </c>
      <c r="T682" s="28" t="s">
        <v>1666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1616</v>
      </c>
      <c r="D683" s="25" t="s">
        <v>1617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1667</v>
      </c>
      <c r="J683" s="15">
        <v>20900</v>
      </c>
      <c r="K683" s="15">
        <v>1330</v>
      </c>
      <c r="L683" s="15" t="s">
        <v>482</v>
      </c>
      <c r="M683" s="15"/>
      <c r="N683" s="15"/>
      <c r="O683" s="15"/>
      <c r="P683" s="14"/>
      <c r="Q683" s="14"/>
      <c r="R683" s="36"/>
      <c r="S683" s="27">
        <v>72</v>
      </c>
      <c r="T683" s="28" t="s">
        <v>1668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1616</v>
      </c>
      <c r="D684" s="25" t="s">
        <v>1617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1669</v>
      </c>
      <c r="J684" s="15">
        <v>22000</v>
      </c>
      <c r="K684" s="15">
        <v>1400</v>
      </c>
      <c r="L684" s="15" t="s">
        <v>482</v>
      </c>
      <c r="M684" s="15" t="s">
        <v>1670</v>
      </c>
      <c r="N684" s="15">
        <v>40</v>
      </c>
      <c r="O684" s="15"/>
      <c r="P684" s="14"/>
      <c r="Q684" s="14"/>
      <c r="R684" s="36"/>
      <c r="S684" s="27">
        <v>76</v>
      </c>
      <c r="T684" s="28" t="s">
        <v>1671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1616</v>
      </c>
      <c r="D685" s="25" t="s">
        <v>1617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1672</v>
      </c>
      <c r="J685" s="15">
        <v>23100</v>
      </c>
      <c r="K685" s="15">
        <v>1470</v>
      </c>
      <c r="L685" s="15" t="s">
        <v>482</v>
      </c>
      <c r="M685" s="15"/>
      <c r="N685" s="15"/>
      <c r="O685" s="15"/>
      <c r="P685" s="14"/>
      <c r="Q685" s="14"/>
      <c r="R685" s="36"/>
      <c r="S685" s="27">
        <v>80</v>
      </c>
      <c r="T685" s="28" t="s">
        <v>1673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1616</v>
      </c>
      <c r="D686" s="25" t="s">
        <v>1617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1674</v>
      </c>
      <c r="J686" s="15">
        <v>24200</v>
      </c>
      <c r="K686" s="15">
        <v>1540</v>
      </c>
      <c r="L686" s="15" t="s">
        <v>489</v>
      </c>
      <c r="M686" s="15"/>
      <c r="N686" s="15"/>
      <c r="O686" s="15"/>
      <c r="P686" s="14"/>
      <c r="Q686" s="14"/>
      <c r="R686" s="5"/>
      <c r="S686" s="27">
        <v>84</v>
      </c>
      <c r="T686" s="28" t="s">
        <v>1675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1616</v>
      </c>
      <c r="D687" s="25" t="s">
        <v>1617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1676</v>
      </c>
      <c r="J687" s="15">
        <v>25300</v>
      </c>
      <c r="K687" s="15">
        <v>1610</v>
      </c>
      <c r="L687" s="15" t="s">
        <v>489</v>
      </c>
      <c r="M687" s="15"/>
      <c r="N687" s="15"/>
      <c r="O687" s="15"/>
      <c r="P687" s="14"/>
      <c r="Q687" s="14"/>
      <c r="R687" s="5"/>
      <c r="S687" s="27">
        <v>88</v>
      </c>
      <c r="T687" s="28" t="s">
        <v>1677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1616</v>
      </c>
      <c r="D688" s="25" t="s">
        <v>1617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1678</v>
      </c>
      <c r="J688" s="15">
        <v>26400</v>
      </c>
      <c r="K688" s="15">
        <v>1680</v>
      </c>
      <c r="L688" s="15" t="s">
        <v>489</v>
      </c>
      <c r="M688" s="15"/>
      <c r="N688" s="15"/>
      <c r="O688" s="15"/>
      <c r="P688" s="14"/>
      <c r="Q688" s="14"/>
      <c r="R688" s="5"/>
      <c r="S688" s="27">
        <v>92</v>
      </c>
      <c r="T688" s="28" t="s">
        <v>1679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1616</v>
      </c>
      <c r="D689" s="25" t="s">
        <v>1617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1680</v>
      </c>
      <c r="J689" s="15">
        <v>27500</v>
      </c>
      <c r="K689" s="15">
        <v>1750</v>
      </c>
      <c r="L689" s="15" t="s">
        <v>1142</v>
      </c>
      <c r="M689" s="15" t="s">
        <v>1681</v>
      </c>
      <c r="N689" s="15">
        <v>50</v>
      </c>
      <c r="O689" s="15"/>
      <c r="P689" s="14"/>
      <c r="Q689" s="14"/>
      <c r="R689" s="37" t="s">
        <v>273</v>
      </c>
      <c r="S689" s="27">
        <v>96</v>
      </c>
      <c r="T689" s="28" t="s">
        <v>1682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1616</v>
      </c>
      <c r="D690" s="25" t="s">
        <v>1617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1683</v>
      </c>
      <c r="J690" s="15">
        <v>28600</v>
      </c>
      <c r="K690" s="15">
        <v>1820</v>
      </c>
      <c r="L690" s="15" t="s">
        <v>1142</v>
      </c>
      <c r="M690" s="15"/>
      <c r="N690" s="15"/>
      <c r="O690" s="15"/>
      <c r="P690" s="14"/>
      <c r="Q690" s="14"/>
      <c r="R690" s="37" t="s">
        <v>273</v>
      </c>
      <c r="S690" s="27">
        <v>100</v>
      </c>
      <c r="T690" s="28" t="s">
        <v>1684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1616</v>
      </c>
      <c r="D691" s="25" t="s">
        <v>1617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1685</v>
      </c>
      <c r="J691" s="15">
        <v>29700</v>
      </c>
      <c r="K691" s="15">
        <v>1890</v>
      </c>
      <c r="L691" s="15" t="s">
        <v>1142</v>
      </c>
      <c r="M691" s="15"/>
      <c r="N691" s="15"/>
      <c r="O691" s="15"/>
      <c r="P691" s="14"/>
      <c r="Q691" s="14"/>
      <c r="R691" s="37" t="s">
        <v>273</v>
      </c>
      <c r="S691" s="27">
        <v>104</v>
      </c>
      <c r="T691" s="28" t="s">
        <v>1686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1616</v>
      </c>
      <c r="D692" s="25" t="s">
        <v>1617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1687</v>
      </c>
      <c r="J692" s="15">
        <v>30800</v>
      </c>
      <c r="K692" s="15">
        <v>1960</v>
      </c>
      <c r="L692" s="15" t="s">
        <v>1149</v>
      </c>
      <c r="M692" s="15"/>
      <c r="N692" s="15"/>
      <c r="O692" s="15"/>
      <c r="P692" s="14"/>
      <c r="Q692" s="14"/>
      <c r="R692" s="37" t="s">
        <v>273</v>
      </c>
      <c r="S692" s="27">
        <v>108</v>
      </c>
      <c r="T692" s="28" t="s">
        <v>1688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1616</v>
      </c>
      <c r="D693" s="25" t="s">
        <v>1617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1689</v>
      </c>
      <c r="J693" s="15">
        <v>31900</v>
      </c>
      <c r="K693" s="15">
        <v>2030</v>
      </c>
      <c r="L693" s="15" t="s">
        <v>1149</v>
      </c>
      <c r="M693" s="15"/>
      <c r="N693" s="15"/>
      <c r="O693" s="15"/>
      <c r="P693" s="14"/>
      <c r="Q693" s="14"/>
      <c r="R693" s="37" t="s">
        <v>273</v>
      </c>
      <c r="S693" s="27">
        <v>112</v>
      </c>
      <c r="T693" s="28" t="s">
        <v>1690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1616</v>
      </c>
      <c r="D694" s="25" t="s">
        <v>1617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1691</v>
      </c>
      <c r="J694" s="15">
        <v>33000</v>
      </c>
      <c r="K694" s="15">
        <v>2100</v>
      </c>
      <c r="L694" s="15" t="s">
        <v>1149</v>
      </c>
      <c r="M694" s="15" t="s">
        <v>1692</v>
      </c>
      <c r="N694" s="15">
        <v>60</v>
      </c>
      <c r="O694" s="15"/>
      <c r="P694" s="14"/>
      <c r="Q694" s="14"/>
      <c r="R694" s="37" t="s">
        <v>273</v>
      </c>
      <c r="S694" s="27">
        <v>116</v>
      </c>
      <c r="T694" s="28" t="s">
        <v>1693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1616</v>
      </c>
      <c r="D695" s="25" t="s">
        <v>1617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1694</v>
      </c>
      <c r="J695" s="15">
        <v>34100</v>
      </c>
      <c r="K695" s="15">
        <v>2170</v>
      </c>
      <c r="L695" s="15" t="s">
        <v>1156</v>
      </c>
      <c r="M695" s="15"/>
      <c r="N695" s="15"/>
      <c r="O695" s="15"/>
      <c r="P695" s="14"/>
      <c r="Q695" s="14"/>
      <c r="R695" s="37" t="s">
        <v>273</v>
      </c>
      <c r="S695" s="27">
        <v>120</v>
      </c>
      <c r="T695" s="28" t="s">
        <v>1695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1616</v>
      </c>
      <c r="D696" s="25" t="s">
        <v>1617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1696</v>
      </c>
      <c r="J696" s="15">
        <v>35200</v>
      </c>
      <c r="K696" s="15">
        <v>2240</v>
      </c>
      <c r="L696" s="15" t="s">
        <v>1156</v>
      </c>
      <c r="M696" s="15"/>
      <c r="N696" s="15"/>
      <c r="O696" s="15"/>
      <c r="P696" s="14"/>
      <c r="Q696" s="14"/>
      <c r="R696" s="37" t="s">
        <v>273</v>
      </c>
      <c r="S696" s="27">
        <v>124</v>
      </c>
      <c r="T696" s="28" t="s">
        <v>1697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1616</v>
      </c>
      <c r="D697" s="25" t="s">
        <v>1617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1698</v>
      </c>
      <c r="J697" s="15">
        <v>36300</v>
      </c>
      <c r="K697" s="15">
        <v>2310</v>
      </c>
      <c r="L697" s="15" t="s">
        <v>1156</v>
      </c>
      <c r="M697" s="15"/>
      <c r="N697" s="15"/>
      <c r="O697" s="15"/>
      <c r="P697" s="14"/>
      <c r="Q697" s="14"/>
      <c r="R697" s="37" t="s">
        <v>273</v>
      </c>
      <c r="S697" s="27">
        <v>128</v>
      </c>
      <c r="T697" s="28" t="s">
        <v>1699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1616</v>
      </c>
      <c r="D698" s="25" t="s">
        <v>1617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1700</v>
      </c>
      <c r="J698" s="15">
        <v>37400</v>
      </c>
      <c r="K698" s="15">
        <v>2380</v>
      </c>
      <c r="L698" s="15" t="s">
        <v>1163</v>
      </c>
      <c r="M698" s="15"/>
      <c r="N698" s="15"/>
      <c r="O698" s="15"/>
      <c r="P698" s="14"/>
      <c r="Q698" s="14"/>
      <c r="R698" s="37" t="s">
        <v>273</v>
      </c>
      <c r="S698" s="27">
        <v>132</v>
      </c>
      <c r="T698" s="28" t="s">
        <v>1701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1616</v>
      </c>
      <c r="D699" s="25" t="s">
        <v>1617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1702</v>
      </c>
      <c r="J699" s="15">
        <v>38500</v>
      </c>
      <c r="K699" s="15">
        <v>2450</v>
      </c>
      <c r="L699" s="15" t="s">
        <v>1163</v>
      </c>
      <c r="M699" s="15"/>
      <c r="N699" s="15"/>
      <c r="O699" s="15"/>
      <c r="P699" s="14"/>
      <c r="Q699" s="14"/>
      <c r="R699" s="37" t="s">
        <v>273</v>
      </c>
      <c r="S699" s="27">
        <v>136</v>
      </c>
      <c r="T699" s="28" t="s">
        <v>1703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1616</v>
      </c>
      <c r="D700" s="25" t="s">
        <v>1617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1704</v>
      </c>
      <c r="J700" s="15">
        <v>39600</v>
      </c>
      <c r="K700" s="15">
        <v>2520</v>
      </c>
      <c r="L700" s="15" t="s">
        <v>1163</v>
      </c>
      <c r="M700" s="15"/>
      <c r="N700" s="15"/>
      <c r="O700" s="15"/>
      <c r="P700" s="14"/>
      <c r="Q700" s="14"/>
      <c r="R700" s="37" t="s">
        <v>273</v>
      </c>
      <c r="S700" s="27">
        <v>140</v>
      </c>
      <c r="T700" s="28" t="s">
        <v>1705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1616</v>
      </c>
      <c r="D701" s="25" t="s">
        <v>1617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1706</v>
      </c>
      <c r="J701" s="15">
        <v>40700</v>
      </c>
      <c r="K701" s="15">
        <v>2590</v>
      </c>
      <c r="L701" s="15" t="s">
        <v>1170</v>
      </c>
      <c r="M701" s="15"/>
      <c r="N701" s="15"/>
      <c r="O701" s="15"/>
      <c r="P701" s="14"/>
      <c r="Q701" s="14"/>
      <c r="R701" s="37" t="s">
        <v>273</v>
      </c>
      <c r="S701" s="27">
        <v>144</v>
      </c>
      <c r="T701" s="28" t="s">
        <v>1707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1616</v>
      </c>
      <c r="D702" s="25" t="s">
        <v>1617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1708</v>
      </c>
      <c r="J702" s="15">
        <v>41800</v>
      </c>
      <c r="K702" s="15">
        <v>2660</v>
      </c>
      <c r="L702" s="15" t="s">
        <v>1170</v>
      </c>
      <c r="M702" s="15"/>
      <c r="N702" s="15"/>
      <c r="O702" s="15"/>
      <c r="P702" s="14"/>
      <c r="Q702" s="14"/>
      <c r="R702" s="37" t="s">
        <v>273</v>
      </c>
      <c r="S702" s="27">
        <v>148</v>
      </c>
      <c r="T702" s="28" t="s">
        <v>1709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1616</v>
      </c>
      <c r="D703" s="25" t="s">
        <v>1617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1710</v>
      </c>
      <c r="J703" s="15">
        <v>42900</v>
      </c>
      <c r="K703" s="15">
        <v>2730</v>
      </c>
      <c r="L703" s="15" t="s">
        <v>1170</v>
      </c>
      <c r="M703" s="15"/>
      <c r="N703" s="15"/>
      <c r="O703" s="15"/>
      <c r="P703" s="14"/>
      <c r="Q703" s="14"/>
      <c r="R703" s="37" t="s">
        <v>273</v>
      </c>
      <c r="S703" s="27">
        <v>152</v>
      </c>
      <c r="T703" s="28" t="s">
        <v>1711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1616</v>
      </c>
      <c r="D704" s="25" t="s">
        <v>1617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1712</v>
      </c>
      <c r="J704" s="15">
        <v>44000</v>
      </c>
      <c r="K704" s="15">
        <v>2800</v>
      </c>
      <c r="L704" s="15" t="s">
        <v>1177</v>
      </c>
      <c r="M704" s="15"/>
      <c r="N704" s="15"/>
      <c r="O704" s="15"/>
      <c r="P704" s="14"/>
      <c r="Q704" s="14"/>
      <c r="R704" s="37" t="s">
        <v>273</v>
      </c>
      <c r="S704" s="27">
        <v>156</v>
      </c>
      <c r="T704" s="28" t="s">
        <v>1713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1616</v>
      </c>
      <c r="D705" s="25" t="s">
        <v>1617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1714</v>
      </c>
      <c r="J705" s="15">
        <v>45100</v>
      </c>
      <c r="K705" s="15">
        <v>2870</v>
      </c>
      <c r="L705" s="15" t="s">
        <v>1177</v>
      </c>
      <c r="M705" s="15"/>
      <c r="N705" s="15"/>
      <c r="O705" s="15"/>
      <c r="P705" s="14"/>
      <c r="Q705" s="14"/>
      <c r="R705" s="37" t="s">
        <v>273</v>
      </c>
      <c r="S705" s="27">
        <v>160</v>
      </c>
      <c r="T705" s="28" t="s">
        <v>1715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1616</v>
      </c>
      <c r="D706" s="25" t="s">
        <v>1617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1716</v>
      </c>
      <c r="J706" s="15">
        <v>46200</v>
      </c>
      <c r="K706" s="15">
        <v>2940</v>
      </c>
      <c r="L706" s="15" t="s">
        <v>1177</v>
      </c>
      <c r="M706" s="15"/>
      <c r="N706" s="15"/>
      <c r="O706" s="15"/>
      <c r="P706" s="14"/>
      <c r="Q706" s="14"/>
      <c r="R706" s="37" t="s">
        <v>273</v>
      </c>
      <c r="S706" s="27">
        <v>164</v>
      </c>
      <c r="T706" s="28" t="s">
        <v>1717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1616</v>
      </c>
      <c r="D707" s="25" t="s">
        <v>1617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1718</v>
      </c>
      <c r="J707" s="15">
        <v>47300</v>
      </c>
      <c r="K707" s="15">
        <v>3010</v>
      </c>
      <c r="L707" s="15" t="s">
        <v>1184</v>
      </c>
      <c r="M707" s="15"/>
      <c r="N707" s="15"/>
      <c r="O707" s="15"/>
      <c r="P707" s="14"/>
      <c r="Q707" s="14"/>
      <c r="R707" s="37" t="s">
        <v>273</v>
      </c>
      <c r="S707" s="27">
        <v>168</v>
      </c>
      <c r="T707" s="28" t="s">
        <v>1719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1616</v>
      </c>
      <c r="D708" s="25" t="s">
        <v>1617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1720</v>
      </c>
      <c r="J708" s="15">
        <v>48400</v>
      </c>
      <c r="K708" s="15">
        <v>3080</v>
      </c>
      <c r="L708" s="15" t="s">
        <v>1184</v>
      </c>
      <c r="M708" s="15"/>
      <c r="N708" s="15"/>
      <c r="O708" s="15"/>
      <c r="P708" s="14"/>
      <c r="Q708" s="14"/>
      <c r="R708" s="37" t="s">
        <v>273</v>
      </c>
      <c r="S708" s="27">
        <v>172</v>
      </c>
      <c r="T708" s="28" t="s">
        <v>1721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1616</v>
      </c>
      <c r="D709" s="25" t="s">
        <v>1617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1722</v>
      </c>
      <c r="J709" s="15">
        <v>49500</v>
      </c>
      <c r="K709" s="15">
        <v>3150</v>
      </c>
      <c r="L709" s="15" t="s">
        <v>1184</v>
      </c>
      <c r="M709" s="15"/>
      <c r="N709" s="15"/>
      <c r="O709" s="15"/>
      <c r="P709" s="14"/>
      <c r="Q709" s="14"/>
      <c r="R709" s="37" t="s">
        <v>273</v>
      </c>
      <c r="S709" s="27">
        <v>176</v>
      </c>
      <c r="T709" s="28" t="s">
        <v>1723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1616</v>
      </c>
      <c r="D710" s="25" t="s">
        <v>1617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1724</v>
      </c>
      <c r="J710" s="15">
        <v>50600</v>
      </c>
      <c r="K710" s="15">
        <v>3220</v>
      </c>
      <c r="L710" s="15" t="s">
        <v>1191</v>
      </c>
      <c r="M710" s="15"/>
      <c r="N710" s="15"/>
      <c r="O710" s="15"/>
      <c r="P710" s="14"/>
      <c r="Q710" s="14"/>
      <c r="R710" s="5" t="s">
        <v>273</v>
      </c>
      <c r="S710" s="27">
        <v>180</v>
      </c>
      <c r="T710" s="28" t="s">
        <v>1725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1616</v>
      </c>
      <c r="D711" s="25" t="s">
        <v>1617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1726</v>
      </c>
      <c r="J711" s="15">
        <v>51700</v>
      </c>
      <c r="K711" s="15">
        <v>3290</v>
      </c>
      <c r="L711" s="15" t="s">
        <v>1191</v>
      </c>
      <c r="M711" s="15"/>
      <c r="N711" s="15"/>
      <c r="O711" s="15"/>
      <c r="P711" s="14"/>
      <c r="Q711" s="14"/>
      <c r="R711" s="5" t="s">
        <v>273</v>
      </c>
      <c r="S711" s="27">
        <v>184</v>
      </c>
      <c r="T711" s="28" t="s">
        <v>1727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1616</v>
      </c>
      <c r="D712" s="25" t="s">
        <v>1617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1728</v>
      </c>
      <c r="J712" s="15">
        <v>52800</v>
      </c>
      <c r="K712" s="15">
        <v>3360</v>
      </c>
      <c r="L712" s="15" t="s">
        <v>1191</v>
      </c>
      <c r="M712" s="15"/>
      <c r="N712" s="15"/>
      <c r="O712" s="15"/>
      <c r="P712" s="14"/>
      <c r="Q712" s="14"/>
      <c r="R712" s="5" t="s">
        <v>273</v>
      </c>
      <c r="S712" s="27">
        <v>188</v>
      </c>
      <c r="T712" s="28" t="s">
        <v>1729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1616</v>
      </c>
      <c r="D713" s="25" t="s">
        <v>1617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1730</v>
      </c>
      <c r="J713" s="15">
        <v>53900</v>
      </c>
      <c r="K713" s="15">
        <v>3430</v>
      </c>
      <c r="L713" s="15" t="s">
        <v>1557</v>
      </c>
      <c r="M713" s="15"/>
      <c r="N713" s="15"/>
      <c r="O713" s="15"/>
      <c r="P713" s="14"/>
      <c r="Q713" s="14"/>
      <c r="R713" s="5" t="s">
        <v>273</v>
      </c>
      <c r="S713" s="27">
        <v>192</v>
      </c>
      <c r="T713" s="28" t="s">
        <v>1731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1616</v>
      </c>
      <c r="D714" s="25" t="s">
        <v>1617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1732</v>
      </c>
      <c r="J714" s="15">
        <v>55000</v>
      </c>
      <c r="K714" s="15">
        <v>3500</v>
      </c>
      <c r="L714" s="15" t="s">
        <v>1557</v>
      </c>
      <c r="M714" s="15"/>
      <c r="N714" s="15"/>
      <c r="O714" s="15"/>
      <c r="P714" s="14"/>
      <c r="Q714" s="14"/>
      <c r="R714" s="5" t="s">
        <v>273</v>
      </c>
      <c r="S714" s="27">
        <v>196</v>
      </c>
      <c r="T714" s="28" t="s">
        <v>1733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1616</v>
      </c>
      <c r="D715" s="25" t="s">
        <v>1617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1734</v>
      </c>
      <c r="J715" s="15">
        <v>56100</v>
      </c>
      <c r="K715" s="15">
        <v>3570</v>
      </c>
      <c r="L715" s="15" t="s">
        <v>1557</v>
      </c>
      <c r="M715" s="15"/>
      <c r="N715" s="15"/>
      <c r="O715" s="15"/>
      <c r="P715" s="14"/>
      <c r="Q715" s="14"/>
      <c r="R715" s="5" t="s">
        <v>273</v>
      </c>
      <c r="S715" s="27">
        <v>200</v>
      </c>
      <c r="T715" s="28" t="s">
        <v>1735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1616</v>
      </c>
      <c r="D716" s="25" t="s">
        <v>1617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1736</v>
      </c>
      <c r="J716" s="15">
        <v>57200</v>
      </c>
      <c r="K716" s="15">
        <v>3640</v>
      </c>
      <c r="L716" s="15" t="s">
        <v>1564</v>
      </c>
      <c r="M716" s="15"/>
      <c r="N716" s="15"/>
      <c r="O716" s="15"/>
      <c r="P716" s="14"/>
      <c r="Q716" s="14"/>
      <c r="R716" s="5" t="s">
        <v>273</v>
      </c>
      <c r="S716" s="27">
        <v>204</v>
      </c>
      <c r="T716" s="28" t="s">
        <v>1737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1616</v>
      </c>
      <c r="D717" s="25" t="s">
        <v>1617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1738</v>
      </c>
      <c r="J717" s="15">
        <v>58300</v>
      </c>
      <c r="K717" s="15">
        <v>3710</v>
      </c>
      <c r="L717" s="15" t="s">
        <v>1564</v>
      </c>
      <c r="M717" s="15"/>
      <c r="N717" s="15"/>
      <c r="O717" s="15"/>
      <c r="P717" s="14"/>
      <c r="Q717" s="14"/>
      <c r="R717" s="5" t="s">
        <v>273</v>
      </c>
      <c r="S717" s="27">
        <v>208</v>
      </c>
      <c r="T717" s="28" t="s">
        <v>1739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1616</v>
      </c>
      <c r="D718" s="25" t="s">
        <v>1617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1740</v>
      </c>
      <c r="J718" s="15">
        <v>59400</v>
      </c>
      <c r="K718" s="15">
        <v>3780</v>
      </c>
      <c r="L718" s="15" t="s">
        <v>1564</v>
      </c>
      <c r="M718" s="15"/>
      <c r="N718" s="15"/>
      <c r="O718" s="15"/>
      <c r="P718" s="14"/>
      <c r="Q718" s="14"/>
      <c r="R718" s="5" t="s">
        <v>273</v>
      </c>
      <c r="S718" s="27">
        <v>212</v>
      </c>
      <c r="T718" s="28" t="s">
        <v>1741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1616</v>
      </c>
      <c r="D719" s="25" t="s">
        <v>1617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1742</v>
      </c>
      <c r="J719" s="15">
        <v>60500</v>
      </c>
      <c r="K719" s="15">
        <v>3850</v>
      </c>
      <c r="L719" s="15" t="s">
        <v>1571</v>
      </c>
      <c r="M719" s="15"/>
      <c r="N719" s="15"/>
      <c r="O719" s="15"/>
      <c r="P719" s="14"/>
      <c r="Q719" s="14"/>
      <c r="R719" s="5" t="s">
        <v>273</v>
      </c>
      <c r="S719" s="27">
        <v>216</v>
      </c>
      <c r="T719" s="28" t="s">
        <v>1743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1616</v>
      </c>
      <c r="D720" s="25" t="s">
        <v>1617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1744</v>
      </c>
      <c r="J720" s="15">
        <v>61600</v>
      </c>
      <c r="K720" s="15">
        <v>3920</v>
      </c>
      <c r="L720" s="15" t="s">
        <v>1571</v>
      </c>
      <c r="M720" s="15"/>
      <c r="N720" s="15"/>
      <c r="O720" s="15"/>
      <c r="P720" s="14"/>
      <c r="Q720" s="14"/>
      <c r="R720" s="5" t="s">
        <v>273</v>
      </c>
      <c r="S720" s="27">
        <v>220</v>
      </c>
      <c r="T720" s="28" t="s">
        <v>1745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1616</v>
      </c>
      <c r="D721" s="25" t="s">
        <v>1617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1746</v>
      </c>
      <c r="J721" s="15">
        <v>62700</v>
      </c>
      <c r="K721" s="15">
        <v>3990</v>
      </c>
      <c r="L721" s="15" t="s">
        <v>1571</v>
      </c>
      <c r="M721" s="15"/>
      <c r="N721" s="15"/>
      <c r="O721" s="15"/>
      <c r="P721" s="14"/>
      <c r="Q721" s="14"/>
      <c r="R721" s="5" t="s">
        <v>273</v>
      </c>
      <c r="S721" s="27">
        <v>224</v>
      </c>
      <c r="T721" s="28" t="s">
        <v>1747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1616</v>
      </c>
      <c r="D722" s="25" t="s">
        <v>1617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1748</v>
      </c>
      <c r="J722" s="15">
        <v>63800</v>
      </c>
      <c r="K722" s="15">
        <v>4060</v>
      </c>
      <c r="L722" s="15" t="s">
        <v>1578</v>
      </c>
      <c r="M722" s="15"/>
      <c r="N722" s="15"/>
      <c r="O722" s="15"/>
      <c r="P722" s="14"/>
      <c r="Q722" s="14"/>
      <c r="R722" s="5" t="s">
        <v>273</v>
      </c>
      <c r="S722" s="27">
        <v>228</v>
      </c>
      <c r="T722" s="28" t="s">
        <v>1749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1616</v>
      </c>
      <c r="D723" s="25" t="s">
        <v>1617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1750</v>
      </c>
      <c r="J723" s="15">
        <v>64900</v>
      </c>
      <c r="K723" s="15">
        <v>4130</v>
      </c>
      <c r="L723" s="15" t="s">
        <v>1578</v>
      </c>
      <c r="M723" s="15"/>
      <c r="N723" s="15"/>
      <c r="O723" s="15"/>
      <c r="P723" s="14"/>
      <c r="Q723" s="14"/>
      <c r="R723" s="5" t="s">
        <v>273</v>
      </c>
      <c r="S723" s="27">
        <v>232</v>
      </c>
      <c r="T723" s="28" t="s">
        <v>1751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1616</v>
      </c>
      <c r="D724" s="25" t="s">
        <v>1617</v>
      </c>
      <c r="E724" s="25">
        <v>58</v>
      </c>
      <c r="F724" s="25">
        <v>60</v>
      </c>
      <c r="G724" s="25">
        <v>10</v>
      </c>
      <c r="H724" s="25"/>
      <c r="I724" s="25" t="s">
        <v>1752</v>
      </c>
      <c r="J724" s="15">
        <v>66000</v>
      </c>
      <c r="K724" s="15">
        <v>4200</v>
      </c>
      <c r="L724" s="15" t="s">
        <v>1578</v>
      </c>
      <c r="M724" s="15"/>
      <c r="N724" s="15"/>
      <c r="O724" s="15"/>
      <c r="P724" s="14"/>
      <c r="Q724" s="14"/>
      <c r="R724" s="5" t="s">
        <v>273</v>
      </c>
      <c r="S724" s="27"/>
      <c r="T724" s="28" t="s">
        <v>1753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1754</v>
      </c>
      <c r="D725" s="25"/>
      <c r="E725" s="25">
        <v>4</v>
      </c>
      <c r="F725" s="25">
        <v>1</v>
      </c>
      <c r="G725" s="25">
        <v>16</v>
      </c>
      <c r="H725" s="25" t="s">
        <v>1755</v>
      </c>
      <c r="I725" s="25" t="s">
        <v>1756</v>
      </c>
      <c r="J725" s="15">
        <v>100</v>
      </c>
      <c r="K725" s="15"/>
      <c r="L725" s="15" t="s">
        <v>1757</v>
      </c>
      <c r="M725" s="15"/>
      <c r="N725" s="15"/>
      <c r="O725" s="15"/>
      <c r="P725" s="14" t="s">
        <v>1758</v>
      </c>
      <c r="Q725" s="14" t="s">
        <v>1759</v>
      </c>
      <c r="R725" s="5" t="s">
        <v>1760</v>
      </c>
      <c r="S725" s="27">
        <v>2</v>
      </c>
      <c r="T725" s="28" t="s">
        <v>205</v>
      </c>
    </row>
    <row r="726" customHeight="1" spans="1:20">
      <c r="A726" s="25">
        <f t="shared" si="40"/>
        <v>1202002</v>
      </c>
      <c r="B726" s="25">
        <v>1202</v>
      </c>
      <c r="C726" s="25" t="s">
        <v>1754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1761</v>
      </c>
      <c r="J726" s="15">
        <v>200</v>
      </c>
      <c r="K726" s="15"/>
      <c r="L726" s="15" t="s">
        <v>1762</v>
      </c>
      <c r="M726" s="15"/>
      <c r="N726" s="15"/>
      <c r="O726" s="15"/>
      <c r="R726" s="5" t="s">
        <v>1763</v>
      </c>
      <c r="S726" s="27">
        <v>4</v>
      </c>
      <c r="T726" s="28" t="s">
        <v>210</v>
      </c>
    </row>
    <row r="727" customHeight="1" spans="1:20">
      <c r="A727" s="25">
        <f t="shared" si="40"/>
        <v>1202003</v>
      </c>
      <c r="B727" s="25">
        <v>1202</v>
      </c>
      <c r="C727" s="25" t="s">
        <v>1754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1764</v>
      </c>
      <c r="J727" s="15">
        <v>300</v>
      </c>
      <c r="K727" s="15"/>
      <c r="L727" s="15" t="s">
        <v>1765</v>
      </c>
      <c r="M727" s="15"/>
      <c r="N727" s="15"/>
      <c r="O727" s="15"/>
      <c r="R727" s="5">
        <v>1202255</v>
      </c>
      <c r="S727" s="27">
        <v>8</v>
      </c>
      <c r="T727" s="28" t="s">
        <v>215</v>
      </c>
    </row>
    <row r="728" customHeight="1" spans="1:20">
      <c r="A728" s="25">
        <f t="shared" si="40"/>
        <v>1202004</v>
      </c>
      <c r="B728" s="25">
        <v>1202</v>
      </c>
      <c r="C728" s="25" t="s">
        <v>1754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1766</v>
      </c>
      <c r="J728" s="15">
        <v>400</v>
      </c>
      <c r="K728" s="15"/>
      <c r="L728" s="15" t="s">
        <v>63</v>
      </c>
      <c r="M728" s="15"/>
      <c r="N728" s="15"/>
      <c r="O728" s="15"/>
      <c r="R728" s="5">
        <v>1202271</v>
      </c>
      <c r="S728" s="27">
        <v>12</v>
      </c>
      <c r="T728" s="28" t="s">
        <v>217</v>
      </c>
    </row>
    <row r="729" customHeight="1" spans="1:20">
      <c r="A729" s="25">
        <f t="shared" si="40"/>
        <v>1202005</v>
      </c>
      <c r="B729" s="25">
        <v>1202</v>
      </c>
      <c r="C729" s="25" t="s">
        <v>1754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1767</v>
      </c>
      <c r="J729" s="15">
        <v>500</v>
      </c>
      <c r="K729" s="15"/>
      <c r="L729" s="15" t="s">
        <v>1768</v>
      </c>
      <c r="M729" s="15"/>
      <c r="N729" s="15"/>
      <c r="O729" s="15"/>
      <c r="R729" s="5">
        <v>1202252</v>
      </c>
      <c r="S729" s="27">
        <v>16</v>
      </c>
      <c r="T729" s="28" t="s">
        <v>220</v>
      </c>
    </row>
    <row r="730" customHeight="1" spans="1:20">
      <c r="A730" s="25">
        <f t="shared" si="40"/>
        <v>1202006</v>
      </c>
      <c r="B730" s="25">
        <v>1202</v>
      </c>
      <c r="C730" s="25" t="s">
        <v>1754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1769</v>
      </c>
      <c r="J730" s="15">
        <v>600</v>
      </c>
      <c r="K730" s="15"/>
      <c r="L730" s="15" t="s">
        <v>1770</v>
      </c>
      <c r="M730" s="15"/>
      <c r="N730" s="15"/>
      <c r="O730" s="15"/>
      <c r="R730" s="5">
        <v>1202260</v>
      </c>
      <c r="S730" s="27">
        <v>20</v>
      </c>
      <c r="T730" s="28" t="s">
        <v>222</v>
      </c>
    </row>
    <row r="731" customHeight="1" spans="1:20">
      <c r="A731" s="25">
        <f t="shared" si="40"/>
        <v>1202007</v>
      </c>
      <c r="B731" s="25">
        <v>1202</v>
      </c>
      <c r="C731" s="25" t="s">
        <v>1754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1771</v>
      </c>
      <c r="J731" s="15">
        <v>700</v>
      </c>
      <c r="K731" s="15"/>
      <c r="L731" s="15" t="s">
        <v>71</v>
      </c>
      <c r="M731" s="15"/>
      <c r="N731" s="15"/>
      <c r="O731" s="15"/>
      <c r="R731" s="5">
        <v>1202275</v>
      </c>
      <c r="S731" s="27">
        <v>24</v>
      </c>
      <c r="T731" s="28" t="s">
        <v>224</v>
      </c>
    </row>
    <row r="732" customHeight="1" spans="1:20">
      <c r="A732" s="25">
        <f t="shared" si="40"/>
        <v>1202008</v>
      </c>
      <c r="B732" s="25">
        <v>1202</v>
      </c>
      <c r="C732" s="25" t="s">
        <v>1754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1772</v>
      </c>
      <c r="J732" s="15">
        <v>800</v>
      </c>
      <c r="K732" s="15"/>
      <c r="L732" s="15" t="s">
        <v>1773</v>
      </c>
      <c r="M732" s="15"/>
      <c r="N732" s="15"/>
      <c r="O732" s="15"/>
      <c r="R732" s="5" t="s">
        <v>1774</v>
      </c>
      <c r="S732" s="27">
        <v>28</v>
      </c>
      <c r="T732" s="28" t="s">
        <v>226</v>
      </c>
    </row>
    <row r="733" customHeight="1" spans="1:20">
      <c r="A733" s="25">
        <f t="shared" si="40"/>
        <v>1202009</v>
      </c>
      <c r="B733" s="25">
        <v>1202</v>
      </c>
      <c r="C733" s="25" t="s">
        <v>1754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1775</v>
      </c>
      <c r="J733" s="15">
        <v>900</v>
      </c>
      <c r="K733" s="15"/>
      <c r="L733" s="15" t="s">
        <v>1776</v>
      </c>
      <c r="M733" s="15"/>
      <c r="N733" s="15"/>
      <c r="O733" s="15"/>
      <c r="R733" s="5" t="s">
        <v>1777</v>
      </c>
      <c r="S733" s="27">
        <v>32</v>
      </c>
      <c r="T733" s="28" t="s">
        <v>228</v>
      </c>
    </row>
    <row r="734" customHeight="1" spans="1:20">
      <c r="A734" s="25">
        <f t="shared" si="40"/>
        <v>1202010</v>
      </c>
      <c r="B734" s="25">
        <v>1202</v>
      </c>
      <c r="C734" s="25" t="s">
        <v>1754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1778</v>
      </c>
      <c r="J734" s="15">
        <v>1000</v>
      </c>
      <c r="K734" s="15"/>
      <c r="L734" s="15" t="s">
        <v>1779</v>
      </c>
      <c r="M734" s="15"/>
      <c r="N734" s="15"/>
      <c r="O734" s="15"/>
      <c r="R734" s="5" t="s">
        <v>1780</v>
      </c>
      <c r="S734" s="27">
        <v>36</v>
      </c>
      <c r="T734" s="28" t="s">
        <v>231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1754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1781</v>
      </c>
      <c r="J735" s="15">
        <v>1100</v>
      </c>
      <c r="K735" s="15"/>
      <c r="L735" s="15" t="s">
        <v>1782</v>
      </c>
      <c r="M735" s="15"/>
      <c r="N735" s="15"/>
      <c r="O735" s="15"/>
      <c r="R735" s="5" t="s">
        <v>1783</v>
      </c>
      <c r="S735" s="27">
        <v>40</v>
      </c>
      <c r="T735" s="28" t="s">
        <v>233</v>
      </c>
    </row>
    <row r="736" customHeight="1" spans="1:20">
      <c r="A736" s="25">
        <f t="shared" si="42"/>
        <v>1202012</v>
      </c>
      <c r="B736" s="25">
        <v>1202</v>
      </c>
      <c r="C736" s="25" t="s">
        <v>1754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1784</v>
      </c>
      <c r="J736" s="15">
        <v>1200</v>
      </c>
      <c r="K736" s="15"/>
      <c r="L736" s="15" t="s">
        <v>1785</v>
      </c>
      <c r="M736" s="15"/>
      <c r="N736" s="15"/>
      <c r="O736" s="15"/>
      <c r="R736" s="5" t="s">
        <v>1786</v>
      </c>
      <c r="S736" s="27">
        <v>44</v>
      </c>
      <c r="T736" s="28" t="s">
        <v>235</v>
      </c>
    </row>
    <row r="737" customHeight="1" spans="1:20">
      <c r="A737" s="25">
        <f t="shared" si="42"/>
        <v>1202013</v>
      </c>
      <c r="B737" s="25">
        <v>1202</v>
      </c>
      <c r="C737" s="25" t="s">
        <v>1754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1787</v>
      </c>
      <c r="J737" s="15">
        <v>1300</v>
      </c>
      <c r="K737" s="15"/>
      <c r="L737" s="15" t="s">
        <v>1788</v>
      </c>
      <c r="M737" s="15"/>
      <c r="N737" s="15"/>
      <c r="O737" s="15"/>
      <c r="R737" s="5" t="s">
        <v>1789</v>
      </c>
      <c r="S737" s="27">
        <v>48</v>
      </c>
      <c r="T737" s="28" t="s">
        <v>237</v>
      </c>
    </row>
    <row r="738" customHeight="1" spans="1:20">
      <c r="A738" s="25">
        <f t="shared" si="42"/>
        <v>1202014</v>
      </c>
      <c r="B738" s="25">
        <v>1202</v>
      </c>
      <c r="C738" s="25" t="s">
        <v>1754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1790</v>
      </c>
      <c r="J738" s="15">
        <v>1400</v>
      </c>
      <c r="K738" s="15"/>
      <c r="L738" s="15" t="s">
        <v>1791</v>
      </c>
      <c r="M738" s="15"/>
      <c r="N738" s="15"/>
      <c r="O738" s="15"/>
      <c r="R738" s="5">
        <v>1202254</v>
      </c>
      <c r="S738" s="27">
        <v>52</v>
      </c>
      <c r="T738" s="28" t="s">
        <v>239</v>
      </c>
    </row>
    <row r="739" customHeight="1" spans="1:20">
      <c r="A739" s="25">
        <f t="shared" si="42"/>
        <v>1202015</v>
      </c>
      <c r="B739" s="25">
        <v>1202</v>
      </c>
      <c r="C739" s="25" t="s">
        <v>1754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1792</v>
      </c>
      <c r="J739" s="15">
        <v>1500</v>
      </c>
      <c r="K739" s="15"/>
      <c r="L739" s="15" t="s">
        <v>1793</v>
      </c>
      <c r="M739" s="15"/>
      <c r="N739" s="15"/>
      <c r="O739" s="15"/>
      <c r="R739" s="5">
        <v>1202262</v>
      </c>
      <c r="S739" s="27">
        <v>56</v>
      </c>
      <c r="T739" s="28" t="s">
        <v>242</v>
      </c>
    </row>
    <row r="740" customHeight="1" spans="1:20">
      <c r="A740" s="25">
        <f t="shared" si="42"/>
        <v>1202016</v>
      </c>
      <c r="B740" s="25">
        <v>1202</v>
      </c>
      <c r="C740" s="25" t="s">
        <v>1754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1794</v>
      </c>
      <c r="J740" s="15">
        <v>1600</v>
      </c>
      <c r="K740" s="15"/>
      <c r="L740" s="15" t="s">
        <v>1795</v>
      </c>
      <c r="M740" s="15"/>
      <c r="N740" s="15"/>
      <c r="O740" s="15"/>
      <c r="R740" s="5">
        <v>1202269</v>
      </c>
      <c r="S740" s="27">
        <v>60</v>
      </c>
      <c r="T740" s="28" t="s">
        <v>244</v>
      </c>
    </row>
    <row r="741" customHeight="1" spans="1:20">
      <c r="A741" s="25">
        <f t="shared" si="42"/>
        <v>1202017</v>
      </c>
      <c r="B741" s="25">
        <v>1202</v>
      </c>
      <c r="C741" s="25" t="s">
        <v>1754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1796</v>
      </c>
      <c r="J741" s="15">
        <v>1700</v>
      </c>
      <c r="K741" s="15"/>
      <c r="L741" s="15" t="s">
        <v>1797</v>
      </c>
      <c r="M741" s="15"/>
      <c r="N741" s="15"/>
      <c r="O741" s="15"/>
      <c r="R741" s="5">
        <v>1202276</v>
      </c>
      <c r="S741" s="27">
        <v>64</v>
      </c>
      <c r="T741" s="28" t="s">
        <v>246</v>
      </c>
    </row>
    <row r="742" customHeight="1" spans="1:20">
      <c r="A742" s="25">
        <f t="shared" si="42"/>
        <v>1202018</v>
      </c>
      <c r="B742" s="25">
        <v>1202</v>
      </c>
      <c r="C742" s="25" t="s">
        <v>1754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1798</v>
      </c>
      <c r="J742" s="15">
        <v>1800</v>
      </c>
      <c r="K742" s="15"/>
      <c r="L742" s="15" t="s">
        <v>1799</v>
      </c>
      <c r="M742" s="15"/>
      <c r="N742" s="15"/>
      <c r="O742" s="15"/>
      <c r="R742" s="5">
        <v>1202283</v>
      </c>
      <c r="S742" s="27">
        <v>68</v>
      </c>
      <c r="T742" s="28" t="s">
        <v>248</v>
      </c>
    </row>
    <row r="743" customHeight="1" spans="1:20">
      <c r="A743" s="25">
        <f t="shared" si="42"/>
        <v>1202019</v>
      </c>
      <c r="B743" s="25">
        <v>1202</v>
      </c>
      <c r="C743" s="25" t="s">
        <v>1754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1800</v>
      </c>
      <c r="J743" s="15">
        <v>1900</v>
      </c>
      <c r="K743" s="15"/>
      <c r="L743" s="15" t="s">
        <v>78</v>
      </c>
      <c r="M743" s="15"/>
      <c r="N743" s="15"/>
      <c r="O743" s="15"/>
      <c r="R743" s="5">
        <v>1202285</v>
      </c>
      <c r="S743" s="27">
        <v>72</v>
      </c>
      <c r="T743" s="28" t="s">
        <v>250</v>
      </c>
    </row>
    <row r="744" customHeight="1" spans="1:20">
      <c r="A744" s="25">
        <f t="shared" si="42"/>
        <v>1202020</v>
      </c>
      <c r="B744" s="25">
        <v>1202</v>
      </c>
      <c r="C744" s="25" t="s">
        <v>1754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1801</v>
      </c>
      <c r="J744" s="15">
        <v>2000</v>
      </c>
      <c r="K744" s="15"/>
      <c r="L744" s="15" t="s">
        <v>1802</v>
      </c>
      <c r="M744" s="15"/>
      <c r="N744" s="15"/>
      <c r="O744" s="15"/>
      <c r="R744" s="5">
        <v>1202301</v>
      </c>
      <c r="S744" s="27">
        <v>76</v>
      </c>
      <c r="T744" s="28" t="s">
        <v>253</v>
      </c>
    </row>
    <row r="745" customHeight="1" spans="1:20">
      <c r="A745" s="25">
        <f t="shared" si="42"/>
        <v>1202021</v>
      </c>
      <c r="B745" s="25">
        <v>1202</v>
      </c>
      <c r="C745" s="25" t="s">
        <v>1754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1803</v>
      </c>
      <c r="J745" s="15">
        <v>2100</v>
      </c>
      <c r="K745" s="15"/>
      <c r="L745" s="15" t="s">
        <v>1804</v>
      </c>
      <c r="M745" s="15"/>
      <c r="N745" s="15"/>
      <c r="O745" s="15"/>
      <c r="R745" s="5">
        <v>1202263</v>
      </c>
      <c r="S745" s="27">
        <v>80</v>
      </c>
      <c r="T745" s="28" t="s">
        <v>255</v>
      </c>
    </row>
    <row r="746" customHeight="1" spans="1:20">
      <c r="A746" s="25">
        <f t="shared" si="42"/>
        <v>1202022</v>
      </c>
      <c r="B746" s="25">
        <v>1202</v>
      </c>
      <c r="C746" s="25" t="s">
        <v>1754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1805</v>
      </c>
      <c r="J746" s="15">
        <v>2200</v>
      </c>
      <c r="K746" s="15"/>
      <c r="L746" s="15" t="s">
        <v>1806</v>
      </c>
      <c r="M746" s="15"/>
      <c r="N746" s="15"/>
      <c r="O746" s="15"/>
      <c r="R746" s="5">
        <v>1202264</v>
      </c>
      <c r="S746" s="27">
        <v>84</v>
      </c>
      <c r="T746" s="28" t="s">
        <v>257</v>
      </c>
    </row>
    <row r="747" customHeight="1" spans="1:20">
      <c r="A747" s="25">
        <f t="shared" si="42"/>
        <v>1202023</v>
      </c>
      <c r="B747" s="25">
        <v>1202</v>
      </c>
      <c r="C747" s="25" t="s">
        <v>1754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1807</v>
      </c>
      <c r="J747" s="15">
        <v>2300</v>
      </c>
      <c r="K747" s="15"/>
      <c r="L747" s="15" t="s">
        <v>1808</v>
      </c>
      <c r="M747" s="15"/>
      <c r="N747" s="15"/>
      <c r="O747" s="15"/>
      <c r="R747" s="5">
        <v>1202266</v>
      </c>
      <c r="S747" s="27">
        <v>88</v>
      </c>
      <c r="T747" s="28" t="s">
        <v>259</v>
      </c>
    </row>
    <row r="748" customHeight="1" spans="1:20">
      <c r="A748" s="25">
        <f t="shared" si="42"/>
        <v>1202024</v>
      </c>
      <c r="B748" s="25">
        <v>1202</v>
      </c>
      <c r="C748" s="25" t="s">
        <v>1754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1809</v>
      </c>
      <c r="J748" s="15">
        <v>2400</v>
      </c>
      <c r="K748" s="15"/>
      <c r="L748" s="15" t="s">
        <v>1810</v>
      </c>
      <c r="M748" s="15"/>
      <c r="N748" s="15"/>
      <c r="O748" s="15"/>
      <c r="S748" s="27">
        <v>92</v>
      </c>
      <c r="T748" s="28" t="s">
        <v>261</v>
      </c>
    </row>
    <row r="749" customHeight="1" spans="1:20">
      <c r="A749" s="25">
        <f t="shared" si="42"/>
        <v>1202025</v>
      </c>
      <c r="B749" s="25">
        <v>1202</v>
      </c>
      <c r="C749" s="25" t="s">
        <v>1754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1811</v>
      </c>
      <c r="J749" s="15">
        <v>2500</v>
      </c>
      <c r="K749" s="15"/>
      <c r="L749" s="15" t="s">
        <v>1812</v>
      </c>
      <c r="M749" s="15"/>
      <c r="N749" s="15"/>
      <c r="O749" s="15"/>
      <c r="S749" s="27">
        <v>96</v>
      </c>
      <c r="T749" s="28" t="s">
        <v>263</v>
      </c>
    </row>
    <row r="750" customHeight="1" spans="1:20">
      <c r="A750" s="25">
        <f t="shared" si="42"/>
        <v>1202026</v>
      </c>
      <c r="B750" s="25">
        <v>1202</v>
      </c>
      <c r="C750" s="25" t="s">
        <v>1754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1813</v>
      </c>
      <c r="J750" s="15">
        <v>2600</v>
      </c>
      <c r="K750" s="15"/>
      <c r="L750" s="15" t="s">
        <v>1814</v>
      </c>
      <c r="M750" s="15"/>
      <c r="N750" s="15"/>
      <c r="O750" s="15"/>
      <c r="S750" s="27">
        <v>100</v>
      </c>
      <c r="T750" s="28" t="s">
        <v>265</v>
      </c>
    </row>
    <row r="751" customHeight="1" spans="1:20">
      <c r="A751" s="25">
        <f t="shared" si="42"/>
        <v>1202027</v>
      </c>
      <c r="B751" s="25">
        <v>1202</v>
      </c>
      <c r="C751" s="25" t="s">
        <v>1754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1815</v>
      </c>
      <c r="J751" s="15">
        <v>2700</v>
      </c>
      <c r="K751" s="15"/>
      <c r="L751" s="15" t="s">
        <v>1816</v>
      </c>
      <c r="M751" s="15"/>
      <c r="N751" s="15"/>
      <c r="O751" s="15"/>
      <c r="S751" s="27">
        <v>104</v>
      </c>
      <c r="T751" s="28" t="s">
        <v>267</v>
      </c>
    </row>
    <row r="752" customHeight="1" spans="1:20">
      <c r="A752" s="25">
        <f t="shared" si="42"/>
        <v>1202028</v>
      </c>
      <c r="B752" s="25">
        <v>1202</v>
      </c>
      <c r="C752" s="25" t="s">
        <v>1754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1817</v>
      </c>
      <c r="J752" s="15">
        <v>2800</v>
      </c>
      <c r="K752" s="15"/>
      <c r="L752" s="15" t="s">
        <v>1818</v>
      </c>
      <c r="M752" s="15"/>
      <c r="N752" s="15"/>
      <c r="O752" s="15"/>
      <c r="S752" s="27">
        <v>108</v>
      </c>
      <c r="T752" s="28" t="s">
        <v>269</v>
      </c>
    </row>
    <row r="753" customHeight="1" spans="1:20">
      <c r="A753" s="25">
        <f t="shared" si="42"/>
        <v>1202029</v>
      </c>
      <c r="B753" s="25">
        <v>1202</v>
      </c>
      <c r="C753" s="25" t="s">
        <v>1754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1819</v>
      </c>
      <c r="J753" s="15">
        <v>2900</v>
      </c>
      <c r="K753" s="15"/>
      <c r="L753" s="15" t="s">
        <v>1820</v>
      </c>
      <c r="M753" s="15"/>
      <c r="N753" s="15"/>
      <c r="O753" s="15"/>
      <c r="S753" s="27">
        <v>112</v>
      </c>
      <c r="T753" s="28" t="s">
        <v>271</v>
      </c>
    </row>
    <row r="754" customHeight="1" spans="1:20">
      <c r="A754" s="25">
        <f t="shared" si="42"/>
        <v>1202030</v>
      </c>
      <c r="B754" s="25">
        <v>1202</v>
      </c>
      <c r="C754" s="25" t="s">
        <v>1754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1821</v>
      </c>
      <c r="J754" s="15">
        <v>3000</v>
      </c>
      <c r="K754" s="15"/>
      <c r="L754" s="15" t="s">
        <v>1822</v>
      </c>
      <c r="M754" s="15"/>
      <c r="N754" s="15"/>
      <c r="O754" s="15"/>
      <c r="S754" s="27">
        <v>116</v>
      </c>
      <c r="T754" s="28" t="s">
        <v>274</v>
      </c>
    </row>
    <row r="755" customHeight="1" spans="1:20">
      <c r="A755" s="25">
        <f t="shared" si="42"/>
        <v>1202031</v>
      </c>
      <c r="B755" s="25">
        <v>1202</v>
      </c>
      <c r="C755" s="25" t="s">
        <v>1754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1823</v>
      </c>
      <c r="J755" s="15">
        <v>3100</v>
      </c>
      <c r="K755" s="15"/>
      <c r="L755" s="15" t="s">
        <v>1824</v>
      </c>
      <c r="M755" s="15"/>
      <c r="N755" s="15"/>
      <c r="O755" s="15"/>
      <c r="S755" s="27">
        <v>120</v>
      </c>
      <c r="T755" s="28" t="s">
        <v>276</v>
      </c>
    </row>
    <row r="756" customHeight="1" spans="1:20">
      <c r="A756" s="25">
        <f t="shared" si="42"/>
        <v>1202032</v>
      </c>
      <c r="B756" s="25">
        <v>1202</v>
      </c>
      <c r="C756" s="25" t="s">
        <v>1754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1825</v>
      </c>
      <c r="J756" s="15">
        <v>3200</v>
      </c>
      <c r="K756" s="15"/>
      <c r="L756" s="15" t="s">
        <v>1826</v>
      </c>
      <c r="M756" s="15"/>
      <c r="N756" s="15"/>
      <c r="O756" s="15"/>
      <c r="S756" s="27">
        <v>124</v>
      </c>
      <c r="T756" s="28" t="s">
        <v>278</v>
      </c>
    </row>
    <row r="757" customHeight="1" spans="1:20">
      <c r="A757" s="25">
        <f t="shared" si="42"/>
        <v>1202033</v>
      </c>
      <c r="B757" s="25">
        <v>1202</v>
      </c>
      <c r="C757" s="25" t="s">
        <v>1754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1827</v>
      </c>
      <c r="J757" s="15">
        <v>3300</v>
      </c>
      <c r="K757" s="15"/>
      <c r="L757" s="15" t="s">
        <v>1828</v>
      </c>
      <c r="M757" s="15"/>
      <c r="N757" s="15"/>
      <c r="O757" s="15"/>
      <c r="S757" s="27">
        <v>128</v>
      </c>
      <c r="T757" s="28" t="s">
        <v>280</v>
      </c>
    </row>
    <row r="758" customHeight="1" spans="1:20">
      <c r="A758" s="25">
        <f t="shared" si="42"/>
        <v>1202034</v>
      </c>
      <c r="B758" s="25">
        <v>1202</v>
      </c>
      <c r="C758" s="25" t="s">
        <v>1754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1829</v>
      </c>
      <c r="J758" s="15">
        <v>3400</v>
      </c>
      <c r="K758" s="15"/>
      <c r="L758" s="15" t="s">
        <v>1830</v>
      </c>
      <c r="M758" s="15"/>
      <c r="N758" s="15"/>
      <c r="O758" s="15"/>
      <c r="S758" s="27">
        <v>132</v>
      </c>
      <c r="T758" s="28" t="s">
        <v>282</v>
      </c>
    </row>
    <row r="759" customHeight="1" spans="1:20">
      <c r="A759" s="25">
        <f t="shared" si="42"/>
        <v>1202035</v>
      </c>
      <c r="B759" s="25">
        <v>1202</v>
      </c>
      <c r="C759" s="25" t="s">
        <v>1754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1831</v>
      </c>
      <c r="J759" s="15">
        <v>3500</v>
      </c>
      <c r="K759" s="15"/>
      <c r="L759" s="15" t="s">
        <v>1832</v>
      </c>
      <c r="M759" s="15"/>
      <c r="N759" s="15"/>
      <c r="O759" s="15"/>
      <c r="S759" s="27">
        <v>136</v>
      </c>
      <c r="T759" s="28" t="s">
        <v>284</v>
      </c>
    </row>
    <row r="760" customHeight="1" spans="1:20">
      <c r="A760" s="25">
        <f t="shared" si="42"/>
        <v>1202036</v>
      </c>
      <c r="B760" s="25">
        <v>1202</v>
      </c>
      <c r="C760" s="25" t="s">
        <v>1754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1833</v>
      </c>
      <c r="J760" s="15">
        <v>3600</v>
      </c>
      <c r="K760" s="15"/>
      <c r="L760" s="15" t="s">
        <v>1834</v>
      </c>
      <c r="M760" s="15"/>
      <c r="N760" s="15"/>
      <c r="O760" s="15"/>
      <c r="S760" s="27">
        <v>140</v>
      </c>
      <c r="T760" s="28" t="s">
        <v>286</v>
      </c>
    </row>
    <row r="761" customHeight="1" spans="1:20">
      <c r="A761" s="25">
        <f t="shared" si="42"/>
        <v>1202037</v>
      </c>
      <c r="B761" s="25">
        <v>1202</v>
      </c>
      <c r="C761" s="25" t="s">
        <v>1754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1835</v>
      </c>
      <c r="J761" s="15">
        <v>3700</v>
      </c>
      <c r="K761" s="15"/>
      <c r="L761" s="15" t="s">
        <v>1836</v>
      </c>
      <c r="M761" s="15"/>
      <c r="N761" s="15"/>
      <c r="O761" s="15"/>
      <c r="S761" s="27">
        <v>144</v>
      </c>
      <c r="T761" s="28" t="s">
        <v>288</v>
      </c>
    </row>
    <row r="762" customHeight="1" spans="1:20">
      <c r="A762" s="25">
        <f t="shared" si="42"/>
        <v>1202038</v>
      </c>
      <c r="B762" s="25">
        <v>1202</v>
      </c>
      <c r="C762" s="25" t="s">
        <v>1754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1837</v>
      </c>
      <c r="J762" s="15">
        <v>3800</v>
      </c>
      <c r="K762" s="15"/>
      <c r="L762" s="15" t="s">
        <v>1838</v>
      </c>
      <c r="M762" s="15"/>
      <c r="N762" s="15"/>
      <c r="O762" s="15"/>
      <c r="S762" s="27">
        <v>148</v>
      </c>
      <c r="T762" s="28" t="s">
        <v>290</v>
      </c>
    </row>
    <row r="763" customHeight="1" spans="1:20">
      <c r="A763" s="25">
        <f t="shared" si="42"/>
        <v>1202039</v>
      </c>
      <c r="B763" s="25">
        <v>1202</v>
      </c>
      <c r="C763" s="25" t="s">
        <v>1754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1839</v>
      </c>
      <c r="J763" s="15">
        <v>3900</v>
      </c>
      <c r="K763" s="15"/>
      <c r="L763" s="15" t="s">
        <v>86</v>
      </c>
      <c r="M763" s="15"/>
      <c r="N763" s="15"/>
      <c r="O763" s="15"/>
      <c r="S763" s="27">
        <v>152</v>
      </c>
      <c r="T763" s="28" t="s">
        <v>292</v>
      </c>
    </row>
    <row r="764" customHeight="1" spans="1:20">
      <c r="A764" s="25">
        <f t="shared" si="42"/>
        <v>1202040</v>
      </c>
      <c r="B764" s="25">
        <v>1202</v>
      </c>
      <c r="C764" s="25" t="s">
        <v>1754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1840</v>
      </c>
      <c r="J764" s="15">
        <v>4000</v>
      </c>
      <c r="K764" s="15"/>
      <c r="L764" s="15" t="s">
        <v>1841</v>
      </c>
      <c r="M764" s="15"/>
      <c r="N764" s="15"/>
      <c r="O764" s="15"/>
      <c r="S764" s="27">
        <v>156</v>
      </c>
      <c r="T764" s="28" t="s">
        <v>294</v>
      </c>
    </row>
    <row r="765" customHeight="1" spans="1:20">
      <c r="A765" s="25">
        <f t="shared" si="42"/>
        <v>1202041</v>
      </c>
      <c r="B765" s="25">
        <v>1202</v>
      </c>
      <c r="C765" s="25" t="s">
        <v>1754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1842</v>
      </c>
      <c r="J765" s="15">
        <v>4100</v>
      </c>
      <c r="K765" s="15"/>
      <c r="L765" s="15" t="s">
        <v>1843</v>
      </c>
      <c r="M765" s="15"/>
      <c r="N765" s="15"/>
      <c r="O765" s="15"/>
      <c r="S765" s="27">
        <v>160</v>
      </c>
      <c r="T765" s="28" t="s">
        <v>296</v>
      </c>
    </row>
    <row r="766" customHeight="1" spans="1:20">
      <c r="A766" s="25">
        <f t="shared" si="42"/>
        <v>1202042</v>
      </c>
      <c r="B766" s="25">
        <v>1202</v>
      </c>
      <c r="C766" s="25" t="s">
        <v>1754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1844</v>
      </c>
      <c r="J766" s="15">
        <v>4200</v>
      </c>
      <c r="K766" s="15"/>
      <c r="L766" s="15" t="s">
        <v>1845</v>
      </c>
      <c r="M766" s="15"/>
      <c r="N766" s="15"/>
      <c r="O766" s="15"/>
      <c r="S766" s="27">
        <v>164</v>
      </c>
      <c r="T766" s="28" t="s">
        <v>298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1754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1846</v>
      </c>
      <c r="J767" s="15">
        <v>4300</v>
      </c>
      <c r="K767" s="15"/>
      <c r="L767" s="15" t="s">
        <v>1847</v>
      </c>
      <c r="M767" s="15"/>
      <c r="N767" s="15"/>
      <c r="O767" s="15"/>
      <c r="S767" s="27">
        <v>168</v>
      </c>
      <c r="T767" s="28" t="s">
        <v>300</v>
      </c>
    </row>
    <row r="768" customHeight="1" spans="1:20">
      <c r="A768" s="25">
        <f t="shared" si="43"/>
        <v>1202044</v>
      </c>
      <c r="B768" s="25">
        <v>1202</v>
      </c>
      <c r="C768" s="25" t="s">
        <v>1754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1848</v>
      </c>
      <c r="J768" s="15">
        <v>4400</v>
      </c>
      <c r="K768" s="15"/>
      <c r="L768" s="15" t="s">
        <v>1849</v>
      </c>
      <c r="M768" s="15"/>
      <c r="N768" s="15"/>
      <c r="O768" s="15"/>
      <c r="S768" s="27">
        <v>172</v>
      </c>
      <c r="T768" s="28" t="s">
        <v>302</v>
      </c>
    </row>
    <row r="769" customHeight="1" spans="1:20">
      <c r="A769" s="25">
        <f t="shared" si="43"/>
        <v>1202045</v>
      </c>
      <c r="B769" s="25">
        <v>1202</v>
      </c>
      <c r="C769" s="25" t="s">
        <v>1754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1850</v>
      </c>
      <c r="J769" s="15">
        <v>4500</v>
      </c>
      <c r="K769" s="15"/>
      <c r="L769" s="15" t="s">
        <v>1851</v>
      </c>
      <c r="M769" s="15"/>
      <c r="N769" s="15"/>
      <c r="O769" s="15"/>
      <c r="S769" s="27">
        <v>176</v>
      </c>
      <c r="T769" s="28" t="s">
        <v>304</v>
      </c>
    </row>
    <row r="770" customHeight="1" spans="1:20">
      <c r="A770" s="25">
        <f t="shared" si="43"/>
        <v>1202046</v>
      </c>
      <c r="B770" s="25">
        <v>1202</v>
      </c>
      <c r="C770" s="25" t="s">
        <v>1754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1852</v>
      </c>
      <c r="J770" s="15">
        <v>4600</v>
      </c>
      <c r="K770" s="15"/>
      <c r="L770" s="15" t="s">
        <v>1853</v>
      </c>
      <c r="M770" s="15"/>
      <c r="N770" s="15"/>
      <c r="O770" s="15"/>
      <c r="S770" s="27">
        <v>180</v>
      </c>
      <c r="T770" s="28" t="s">
        <v>306</v>
      </c>
    </row>
    <row r="771" customHeight="1" spans="1:20">
      <c r="A771" s="25">
        <f t="shared" si="43"/>
        <v>1202047</v>
      </c>
      <c r="B771" s="25">
        <v>1202</v>
      </c>
      <c r="C771" s="25" t="s">
        <v>1754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1854</v>
      </c>
      <c r="J771" s="15">
        <v>4700</v>
      </c>
      <c r="K771" s="15"/>
      <c r="L771" s="15" t="s">
        <v>1855</v>
      </c>
      <c r="M771" s="15"/>
      <c r="N771" s="15"/>
      <c r="O771" s="15"/>
      <c r="S771" s="27">
        <v>184</v>
      </c>
      <c r="T771" s="28" t="s">
        <v>308</v>
      </c>
    </row>
    <row r="772" customHeight="1" spans="1:20">
      <c r="A772" s="25">
        <f t="shared" si="43"/>
        <v>1202048</v>
      </c>
      <c r="B772" s="25">
        <v>1202</v>
      </c>
      <c r="C772" s="25" t="s">
        <v>1754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1856</v>
      </c>
      <c r="J772" s="15">
        <v>4800</v>
      </c>
      <c r="K772" s="15"/>
      <c r="L772" s="15" t="s">
        <v>1857</v>
      </c>
      <c r="M772" s="15"/>
      <c r="N772" s="15"/>
      <c r="O772" s="15"/>
      <c r="R772" s="5" t="s">
        <v>273</v>
      </c>
      <c r="S772" s="27">
        <v>188</v>
      </c>
      <c r="T772" s="28" t="s">
        <v>310</v>
      </c>
    </row>
    <row r="773" customHeight="1" spans="1:20">
      <c r="A773" s="25">
        <f t="shared" si="43"/>
        <v>1202049</v>
      </c>
      <c r="B773" s="25">
        <v>1202</v>
      </c>
      <c r="C773" s="25" t="s">
        <v>1754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1858</v>
      </c>
      <c r="J773" s="15">
        <v>4900</v>
      </c>
      <c r="K773" s="15"/>
      <c r="L773" s="15" t="s">
        <v>1859</v>
      </c>
      <c r="M773" s="15"/>
      <c r="N773" s="15"/>
      <c r="O773" s="15"/>
      <c r="R773" s="5" t="s">
        <v>273</v>
      </c>
      <c r="S773" s="27">
        <v>192</v>
      </c>
      <c r="T773" s="28" t="s">
        <v>312</v>
      </c>
    </row>
    <row r="774" customHeight="1" spans="1:20">
      <c r="A774" s="25">
        <f t="shared" si="43"/>
        <v>1202050</v>
      </c>
      <c r="B774" s="25">
        <v>1202</v>
      </c>
      <c r="C774" s="25" t="s">
        <v>1754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1860</v>
      </c>
      <c r="J774" s="15">
        <v>5000</v>
      </c>
      <c r="K774" s="15"/>
      <c r="L774" s="15" t="s">
        <v>1861</v>
      </c>
      <c r="M774" s="15"/>
      <c r="N774" s="15"/>
      <c r="O774" s="15"/>
      <c r="R774" s="5" t="s">
        <v>273</v>
      </c>
      <c r="S774" s="27">
        <v>196</v>
      </c>
      <c r="T774" s="28" t="s">
        <v>314</v>
      </c>
    </row>
    <row r="775" customHeight="1" spans="1:20">
      <c r="A775" s="25">
        <f t="shared" si="43"/>
        <v>1202051</v>
      </c>
      <c r="B775" s="25">
        <v>1202</v>
      </c>
      <c r="C775" s="25" t="s">
        <v>1754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1862</v>
      </c>
      <c r="J775" s="15">
        <v>5100</v>
      </c>
      <c r="K775" s="15"/>
      <c r="L775" s="15" t="s">
        <v>1863</v>
      </c>
      <c r="M775" s="15"/>
      <c r="N775" s="15"/>
      <c r="O775" s="15"/>
      <c r="R775" s="5" t="s">
        <v>273</v>
      </c>
      <c r="S775" s="27">
        <v>200</v>
      </c>
      <c r="T775" s="28" t="s">
        <v>316</v>
      </c>
    </row>
    <row r="776" customHeight="1" spans="1:20">
      <c r="A776" s="25">
        <f t="shared" si="43"/>
        <v>1202052</v>
      </c>
      <c r="B776" s="25">
        <v>1202</v>
      </c>
      <c r="C776" s="25" t="s">
        <v>1754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1864</v>
      </c>
      <c r="J776" s="15">
        <v>5200</v>
      </c>
      <c r="K776" s="15"/>
      <c r="L776" s="15" t="s">
        <v>1865</v>
      </c>
      <c r="M776" s="15"/>
      <c r="N776" s="15"/>
      <c r="O776" s="15"/>
      <c r="R776" s="5" t="s">
        <v>273</v>
      </c>
      <c r="S776" s="27">
        <v>204</v>
      </c>
      <c r="T776" s="28" t="s">
        <v>318</v>
      </c>
    </row>
    <row r="777" customHeight="1" spans="1:20">
      <c r="A777" s="25">
        <f t="shared" si="43"/>
        <v>1202053</v>
      </c>
      <c r="B777" s="25">
        <v>1202</v>
      </c>
      <c r="C777" s="25" t="s">
        <v>1754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1866</v>
      </c>
      <c r="J777" s="15">
        <v>5300</v>
      </c>
      <c r="K777" s="15"/>
      <c r="L777" s="15" t="s">
        <v>1867</v>
      </c>
      <c r="M777" s="15"/>
      <c r="N777" s="15"/>
      <c r="O777" s="15"/>
      <c r="R777" s="5" t="s">
        <v>273</v>
      </c>
      <c r="S777" s="27">
        <v>208</v>
      </c>
      <c r="T777" s="28" t="s">
        <v>320</v>
      </c>
    </row>
    <row r="778" customHeight="1" spans="1:20">
      <c r="A778" s="25">
        <f t="shared" si="43"/>
        <v>1202054</v>
      </c>
      <c r="B778" s="25">
        <v>1202</v>
      </c>
      <c r="C778" s="25" t="s">
        <v>1754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1868</v>
      </c>
      <c r="J778" s="15">
        <v>5400</v>
      </c>
      <c r="K778" s="15"/>
      <c r="L778" s="15" t="s">
        <v>1869</v>
      </c>
      <c r="M778" s="15"/>
      <c r="N778" s="15"/>
      <c r="O778" s="15"/>
      <c r="R778" s="5" t="s">
        <v>273</v>
      </c>
      <c r="S778" s="27">
        <v>212</v>
      </c>
      <c r="T778" s="28" t="s">
        <v>322</v>
      </c>
    </row>
    <row r="779" customHeight="1" spans="1:20">
      <c r="A779" s="25">
        <f t="shared" si="43"/>
        <v>1202055</v>
      </c>
      <c r="B779" s="25">
        <v>1202</v>
      </c>
      <c r="C779" s="25" t="s">
        <v>1754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1870</v>
      </c>
      <c r="J779" s="15">
        <v>5500</v>
      </c>
      <c r="K779" s="15"/>
      <c r="L779" s="15" t="s">
        <v>1871</v>
      </c>
      <c r="M779" s="15"/>
      <c r="N779" s="15"/>
      <c r="O779" s="15"/>
      <c r="R779" s="5" t="s">
        <v>273</v>
      </c>
      <c r="S779" s="27">
        <v>216</v>
      </c>
      <c r="T779" s="28" t="s">
        <v>325</v>
      </c>
    </row>
    <row r="780" customHeight="1" spans="1:20">
      <c r="A780" s="25">
        <f t="shared" si="43"/>
        <v>1202056</v>
      </c>
      <c r="B780" s="25">
        <v>1202</v>
      </c>
      <c r="C780" s="25" t="s">
        <v>1754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1872</v>
      </c>
      <c r="J780" s="15">
        <v>5600</v>
      </c>
      <c r="K780" s="15"/>
      <c r="L780" s="15" t="s">
        <v>1873</v>
      </c>
      <c r="M780" s="15"/>
      <c r="N780" s="15"/>
      <c r="O780" s="15"/>
      <c r="R780" s="5" t="s">
        <v>273</v>
      </c>
      <c r="S780" s="27">
        <v>220</v>
      </c>
      <c r="T780" s="28" t="s">
        <v>327</v>
      </c>
    </row>
    <row r="781" customHeight="1" spans="1:20">
      <c r="A781" s="25">
        <f t="shared" si="43"/>
        <v>1202057</v>
      </c>
      <c r="B781" s="25">
        <v>1202</v>
      </c>
      <c r="C781" s="25" t="s">
        <v>1754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1874</v>
      </c>
      <c r="J781" s="15">
        <v>5700</v>
      </c>
      <c r="K781" s="15"/>
      <c r="L781" s="15" t="s">
        <v>1875</v>
      </c>
      <c r="M781" s="15"/>
      <c r="N781" s="15"/>
      <c r="O781" s="15"/>
      <c r="R781" s="5" t="s">
        <v>273</v>
      </c>
      <c r="S781" s="27">
        <v>224</v>
      </c>
      <c r="T781" s="28" t="s">
        <v>329</v>
      </c>
    </row>
    <row r="782" customHeight="1" spans="1:20">
      <c r="A782" s="25">
        <f t="shared" si="43"/>
        <v>1202058</v>
      </c>
      <c r="B782" s="25">
        <v>1202</v>
      </c>
      <c r="C782" s="25" t="s">
        <v>1754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1876</v>
      </c>
      <c r="J782" s="15">
        <v>5800</v>
      </c>
      <c r="K782" s="15"/>
      <c r="L782" s="15" t="s">
        <v>1877</v>
      </c>
      <c r="M782" s="15"/>
      <c r="N782" s="15"/>
      <c r="O782" s="15"/>
      <c r="R782" s="5" t="s">
        <v>273</v>
      </c>
      <c r="S782" s="27">
        <v>228</v>
      </c>
      <c r="T782" s="28" t="s">
        <v>332</v>
      </c>
    </row>
    <row r="783" customHeight="1" spans="1:20">
      <c r="A783" s="25">
        <f t="shared" si="43"/>
        <v>1202059</v>
      </c>
      <c r="B783" s="25">
        <v>1202</v>
      </c>
      <c r="C783" s="25" t="s">
        <v>1754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1878</v>
      </c>
      <c r="J783" s="15">
        <v>5900</v>
      </c>
      <c r="K783" s="15"/>
      <c r="L783" s="15" t="s">
        <v>94</v>
      </c>
      <c r="M783" s="15"/>
      <c r="N783" s="15"/>
      <c r="O783" s="15"/>
      <c r="R783" s="5" t="s">
        <v>273</v>
      </c>
      <c r="S783" s="27">
        <v>232</v>
      </c>
      <c r="T783" s="28" t="s">
        <v>334</v>
      </c>
    </row>
    <row r="784" customHeight="1" spans="1:20">
      <c r="A784" s="25">
        <f t="shared" si="43"/>
        <v>1202060</v>
      </c>
      <c r="B784" s="25">
        <v>1202</v>
      </c>
      <c r="C784" s="25" t="s">
        <v>1754</v>
      </c>
      <c r="D784" s="25"/>
      <c r="E784" s="25">
        <v>23</v>
      </c>
      <c r="F784" s="25">
        <v>60</v>
      </c>
      <c r="G784" s="25">
        <v>16</v>
      </c>
      <c r="H784" s="25"/>
      <c r="I784" s="25" t="s">
        <v>1879</v>
      </c>
      <c r="J784" s="15">
        <v>6000</v>
      </c>
      <c r="K784" s="15"/>
      <c r="L784" s="15" t="s">
        <v>1880</v>
      </c>
      <c r="M784" s="15"/>
      <c r="N784" s="15"/>
      <c r="O784" s="15"/>
      <c r="R784" s="5" t="s">
        <v>273</v>
      </c>
      <c r="S784" s="27"/>
      <c r="T784" s="28" t="s">
        <v>336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1881</v>
      </c>
      <c r="D785" s="29"/>
      <c r="E785" s="25">
        <v>1</v>
      </c>
      <c r="F785" s="29">
        <v>1</v>
      </c>
      <c r="G785" s="12"/>
      <c r="H785" s="12"/>
      <c r="I785" s="29" t="s">
        <v>1756</v>
      </c>
      <c r="J785" s="30">
        <v>50</v>
      </c>
      <c r="K785" s="30"/>
      <c r="L785" s="15" t="s">
        <v>1757</v>
      </c>
      <c r="P785" s="31"/>
      <c r="Q785" s="31"/>
      <c r="R785" s="6" t="s">
        <v>1882</v>
      </c>
      <c r="S785" s="32">
        <v>1</v>
      </c>
      <c r="T785" s="35" t="s">
        <v>205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1881</v>
      </c>
      <c r="D786" s="29"/>
      <c r="E786" s="25">
        <v>1</v>
      </c>
      <c r="F786" s="29">
        <v>2</v>
      </c>
      <c r="G786" s="12"/>
      <c r="H786" s="12"/>
      <c r="I786" s="29" t="s">
        <v>1761</v>
      </c>
      <c r="J786" s="30">
        <v>100</v>
      </c>
      <c r="K786" s="30"/>
      <c r="L786" s="15" t="s">
        <v>1762</v>
      </c>
      <c r="P786" s="31"/>
      <c r="Q786" s="31"/>
      <c r="R786" s="6">
        <v>1301251</v>
      </c>
      <c r="S786" s="32">
        <v>2</v>
      </c>
      <c r="T786" s="35" t="s">
        <v>210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1881</v>
      </c>
      <c r="D787" s="29"/>
      <c r="E787" s="25">
        <v>1</v>
      </c>
      <c r="F787" s="29">
        <v>3</v>
      </c>
      <c r="G787" s="12"/>
      <c r="H787" s="12"/>
      <c r="I787" s="29" t="s">
        <v>1764</v>
      </c>
      <c r="J787" s="30">
        <v>150</v>
      </c>
      <c r="K787" s="30"/>
      <c r="L787" s="15" t="s">
        <v>1765</v>
      </c>
      <c r="P787" s="31"/>
      <c r="Q787" s="31"/>
      <c r="R787" s="6">
        <v>1301252</v>
      </c>
      <c r="S787" s="32">
        <v>4</v>
      </c>
      <c r="T787" s="35" t="s">
        <v>215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1881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1766</v>
      </c>
      <c r="J788" s="30">
        <v>200</v>
      </c>
      <c r="K788" s="30"/>
      <c r="L788" s="15" t="s">
        <v>63</v>
      </c>
      <c r="P788" s="31"/>
      <c r="Q788" s="31"/>
      <c r="R788" s="6">
        <v>1301253</v>
      </c>
      <c r="S788" s="32">
        <v>6</v>
      </c>
      <c r="T788" s="35" t="s">
        <v>217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1881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1767</v>
      </c>
      <c r="J789" s="30">
        <v>250</v>
      </c>
      <c r="K789" s="30"/>
      <c r="L789" s="15" t="s">
        <v>1768</v>
      </c>
      <c r="P789" s="31"/>
      <c r="Q789" s="31"/>
      <c r="R789" s="6">
        <v>1301254</v>
      </c>
      <c r="S789" s="32">
        <v>8</v>
      </c>
      <c r="T789" s="35" t="s">
        <v>220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1881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1769</v>
      </c>
      <c r="J790" s="30">
        <v>300</v>
      </c>
      <c r="K790" s="30"/>
      <c r="L790" s="15" t="s">
        <v>1770</v>
      </c>
      <c r="P790" s="31"/>
      <c r="Q790" s="31"/>
      <c r="R790" s="6">
        <v>1301255</v>
      </c>
      <c r="S790" s="32">
        <v>10</v>
      </c>
      <c r="T790" s="35" t="s">
        <v>222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1881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1771</v>
      </c>
      <c r="J791" s="30">
        <v>350</v>
      </c>
      <c r="K791" s="30"/>
      <c r="L791" s="15" t="s">
        <v>71</v>
      </c>
      <c r="P791" s="31"/>
      <c r="Q791" s="31"/>
      <c r="R791" s="6">
        <v>1301256</v>
      </c>
      <c r="S791" s="32">
        <v>12</v>
      </c>
      <c r="T791" s="35" t="s">
        <v>224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1881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1772</v>
      </c>
      <c r="J792" s="30">
        <v>400</v>
      </c>
      <c r="K792" s="30"/>
      <c r="L792" s="15" t="s">
        <v>1773</v>
      </c>
      <c r="P792" s="31"/>
      <c r="Q792" s="31"/>
      <c r="R792" s="6">
        <v>1301257</v>
      </c>
      <c r="S792" s="32">
        <v>14</v>
      </c>
      <c r="T792" s="35" t="s">
        <v>226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1881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1775</v>
      </c>
      <c r="J793" s="30">
        <v>450</v>
      </c>
      <c r="K793" s="30"/>
      <c r="L793" s="15" t="s">
        <v>1776</v>
      </c>
      <c r="P793" s="31"/>
      <c r="Q793" s="31"/>
      <c r="R793" s="6">
        <v>1301259</v>
      </c>
      <c r="S793" s="32">
        <v>16</v>
      </c>
      <c r="T793" s="35" t="s">
        <v>228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1881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1778</v>
      </c>
      <c r="J794" s="30">
        <v>500</v>
      </c>
      <c r="K794" s="30"/>
      <c r="L794" s="15" t="s">
        <v>1779</v>
      </c>
      <c r="P794" s="31"/>
      <c r="Q794" s="31"/>
      <c r="R794" s="6"/>
      <c r="S794" s="32">
        <v>18</v>
      </c>
      <c r="T794" s="35" t="s">
        <v>231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1881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1781</v>
      </c>
      <c r="J795" s="30">
        <v>550</v>
      </c>
      <c r="K795" s="30"/>
      <c r="L795" s="15" t="s">
        <v>1782</v>
      </c>
      <c r="P795" s="31"/>
      <c r="Q795" s="31"/>
      <c r="R795" s="6"/>
      <c r="S795" s="32">
        <v>20</v>
      </c>
      <c r="T795" s="35" t="s">
        <v>233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1881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1784</v>
      </c>
      <c r="J796" s="30">
        <v>600</v>
      </c>
      <c r="K796" s="30"/>
      <c r="L796" s="15" t="s">
        <v>1785</v>
      </c>
      <c r="P796" s="31"/>
      <c r="Q796" s="31"/>
      <c r="R796" s="6"/>
      <c r="S796" s="32">
        <v>22</v>
      </c>
      <c r="T796" s="35" t="s">
        <v>235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1881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1787</v>
      </c>
      <c r="J797" s="30">
        <v>650</v>
      </c>
      <c r="K797" s="30"/>
      <c r="L797" s="15" t="s">
        <v>1788</v>
      </c>
      <c r="P797" s="31"/>
      <c r="Q797" s="31"/>
      <c r="R797" s="6" t="s">
        <v>273</v>
      </c>
      <c r="S797" s="32">
        <v>24</v>
      </c>
      <c r="T797" s="35" t="s">
        <v>237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1881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1790</v>
      </c>
      <c r="J798" s="30">
        <v>700</v>
      </c>
      <c r="K798" s="30"/>
      <c r="L798" s="15" t="s">
        <v>1791</v>
      </c>
      <c r="P798" s="31"/>
      <c r="Q798" s="31"/>
      <c r="R798" s="6" t="s">
        <v>273</v>
      </c>
      <c r="S798" s="32">
        <v>26</v>
      </c>
      <c r="T798" s="35" t="s">
        <v>239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1881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1792</v>
      </c>
      <c r="J799" s="30">
        <v>750</v>
      </c>
      <c r="K799" s="30"/>
      <c r="L799" s="15" t="s">
        <v>1793</v>
      </c>
      <c r="P799" s="31"/>
      <c r="Q799" s="31"/>
      <c r="R799" s="6" t="s">
        <v>273</v>
      </c>
      <c r="S799" s="32">
        <v>28</v>
      </c>
      <c r="T799" s="35" t="s">
        <v>242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1881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1794</v>
      </c>
      <c r="J800" s="30">
        <v>800</v>
      </c>
      <c r="K800" s="30"/>
      <c r="L800" s="15" t="s">
        <v>1795</v>
      </c>
      <c r="P800" s="31"/>
      <c r="Q800" s="31"/>
      <c r="R800" s="6" t="s">
        <v>273</v>
      </c>
      <c r="S800" s="32">
        <v>30</v>
      </c>
      <c r="T800" s="35" t="s">
        <v>244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1881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1796</v>
      </c>
      <c r="J801" s="30">
        <v>850</v>
      </c>
      <c r="K801" s="30"/>
      <c r="L801" s="15" t="s">
        <v>1797</v>
      </c>
      <c r="P801" s="31"/>
      <c r="Q801" s="31"/>
      <c r="R801" s="6" t="s">
        <v>273</v>
      </c>
      <c r="S801" s="32">
        <v>32</v>
      </c>
      <c r="T801" s="35" t="s">
        <v>246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1881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1798</v>
      </c>
      <c r="J802" s="30">
        <v>900</v>
      </c>
      <c r="K802" s="30"/>
      <c r="L802" s="15" t="s">
        <v>1799</v>
      </c>
      <c r="P802" s="31"/>
      <c r="Q802" s="31"/>
      <c r="R802" s="6" t="s">
        <v>273</v>
      </c>
      <c r="S802" s="32">
        <v>34</v>
      </c>
      <c r="T802" s="35" t="s">
        <v>248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1881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1800</v>
      </c>
      <c r="J803" s="30">
        <v>950</v>
      </c>
      <c r="K803" s="30"/>
      <c r="L803" s="15" t="s">
        <v>78</v>
      </c>
      <c r="P803" s="31"/>
      <c r="Q803" s="31"/>
      <c r="R803" s="6" t="s">
        <v>273</v>
      </c>
      <c r="S803" s="32">
        <v>36</v>
      </c>
      <c r="T803" s="35" t="s">
        <v>250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1881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1801</v>
      </c>
      <c r="J804" s="30">
        <v>1000</v>
      </c>
      <c r="K804" s="30"/>
      <c r="L804" s="15" t="s">
        <v>1802</v>
      </c>
      <c r="P804" s="31"/>
      <c r="Q804" s="31"/>
      <c r="R804" s="6" t="s">
        <v>273</v>
      </c>
      <c r="S804" s="32">
        <v>38</v>
      </c>
      <c r="T804" s="35" t="s">
        <v>253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1881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1803</v>
      </c>
      <c r="J805" s="30">
        <v>1050</v>
      </c>
      <c r="K805" s="30"/>
      <c r="L805" s="15" t="s">
        <v>1804</v>
      </c>
      <c r="P805" s="31"/>
      <c r="Q805" s="31"/>
      <c r="R805" s="6" t="s">
        <v>273</v>
      </c>
      <c r="S805" s="32">
        <v>40</v>
      </c>
      <c r="T805" s="35" t="s">
        <v>255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1881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1805</v>
      </c>
      <c r="J806" s="30">
        <v>1100</v>
      </c>
      <c r="K806" s="30"/>
      <c r="L806" s="15" t="s">
        <v>1806</v>
      </c>
      <c r="P806" s="31"/>
      <c r="Q806" s="31"/>
      <c r="R806" s="6" t="s">
        <v>273</v>
      </c>
      <c r="S806" s="32">
        <v>42</v>
      </c>
      <c r="T806" s="35" t="s">
        <v>257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1881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1807</v>
      </c>
      <c r="J807" s="30">
        <v>1150</v>
      </c>
      <c r="K807" s="30"/>
      <c r="L807" s="15" t="s">
        <v>1808</v>
      </c>
      <c r="P807" s="31"/>
      <c r="Q807" s="31"/>
      <c r="R807" s="6" t="s">
        <v>273</v>
      </c>
      <c r="S807" s="32">
        <v>44</v>
      </c>
      <c r="T807" s="35" t="s">
        <v>259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1881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1809</v>
      </c>
      <c r="J808" s="30">
        <v>1200</v>
      </c>
      <c r="K808" s="30"/>
      <c r="L808" s="15" t="s">
        <v>1810</v>
      </c>
      <c r="P808" s="31"/>
      <c r="Q808" s="31"/>
      <c r="R808" s="6" t="s">
        <v>273</v>
      </c>
      <c r="S808" s="32">
        <v>46</v>
      </c>
      <c r="T808" s="35" t="s">
        <v>261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1881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1811</v>
      </c>
      <c r="J809" s="30">
        <v>1250</v>
      </c>
      <c r="K809" s="30"/>
      <c r="L809" s="15" t="s">
        <v>1812</v>
      </c>
      <c r="P809" s="31"/>
      <c r="Q809" s="31"/>
      <c r="R809" s="6" t="s">
        <v>273</v>
      </c>
      <c r="S809" s="32">
        <v>48</v>
      </c>
      <c r="T809" s="35" t="s">
        <v>263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1881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1813</v>
      </c>
      <c r="J810" s="30">
        <v>1300</v>
      </c>
      <c r="K810" s="30"/>
      <c r="L810" s="15" t="s">
        <v>1814</v>
      </c>
      <c r="P810" s="31"/>
      <c r="Q810" s="31"/>
      <c r="R810" s="6" t="s">
        <v>273</v>
      </c>
      <c r="S810" s="32">
        <v>50</v>
      </c>
      <c r="T810" s="35" t="s">
        <v>265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1881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1815</v>
      </c>
      <c r="J811" s="30">
        <v>1350</v>
      </c>
      <c r="K811" s="30"/>
      <c r="L811" s="15" t="s">
        <v>1816</v>
      </c>
      <c r="P811" s="31"/>
      <c r="Q811" s="31"/>
      <c r="R811" s="6" t="s">
        <v>273</v>
      </c>
      <c r="S811" s="32">
        <v>52</v>
      </c>
      <c r="T811" s="35" t="s">
        <v>267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1881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1817</v>
      </c>
      <c r="J812" s="30">
        <v>1400</v>
      </c>
      <c r="K812" s="30"/>
      <c r="L812" s="15" t="s">
        <v>1818</v>
      </c>
      <c r="P812" s="31"/>
      <c r="Q812" s="31"/>
      <c r="R812" s="6" t="s">
        <v>273</v>
      </c>
      <c r="S812" s="32">
        <v>54</v>
      </c>
      <c r="T812" s="35" t="s">
        <v>269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1881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1819</v>
      </c>
      <c r="J813" s="30">
        <v>1450</v>
      </c>
      <c r="K813" s="30"/>
      <c r="L813" s="15" t="s">
        <v>1820</v>
      </c>
      <c r="P813" s="31"/>
      <c r="Q813" s="31"/>
      <c r="R813" s="6" t="s">
        <v>273</v>
      </c>
      <c r="S813" s="32">
        <v>56</v>
      </c>
      <c r="T813" s="35" t="s">
        <v>271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1881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1821</v>
      </c>
      <c r="J814" s="30">
        <v>1500</v>
      </c>
      <c r="K814" s="30"/>
      <c r="L814" s="15" t="s">
        <v>1822</v>
      </c>
      <c r="P814" s="31"/>
      <c r="Q814" s="31"/>
      <c r="R814" s="6" t="s">
        <v>273</v>
      </c>
      <c r="S814" s="32">
        <v>58</v>
      </c>
      <c r="T814" s="35" t="s">
        <v>274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1881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1823</v>
      </c>
      <c r="J815" s="30">
        <v>1550</v>
      </c>
      <c r="K815" s="30"/>
      <c r="L815" s="15" t="s">
        <v>1824</v>
      </c>
      <c r="P815" s="31"/>
      <c r="Q815" s="31"/>
      <c r="R815" s="6" t="s">
        <v>273</v>
      </c>
      <c r="S815" s="32">
        <v>60</v>
      </c>
      <c r="T815" s="35" t="s">
        <v>276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1881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1825</v>
      </c>
      <c r="J816" s="30">
        <v>1600</v>
      </c>
      <c r="K816" s="30"/>
      <c r="L816" s="15" t="s">
        <v>1826</v>
      </c>
      <c r="P816" s="31"/>
      <c r="Q816" s="31"/>
      <c r="R816" s="6" t="s">
        <v>273</v>
      </c>
      <c r="S816" s="32">
        <v>62</v>
      </c>
      <c r="T816" s="35" t="s">
        <v>278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1881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1827</v>
      </c>
      <c r="J817" s="30">
        <v>1650</v>
      </c>
      <c r="K817" s="30"/>
      <c r="L817" s="15" t="s">
        <v>1828</v>
      </c>
      <c r="P817" s="31"/>
      <c r="Q817" s="31"/>
      <c r="R817" s="6" t="s">
        <v>273</v>
      </c>
      <c r="S817" s="32">
        <v>64</v>
      </c>
      <c r="T817" s="35" t="s">
        <v>280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1881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1829</v>
      </c>
      <c r="J818" s="30">
        <v>1700</v>
      </c>
      <c r="K818" s="30"/>
      <c r="L818" s="15" t="s">
        <v>1830</v>
      </c>
      <c r="P818" s="31"/>
      <c r="Q818" s="31"/>
      <c r="R818" s="6" t="s">
        <v>273</v>
      </c>
      <c r="S818" s="32">
        <v>66</v>
      </c>
      <c r="T818" s="35" t="s">
        <v>282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1881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1831</v>
      </c>
      <c r="J819" s="30">
        <v>1750</v>
      </c>
      <c r="K819" s="30"/>
      <c r="L819" s="15" t="s">
        <v>1832</v>
      </c>
      <c r="P819" s="31"/>
      <c r="Q819" s="31"/>
      <c r="R819" s="6" t="s">
        <v>273</v>
      </c>
      <c r="S819" s="32">
        <v>68</v>
      </c>
      <c r="T819" s="35" t="s">
        <v>284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1881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1833</v>
      </c>
      <c r="J820" s="30">
        <v>1800</v>
      </c>
      <c r="K820" s="30"/>
      <c r="L820" s="15" t="s">
        <v>1834</v>
      </c>
      <c r="P820" s="31"/>
      <c r="Q820" s="31"/>
      <c r="R820" s="6" t="s">
        <v>273</v>
      </c>
      <c r="S820" s="32">
        <v>70</v>
      </c>
      <c r="T820" s="35" t="s">
        <v>286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1881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1835</v>
      </c>
      <c r="J821" s="30">
        <v>1850</v>
      </c>
      <c r="K821" s="30"/>
      <c r="L821" s="15" t="s">
        <v>1836</v>
      </c>
      <c r="P821" s="31"/>
      <c r="Q821" s="31"/>
      <c r="R821" s="6" t="s">
        <v>273</v>
      </c>
      <c r="S821" s="32">
        <v>72</v>
      </c>
      <c r="T821" s="35" t="s">
        <v>288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1881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1837</v>
      </c>
      <c r="J822" s="30">
        <v>1900</v>
      </c>
      <c r="K822" s="30"/>
      <c r="L822" s="15" t="s">
        <v>1838</v>
      </c>
      <c r="P822" s="31"/>
      <c r="Q822" s="31"/>
      <c r="R822" s="6" t="s">
        <v>273</v>
      </c>
      <c r="S822" s="32">
        <v>74</v>
      </c>
      <c r="T822" s="35" t="s">
        <v>290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1881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1839</v>
      </c>
      <c r="J823" s="30">
        <v>1950</v>
      </c>
      <c r="K823" s="30"/>
      <c r="L823" s="15" t="s">
        <v>86</v>
      </c>
      <c r="P823" s="31"/>
      <c r="Q823" s="31"/>
      <c r="R823" s="6" t="s">
        <v>273</v>
      </c>
      <c r="S823" s="32">
        <v>76</v>
      </c>
      <c r="T823" s="35" t="s">
        <v>292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1881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1840</v>
      </c>
      <c r="J824" s="30">
        <v>2000</v>
      </c>
      <c r="K824" s="30"/>
      <c r="L824" s="15" t="s">
        <v>1841</v>
      </c>
      <c r="P824" s="31"/>
      <c r="Q824" s="31"/>
      <c r="R824" s="6" t="s">
        <v>273</v>
      </c>
      <c r="S824" s="32">
        <v>78</v>
      </c>
      <c r="T824" s="35" t="s">
        <v>294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1881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1842</v>
      </c>
      <c r="J825" s="30">
        <v>2050</v>
      </c>
      <c r="K825" s="30"/>
      <c r="L825" s="15" t="s">
        <v>1843</v>
      </c>
      <c r="P825" s="31"/>
      <c r="Q825" s="31"/>
      <c r="R825" s="6" t="s">
        <v>273</v>
      </c>
      <c r="S825" s="32">
        <v>80</v>
      </c>
      <c r="T825" s="35" t="s">
        <v>296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1881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1844</v>
      </c>
      <c r="J826" s="30">
        <v>2100</v>
      </c>
      <c r="K826" s="30"/>
      <c r="L826" s="15" t="s">
        <v>1845</v>
      </c>
      <c r="P826" s="31"/>
      <c r="Q826" s="31"/>
      <c r="R826" s="6" t="s">
        <v>273</v>
      </c>
      <c r="S826" s="32">
        <v>82</v>
      </c>
      <c r="T826" s="35" t="s">
        <v>298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1881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1846</v>
      </c>
      <c r="J827" s="30">
        <v>2150</v>
      </c>
      <c r="K827" s="30"/>
      <c r="L827" s="15" t="s">
        <v>1847</v>
      </c>
      <c r="P827" s="31"/>
      <c r="Q827" s="31"/>
      <c r="R827" s="6" t="s">
        <v>273</v>
      </c>
      <c r="S827" s="32">
        <v>84</v>
      </c>
      <c r="T827" s="35" t="s">
        <v>300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1881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1848</v>
      </c>
      <c r="J828" s="30">
        <v>2200</v>
      </c>
      <c r="K828" s="30"/>
      <c r="L828" s="15" t="s">
        <v>1849</v>
      </c>
      <c r="P828" s="31"/>
      <c r="Q828" s="31"/>
      <c r="R828" s="6" t="s">
        <v>273</v>
      </c>
      <c r="S828" s="32">
        <v>86</v>
      </c>
      <c r="T828" s="35" t="s">
        <v>302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1881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1850</v>
      </c>
      <c r="J829" s="30">
        <v>2250</v>
      </c>
      <c r="K829" s="30"/>
      <c r="L829" s="15" t="s">
        <v>1851</v>
      </c>
      <c r="P829" s="31"/>
      <c r="Q829" s="31"/>
      <c r="R829" s="6" t="s">
        <v>273</v>
      </c>
      <c r="S829" s="32">
        <v>88</v>
      </c>
      <c r="T829" s="35" t="s">
        <v>304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1881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1852</v>
      </c>
      <c r="J830" s="30">
        <v>2300</v>
      </c>
      <c r="K830" s="30"/>
      <c r="L830" s="15" t="s">
        <v>1853</v>
      </c>
      <c r="P830" s="31"/>
      <c r="Q830" s="31"/>
      <c r="R830" s="6" t="s">
        <v>273</v>
      </c>
      <c r="S830" s="32">
        <v>90</v>
      </c>
      <c r="T830" s="35" t="s">
        <v>306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1881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1854</v>
      </c>
      <c r="J831" s="30">
        <v>2350</v>
      </c>
      <c r="K831" s="30"/>
      <c r="L831" s="15" t="s">
        <v>1855</v>
      </c>
      <c r="P831" s="31"/>
      <c r="Q831" s="31"/>
      <c r="R831" s="6" t="s">
        <v>273</v>
      </c>
      <c r="S831" s="32">
        <v>92</v>
      </c>
      <c r="T831" s="35" t="s">
        <v>308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1881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1856</v>
      </c>
      <c r="J832" s="30">
        <v>2400</v>
      </c>
      <c r="K832" s="30"/>
      <c r="L832" s="15" t="s">
        <v>1857</v>
      </c>
      <c r="P832" s="31"/>
      <c r="Q832" s="31"/>
      <c r="R832" s="6" t="s">
        <v>273</v>
      </c>
      <c r="S832" s="32">
        <v>94</v>
      </c>
      <c r="T832" s="35" t="s">
        <v>310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1881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1858</v>
      </c>
      <c r="J833" s="30">
        <v>2450</v>
      </c>
      <c r="K833" s="30"/>
      <c r="L833" s="15" t="s">
        <v>1859</v>
      </c>
      <c r="P833" s="31"/>
      <c r="Q833" s="31"/>
      <c r="R833" s="6" t="s">
        <v>273</v>
      </c>
      <c r="S833" s="32">
        <v>96</v>
      </c>
      <c r="T833" s="35" t="s">
        <v>312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1881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1860</v>
      </c>
      <c r="J834" s="30">
        <v>2500</v>
      </c>
      <c r="K834" s="30"/>
      <c r="L834" s="15" t="s">
        <v>1861</v>
      </c>
      <c r="P834" s="31"/>
      <c r="Q834" s="31"/>
      <c r="R834" s="6" t="s">
        <v>273</v>
      </c>
      <c r="S834" s="32">
        <v>98</v>
      </c>
      <c r="T834" s="35" t="s">
        <v>314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1881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1862</v>
      </c>
      <c r="J835" s="30">
        <v>2550</v>
      </c>
      <c r="K835" s="30"/>
      <c r="L835" s="15" t="s">
        <v>1863</v>
      </c>
      <c r="P835" s="31"/>
      <c r="Q835" s="31"/>
      <c r="R835" s="6" t="s">
        <v>273</v>
      </c>
      <c r="S835" s="32">
        <v>100</v>
      </c>
      <c r="T835" s="35" t="s">
        <v>316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1881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1864</v>
      </c>
      <c r="J836" s="30">
        <v>2600</v>
      </c>
      <c r="K836" s="30"/>
      <c r="L836" s="15" t="s">
        <v>1865</v>
      </c>
      <c r="P836" s="31"/>
      <c r="Q836" s="31"/>
      <c r="R836" s="6" t="s">
        <v>273</v>
      </c>
      <c r="S836" s="32">
        <v>102</v>
      </c>
      <c r="T836" s="35" t="s">
        <v>318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1881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1866</v>
      </c>
      <c r="J837" s="30">
        <v>2650</v>
      </c>
      <c r="K837" s="30"/>
      <c r="L837" s="15" t="s">
        <v>1867</v>
      </c>
      <c r="P837" s="31"/>
      <c r="Q837" s="31"/>
      <c r="R837" s="6" t="s">
        <v>273</v>
      </c>
      <c r="S837" s="32">
        <v>104</v>
      </c>
      <c r="T837" s="35" t="s">
        <v>320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1881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1868</v>
      </c>
      <c r="J838" s="30">
        <v>2700</v>
      </c>
      <c r="K838" s="30"/>
      <c r="L838" s="15" t="s">
        <v>1869</v>
      </c>
      <c r="P838" s="31"/>
      <c r="Q838" s="31"/>
      <c r="R838" s="6" t="s">
        <v>273</v>
      </c>
      <c r="S838" s="32">
        <v>106</v>
      </c>
      <c r="T838" s="35" t="s">
        <v>322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1881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1870</v>
      </c>
      <c r="J839" s="30">
        <v>2750</v>
      </c>
      <c r="K839" s="30"/>
      <c r="L839" s="15" t="s">
        <v>1871</v>
      </c>
      <c r="P839" s="31"/>
      <c r="Q839" s="31"/>
      <c r="R839" s="6" t="s">
        <v>273</v>
      </c>
      <c r="S839" s="32">
        <v>108</v>
      </c>
      <c r="T839" s="35" t="s">
        <v>325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1881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1872</v>
      </c>
      <c r="J840" s="30">
        <v>2800</v>
      </c>
      <c r="K840" s="30"/>
      <c r="L840" s="15" t="s">
        <v>1873</v>
      </c>
      <c r="P840" s="31"/>
      <c r="Q840" s="31"/>
      <c r="R840" s="6" t="s">
        <v>273</v>
      </c>
      <c r="S840" s="32">
        <v>110</v>
      </c>
      <c r="T840" s="35" t="s">
        <v>327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1881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1874</v>
      </c>
      <c r="J841" s="30">
        <v>2850</v>
      </c>
      <c r="K841" s="30"/>
      <c r="L841" s="15" t="s">
        <v>1875</v>
      </c>
      <c r="P841" s="31"/>
      <c r="Q841" s="31"/>
      <c r="R841" s="6" t="s">
        <v>273</v>
      </c>
      <c r="S841" s="32">
        <v>112</v>
      </c>
      <c r="T841" s="35" t="s">
        <v>329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1881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1876</v>
      </c>
      <c r="J842" s="30">
        <v>2900</v>
      </c>
      <c r="K842" s="30"/>
      <c r="L842" s="15" t="s">
        <v>1877</v>
      </c>
      <c r="P842" s="31"/>
      <c r="Q842" s="31"/>
      <c r="R842" s="6" t="s">
        <v>273</v>
      </c>
      <c r="S842" s="32">
        <v>114</v>
      </c>
      <c r="T842" s="35" t="s">
        <v>332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1881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1878</v>
      </c>
      <c r="J843" s="30">
        <v>2950</v>
      </c>
      <c r="K843" s="30"/>
      <c r="L843" s="15" t="s">
        <v>94</v>
      </c>
      <c r="P843" s="31"/>
      <c r="Q843" s="31"/>
      <c r="R843" s="6" t="s">
        <v>273</v>
      </c>
      <c r="S843" s="32">
        <v>116</v>
      </c>
      <c r="T843" s="12" t="s">
        <v>334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1881</v>
      </c>
      <c r="D844" s="29"/>
      <c r="E844" s="25">
        <v>20</v>
      </c>
      <c r="F844" s="29">
        <v>60</v>
      </c>
      <c r="G844" s="12"/>
      <c r="H844" s="12"/>
      <c r="I844" s="29" t="s">
        <v>1879</v>
      </c>
      <c r="J844" s="30">
        <v>3000</v>
      </c>
      <c r="K844" s="30"/>
      <c r="L844" s="15" t="s">
        <v>1880</v>
      </c>
      <c r="P844" s="31"/>
      <c r="Q844" s="31"/>
      <c r="R844" s="6"/>
      <c r="S844" s="32"/>
      <c r="T844" s="12" t="s">
        <v>336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1883</v>
      </c>
      <c r="D845" s="29"/>
      <c r="E845" s="25">
        <v>4</v>
      </c>
      <c r="F845" s="29">
        <v>1</v>
      </c>
      <c r="G845" s="12"/>
      <c r="H845" s="12"/>
      <c r="I845" s="29" t="s">
        <v>1756</v>
      </c>
      <c r="J845" s="30">
        <v>100</v>
      </c>
      <c r="K845" s="30"/>
      <c r="L845" s="15" t="s">
        <v>1757</v>
      </c>
      <c r="P845" s="31"/>
      <c r="Q845" s="31"/>
      <c r="R845" s="6" t="s">
        <v>1884</v>
      </c>
      <c r="S845" s="32">
        <v>1</v>
      </c>
      <c r="T845" s="35" t="s">
        <v>205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1883</v>
      </c>
      <c r="D846" s="29"/>
      <c r="E846" s="25">
        <v>4</v>
      </c>
      <c r="F846" s="29">
        <v>2</v>
      </c>
      <c r="G846" s="12"/>
      <c r="H846" s="12"/>
      <c r="I846" s="29" t="s">
        <v>1761</v>
      </c>
      <c r="J846" s="30">
        <v>200</v>
      </c>
      <c r="K846" s="30"/>
      <c r="L846" s="15" t="s">
        <v>1762</v>
      </c>
      <c r="P846" s="31"/>
      <c r="Q846" s="31"/>
      <c r="R846" s="6">
        <v>1303253</v>
      </c>
      <c r="S846" s="32">
        <v>2</v>
      </c>
      <c r="T846" s="35" t="s">
        <v>210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1883</v>
      </c>
      <c r="D847" s="29"/>
      <c r="E847" s="25">
        <v>4</v>
      </c>
      <c r="F847" s="29">
        <v>3</v>
      </c>
      <c r="G847" s="12"/>
      <c r="H847" s="12"/>
      <c r="I847" s="29" t="s">
        <v>1764</v>
      </c>
      <c r="J847" s="30">
        <v>300</v>
      </c>
      <c r="K847" s="30"/>
      <c r="L847" s="15" t="s">
        <v>1765</v>
      </c>
      <c r="P847" s="31"/>
      <c r="Q847" s="31"/>
      <c r="R847" s="6">
        <v>1303254</v>
      </c>
      <c r="S847" s="32">
        <v>4</v>
      </c>
      <c r="T847" s="35" t="s">
        <v>215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1883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1766</v>
      </c>
      <c r="J848" s="30">
        <v>400</v>
      </c>
      <c r="K848" s="30"/>
      <c r="L848" s="15" t="s">
        <v>63</v>
      </c>
      <c r="P848" s="31"/>
      <c r="Q848" s="31"/>
      <c r="R848" s="6">
        <v>1303255</v>
      </c>
      <c r="S848" s="32">
        <v>6</v>
      </c>
      <c r="T848" s="35" t="s">
        <v>217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1883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1767</v>
      </c>
      <c r="J849" s="30">
        <v>500</v>
      </c>
      <c r="K849" s="30"/>
      <c r="L849" s="15" t="s">
        <v>1768</v>
      </c>
      <c r="P849" s="31"/>
      <c r="Q849" s="31"/>
      <c r="R849" s="6">
        <v>1303251</v>
      </c>
      <c r="S849" s="32">
        <v>8</v>
      </c>
      <c r="T849" s="35" t="s">
        <v>220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1883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1769</v>
      </c>
      <c r="J850" s="30">
        <v>600</v>
      </c>
      <c r="K850" s="30"/>
      <c r="L850" s="15" t="s">
        <v>1770</v>
      </c>
      <c r="P850" s="31"/>
      <c r="Q850" s="31"/>
      <c r="R850" s="6">
        <v>1303252</v>
      </c>
      <c r="S850" s="32">
        <v>10</v>
      </c>
      <c r="T850" s="35" t="s">
        <v>222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1883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1771</v>
      </c>
      <c r="J851" s="30">
        <v>700</v>
      </c>
      <c r="K851" s="30"/>
      <c r="L851" s="15" t="s">
        <v>71</v>
      </c>
      <c r="P851" s="31"/>
      <c r="Q851" s="31"/>
      <c r="R851" s="6">
        <v>1303258</v>
      </c>
      <c r="S851" s="32">
        <v>12</v>
      </c>
      <c r="T851" s="35" t="s">
        <v>224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1883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1772</v>
      </c>
      <c r="J852" s="30">
        <v>800</v>
      </c>
      <c r="K852" s="30"/>
      <c r="L852" s="15" t="s">
        <v>1773</v>
      </c>
      <c r="P852" s="31"/>
      <c r="Q852" s="31"/>
      <c r="S852" s="32">
        <v>14</v>
      </c>
      <c r="T852" s="35" t="s">
        <v>226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1883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1775</v>
      </c>
      <c r="J853" s="30">
        <v>900</v>
      </c>
      <c r="K853" s="30"/>
      <c r="L853" s="15" t="s">
        <v>1776</v>
      </c>
      <c r="P853" s="31"/>
      <c r="Q853" s="31"/>
      <c r="R853" s="6"/>
      <c r="S853" s="32">
        <v>16</v>
      </c>
      <c r="T853" s="35" t="s">
        <v>228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1883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1778</v>
      </c>
      <c r="J854" s="30">
        <v>1000</v>
      </c>
      <c r="K854" s="30"/>
      <c r="L854" s="15" t="s">
        <v>1779</v>
      </c>
      <c r="P854" s="31"/>
      <c r="Q854" s="31"/>
      <c r="R854" s="6"/>
      <c r="S854" s="32">
        <v>18</v>
      </c>
      <c r="T854" s="35" t="s">
        <v>231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1883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1781</v>
      </c>
      <c r="J855" s="30">
        <v>1100</v>
      </c>
      <c r="K855" s="30"/>
      <c r="L855" s="15" t="s">
        <v>1782</v>
      </c>
      <c r="M855" s="12"/>
      <c r="N855" s="12"/>
      <c r="O855" s="12"/>
      <c r="P855" s="31"/>
      <c r="Q855" s="31"/>
      <c r="R855" s="6"/>
      <c r="S855" s="32">
        <v>20</v>
      </c>
      <c r="T855" s="35" t="s">
        <v>233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1883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1784</v>
      </c>
      <c r="J856" s="30">
        <v>1200</v>
      </c>
      <c r="K856" s="30"/>
      <c r="L856" s="15" t="s">
        <v>1785</v>
      </c>
      <c r="M856" s="12"/>
      <c r="N856" s="12"/>
      <c r="O856" s="12"/>
      <c r="P856" s="31"/>
      <c r="Q856" s="31"/>
      <c r="R856" s="6"/>
      <c r="S856" s="32">
        <v>22</v>
      </c>
      <c r="T856" s="35" t="s">
        <v>235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1883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1787</v>
      </c>
      <c r="J857" s="30">
        <v>1300</v>
      </c>
      <c r="K857" s="30"/>
      <c r="L857" s="15" t="s">
        <v>1788</v>
      </c>
      <c r="M857" s="12"/>
      <c r="N857" s="12"/>
      <c r="O857" s="12"/>
      <c r="P857" s="31"/>
      <c r="Q857" s="31"/>
      <c r="R857" s="6"/>
      <c r="S857" s="32">
        <v>24</v>
      </c>
      <c r="T857" s="35" t="s">
        <v>237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1883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1790</v>
      </c>
      <c r="J858" s="30">
        <v>1400</v>
      </c>
      <c r="K858" s="30"/>
      <c r="L858" s="15" t="s">
        <v>1791</v>
      </c>
      <c r="M858" s="12"/>
      <c r="N858" s="12"/>
      <c r="O858" s="12"/>
      <c r="P858" s="31"/>
      <c r="Q858" s="31"/>
      <c r="R858" s="6"/>
      <c r="S858" s="32">
        <v>26</v>
      </c>
      <c r="T858" s="35" t="s">
        <v>239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1883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1792</v>
      </c>
      <c r="J859" s="30">
        <v>1500</v>
      </c>
      <c r="K859" s="30"/>
      <c r="L859" s="15" t="s">
        <v>1793</v>
      </c>
      <c r="M859" s="12"/>
      <c r="N859" s="12"/>
      <c r="O859" s="12"/>
      <c r="P859" s="31"/>
      <c r="Q859" s="31"/>
      <c r="R859" s="6" t="s">
        <v>273</v>
      </c>
      <c r="S859" s="32">
        <v>28</v>
      </c>
      <c r="T859" s="35" t="s">
        <v>242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1883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1794</v>
      </c>
      <c r="J860" s="30">
        <v>1600</v>
      </c>
      <c r="K860" s="30"/>
      <c r="L860" s="15" t="s">
        <v>1795</v>
      </c>
      <c r="M860" s="12"/>
      <c r="N860" s="12"/>
      <c r="O860" s="12"/>
      <c r="P860" s="31"/>
      <c r="Q860" s="31"/>
      <c r="R860" s="6" t="s">
        <v>273</v>
      </c>
      <c r="S860" s="32">
        <v>30</v>
      </c>
      <c r="T860" s="35" t="s">
        <v>244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1883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1796</v>
      </c>
      <c r="J861" s="30">
        <v>1700</v>
      </c>
      <c r="K861" s="30"/>
      <c r="L861" s="15" t="s">
        <v>1797</v>
      </c>
      <c r="M861" s="12"/>
      <c r="N861" s="12"/>
      <c r="O861" s="12"/>
      <c r="P861" s="31"/>
      <c r="Q861" s="31"/>
      <c r="R861" s="6" t="s">
        <v>273</v>
      </c>
      <c r="S861" s="32">
        <v>32</v>
      </c>
      <c r="T861" s="35" t="s">
        <v>246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1883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1798</v>
      </c>
      <c r="J862" s="30">
        <v>1800</v>
      </c>
      <c r="K862" s="30"/>
      <c r="L862" s="15" t="s">
        <v>1799</v>
      </c>
      <c r="M862" s="12"/>
      <c r="N862" s="12"/>
      <c r="O862" s="12"/>
      <c r="P862" s="31"/>
      <c r="Q862" s="31"/>
      <c r="R862" s="6" t="s">
        <v>273</v>
      </c>
      <c r="S862" s="32">
        <v>34</v>
      </c>
      <c r="T862" s="35" t="s">
        <v>248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1883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1800</v>
      </c>
      <c r="J863" s="30">
        <v>1900</v>
      </c>
      <c r="K863" s="30"/>
      <c r="L863" s="15" t="s">
        <v>78</v>
      </c>
      <c r="M863" s="12"/>
      <c r="N863" s="12"/>
      <c r="O863" s="12"/>
      <c r="P863" s="31"/>
      <c r="Q863" s="31"/>
      <c r="R863" s="6" t="s">
        <v>273</v>
      </c>
      <c r="S863" s="32">
        <v>36</v>
      </c>
      <c r="T863" s="35" t="s">
        <v>250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1883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1801</v>
      </c>
      <c r="J864" s="30">
        <v>2000</v>
      </c>
      <c r="K864" s="30"/>
      <c r="L864" s="15" t="s">
        <v>1802</v>
      </c>
      <c r="M864" s="12"/>
      <c r="N864" s="12"/>
      <c r="O864" s="12"/>
      <c r="P864" s="31"/>
      <c r="Q864" s="31"/>
      <c r="R864" s="6" t="s">
        <v>273</v>
      </c>
      <c r="S864" s="32">
        <v>38</v>
      </c>
      <c r="T864" s="35" t="s">
        <v>253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1883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1803</v>
      </c>
      <c r="J865" s="30">
        <v>2100</v>
      </c>
      <c r="K865" s="30"/>
      <c r="L865" s="15" t="s">
        <v>1804</v>
      </c>
      <c r="M865" s="12"/>
      <c r="N865" s="12"/>
      <c r="O865" s="12"/>
      <c r="P865" s="31"/>
      <c r="Q865" s="31"/>
      <c r="R865" s="6" t="s">
        <v>273</v>
      </c>
      <c r="S865" s="32">
        <v>40</v>
      </c>
      <c r="T865" s="35" t="s">
        <v>255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1883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1805</v>
      </c>
      <c r="J866" s="30">
        <v>2200</v>
      </c>
      <c r="K866" s="30"/>
      <c r="L866" s="15" t="s">
        <v>1806</v>
      </c>
      <c r="M866" s="12"/>
      <c r="N866" s="12"/>
      <c r="O866" s="12"/>
      <c r="P866" s="31"/>
      <c r="Q866" s="31"/>
      <c r="R866" s="6" t="s">
        <v>273</v>
      </c>
      <c r="S866" s="32">
        <v>42</v>
      </c>
      <c r="T866" s="35" t="s">
        <v>257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1883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1807</v>
      </c>
      <c r="J867" s="30">
        <v>2300</v>
      </c>
      <c r="K867" s="30"/>
      <c r="L867" s="15" t="s">
        <v>1808</v>
      </c>
      <c r="M867" s="12"/>
      <c r="N867" s="12"/>
      <c r="O867" s="12"/>
      <c r="P867" s="31"/>
      <c r="Q867" s="31"/>
      <c r="R867" s="6" t="s">
        <v>273</v>
      </c>
      <c r="S867" s="32">
        <v>44</v>
      </c>
      <c r="T867" s="35" t="s">
        <v>259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1883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1809</v>
      </c>
      <c r="J868" s="30">
        <v>2400</v>
      </c>
      <c r="K868" s="30"/>
      <c r="L868" s="15" t="s">
        <v>1810</v>
      </c>
      <c r="M868" s="12"/>
      <c r="N868" s="12"/>
      <c r="O868" s="12"/>
      <c r="P868" s="31"/>
      <c r="Q868" s="31"/>
      <c r="R868" s="6" t="s">
        <v>273</v>
      </c>
      <c r="S868" s="32">
        <v>46</v>
      </c>
      <c r="T868" s="35" t="s">
        <v>261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1883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1811</v>
      </c>
      <c r="J869" s="30">
        <v>2500</v>
      </c>
      <c r="K869" s="30"/>
      <c r="L869" s="15" t="s">
        <v>1812</v>
      </c>
      <c r="M869" s="12"/>
      <c r="N869" s="12"/>
      <c r="O869" s="12"/>
      <c r="P869" s="31"/>
      <c r="Q869" s="31"/>
      <c r="R869" s="6" t="s">
        <v>273</v>
      </c>
      <c r="S869" s="32">
        <v>48</v>
      </c>
      <c r="T869" s="35" t="s">
        <v>263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1883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1813</v>
      </c>
      <c r="J870" s="30">
        <v>2600</v>
      </c>
      <c r="K870" s="30"/>
      <c r="L870" s="15" t="s">
        <v>1814</v>
      </c>
      <c r="M870" s="12"/>
      <c r="N870" s="12"/>
      <c r="O870" s="12"/>
      <c r="P870" s="31"/>
      <c r="Q870" s="31"/>
      <c r="R870" s="6" t="s">
        <v>273</v>
      </c>
      <c r="S870" s="32">
        <v>50</v>
      </c>
      <c r="T870" s="35" t="s">
        <v>265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1883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1815</v>
      </c>
      <c r="J871" s="30">
        <v>2700</v>
      </c>
      <c r="K871" s="30"/>
      <c r="L871" s="15" t="s">
        <v>1816</v>
      </c>
      <c r="M871" s="12"/>
      <c r="N871" s="12"/>
      <c r="O871" s="12"/>
      <c r="P871" s="31"/>
      <c r="Q871" s="31"/>
      <c r="R871" s="6" t="s">
        <v>273</v>
      </c>
      <c r="S871" s="32">
        <v>52</v>
      </c>
      <c r="T871" s="35" t="s">
        <v>267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1883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1817</v>
      </c>
      <c r="J872" s="30">
        <v>2800</v>
      </c>
      <c r="K872" s="30"/>
      <c r="L872" s="15" t="s">
        <v>1818</v>
      </c>
      <c r="M872" s="12"/>
      <c r="N872" s="12"/>
      <c r="O872" s="12"/>
      <c r="P872" s="31"/>
      <c r="Q872" s="31"/>
      <c r="R872" s="6" t="s">
        <v>273</v>
      </c>
      <c r="S872" s="32">
        <v>54</v>
      </c>
      <c r="T872" s="35" t="s">
        <v>269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1883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1819</v>
      </c>
      <c r="J873" s="30">
        <v>2900</v>
      </c>
      <c r="K873" s="30"/>
      <c r="L873" s="15" t="s">
        <v>1820</v>
      </c>
      <c r="M873" s="12"/>
      <c r="N873" s="12"/>
      <c r="O873" s="12"/>
      <c r="P873" s="31"/>
      <c r="Q873" s="31"/>
      <c r="R873" s="6" t="s">
        <v>273</v>
      </c>
      <c r="S873" s="32">
        <v>56</v>
      </c>
      <c r="T873" s="35" t="s">
        <v>271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1883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1821</v>
      </c>
      <c r="J874" s="30">
        <v>3000</v>
      </c>
      <c r="K874" s="30"/>
      <c r="L874" s="15" t="s">
        <v>1822</v>
      </c>
      <c r="M874" s="12"/>
      <c r="N874" s="12"/>
      <c r="O874" s="12"/>
      <c r="P874" s="31"/>
      <c r="Q874" s="31"/>
      <c r="R874" s="6" t="s">
        <v>273</v>
      </c>
      <c r="S874" s="32">
        <v>58</v>
      </c>
      <c r="T874" s="35" t="s">
        <v>274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1883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1823</v>
      </c>
      <c r="J875" s="30">
        <v>3100</v>
      </c>
      <c r="K875" s="30"/>
      <c r="L875" s="15" t="s">
        <v>1824</v>
      </c>
      <c r="M875" s="12"/>
      <c r="N875" s="12"/>
      <c r="O875" s="12"/>
      <c r="P875" s="31"/>
      <c r="Q875" s="31"/>
      <c r="R875" s="6" t="s">
        <v>273</v>
      </c>
      <c r="S875" s="32">
        <v>60</v>
      </c>
      <c r="T875" s="35" t="s">
        <v>276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1883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1825</v>
      </c>
      <c r="J876" s="30">
        <v>3200</v>
      </c>
      <c r="K876" s="30"/>
      <c r="L876" s="15" t="s">
        <v>1826</v>
      </c>
      <c r="M876" s="12"/>
      <c r="N876" s="12"/>
      <c r="O876" s="12"/>
      <c r="P876" s="31"/>
      <c r="Q876" s="31"/>
      <c r="R876" s="6" t="s">
        <v>273</v>
      </c>
      <c r="S876" s="32">
        <v>62</v>
      </c>
      <c r="T876" s="35" t="s">
        <v>278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1883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1827</v>
      </c>
      <c r="J877" s="30">
        <v>3300</v>
      </c>
      <c r="K877" s="30"/>
      <c r="L877" s="15" t="s">
        <v>1828</v>
      </c>
      <c r="M877" s="12"/>
      <c r="N877" s="12"/>
      <c r="O877" s="12"/>
      <c r="P877" s="31"/>
      <c r="Q877" s="31"/>
      <c r="R877" s="6" t="s">
        <v>273</v>
      </c>
      <c r="S877" s="32">
        <v>64</v>
      </c>
      <c r="T877" s="35" t="s">
        <v>280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1883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1829</v>
      </c>
      <c r="J878" s="30">
        <v>3400</v>
      </c>
      <c r="K878" s="30"/>
      <c r="L878" s="15" t="s">
        <v>1830</v>
      </c>
      <c r="M878" s="12"/>
      <c r="N878" s="12"/>
      <c r="O878" s="12"/>
      <c r="P878" s="31"/>
      <c r="Q878" s="31"/>
      <c r="R878" s="6" t="s">
        <v>273</v>
      </c>
      <c r="S878" s="32">
        <v>66</v>
      </c>
      <c r="T878" s="35" t="s">
        <v>282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1883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1831</v>
      </c>
      <c r="J879" s="30">
        <v>3500</v>
      </c>
      <c r="K879" s="30"/>
      <c r="L879" s="15" t="s">
        <v>1832</v>
      </c>
      <c r="M879" s="12"/>
      <c r="N879" s="12"/>
      <c r="O879" s="12"/>
      <c r="P879" s="31"/>
      <c r="Q879" s="31"/>
      <c r="R879" s="6" t="s">
        <v>273</v>
      </c>
      <c r="S879" s="32">
        <v>68</v>
      </c>
      <c r="T879" s="35" t="s">
        <v>284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1883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1833</v>
      </c>
      <c r="J880" s="30">
        <v>3600</v>
      </c>
      <c r="K880" s="30"/>
      <c r="L880" s="15" t="s">
        <v>1834</v>
      </c>
      <c r="M880" s="12"/>
      <c r="N880" s="12"/>
      <c r="O880" s="12"/>
      <c r="P880" s="31"/>
      <c r="Q880" s="31"/>
      <c r="R880" s="6" t="s">
        <v>273</v>
      </c>
      <c r="S880" s="32">
        <v>70</v>
      </c>
      <c r="T880" s="35" t="s">
        <v>286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1883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1835</v>
      </c>
      <c r="J881" s="30">
        <v>3700</v>
      </c>
      <c r="K881" s="30"/>
      <c r="L881" s="15" t="s">
        <v>1836</v>
      </c>
      <c r="M881" s="12"/>
      <c r="N881" s="12"/>
      <c r="O881" s="12"/>
      <c r="P881" s="31"/>
      <c r="Q881" s="31"/>
      <c r="R881" s="6" t="s">
        <v>273</v>
      </c>
      <c r="S881" s="32">
        <v>72</v>
      </c>
      <c r="T881" s="35" t="s">
        <v>288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1883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1837</v>
      </c>
      <c r="J882" s="30">
        <v>3800</v>
      </c>
      <c r="K882" s="30"/>
      <c r="L882" s="15" t="s">
        <v>1838</v>
      </c>
      <c r="M882" s="12"/>
      <c r="N882" s="12"/>
      <c r="O882" s="12"/>
      <c r="P882" s="31"/>
      <c r="Q882" s="31"/>
      <c r="R882" s="6" t="s">
        <v>273</v>
      </c>
      <c r="S882" s="32">
        <v>74</v>
      </c>
      <c r="T882" s="35" t="s">
        <v>290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1883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1839</v>
      </c>
      <c r="J883" s="30">
        <v>3900</v>
      </c>
      <c r="K883" s="30"/>
      <c r="L883" s="15" t="s">
        <v>86</v>
      </c>
      <c r="M883" s="12"/>
      <c r="N883" s="12"/>
      <c r="O883" s="12"/>
      <c r="P883" s="31"/>
      <c r="Q883" s="31"/>
      <c r="R883" s="6" t="s">
        <v>273</v>
      </c>
      <c r="S883" s="32">
        <v>76</v>
      </c>
      <c r="T883" s="35" t="s">
        <v>292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1883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1840</v>
      </c>
      <c r="J884" s="30">
        <v>4000</v>
      </c>
      <c r="K884" s="30"/>
      <c r="L884" s="15" t="s">
        <v>1841</v>
      </c>
      <c r="M884" s="12"/>
      <c r="N884" s="12"/>
      <c r="O884" s="12"/>
      <c r="P884" s="31"/>
      <c r="Q884" s="31"/>
      <c r="R884" s="6" t="s">
        <v>273</v>
      </c>
      <c r="S884" s="32">
        <v>78</v>
      </c>
      <c r="T884" s="35" t="s">
        <v>294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1883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1842</v>
      </c>
      <c r="J885" s="30">
        <v>4100</v>
      </c>
      <c r="K885" s="30"/>
      <c r="L885" s="15" t="s">
        <v>1843</v>
      </c>
      <c r="M885" s="12"/>
      <c r="N885" s="12"/>
      <c r="O885" s="12"/>
      <c r="P885" s="31"/>
      <c r="Q885" s="31"/>
      <c r="R885" s="6" t="s">
        <v>273</v>
      </c>
      <c r="S885" s="32">
        <v>80</v>
      </c>
      <c r="T885" s="35" t="s">
        <v>296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1883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1844</v>
      </c>
      <c r="J886" s="30">
        <v>4200</v>
      </c>
      <c r="K886" s="30"/>
      <c r="L886" s="15" t="s">
        <v>1845</v>
      </c>
      <c r="M886" s="12"/>
      <c r="N886" s="12"/>
      <c r="O886" s="12"/>
      <c r="P886" s="31"/>
      <c r="Q886" s="31"/>
      <c r="R886" s="6" t="s">
        <v>273</v>
      </c>
      <c r="S886" s="32">
        <v>82</v>
      </c>
      <c r="T886" s="35" t="s">
        <v>298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1883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1846</v>
      </c>
      <c r="J887" s="30">
        <v>4300</v>
      </c>
      <c r="K887" s="30"/>
      <c r="L887" s="15" t="s">
        <v>1847</v>
      </c>
      <c r="M887" s="12"/>
      <c r="N887" s="12"/>
      <c r="O887" s="12"/>
      <c r="P887" s="31"/>
      <c r="Q887" s="31"/>
      <c r="R887" s="6" t="s">
        <v>273</v>
      </c>
      <c r="S887" s="32">
        <v>84</v>
      </c>
      <c r="T887" s="35" t="s">
        <v>300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1883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1848</v>
      </c>
      <c r="J888" s="30">
        <v>4400</v>
      </c>
      <c r="K888" s="30"/>
      <c r="L888" s="15" t="s">
        <v>1849</v>
      </c>
      <c r="M888" s="12"/>
      <c r="N888" s="12"/>
      <c r="O888" s="12"/>
      <c r="P888" s="31"/>
      <c r="Q888" s="31"/>
      <c r="R888" s="6" t="s">
        <v>273</v>
      </c>
      <c r="S888" s="32">
        <v>86</v>
      </c>
      <c r="T888" s="35" t="s">
        <v>302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1883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1850</v>
      </c>
      <c r="J889" s="30">
        <v>4500</v>
      </c>
      <c r="K889" s="30"/>
      <c r="L889" s="15" t="s">
        <v>1851</v>
      </c>
      <c r="M889" s="12"/>
      <c r="N889" s="12"/>
      <c r="O889" s="12"/>
      <c r="P889" s="31"/>
      <c r="Q889" s="31"/>
      <c r="R889" s="6" t="s">
        <v>273</v>
      </c>
      <c r="S889" s="32">
        <v>88</v>
      </c>
      <c r="T889" s="35" t="s">
        <v>304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1883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1852</v>
      </c>
      <c r="J890" s="30">
        <v>4600</v>
      </c>
      <c r="K890" s="30"/>
      <c r="L890" s="15" t="s">
        <v>1853</v>
      </c>
      <c r="M890" s="12"/>
      <c r="N890" s="12"/>
      <c r="O890" s="12"/>
      <c r="P890" s="31"/>
      <c r="Q890" s="31"/>
      <c r="R890" s="6" t="s">
        <v>273</v>
      </c>
      <c r="S890" s="32">
        <v>90</v>
      </c>
      <c r="T890" s="35" t="s">
        <v>306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1883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1854</v>
      </c>
      <c r="J891" s="30">
        <v>4700</v>
      </c>
      <c r="K891" s="30"/>
      <c r="L891" s="15" t="s">
        <v>1855</v>
      </c>
      <c r="M891" s="12"/>
      <c r="N891" s="12"/>
      <c r="O891" s="12"/>
      <c r="P891" s="31"/>
      <c r="Q891" s="31"/>
      <c r="R891" s="6" t="s">
        <v>273</v>
      </c>
      <c r="S891" s="32">
        <v>92</v>
      </c>
      <c r="T891" s="35" t="s">
        <v>308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1883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1856</v>
      </c>
      <c r="J892" s="30">
        <v>4800</v>
      </c>
      <c r="K892" s="30"/>
      <c r="L892" s="15" t="s">
        <v>1857</v>
      </c>
      <c r="M892" s="12"/>
      <c r="N892" s="12"/>
      <c r="O892" s="12"/>
      <c r="P892" s="31"/>
      <c r="Q892" s="31"/>
      <c r="R892" s="6" t="s">
        <v>273</v>
      </c>
      <c r="S892" s="32">
        <v>94</v>
      </c>
      <c r="T892" s="35" t="s">
        <v>310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1883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1858</v>
      </c>
      <c r="J893" s="30">
        <v>4900</v>
      </c>
      <c r="K893" s="30"/>
      <c r="L893" s="15" t="s">
        <v>1859</v>
      </c>
      <c r="M893" s="12"/>
      <c r="N893" s="12"/>
      <c r="O893" s="12"/>
      <c r="P893" s="31"/>
      <c r="Q893" s="31"/>
      <c r="R893" s="6" t="s">
        <v>273</v>
      </c>
      <c r="S893" s="32">
        <v>96</v>
      </c>
      <c r="T893" s="35" t="s">
        <v>312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1883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1860</v>
      </c>
      <c r="J894" s="30">
        <v>5000</v>
      </c>
      <c r="K894" s="30"/>
      <c r="L894" s="15" t="s">
        <v>1861</v>
      </c>
      <c r="M894" s="12"/>
      <c r="N894" s="12"/>
      <c r="O894" s="12"/>
      <c r="P894" s="31"/>
      <c r="Q894" s="31"/>
      <c r="R894" s="6" t="s">
        <v>273</v>
      </c>
      <c r="S894" s="32">
        <v>98</v>
      </c>
      <c r="T894" s="35" t="s">
        <v>314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1883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1862</v>
      </c>
      <c r="J895" s="30">
        <v>5100</v>
      </c>
      <c r="K895" s="30"/>
      <c r="L895" s="15" t="s">
        <v>1863</v>
      </c>
      <c r="M895" s="12"/>
      <c r="N895" s="12"/>
      <c r="O895" s="12"/>
      <c r="P895" s="31"/>
      <c r="Q895" s="31"/>
      <c r="R895" s="6" t="s">
        <v>273</v>
      </c>
      <c r="S895" s="32">
        <v>100</v>
      </c>
      <c r="T895" s="35" t="s">
        <v>316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1883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1864</v>
      </c>
      <c r="J896" s="30">
        <v>5200</v>
      </c>
      <c r="K896" s="30"/>
      <c r="L896" s="15" t="s">
        <v>1865</v>
      </c>
      <c r="M896" s="12"/>
      <c r="N896" s="12"/>
      <c r="O896" s="12"/>
      <c r="P896" s="31"/>
      <c r="Q896" s="31"/>
      <c r="R896" s="6" t="s">
        <v>273</v>
      </c>
      <c r="S896" s="32">
        <v>102</v>
      </c>
      <c r="T896" s="35" t="s">
        <v>318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1883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1866</v>
      </c>
      <c r="J897" s="30">
        <v>5300</v>
      </c>
      <c r="K897" s="30"/>
      <c r="L897" s="15" t="s">
        <v>1867</v>
      </c>
      <c r="M897" s="12"/>
      <c r="N897" s="12"/>
      <c r="O897" s="12"/>
      <c r="P897" s="31"/>
      <c r="Q897" s="31"/>
      <c r="R897" s="6" t="s">
        <v>273</v>
      </c>
      <c r="S897" s="32">
        <v>104</v>
      </c>
      <c r="T897" s="35" t="s">
        <v>320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1883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1868</v>
      </c>
      <c r="J898" s="30">
        <v>5400</v>
      </c>
      <c r="K898" s="30"/>
      <c r="L898" s="15" t="s">
        <v>1869</v>
      </c>
      <c r="M898" s="12"/>
      <c r="N898" s="12"/>
      <c r="O898" s="12"/>
      <c r="P898" s="31"/>
      <c r="Q898" s="31"/>
      <c r="R898" s="6" t="s">
        <v>273</v>
      </c>
      <c r="S898" s="32">
        <v>106</v>
      </c>
      <c r="T898" s="35" t="s">
        <v>322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1883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1870</v>
      </c>
      <c r="J899" s="30">
        <v>5500</v>
      </c>
      <c r="K899" s="30"/>
      <c r="L899" s="15" t="s">
        <v>1871</v>
      </c>
      <c r="M899" s="12"/>
      <c r="N899" s="12"/>
      <c r="O899" s="12"/>
      <c r="P899" s="31"/>
      <c r="Q899" s="31"/>
      <c r="R899" s="6" t="s">
        <v>273</v>
      </c>
      <c r="S899" s="32">
        <v>108</v>
      </c>
      <c r="T899" s="35" t="s">
        <v>325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1883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1872</v>
      </c>
      <c r="J900" s="30">
        <v>5600</v>
      </c>
      <c r="K900" s="30"/>
      <c r="L900" s="15" t="s">
        <v>1873</v>
      </c>
      <c r="M900" s="12"/>
      <c r="N900" s="12"/>
      <c r="O900" s="12"/>
      <c r="P900" s="31"/>
      <c r="Q900" s="31"/>
      <c r="R900" s="6" t="s">
        <v>273</v>
      </c>
      <c r="S900" s="32">
        <v>110</v>
      </c>
      <c r="T900" s="35" t="s">
        <v>327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1883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1874</v>
      </c>
      <c r="J901" s="30">
        <v>5700</v>
      </c>
      <c r="K901" s="30"/>
      <c r="L901" s="15" t="s">
        <v>1875</v>
      </c>
      <c r="M901" s="12"/>
      <c r="N901" s="12"/>
      <c r="O901" s="12"/>
      <c r="P901" s="31"/>
      <c r="Q901" s="31"/>
      <c r="R901" s="6" t="s">
        <v>273</v>
      </c>
      <c r="S901" s="32">
        <v>112</v>
      </c>
      <c r="T901" s="35" t="s">
        <v>329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1883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1876</v>
      </c>
      <c r="J902" s="30">
        <v>5800</v>
      </c>
      <c r="K902" s="30"/>
      <c r="L902" s="15" t="s">
        <v>1877</v>
      </c>
      <c r="M902" s="12"/>
      <c r="N902" s="12"/>
      <c r="O902" s="12"/>
      <c r="P902" s="31"/>
      <c r="Q902" s="31"/>
      <c r="R902" s="6" t="s">
        <v>273</v>
      </c>
      <c r="S902" s="32">
        <v>114</v>
      </c>
      <c r="T902" s="35" t="s">
        <v>332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1883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1878</v>
      </c>
      <c r="J903" s="30">
        <v>5900</v>
      </c>
      <c r="K903" s="30"/>
      <c r="L903" s="15" t="s">
        <v>94</v>
      </c>
      <c r="M903" s="12"/>
      <c r="N903" s="12"/>
      <c r="O903" s="12"/>
      <c r="P903" s="31"/>
      <c r="Q903" s="31"/>
      <c r="R903" s="6" t="s">
        <v>273</v>
      </c>
      <c r="S903" s="32">
        <v>116</v>
      </c>
      <c r="T903" s="35" t="s">
        <v>334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1883</v>
      </c>
      <c r="D904" s="29"/>
      <c r="E904" s="25">
        <v>23</v>
      </c>
      <c r="F904" s="29">
        <v>60</v>
      </c>
      <c r="G904" s="12"/>
      <c r="H904" s="12"/>
      <c r="I904" s="29" t="s">
        <v>1879</v>
      </c>
      <c r="J904" s="30">
        <v>6000</v>
      </c>
      <c r="K904" s="30"/>
      <c r="L904" s="15" t="s">
        <v>1880</v>
      </c>
      <c r="M904" s="12"/>
      <c r="N904" s="12"/>
      <c r="O904" s="12"/>
      <c r="P904" s="31"/>
      <c r="Q904" s="31"/>
      <c r="R904" s="6" t="s">
        <v>273</v>
      </c>
      <c r="S904" s="32"/>
      <c r="T904" s="35" t="s">
        <v>336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1885</v>
      </c>
      <c r="D905" s="25"/>
      <c r="E905" s="25">
        <v>4</v>
      </c>
      <c r="F905" s="25">
        <v>1</v>
      </c>
      <c r="I905" s="25" t="s">
        <v>1756</v>
      </c>
      <c r="J905" s="15">
        <v>100</v>
      </c>
      <c r="K905" s="15"/>
      <c r="L905" s="15" t="s">
        <v>1757</v>
      </c>
      <c r="R905" s="5" t="s">
        <v>1886</v>
      </c>
      <c r="S905" s="27">
        <v>1</v>
      </c>
      <c r="T905" s="28" t="s">
        <v>205</v>
      </c>
    </row>
    <row r="906" customHeight="1" spans="1:20">
      <c r="A906" s="25">
        <f t="shared" si="52"/>
        <v>1304002</v>
      </c>
      <c r="B906" s="25">
        <v>1304</v>
      </c>
      <c r="C906" s="25" t="s">
        <v>1885</v>
      </c>
      <c r="D906" s="25"/>
      <c r="E906" s="25">
        <v>4</v>
      </c>
      <c r="F906" s="25">
        <v>2</v>
      </c>
      <c r="I906" s="25" t="s">
        <v>1761</v>
      </c>
      <c r="J906" s="15">
        <v>200</v>
      </c>
      <c r="K906" s="15"/>
      <c r="L906" s="15" t="s">
        <v>1762</v>
      </c>
      <c r="R906" s="5">
        <v>1304254</v>
      </c>
      <c r="S906" s="27">
        <v>2</v>
      </c>
      <c r="T906" s="28" t="s">
        <v>210</v>
      </c>
    </row>
    <row r="907" customHeight="1" spans="1:20">
      <c r="A907" s="25">
        <f t="shared" si="52"/>
        <v>1304003</v>
      </c>
      <c r="B907" s="25">
        <v>1304</v>
      </c>
      <c r="C907" s="25" t="s">
        <v>1885</v>
      </c>
      <c r="D907" s="25"/>
      <c r="E907" s="25">
        <v>4</v>
      </c>
      <c r="F907" s="25">
        <v>3</v>
      </c>
      <c r="I907" s="25" t="s">
        <v>1764</v>
      </c>
      <c r="J907" s="15">
        <v>300</v>
      </c>
      <c r="K907" s="15"/>
      <c r="L907" s="15" t="s">
        <v>1765</v>
      </c>
      <c r="R907" s="5">
        <v>1304255</v>
      </c>
      <c r="S907" s="27">
        <v>4</v>
      </c>
      <c r="T907" s="28" t="s">
        <v>215</v>
      </c>
    </row>
    <row r="908" customHeight="1" spans="1:20">
      <c r="A908" s="25">
        <f t="shared" si="52"/>
        <v>1304004</v>
      </c>
      <c r="B908" s="25">
        <v>1304</v>
      </c>
      <c r="C908" s="25" t="s">
        <v>1885</v>
      </c>
      <c r="D908" s="25"/>
      <c r="E908" s="25">
        <f t="shared" ref="E908:E963" si="53">E905+1</f>
        <v>5</v>
      </c>
      <c r="F908" s="25">
        <v>4</v>
      </c>
      <c r="I908" s="25" t="s">
        <v>1766</v>
      </c>
      <c r="J908" s="15">
        <v>400</v>
      </c>
      <c r="K908" s="15"/>
      <c r="L908" s="15" t="s">
        <v>63</v>
      </c>
      <c r="R908" s="5">
        <v>1304256</v>
      </c>
      <c r="S908" s="27">
        <v>6</v>
      </c>
      <c r="T908" s="28" t="s">
        <v>217</v>
      </c>
    </row>
    <row r="909" customHeight="1" spans="1:20">
      <c r="A909" s="25">
        <f t="shared" si="52"/>
        <v>1304005</v>
      </c>
      <c r="B909" s="25">
        <v>1304</v>
      </c>
      <c r="C909" s="25" t="s">
        <v>1885</v>
      </c>
      <c r="D909" s="25"/>
      <c r="E909" s="25">
        <f t="shared" si="53"/>
        <v>5</v>
      </c>
      <c r="F909" s="25">
        <v>5</v>
      </c>
      <c r="I909" s="25" t="s">
        <v>1767</v>
      </c>
      <c r="J909" s="15">
        <v>500</v>
      </c>
      <c r="K909" s="15"/>
      <c r="L909" s="15" t="s">
        <v>1768</v>
      </c>
      <c r="R909" s="5">
        <v>1304257</v>
      </c>
      <c r="S909" s="27">
        <v>8</v>
      </c>
      <c r="T909" s="28" t="s">
        <v>220</v>
      </c>
    </row>
    <row r="910" customHeight="1" spans="1:20">
      <c r="A910" s="25">
        <f t="shared" si="52"/>
        <v>1304006</v>
      </c>
      <c r="B910" s="25">
        <v>1304</v>
      </c>
      <c r="C910" s="25" t="s">
        <v>1885</v>
      </c>
      <c r="D910" s="25"/>
      <c r="E910" s="25">
        <f t="shared" si="53"/>
        <v>5</v>
      </c>
      <c r="F910" s="25">
        <v>6</v>
      </c>
      <c r="I910" s="25" t="s">
        <v>1769</v>
      </c>
      <c r="J910" s="15">
        <v>600</v>
      </c>
      <c r="K910" s="15"/>
      <c r="L910" s="15" t="s">
        <v>1770</v>
      </c>
      <c r="R910" s="5">
        <v>1304258</v>
      </c>
      <c r="S910" s="27">
        <v>10</v>
      </c>
      <c r="T910" s="28" t="s">
        <v>222</v>
      </c>
    </row>
    <row r="911" customHeight="1" spans="1:20">
      <c r="A911" s="25">
        <f t="shared" si="52"/>
        <v>1304007</v>
      </c>
      <c r="B911" s="25">
        <v>1304</v>
      </c>
      <c r="C911" s="25" t="s">
        <v>1885</v>
      </c>
      <c r="D911" s="25"/>
      <c r="E911" s="25">
        <f t="shared" si="53"/>
        <v>6</v>
      </c>
      <c r="F911" s="25">
        <v>7</v>
      </c>
      <c r="I911" s="25" t="s">
        <v>1771</v>
      </c>
      <c r="J911" s="15">
        <v>700</v>
      </c>
      <c r="K911" s="15"/>
      <c r="L911" s="15" t="s">
        <v>71</v>
      </c>
      <c r="S911" s="27">
        <v>12</v>
      </c>
      <c r="T911" s="28" t="s">
        <v>224</v>
      </c>
    </row>
    <row r="912" customHeight="1" spans="1:20">
      <c r="A912" s="25">
        <f t="shared" si="52"/>
        <v>1304008</v>
      </c>
      <c r="B912" s="25">
        <v>1304</v>
      </c>
      <c r="C912" s="25" t="s">
        <v>1885</v>
      </c>
      <c r="D912" s="25"/>
      <c r="E912" s="25">
        <f t="shared" si="53"/>
        <v>6</v>
      </c>
      <c r="F912" s="25">
        <v>8</v>
      </c>
      <c r="I912" s="25" t="s">
        <v>1772</v>
      </c>
      <c r="J912" s="15">
        <v>800</v>
      </c>
      <c r="K912" s="15"/>
      <c r="L912" s="15" t="s">
        <v>1773</v>
      </c>
      <c r="S912" s="27">
        <v>14</v>
      </c>
      <c r="T912" s="28" t="s">
        <v>226</v>
      </c>
    </row>
    <row r="913" customHeight="1" spans="1:20">
      <c r="A913" s="25">
        <f t="shared" si="52"/>
        <v>1304009</v>
      </c>
      <c r="B913" s="25">
        <v>1304</v>
      </c>
      <c r="C913" s="25" t="s">
        <v>1885</v>
      </c>
      <c r="D913" s="25"/>
      <c r="E913" s="25">
        <f t="shared" si="53"/>
        <v>6</v>
      </c>
      <c r="F913" s="25">
        <v>9</v>
      </c>
      <c r="I913" s="25" t="s">
        <v>1775</v>
      </c>
      <c r="J913" s="15">
        <v>900</v>
      </c>
      <c r="K913" s="15"/>
      <c r="L913" s="15" t="s">
        <v>1776</v>
      </c>
      <c r="S913" s="27">
        <v>16</v>
      </c>
      <c r="T913" s="28" t="s">
        <v>228</v>
      </c>
    </row>
    <row r="914" customHeight="1" spans="1:20">
      <c r="A914" s="25">
        <f t="shared" si="52"/>
        <v>1304010</v>
      </c>
      <c r="B914" s="25">
        <v>1304</v>
      </c>
      <c r="C914" s="25" t="s">
        <v>1885</v>
      </c>
      <c r="D914" s="25"/>
      <c r="E914" s="25">
        <f t="shared" si="53"/>
        <v>7</v>
      </c>
      <c r="F914" s="25">
        <v>10</v>
      </c>
      <c r="I914" s="25" t="s">
        <v>1778</v>
      </c>
      <c r="J914" s="15">
        <v>1000</v>
      </c>
      <c r="K914" s="15"/>
      <c r="L914" s="15" t="s">
        <v>1779</v>
      </c>
      <c r="S914" s="27">
        <v>18</v>
      </c>
      <c r="T914" s="28" t="s">
        <v>231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1885</v>
      </c>
      <c r="D915" s="25"/>
      <c r="E915" s="25">
        <f t="shared" si="53"/>
        <v>7</v>
      </c>
      <c r="F915" s="25">
        <v>11</v>
      </c>
      <c r="I915" s="25" t="s">
        <v>1781</v>
      </c>
      <c r="J915" s="15">
        <v>1100</v>
      </c>
      <c r="K915" s="15"/>
      <c r="L915" s="15" t="s">
        <v>1782</v>
      </c>
      <c r="R915" s="5" t="s">
        <v>273</v>
      </c>
      <c r="S915" s="27">
        <v>20</v>
      </c>
      <c r="T915" s="28" t="s">
        <v>233</v>
      </c>
    </row>
    <row r="916" customHeight="1" spans="1:20">
      <c r="A916" s="25">
        <f t="shared" si="54"/>
        <v>1304012</v>
      </c>
      <c r="B916" s="25">
        <v>1304</v>
      </c>
      <c r="C916" s="25" t="s">
        <v>1885</v>
      </c>
      <c r="D916" s="25"/>
      <c r="E916" s="25">
        <f t="shared" si="53"/>
        <v>7</v>
      </c>
      <c r="F916" s="25">
        <v>12</v>
      </c>
      <c r="I916" s="25" t="s">
        <v>1784</v>
      </c>
      <c r="J916" s="15">
        <v>1200</v>
      </c>
      <c r="K916" s="15"/>
      <c r="L916" s="15" t="s">
        <v>1785</v>
      </c>
      <c r="R916" s="5" t="s">
        <v>273</v>
      </c>
      <c r="S916" s="27">
        <v>22</v>
      </c>
      <c r="T916" s="28" t="s">
        <v>235</v>
      </c>
    </row>
    <row r="917" customHeight="1" spans="1:20">
      <c r="A917" s="25">
        <f t="shared" si="54"/>
        <v>1304013</v>
      </c>
      <c r="B917" s="25">
        <v>1304</v>
      </c>
      <c r="C917" s="25" t="s">
        <v>1885</v>
      </c>
      <c r="D917" s="25"/>
      <c r="E917" s="25">
        <f t="shared" si="53"/>
        <v>8</v>
      </c>
      <c r="F917" s="25">
        <v>13</v>
      </c>
      <c r="I917" s="25" t="s">
        <v>1787</v>
      </c>
      <c r="J917" s="15">
        <v>1300</v>
      </c>
      <c r="K917" s="15"/>
      <c r="L917" s="15" t="s">
        <v>1788</v>
      </c>
      <c r="R917" s="5" t="s">
        <v>273</v>
      </c>
      <c r="S917" s="27">
        <v>24</v>
      </c>
      <c r="T917" s="28" t="s">
        <v>237</v>
      </c>
    </row>
    <row r="918" customHeight="1" spans="1:20">
      <c r="A918" s="25">
        <f t="shared" si="54"/>
        <v>1304014</v>
      </c>
      <c r="B918" s="25">
        <v>1304</v>
      </c>
      <c r="C918" s="25" t="s">
        <v>1885</v>
      </c>
      <c r="D918" s="25"/>
      <c r="E918" s="25">
        <f t="shared" si="53"/>
        <v>8</v>
      </c>
      <c r="F918" s="25">
        <v>14</v>
      </c>
      <c r="I918" s="25" t="s">
        <v>1790</v>
      </c>
      <c r="J918" s="15">
        <v>1400</v>
      </c>
      <c r="K918" s="15"/>
      <c r="L918" s="15" t="s">
        <v>1791</v>
      </c>
      <c r="R918" s="5" t="s">
        <v>273</v>
      </c>
      <c r="S918" s="27">
        <v>26</v>
      </c>
      <c r="T918" s="28" t="s">
        <v>239</v>
      </c>
    </row>
    <row r="919" customHeight="1" spans="1:20">
      <c r="A919" s="25">
        <f t="shared" si="54"/>
        <v>1304015</v>
      </c>
      <c r="B919" s="25">
        <v>1304</v>
      </c>
      <c r="C919" s="25" t="s">
        <v>1885</v>
      </c>
      <c r="D919" s="25"/>
      <c r="E919" s="25">
        <f t="shared" si="53"/>
        <v>8</v>
      </c>
      <c r="F919" s="25">
        <v>15</v>
      </c>
      <c r="I919" s="25" t="s">
        <v>1792</v>
      </c>
      <c r="J919" s="15">
        <v>1500</v>
      </c>
      <c r="K919" s="15"/>
      <c r="L919" s="15" t="s">
        <v>1793</v>
      </c>
      <c r="R919" s="5" t="s">
        <v>273</v>
      </c>
      <c r="S919" s="27">
        <v>28</v>
      </c>
      <c r="T919" s="28" t="s">
        <v>242</v>
      </c>
    </row>
    <row r="920" customHeight="1" spans="1:20">
      <c r="A920" s="25">
        <f t="shared" si="54"/>
        <v>1304016</v>
      </c>
      <c r="B920" s="25">
        <v>1304</v>
      </c>
      <c r="C920" s="25" t="s">
        <v>1885</v>
      </c>
      <c r="D920" s="25"/>
      <c r="E920" s="25">
        <f t="shared" si="53"/>
        <v>9</v>
      </c>
      <c r="F920" s="25">
        <v>16</v>
      </c>
      <c r="I920" s="25" t="s">
        <v>1794</v>
      </c>
      <c r="J920" s="15">
        <v>1600</v>
      </c>
      <c r="K920" s="15"/>
      <c r="L920" s="15" t="s">
        <v>1795</v>
      </c>
      <c r="R920" s="5" t="s">
        <v>273</v>
      </c>
      <c r="S920" s="27">
        <v>30</v>
      </c>
      <c r="T920" s="28" t="s">
        <v>244</v>
      </c>
    </row>
    <row r="921" customHeight="1" spans="1:20">
      <c r="A921" s="25">
        <f t="shared" si="54"/>
        <v>1304017</v>
      </c>
      <c r="B921" s="25">
        <v>1304</v>
      </c>
      <c r="C921" s="25" t="s">
        <v>1885</v>
      </c>
      <c r="D921" s="25"/>
      <c r="E921" s="25">
        <f t="shared" si="53"/>
        <v>9</v>
      </c>
      <c r="F921" s="25">
        <v>17</v>
      </c>
      <c r="I921" s="25" t="s">
        <v>1796</v>
      </c>
      <c r="J921" s="15">
        <v>1700</v>
      </c>
      <c r="K921" s="15"/>
      <c r="L921" s="15" t="s">
        <v>1797</v>
      </c>
      <c r="R921" s="5" t="s">
        <v>273</v>
      </c>
      <c r="S921" s="27">
        <v>32</v>
      </c>
      <c r="T921" s="28" t="s">
        <v>246</v>
      </c>
    </row>
    <row r="922" customHeight="1" spans="1:20">
      <c r="A922" s="25">
        <f t="shared" si="54"/>
        <v>1304018</v>
      </c>
      <c r="B922" s="25">
        <v>1304</v>
      </c>
      <c r="C922" s="25" t="s">
        <v>1885</v>
      </c>
      <c r="D922" s="25"/>
      <c r="E922" s="25">
        <f t="shared" si="53"/>
        <v>9</v>
      </c>
      <c r="F922" s="25">
        <v>18</v>
      </c>
      <c r="I922" s="25" t="s">
        <v>1798</v>
      </c>
      <c r="J922" s="15">
        <v>1800</v>
      </c>
      <c r="K922" s="15"/>
      <c r="L922" s="15" t="s">
        <v>1799</v>
      </c>
      <c r="R922" s="5" t="s">
        <v>273</v>
      </c>
      <c r="S922" s="27">
        <v>34</v>
      </c>
      <c r="T922" s="28" t="s">
        <v>248</v>
      </c>
    </row>
    <row r="923" customHeight="1" spans="1:20">
      <c r="A923" s="25">
        <f t="shared" si="54"/>
        <v>1304019</v>
      </c>
      <c r="B923" s="25">
        <v>1304</v>
      </c>
      <c r="C923" s="25" t="s">
        <v>1885</v>
      </c>
      <c r="D923" s="25"/>
      <c r="E923" s="25">
        <f t="shared" si="53"/>
        <v>10</v>
      </c>
      <c r="F923" s="25">
        <v>19</v>
      </c>
      <c r="I923" s="25" t="s">
        <v>1800</v>
      </c>
      <c r="J923" s="15">
        <v>1900</v>
      </c>
      <c r="K923" s="15"/>
      <c r="L923" s="15" t="s">
        <v>78</v>
      </c>
      <c r="R923" s="5" t="s">
        <v>273</v>
      </c>
      <c r="S923" s="27">
        <v>36</v>
      </c>
      <c r="T923" s="28" t="s">
        <v>250</v>
      </c>
    </row>
    <row r="924" customHeight="1" spans="1:20">
      <c r="A924" s="25">
        <f t="shared" si="54"/>
        <v>1304020</v>
      </c>
      <c r="B924" s="25">
        <v>1304</v>
      </c>
      <c r="C924" s="25" t="s">
        <v>1885</v>
      </c>
      <c r="D924" s="25"/>
      <c r="E924" s="25">
        <f t="shared" si="53"/>
        <v>10</v>
      </c>
      <c r="F924" s="25">
        <v>20</v>
      </c>
      <c r="I924" s="25" t="s">
        <v>1801</v>
      </c>
      <c r="J924" s="15">
        <v>2000</v>
      </c>
      <c r="K924" s="15"/>
      <c r="L924" s="15" t="s">
        <v>1802</v>
      </c>
      <c r="R924" s="5" t="s">
        <v>273</v>
      </c>
      <c r="S924" s="27">
        <v>38</v>
      </c>
      <c r="T924" s="28" t="s">
        <v>253</v>
      </c>
    </row>
    <row r="925" customHeight="1" spans="1:20">
      <c r="A925" s="25">
        <f t="shared" si="54"/>
        <v>1304021</v>
      </c>
      <c r="B925" s="25">
        <v>1304</v>
      </c>
      <c r="C925" s="25" t="s">
        <v>1885</v>
      </c>
      <c r="D925" s="25"/>
      <c r="E925" s="25">
        <f t="shared" si="53"/>
        <v>10</v>
      </c>
      <c r="F925" s="25">
        <v>21</v>
      </c>
      <c r="I925" s="25" t="s">
        <v>1803</v>
      </c>
      <c r="J925" s="15">
        <v>2100</v>
      </c>
      <c r="K925" s="15"/>
      <c r="L925" s="15" t="s">
        <v>1804</v>
      </c>
      <c r="R925" s="5" t="s">
        <v>273</v>
      </c>
      <c r="S925" s="27">
        <v>40</v>
      </c>
      <c r="T925" s="28" t="s">
        <v>255</v>
      </c>
    </row>
    <row r="926" customHeight="1" spans="1:20">
      <c r="A926" s="25">
        <f t="shared" si="54"/>
        <v>1304022</v>
      </c>
      <c r="B926" s="25">
        <v>1304</v>
      </c>
      <c r="C926" s="25" t="s">
        <v>1885</v>
      </c>
      <c r="D926" s="25"/>
      <c r="E926" s="25">
        <f t="shared" si="53"/>
        <v>11</v>
      </c>
      <c r="F926" s="25">
        <v>22</v>
      </c>
      <c r="I926" s="25" t="s">
        <v>1805</v>
      </c>
      <c r="J926" s="15">
        <v>2200</v>
      </c>
      <c r="K926" s="15"/>
      <c r="L926" s="15" t="s">
        <v>1806</v>
      </c>
      <c r="R926" s="5" t="s">
        <v>273</v>
      </c>
      <c r="S926" s="27">
        <v>42</v>
      </c>
      <c r="T926" s="28" t="s">
        <v>257</v>
      </c>
    </row>
    <row r="927" customHeight="1" spans="1:20">
      <c r="A927" s="25">
        <f t="shared" si="54"/>
        <v>1304023</v>
      </c>
      <c r="B927" s="25">
        <v>1304</v>
      </c>
      <c r="C927" s="25" t="s">
        <v>1885</v>
      </c>
      <c r="D927" s="25"/>
      <c r="E927" s="25">
        <f t="shared" si="53"/>
        <v>11</v>
      </c>
      <c r="F927" s="25">
        <v>23</v>
      </c>
      <c r="I927" s="25" t="s">
        <v>1807</v>
      </c>
      <c r="J927" s="15">
        <v>2300</v>
      </c>
      <c r="K927" s="15"/>
      <c r="L927" s="15" t="s">
        <v>1808</v>
      </c>
      <c r="R927" s="5" t="s">
        <v>273</v>
      </c>
      <c r="S927" s="27">
        <v>44</v>
      </c>
      <c r="T927" s="28" t="s">
        <v>259</v>
      </c>
    </row>
    <row r="928" customHeight="1" spans="1:20">
      <c r="A928" s="25">
        <f t="shared" si="54"/>
        <v>1304024</v>
      </c>
      <c r="B928" s="25">
        <v>1304</v>
      </c>
      <c r="C928" s="25" t="s">
        <v>1885</v>
      </c>
      <c r="D928" s="25"/>
      <c r="E928" s="25">
        <f t="shared" si="53"/>
        <v>11</v>
      </c>
      <c r="F928" s="25">
        <v>24</v>
      </c>
      <c r="I928" s="25" t="s">
        <v>1809</v>
      </c>
      <c r="J928" s="15">
        <v>2400</v>
      </c>
      <c r="K928" s="15"/>
      <c r="L928" s="15" t="s">
        <v>1810</v>
      </c>
      <c r="R928" s="5" t="s">
        <v>273</v>
      </c>
      <c r="S928" s="27">
        <v>46</v>
      </c>
      <c r="T928" s="28" t="s">
        <v>261</v>
      </c>
    </row>
    <row r="929" customHeight="1" spans="1:20">
      <c r="A929" s="25">
        <f t="shared" si="54"/>
        <v>1304025</v>
      </c>
      <c r="B929" s="25">
        <v>1304</v>
      </c>
      <c r="C929" s="25" t="s">
        <v>1885</v>
      </c>
      <c r="D929" s="25"/>
      <c r="E929" s="25">
        <f t="shared" si="53"/>
        <v>12</v>
      </c>
      <c r="F929" s="25">
        <v>25</v>
      </c>
      <c r="I929" s="25" t="s">
        <v>1811</v>
      </c>
      <c r="J929" s="15">
        <v>2500</v>
      </c>
      <c r="K929" s="15"/>
      <c r="L929" s="15" t="s">
        <v>1812</v>
      </c>
      <c r="R929" s="5" t="s">
        <v>273</v>
      </c>
      <c r="S929" s="27">
        <v>48</v>
      </c>
      <c r="T929" s="28" t="s">
        <v>263</v>
      </c>
    </row>
    <row r="930" customHeight="1" spans="1:20">
      <c r="A930" s="25">
        <f t="shared" si="54"/>
        <v>1304026</v>
      </c>
      <c r="B930" s="25">
        <v>1304</v>
      </c>
      <c r="C930" s="25" t="s">
        <v>1885</v>
      </c>
      <c r="D930" s="25"/>
      <c r="E930" s="25">
        <f t="shared" si="53"/>
        <v>12</v>
      </c>
      <c r="F930" s="25">
        <v>26</v>
      </c>
      <c r="I930" s="25" t="s">
        <v>1813</v>
      </c>
      <c r="J930" s="15">
        <v>2600</v>
      </c>
      <c r="K930" s="15"/>
      <c r="L930" s="15" t="s">
        <v>1814</v>
      </c>
      <c r="R930" s="5" t="s">
        <v>273</v>
      </c>
      <c r="S930" s="27">
        <v>50</v>
      </c>
      <c r="T930" s="28" t="s">
        <v>265</v>
      </c>
    </row>
    <row r="931" customHeight="1" spans="1:20">
      <c r="A931" s="25">
        <f t="shared" si="54"/>
        <v>1304027</v>
      </c>
      <c r="B931" s="25">
        <v>1304</v>
      </c>
      <c r="C931" s="25" t="s">
        <v>1885</v>
      </c>
      <c r="D931" s="25"/>
      <c r="E931" s="25">
        <f t="shared" si="53"/>
        <v>12</v>
      </c>
      <c r="F931" s="25">
        <v>27</v>
      </c>
      <c r="I931" s="25" t="s">
        <v>1815</v>
      </c>
      <c r="J931" s="15">
        <v>2700</v>
      </c>
      <c r="K931" s="15"/>
      <c r="L931" s="15" t="s">
        <v>1816</v>
      </c>
      <c r="R931" s="5" t="s">
        <v>273</v>
      </c>
      <c r="S931" s="27">
        <v>52</v>
      </c>
      <c r="T931" s="28" t="s">
        <v>267</v>
      </c>
    </row>
    <row r="932" customHeight="1" spans="1:20">
      <c r="A932" s="25">
        <f t="shared" si="54"/>
        <v>1304028</v>
      </c>
      <c r="B932" s="25">
        <v>1304</v>
      </c>
      <c r="C932" s="25" t="s">
        <v>1885</v>
      </c>
      <c r="D932" s="25"/>
      <c r="E932" s="25">
        <f t="shared" si="53"/>
        <v>13</v>
      </c>
      <c r="F932" s="25">
        <v>28</v>
      </c>
      <c r="I932" s="25" t="s">
        <v>1817</v>
      </c>
      <c r="J932" s="15">
        <v>2800</v>
      </c>
      <c r="K932" s="15"/>
      <c r="L932" s="15" t="s">
        <v>1818</v>
      </c>
      <c r="R932" s="5" t="s">
        <v>273</v>
      </c>
      <c r="S932" s="27">
        <v>54</v>
      </c>
      <c r="T932" s="28" t="s">
        <v>269</v>
      </c>
    </row>
    <row r="933" customHeight="1" spans="1:20">
      <c r="A933" s="25">
        <f t="shared" si="54"/>
        <v>1304029</v>
      </c>
      <c r="B933" s="25">
        <v>1304</v>
      </c>
      <c r="C933" s="25" t="s">
        <v>1885</v>
      </c>
      <c r="D933" s="25"/>
      <c r="E933" s="25">
        <f t="shared" si="53"/>
        <v>13</v>
      </c>
      <c r="F933" s="25">
        <v>29</v>
      </c>
      <c r="I933" s="25" t="s">
        <v>1819</v>
      </c>
      <c r="J933" s="15">
        <v>2900</v>
      </c>
      <c r="K933" s="15"/>
      <c r="L933" s="15" t="s">
        <v>1820</v>
      </c>
      <c r="R933" s="5" t="s">
        <v>273</v>
      </c>
      <c r="S933" s="27">
        <v>56</v>
      </c>
      <c r="T933" s="28" t="s">
        <v>271</v>
      </c>
    </row>
    <row r="934" customHeight="1" spans="1:20">
      <c r="A934" s="25">
        <f t="shared" si="54"/>
        <v>1304030</v>
      </c>
      <c r="B934" s="25">
        <v>1304</v>
      </c>
      <c r="C934" s="25" t="s">
        <v>1885</v>
      </c>
      <c r="D934" s="25"/>
      <c r="E934" s="25">
        <f t="shared" si="53"/>
        <v>13</v>
      </c>
      <c r="F934" s="25">
        <v>30</v>
      </c>
      <c r="I934" s="25" t="s">
        <v>1821</v>
      </c>
      <c r="J934" s="15">
        <v>3000</v>
      </c>
      <c r="K934" s="15"/>
      <c r="L934" s="15" t="s">
        <v>1822</v>
      </c>
      <c r="R934" s="5" t="s">
        <v>273</v>
      </c>
      <c r="S934" s="27">
        <v>58</v>
      </c>
      <c r="T934" s="28" t="s">
        <v>274</v>
      </c>
    </row>
    <row r="935" customHeight="1" spans="1:20">
      <c r="A935" s="25">
        <f t="shared" si="54"/>
        <v>1304031</v>
      </c>
      <c r="B935" s="25">
        <v>1304</v>
      </c>
      <c r="C935" s="25" t="s">
        <v>1885</v>
      </c>
      <c r="D935" s="25"/>
      <c r="E935" s="25">
        <f t="shared" si="53"/>
        <v>14</v>
      </c>
      <c r="F935" s="25">
        <v>31</v>
      </c>
      <c r="I935" s="25" t="s">
        <v>1823</v>
      </c>
      <c r="J935" s="15">
        <v>3100</v>
      </c>
      <c r="K935" s="15"/>
      <c r="L935" s="15" t="s">
        <v>1824</v>
      </c>
      <c r="R935" s="5" t="s">
        <v>273</v>
      </c>
      <c r="S935" s="27">
        <v>60</v>
      </c>
      <c r="T935" s="28" t="s">
        <v>276</v>
      </c>
    </row>
    <row r="936" customHeight="1" spans="1:20">
      <c r="A936" s="25">
        <f t="shared" si="54"/>
        <v>1304032</v>
      </c>
      <c r="B936" s="25">
        <v>1304</v>
      </c>
      <c r="C936" s="25" t="s">
        <v>1885</v>
      </c>
      <c r="D936" s="25"/>
      <c r="E936" s="25">
        <f t="shared" si="53"/>
        <v>14</v>
      </c>
      <c r="F936" s="25">
        <v>32</v>
      </c>
      <c r="I936" s="25" t="s">
        <v>1825</v>
      </c>
      <c r="J936" s="15">
        <v>3200</v>
      </c>
      <c r="K936" s="15"/>
      <c r="L936" s="15" t="s">
        <v>1826</v>
      </c>
      <c r="R936" s="5" t="s">
        <v>273</v>
      </c>
      <c r="S936" s="27">
        <v>62</v>
      </c>
      <c r="T936" s="28" t="s">
        <v>278</v>
      </c>
    </row>
    <row r="937" customHeight="1" spans="1:20">
      <c r="A937" s="25">
        <f t="shared" si="54"/>
        <v>1304033</v>
      </c>
      <c r="B937" s="25">
        <v>1304</v>
      </c>
      <c r="C937" s="25" t="s">
        <v>1885</v>
      </c>
      <c r="D937" s="25"/>
      <c r="E937" s="25">
        <f t="shared" si="53"/>
        <v>14</v>
      </c>
      <c r="F937" s="25">
        <v>33</v>
      </c>
      <c r="I937" s="25" t="s">
        <v>1827</v>
      </c>
      <c r="J937" s="15">
        <v>3300</v>
      </c>
      <c r="K937" s="15"/>
      <c r="L937" s="15" t="s">
        <v>1828</v>
      </c>
      <c r="R937" s="5" t="s">
        <v>273</v>
      </c>
      <c r="S937" s="27">
        <v>64</v>
      </c>
      <c r="T937" s="28" t="s">
        <v>280</v>
      </c>
    </row>
    <row r="938" customHeight="1" spans="1:20">
      <c r="A938" s="25">
        <f t="shared" si="54"/>
        <v>1304034</v>
      </c>
      <c r="B938" s="25">
        <v>1304</v>
      </c>
      <c r="C938" s="25" t="s">
        <v>1885</v>
      </c>
      <c r="D938" s="25"/>
      <c r="E938" s="25">
        <f t="shared" si="53"/>
        <v>15</v>
      </c>
      <c r="F938" s="25">
        <v>34</v>
      </c>
      <c r="I938" s="25" t="s">
        <v>1829</v>
      </c>
      <c r="J938" s="15">
        <v>3400</v>
      </c>
      <c r="K938" s="15"/>
      <c r="L938" s="15" t="s">
        <v>1830</v>
      </c>
      <c r="R938" s="5" t="s">
        <v>273</v>
      </c>
      <c r="S938" s="27">
        <v>66</v>
      </c>
      <c r="T938" s="28" t="s">
        <v>282</v>
      </c>
    </row>
    <row r="939" customHeight="1" spans="1:20">
      <c r="A939" s="25">
        <f t="shared" si="54"/>
        <v>1304035</v>
      </c>
      <c r="B939" s="25">
        <v>1304</v>
      </c>
      <c r="C939" s="25" t="s">
        <v>1885</v>
      </c>
      <c r="D939" s="25"/>
      <c r="E939" s="25">
        <f t="shared" si="53"/>
        <v>15</v>
      </c>
      <c r="F939" s="25">
        <v>35</v>
      </c>
      <c r="I939" s="25" t="s">
        <v>1831</v>
      </c>
      <c r="J939" s="15">
        <v>3500</v>
      </c>
      <c r="K939" s="15"/>
      <c r="L939" s="15" t="s">
        <v>1832</v>
      </c>
      <c r="R939" s="5" t="s">
        <v>273</v>
      </c>
      <c r="S939" s="27">
        <v>68</v>
      </c>
      <c r="T939" s="28" t="s">
        <v>284</v>
      </c>
    </row>
    <row r="940" customHeight="1" spans="1:20">
      <c r="A940" s="25">
        <f t="shared" si="54"/>
        <v>1304036</v>
      </c>
      <c r="B940" s="25">
        <v>1304</v>
      </c>
      <c r="C940" s="25" t="s">
        <v>1885</v>
      </c>
      <c r="D940" s="25"/>
      <c r="E940" s="25">
        <f t="shared" si="53"/>
        <v>15</v>
      </c>
      <c r="F940" s="25">
        <v>36</v>
      </c>
      <c r="I940" s="25" t="s">
        <v>1833</v>
      </c>
      <c r="J940" s="15">
        <v>3600</v>
      </c>
      <c r="K940" s="15"/>
      <c r="L940" s="15" t="s">
        <v>1834</v>
      </c>
      <c r="R940" s="5" t="s">
        <v>273</v>
      </c>
      <c r="S940" s="27">
        <v>70</v>
      </c>
      <c r="T940" s="28" t="s">
        <v>286</v>
      </c>
    </row>
    <row r="941" customHeight="1" spans="1:20">
      <c r="A941" s="25">
        <f t="shared" si="54"/>
        <v>1304037</v>
      </c>
      <c r="B941" s="25">
        <v>1304</v>
      </c>
      <c r="C941" s="25" t="s">
        <v>1885</v>
      </c>
      <c r="D941" s="25"/>
      <c r="E941" s="25">
        <f t="shared" si="53"/>
        <v>16</v>
      </c>
      <c r="F941" s="25">
        <v>37</v>
      </c>
      <c r="I941" s="25" t="s">
        <v>1835</v>
      </c>
      <c r="J941" s="15">
        <v>3700</v>
      </c>
      <c r="K941" s="15"/>
      <c r="L941" s="15" t="s">
        <v>1836</v>
      </c>
      <c r="R941" s="5" t="s">
        <v>273</v>
      </c>
      <c r="S941" s="27">
        <v>72</v>
      </c>
      <c r="T941" s="28" t="s">
        <v>288</v>
      </c>
    </row>
    <row r="942" customHeight="1" spans="1:20">
      <c r="A942" s="25">
        <f t="shared" si="54"/>
        <v>1304038</v>
      </c>
      <c r="B942" s="25">
        <v>1304</v>
      </c>
      <c r="C942" s="25" t="s">
        <v>1885</v>
      </c>
      <c r="D942" s="25"/>
      <c r="E942" s="25">
        <f t="shared" si="53"/>
        <v>16</v>
      </c>
      <c r="F942" s="25">
        <v>38</v>
      </c>
      <c r="I942" s="25" t="s">
        <v>1837</v>
      </c>
      <c r="J942" s="15">
        <v>3800</v>
      </c>
      <c r="K942" s="15"/>
      <c r="L942" s="15" t="s">
        <v>1838</v>
      </c>
      <c r="R942" s="5" t="s">
        <v>273</v>
      </c>
      <c r="S942" s="27">
        <v>74</v>
      </c>
      <c r="T942" s="28" t="s">
        <v>290</v>
      </c>
    </row>
    <row r="943" customHeight="1" spans="1:20">
      <c r="A943" s="25">
        <f t="shared" si="54"/>
        <v>1304039</v>
      </c>
      <c r="B943" s="25">
        <v>1304</v>
      </c>
      <c r="C943" s="25" t="s">
        <v>1885</v>
      </c>
      <c r="D943" s="25"/>
      <c r="E943" s="25">
        <f t="shared" si="53"/>
        <v>16</v>
      </c>
      <c r="F943" s="25">
        <v>39</v>
      </c>
      <c r="I943" s="25" t="s">
        <v>1839</v>
      </c>
      <c r="J943" s="15">
        <v>3900</v>
      </c>
      <c r="K943" s="15"/>
      <c r="L943" s="15" t="s">
        <v>86</v>
      </c>
      <c r="R943" s="5" t="s">
        <v>273</v>
      </c>
      <c r="S943" s="27">
        <v>76</v>
      </c>
      <c r="T943" s="28" t="s">
        <v>292</v>
      </c>
    </row>
    <row r="944" customHeight="1" spans="1:20">
      <c r="A944" s="25">
        <f t="shared" si="54"/>
        <v>1304040</v>
      </c>
      <c r="B944" s="25">
        <v>1304</v>
      </c>
      <c r="C944" s="25" t="s">
        <v>1885</v>
      </c>
      <c r="D944" s="25"/>
      <c r="E944" s="25">
        <f t="shared" si="53"/>
        <v>17</v>
      </c>
      <c r="F944" s="25">
        <v>40</v>
      </c>
      <c r="I944" s="25" t="s">
        <v>1840</v>
      </c>
      <c r="J944" s="15">
        <v>4000</v>
      </c>
      <c r="K944" s="15"/>
      <c r="L944" s="15" t="s">
        <v>1841</v>
      </c>
      <c r="R944" s="5" t="s">
        <v>273</v>
      </c>
      <c r="S944" s="27">
        <v>78</v>
      </c>
      <c r="T944" s="28" t="s">
        <v>294</v>
      </c>
    </row>
    <row r="945" customHeight="1" spans="1:20">
      <c r="A945" s="25">
        <f t="shared" si="54"/>
        <v>1304041</v>
      </c>
      <c r="B945" s="25">
        <v>1304</v>
      </c>
      <c r="C945" s="25" t="s">
        <v>1885</v>
      </c>
      <c r="D945" s="25"/>
      <c r="E945" s="25">
        <f t="shared" si="53"/>
        <v>17</v>
      </c>
      <c r="F945" s="25">
        <v>41</v>
      </c>
      <c r="I945" s="25" t="s">
        <v>1842</v>
      </c>
      <c r="J945" s="15">
        <v>4100</v>
      </c>
      <c r="K945" s="15"/>
      <c r="L945" s="15" t="s">
        <v>1843</v>
      </c>
      <c r="R945" s="5" t="s">
        <v>273</v>
      </c>
      <c r="S945" s="27">
        <v>80</v>
      </c>
      <c r="T945" s="28" t="s">
        <v>296</v>
      </c>
    </row>
    <row r="946" customHeight="1" spans="1:20">
      <c r="A946" s="25">
        <f t="shared" si="54"/>
        <v>1304042</v>
      </c>
      <c r="B946" s="25">
        <v>1304</v>
      </c>
      <c r="C946" s="25" t="s">
        <v>1885</v>
      </c>
      <c r="D946" s="25"/>
      <c r="E946" s="25">
        <f t="shared" si="53"/>
        <v>17</v>
      </c>
      <c r="F946" s="25">
        <v>42</v>
      </c>
      <c r="I946" s="25" t="s">
        <v>1844</v>
      </c>
      <c r="J946" s="15">
        <v>4200</v>
      </c>
      <c r="K946" s="15"/>
      <c r="L946" s="15" t="s">
        <v>1845</v>
      </c>
      <c r="R946" s="5" t="s">
        <v>273</v>
      </c>
      <c r="S946" s="27">
        <v>82</v>
      </c>
      <c r="T946" s="28" t="s">
        <v>298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1885</v>
      </c>
      <c r="D947" s="25"/>
      <c r="E947" s="25">
        <f t="shared" si="53"/>
        <v>18</v>
      </c>
      <c r="F947" s="25">
        <v>43</v>
      </c>
      <c r="I947" s="25" t="s">
        <v>1846</v>
      </c>
      <c r="J947" s="15">
        <v>4300</v>
      </c>
      <c r="K947" s="15"/>
      <c r="L947" s="15" t="s">
        <v>1847</v>
      </c>
      <c r="R947" s="5" t="s">
        <v>273</v>
      </c>
      <c r="S947" s="27">
        <v>84</v>
      </c>
      <c r="T947" s="28" t="s">
        <v>300</v>
      </c>
    </row>
    <row r="948" customHeight="1" spans="1:20">
      <c r="A948" s="25">
        <f t="shared" si="55"/>
        <v>1304044</v>
      </c>
      <c r="B948" s="25">
        <v>1304</v>
      </c>
      <c r="C948" s="25" t="s">
        <v>1885</v>
      </c>
      <c r="D948" s="25"/>
      <c r="E948" s="25">
        <f t="shared" si="53"/>
        <v>18</v>
      </c>
      <c r="F948" s="25">
        <v>44</v>
      </c>
      <c r="I948" s="25" t="s">
        <v>1848</v>
      </c>
      <c r="J948" s="15">
        <v>4400</v>
      </c>
      <c r="K948" s="15"/>
      <c r="L948" s="15" t="s">
        <v>1849</v>
      </c>
      <c r="R948" s="5" t="s">
        <v>273</v>
      </c>
      <c r="S948" s="27">
        <v>86</v>
      </c>
      <c r="T948" s="28" t="s">
        <v>302</v>
      </c>
    </row>
    <row r="949" customHeight="1" spans="1:20">
      <c r="A949" s="25">
        <f t="shared" si="55"/>
        <v>1304045</v>
      </c>
      <c r="B949" s="25">
        <v>1304</v>
      </c>
      <c r="C949" s="25" t="s">
        <v>1885</v>
      </c>
      <c r="D949" s="25"/>
      <c r="E949" s="25">
        <f t="shared" si="53"/>
        <v>18</v>
      </c>
      <c r="F949" s="25">
        <v>45</v>
      </c>
      <c r="I949" s="25" t="s">
        <v>1850</v>
      </c>
      <c r="J949" s="15">
        <v>4500</v>
      </c>
      <c r="K949" s="15"/>
      <c r="L949" s="15" t="s">
        <v>1851</v>
      </c>
      <c r="R949" s="5" t="s">
        <v>273</v>
      </c>
      <c r="S949" s="27">
        <v>88</v>
      </c>
      <c r="T949" s="28" t="s">
        <v>304</v>
      </c>
    </row>
    <row r="950" customHeight="1" spans="1:20">
      <c r="A950" s="25">
        <f t="shared" si="55"/>
        <v>1304046</v>
      </c>
      <c r="B950" s="25">
        <v>1304</v>
      </c>
      <c r="C950" s="25" t="s">
        <v>1885</v>
      </c>
      <c r="D950" s="25"/>
      <c r="E950" s="25">
        <f t="shared" si="53"/>
        <v>19</v>
      </c>
      <c r="F950" s="25">
        <v>46</v>
      </c>
      <c r="I950" s="25" t="s">
        <v>1852</v>
      </c>
      <c r="J950" s="15">
        <v>4600</v>
      </c>
      <c r="K950" s="15"/>
      <c r="L950" s="15" t="s">
        <v>1853</v>
      </c>
      <c r="R950" s="5" t="s">
        <v>273</v>
      </c>
      <c r="S950" s="27">
        <v>90</v>
      </c>
      <c r="T950" s="28" t="s">
        <v>306</v>
      </c>
    </row>
    <row r="951" customHeight="1" spans="1:20">
      <c r="A951" s="25">
        <f t="shared" si="55"/>
        <v>1304047</v>
      </c>
      <c r="B951" s="25">
        <v>1304</v>
      </c>
      <c r="C951" s="25" t="s">
        <v>1885</v>
      </c>
      <c r="D951" s="25"/>
      <c r="E951" s="25">
        <f t="shared" si="53"/>
        <v>19</v>
      </c>
      <c r="F951" s="25">
        <v>47</v>
      </c>
      <c r="I951" s="25" t="s">
        <v>1854</v>
      </c>
      <c r="J951" s="15">
        <v>4700</v>
      </c>
      <c r="K951" s="15"/>
      <c r="L951" s="15" t="s">
        <v>1855</v>
      </c>
      <c r="R951" s="5" t="s">
        <v>273</v>
      </c>
      <c r="S951" s="27">
        <v>92</v>
      </c>
      <c r="T951" s="28" t="s">
        <v>308</v>
      </c>
    </row>
    <row r="952" customHeight="1" spans="1:20">
      <c r="A952" s="25">
        <f t="shared" si="55"/>
        <v>1304048</v>
      </c>
      <c r="B952" s="25">
        <v>1304</v>
      </c>
      <c r="C952" s="25" t="s">
        <v>1885</v>
      </c>
      <c r="D952" s="25"/>
      <c r="E952" s="25">
        <f t="shared" si="53"/>
        <v>19</v>
      </c>
      <c r="F952" s="25">
        <v>48</v>
      </c>
      <c r="I952" s="25" t="s">
        <v>1856</v>
      </c>
      <c r="J952" s="15">
        <v>4800</v>
      </c>
      <c r="K952" s="15"/>
      <c r="L952" s="15" t="s">
        <v>1857</v>
      </c>
      <c r="R952" s="5" t="s">
        <v>273</v>
      </c>
      <c r="S952" s="27">
        <v>94</v>
      </c>
      <c r="T952" s="28" t="s">
        <v>310</v>
      </c>
    </row>
    <row r="953" customHeight="1" spans="1:20">
      <c r="A953" s="25">
        <f t="shared" si="55"/>
        <v>1304049</v>
      </c>
      <c r="B953" s="25">
        <v>1304</v>
      </c>
      <c r="C953" s="25" t="s">
        <v>1885</v>
      </c>
      <c r="D953" s="25"/>
      <c r="E953" s="25">
        <f t="shared" si="53"/>
        <v>20</v>
      </c>
      <c r="F953" s="25">
        <v>49</v>
      </c>
      <c r="I953" s="25" t="s">
        <v>1858</v>
      </c>
      <c r="J953" s="15">
        <v>4900</v>
      </c>
      <c r="K953" s="15"/>
      <c r="L953" s="15" t="s">
        <v>1859</v>
      </c>
      <c r="R953" s="5" t="s">
        <v>273</v>
      </c>
      <c r="S953" s="27">
        <v>96</v>
      </c>
      <c r="T953" s="28" t="s">
        <v>312</v>
      </c>
    </row>
    <row r="954" customHeight="1" spans="1:20">
      <c r="A954" s="25">
        <f t="shared" si="55"/>
        <v>1304050</v>
      </c>
      <c r="B954" s="25">
        <v>1304</v>
      </c>
      <c r="C954" s="25" t="s">
        <v>1885</v>
      </c>
      <c r="D954" s="25"/>
      <c r="E954" s="25">
        <f t="shared" si="53"/>
        <v>20</v>
      </c>
      <c r="F954" s="25">
        <v>50</v>
      </c>
      <c r="I954" s="25" t="s">
        <v>1860</v>
      </c>
      <c r="J954" s="15">
        <v>5000</v>
      </c>
      <c r="K954" s="15"/>
      <c r="L954" s="15" t="s">
        <v>1861</v>
      </c>
      <c r="R954" s="5" t="s">
        <v>273</v>
      </c>
      <c r="S954" s="27">
        <v>98</v>
      </c>
      <c r="T954" s="28" t="s">
        <v>314</v>
      </c>
    </row>
    <row r="955" customHeight="1" spans="1:20">
      <c r="A955" s="25">
        <f t="shared" si="55"/>
        <v>1304051</v>
      </c>
      <c r="B955" s="25">
        <v>1304</v>
      </c>
      <c r="C955" s="25" t="s">
        <v>1885</v>
      </c>
      <c r="D955" s="25"/>
      <c r="E955" s="25">
        <f t="shared" si="53"/>
        <v>20</v>
      </c>
      <c r="F955" s="25">
        <v>51</v>
      </c>
      <c r="I955" s="25" t="s">
        <v>1862</v>
      </c>
      <c r="J955" s="15">
        <v>5100</v>
      </c>
      <c r="K955" s="15"/>
      <c r="L955" s="15" t="s">
        <v>1863</v>
      </c>
      <c r="R955" s="5" t="s">
        <v>273</v>
      </c>
      <c r="S955" s="27">
        <v>100</v>
      </c>
      <c r="T955" s="28" t="s">
        <v>316</v>
      </c>
    </row>
    <row r="956" customHeight="1" spans="1:20">
      <c r="A956" s="25">
        <f t="shared" si="55"/>
        <v>1304052</v>
      </c>
      <c r="B956" s="25">
        <v>1304</v>
      </c>
      <c r="C956" s="25" t="s">
        <v>1885</v>
      </c>
      <c r="D956" s="25"/>
      <c r="E956" s="25">
        <f t="shared" si="53"/>
        <v>21</v>
      </c>
      <c r="F956" s="25">
        <v>52</v>
      </c>
      <c r="I956" s="25" t="s">
        <v>1864</v>
      </c>
      <c r="J956" s="15">
        <v>5200</v>
      </c>
      <c r="K956" s="15"/>
      <c r="L956" s="15" t="s">
        <v>1865</v>
      </c>
      <c r="R956" s="5" t="s">
        <v>273</v>
      </c>
      <c r="S956" s="27">
        <v>102</v>
      </c>
      <c r="T956" s="28" t="s">
        <v>318</v>
      </c>
    </row>
    <row r="957" customHeight="1" spans="1:20">
      <c r="A957" s="25">
        <f t="shared" si="55"/>
        <v>1304053</v>
      </c>
      <c r="B957" s="25">
        <v>1304</v>
      </c>
      <c r="C957" s="25" t="s">
        <v>1885</v>
      </c>
      <c r="D957" s="25"/>
      <c r="E957" s="25">
        <f t="shared" si="53"/>
        <v>21</v>
      </c>
      <c r="F957" s="25">
        <v>53</v>
      </c>
      <c r="I957" s="25" t="s">
        <v>1866</v>
      </c>
      <c r="J957" s="15">
        <v>5300</v>
      </c>
      <c r="K957" s="15"/>
      <c r="L957" s="15" t="s">
        <v>1867</v>
      </c>
      <c r="R957" s="5" t="s">
        <v>273</v>
      </c>
      <c r="S957" s="27">
        <v>104</v>
      </c>
      <c r="T957" s="28" t="s">
        <v>320</v>
      </c>
    </row>
    <row r="958" customHeight="1" spans="1:20">
      <c r="A958" s="25">
        <f t="shared" si="55"/>
        <v>1304054</v>
      </c>
      <c r="B958" s="25">
        <v>1304</v>
      </c>
      <c r="C958" s="25" t="s">
        <v>1885</v>
      </c>
      <c r="D958" s="25"/>
      <c r="E958" s="25">
        <f t="shared" si="53"/>
        <v>21</v>
      </c>
      <c r="F958" s="25">
        <v>54</v>
      </c>
      <c r="I958" s="25" t="s">
        <v>1868</v>
      </c>
      <c r="J958" s="15">
        <v>5400</v>
      </c>
      <c r="K958" s="15"/>
      <c r="L958" s="15" t="s">
        <v>1869</v>
      </c>
      <c r="R958" s="5" t="s">
        <v>273</v>
      </c>
      <c r="S958" s="27">
        <v>106</v>
      </c>
      <c r="T958" s="28" t="s">
        <v>322</v>
      </c>
    </row>
    <row r="959" customHeight="1" spans="1:20">
      <c r="A959" s="25">
        <f t="shared" si="55"/>
        <v>1304055</v>
      </c>
      <c r="B959" s="25">
        <v>1304</v>
      </c>
      <c r="C959" s="25" t="s">
        <v>1885</v>
      </c>
      <c r="D959" s="25"/>
      <c r="E959" s="25">
        <f t="shared" si="53"/>
        <v>22</v>
      </c>
      <c r="F959" s="25">
        <v>55</v>
      </c>
      <c r="I959" s="25" t="s">
        <v>1870</v>
      </c>
      <c r="J959" s="15">
        <v>5500</v>
      </c>
      <c r="K959" s="15"/>
      <c r="L959" s="15" t="s">
        <v>1871</v>
      </c>
      <c r="R959" s="5" t="s">
        <v>273</v>
      </c>
      <c r="S959" s="27">
        <v>108</v>
      </c>
      <c r="T959" s="28" t="s">
        <v>325</v>
      </c>
    </row>
    <row r="960" customHeight="1" spans="1:20">
      <c r="A960" s="25">
        <f t="shared" si="55"/>
        <v>1304056</v>
      </c>
      <c r="B960" s="25">
        <v>1304</v>
      </c>
      <c r="C960" s="25" t="s">
        <v>1885</v>
      </c>
      <c r="D960" s="25"/>
      <c r="E960" s="25">
        <f t="shared" si="53"/>
        <v>22</v>
      </c>
      <c r="F960" s="25">
        <v>56</v>
      </c>
      <c r="I960" s="25" t="s">
        <v>1872</v>
      </c>
      <c r="J960" s="15">
        <v>5600</v>
      </c>
      <c r="K960" s="15"/>
      <c r="L960" s="15" t="s">
        <v>1873</v>
      </c>
      <c r="R960" s="5" t="s">
        <v>273</v>
      </c>
      <c r="S960" s="27">
        <v>110</v>
      </c>
      <c r="T960" s="28" t="s">
        <v>327</v>
      </c>
    </row>
    <row r="961" customHeight="1" spans="1:20">
      <c r="A961" s="25">
        <f t="shared" si="55"/>
        <v>1304057</v>
      </c>
      <c r="B961" s="25">
        <v>1304</v>
      </c>
      <c r="C961" s="25" t="s">
        <v>1885</v>
      </c>
      <c r="D961" s="25"/>
      <c r="E961" s="25">
        <f t="shared" si="53"/>
        <v>22</v>
      </c>
      <c r="F961" s="25">
        <v>57</v>
      </c>
      <c r="I961" s="25" t="s">
        <v>1874</v>
      </c>
      <c r="J961" s="15">
        <v>5700</v>
      </c>
      <c r="K961" s="15"/>
      <c r="L961" s="15" t="s">
        <v>1875</v>
      </c>
      <c r="R961" s="5" t="s">
        <v>273</v>
      </c>
      <c r="S961" s="27">
        <v>112</v>
      </c>
      <c r="T961" s="28" t="s">
        <v>329</v>
      </c>
    </row>
    <row r="962" customHeight="1" spans="1:20">
      <c r="A962" s="25">
        <f t="shared" si="55"/>
        <v>1304058</v>
      </c>
      <c r="B962" s="25">
        <v>1304</v>
      </c>
      <c r="C962" s="25" t="s">
        <v>1885</v>
      </c>
      <c r="D962" s="25"/>
      <c r="E962" s="25">
        <f t="shared" si="53"/>
        <v>23</v>
      </c>
      <c r="F962" s="25">
        <v>58</v>
      </c>
      <c r="I962" s="25" t="s">
        <v>1876</v>
      </c>
      <c r="J962" s="15">
        <v>5800</v>
      </c>
      <c r="K962" s="15"/>
      <c r="L962" s="15" t="s">
        <v>1877</v>
      </c>
      <c r="R962" s="5" t="s">
        <v>273</v>
      </c>
      <c r="S962" s="27">
        <v>114</v>
      </c>
      <c r="T962" s="28" t="s">
        <v>332</v>
      </c>
    </row>
    <row r="963" customHeight="1" spans="1:20">
      <c r="A963" s="25">
        <f t="shared" si="55"/>
        <v>1304059</v>
      </c>
      <c r="B963" s="25">
        <v>1304</v>
      </c>
      <c r="C963" s="25" t="s">
        <v>1885</v>
      </c>
      <c r="D963" s="25"/>
      <c r="E963" s="25">
        <f t="shared" si="53"/>
        <v>23</v>
      </c>
      <c r="F963" s="25">
        <v>59</v>
      </c>
      <c r="I963" s="25" t="s">
        <v>1878</v>
      </c>
      <c r="J963" s="15">
        <v>5900</v>
      </c>
      <c r="K963" s="15"/>
      <c r="L963" s="15" t="s">
        <v>94</v>
      </c>
      <c r="R963" s="5" t="s">
        <v>273</v>
      </c>
      <c r="S963" s="27">
        <v>116</v>
      </c>
      <c r="T963" s="28" t="s">
        <v>334</v>
      </c>
    </row>
    <row r="964" customHeight="1" spans="1:20">
      <c r="A964" s="25">
        <f t="shared" si="55"/>
        <v>1304060</v>
      </c>
      <c r="B964" s="25">
        <v>1304</v>
      </c>
      <c r="C964" s="25" t="s">
        <v>1885</v>
      </c>
      <c r="D964" s="25"/>
      <c r="E964" s="25">
        <v>23</v>
      </c>
      <c r="F964" s="25">
        <v>60</v>
      </c>
      <c r="I964" s="25" t="s">
        <v>1879</v>
      </c>
      <c r="J964" s="15">
        <v>6000</v>
      </c>
      <c r="K964" s="15"/>
      <c r="L964" s="15" t="s">
        <v>1880</v>
      </c>
      <c r="R964" s="5" t="s">
        <v>273</v>
      </c>
      <c r="T964" s="28" t="s">
        <v>336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1887</v>
      </c>
      <c r="C1" t="s">
        <v>1888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1889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1890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205</v>
      </c>
      <c r="B1" t="s">
        <v>210</v>
      </c>
      <c r="C1" t="s">
        <v>215</v>
      </c>
      <c r="D1" t="s">
        <v>217</v>
      </c>
      <c r="E1" t="s">
        <v>220</v>
      </c>
      <c r="F1" t="s">
        <v>222</v>
      </c>
      <c r="G1" t="s">
        <v>224</v>
      </c>
      <c r="H1" t="s">
        <v>226</v>
      </c>
      <c r="I1" t="s">
        <v>228</v>
      </c>
      <c r="J1" t="s">
        <v>231</v>
      </c>
      <c r="K1" t="s">
        <v>233</v>
      </c>
      <c r="L1" t="s">
        <v>235</v>
      </c>
      <c r="M1" t="s">
        <v>237</v>
      </c>
      <c r="N1" t="s">
        <v>239</v>
      </c>
      <c r="O1" t="s">
        <v>242</v>
      </c>
      <c r="P1" t="s">
        <v>244</v>
      </c>
      <c r="Q1" t="s">
        <v>246</v>
      </c>
      <c r="R1" t="s">
        <v>248</v>
      </c>
      <c r="S1" t="s">
        <v>250</v>
      </c>
      <c r="T1" t="s">
        <v>253</v>
      </c>
      <c r="U1" t="s">
        <v>255</v>
      </c>
      <c r="V1" t="s">
        <v>257</v>
      </c>
      <c r="W1" t="s">
        <v>259</v>
      </c>
      <c r="X1" t="s">
        <v>261</v>
      </c>
      <c r="Y1" t="s">
        <v>263</v>
      </c>
      <c r="Z1" t="s">
        <v>265</v>
      </c>
      <c r="AA1" t="s">
        <v>267</v>
      </c>
    </row>
    <row r="2" spans="1:27">
      <c r="A2" t="s">
        <v>269</v>
      </c>
      <c r="B2" t="s">
        <v>271</v>
      </c>
      <c r="C2" t="s">
        <v>274</v>
      </c>
      <c r="D2" t="s">
        <v>276</v>
      </c>
      <c r="E2" t="s">
        <v>278</v>
      </c>
      <c r="F2" t="s">
        <v>280</v>
      </c>
      <c r="G2" t="s">
        <v>282</v>
      </c>
      <c r="H2" t="s">
        <v>284</v>
      </c>
      <c r="I2" t="s">
        <v>286</v>
      </c>
      <c r="J2" t="s">
        <v>288</v>
      </c>
      <c r="K2" t="s">
        <v>290</v>
      </c>
      <c r="L2" t="s">
        <v>292</v>
      </c>
      <c r="M2" t="s">
        <v>294</v>
      </c>
      <c r="N2" t="s">
        <v>296</v>
      </c>
      <c r="O2" t="s">
        <v>298</v>
      </c>
      <c r="P2" t="s">
        <v>300</v>
      </c>
      <c r="Q2" t="s">
        <v>302</v>
      </c>
      <c r="R2" t="s">
        <v>304</v>
      </c>
      <c r="S2" t="s">
        <v>306</v>
      </c>
      <c r="T2" t="s">
        <v>308</v>
      </c>
      <c r="U2" t="s">
        <v>310</v>
      </c>
      <c r="V2" t="s">
        <v>312</v>
      </c>
      <c r="W2" t="s">
        <v>314</v>
      </c>
      <c r="X2" t="s">
        <v>316</v>
      </c>
      <c r="Y2" t="s">
        <v>318</v>
      </c>
    </row>
    <row r="3" spans="1:27">
      <c r="A3" t="s">
        <v>320</v>
      </c>
      <c r="B3" t="s">
        <v>322</v>
      </c>
      <c r="C3" t="s">
        <v>325</v>
      </c>
      <c r="D3" t="s">
        <v>327</v>
      </c>
      <c r="E3" t="s">
        <v>329</v>
      </c>
      <c r="F3" t="s">
        <v>332</v>
      </c>
      <c r="G3" t="s">
        <v>334</v>
      </c>
      <c r="H3" t="s">
        <v>336</v>
      </c>
    </row>
    <row r="12" spans="1:27">
      <c r="I12" t="s">
        <v>205</v>
      </c>
    </row>
    <row r="13" spans="1:27">
      <c r="I13" t="s">
        <v>210</v>
      </c>
    </row>
    <row r="14" spans="1:27">
      <c r="I14" t="s">
        <v>215</v>
      </c>
    </row>
    <row r="15" spans="1:27">
      <c r="I15" t="s">
        <v>217</v>
      </c>
    </row>
    <row r="16" spans="1:27">
      <c r="I16" t="s">
        <v>220</v>
      </c>
    </row>
    <row r="17" spans="9:9">
      <c r="I17" t="s">
        <v>222</v>
      </c>
    </row>
    <row r="18" spans="9:9">
      <c r="I18" t="s">
        <v>224</v>
      </c>
    </row>
    <row r="19" spans="9:9">
      <c r="I19" t="s">
        <v>226</v>
      </c>
    </row>
    <row r="20" spans="9:9">
      <c r="I20" t="s">
        <v>228</v>
      </c>
    </row>
    <row r="21" spans="9:9">
      <c r="I21" t="s">
        <v>231</v>
      </c>
    </row>
    <row r="22" spans="9:9">
      <c r="I22" t="s">
        <v>233</v>
      </c>
    </row>
    <row r="23" spans="9:9">
      <c r="I23" t="s">
        <v>235</v>
      </c>
    </row>
    <row r="24" spans="9:9">
      <c r="I24" t="s">
        <v>237</v>
      </c>
    </row>
    <row r="25" spans="9:9">
      <c r="I25" t="s">
        <v>239</v>
      </c>
    </row>
    <row r="26" spans="9:9">
      <c r="I26" t="s">
        <v>242</v>
      </c>
    </row>
    <row r="27" spans="9:9">
      <c r="I27" t="s">
        <v>244</v>
      </c>
    </row>
    <row r="28" spans="9:9">
      <c r="I28" t="s">
        <v>246</v>
      </c>
    </row>
    <row r="29" spans="9:9">
      <c r="I29" t="s">
        <v>248</v>
      </c>
    </row>
    <row r="30" spans="9:9">
      <c r="I30" t="s">
        <v>250</v>
      </c>
    </row>
    <row r="31" spans="9:9">
      <c r="I31" t="s">
        <v>253</v>
      </c>
    </row>
    <row r="32" spans="9:9">
      <c r="I32" t="s">
        <v>255</v>
      </c>
    </row>
    <row r="33" spans="9:9">
      <c r="I33" t="s">
        <v>257</v>
      </c>
    </row>
    <row r="34" spans="9:9">
      <c r="I34" t="s">
        <v>259</v>
      </c>
    </row>
    <row r="35" spans="9:9">
      <c r="I35" t="s">
        <v>261</v>
      </c>
    </row>
    <row r="36" spans="9:9">
      <c r="I36" t="s">
        <v>263</v>
      </c>
    </row>
    <row r="37" spans="9:9">
      <c r="I37" t="s">
        <v>265</v>
      </c>
    </row>
    <row r="38" spans="9:9">
      <c r="I38" t="s">
        <v>267</v>
      </c>
    </row>
    <row r="39" spans="9:9">
      <c r="I39" t="s">
        <v>269</v>
      </c>
    </row>
    <row r="40" spans="9:9">
      <c r="I40" t="s">
        <v>271</v>
      </c>
    </row>
    <row r="41" spans="9:9">
      <c r="I41" t="s">
        <v>274</v>
      </c>
    </row>
    <row r="42" spans="9:9">
      <c r="I42" t="s">
        <v>276</v>
      </c>
    </row>
    <row r="43" spans="9:9">
      <c r="I43" t="s">
        <v>278</v>
      </c>
    </row>
    <row r="44" spans="9:9">
      <c r="I44" t="s">
        <v>280</v>
      </c>
    </row>
    <row r="45" spans="9:9">
      <c r="I45" t="s">
        <v>282</v>
      </c>
    </row>
    <row r="46" spans="9:9">
      <c r="I46" t="s">
        <v>284</v>
      </c>
    </row>
    <row r="47" spans="9:9">
      <c r="I47" t="s">
        <v>286</v>
      </c>
    </row>
    <row r="48" spans="9:9">
      <c r="I48" t="s">
        <v>288</v>
      </c>
    </row>
    <row r="49" spans="9:9">
      <c r="I49" t="s">
        <v>290</v>
      </c>
    </row>
    <row r="50" spans="9:9">
      <c r="I50" t="s">
        <v>292</v>
      </c>
    </row>
    <row r="51" spans="9:9">
      <c r="I51" t="s">
        <v>294</v>
      </c>
    </row>
    <row r="52" spans="9:9">
      <c r="I52" t="s">
        <v>296</v>
      </c>
    </row>
    <row r="53" spans="9:9">
      <c r="I53" t="s">
        <v>298</v>
      </c>
    </row>
    <row r="54" spans="9:9">
      <c r="I54" t="s">
        <v>300</v>
      </c>
    </row>
    <row r="55" spans="9:9">
      <c r="I55" t="s">
        <v>302</v>
      </c>
    </row>
    <row r="56" spans="9:9">
      <c r="I56" t="s">
        <v>304</v>
      </c>
    </row>
    <row r="57" spans="9:9">
      <c r="I57" t="s">
        <v>306</v>
      </c>
    </row>
    <row r="58" spans="9:9">
      <c r="I58" t="s">
        <v>308</v>
      </c>
    </row>
    <row r="59" spans="9:9">
      <c r="I59" t="s">
        <v>310</v>
      </c>
    </row>
    <row r="60" spans="9:9">
      <c r="I60" t="s">
        <v>312</v>
      </c>
    </row>
    <row r="61" spans="9:9">
      <c r="I61" t="s">
        <v>314</v>
      </c>
    </row>
    <row r="62" spans="9:9">
      <c r="I62" t="s">
        <v>316</v>
      </c>
    </row>
    <row r="63" spans="9:9">
      <c r="I63" t="s">
        <v>318</v>
      </c>
    </row>
    <row r="64" spans="9:9">
      <c r="I64" t="s">
        <v>320</v>
      </c>
    </row>
    <row r="65" spans="9:9">
      <c r="I65" t="s">
        <v>322</v>
      </c>
    </row>
    <row r="66" spans="9:9">
      <c r="I66" t="s">
        <v>325</v>
      </c>
    </row>
    <row r="67" spans="9:9">
      <c r="I67" t="s">
        <v>327</v>
      </c>
    </row>
    <row r="68" spans="9:9">
      <c r="I68" t="s">
        <v>329</v>
      </c>
    </row>
    <row r="69" spans="9:9">
      <c r="I69" t="s">
        <v>332</v>
      </c>
    </row>
    <row r="70" spans="9:9">
      <c r="I70" t="s">
        <v>334</v>
      </c>
    </row>
    <row r="71" spans="9:9">
      <c r="I71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1891</v>
      </c>
      <c r="D1" s="1" t="s">
        <v>1892</v>
      </c>
      <c r="E1" s="1" t="s">
        <v>1893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2026-08-28T01:50:37Z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