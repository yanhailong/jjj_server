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easonStar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1.万比分，前端显示为百分比；
2.此值不为对应游戏实际的RTP，只是用于前端显示；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此值用于前端显示</t>
        </r>
      </text>
    </comment>
    <comment ref="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1.用于前端显示；
2.此值的上限根据赛季玩法的宝石（下注）进行调整，宝石的上限提升后，此值的上限也进行提升，要相互对应</t>
        </r>
      </text>
    </commen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1.显示多语言，用于前端显示</t>
        </r>
      </text>
    </comment>
  </commentList>
</comments>
</file>

<file path=xl/sharedStrings.xml><?xml version="1.0" encoding="utf-8"?>
<sst xmlns="http://schemas.openxmlformats.org/spreadsheetml/2006/main" count="92" uniqueCount="65">
  <si>
    <t>活动ID</t>
  </si>
  <si>
    <t>赛季名称多语言</t>
  </si>
  <si>
    <t>名称备注</t>
  </si>
  <si>
    <t>赛季持续时间</t>
  </si>
  <si>
    <t>赛季开启的游戏</t>
  </si>
  <si>
    <t>备注</t>
  </si>
  <si>
    <t>开启的宝石孔数</t>
  </si>
  <si>
    <t>循环的序列</t>
  </si>
  <si>
    <t>游戏的RTP</t>
  </si>
  <si>
    <t>游戏的最大倍率</t>
  </si>
  <si>
    <t>下注范围</t>
  </si>
  <si>
    <t>特色玩法多语言</t>
  </si>
  <si>
    <t>开启的小游戏</t>
  </si>
  <si>
    <t>新加入赛季送赛季币</t>
  </si>
  <si>
    <t>赛季名称备选</t>
  </si>
  <si>
    <t>int</t>
  </si>
  <si>
    <t>list&lt;int&gt;{_}</t>
  </si>
  <si>
    <t>id</t>
  </si>
  <si>
    <t>SeasonName</t>
  </si>
  <si>
    <t>SeasonDuration</t>
  </si>
  <si>
    <t>AvailableGames</t>
  </si>
  <si>
    <t>GemCount</t>
  </si>
  <si>
    <t>LoopSequence</t>
  </si>
  <si>
    <t>GameRTP</t>
  </si>
  <si>
    <t>MaxMultiplier</t>
  </si>
  <si>
    <t>BetRange</t>
  </si>
  <si>
    <t>FeatureName</t>
  </si>
  <si>
    <t>Openminigame</t>
  </si>
  <si>
    <t>NewJoinSeasonCoin</t>
  </si>
  <si>
    <t>新手赛季</t>
  </si>
  <si>
    <t>埃及艳后</t>
  </si>
  <si>
    <t>200_3600</t>
  </si>
  <si>
    <t>拓展转轴</t>
  </si>
  <si>
    <t>进阶赛季</t>
  </si>
  <si>
    <t>蒸汽时代</t>
  </si>
  <si>
    <t>恶魔之子赛季</t>
  </si>
  <si>
    <t>恶魔之子</t>
  </si>
  <si>
    <t>中奖线玩法</t>
  </si>
  <si>
    <t>暗影降临/地狱之门/血月之约/魔焰重燃</t>
  </si>
  <si>
    <t>雪国狂欢赛季</t>
  </si>
  <si>
    <t>圣诞狂欢夜</t>
  </si>
  <si>
    <t>中奖消除</t>
  </si>
  <si>
    <t>圣诞颂歌/礼物狂潮/冬日盛宴/北极星之愿/圣诞工厂</t>
  </si>
  <si>
    <t>热血足球赛季</t>
  </si>
  <si>
    <t>热血足球</t>
  </si>
  <si>
    <t>冠军之路/热血杯赛/传奇赛季/绿茵荣耀/点球传奇</t>
  </si>
  <si>
    <t>宝石觉醒赛季</t>
  </si>
  <si>
    <t>伽罗宝石</t>
  </si>
  <si>
    <t>伽罗秘术/伽罗契约/永恒晶石/宝石幻境/魔力宝石季</t>
  </si>
  <si>
    <t>神域对决赛季</t>
  </si>
  <si>
    <t>宙斯VS哈迪斯</t>
  </si>
  <si>
    <t>100_1000</t>
  </si>
  <si>
    <t>扩展百搭</t>
  </si>
  <si>
    <t>300800_400800</t>
  </si>
  <si>
    <r>
      <rPr>
        <sz val="10.5"/>
        <color rgb="FF404040"/>
        <rFont val="宋体"/>
        <charset val="134"/>
      </rPr>
      <t>神域纷争</t>
    </r>
    <r>
      <rPr>
        <sz val="10.5"/>
        <color rgb="FF404040"/>
        <rFont val="Segoe UI"/>
        <charset val="134"/>
      </rPr>
      <t xml:space="preserve"> / </t>
    </r>
    <r>
      <rPr>
        <sz val="10.5"/>
        <color rgb="FF404040"/>
        <rFont val="宋体"/>
        <charset val="134"/>
      </rPr>
      <t>诸神黄昏</t>
    </r>
    <r>
      <rPr>
        <sz val="10.5"/>
        <color rgb="FF404040"/>
        <rFont val="Segoe UI"/>
        <charset val="134"/>
      </rPr>
      <t xml:space="preserve"> / </t>
    </r>
    <r>
      <rPr>
        <sz val="10.5"/>
        <color rgb="FF404040"/>
        <rFont val="宋体"/>
        <charset val="134"/>
      </rPr>
      <t>神王之怒</t>
    </r>
    <r>
      <rPr>
        <sz val="10.5"/>
        <color rgb="FF404040"/>
        <rFont val="Segoe UI"/>
        <charset val="134"/>
      </rPr>
      <t xml:space="preserve"> / </t>
    </r>
    <r>
      <rPr>
        <sz val="10.5"/>
        <color rgb="FF404040"/>
        <rFont val="宋体"/>
        <charset val="134"/>
      </rPr>
      <t>天庭裂变</t>
    </r>
    <r>
      <rPr>
        <sz val="10.5"/>
        <color rgb="FF404040"/>
        <rFont val="Segoe UI"/>
        <charset val="134"/>
      </rPr>
      <t xml:space="preserve"> / </t>
    </r>
    <r>
      <rPr>
        <sz val="10.5"/>
        <color rgb="FF404040"/>
        <rFont val="宋体"/>
        <charset val="134"/>
      </rPr>
      <t>圣战纪元</t>
    </r>
    <r>
      <rPr>
        <sz val="10.5"/>
        <color rgb="FF404040"/>
        <rFont val="Segoe UI"/>
        <charset val="134"/>
      </rPr>
      <t xml:space="preserve"> / </t>
    </r>
    <r>
      <rPr>
        <sz val="10.5"/>
        <color rgb="FF404040"/>
        <rFont val="宋体"/>
        <charset val="134"/>
      </rPr>
      <t>众神裁决</t>
    </r>
    <r>
      <rPr>
        <sz val="10.5"/>
        <color rgb="FF404040"/>
        <rFont val="Segoe UI"/>
        <charset val="134"/>
      </rPr>
      <t xml:space="preserve"> / </t>
    </r>
    <r>
      <rPr>
        <sz val="10.5"/>
        <color rgb="FF404040"/>
        <rFont val="宋体"/>
        <charset val="134"/>
      </rPr>
      <t>神域对决</t>
    </r>
  </si>
  <si>
    <t>黑帆远征赛季</t>
  </si>
  <si>
    <t>杰克船长</t>
  </si>
  <si>
    <t>全线中奖</t>
  </si>
  <si>
    <r>
      <rPr>
        <sz val="10.5"/>
        <color rgb="FF404040"/>
        <rFont val="宋体"/>
        <charset val="134"/>
      </rPr>
      <t>黑帆远征</t>
    </r>
    <r>
      <rPr>
        <sz val="10.5"/>
        <color rgb="FF404040"/>
        <rFont val="Segoe UI"/>
        <charset val="134"/>
      </rPr>
      <t xml:space="preserve"> / </t>
    </r>
    <r>
      <rPr>
        <sz val="10.5"/>
        <color rgb="FF404040"/>
        <rFont val="宋体"/>
        <charset val="134"/>
      </rPr>
      <t>怒海争锋</t>
    </r>
    <r>
      <rPr>
        <sz val="10.5"/>
        <color rgb="FF404040"/>
        <rFont val="Segoe UI"/>
        <charset val="134"/>
      </rPr>
      <t xml:space="preserve"> / </t>
    </r>
    <r>
      <rPr>
        <sz val="10.5"/>
        <color rgb="FF404040"/>
        <rFont val="宋体"/>
        <charset val="134"/>
      </rPr>
      <t>加勒比暗潮</t>
    </r>
    <r>
      <rPr>
        <sz val="10.5"/>
        <color rgb="FF404040"/>
        <rFont val="Segoe UI"/>
        <charset val="134"/>
      </rPr>
      <t xml:space="preserve"> / </t>
    </r>
    <r>
      <rPr>
        <sz val="10.5"/>
        <color rgb="FF404040"/>
        <rFont val="宋体"/>
        <charset val="134"/>
      </rPr>
      <t>航海霸业</t>
    </r>
    <r>
      <rPr>
        <sz val="10.5"/>
        <color rgb="FF404040"/>
        <rFont val="Segoe UI"/>
        <charset val="134"/>
      </rPr>
      <t xml:space="preserve"> / </t>
    </r>
    <r>
      <rPr>
        <sz val="10.5"/>
        <color rgb="FF404040"/>
        <rFont val="宋体"/>
        <charset val="134"/>
      </rPr>
      <t>海盗法则</t>
    </r>
    <r>
      <rPr>
        <sz val="10.5"/>
        <color rgb="FF404040"/>
        <rFont val="Segoe UI"/>
        <charset val="134"/>
      </rPr>
      <t xml:space="preserve"> / </t>
    </r>
    <r>
      <rPr>
        <sz val="10.5"/>
        <color rgb="FF404040"/>
        <rFont val="宋体"/>
        <charset val="134"/>
      </rPr>
      <t>深渊掠夺</t>
    </r>
    <r>
      <rPr>
        <sz val="10.5"/>
        <color rgb="FF404040"/>
        <rFont val="Segoe UI"/>
        <charset val="134"/>
      </rPr>
      <t xml:space="preserve"> / </t>
    </r>
    <r>
      <rPr>
        <sz val="10.5"/>
        <color rgb="FF404040"/>
        <rFont val="宋体"/>
        <charset val="134"/>
      </rPr>
      <t>怒海狂潮</t>
    </r>
  </si>
  <si>
    <t>血月狼影赛季</t>
  </si>
  <si>
    <t>狼月</t>
  </si>
  <si>
    <r>
      <rPr>
        <sz val="10.5"/>
        <color rgb="FF404040"/>
        <rFont val="宋体"/>
        <charset val="134"/>
      </rPr>
      <t>暗月狂嚎</t>
    </r>
    <r>
      <rPr>
        <sz val="10.5"/>
        <color rgb="FF404040"/>
        <rFont val="Segoe UI"/>
        <charset val="134"/>
      </rPr>
      <t xml:space="preserve"> / </t>
    </r>
    <r>
      <rPr>
        <sz val="10.5"/>
        <color rgb="FF404040"/>
        <rFont val="宋体"/>
        <charset val="134"/>
      </rPr>
      <t>狼嚎之夜</t>
    </r>
    <r>
      <rPr>
        <sz val="10.5"/>
        <color rgb="FF404040"/>
        <rFont val="Segoe UI"/>
        <charset val="134"/>
      </rPr>
      <t xml:space="preserve"> / </t>
    </r>
    <r>
      <rPr>
        <sz val="10.5"/>
        <color rgb="FF404040"/>
        <rFont val="宋体"/>
        <charset val="134"/>
      </rPr>
      <t>血月猎杀</t>
    </r>
    <r>
      <rPr>
        <sz val="10.5"/>
        <color rgb="FF404040"/>
        <rFont val="Segoe UI"/>
        <charset val="134"/>
      </rPr>
      <t xml:space="preserve"> / </t>
    </r>
    <r>
      <rPr>
        <sz val="10.5"/>
        <color rgb="FF404040"/>
        <rFont val="宋体"/>
        <charset val="134"/>
      </rPr>
      <t>变身之月</t>
    </r>
    <r>
      <rPr>
        <sz val="10.5"/>
        <color rgb="FF404040"/>
        <rFont val="Segoe UI"/>
        <charset val="134"/>
      </rPr>
      <t xml:space="preserve"> / </t>
    </r>
    <r>
      <rPr>
        <sz val="10.5"/>
        <color rgb="FF404040"/>
        <rFont val="宋体"/>
        <charset val="134"/>
      </rPr>
      <t>狼族觉醒</t>
    </r>
    <r>
      <rPr>
        <sz val="10.5"/>
        <color rgb="FF404040"/>
        <rFont val="Segoe UI"/>
        <charset val="134"/>
      </rPr>
      <t xml:space="preserve"> / </t>
    </r>
    <r>
      <rPr>
        <sz val="10.5"/>
        <color rgb="FF404040"/>
        <rFont val="宋体"/>
        <charset val="134"/>
      </rPr>
      <t>月蚀猎场</t>
    </r>
    <r>
      <rPr>
        <sz val="10.5"/>
        <color rgb="FF404040"/>
        <rFont val="Segoe UI"/>
        <charset val="134"/>
      </rPr>
      <t xml:space="preserve"> / </t>
    </r>
    <r>
      <rPr>
        <sz val="10.5"/>
        <color rgb="FF404040"/>
        <rFont val="宋体"/>
        <charset val="134"/>
      </rPr>
      <t>血月狼影</t>
    </r>
  </si>
  <si>
    <t>浩克狂潮赛季</t>
  </si>
  <si>
    <t>绿巨人</t>
  </si>
  <si>
    <r>
      <rPr>
        <sz val="10.5"/>
        <color rgb="FF404040"/>
        <rFont val="宋体"/>
        <charset val="134"/>
      </rPr>
      <t>暴怒觉醒</t>
    </r>
    <r>
      <rPr>
        <sz val="10.5"/>
        <color rgb="FF404040"/>
        <rFont val="Segoe UI"/>
        <charset val="134"/>
      </rPr>
      <t xml:space="preserve"> / </t>
    </r>
    <r>
      <rPr>
        <sz val="10.5"/>
        <color rgb="FF404040"/>
        <rFont val="宋体"/>
        <charset val="134"/>
      </rPr>
      <t>狂暴之躯</t>
    </r>
    <r>
      <rPr>
        <sz val="10.5"/>
        <color rgb="FF404040"/>
        <rFont val="Segoe UI"/>
        <charset val="134"/>
      </rPr>
      <t xml:space="preserve"> / </t>
    </r>
    <r>
      <rPr>
        <sz val="10.5"/>
        <color rgb="FF404040"/>
        <rFont val="宋体"/>
        <charset val="134"/>
      </rPr>
      <t>绿殇降临</t>
    </r>
    <r>
      <rPr>
        <sz val="10.5"/>
        <color rgb="FF404040"/>
        <rFont val="Segoe UI"/>
        <charset val="134"/>
      </rPr>
      <t xml:space="preserve"> / </t>
    </r>
    <r>
      <rPr>
        <sz val="10.5"/>
        <color rgb="FF404040"/>
        <rFont val="宋体"/>
        <charset val="134"/>
      </rPr>
      <t>碾压纪元</t>
    </r>
    <r>
      <rPr>
        <sz val="10.5"/>
        <color rgb="FF404040"/>
        <rFont val="Segoe UI"/>
        <charset val="134"/>
      </rPr>
      <t xml:space="preserve"> / </t>
    </r>
    <r>
      <rPr>
        <sz val="10.5"/>
        <color rgb="FF404040"/>
        <rFont val="宋体"/>
        <charset val="134"/>
      </rPr>
      <t>浩克狂潮</t>
    </r>
    <r>
      <rPr>
        <sz val="10.5"/>
        <color rgb="FF404040"/>
        <rFont val="Segoe UI"/>
        <charset val="134"/>
      </rPr>
      <t xml:space="preserve"> / </t>
    </r>
    <r>
      <rPr>
        <sz val="10.5"/>
        <color rgb="FF404040"/>
        <rFont val="宋体"/>
        <charset val="134"/>
      </rPr>
      <t>怒焰破城</t>
    </r>
    <r>
      <rPr>
        <sz val="10.5"/>
        <color rgb="FF404040"/>
        <rFont val="Segoe UI"/>
        <charset val="134"/>
      </rPr>
      <t xml:space="preserve"> / </t>
    </r>
    <r>
      <rPr>
        <sz val="10.5"/>
        <color rgb="FF404040"/>
        <rFont val="宋体"/>
        <charset val="134"/>
      </rPr>
      <t>伽马裂变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</si>
</sst>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.5"/>
      <color rgb="FF404040"/>
      <name val="宋体"/>
      <charset val="134"/>
    </font>
    <font>
      <sz val="10.5"/>
      <color rgb="FF171717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404040"/>
      <name val="Segoe UI"/>
      <charset val="134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tabSelected="1" workbookViewId="0">
      <selection activeCell="N21" sqref="N21"/>
    </sheetView>
  </sheetViews>
  <sheetFormatPr defaultColWidth="9" defaultRowHeight="13.5"/>
  <cols>
    <col min="2" max="2" width="16" customWidth="1"/>
    <col min="3" max="3" width="11.375" customWidth="1"/>
    <col min="4" max="4" width="15.875" customWidth="1"/>
    <col min="5" max="5" width="13.625" customWidth="1"/>
    <col min="6" max="6" width="12.625" customWidth="1"/>
    <col min="7" max="8" width="15.25" customWidth="1"/>
    <col min="9" max="9" width="14" customWidth="1"/>
    <col min="10" max="10" width="14.25" customWidth="1"/>
    <col min="11" max="11" width="14.125" customWidth="1"/>
    <col min="12" max="12" width="15.25" customWidth="1"/>
    <col min="13" max="13" width="10.75" customWidth="1"/>
    <col min="14" max="14" width="12" customWidth="1"/>
    <col min="15" max="15" width="20.2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5</v>
      </c>
      <c r="N1" t="s">
        <v>12</v>
      </c>
      <c r="O1" t="s">
        <v>13</v>
      </c>
      <c r="P1" t="s">
        <v>14</v>
      </c>
    </row>
    <row r="2" spans="1:16">
      <c r="A2" s="1" t="s">
        <v>15</v>
      </c>
      <c r="B2" s="1" t="s">
        <v>15</v>
      </c>
      <c r="C2" s="1"/>
      <c r="D2" s="1" t="s">
        <v>15</v>
      </c>
      <c r="E2" s="1" t="s">
        <v>15</v>
      </c>
      <c r="F2" s="1"/>
      <c r="G2" s="1" t="s">
        <v>15</v>
      </c>
      <c r="H2" s="1" t="s">
        <v>15</v>
      </c>
      <c r="I2" t="s">
        <v>15</v>
      </c>
      <c r="J2" t="s">
        <v>15</v>
      </c>
      <c r="K2" t="s">
        <v>16</v>
      </c>
      <c r="L2" t="s">
        <v>15</v>
      </c>
      <c r="N2" t="s">
        <v>16</v>
      </c>
      <c r="O2" t="s">
        <v>15</v>
      </c>
    </row>
    <row r="3" spans="1:16">
      <c r="A3" s="1" t="s">
        <v>17</v>
      </c>
      <c r="B3" s="1" t="s">
        <v>18</v>
      </c>
      <c r="C3" s="1"/>
      <c r="D3" s="1" t="s">
        <v>19</v>
      </c>
      <c r="E3" s="1" t="s">
        <v>20</v>
      </c>
      <c r="F3" s="1"/>
      <c r="G3" s="1" t="s">
        <v>21</v>
      </c>
      <c r="H3" s="1" t="s">
        <v>22</v>
      </c>
      <c r="I3" t="s">
        <v>23</v>
      </c>
      <c r="J3" t="s">
        <v>24</v>
      </c>
      <c r="K3" t="s">
        <v>25</v>
      </c>
      <c r="L3" t="s">
        <v>26</v>
      </c>
      <c r="N3" t="s">
        <v>27</v>
      </c>
      <c r="O3" t="s">
        <v>28</v>
      </c>
    </row>
    <row r="4" spans="1:16">
      <c r="A4" s="1"/>
      <c r="B4" s="1"/>
      <c r="C4" s="1"/>
      <c r="D4" s="1"/>
      <c r="E4" s="1"/>
      <c r="F4" s="1"/>
      <c r="G4" s="1"/>
      <c r="H4" s="1"/>
    </row>
    <row r="5" spans="1:16">
      <c r="A5" s="1">
        <v>1001</v>
      </c>
      <c r="B5" s="1">
        <v>4059002</v>
      </c>
      <c r="C5" s="1" t="s">
        <v>29</v>
      </c>
      <c r="D5" s="1">
        <v>0</v>
      </c>
      <c r="E5" s="1">
        <v>101400</v>
      </c>
      <c r="F5" t="s">
        <v>30</v>
      </c>
      <c r="G5" s="1">
        <v>3</v>
      </c>
      <c r="H5" s="1"/>
      <c r="I5">
        <v>9650</v>
      </c>
      <c r="J5">
        <v>1000</v>
      </c>
      <c r="K5" t="s">
        <v>31</v>
      </c>
      <c r="L5">
        <v>4059216</v>
      </c>
      <c r="M5" t="s">
        <v>32</v>
      </c>
      <c r="O5">
        <v>1000</v>
      </c>
    </row>
    <row r="6" spans="1:16">
      <c r="A6" s="1">
        <v>1002</v>
      </c>
      <c r="B6" s="1">
        <v>4059094</v>
      </c>
      <c r="C6" s="1" t="s">
        <v>33</v>
      </c>
      <c r="D6" s="1">
        <v>0</v>
      </c>
      <c r="E6">
        <v>102300</v>
      </c>
      <c r="F6" t="s">
        <v>34</v>
      </c>
      <c r="G6" s="1">
        <v>6</v>
      </c>
      <c r="H6" s="1"/>
      <c r="I6">
        <v>9700</v>
      </c>
      <c r="J6">
        <v>3300</v>
      </c>
      <c r="K6" t="s">
        <v>31</v>
      </c>
      <c r="L6">
        <v>4059216</v>
      </c>
      <c r="M6" t="s">
        <v>32</v>
      </c>
      <c r="O6">
        <v>2000</v>
      </c>
    </row>
    <row r="7" spans="1:16">
      <c r="A7" s="1">
        <f>1000*10+H7</f>
        <v>10001</v>
      </c>
      <c r="B7" s="1">
        <v>4059191</v>
      </c>
      <c r="C7" s="3" t="s">
        <v>35</v>
      </c>
      <c r="D7" s="1">
        <v>14</v>
      </c>
      <c r="E7">
        <v>103800</v>
      </c>
      <c r="F7" t="s">
        <v>36</v>
      </c>
      <c r="G7" s="1">
        <v>9</v>
      </c>
      <c r="H7" s="1">
        <v>1</v>
      </c>
      <c r="I7">
        <v>9750</v>
      </c>
      <c r="J7">
        <v>1000</v>
      </c>
      <c r="K7" t="s">
        <v>31</v>
      </c>
      <c r="L7">
        <v>4059220</v>
      </c>
      <c r="M7" t="s">
        <v>37</v>
      </c>
      <c r="N7">
        <v>300800</v>
      </c>
      <c r="O7">
        <v>12000</v>
      </c>
      <c r="P7" s="2" t="s">
        <v>38</v>
      </c>
    </row>
    <row r="8" spans="1:16">
      <c r="A8" s="1">
        <f t="shared" ref="A7:A10" si="0">1000*10+H8</f>
        <v>10002</v>
      </c>
      <c r="B8" s="1">
        <v>4059192</v>
      </c>
      <c r="C8" s="3" t="s">
        <v>39</v>
      </c>
      <c r="D8" s="1">
        <v>14</v>
      </c>
      <c r="E8">
        <v>101700</v>
      </c>
      <c r="F8" t="s">
        <v>40</v>
      </c>
      <c r="G8" s="1">
        <v>9</v>
      </c>
      <c r="H8" s="1">
        <v>2</v>
      </c>
      <c r="I8">
        <v>9800</v>
      </c>
      <c r="J8">
        <v>2000</v>
      </c>
      <c r="K8" t="s">
        <v>31</v>
      </c>
      <c r="L8">
        <v>4059219</v>
      </c>
      <c r="M8" t="s">
        <v>41</v>
      </c>
      <c r="N8">
        <v>300800</v>
      </c>
      <c r="O8">
        <v>12000</v>
      </c>
      <c r="P8" s="2" t="s">
        <v>42</v>
      </c>
    </row>
    <row r="9" spans="1:16">
      <c r="A9" s="1">
        <f t="shared" si="0"/>
        <v>10003</v>
      </c>
      <c r="B9" s="1">
        <v>4059193</v>
      </c>
      <c r="C9" s="1" t="s">
        <v>43</v>
      </c>
      <c r="D9" s="1">
        <v>14</v>
      </c>
      <c r="E9">
        <v>101600</v>
      </c>
      <c r="F9" t="s">
        <v>44</v>
      </c>
      <c r="G9" s="1">
        <v>9</v>
      </c>
      <c r="H9" s="1">
        <v>3</v>
      </c>
      <c r="I9">
        <v>9700</v>
      </c>
      <c r="J9">
        <v>2000</v>
      </c>
      <c r="K9" t="s">
        <v>31</v>
      </c>
      <c r="L9">
        <v>4059219</v>
      </c>
      <c r="M9" t="s">
        <v>41</v>
      </c>
      <c r="N9">
        <v>300800</v>
      </c>
      <c r="O9">
        <v>12000</v>
      </c>
      <c r="P9" s="2" t="s">
        <v>45</v>
      </c>
    </row>
    <row r="10" spans="1:16">
      <c r="A10" s="1">
        <f t="shared" si="0"/>
        <v>10004</v>
      </c>
      <c r="B10" s="1">
        <v>4059194</v>
      </c>
      <c r="C10" s="1" t="s">
        <v>46</v>
      </c>
      <c r="D10" s="1">
        <v>14</v>
      </c>
      <c r="E10">
        <v>105500</v>
      </c>
      <c r="F10" t="s">
        <v>47</v>
      </c>
      <c r="G10" s="1">
        <v>9</v>
      </c>
      <c r="H10" s="1">
        <v>4</v>
      </c>
      <c r="I10">
        <v>9750</v>
      </c>
      <c r="J10">
        <v>2000</v>
      </c>
      <c r="K10" t="s">
        <v>31</v>
      </c>
      <c r="L10">
        <v>4059220</v>
      </c>
      <c r="M10" t="s">
        <v>37</v>
      </c>
      <c r="N10">
        <v>300800</v>
      </c>
      <c r="O10">
        <v>12000</v>
      </c>
      <c r="P10" s="2" t="s">
        <v>48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P8"/>
  <sheetViews>
    <sheetView workbookViewId="0">
      <selection activeCell="G18" sqref="G18"/>
    </sheetView>
  </sheetViews>
  <sheetFormatPr defaultColWidth="9" defaultRowHeight="13.5" outlineLevelRow="7"/>
  <sheetData>
    <row r="5" ht="15.75" spans="1:16">
      <c r="A5" s="1">
        <f t="shared" ref="A5:A8" si="0">1000*10+H5</f>
        <v>10001</v>
      </c>
      <c r="B5" s="1">
        <v>4059191</v>
      </c>
      <c r="C5" s="1" t="s">
        <v>49</v>
      </c>
      <c r="D5" s="1">
        <v>14</v>
      </c>
      <c r="E5">
        <v>102000</v>
      </c>
      <c r="F5" t="s">
        <v>50</v>
      </c>
      <c r="G5" s="1">
        <v>9</v>
      </c>
      <c r="H5" s="1">
        <v>1</v>
      </c>
      <c r="I5">
        <v>9750</v>
      </c>
      <c r="J5">
        <v>1000</v>
      </c>
      <c r="K5" t="s">
        <v>51</v>
      </c>
      <c r="L5">
        <v>4059217</v>
      </c>
      <c r="M5" t="s">
        <v>52</v>
      </c>
      <c r="N5" t="s">
        <v>53</v>
      </c>
      <c r="P5" s="2" t="s">
        <v>54</v>
      </c>
    </row>
    <row r="6" ht="15.75" spans="1:16">
      <c r="A6" s="1">
        <f t="shared" si="0"/>
        <v>10002</v>
      </c>
      <c r="B6" s="1">
        <v>4059192</v>
      </c>
      <c r="C6" s="1" t="s">
        <v>55</v>
      </c>
      <c r="D6" s="1">
        <v>14</v>
      </c>
      <c r="E6">
        <v>102100</v>
      </c>
      <c r="F6" t="s">
        <v>56</v>
      </c>
      <c r="G6" s="1">
        <v>9</v>
      </c>
      <c r="H6" s="1">
        <v>2</v>
      </c>
      <c r="I6">
        <v>9800</v>
      </c>
      <c r="J6">
        <v>2000</v>
      </c>
      <c r="K6" t="s">
        <v>51</v>
      </c>
      <c r="L6">
        <v>4059218</v>
      </c>
      <c r="M6" t="s">
        <v>57</v>
      </c>
      <c r="N6" t="s">
        <v>53</v>
      </c>
      <c r="P6" s="2" t="s">
        <v>58</v>
      </c>
    </row>
    <row r="7" ht="15.75" spans="1:16">
      <c r="A7" s="1">
        <f t="shared" si="0"/>
        <v>10003</v>
      </c>
      <c r="B7" s="1">
        <v>4059193</v>
      </c>
      <c r="C7" s="1" t="s">
        <v>59</v>
      </c>
      <c r="D7" s="1">
        <v>14</v>
      </c>
      <c r="E7">
        <v>101500</v>
      </c>
      <c r="F7" t="s">
        <v>60</v>
      </c>
      <c r="G7" s="1">
        <v>9</v>
      </c>
      <c r="H7" s="1">
        <v>3</v>
      </c>
      <c r="I7">
        <v>9700</v>
      </c>
      <c r="J7">
        <v>2000</v>
      </c>
      <c r="K7" t="s">
        <v>51</v>
      </c>
      <c r="L7">
        <v>4059219</v>
      </c>
      <c r="M7" t="s">
        <v>41</v>
      </c>
      <c r="N7" t="s">
        <v>53</v>
      </c>
      <c r="P7" s="2" t="s">
        <v>61</v>
      </c>
    </row>
    <row r="8" ht="15.75" spans="1:16">
      <c r="A8" s="1">
        <f t="shared" si="0"/>
        <v>10004</v>
      </c>
      <c r="B8" s="1">
        <v>4059194</v>
      </c>
      <c r="C8" s="1" t="s">
        <v>62</v>
      </c>
      <c r="D8" s="1">
        <v>14</v>
      </c>
      <c r="E8">
        <v>103100</v>
      </c>
      <c r="F8" t="s">
        <v>63</v>
      </c>
      <c r="G8" s="1">
        <v>9</v>
      </c>
      <c r="H8" s="1">
        <v>4</v>
      </c>
      <c r="I8">
        <v>9750</v>
      </c>
      <c r="J8">
        <v>2000</v>
      </c>
      <c r="K8" t="s">
        <v>51</v>
      </c>
      <c r="L8">
        <v>4059220</v>
      </c>
      <c r="M8" t="s">
        <v>37</v>
      </c>
      <c r="N8" t="s">
        <v>53</v>
      </c>
      <c r="P8" s="2" t="s">
        <v>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SeasonStart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2026-07-08T02:17:00Z</dcterms:created>
  <dcterms:modified xsi:type="dcterms:W3CDTF">2026-08-03T01:28:51Z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A991B87EDE1540D28F7FCDB24DB9DC2A_11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