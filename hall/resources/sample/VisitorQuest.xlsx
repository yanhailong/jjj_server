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</t>
        </r>
      </text>
    </comment>
  </commentList>
</comments>
</file>

<file path=xl/sharedStrings.xml><?xml version="1.0" encoding="utf-8"?>
<sst xmlns="http://schemas.openxmlformats.org/spreadsheetml/2006/main" count="153" uniqueCount="61">
  <si>
    <t>ID</t>
  </si>
  <si>
    <t>游客品质</t>
  </si>
  <si>
    <t>游客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</si>
  <si>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</si>
  <si>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</si>
  <si>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</si>
  <si>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</si>
  <si>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</si>
  <si>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</si>
  <si>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</si>
  <si>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</si>
  <si>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</si>
  <si>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</si>
  <si>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</si>
  <si>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</si>
  <si>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map&lt;int{_}int&gt;{|}</t>
  </si>
  <si>
    <t>list&lt;int&gt;{_}</t>
  </si>
  <si>
    <t>id</t>
  </si>
  <si>
    <t>Quality</t>
  </si>
  <si>
    <t>Tourist</t>
  </si>
  <si>
    <t>BaseServiceCapacity</t>
  </si>
  <si>
    <t>ServiceCapacity</t>
  </si>
  <si>
    <t>awareness</t>
  </si>
  <si>
    <t>BaseWeight</t>
  </si>
  <si>
    <t>InteractionWeight</t>
  </si>
  <si>
    <t>TargetArea</t>
  </si>
  <si>
    <t>普通路人1</t>
  </si>
  <si>
    <t>随机</t>
  </si>
  <si>
    <t>1101_5000|1102_4000|1103_0|1104_0|1105_0|1106_0|1107_0|1108_0|1109_0|1110_0|1111_0|1201_0|1202_0|1301_0|1302_0|1303_0|1304_0</t>
  </si>
  <si>
    <t>1401_1402_1403_1404_1405</t>
  </si>
  <si>
    <t>有奖励去建筑交互权重字段，无奖励去指定区域字段</t>
  </si>
  <si>
    <t>普通路人2</t>
  </si>
  <si>
    <t>普通路人3</t>
  </si>
  <si>
    <t>固定</t>
  </si>
  <si>
    <t>精英白领1</t>
  </si>
  <si>
    <t>精英白领2</t>
  </si>
  <si>
    <t>精英白领3</t>
  </si>
  <si>
    <t>社交名流1</t>
  </si>
  <si>
    <t>社交名流2</t>
  </si>
  <si>
    <t>社交名流3</t>
  </si>
  <si>
    <t>富豪商人1</t>
  </si>
  <si>
    <t>富豪商人2</t>
  </si>
  <si>
    <t>富豪商人3</t>
  </si>
  <si>
    <t>达官显贵1</t>
  </si>
  <si>
    <t>达官显贵2</t>
  </si>
  <si>
    <t>达官显贵3</t>
  </si>
  <si>
    <t>普通路人4</t>
  </si>
  <si>
    <t>普通路人5</t>
  </si>
  <si>
    <t>普通路人6</t>
  </si>
  <si>
    <t>精英白领4</t>
  </si>
  <si>
    <t>精英白领5</t>
  </si>
  <si>
    <t>精英白领6</t>
  </si>
  <si>
    <t>社交名流4</t>
  </si>
  <si>
    <t>社交名流5</t>
  </si>
  <si>
    <t>社交名流6</t>
  </si>
  <si>
    <t>富豪商人4</t>
  </si>
  <si>
    <t>富豪商人5</t>
  </si>
  <si>
    <t>富豪商人6</t>
  </si>
  <si>
    <t>达官显贵4</t>
  </si>
  <si>
    <t>达官显贵5</t>
  </si>
  <si>
    <t>达官显贵6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</si>
</sst>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1"/>
      <name val="宋体"/>
      <charset val="134"/>
      <scheme val="minor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topLeftCell="B1" workbookViewId="0">
      <selection activeCell="L6" sqref="L6"/>
    </sheetView>
  </sheetViews>
  <sheetFormatPr defaultColWidth="9" defaultRowHeight="13.5"/>
  <cols>
    <col min="1" max="1" width="10.5" customWidth="1"/>
    <col min="2" max="2" width="11.625" customWidth="1"/>
    <col min="3" max="4" width="11.75" customWidth="1"/>
    <col min="5" max="5" width="18.625" customWidth="1"/>
    <col min="6" max="7" width="15.75" customWidth="1"/>
    <col min="8" max="9" width="18.625" customWidth="1"/>
    <col min="10" max="10" width="14.75" customWidth="1"/>
    <col min="11" max="11" width="10.75" customWidth="1"/>
    <col min="12" max="13" width="18.625" customWidth="1"/>
    <col min="14" max="14" width="14.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ht="15.75" spans="1:19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6" t="s">
        <v>12</v>
      </c>
      <c r="N1" s="7" t="s">
        <v>13</v>
      </c>
      <c r="O1">
        <v>100</v>
      </c>
      <c r="P1" s="8"/>
      <c r="Q1" s="8"/>
      <c r="R1" s="9"/>
      <c r="S1" s="9"/>
    </row>
    <row r="2" ht="21" customHeight="1" spans="1:19">
      <c r="A2" s="1" t="s">
        <v>14</v>
      </c>
      <c r="B2" s="1" t="s">
        <v>14</v>
      </c>
      <c r="C2" s="1" t="s">
        <v>14</v>
      </c>
      <c r="D2" s="3"/>
      <c r="E2" s="1" t="s">
        <v>14</v>
      </c>
      <c r="F2" s="1" t="s">
        <v>14</v>
      </c>
      <c r="G2" s="2"/>
      <c r="H2" s="2" t="s">
        <v>14</v>
      </c>
      <c r="I2" s="2" t="s">
        <v>14</v>
      </c>
      <c r="J2" s="2"/>
      <c r="K2" s="2"/>
      <c r="L2" s="2" t="s">
        <v>15</v>
      </c>
      <c r="M2" s="2" t="s">
        <v>16</v>
      </c>
      <c r="N2" s="10"/>
    </row>
    <row r="3" ht="15.75" spans="1:19">
      <c r="A3" s="1" t="s">
        <v>17</v>
      </c>
      <c r="B3" s="2" t="s">
        <v>18</v>
      </c>
      <c r="C3" s="3" t="s">
        <v>19</v>
      </c>
      <c r="D3" s="3"/>
      <c r="E3" s="3" t="s">
        <v>20</v>
      </c>
      <c r="F3" s="2" t="s">
        <v>21</v>
      </c>
      <c r="G3" s="2"/>
      <c r="H3" s="2" t="s">
        <v>22</v>
      </c>
      <c r="I3" s="1" t="s">
        <v>23</v>
      </c>
      <c r="J3" s="1"/>
      <c r="K3" s="1"/>
      <c r="L3" s="2" t="s">
        <v>24</v>
      </c>
      <c r="M3" s="2" t="s">
        <v>25</v>
      </c>
      <c r="N3" s="10"/>
    </row>
    <row r="4" ht="15.75" spans="1:19">
      <c r="A4" s="1"/>
      <c r="B4" s="2"/>
      <c r="C4" s="3"/>
      <c r="D4" s="3"/>
      <c r="E4" s="3"/>
      <c r="F4" s="2"/>
      <c r="G4" s="2"/>
      <c r="H4" s="2"/>
      <c r="I4" s="2"/>
      <c r="J4" s="2"/>
      <c r="K4" s="2"/>
      <c r="L4" s="2"/>
      <c r="M4" s="2"/>
      <c r="N4" s="10"/>
    </row>
    <row r="5" ht="16" customHeight="1" spans="1:19">
      <c r="A5" s="1">
        <f>B5*1000+C5</f>
        <v>1001</v>
      </c>
      <c r="B5" s="1">
        <v>1</v>
      </c>
      <c r="C5" s="3">
        <v>1</v>
      </c>
      <c r="D5" s="3" t="s">
        <v>26</v>
      </c>
      <c r="E5" s="3">
        <v>20</v>
      </c>
      <c r="F5" s="1">
        <v>100</v>
      </c>
      <c r="G5" s="1" t="s">
        <v>27</v>
      </c>
      <c r="H5" s="1">
        <v>0</v>
      </c>
      <c r="I5" s="1">
        <v>500</v>
      </c>
      <c r="J5" s="1">
        <f>IF(H5=0,I5,($O$1*H5/100+1)*I5)</f>
        <v>500</v>
      </c>
      <c r="K5" s="11">
        <f>J5/SUM($J$5:$J$34)</f>
        <v>0.00330425588157547</v>
      </c>
      <c r="L5" s="12" t="s">
        <v>28</v>
      </c>
      <c r="M5" s="12" t="s">
        <v>29</v>
      </c>
      <c r="N5" s="12" t="s">
        <v>30</v>
      </c>
    </row>
    <row r="6" ht="18" customHeight="1" spans="1:19">
      <c r="A6" s="1">
        <f t="shared" ref="A6:A34" si="0">B6*1000+C6</f>
        <v>1002</v>
      </c>
      <c r="B6" s="1">
        <v>1</v>
      </c>
      <c r="C6" s="3">
        <v>2</v>
      </c>
      <c r="D6" s="3" t="s">
        <v>31</v>
      </c>
      <c r="E6" s="3">
        <v>20</v>
      </c>
      <c r="F6" s="1">
        <v>100</v>
      </c>
      <c r="G6" s="1" t="s">
        <v>27</v>
      </c>
      <c r="H6" s="1">
        <v>0</v>
      </c>
      <c r="I6" s="1">
        <v>500</v>
      </c>
      <c r="J6" s="1">
        <f t="shared" ref="J6:J34" si="1">IF(H6=0,I6,($O$1*H6/100+1)*I6)</f>
        <v>500</v>
      </c>
      <c r="K6" s="11">
        <f t="shared" ref="K6:K34" si="2">J6/SUM($J$5:$J$34)</f>
        <v>0.00330425588157547</v>
      </c>
      <c r="L6" s="12" t="s">
        <v>28</v>
      </c>
      <c r="M6" s="12" t="s">
        <v>29</v>
      </c>
      <c r="N6" s="12"/>
    </row>
    <row r="7" spans="1:19">
      <c r="A7" s="1">
        <f t="shared" si="0"/>
        <v>1003</v>
      </c>
      <c r="B7" s="1">
        <v>1</v>
      </c>
      <c r="C7" s="3">
        <v>3</v>
      </c>
      <c r="D7" s="3" t="s">
        <v>32</v>
      </c>
      <c r="E7" s="3">
        <v>20</v>
      </c>
      <c r="F7" s="1">
        <v>100</v>
      </c>
      <c r="G7" s="1" t="s">
        <v>33</v>
      </c>
      <c r="H7" s="1">
        <v>0</v>
      </c>
      <c r="I7" s="1">
        <v>500</v>
      </c>
      <c r="J7" s="1">
        <f t="shared" si="1"/>
        <v>500</v>
      </c>
      <c r="K7" s="11">
        <f t="shared" si="2"/>
        <v>0.00330425588157547</v>
      </c>
      <c r="L7" s="12" t="s">
        <v>28</v>
      </c>
      <c r="M7" s="12" t="s">
        <v>29</v>
      </c>
      <c r="N7" s="12"/>
    </row>
    <row r="8" spans="1:19">
      <c r="A8" s="1">
        <f t="shared" si="0"/>
        <v>2001</v>
      </c>
      <c r="B8" s="1">
        <v>2</v>
      </c>
      <c r="C8" s="3">
        <v>1</v>
      </c>
      <c r="D8" s="1" t="s">
        <v>34</v>
      </c>
      <c r="E8" s="3">
        <v>20</v>
      </c>
      <c r="F8" s="1">
        <v>120</v>
      </c>
      <c r="G8" s="1" t="s">
        <v>27</v>
      </c>
      <c r="H8" s="1">
        <v>0</v>
      </c>
      <c r="I8" s="1">
        <v>300</v>
      </c>
      <c r="J8" s="1">
        <f t="shared" si="1"/>
        <v>300</v>
      </c>
      <c r="K8" s="11">
        <f t="shared" si="2"/>
        <v>0.00198255352894528</v>
      </c>
      <c r="L8" s="12" t="s">
        <v>28</v>
      </c>
      <c r="M8" s="12" t="s">
        <v>29</v>
      </c>
      <c r="N8" s="12"/>
    </row>
    <row r="9" spans="1:19">
      <c r="A9" s="1">
        <f t="shared" si="0"/>
        <v>2002</v>
      </c>
      <c r="B9" s="1">
        <v>2</v>
      </c>
      <c r="C9" s="3">
        <v>2</v>
      </c>
      <c r="D9" s="1" t="s">
        <v>35</v>
      </c>
      <c r="E9" s="3">
        <v>20</v>
      </c>
      <c r="F9" s="1">
        <v>120</v>
      </c>
      <c r="G9" s="1" t="s">
        <v>27</v>
      </c>
      <c r="H9" s="1">
        <v>0</v>
      </c>
      <c r="I9" s="1">
        <v>300</v>
      </c>
      <c r="J9" s="1">
        <f t="shared" si="1"/>
        <v>300</v>
      </c>
      <c r="K9" s="11">
        <f t="shared" si="2"/>
        <v>0.00198255352894528</v>
      </c>
      <c r="L9" s="12" t="s">
        <v>28</v>
      </c>
      <c r="M9" s="12" t="s">
        <v>29</v>
      </c>
      <c r="N9" s="12"/>
    </row>
    <row r="10" spans="1:19">
      <c r="A10" s="1">
        <f t="shared" si="0"/>
        <v>2003</v>
      </c>
      <c r="B10" s="1">
        <v>2</v>
      </c>
      <c r="C10" s="3">
        <v>3</v>
      </c>
      <c r="D10" s="1" t="s">
        <v>36</v>
      </c>
      <c r="E10" s="3">
        <v>20</v>
      </c>
      <c r="F10" s="1">
        <v>120</v>
      </c>
      <c r="G10" s="1" t="s">
        <v>33</v>
      </c>
      <c r="H10" s="1">
        <v>0</v>
      </c>
      <c r="I10" s="1">
        <v>300</v>
      </c>
      <c r="J10" s="1">
        <f t="shared" si="1"/>
        <v>300</v>
      </c>
      <c r="K10" s="11">
        <f t="shared" si="2"/>
        <v>0.00198255352894528</v>
      </c>
      <c r="L10" s="12" t="s">
        <v>28</v>
      </c>
      <c r="M10" s="12" t="s">
        <v>29</v>
      </c>
      <c r="N10" s="12"/>
    </row>
    <row r="11" spans="1:19">
      <c r="A11" s="1">
        <f t="shared" si="0"/>
        <v>3001</v>
      </c>
      <c r="B11" s="1">
        <v>3</v>
      </c>
      <c r="C11" s="3">
        <v>1</v>
      </c>
      <c r="D11" s="1" t="s">
        <v>37</v>
      </c>
      <c r="E11" s="3">
        <v>20</v>
      </c>
      <c r="F11" s="1">
        <v>150</v>
      </c>
      <c r="G11" s="1" t="s">
        <v>27</v>
      </c>
      <c r="H11" s="1">
        <v>0</v>
      </c>
      <c r="I11" s="1">
        <v>100</v>
      </c>
      <c r="J11" s="1">
        <f t="shared" si="1"/>
        <v>100</v>
      </c>
      <c r="K11" s="11">
        <f t="shared" si="2"/>
        <v>0.000660851176315094</v>
      </c>
      <c r="L11" s="12" t="s">
        <v>28</v>
      </c>
      <c r="M11" s="12" t="s">
        <v>29</v>
      </c>
      <c r="N11" s="12"/>
    </row>
    <row r="12" spans="1:19">
      <c r="A12" s="1">
        <f t="shared" si="0"/>
        <v>3002</v>
      </c>
      <c r="B12" s="1">
        <v>3</v>
      </c>
      <c r="C12" s="3">
        <v>2</v>
      </c>
      <c r="D12" s="1" t="s">
        <v>38</v>
      </c>
      <c r="E12" s="3">
        <v>20</v>
      </c>
      <c r="F12" s="1">
        <v>150</v>
      </c>
      <c r="G12" s="1" t="s">
        <v>27</v>
      </c>
      <c r="H12" s="1">
        <v>0</v>
      </c>
      <c r="I12" s="1">
        <v>10</v>
      </c>
      <c r="J12" s="1">
        <f t="shared" si="1"/>
        <v>10</v>
      </c>
      <c r="K12" s="11">
        <f t="shared" si="2"/>
        <v>6.60851176315094e-5</v>
      </c>
      <c r="L12" s="12" t="s">
        <v>28</v>
      </c>
      <c r="M12" s="12" t="s">
        <v>29</v>
      </c>
      <c r="N12" s="12"/>
    </row>
    <row r="13" spans="1:19">
      <c r="A13" s="1">
        <f t="shared" si="0"/>
        <v>3003</v>
      </c>
      <c r="B13" s="1">
        <v>3</v>
      </c>
      <c r="C13" s="3">
        <v>3</v>
      </c>
      <c r="D13" s="1" t="s">
        <v>39</v>
      </c>
      <c r="E13" s="3">
        <v>20</v>
      </c>
      <c r="F13" s="1">
        <v>150</v>
      </c>
      <c r="G13" s="1" t="s">
        <v>33</v>
      </c>
      <c r="H13" s="1">
        <v>0</v>
      </c>
      <c r="I13" s="1">
        <v>100</v>
      </c>
      <c r="J13" s="1">
        <f t="shared" si="1"/>
        <v>100</v>
      </c>
      <c r="K13" s="11">
        <f t="shared" si="2"/>
        <v>0.000660851176315094</v>
      </c>
      <c r="L13" s="12" t="s">
        <v>28</v>
      </c>
      <c r="M13" s="12" t="s">
        <v>29</v>
      </c>
      <c r="N13" s="12"/>
    </row>
    <row r="14" spans="1:19">
      <c r="A14" s="1">
        <f t="shared" si="0"/>
        <v>4001</v>
      </c>
      <c r="B14" s="1">
        <v>4</v>
      </c>
      <c r="C14" s="3">
        <v>1</v>
      </c>
      <c r="D14" s="1" t="s">
        <v>40</v>
      </c>
      <c r="E14" s="3">
        <v>20</v>
      </c>
      <c r="F14" s="1">
        <v>180</v>
      </c>
      <c r="G14" s="1" t="s">
        <v>27</v>
      </c>
      <c r="H14" s="1">
        <v>0</v>
      </c>
      <c r="I14" s="1">
        <v>50</v>
      </c>
      <c r="J14" s="1">
        <f t="shared" si="1"/>
        <v>50</v>
      </c>
      <c r="K14" s="11">
        <f t="shared" si="2"/>
        <v>0.000330425588157547</v>
      </c>
      <c r="L14" s="12" t="s">
        <v>28</v>
      </c>
      <c r="M14" s="12" t="s">
        <v>29</v>
      </c>
      <c r="N14" s="12"/>
    </row>
    <row r="15" spans="1:19">
      <c r="A15" s="1">
        <f t="shared" si="0"/>
        <v>4002</v>
      </c>
      <c r="B15" s="1">
        <v>4</v>
      </c>
      <c r="C15" s="3">
        <v>2</v>
      </c>
      <c r="D15" s="1" t="s">
        <v>41</v>
      </c>
      <c r="E15" s="3">
        <v>20</v>
      </c>
      <c r="F15" s="1">
        <v>180</v>
      </c>
      <c r="G15" s="1" t="s">
        <v>27</v>
      </c>
      <c r="H15" s="1">
        <v>0</v>
      </c>
      <c r="I15" s="1">
        <v>50</v>
      </c>
      <c r="J15" s="1">
        <f t="shared" si="1"/>
        <v>50</v>
      </c>
      <c r="K15" s="11">
        <f t="shared" si="2"/>
        <v>0.000330425588157547</v>
      </c>
      <c r="L15" s="12" t="s">
        <v>28</v>
      </c>
      <c r="M15" s="12" t="s">
        <v>29</v>
      </c>
      <c r="N15" s="12"/>
    </row>
    <row r="16" spans="1:19">
      <c r="A16" s="1">
        <f t="shared" si="0"/>
        <v>4003</v>
      </c>
      <c r="B16" s="1">
        <v>4</v>
      </c>
      <c r="C16" s="3">
        <v>3</v>
      </c>
      <c r="D16" s="1" t="s">
        <v>42</v>
      </c>
      <c r="E16" s="3">
        <v>20</v>
      </c>
      <c r="F16" s="1">
        <v>180</v>
      </c>
      <c r="G16" s="1" t="s">
        <v>33</v>
      </c>
      <c r="H16" s="1">
        <v>0</v>
      </c>
      <c r="I16" s="1">
        <v>50</v>
      </c>
      <c r="J16" s="1">
        <f t="shared" si="1"/>
        <v>50</v>
      </c>
      <c r="K16" s="11">
        <f t="shared" si="2"/>
        <v>0.000330425588157547</v>
      </c>
      <c r="L16" s="12" t="s">
        <v>28</v>
      </c>
      <c r="M16" s="12" t="s">
        <v>29</v>
      </c>
      <c r="N16" s="12"/>
    </row>
    <row r="17" spans="1:14">
      <c r="A17" s="1">
        <f t="shared" si="0"/>
        <v>5001</v>
      </c>
      <c r="B17" s="1">
        <v>5</v>
      </c>
      <c r="C17" s="3">
        <v>1</v>
      </c>
      <c r="D17" s="1" t="s">
        <v>43</v>
      </c>
      <c r="E17" s="3">
        <v>20</v>
      </c>
      <c r="F17" s="1">
        <v>200</v>
      </c>
      <c r="G17" s="1" t="s">
        <v>27</v>
      </c>
      <c r="H17" s="1">
        <v>0</v>
      </c>
      <c r="I17" s="1">
        <v>50</v>
      </c>
      <c r="J17" s="1">
        <f t="shared" si="1"/>
        <v>50</v>
      </c>
      <c r="K17" s="11">
        <f t="shared" si="2"/>
        <v>0.000330425588157547</v>
      </c>
      <c r="L17" s="12" t="s">
        <v>28</v>
      </c>
      <c r="M17" s="12" t="s">
        <v>29</v>
      </c>
      <c r="N17" s="12"/>
    </row>
    <row r="18" spans="1:14">
      <c r="A18" s="1">
        <f t="shared" si="0"/>
        <v>5002</v>
      </c>
      <c r="B18" s="1">
        <v>5</v>
      </c>
      <c r="C18" s="3">
        <v>2</v>
      </c>
      <c r="D18" s="1" t="s">
        <v>44</v>
      </c>
      <c r="E18" s="3">
        <v>20</v>
      </c>
      <c r="F18" s="1">
        <v>200</v>
      </c>
      <c r="G18" s="1" t="s">
        <v>27</v>
      </c>
      <c r="H18" s="1">
        <v>0</v>
      </c>
      <c r="I18" s="1">
        <v>50</v>
      </c>
      <c r="J18" s="1">
        <f t="shared" si="1"/>
        <v>50</v>
      </c>
      <c r="K18" s="11">
        <f t="shared" si="2"/>
        <v>0.000330425588157547</v>
      </c>
      <c r="L18" s="12" t="s">
        <v>28</v>
      </c>
      <c r="M18" s="12" t="s">
        <v>29</v>
      </c>
      <c r="N18" s="12"/>
    </row>
    <row r="19" spans="1:14">
      <c r="A19" s="1">
        <f t="shared" si="0"/>
        <v>5003</v>
      </c>
      <c r="B19" s="1">
        <v>5</v>
      </c>
      <c r="C19" s="3">
        <v>3</v>
      </c>
      <c r="D19" s="1" t="s">
        <v>45</v>
      </c>
      <c r="E19" s="3">
        <v>20</v>
      </c>
      <c r="F19" s="1">
        <v>200</v>
      </c>
      <c r="G19" s="1" t="s">
        <v>33</v>
      </c>
      <c r="H19" s="1">
        <v>0</v>
      </c>
      <c r="I19" s="1">
        <v>50</v>
      </c>
      <c r="J19" s="1">
        <f t="shared" si="1"/>
        <v>50</v>
      </c>
      <c r="K19" s="11">
        <f t="shared" si="2"/>
        <v>0.000330425588157547</v>
      </c>
      <c r="L19" s="12" t="s">
        <v>28</v>
      </c>
      <c r="M19" s="12" t="s">
        <v>29</v>
      </c>
      <c r="N19" s="12"/>
    </row>
    <row r="20" spans="1:14">
      <c r="A20" s="1">
        <f t="shared" si="0"/>
        <v>1004</v>
      </c>
      <c r="B20" s="1">
        <v>1</v>
      </c>
      <c r="C20" s="3">
        <v>4</v>
      </c>
      <c r="D20" s="3" t="s">
        <v>46</v>
      </c>
      <c r="E20" s="3">
        <v>20</v>
      </c>
      <c r="F20" s="1">
        <v>100</v>
      </c>
      <c r="G20" s="1" t="s">
        <v>27</v>
      </c>
      <c r="H20" s="1">
        <v>50</v>
      </c>
      <c r="I20" s="1">
        <v>500</v>
      </c>
      <c r="J20" s="1">
        <f t="shared" si="1"/>
        <v>25500</v>
      </c>
      <c r="K20" s="11">
        <f t="shared" si="2"/>
        <v>0.168517049960349</v>
      </c>
      <c r="L20" s="12" t="s">
        <v>28</v>
      </c>
      <c r="M20" s="12" t="s">
        <v>29</v>
      </c>
      <c r="N20" s="12"/>
    </row>
    <row r="21" spans="1:14">
      <c r="A21" s="1">
        <f t="shared" si="0"/>
        <v>1005</v>
      </c>
      <c r="B21" s="1">
        <v>1</v>
      </c>
      <c r="C21" s="3">
        <v>5</v>
      </c>
      <c r="D21" s="3" t="s">
        <v>47</v>
      </c>
      <c r="E21" s="3">
        <v>20</v>
      </c>
      <c r="F21" s="1">
        <v>100</v>
      </c>
      <c r="G21" s="1" t="s">
        <v>27</v>
      </c>
      <c r="H21" s="1">
        <v>50</v>
      </c>
      <c r="I21" s="1">
        <v>500</v>
      </c>
      <c r="J21" s="1">
        <f t="shared" si="1"/>
        <v>25500</v>
      </c>
      <c r="K21" s="11">
        <f t="shared" si="2"/>
        <v>0.168517049960349</v>
      </c>
      <c r="L21" s="12" t="s">
        <v>28</v>
      </c>
      <c r="M21" s="12" t="s">
        <v>29</v>
      </c>
      <c r="N21" s="12"/>
    </row>
    <row r="22" spans="1:14">
      <c r="A22" s="1">
        <f t="shared" si="0"/>
        <v>1006</v>
      </c>
      <c r="B22" s="1">
        <v>1</v>
      </c>
      <c r="C22" s="3">
        <v>6</v>
      </c>
      <c r="D22" s="3" t="s">
        <v>48</v>
      </c>
      <c r="E22" s="3">
        <v>20</v>
      </c>
      <c r="F22" s="1">
        <v>100</v>
      </c>
      <c r="G22" s="1" t="s">
        <v>33</v>
      </c>
      <c r="H22" s="1">
        <v>50</v>
      </c>
      <c r="I22" s="1">
        <v>500</v>
      </c>
      <c r="J22" s="1">
        <f t="shared" si="1"/>
        <v>25500</v>
      </c>
      <c r="K22" s="11">
        <f t="shared" si="2"/>
        <v>0.168517049960349</v>
      </c>
      <c r="L22" s="12" t="s">
        <v>28</v>
      </c>
      <c r="M22" s="12" t="s">
        <v>29</v>
      </c>
      <c r="N22" s="12"/>
    </row>
    <row r="23" spans="1:14">
      <c r="A23" s="1">
        <f t="shared" si="0"/>
        <v>2004</v>
      </c>
      <c r="B23" s="1">
        <v>2</v>
      </c>
      <c r="C23" s="3">
        <v>4</v>
      </c>
      <c r="D23" s="1" t="s">
        <v>49</v>
      </c>
      <c r="E23" s="3">
        <v>20</v>
      </c>
      <c r="F23" s="1">
        <v>120</v>
      </c>
      <c r="G23" s="1" t="s">
        <v>27</v>
      </c>
      <c r="H23" s="1">
        <v>50</v>
      </c>
      <c r="I23" s="1">
        <v>300</v>
      </c>
      <c r="J23" s="1">
        <f t="shared" si="1"/>
        <v>15300</v>
      </c>
      <c r="K23" s="11">
        <f t="shared" si="2"/>
        <v>0.101110229976209</v>
      </c>
      <c r="L23" s="12" t="s">
        <v>28</v>
      </c>
      <c r="M23" s="12" t="s">
        <v>29</v>
      </c>
      <c r="N23" s="12"/>
    </row>
    <row r="24" spans="1:14">
      <c r="A24" s="1">
        <f t="shared" si="0"/>
        <v>2005</v>
      </c>
      <c r="B24" s="1">
        <v>2</v>
      </c>
      <c r="C24" s="3">
        <v>5</v>
      </c>
      <c r="D24" s="1" t="s">
        <v>50</v>
      </c>
      <c r="E24" s="3">
        <v>20</v>
      </c>
      <c r="F24" s="1">
        <v>120</v>
      </c>
      <c r="G24" s="1" t="s">
        <v>27</v>
      </c>
      <c r="H24" s="1">
        <v>50</v>
      </c>
      <c r="I24" s="1">
        <v>300</v>
      </c>
      <c r="J24" s="1">
        <f t="shared" si="1"/>
        <v>15300</v>
      </c>
      <c r="K24" s="11">
        <f t="shared" si="2"/>
        <v>0.101110229976209</v>
      </c>
      <c r="L24" s="12" t="s">
        <v>28</v>
      </c>
      <c r="M24" s="12" t="s">
        <v>29</v>
      </c>
      <c r="N24" s="12"/>
    </row>
    <row r="25" spans="1:14">
      <c r="A25" s="1">
        <f t="shared" si="0"/>
        <v>2006</v>
      </c>
      <c r="B25" s="1">
        <v>2</v>
      </c>
      <c r="C25" s="3">
        <v>6</v>
      </c>
      <c r="D25" s="1" t="s">
        <v>51</v>
      </c>
      <c r="E25" s="3">
        <v>20</v>
      </c>
      <c r="F25" s="1">
        <v>120</v>
      </c>
      <c r="G25" s="1" t="s">
        <v>33</v>
      </c>
      <c r="H25" s="1">
        <v>50</v>
      </c>
      <c r="I25" s="1">
        <v>300</v>
      </c>
      <c r="J25" s="1">
        <f t="shared" si="1"/>
        <v>15300</v>
      </c>
      <c r="K25" s="11">
        <f t="shared" si="2"/>
        <v>0.101110229976209</v>
      </c>
      <c r="L25" s="12" t="s">
        <v>28</v>
      </c>
      <c r="M25" s="12" t="s">
        <v>29</v>
      </c>
      <c r="N25" s="12"/>
    </row>
    <row r="26" spans="1:14">
      <c r="A26" s="1">
        <f t="shared" si="0"/>
        <v>3004</v>
      </c>
      <c r="B26" s="1">
        <v>3</v>
      </c>
      <c r="C26" s="3">
        <v>4</v>
      </c>
      <c r="D26" s="1" t="s">
        <v>52</v>
      </c>
      <c r="E26" s="3">
        <v>20</v>
      </c>
      <c r="F26" s="1">
        <v>150</v>
      </c>
      <c r="G26" s="1" t="s">
        <v>27</v>
      </c>
      <c r="H26" s="1">
        <v>50</v>
      </c>
      <c r="I26" s="1">
        <v>100</v>
      </c>
      <c r="J26" s="1">
        <f t="shared" si="1"/>
        <v>5100</v>
      </c>
      <c r="K26" s="11">
        <f t="shared" si="2"/>
        <v>0.0337034099920698</v>
      </c>
      <c r="L26" s="12" t="s">
        <v>28</v>
      </c>
      <c r="M26" s="12" t="s">
        <v>29</v>
      </c>
      <c r="N26" s="12"/>
    </row>
    <row r="27" spans="1:14">
      <c r="A27" s="1">
        <f t="shared" si="0"/>
        <v>3005</v>
      </c>
      <c r="B27" s="1">
        <v>3</v>
      </c>
      <c r="C27" s="3">
        <v>5</v>
      </c>
      <c r="D27" s="1" t="s">
        <v>53</v>
      </c>
      <c r="E27" s="3">
        <v>20</v>
      </c>
      <c r="F27" s="1">
        <v>150</v>
      </c>
      <c r="G27" s="1" t="s">
        <v>27</v>
      </c>
      <c r="H27" s="1">
        <v>50</v>
      </c>
      <c r="I27" s="1">
        <v>10</v>
      </c>
      <c r="J27" s="1">
        <f t="shared" si="1"/>
        <v>510</v>
      </c>
      <c r="K27" s="11">
        <f t="shared" si="2"/>
        <v>0.00337034099920698</v>
      </c>
      <c r="L27" s="12" t="s">
        <v>28</v>
      </c>
      <c r="M27" s="12" t="s">
        <v>29</v>
      </c>
      <c r="N27" s="12"/>
    </row>
    <row r="28" spans="1:14">
      <c r="A28" s="1">
        <f t="shared" si="0"/>
        <v>3006</v>
      </c>
      <c r="B28" s="1">
        <v>3</v>
      </c>
      <c r="C28" s="3">
        <v>6</v>
      </c>
      <c r="D28" s="1" t="s">
        <v>54</v>
      </c>
      <c r="E28" s="3">
        <v>20</v>
      </c>
      <c r="F28" s="1">
        <v>150</v>
      </c>
      <c r="G28" s="1" t="s">
        <v>33</v>
      </c>
      <c r="H28" s="1">
        <v>50</v>
      </c>
      <c r="I28" s="1">
        <v>100</v>
      </c>
      <c r="J28" s="1">
        <f t="shared" si="1"/>
        <v>5100</v>
      </c>
      <c r="K28" s="11">
        <f t="shared" si="2"/>
        <v>0.0337034099920698</v>
      </c>
      <c r="L28" s="12" t="s">
        <v>28</v>
      </c>
      <c r="M28" s="12" t="s">
        <v>29</v>
      </c>
      <c r="N28" s="12"/>
    </row>
    <row r="29" spans="1:14">
      <c r="A29" s="1">
        <f t="shared" si="0"/>
        <v>4004</v>
      </c>
      <c r="B29" s="1">
        <v>4</v>
      </c>
      <c r="C29" s="3">
        <v>4</v>
      </c>
      <c r="D29" s="1" t="s">
        <v>55</v>
      </c>
      <c r="E29" s="3">
        <v>20</v>
      </c>
      <c r="F29" s="1">
        <v>180</v>
      </c>
      <c r="G29" s="1" t="s">
        <v>27</v>
      </c>
      <c r="H29" s="1">
        <v>50</v>
      </c>
      <c r="I29" s="1">
        <v>50</v>
      </c>
      <c r="J29" s="1">
        <f t="shared" si="1"/>
        <v>2550</v>
      </c>
      <c r="K29" s="11">
        <f t="shared" si="2"/>
        <v>0.0168517049960349</v>
      </c>
      <c r="L29" s="12" t="s">
        <v>28</v>
      </c>
      <c r="M29" s="12" t="s">
        <v>29</v>
      </c>
      <c r="N29" s="12"/>
    </row>
    <row r="30" spans="1:14">
      <c r="A30" s="1">
        <f t="shared" si="0"/>
        <v>4005</v>
      </c>
      <c r="B30" s="1">
        <v>4</v>
      </c>
      <c r="C30" s="3">
        <v>5</v>
      </c>
      <c r="D30" s="1" t="s">
        <v>56</v>
      </c>
      <c r="E30" s="3">
        <v>20</v>
      </c>
      <c r="F30" s="1">
        <v>180</v>
      </c>
      <c r="G30" s="1" t="s">
        <v>27</v>
      </c>
      <c r="H30" s="1">
        <v>50</v>
      </c>
      <c r="I30" s="1">
        <v>50</v>
      </c>
      <c r="J30" s="1">
        <f t="shared" si="1"/>
        <v>2550</v>
      </c>
      <c r="K30" s="11">
        <f t="shared" si="2"/>
        <v>0.0168517049960349</v>
      </c>
      <c r="L30" s="12" t="s">
        <v>28</v>
      </c>
      <c r="M30" s="12" t="s">
        <v>29</v>
      </c>
      <c r="N30" s="12"/>
    </row>
    <row r="31" spans="1:14">
      <c r="A31" s="1">
        <f t="shared" si="0"/>
        <v>4006</v>
      </c>
      <c r="B31" s="1">
        <v>4</v>
      </c>
      <c r="C31" s="3">
        <v>6</v>
      </c>
      <c r="D31" s="1" t="s">
        <v>57</v>
      </c>
      <c r="E31" s="3">
        <v>20</v>
      </c>
      <c r="F31" s="1">
        <v>180</v>
      </c>
      <c r="G31" s="1" t="s">
        <v>33</v>
      </c>
      <c r="H31" s="1">
        <v>50</v>
      </c>
      <c r="I31" s="1">
        <v>50</v>
      </c>
      <c r="J31" s="1">
        <f t="shared" si="1"/>
        <v>2550</v>
      </c>
      <c r="K31" s="11">
        <f t="shared" si="2"/>
        <v>0.0168517049960349</v>
      </c>
      <c r="L31" s="12" t="s">
        <v>28</v>
      </c>
      <c r="M31" s="12" t="s">
        <v>29</v>
      </c>
      <c r="N31" s="12"/>
    </row>
    <row r="32" spans="1:14">
      <c r="A32" s="1">
        <f t="shared" si="0"/>
        <v>5004</v>
      </c>
      <c r="B32" s="1">
        <v>5</v>
      </c>
      <c r="C32" s="3">
        <v>4</v>
      </c>
      <c r="D32" s="1" t="s">
        <v>58</v>
      </c>
      <c r="E32" s="3">
        <v>20</v>
      </c>
      <c r="F32" s="1">
        <v>200</v>
      </c>
      <c r="G32" s="1" t="s">
        <v>27</v>
      </c>
      <c r="H32" s="1">
        <v>50</v>
      </c>
      <c r="I32" s="1">
        <v>50</v>
      </c>
      <c r="J32" s="1">
        <f t="shared" si="1"/>
        <v>2550</v>
      </c>
      <c r="K32" s="11">
        <f t="shared" si="2"/>
        <v>0.0168517049960349</v>
      </c>
      <c r="L32" s="12" t="s">
        <v>28</v>
      </c>
      <c r="M32" s="12" t="s">
        <v>29</v>
      </c>
      <c r="N32" s="12"/>
    </row>
    <row r="33" spans="1:14">
      <c r="A33" s="1">
        <f t="shared" si="0"/>
        <v>5005</v>
      </c>
      <c r="B33" s="1">
        <v>5</v>
      </c>
      <c r="C33" s="3">
        <v>5</v>
      </c>
      <c r="D33" s="1" t="s">
        <v>59</v>
      </c>
      <c r="E33" s="3">
        <v>20</v>
      </c>
      <c r="F33" s="1">
        <v>200</v>
      </c>
      <c r="G33" s="1" t="s">
        <v>27</v>
      </c>
      <c r="H33" s="1">
        <v>50</v>
      </c>
      <c r="I33" s="1">
        <v>50</v>
      </c>
      <c r="J33" s="1">
        <f t="shared" si="1"/>
        <v>2550</v>
      </c>
      <c r="K33" s="11">
        <f t="shared" si="2"/>
        <v>0.0168517049960349</v>
      </c>
      <c r="L33" s="12" t="s">
        <v>28</v>
      </c>
      <c r="M33" s="12" t="s">
        <v>29</v>
      </c>
      <c r="N33" s="12"/>
    </row>
    <row r="34" spans="1:14">
      <c r="A34" s="1">
        <f t="shared" si="0"/>
        <v>5006</v>
      </c>
      <c r="B34" s="1">
        <v>5</v>
      </c>
      <c r="C34" s="3">
        <v>6</v>
      </c>
      <c r="D34" s="1" t="s">
        <v>60</v>
      </c>
      <c r="E34" s="3">
        <v>20</v>
      </c>
      <c r="F34" s="1">
        <v>200</v>
      </c>
      <c r="G34" s="1" t="s">
        <v>33</v>
      </c>
      <c r="H34" s="1">
        <v>50</v>
      </c>
      <c r="I34" s="1">
        <v>50</v>
      </c>
      <c r="J34" s="1">
        <f t="shared" si="1"/>
        <v>2550</v>
      </c>
      <c r="K34" s="11">
        <f t="shared" si="2"/>
        <v>0.0168517049960349</v>
      </c>
      <c r="L34" s="12" t="s">
        <v>28</v>
      </c>
      <c r="M34" s="12" t="s">
        <v>29</v>
      </c>
      <c r="N34" s="12"/>
    </row>
    <row r="35" spans="1:14">
      <c r="F35" s="13"/>
      <c r="G35" s="13"/>
    </row>
    <row r="36" spans="1:14">
      <c r="F36" s="13"/>
      <c r="G36" s="13"/>
    </row>
    <row r="37" spans="1:14">
      <c r="F37" s="13"/>
      <c r="G37" s="13"/>
    </row>
    <row r="38" spans="1:14">
      <c r="F38" s="13"/>
      <c r="G38" s="13"/>
    </row>
    <row r="39" ht="17.25" spans="1:14">
      <c r="D39" s="14"/>
      <c r="E39" s="14"/>
      <c r="F39" s="13"/>
      <c r="G39" s="13"/>
    </row>
    <row r="40" spans="1:14">
      <c r="F40" s="13"/>
      <c r="G40" s="13"/>
    </row>
    <row r="41" spans="1:14">
      <c r="F41" s="13"/>
      <c r="G41" s="13"/>
    </row>
    <row r="42" spans="1:14">
      <c r="F42" s="13"/>
      <c r="G42" s="13"/>
    </row>
    <row r="43" spans="1:14">
      <c r="F43" s="13"/>
      <c r="G43" s="13"/>
    </row>
    <row r="44" spans="1:14">
      <c r="F44" s="13"/>
      <c r="G44" s="13"/>
    </row>
    <row r="45" spans="1:14">
      <c r="F45" s="13"/>
      <c r="G45" s="13"/>
    </row>
    <row r="46" spans="1:14">
      <c r="F46" s="13"/>
      <c r="G46" s="13"/>
    </row>
    <row r="47" spans="1:14">
      <c r="F47" s="13"/>
      <c r="G47" s="13"/>
    </row>
    <row r="48" spans="1:14">
      <c r="F48" s="13"/>
      <c r="G48" s="13"/>
    </row>
    <row r="49" spans="4:7">
      <c r="F49" s="13"/>
      <c r="G49" s="13"/>
    </row>
    <row r="50" spans="4:7">
      <c r="F50" s="13"/>
      <c r="G50" s="13"/>
    </row>
    <row r="51" spans="4:7">
      <c r="F51" s="13"/>
      <c r="G51" s="13"/>
    </row>
    <row r="52" spans="4:7">
      <c r="F52" s="13"/>
      <c r="G52" s="13"/>
    </row>
    <row r="53" ht="14.25" spans="4:7">
      <c r="D53" s="15"/>
      <c r="E53" s="15"/>
      <c r="F53" s="13"/>
      <c r="G53" s="13"/>
    </row>
    <row r="54" spans="4:7">
      <c r="F54" s="13"/>
      <c r="G54" s="13"/>
    </row>
    <row r="55" spans="4:7">
      <c r="F55" s="13"/>
      <c r="G55" s="13"/>
    </row>
    <row r="56" spans="4:7">
      <c r="F56" s="13"/>
      <c r="G56" s="13"/>
    </row>
    <row r="57" spans="4:7">
      <c r="F57" s="13"/>
      <c r="G57" s="13"/>
    </row>
    <row r="58" spans="4:7">
      <c r="F58" s="13"/>
      <c r="G58" s="13"/>
    </row>
    <row r="59" spans="4:7">
      <c r="F59" s="13"/>
      <c r="G59" s="13"/>
    </row>
    <row r="60" spans="4:7">
      <c r="F60" s="13"/>
      <c r="G60" s="13"/>
    </row>
  </sheetData>
  <pageMargins left="0.7" right="0.7" top="0.75" bottom="0.75" header="0.3" footer="0.3"/>
  <pageSetup paperSize="9" orientation="portrait"/>
  <headerFooter/>
  <ignoredErrors>
    <ignoredError sqref="N2:N3 N8:N19 N6 N35:N60 M61:N63 D1:D3 A1:B1 G1 A4:D4 G4:G9 C8:C19 G11:G12 G14:G15 G17:G18 M4:N4 M1:N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2026-06-11T07:01:26Z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