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D:\gamedoc\游戏配置表\Manage\"/>
    </mc:Choice>
  </mc:AlternateContent>
  <bookViews>
    <workbookView windowWidth="28800" windowHeight="12255"/>
  </bookViews>
  <sheets>
    <sheet name="VisitorQuest" sheetId="2" r:id="rId1"/>
    <sheet name="Sheet1" sheetId="3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B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1-表示常规游客，可通过抽卡获取
2-表示付费游客，不能通过抽卡获取</t>
        </r>
      </text>
    </comment>
    <comment ref="C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是否显示在前端的游客列表中</t>
        </r>
      </text>
    </comment>
    <comment ref="J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对应的场景动画资源</t>
        </r>
      </text>
    </comment>
    <comment ref="L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影响交互次数 = 服务能力 / 繁荣度 </t>
        </r>
      </text>
    </comment>
    <comment ref="M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游客的优先级：先读取该表中的游客行为模式，
1.若执行固定模式，则去指定的区域进行交互；
2.若执行随机模式，则根据建筑交互权重进行抽取，对抽取到的区域去交互；</t>
        </r>
      </text>
    </comment>
    <comment ref="N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知名度影响各种品质游客（已解锁）出现在赌场的权重
知名度参数设置为为0时，与基础刷新权重一样；
根据当前知名度处理的实际权重值  =  当前知名度 / 知名度预期上限（全局表配置 10000） × 知名度要求值（awareness） + 基础刷新权重（BaseWeight）</t>
        </r>
      </text>
    </comment>
    <comment ref="O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根据当前服务能力处理的实际权重值  =  当前服务能力 / 服务能力预期上限（全局表配置 10000） × 服务要求值（awareness） + 基础刷新权重（BaseWeight）</t>
        </r>
      </text>
    </comment>
    <comment ref="U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读取交互区域表的ID
ID_权重|ID_权重|....</t>
        </r>
      </text>
    </comment>
    <comment ref="V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按配置的建筑ID依次进行交互，
当交互次数＜交互建筑点时，能交互到哪个建筑就到哪个建筑
当交互次数＞交互建筑点（未解锁）时，剩余的交互次数舍弃直接离去；  </t>
        </r>
      </text>
    </comment>
    <comment ref="W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概率为百分比</t>
        </r>
      </text>
    </comment>
  </commentList>
</comments>
</file>

<file path=xl/sharedStrings.xml><?xml version="1.0" encoding="utf-8"?>
<sst xmlns="http://schemas.openxmlformats.org/spreadsheetml/2006/main" count="276" uniqueCount="124">
  <si>
    <t>ID</t>
  </si>
  <si>
    <t>类型</t>
  </si>
  <si>
    <t>是否显示</t>
  </si>
  <si>
    <t>游客品质</t>
  </si>
  <si>
    <t>道具ID_碎片ID_碎片数量</t>
  </si>
  <si>
    <t>名称备注</t>
  </si>
  <si>
    <t>游客描述多语言</t>
  </si>
  <si>
    <t>是否默认解锁</t>
  </si>
  <si>
    <t>场景 ID</t>
  </si>
  <si>
    <t>资源</t>
  </si>
  <si>
    <t>无奖励的服务能力</t>
  </si>
  <si>
    <t>服务能力</t>
  </si>
  <si>
    <t>行为模式</t>
  </si>
  <si>
    <t>知名度要求值</t>
  </si>
  <si>
    <t>基础刷新权重</t>
  </si>
  <si>
    <t>根据当前服务能力处理的实际权重值（在sheet1中修改当前服务能力，能看到此服务能力下的实际概率改变）</t>
  </si>
  <si>
    <t>概率</t>
  </si>
  <si>
    <t>初始基础刷新权重</t>
  </si>
  <si>
    <t>初始概率</t>
  </si>
  <si>
    <t>建筑交互权重</t>
  </si>
  <si>
    <t>指定区域</t>
  </si>
  <si>
    <t>特殊交互建筑与概率</t>
  </si>
  <si>
    <t>备注</t>
  </si>
  <si>
    <t>int</t>
  </si>
  <si>
    <t>boolean</t>
  </si>
  <si>
    <t>list&lt;int&gt;{_}</t>
  </si>
  <si>
    <t>map&lt;int{_}int&gt;{|}</t>
  </si>
  <si>
    <t>id</t>
  </si>
  <si>
    <t>type</t>
  </si>
  <si>
    <t>IsVisible</t>
  </si>
  <si>
    <t>Quality</t>
  </si>
  <si>
    <t>DuplicatetoShard</t>
  </si>
  <si>
    <t>language</t>
  </si>
  <si>
    <t>IsDefaultUnlocked</t>
  </si>
  <si>
    <t>RegionID</t>
  </si>
  <si>
    <t>Resource</t>
  </si>
  <si>
    <t>BaseServiceCapacity</t>
  </si>
  <si>
    <t>ServiceCapacity</t>
  </si>
  <si>
    <t>awareness</t>
  </si>
  <si>
    <t>BaseWeight</t>
  </si>
  <si>
    <t>InteractionWeight</t>
  </si>
  <si>
    <t>TargetArea</t>
  </si>
  <si>
    <t>SpecialInteraction</t>
  </si>
  <si>
    <t>1025101_1125101_10</t>
  </si>
  <si>
    <t>街头潮人</t>
  </si>
  <si>
    <t>随机</t>
  </si>
  <si>
    <t>1101_1102_1103_1104_1105_1106_1202_1111_1112_1108_1109_1110_1107</t>
  </si>
  <si>
    <t>1301_30</t>
  </si>
  <si>
    <t>1025102_1125102_10</t>
  </si>
  <si>
    <t>复古绅士</t>
  </si>
  <si>
    <t>1102_1107_1110_1101_1105_1104_1103_1106_1202_1111_1112_1108_1109</t>
  </si>
  <si>
    <t>1025103_1125103_10</t>
  </si>
  <si>
    <t>酷盖少年</t>
  </si>
  <si>
    <t>固定</t>
  </si>
  <si>
    <t>1107_1109_1108_1112_1111_1202_1106_1105_1104_1103_1102_1110_1101</t>
  </si>
  <si>
    <t>1025201_1125201_10</t>
  </si>
  <si>
    <t>运动健将</t>
  </si>
  <si>
    <t>1110_1107_1109_1108_1112_1111_1202_1106_1105_1104_1103_1102_1101</t>
  </si>
  <si>
    <t>1025202_1125202_10</t>
  </si>
  <si>
    <t>跑酷少年</t>
  </si>
  <si>
    <t>1101_1107_1110_1102_1105_1104_1103_1106_1202_1111_1112_1108_1109</t>
  </si>
  <si>
    <t>1025203_1125203_10</t>
  </si>
  <si>
    <t>滑板高手</t>
  </si>
  <si>
    <t>1025301_1125301_10</t>
  </si>
  <si>
    <t>健身狂魔</t>
  </si>
  <si>
    <t>1025302_1125302_10</t>
  </si>
  <si>
    <t>单车骑士</t>
  </si>
  <si>
    <t>1025303_1125303_10</t>
  </si>
  <si>
    <t>登山行者</t>
  </si>
  <si>
    <t>1025401_1125401_10</t>
  </si>
  <si>
    <t>马拉松客</t>
  </si>
  <si>
    <t>1025402_1125402_10</t>
  </si>
  <si>
    <t>极限玩家</t>
  </si>
  <si>
    <t>1025403_1125403_10</t>
  </si>
  <si>
    <t>科技极客</t>
  </si>
  <si>
    <t>1025501_1125501_10</t>
  </si>
  <si>
    <t>创业新贵</t>
  </si>
  <si>
    <t>1025502_1125502_10</t>
  </si>
  <si>
    <t>摸金校尉</t>
  </si>
  <si>
    <t>1025503_1125503_10</t>
  </si>
  <si>
    <t>氪金大佬</t>
  </si>
  <si>
    <t>1025104_1125104_10</t>
  </si>
  <si>
    <t>潮流先锋</t>
  </si>
  <si>
    <t>1025105_1125105_10</t>
  </si>
  <si>
    <t>时尚教主</t>
  </si>
  <si>
    <t>1025106_1125106_10</t>
  </si>
  <si>
    <t>街拍达人</t>
  </si>
  <si>
    <t>1103_1104_1101_1102_1105_1106_1202_1111_1112_1108_1109_1110_1107</t>
  </si>
  <si>
    <t>1025204_1125204_10</t>
  </si>
  <si>
    <t>甜心辣妹</t>
  </si>
  <si>
    <t>1025205_1125205_10</t>
  </si>
  <si>
    <t>活力少女</t>
  </si>
  <si>
    <t>1025206_1125206_10</t>
  </si>
  <si>
    <t>优雅女神</t>
  </si>
  <si>
    <t>1025304_1125304_10</t>
  </si>
  <si>
    <t>文艺青年</t>
  </si>
  <si>
    <t>1025305_1125305_10</t>
  </si>
  <si>
    <t>书香少女</t>
  </si>
  <si>
    <t>1025306_1125306_10</t>
  </si>
  <si>
    <t>民谣歌手</t>
  </si>
  <si>
    <t>1025404_1125404_10</t>
  </si>
  <si>
    <t>独立画家</t>
  </si>
  <si>
    <t>1025405_1125405_10</t>
  </si>
  <si>
    <t>浪漫诗人</t>
  </si>
  <si>
    <t>1109_1108_1112_1111_1202_1106_1105_1104_1103_1102_1110_1101_1107</t>
  </si>
  <si>
    <t>1025406_1125406_10</t>
  </si>
  <si>
    <t>古典乐迷</t>
  </si>
  <si>
    <t>1025504_1125504_10</t>
  </si>
  <si>
    <t>穿搭博主</t>
  </si>
  <si>
    <t>1025505_1125505_10</t>
  </si>
  <si>
    <t>美妆新秀</t>
  </si>
  <si>
    <t>1025506_1125506_10</t>
  </si>
  <si>
    <t>高定女王</t>
  </si>
  <si>
    <t>品质ID</t>
  </si>
  <si>
    <t>价值比例</t>
  </si>
  <si>
    <t>初始刷新权重</t>
  </si>
  <si>
    <t>交互ID</t>
  </si>
  <si>
    <t>当前服务能力值</t>
  </si>
  <si>
    <t>服务能力预期上限</t>
  </si>
  <si>
    <t>服务要求值放大</t>
  </si>
  <si>
    <t>最高上限概率坡度</t>
  </si>
  <si>
    <t>道具ID</t>
  </si>
  <si>
    <t>碎片ID</t>
  </si>
  <si>
    <t>分解数量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</si>
</sst>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35">
    <font>
      <sz val="11"/>
      <color theme="1"/>
      <name val="宋体"/>
      <charset val="134"/>
      <scheme val="minor"/>
    </font>
    <font>
      <b/>
      <sz val="11"/>
      <color theme="1"/>
      <name val="微软雅黑"/>
      <charset val="134"/>
    </font>
    <font>
      <b/>
      <sz val="11"/>
      <color theme="1"/>
      <name val="宋体"/>
      <charset val="134"/>
      <scheme val="minor"/>
    </font>
    <font>
      <sz val="11"/>
      <name val="宋体"/>
      <charset val="134"/>
      <scheme val="minor"/>
    </font>
    <font>
      <sz val="11"/>
      <name val="微软雅黑"/>
      <charset val="134"/>
    </font>
    <font>
      <b/>
      <sz val="10.5"/>
      <color rgb="FF212529"/>
      <name val="微软雅黑"/>
      <charset val="134"/>
    </font>
    <font>
      <b/>
      <sz val="10.5"/>
      <name val="微软雅黑"/>
      <charset val="134"/>
    </font>
    <font>
      <b/>
      <sz val="11"/>
      <name val="微软雅黑"/>
      <charset val="134"/>
    </font>
    <font>
      <b/>
      <sz val="10.5"/>
      <color rgb="FF212529"/>
      <name val="宋体"/>
      <charset val="134"/>
    </font>
    <font>
      <b/>
      <sz val="10.5"/>
      <color rgb="FF212529"/>
      <name val="Segoe UI"/>
      <charset val="134"/>
    </font>
    <font>
      <sz val="10.5"/>
      <color rgb="FF212529"/>
      <name val="Segoe UI"/>
      <charset val="134"/>
    </font>
    <font>
      <sz val="10.5"/>
      <color rgb="FF212529"/>
      <name val="宋体"/>
      <charset val="134"/>
    </font>
    <font>
      <sz val="11"/>
      <color theme="1"/>
      <name val="微软雅黑"/>
      <charset val="134"/>
    </font>
    <font>
      <sz val="12"/>
      <color rgb="FF222222"/>
      <name val="宋体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6">
    <fill>
      <patternFill patternType="none"/>
    </fill>
    <fill>
      <patternFill patternType="gray125"/>
    </fill>
    <fill>
      <patternFill patternType="solid">
        <fgColor theme="6"/>
        <bgColor indexed="64"/>
      </patternFill>
    </fill>
    <fill>
      <patternFill patternType="solid">
        <fgColor theme="7" tint="0.4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14" fillId="0" borderId="0">
      <alignment vertical="center"/>
    </xf>
    <xf numFmtId="0" fontId="15" fillId="0" borderId="0">
      <alignment vertical="center"/>
    </xf>
    <xf numFmtId="0" fontId="0" fillId="6" borderId="2">
      <alignment vertical="center"/>
    </xf>
    <xf numFmtId="0" fontId="16" fillId="0" borderId="0">
      <alignment vertical="center"/>
    </xf>
    <xf numFmtId="0" fontId="17" fillId="0" borderId="0">
      <alignment vertical="center"/>
    </xf>
    <xf numFmtId="0" fontId="18" fillId="0" borderId="0">
      <alignment vertical="center"/>
    </xf>
    <xf numFmtId="0" fontId="19" fillId="0" borderId="3">
      <alignment vertical="center"/>
    </xf>
    <xf numFmtId="0" fontId="20" fillId="0" borderId="3">
      <alignment vertical="center"/>
    </xf>
    <xf numFmtId="0" fontId="21" fillId="0" borderId="4">
      <alignment vertical="center"/>
    </xf>
    <xf numFmtId="0" fontId="21" fillId="0" borderId="0">
      <alignment vertical="center"/>
    </xf>
    <xf numFmtId="0" fontId="22" fillId="7" borderId="5">
      <alignment vertical="center"/>
    </xf>
    <xf numFmtId="0" fontId="23" fillId="8" borderId="6">
      <alignment vertical="center"/>
    </xf>
    <xf numFmtId="0" fontId="24" fillId="8" borderId="5">
      <alignment vertical="center"/>
    </xf>
    <xf numFmtId="0" fontId="25" fillId="9" borderId="7">
      <alignment vertical="center"/>
    </xf>
    <xf numFmtId="0" fontId="26" fillId="0" borderId="8">
      <alignment vertical="center"/>
    </xf>
    <xf numFmtId="0" fontId="27" fillId="0" borderId="9">
      <alignment vertical="center"/>
    </xf>
    <xf numFmtId="0" fontId="28" fillId="10" borderId="0">
      <alignment vertical="center"/>
    </xf>
    <xf numFmtId="0" fontId="29" fillId="11" borderId="0">
      <alignment vertical="center"/>
    </xf>
    <xf numFmtId="0" fontId="30" fillId="12" borderId="0">
      <alignment vertical="center"/>
    </xf>
    <xf numFmtId="0" fontId="31" fillId="13" borderId="0">
      <alignment vertical="center"/>
    </xf>
    <xf numFmtId="0" fontId="32" fillId="14" borderId="0">
      <alignment vertical="center"/>
    </xf>
    <xf numFmtId="0" fontId="32" fillId="15" borderId="0">
      <alignment vertical="center"/>
    </xf>
    <xf numFmtId="0" fontId="31" fillId="16" borderId="0">
      <alignment vertical="center"/>
    </xf>
    <xf numFmtId="0" fontId="31" fillId="17" borderId="0">
      <alignment vertical="center"/>
    </xf>
    <xf numFmtId="0" fontId="32" fillId="18" borderId="0">
      <alignment vertical="center"/>
    </xf>
    <xf numFmtId="0" fontId="32" fillId="19" borderId="0">
      <alignment vertical="center"/>
    </xf>
    <xf numFmtId="0" fontId="31" fillId="20" borderId="0">
      <alignment vertical="center"/>
    </xf>
    <xf numFmtId="0" fontId="31" fillId="2" borderId="0">
      <alignment vertical="center"/>
    </xf>
    <xf numFmtId="0" fontId="32" fillId="21" borderId="0">
      <alignment vertical="center"/>
    </xf>
    <xf numFmtId="0" fontId="32" fillId="22" borderId="0">
      <alignment vertical="center"/>
    </xf>
    <xf numFmtId="0" fontId="31" fillId="23" borderId="0">
      <alignment vertical="center"/>
    </xf>
    <xf numFmtId="0" fontId="31" fillId="24" borderId="0">
      <alignment vertical="center"/>
    </xf>
    <xf numFmtId="0" fontId="32" fillId="25" borderId="0">
      <alignment vertical="center"/>
    </xf>
    <xf numFmtId="0" fontId="32" fillId="26" borderId="0">
      <alignment vertical="center"/>
    </xf>
    <xf numFmtId="0" fontId="31" fillId="27" borderId="0">
      <alignment vertical="center"/>
    </xf>
    <xf numFmtId="0" fontId="31" fillId="28" borderId="0">
      <alignment vertical="center"/>
    </xf>
    <xf numFmtId="0" fontId="32" fillId="29" borderId="0">
      <alignment vertical="center"/>
    </xf>
    <xf numFmtId="0" fontId="32" fillId="30" borderId="0">
      <alignment vertical="center"/>
    </xf>
    <xf numFmtId="0" fontId="31" fillId="31" borderId="0">
      <alignment vertical="center"/>
    </xf>
    <xf numFmtId="0" fontId="31" fillId="32" borderId="0">
      <alignment vertical="center"/>
    </xf>
    <xf numFmtId="0" fontId="32" fillId="33" borderId="0">
      <alignment vertical="center"/>
    </xf>
    <xf numFmtId="0" fontId="32" fillId="34" borderId="0">
      <alignment vertical="center"/>
    </xf>
    <xf numFmtId="0" fontId="31" fillId="35" borderId="0">
      <alignment vertical="center"/>
    </xf>
  </cellStyleXfs>
  <cellXfs count="43">
    <xf numFmtId="0" fontId="0" fillId="0" borderId="0" xfId="0" applyAlignment="1">
      <alignment vertical="center"/>
    </xf>
    <xf numFmtId="0" fontId="0" fillId="2" borderId="1" xfId="0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1" fillId="0" borderId="0" xfId="0" applyFont="1" applyBorder="1" applyAlignment="1">
      <alignment horizontal="center" vertical="center"/>
    </xf>
    <xf numFmtId="0" fontId="3" fillId="0" borderId="0" xfId="0" applyFont="1" applyFill="1">
      <alignment vertical="center"/>
    </xf>
    <xf numFmtId="0" fontId="4" fillId="0" borderId="0" xfId="0" applyFont="1" applyFill="1">
      <alignment vertical="center"/>
    </xf>
    <xf numFmtId="0" fontId="4" fillId="3" borderId="0" xfId="0" applyFont="1" applyFill="1">
      <alignment vertical="center"/>
    </xf>
    <xf numFmtId="0" fontId="0" fillId="4" borderId="0" xfId="0" applyFill="1" applyAlignment="1">
      <alignment vertical="center"/>
    </xf>
    <xf numFmtId="0" fontId="1" fillId="0" borderId="1" xfId="0" applyFont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6" fillId="5" borderId="1" xfId="0" applyFont="1" applyFill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7" fillId="4" borderId="1" xfId="0" applyFont="1" applyFill="1" applyBorder="1" applyAlignment="1">
      <alignment horizontal="center" vertical="center"/>
    </xf>
    <xf numFmtId="0" fontId="5" fillId="5" borderId="0" xfId="0" applyFont="1" applyFill="1" applyAlignment="1">
      <alignment horizontal="center" vertical="center"/>
    </xf>
    <xf numFmtId="0" fontId="5" fillId="5" borderId="1" xfId="0" applyFont="1" applyFill="1" applyBorder="1" applyAlignment="1">
      <alignment horizontal="left" vertical="center"/>
    </xf>
    <xf numFmtId="0" fontId="1" fillId="0" borderId="0" xfId="0" applyFont="1" applyBorder="1" applyAlignment="1">
      <alignment vertical="center"/>
    </xf>
    <xf numFmtId="0" fontId="2" fillId="0" borderId="1" xfId="0" applyFont="1" applyBorder="1" applyAlignment="1">
      <alignment horizontal="center" vertical="center"/>
    </xf>
    <xf numFmtId="0" fontId="8" fillId="5" borderId="1" xfId="0" applyFont="1" applyFill="1" applyBorder="1" applyAlignment="1">
      <alignment horizontal="center" vertical="center"/>
    </xf>
    <xf numFmtId="0" fontId="9" fillId="5" borderId="1" xfId="0" applyFont="1" applyFill="1" applyBorder="1" applyAlignment="1">
      <alignment horizontal="center" vertical="center"/>
    </xf>
    <xf numFmtId="0" fontId="9" fillId="4" borderId="1" xfId="0" applyFont="1" applyFill="1" applyBorder="1" applyAlignment="1">
      <alignment horizontal="center" vertical="center"/>
    </xf>
    <xf numFmtId="0" fontId="9" fillId="5" borderId="1" xfId="0" applyFont="1" applyFill="1" applyBorder="1" applyAlignment="1">
      <alignment horizontal="left" vertical="center"/>
    </xf>
    <xf numFmtId="0" fontId="2" fillId="4" borderId="1" xfId="0" applyFont="1" applyFill="1" applyBorder="1" applyAlignment="1">
      <alignment horizontal="center" vertical="center"/>
    </xf>
    <xf numFmtId="0" fontId="10" fillId="5" borderId="1" xfId="0" applyFont="1" applyFill="1" applyBorder="1" applyAlignment="1">
      <alignment horizontal="center" vertical="center"/>
    </xf>
    <xf numFmtId="0" fontId="11" fillId="5" borderId="1" xfId="0" applyFont="1" applyFill="1" applyBorder="1" applyAlignment="1">
      <alignment horizontal="center" vertical="center"/>
    </xf>
    <xf numFmtId="0" fontId="10" fillId="4" borderId="1" xfId="0" applyFont="1" applyFill="1" applyBorder="1" applyAlignment="1">
      <alignment horizontal="center" vertical="center"/>
    </xf>
    <xf numFmtId="0" fontId="10" fillId="5" borderId="1" xfId="0" applyFont="1" applyFill="1" applyBorder="1" applyAlignment="1">
      <alignment horizontal="left" vertical="center"/>
    </xf>
    <xf numFmtId="0" fontId="0" fillId="2" borderId="1" xfId="0" applyFill="1" applyBorder="1">
      <alignment vertical="center"/>
    </xf>
    <xf numFmtId="0" fontId="11" fillId="2" borderId="1" xfId="0" applyFont="1" applyFill="1" applyBorder="1" applyAlignment="1">
      <alignment horizontal="center" vertical="center"/>
    </xf>
    <xf numFmtId="0" fontId="12" fillId="2" borderId="1" xfId="0" applyFont="1" applyFill="1" applyBorder="1" applyAlignment="1">
      <alignment horizontal="center" vertical="center" wrapText="1"/>
    </xf>
    <xf numFmtId="176" fontId="0" fillId="0" borderId="1" xfId="0" applyNumberFormat="1" applyBorder="1" applyAlignment="1">
      <alignment horizontal="center" vertical="center"/>
    </xf>
    <xf numFmtId="176" fontId="0" fillId="4" borderId="1" xfId="0" applyNumberFormat="1" applyFill="1" applyBorder="1" applyAlignment="1">
      <alignment horizontal="center" vertical="center"/>
    </xf>
    <xf numFmtId="10" fontId="0" fillId="4" borderId="1" xfId="3" applyNumberFormat="1" applyFill="1" applyBorder="1">
      <alignment vertical="center"/>
    </xf>
    <xf numFmtId="10" fontId="0" fillId="0" borderId="1" xfId="3" applyNumberFormat="1" applyBorder="1">
      <alignment vertical="center"/>
    </xf>
    <xf numFmtId="0" fontId="0" fillId="0" borderId="1" xfId="0" applyBorder="1" applyAlignment="1">
      <alignment vertical="center"/>
    </xf>
    <xf numFmtId="0" fontId="0" fillId="0" borderId="1" xfId="0" applyBorder="1">
      <alignment vertical="center"/>
    </xf>
    <xf numFmtId="0" fontId="12" fillId="0" borderId="1" xfId="0" applyFont="1" applyBorder="1" applyAlignment="1">
      <alignment horizontal="center" vertical="center" wrapText="1"/>
    </xf>
    <xf numFmtId="49" fontId="0" fillId="0" borderId="0" xfId="0" applyNumberFormat="1" applyAlignment="1">
      <alignment vertical="center"/>
    </xf>
    <xf numFmtId="10" fontId="0" fillId="4" borderId="0" xfId="3" applyNumberFormat="1" applyFill="1">
      <alignment vertical="center"/>
    </xf>
    <xf numFmtId="10" fontId="0" fillId="0" borderId="0" xfId="3" applyNumberFormat="1">
      <alignment vertical="center"/>
    </xf>
    <xf numFmtId="0" fontId="13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>
    <mruColors>
      <color rgb="00FF00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C55"/>
  <sheetViews>
    <sheetView tabSelected="1" zoomScale="70" zoomScaleNormal="70" workbookViewId="0">
      <selection activeCell="G43" sqref="G43"/>
    </sheetView>
  </sheetViews>
  <sheetFormatPr defaultColWidth="9" defaultRowHeight="13.5"/>
  <cols>
    <col min="1" max="1" width="5.375" customWidth="1"/>
    <col min="2" max="4" width="8.375" customWidth="1"/>
    <col min="5" max="5" width="22.125" customWidth="1"/>
    <col min="6" max="6" width="8.375" customWidth="1"/>
    <col min="7" max="8" width="18.8166666666667" customWidth="1"/>
    <col min="9" max="9" width="14.7" customWidth="1"/>
    <col min="10" max="10" width="16.9083333333333" customWidth="1"/>
    <col min="11" max="11" width="21.5" customWidth="1"/>
    <col min="12" max="12" width="15.25" customWidth="1"/>
    <col min="13" max="13" width="8.375" customWidth="1"/>
    <col min="14" max="14" width="13.3916666666667" customWidth="1"/>
    <col min="15" max="15" width="12.875" customWidth="1"/>
    <col min="16" max="16" width="8.93333333333333" style="9" customWidth="1"/>
    <col min="17" max="17" width="6.375" style="9" customWidth="1"/>
    <col min="18" max="18" width="15" customWidth="1"/>
    <col min="19" max="20" width="6.375" customWidth="1"/>
    <col min="21" max="21" width="37.7833333333333" customWidth="1"/>
    <col min="22" max="22" width="66.0333333333333" customWidth="1"/>
    <col min="23" max="23" width="17.675" customWidth="1"/>
    <col min="24" max="24" width="16.775" customWidth="1"/>
    <col min="25" max="25" width="12.875"/>
    <col min="26" max="26" width="13.125" customWidth="1"/>
    <col min="27" max="27" width="17.25" customWidth="1"/>
    <col min="28" max="28" width="17.625" customWidth="1"/>
    <col min="29" max="29" width="15.375" customWidth="1"/>
  </cols>
  <sheetData>
    <row r="1" s="3" customFormat="1" ht="15.75" spans="1:29">
      <c r="A1" s="10" t="s">
        <v>0</v>
      </c>
      <c r="B1" s="11" t="s">
        <v>1</v>
      </c>
      <c r="C1" s="11" t="s">
        <v>2</v>
      </c>
      <c r="D1" s="11" t="s">
        <v>3</v>
      </c>
      <c r="E1" s="11" t="s">
        <v>4</v>
      </c>
      <c r="F1" s="11" t="s">
        <v>5</v>
      </c>
      <c r="G1" s="11" t="s">
        <v>6</v>
      </c>
      <c r="H1" s="11" t="s">
        <v>7</v>
      </c>
      <c r="I1" s="12" t="s">
        <v>8</v>
      </c>
      <c r="J1" s="11" t="s">
        <v>9</v>
      </c>
      <c r="K1" s="11" t="s">
        <v>10</v>
      </c>
      <c r="L1" s="13" t="s">
        <v>11</v>
      </c>
      <c r="M1" s="11" t="s">
        <v>12</v>
      </c>
      <c r="N1" s="11" t="s">
        <v>13</v>
      </c>
      <c r="O1" s="14" t="s">
        <v>14</v>
      </c>
      <c r="P1" s="15" t="s">
        <v>15</v>
      </c>
      <c r="Q1" s="15" t="s">
        <v>16</v>
      </c>
      <c r="R1" s="14" t="s">
        <v>17</v>
      </c>
      <c r="S1" s="14" t="s">
        <v>18</v>
      </c>
      <c r="T1" s="14"/>
      <c r="U1" s="11" t="s">
        <v>19</v>
      </c>
      <c r="V1" s="16" t="s">
        <v>20</v>
      </c>
      <c r="W1" s="17" t="s">
        <v>21</v>
      </c>
      <c r="X1" s="17" t="s">
        <v>22</v>
      </c>
      <c r="Y1"/>
      <c r="Z1"/>
      <c r="AA1"/>
      <c r="AB1" s="18"/>
      <c r="AC1" s="18"/>
    </row>
    <row r="2" s="4" customFormat="1" ht="21" customHeight="1" spans="1:29">
      <c r="A2" s="19" t="s">
        <v>23</v>
      </c>
      <c r="B2" s="19" t="s">
        <v>23</v>
      </c>
      <c r="C2" s="11" t="s">
        <v>24</v>
      </c>
      <c r="D2" s="19" t="s">
        <v>23</v>
      </c>
      <c r="E2" s="19" t="s">
        <v>25</v>
      </c>
      <c r="F2" s="20"/>
      <c r="G2" s="11" t="s">
        <v>23</v>
      </c>
      <c r="H2" s="11" t="s">
        <v>24</v>
      </c>
      <c r="I2" s="12" t="s">
        <v>23</v>
      </c>
      <c r="J2" s="19" t="s">
        <v>23</v>
      </c>
      <c r="K2" s="19" t="s">
        <v>23</v>
      </c>
      <c r="L2" s="19" t="s">
        <v>23</v>
      </c>
      <c r="M2" s="21"/>
      <c r="N2" s="21" t="s">
        <v>23</v>
      </c>
      <c r="O2" s="21" t="s">
        <v>23</v>
      </c>
      <c r="P2" s="22"/>
      <c r="Q2" s="22"/>
      <c r="R2" s="21"/>
      <c r="S2" s="21"/>
      <c r="T2" s="21"/>
      <c r="U2" s="21" t="s">
        <v>26</v>
      </c>
      <c r="V2" s="21" t="s">
        <v>25</v>
      </c>
      <c r="W2" s="21" t="s">
        <v>26</v>
      </c>
      <c r="X2" s="23"/>
      <c r="Y2"/>
      <c r="Z2"/>
      <c r="AA2"/>
    </row>
    <row r="3" s="4" customFormat="1" ht="15.75" spans="1:29">
      <c r="A3" s="19" t="s">
        <v>27</v>
      </c>
      <c r="B3" s="21" t="s">
        <v>28</v>
      </c>
      <c r="C3" s="21" t="s">
        <v>29</v>
      </c>
      <c r="D3" s="21" t="s">
        <v>30</v>
      </c>
      <c r="E3" s="20" t="s">
        <v>31</v>
      </c>
      <c r="F3" s="20"/>
      <c r="G3" s="11" t="s">
        <v>32</v>
      </c>
      <c r="H3" s="11" t="s">
        <v>33</v>
      </c>
      <c r="I3" s="12" t="s">
        <v>34</v>
      </c>
      <c r="J3" s="20" t="s">
        <v>35</v>
      </c>
      <c r="K3" s="20" t="s">
        <v>36</v>
      </c>
      <c r="L3" s="21" t="s">
        <v>37</v>
      </c>
      <c r="M3" s="21"/>
      <c r="N3" s="21" t="s">
        <v>38</v>
      </c>
      <c r="O3" s="19" t="s">
        <v>39</v>
      </c>
      <c r="P3" s="24"/>
      <c r="Q3" s="24"/>
      <c r="R3" s="19"/>
      <c r="S3" s="19"/>
      <c r="T3" s="19"/>
      <c r="U3" s="21" t="s">
        <v>40</v>
      </c>
      <c r="V3" s="21" t="s">
        <v>41</v>
      </c>
      <c r="W3" s="23" t="s">
        <v>42</v>
      </c>
      <c r="X3" s="23"/>
      <c r="Y3"/>
      <c r="Z3"/>
      <c r="AA3"/>
    </row>
    <row r="4" ht="15.75" spans="1:29">
      <c r="A4" s="2"/>
      <c r="B4" s="25"/>
      <c r="C4" s="25"/>
      <c r="D4" s="25"/>
      <c r="E4" s="26"/>
      <c r="F4" s="26"/>
      <c r="G4" s="26"/>
      <c r="H4" s="26"/>
      <c r="I4" s="26"/>
      <c r="J4" s="26"/>
      <c r="K4" s="26"/>
      <c r="L4" s="25"/>
      <c r="M4" s="25"/>
      <c r="N4" s="25"/>
      <c r="O4" s="25"/>
      <c r="P4" s="27"/>
      <c r="Q4" s="27"/>
      <c r="R4" s="25"/>
      <c r="S4" s="25"/>
      <c r="T4" s="25"/>
      <c r="U4" s="25"/>
      <c r="V4" s="25"/>
      <c r="W4" s="28"/>
      <c r="X4" s="28"/>
    </row>
    <row r="5" ht="16" customHeight="1" spans="1:29">
      <c r="A5" s="1">
        <v>1001</v>
      </c>
      <c r="B5" s="1">
        <v>1</v>
      </c>
      <c r="C5" s="29" t="b">
        <v>1</v>
      </c>
      <c r="D5" s="1">
        <v>1</v>
      </c>
      <c r="E5" s="30" t="s">
        <v>43</v>
      </c>
      <c r="F5" s="30" t="s">
        <v>44</v>
      </c>
      <c r="G5" s="26">
        <v>2025101</v>
      </c>
      <c r="H5" s="29" t="b">
        <v>1</v>
      </c>
      <c r="I5" s="31">
        <v>1</v>
      </c>
      <c r="J5" s="30">
        <v>1001</v>
      </c>
      <c r="K5" s="26"/>
      <c r="L5" s="2">
        <v>400</v>
      </c>
      <c r="M5" s="2" t="s">
        <v>45</v>
      </c>
      <c r="N5" s="32">
        <v>100</v>
      </c>
      <c r="O5" s="2">
        <f>_xlfn.XLOOKUP($D5,Sheet1!$A$2:$A$6,Sheet1!$C$2:$C$6,,0)</f>
        <v>8300</v>
      </c>
      <c r="P5" s="33">
        <f>Sheet1!$A$9/Sheet1!$C$9*N5+R5</f>
        <v>8400</v>
      </c>
      <c r="Q5" s="34">
        <f>P5/SUM($P$5:$P$34)</f>
        <v>0.064217237741388</v>
      </c>
      <c r="R5" s="2">
        <f>O5</f>
        <v>8300</v>
      </c>
      <c r="S5" s="35">
        <f>R5/SUM($R$5:$R$34)</f>
        <v>0.0934621534580997</v>
      </c>
      <c r="T5" s="35"/>
      <c r="U5" s="36"/>
      <c r="V5" s="36" t="s">
        <v>46</v>
      </c>
      <c r="W5" s="36" t="s">
        <v>47</v>
      </c>
      <c r="X5" s="36"/>
    </row>
    <row r="6" ht="18" customHeight="1" spans="1:29">
      <c r="A6" s="1">
        <v>1002</v>
      </c>
      <c r="B6" s="1">
        <v>1</v>
      </c>
      <c r="C6" s="29" t="b">
        <v>1</v>
      </c>
      <c r="D6" s="1">
        <v>1</v>
      </c>
      <c r="E6" s="30" t="s">
        <v>48</v>
      </c>
      <c r="F6" s="30" t="s">
        <v>49</v>
      </c>
      <c r="G6" s="26">
        <v>2025102</v>
      </c>
      <c r="H6" s="29" t="b">
        <v>1</v>
      </c>
      <c r="I6" s="31">
        <v>1</v>
      </c>
      <c r="J6" s="30">
        <v>1002</v>
      </c>
      <c r="K6" s="26"/>
      <c r="L6" s="2">
        <v>400</v>
      </c>
      <c r="M6" s="2" t="s">
        <v>45</v>
      </c>
      <c r="N6" s="32">
        <v>100</v>
      </c>
      <c r="O6" s="2">
        <f>_xlfn.XLOOKUP($D6,Sheet1!$A$2:$A$6,Sheet1!$C$2:$C$6,,0)</f>
        <v>8300</v>
      </c>
      <c r="P6" s="33">
        <f>Sheet1!$A$9/Sheet1!$C$9*N6+R6</f>
        <v>8400</v>
      </c>
      <c r="Q6" s="34">
        <f t="shared" ref="Q6:Q39" si="0">P6/SUM($P$5:$P$34)</f>
        <v>0.064217237741388</v>
      </c>
      <c r="R6" s="2">
        <f t="shared" ref="R6:R34" si="1">O6</f>
        <v>8300</v>
      </c>
      <c r="S6" s="35">
        <f t="shared" ref="S6:S39" si="2">R6/SUM($R$5:$R$34)</f>
        <v>0.0934621534580997</v>
      </c>
      <c r="T6" s="35"/>
      <c r="U6" s="36"/>
      <c r="V6" s="36" t="s">
        <v>50</v>
      </c>
      <c r="W6" s="36" t="s">
        <v>47</v>
      </c>
      <c r="X6" s="36"/>
    </row>
    <row r="7" ht="16.5" spans="1:29">
      <c r="A7" s="1">
        <v>1003</v>
      </c>
      <c r="B7" s="1">
        <v>1</v>
      </c>
      <c r="C7" s="29" t="b">
        <v>1</v>
      </c>
      <c r="D7" s="1">
        <v>1</v>
      </c>
      <c r="E7" s="30" t="s">
        <v>51</v>
      </c>
      <c r="F7" s="30" t="s">
        <v>52</v>
      </c>
      <c r="G7" s="26">
        <v>2025103</v>
      </c>
      <c r="H7" s="29" t="b">
        <v>0</v>
      </c>
      <c r="I7" s="31">
        <v>1</v>
      </c>
      <c r="J7" s="30">
        <v>1003</v>
      </c>
      <c r="K7" s="26"/>
      <c r="L7" s="2">
        <v>400</v>
      </c>
      <c r="M7" s="2" t="s">
        <v>53</v>
      </c>
      <c r="N7" s="32">
        <v>100</v>
      </c>
      <c r="O7" s="2">
        <f>_xlfn.XLOOKUP($D7,Sheet1!$A$2:$A$6,Sheet1!$C$2:$C$6,,0)</f>
        <v>8300</v>
      </c>
      <c r="P7" s="33">
        <f>Sheet1!$A$9/Sheet1!$C$9*N7+R7</f>
        <v>8400</v>
      </c>
      <c r="Q7" s="34">
        <f t="shared" si="0"/>
        <v>0.064217237741388</v>
      </c>
      <c r="R7" s="2">
        <f t="shared" si="1"/>
        <v>8300</v>
      </c>
      <c r="S7" s="35">
        <f t="shared" si="2"/>
        <v>0.0934621534580997</v>
      </c>
      <c r="T7" s="35"/>
      <c r="U7" s="36"/>
      <c r="V7" s="36" t="s">
        <v>54</v>
      </c>
      <c r="W7" s="36" t="s">
        <v>47</v>
      </c>
      <c r="X7" s="36"/>
    </row>
    <row r="8" ht="16.5" spans="1:29">
      <c r="A8" s="2">
        <v>2001</v>
      </c>
      <c r="B8" s="26">
        <v>1</v>
      </c>
      <c r="C8" s="26" t="b">
        <v>1</v>
      </c>
      <c r="D8" s="2">
        <v>2</v>
      </c>
      <c r="E8" s="26" t="s">
        <v>55</v>
      </c>
      <c r="F8" s="26" t="s">
        <v>56</v>
      </c>
      <c r="G8" s="26">
        <v>2025201</v>
      </c>
      <c r="H8" s="37" t="b">
        <v>0</v>
      </c>
      <c r="I8" s="38">
        <v>1</v>
      </c>
      <c r="J8" s="26">
        <v>1003</v>
      </c>
      <c r="K8" s="26"/>
      <c r="L8" s="2">
        <v>800</v>
      </c>
      <c r="M8" s="2" t="s">
        <v>45</v>
      </c>
      <c r="N8" s="32">
        <v>500</v>
      </c>
      <c r="O8" s="2">
        <f>_xlfn.XLOOKUP($D8,Sheet1!$A$2:$A$6,Sheet1!$C$2:$C$6,,0)</f>
        <v>4150</v>
      </c>
      <c r="P8" s="33">
        <f>Sheet1!$A$9/Sheet1!$C$9*N8+R8</f>
        <v>4650</v>
      </c>
      <c r="Q8" s="34">
        <f t="shared" si="0"/>
        <v>0.0355488280354112</v>
      </c>
      <c r="R8" s="2">
        <f t="shared" si="1"/>
        <v>4150</v>
      </c>
      <c r="S8" s="35">
        <f t="shared" si="2"/>
        <v>0.0467310767290498</v>
      </c>
      <c r="T8" s="35"/>
      <c r="U8" s="36"/>
      <c r="V8" s="36" t="s">
        <v>57</v>
      </c>
      <c r="W8" s="36" t="s">
        <v>47</v>
      </c>
      <c r="X8" s="36"/>
    </row>
    <row r="9" ht="16.5" spans="1:29">
      <c r="A9" s="2">
        <v>2002</v>
      </c>
      <c r="B9" s="26">
        <v>1</v>
      </c>
      <c r="C9" s="26" t="b">
        <v>1</v>
      </c>
      <c r="D9" s="2">
        <v>2</v>
      </c>
      <c r="E9" s="26" t="s">
        <v>58</v>
      </c>
      <c r="F9" s="26" t="s">
        <v>59</v>
      </c>
      <c r="G9" s="26">
        <v>2025202</v>
      </c>
      <c r="H9" s="37" t="b">
        <v>0</v>
      </c>
      <c r="I9" s="38">
        <v>1</v>
      </c>
      <c r="J9" s="26">
        <v>1001</v>
      </c>
      <c r="K9" s="26"/>
      <c r="L9" s="2">
        <v>800</v>
      </c>
      <c r="M9" s="2" t="s">
        <v>45</v>
      </c>
      <c r="N9" s="32">
        <v>500</v>
      </c>
      <c r="O9" s="2">
        <f>_xlfn.XLOOKUP($D9,Sheet1!$A$2:$A$6,Sheet1!$C$2:$C$6,,0)</f>
        <v>4150</v>
      </c>
      <c r="P9" s="33">
        <f>Sheet1!$A$9/Sheet1!$C$9*N9+R9</f>
        <v>4650</v>
      </c>
      <c r="Q9" s="34">
        <f t="shared" si="0"/>
        <v>0.0355488280354112</v>
      </c>
      <c r="R9" s="2">
        <f t="shared" si="1"/>
        <v>4150</v>
      </c>
      <c r="S9" s="35">
        <f t="shared" si="2"/>
        <v>0.0467310767290498</v>
      </c>
      <c r="T9" s="35"/>
      <c r="U9" s="36"/>
      <c r="V9" s="36" t="s">
        <v>60</v>
      </c>
      <c r="W9" s="36" t="s">
        <v>47</v>
      </c>
      <c r="X9" s="36"/>
    </row>
    <row r="10" ht="16.5" spans="1:29">
      <c r="A10" s="2">
        <v>2003</v>
      </c>
      <c r="B10" s="26">
        <v>1</v>
      </c>
      <c r="C10" s="26" t="b">
        <v>1</v>
      </c>
      <c r="D10" s="2">
        <v>2</v>
      </c>
      <c r="E10" s="26" t="s">
        <v>61</v>
      </c>
      <c r="F10" s="26" t="s">
        <v>62</v>
      </c>
      <c r="G10" s="26">
        <v>2025203</v>
      </c>
      <c r="H10" s="37" t="b">
        <v>0</v>
      </c>
      <c r="I10" s="38">
        <v>1</v>
      </c>
      <c r="J10" s="26">
        <v>5001</v>
      </c>
      <c r="K10" s="26"/>
      <c r="L10" s="2">
        <v>800</v>
      </c>
      <c r="M10" s="2" t="s">
        <v>53</v>
      </c>
      <c r="N10" s="32">
        <v>500</v>
      </c>
      <c r="O10" s="2">
        <f>_xlfn.XLOOKUP($D10,Sheet1!$A$2:$A$6,Sheet1!$C$2:$C$6,,0)</f>
        <v>4150</v>
      </c>
      <c r="P10" s="33">
        <f>Sheet1!$A$9/Sheet1!$C$9*N10+R10</f>
        <v>4650</v>
      </c>
      <c r="Q10" s="34">
        <f t="shared" si="0"/>
        <v>0.0355488280354112</v>
      </c>
      <c r="R10" s="2">
        <f t="shared" si="1"/>
        <v>4150</v>
      </c>
      <c r="S10" s="35">
        <f t="shared" si="2"/>
        <v>0.0467310767290498</v>
      </c>
      <c r="T10" s="35"/>
      <c r="U10" s="36"/>
      <c r="V10" s="36" t="s">
        <v>50</v>
      </c>
      <c r="W10" s="36" t="s">
        <v>47</v>
      </c>
      <c r="X10" s="36"/>
    </row>
    <row r="11" ht="16.5" spans="1:29">
      <c r="A11" s="2">
        <v>3001</v>
      </c>
      <c r="B11" s="26">
        <v>1</v>
      </c>
      <c r="C11" s="26" t="b">
        <v>1</v>
      </c>
      <c r="D11" s="2">
        <v>3</v>
      </c>
      <c r="E11" s="26" t="s">
        <v>63</v>
      </c>
      <c r="F11" s="26" t="s">
        <v>64</v>
      </c>
      <c r="G11" s="26">
        <v>2025301</v>
      </c>
      <c r="H11" s="37" t="b">
        <v>0</v>
      </c>
      <c r="I11" s="38">
        <v>1</v>
      </c>
      <c r="J11" s="26">
        <v>1001</v>
      </c>
      <c r="K11" s="26"/>
      <c r="L11" s="2">
        <v>1000</v>
      </c>
      <c r="M11" s="2" t="s">
        <v>45</v>
      </c>
      <c r="N11" s="32">
        <v>1400</v>
      </c>
      <c r="O11" s="2">
        <f>_xlfn.XLOOKUP($D11,Sheet1!$A$2:$A$6,Sheet1!$C$2:$C$6,,0)</f>
        <v>1660</v>
      </c>
      <c r="P11" s="33">
        <f>Sheet1!$A$9/Sheet1!$C$9*N11+R11</f>
        <v>3060</v>
      </c>
      <c r="Q11" s="34">
        <f t="shared" si="0"/>
        <v>0.0233934223200771</v>
      </c>
      <c r="R11" s="2">
        <f t="shared" si="1"/>
        <v>1660</v>
      </c>
      <c r="S11" s="35">
        <f t="shared" si="2"/>
        <v>0.0186924306916199</v>
      </c>
      <c r="T11" s="35"/>
      <c r="U11" s="36"/>
      <c r="V11" s="36" t="s">
        <v>46</v>
      </c>
      <c r="W11" s="36" t="s">
        <v>47</v>
      </c>
      <c r="X11" s="36"/>
    </row>
    <row r="12" ht="16.5" spans="1:29">
      <c r="A12" s="2">
        <v>3002</v>
      </c>
      <c r="B12" s="26">
        <v>1</v>
      </c>
      <c r="C12" s="26" t="b">
        <v>1</v>
      </c>
      <c r="D12" s="2">
        <v>3</v>
      </c>
      <c r="E12" s="26" t="s">
        <v>65</v>
      </c>
      <c r="F12" s="26" t="s">
        <v>66</v>
      </c>
      <c r="G12" s="26">
        <v>2025302</v>
      </c>
      <c r="H12" s="37" t="b">
        <v>0</v>
      </c>
      <c r="I12" s="38">
        <v>1</v>
      </c>
      <c r="J12" s="26">
        <v>1002</v>
      </c>
      <c r="K12" s="26"/>
      <c r="L12" s="2">
        <v>1000</v>
      </c>
      <c r="M12" s="2" t="s">
        <v>45</v>
      </c>
      <c r="N12" s="32">
        <v>1400</v>
      </c>
      <c r="O12" s="2">
        <f>_xlfn.XLOOKUP($D12,Sheet1!$A$2:$A$6,Sheet1!$C$2:$C$6,,0)</f>
        <v>1660</v>
      </c>
      <c r="P12" s="33">
        <f>Sheet1!$A$9/Sheet1!$C$9*N12+R12</f>
        <v>3060</v>
      </c>
      <c r="Q12" s="34">
        <f t="shared" si="0"/>
        <v>0.0233934223200771</v>
      </c>
      <c r="R12" s="2">
        <f t="shared" si="1"/>
        <v>1660</v>
      </c>
      <c r="S12" s="35">
        <f t="shared" si="2"/>
        <v>0.0186924306916199</v>
      </c>
      <c r="T12" s="35"/>
      <c r="U12" s="36"/>
      <c r="V12" s="36" t="s">
        <v>60</v>
      </c>
      <c r="W12" s="36" t="s">
        <v>47</v>
      </c>
      <c r="X12" s="36"/>
    </row>
    <row r="13" ht="16.5" spans="1:29">
      <c r="A13" s="2">
        <v>3003</v>
      </c>
      <c r="B13" s="26">
        <v>1</v>
      </c>
      <c r="C13" s="26" t="b">
        <v>1</v>
      </c>
      <c r="D13" s="2">
        <v>3</v>
      </c>
      <c r="E13" s="26" t="s">
        <v>67</v>
      </c>
      <c r="F13" s="26" t="s">
        <v>68</v>
      </c>
      <c r="G13" s="26">
        <v>2025303</v>
      </c>
      <c r="H13" s="37" t="b">
        <v>0</v>
      </c>
      <c r="I13" s="38">
        <v>1</v>
      </c>
      <c r="J13" s="26">
        <v>5001</v>
      </c>
      <c r="K13" s="26"/>
      <c r="L13" s="2">
        <v>1000</v>
      </c>
      <c r="M13" s="2" t="s">
        <v>53</v>
      </c>
      <c r="N13" s="32">
        <v>1400</v>
      </c>
      <c r="O13" s="2">
        <f>_xlfn.XLOOKUP($D13,Sheet1!$A$2:$A$6,Sheet1!$C$2:$C$6,,0)</f>
        <v>1660</v>
      </c>
      <c r="P13" s="33">
        <f>Sheet1!$A$9/Sheet1!$C$9*N13+R13</f>
        <v>3060</v>
      </c>
      <c r="Q13" s="34">
        <f t="shared" si="0"/>
        <v>0.0233934223200771</v>
      </c>
      <c r="R13" s="2">
        <f t="shared" si="1"/>
        <v>1660</v>
      </c>
      <c r="S13" s="35">
        <f t="shared" si="2"/>
        <v>0.0186924306916199</v>
      </c>
      <c r="T13" s="35"/>
      <c r="U13" s="36"/>
      <c r="V13" s="36" t="s">
        <v>50</v>
      </c>
      <c r="W13" s="36" t="s">
        <v>47</v>
      </c>
      <c r="X13" s="36"/>
    </row>
    <row r="14" ht="16.5" spans="1:29">
      <c r="A14" s="2">
        <v>4001</v>
      </c>
      <c r="B14" s="26">
        <v>1</v>
      </c>
      <c r="C14" s="26" t="b">
        <v>1</v>
      </c>
      <c r="D14" s="2">
        <v>4</v>
      </c>
      <c r="E14" s="26" t="s">
        <v>69</v>
      </c>
      <c r="F14" s="26" t="s">
        <v>70</v>
      </c>
      <c r="G14" s="26">
        <v>2025401</v>
      </c>
      <c r="H14" s="37" t="b">
        <v>0</v>
      </c>
      <c r="I14" s="38">
        <v>1</v>
      </c>
      <c r="J14" s="26">
        <v>5001</v>
      </c>
      <c r="K14" s="26"/>
      <c r="L14" s="2">
        <v>1400</v>
      </c>
      <c r="M14" s="2" t="s">
        <v>45</v>
      </c>
      <c r="N14" s="32">
        <v>2000</v>
      </c>
      <c r="O14" s="2">
        <f>_xlfn.XLOOKUP($D14,Sheet1!$A$2:$A$6,Sheet1!$C$2:$C$6,,0)</f>
        <v>553</v>
      </c>
      <c r="P14" s="33">
        <f>Sheet1!$A$9/Sheet1!$C$9*N14+R14</f>
        <v>2553</v>
      </c>
      <c r="Q14" s="34">
        <f t="shared" si="0"/>
        <v>0.019517453327829</v>
      </c>
      <c r="R14" s="2">
        <f t="shared" si="1"/>
        <v>553</v>
      </c>
      <c r="S14" s="35">
        <f t="shared" si="2"/>
        <v>0.0062270567304011</v>
      </c>
      <c r="T14" s="35"/>
      <c r="U14" s="36"/>
      <c r="V14" s="36" t="s">
        <v>57</v>
      </c>
      <c r="W14" s="36" t="s">
        <v>47</v>
      </c>
      <c r="X14" s="36"/>
    </row>
    <row r="15" ht="16.5" spans="1:29">
      <c r="A15" s="2">
        <v>4002</v>
      </c>
      <c r="B15" s="26">
        <v>1</v>
      </c>
      <c r="C15" s="26" t="b">
        <v>1</v>
      </c>
      <c r="D15" s="2">
        <v>4</v>
      </c>
      <c r="E15" s="26" t="s">
        <v>71</v>
      </c>
      <c r="F15" s="26" t="s">
        <v>72</v>
      </c>
      <c r="G15" s="26">
        <v>2025402</v>
      </c>
      <c r="H15" s="37" t="b">
        <v>0</v>
      </c>
      <c r="I15" s="38">
        <v>1</v>
      </c>
      <c r="J15" s="26">
        <v>1001</v>
      </c>
      <c r="K15" s="26"/>
      <c r="L15" s="2">
        <v>1400</v>
      </c>
      <c r="M15" s="2" t="s">
        <v>45</v>
      </c>
      <c r="N15" s="32">
        <v>2000</v>
      </c>
      <c r="O15" s="2">
        <f>_xlfn.XLOOKUP($D15,Sheet1!$A$2:$A$6,Sheet1!$C$2:$C$6,,0)</f>
        <v>553</v>
      </c>
      <c r="P15" s="33">
        <f>Sheet1!$A$9/Sheet1!$C$9*N15+R15</f>
        <v>2553</v>
      </c>
      <c r="Q15" s="34">
        <f t="shared" si="0"/>
        <v>0.019517453327829</v>
      </c>
      <c r="R15" s="2">
        <f t="shared" si="1"/>
        <v>553</v>
      </c>
      <c r="S15" s="35">
        <f t="shared" si="2"/>
        <v>0.0062270567304011</v>
      </c>
      <c r="T15" s="35"/>
      <c r="U15" s="36"/>
      <c r="V15" s="36" t="s">
        <v>54</v>
      </c>
      <c r="W15" s="36" t="s">
        <v>47</v>
      </c>
      <c r="X15" s="36"/>
    </row>
    <row r="16" ht="16.5" spans="1:29">
      <c r="A16" s="2">
        <v>4003</v>
      </c>
      <c r="B16" s="26">
        <v>1</v>
      </c>
      <c r="C16" s="26" t="b">
        <v>1</v>
      </c>
      <c r="D16" s="2">
        <v>4</v>
      </c>
      <c r="E16" s="26" t="s">
        <v>73</v>
      </c>
      <c r="F16" s="26" t="s">
        <v>74</v>
      </c>
      <c r="G16" s="26">
        <v>2025403</v>
      </c>
      <c r="H16" s="37" t="b">
        <v>0</v>
      </c>
      <c r="I16" s="38">
        <v>1</v>
      </c>
      <c r="J16" s="26">
        <v>1002</v>
      </c>
      <c r="K16" s="26"/>
      <c r="L16" s="2">
        <v>1400</v>
      </c>
      <c r="M16" s="2" t="s">
        <v>53</v>
      </c>
      <c r="N16" s="32">
        <v>2000</v>
      </c>
      <c r="O16" s="2">
        <f>_xlfn.XLOOKUP($D16,Sheet1!$A$2:$A$6,Sheet1!$C$2:$C$6,,0)</f>
        <v>553</v>
      </c>
      <c r="P16" s="33">
        <f>Sheet1!$A$9/Sheet1!$C$9*N16+R16</f>
        <v>2553</v>
      </c>
      <c r="Q16" s="34">
        <f t="shared" si="0"/>
        <v>0.019517453327829</v>
      </c>
      <c r="R16" s="2">
        <f t="shared" si="1"/>
        <v>553</v>
      </c>
      <c r="S16" s="35">
        <f t="shared" si="2"/>
        <v>0.0062270567304011</v>
      </c>
      <c r="T16" s="35"/>
      <c r="U16" s="36"/>
      <c r="V16" s="36" t="s">
        <v>46</v>
      </c>
      <c r="W16" s="36" t="s">
        <v>47</v>
      </c>
      <c r="X16" s="36"/>
    </row>
    <row r="17" ht="16.5" spans="1:24">
      <c r="A17" s="1">
        <v>5001</v>
      </c>
      <c r="B17" s="1">
        <v>1</v>
      </c>
      <c r="C17" s="29" t="b">
        <v>1</v>
      </c>
      <c r="D17" s="1">
        <v>5</v>
      </c>
      <c r="E17" s="30" t="s">
        <v>75</v>
      </c>
      <c r="F17" s="30" t="s">
        <v>76</v>
      </c>
      <c r="G17" s="26">
        <v>2025501</v>
      </c>
      <c r="H17" s="29" t="b">
        <v>0</v>
      </c>
      <c r="I17" s="31">
        <v>1</v>
      </c>
      <c r="J17" s="30">
        <v>5001</v>
      </c>
      <c r="K17" s="26"/>
      <c r="L17" s="2">
        <v>2000</v>
      </c>
      <c r="M17" s="2" t="s">
        <v>45</v>
      </c>
      <c r="N17" s="32">
        <v>3000</v>
      </c>
      <c r="O17" s="2">
        <f>_xlfn.XLOOKUP($D17,Sheet1!$A$2:$A$6,Sheet1!$C$2:$C$6,,0)</f>
        <v>138</v>
      </c>
      <c r="P17" s="33">
        <f>Sheet1!$A$9/Sheet1!$C$9*N17+R17</f>
        <v>3138</v>
      </c>
      <c r="Q17" s="34">
        <f t="shared" si="0"/>
        <v>0.0239897252419614</v>
      </c>
      <c r="R17" s="2">
        <f t="shared" si="1"/>
        <v>138</v>
      </c>
      <c r="S17" s="35">
        <f t="shared" si="2"/>
        <v>0.00155394905749612</v>
      </c>
      <c r="T17" s="35"/>
      <c r="U17" s="36"/>
      <c r="V17" s="36" t="s">
        <v>57</v>
      </c>
      <c r="W17" s="36" t="s">
        <v>47</v>
      </c>
      <c r="X17" s="36"/>
    </row>
    <row r="18" ht="16.5" spans="1:24">
      <c r="A18" s="2">
        <v>5002</v>
      </c>
      <c r="B18" s="26">
        <v>1</v>
      </c>
      <c r="C18" s="26" t="b">
        <v>1</v>
      </c>
      <c r="D18" s="2">
        <v>5</v>
      </c>
      <c r="E18" s="26" t="s">
        <v>77</v>
      </c>
      <c r="F18" s="26" t="s">
        <v>78</v>
      </c>
      <c r="G18" s="26">
        <v>2025502</v>
      </c>
      <c r="H18" s="37" t="b">
        <v>0</v>
      </c>
      <c r="I18" s="38">
        <v>1</v>
      </c>
      <c r="J18" s="26">
        <v>1002</v>
      </c>
      <c r="K18" s="26"/>
      <c r="L18" s="2">
        <v>2000</v>
      </c>
      <c r="M18" s="2" t="s">
        <v>45</v>
      </c>
      <c r="N18" s="32">
        <v>3000</v>
      </c>
      <c r="O18" s="2">
        <f>_xlfn.XLOOKUP($D18,Sheet1!$A$2:$A$6,Sheet1!$C$2:$C$6,,0)</f>
        <v>138</v>
      </c>
      <c r="P18" s="33">
        <f>Sheet1!$A$9/Sheet1!$C$9*N18+R18</f>
        <v>3138</v>
      </c>
      <c r="Q18" s="34">
        <f t="shared" si="0"/>
        <v>0.0239897252419614</v>
      </c>
      <c r="R18" s="2">
        <f t="shared" si="1"/>
        <v>138</v>
      </c>
      <c r="S18" s="35">
        <f t="shared" si="2"/>
        <v>0.00155394905749612</v>
      </c>
      <c r="T18" s="35"/>
      <c r="U18" s="36"/>
      <c r="V18" s="36" t="s">
        <v>54</v>
      </c>
      <c r="W18" s="36" t="s">
        <v>47</v>
      </c>
      <c r="X18" s="36"/>
    </row>
    <row r="19" ht="16.5" spans="1:24">
      <c r="A19" s="2">
        <v>5003</v>
      </c>
      <c r="B19" s="26">
        <v>1</v>
      </c>
      <c r="C19" s="26" t="b">
        <v>1</v>
      </c>
      <c r="D19" s="2">
        <v>5</v>
      </c>
      <c r="E19" s="26" t="s">
        <v>79</v>
      </c>
      <c r="F19" s="26" t="s">
        <v>80</v>
      </c>
      <c r="G19" s="26">
        <v>2025503</v>
      </c>
      <c r="H19" s="37" t="b">
        <v>0</v>
      </c>
      <c r="I19" s="38">
        <v>1</v>
      </c>
      <c r="J19" s="26">
        <v>1001</v>
      </c>
      <c r="K19" s="26"/>
      <c r="L19" s="2">
        <v>2000</v>
      </c>
      <c r="M19" s="2" t="s">
        <v>53</v>
      </c>
      <c r="N19" s="32">
        <v>3000</v>
      </c>
      <c r="O19" s="2">
        <f>_xlfn.XLOOKUP($D19,Sheet1!$A$2:$A$6,Sheet1!$C$2:$C$6,,0)</f>
        <v>138</v>
      </c>
      <c r="P19" s="33">
        <f>Sheet1!$A$9/Sheet1!$C$9*N19+R19</f>
        <v>3138</v>
      </c>
      <c r="Q19" s="34">
        <f t="shared" si="0"/>
        <v>0.0239897252419614</v>
      </c>
      <c r="R19" s="2">
        <f t="shared" si="1"/>
        <v>138</v>
      </c>
      <c r="S19" s="35">
        <f t="shared" si="2"/>
        <v>0.00155394905749612</v>
      </c>
      <c r="T19" s="35"/>
      <c r="U19" s="36"/>
      <c r="V19" s="36" t="s">
        <v>50</v>
      </c>
      <c r="W19" s="36" t="s">
        <v>47</v>
      </c>
      <c r="X19" s="36"/>
    </row>
    <row r="20" ht="16.5" spans="1:24">
      <c r="A20" s="1">
        <v>1004</v>
      </c>
      <c r="B20" s="1">
        <v>1</v>
      </c>
      <c r="C20" s="29" t="b">
        <v>1</v>
      </c>
      <c r="D20" s="1">
        <v>1</v>
      </c>
      <c r="E20" s="30" t="s">
        <v>81</v>
      </c>
      <c r="F20" s="30" t="s">
        <v>82</v>
      </c>
      <c r="G20" s="26">
        <v>2025104</v>
      </c>
      <c r="H20" s="29" t="b">
        <v>0</v>
      </c>
      <c r="I20" s="31">
        <v>1</v>
      </c>
      <c r="J20" s="30">
        <v>1004</v>
      </c>
      <c r="K20" s="26"/>
      <c r="L20" s="2">
        <v>400</v>
      </c>
      <c r="M20" s="2" t="s">
        <v>45</v>
      </c>
      <c r="N20" s="32">
        <v>100</v>
      </c>
      <c r="O20" s="2">
        <f>_xlfn.XLOOKUP($D20,Sheet1!$A$2:$A$6,Sheet1!$C$2:$C$6,,0)</f>
        <v>8300</v>
      </c>
      <c r="P20" s="33">
        <f>Sheet1!$A$9/Sheet1!$C$9*N20+R20</f>
        <v>8400</v>
      </c>
      <c r="Q20" s="34">
        <f t="shared" si="0"/>
        <v>0.064217237741388</v>
      </c>
      <c r="R20" s="2">
        <f t="shared" si="1"/>
        <v>8300</v>
      </c>
      <c r="S20" s="35">
        <f t="shared" si="2"/>
        <v>0.0934621534580997</v>
      </c>
      <c r="T20" s="35"/>
      <c r="U20" s="36"/>
      <c r="V20" s="36" t="s">
        <v>57</v>
      </c>
      <c r="W20" s="36" t="s">
        <v>47</v>
      </c>
      <c r="X20" s="36"/>
    </row>
    <row r="21" ht="16.5" spans="1:24">
      <c r="A21" s="1">
        <v>1005</v>
      </c>
      <c r="B21" s="1">
        <v>1</v>
      </c>
      <c r="C21" s="29" t="b">
        <v>1</v>
      </c>
      <c r="D21" s="1">
        <v>1</v>
      </c>
      <c r="E21" s="30" t="s">
        <v>83</v>
      </c>
      <c r="F21" s="30" t="s">
        <v>84</v>
      </c>
      <c r="G21" s="26">
        <v>2025105</v>
      </c>
      <c r="H21" s="29" t="b">
        <v>0</v>
      </c>
      <c r="I21" s="31">
        <v>1</v>
      </c>
      <c r="J21" s="30">
        <v>1005</v>
      </c>
      <c r="K21" s="26"/>
      <c r="L21" s="2">
        <v>400</v>
      </c>
      <c r="M21" s="2" t="s">
        <v>45</v>
      </c>
      <c r="N21" s="32">
        <v>100</v>
      </c>
      <c r="O21" s="2">
        <f>_xlfn.XLOOKUP($D21,Sheet1!$A$2:$A$6,Sheet1!$C$2:$C$6,,0)</f>
        <v>8300</v>
      </c>
      <c r="P21" s="33">
        <f>Sheet1!$A$9/Sheet1!$C$9*N21+R21</f>
        <v>8400</v>
      </c>
      <c r="Q21" s="34">
        <f t="shared" si="0"/>
        <v>0.064217237741388</v>
      </c>
      <c r="R21" s="2">
        <f t="shared" si="1"/>
        <v>8300</v>
      </c>
      <c r="S21" s="35">
        <f t="shared" si="2"/>
        <v>0.0934621534580997</v>
      </c>
      <c r="T21" s="35"/>
      <c r="U21" s="36"/>
      <c r="V21" s="36" t="s">
        <v>54</v>
      </c>
      <c r="W21" s="36" t="s">
        <v>47</v>
      </c>
      <c r="X21" s="36"/>
    </row>
    <row r="22" ht="16.5" spans="1:24">
      <c r="A22" s="2">
        <v>1006</v>
      </c>
      <c r="B22" s="26">
        <v>1</v>
      </c>
      <c r="C22" s="26" t="b">
        <v>1</v>
      </c>
      <c r="D22" s="2">
        <v>1</v>
      </c>
      <c r="E22" s="26" t="s">
        <v>85</v>
      </c>
      <c r="F22" s="26" t="s">
        <v>86</v>
      </c>
      <c r="G22" s="26">
        <v>2025106</v>
      </c>
      <c r="H22" s="37" t="b">
        <v>0</v>
      </c>
      <c r="I22" s="38">
        <v>1</v>
      </c>
      <c r="J22" s="26">
        <v>1002</v>
      </c>
      <c r="K22" s="26"/>
      <c r="L22" s="2">
        <v>400</v>
      </c>
      <c r="M22" s="2" t="s">
        <v>53</v>
      </c>
      <c r="N22" s="32">
        <v>100</v>
      </c>
      <c r="O22" s="2">
        <f>_xlfn.XLOOKUP($D22,Sheet1!$A$2:$A$6,Sheet1!$C$2:$C$6,,0)</f>
        <v>8300</v>
      </c>
      <c r="P22" s="33">
        <f>Sheet1!$A$9/Sheet1!$C$9*N22+R22</f>
        <v>8400</v>
      </c>
      <c r="Q22" s="34">
        <f t="shared" si="0"/>
        <v>0.064217237741388</v>
      </c>
      <c r="R22" s="2">
        <f t="shared" si="1"/>
        <v>8300</v>
      </c>
      <c r="S22" s="35">
        <f t="shared" si="2"/>
        <v>0.0934621534580997</v>
      </c>
      <c r="T22" s="35"/>
      <c r="U22" s="36"/>
      <c r="V22" s="36" t="s">
        <v>87</v>
      </c>
      <c r="W22" s="36" t="s">
        <v>47</v>
      </c>
      <c r="X22" s="36"/>
    </row>
    <row r="23" ht="16.5" spans="1:24">
      <c r="A23" s="2">
        <v>2004</v>
      </c>
      <c r="B23" s="26">
        <v>1</v>
      </c>
      <c r="C23" s="26" t="b">
        <v>1</v>
      </c>
      <c r="D23" s="2">
        <v>2</v>
      </c>
      <c r="E23" s="26" t="s">
        <v>88</v>
      </c>
      <c r="F23" s="26" t="s">
        <v>89</v>
      </c>
      <c r="G23" s="26">
        <v>2025204</v>
      </c>
      <c r="H23" s="37" t="b">
        <v>0</v>
      </c>
      <c r="I23" s="38">
        <v>1</v>
      </c>
      <c r="J23" s="26">
        <v>5006</v>
      </c>
      <c r="K23" s="26"/>
      <c r="L23" s="2">
        <v>800</v>
      </c>
      <c r="M23" s="2" t="s">
        <v>45</v>
      </c>
      <c r="N23" s="32">
        <v>500</v>
      </c>
      <c r="O23" s="2">
        <f>_xlfn.XLOOKUP($D23,Sheet1!$A$2:$A$6,Sheet1!$C$2:$C$6,,0)</f>
        <v>4150</v>
      </c>
      <c r="P23" s="33">
        <f>Sheet1!$A$9/Sheet1!$C$9*N23+R23</f>
        <v>4650</v>
      </c>
      <c r="Q23" s="34">
        <f t="shared" si="0"/>
        <v>0.0355488280354112</v>
      </c>
      <c r="R23" s="2">
        <f t="shared" si="1"/>
        <v>4150</v>
      </c>
      <c r="S23" s="35">
        <f t="shared" si="2"/>
        <v>0.0467310767290498</v>
      </c>
      <c r="T23" s="35"/>
      <c r="U23" s="36"/>
      <c r="V23" s="36" t="s">
        <v>60</v>
      </c>
      <c r="W23" s="36" t="s">
        <v>47</v>
      </c>
      <c r="X23" s="36"/>
    </row>
    <row r="24" ht="16.5" spans="1:24">
      <c r="A24" s="2">
        <v>2005</v>
      </c>
      <c r="B24" s="26">
        <v>1</v>
      </c>
      <c r="C24" s="26" t="b">
        <v>1</v>
      </c>
      <c r="D24" s="2">
        <v>2</v>
      </c>
      <c r="E24" s="26" t="s">
        <v>90</v>
      </c>
      <c r="F24" s="26" t="s">
        <v>91</v>
      </c>
      <c r="G24" s="26">
        <v>2025205</v>
      </c>
      <c r="H24" s="37" t="b">
        <v>0</v>
      </c>
      <c r="I24" s="38">
        <v>1</v>
      </c>
      <c r="J24" s="26">
        <v>1004</v>
      </c>
      <c r="K24" s="26"/>
      <c r="L24" s="2">
        <v>800</v>
      </c>
      <c r="M24" s="2" t="s">
        <v>45</v>
      </c>
      <c r="N24" s="32">
        <v>500</v>
      </c>
      <c r="O24" s="2">
        <f>_xlfn.XLOOKUP($D24,Sheet1!$A$2:$A$6,Sheet1!$C$2:$C$6,,0)</f>
        <v>4150</v>
      </c>
      <c r="P24" s="33">
        <f>Sheet1!$A$9/Sheet1!$C$9*N24+R24</f>
        <v>4650</v>
      </c>
      <c r="Q24" s="34">
        <f t="shared" si="0"/>
        <v>0.0355488280354112</v>
      </c>
      <c r="R24" s="2">
        <f t="shared" si="1"/>
        <v>4150</v>
      </c>
      <c r="S24" s="35">
        <f t="shared" si="2"/>
        <v>0.0467310767290498</v>
      </c>
      <c r="T24" s="35"/>
      <c r="U24" s="36"/>
      <c r="V24" s="36" t="s">
        <v>60</v>
      </c>
      <c r="W24" s="36" t="s">
        <v>47</v>
      </c>
      <c r="X24" s="36"/>
    </row>
    <row r="25" ht="16.5" spans="1:24">
      <c r="A25" s="2">
        <v>2006</v>
      </c>
      <c r="B25" s="26">
        <v>1</v>
      </c>
      <c r="C25" s="26" t="b">
        <v>1</v>
      </c>
      <c r="D25" s="2">
        <v>2</v>
      </c>
      <c r="E25" s="26" t="s">
        <v>92</v>
      </c>
      <c r="F25" s="26" t="s">
        <v>93</v>
      </c>
      <c r="G25" s="26">
        <v>2025206</v>
      </c>
      <c r="H25" s="37" t="b">
        <v>0</v>
      </c>
      <c r="I25" s="38">
        <v>1</v>
      </c>
      <c r="J25" s="26">
        <v>1005</v>
      </c>
      <c r="K25" s="26"/>
      <c r="L25" s="2">
        <v>800</v>
      </c>
      <c r="M25" s="2" t="s">
        <v>53</v>
      </c>
      <c r="N25" s="32">
        <v>500</v>
      </c>
      <c r="O25" s="2">
        <f>_xlfn.XLOOKUP($D25,Sheet1!$A$2:$A$6,Sheet1!$C$2:$C$6,,0)</f>
        <v>4150</v>
      </c>
      <c r="P25" s="33">
        <f>Sheet1!$A$9/Sheet1!$C$9*N25+R25</f>
        <v>4650</v>
      </c>
      <c r="Q25" s="34">
        <f t="shared" si="0"/>
        <v>0.0355488280354112</v>
      </c>
      <c r="R25" s="2">
        <f t="shared" si="1"/>
        <v>4150</v>
      </c>
      <c r="S25" s="35">
        <f t="shared" si="2"/>
        <v>0.0467310767290498</v>
      </c>
      <c r="T25" s="35"/>
      <c r="U25" s="36"/>
      <c r="V25" s="36" t="s">
        <v>46</v>
      </c>
      <c r="W25" s="36" t="s">
        <v>47</v>
      </c>
      <c r="X25" s="36"/>
    </row>
    <row r="26" ht="16.5" spans="1:24">
      <c r="A26" s="2">
        <v>3004</v>
      </c>
      <c r="B26" s="26">
        <v>1</v>
      </c>
      <c r="C26" s="26" t="b">
        <v>1</v>
      </c>
      <c r="D26" s="2">
        <v>3</v>
      </c>
      <c r="E26" s="26" t="s">
        <v>94</v>
      </c>
      <c r="F26" s="26" t="s">
        <v>95</v>
      </c>
      <c r="G26" s="26">
        <v>2025304</v>
      </c>
      <c r="H26" s="37" t="b">
        <v>0</v>
      </c>
      <c r="I26" s="38">
        <v>1</v>
      </c>
      <c r="J26" s="26">
        <v>1004</v>
      </c>
      <c r="K26" s="26"/>
      <c r="L26" s="2">
        <v>1000</v>
      </c>
      <c r="M26" s="2" t="s">
        <v>45</v>
      </c>
      <c r="N26" s="32">
        <v>1400</v>
      </c>
      <c r="O26" s="2">
        <f>_xlfn.XLOOKUP($D26,Sheet1!$A$2:$A$6,Sheet1!$C$2:$C$6,,0)</f>
        <v>1660</v>
      </c>
      <c r="P26" s="33">
        <f>Sheet1!$A$9/Sheet1!$C$9*N26+R26</f>
        <v>3060</v>
      </c>
      <c r="Q26" s="34">
        <f t="shared" si="0"/>
        <v>0.0233934223200771</v>
      </c>
      <c r="R26" s="2">
        <f t="shared" si="1"/>
        <v>1660</v>
      </c>
      <c r="S26" s="35">
        <f t="shared" si="2"/>
        <v>0.0186924306916199</v>
      </c>
      <c r="T26" s="35"/>
      <c r="U26" s="36"/>
      <c r="V26" s="36" t="s">
        <v>54</v>
      </c>
      <c r="W26" s="36" t="s">
        <v>47</v>
      </c>
      <c r="X26" s="36"/>
    </row>
    <row r="27" ht="16.5" spans="1:24">
      <c r="A27" s="2">
        <v>3005</v>
      </c>
      <c r="B27" s="26">
        <v>1</v>
      </c>
      <c r="C27" s="26" t="b">
        <v>1</v>
      </c>
      <c r="D27" s="2">
        <v>3</v>
      </c>
      <c r="E27" s="26" t="s">
        <v>96</v>
      </c>
      <c r="F27" s="26" t="s">
        <v>97</v>
      </c>
      <c r="G27" s="26">
        <v>2025305</v>
      </c>
      <c r="H27" s="37" t="b">
        <v>0</v>
      </c>
      <c r="I27" s="38">
        <v>1</v>
      </c>
      <c r="J27" s="26">
        <v>1005</v>
      </c>
      <c r="K27" s="26"/>
      <c r="L27" s="2">
        <v>1000</v>
      </c>
      <c r="M27" s="2" t="s">
        <v>45</v>
      </c>
      <c r="N27" s="32">
        <v>1400</v>
      </c>
      <c r="O27" s="2">
        <f>_xlfn.XLOOKUP($D27,Sheet1!$A$2:$A$6,Sheet1!$C$2:$C$6,,0)</f>
        <v>1660</v>
      </c>
      <c r="P27" s="33">
        <f>Sheet1!$A$9/Sheet1!$C$9*N27+R27</f>
        <v>3060</v>
      </c>
      <c r="Q27" s="34">
        <f t="shared" si="0"/>
        <v>0.0233934223200771</v>
      </c>
      <c r="R27" s="2">
        <f t="shared" si="1"/>
        <v>1660</v>
      </c>
      <c r="S27" s="35">
        <f t="shared" si="2"/>
        <v>0.0186924306916199</v>
      </c>
      <c r="T27" s="35"/>
      <c r="U27" s="36"/>
      <c r="V27" s="36" t="s">
        <v>57</v>
      </c>
      <c r="W27" s="36" t="s">
        <v>47</v>
      </c>
      <c r="X27" s="36"/>
    </row>
    <row r="28" ht="16.5" spans="1:24">
      <c r="A28" s="2">
        <v>3006</v>
      </c>
      <c r="B28" s="26">
        <v>1</v>
      </c>
      <c r="C28" s="26" t="b">
        <v>1</v>
      </c>
      <c r="D28" s="2">
        <v>3</v>
      </c>
      <c r="E28" s="26" t="s">
        <v>98</v>
      </c>
      <c r="F28" s="26" t="s">
        <v>99</v>
      </c>
      <c r="G28" s="26">
        <v>2025306</v>
      </c>
      <c r="H28" s="37" t="b">
        <v>0</v>
      </c>
      <c r="I28" s="38">
        <v>1</v>
      </c>
      <c r="J28" s="26">
        <v>5006</v>
      </c>
      <c r="K28" s="26"/>
      <c r="L28" s="2">
        <v>1000</v>
      </c>
      <c r="M28" s="2" t="s">
        <v>53</v>
      </c>
      <c r="N28" s="32">
        <v>1400</v>
      </c>
      <c r="O28" s="2">
        <f>_xlfn.XLOOKUP($D28,Sheet1!$A$2:$A$6,Sheet1!$C$2:$C$6,,0)</f>
        <v>1660</v>
      </c>
      <c r="P28" s="33">
        <f>Sheet1!$A$9/Sheet1!$C$9*N28+R28</f>
        <v>3060</v>
      </c>
      <c r="Q28" s="34">
        <f t="shared" si="0"/>
        <v>0.0233934223200771</v>
      </c>
      <c r="R28" s="2">
        <f t="shared" si="1"/>
        <v>1660</v>
      </c>
      <c r="S28" s="35">
        <f t="shared" si="2"/>
        <v>0.0186924306916199</v>
      </c>
      <c r="T28" s="35"/>
      <c r="U28" s="36"/>
      <c r="V28" s="36" t="s">
        <v>54</v>
      </c>
      <c r="W28" s="36" t="s">
        <v>47</v>
      </c>
      <c r="X28" s="36"/>
    </row>
    <row r="29" ht="16.5" spans="1:24">
      <c r="A29" s="2">
        <v>4004</v>
      </c>
      <c r="B29" s="26">
        <v>1</v>
      </c>
      <c r="C29" s="26" t="b">
        <v>1</v>
      </c>
      <c r="D29" s="2">
        <v>4</v>
      </c>
      <c r="E29" s="26" t="s">
        <v>100</v>
      </c>
      <c r="F29" s="26" t="s">
        <v>101</v>
      </c>
      <c r="G29" s="26">
        <v>2025404</v>
      </c>
      <c r="H29" s="37" t="b">
        <v>0</v>
      </c>
      <c r="I29" s="38">
        <v>1</v>
      </c>
      <c r="J29" s="26">
        <v>5006</v>
      </c>
      <c r="K29" s="26"/>
      <c r="L29" s="2">
        <v>1400</v>
      </c>
      <c r="M29" s="2" t="s">
        <v>45</v>
      </c>
      <c r="N29" s="32">
        <v>2000</v>
      </c>
      <c r="O29" s="2">
        <f>_xlfn.XLOOKUP($D29,Sheet1!$A$2:$A$6,Sheet1!$C$2:$C$6,,0)</f>
        <v>553</v>
      </c>
      <c r="P29" s="33">
        <f>Sheet1!$A$9/Sheet1!$C$9*N29+R29</f>
        <v>2553</v>
      </c>
      <c r="Q29" s="34">
        <f t="shared" si="0"/>
        <v>0.019517453327829</v>
      </c>
      <c r="R29" s="2">
        <f t="shared" si="1"/>
        <v>553</v>
      </c>
      <c r="S29" s="35">
        <f t="shared" si="2"/>
        <v>0.0062270567304011</v>
      </c>
      <c r="T29" s="35"/>
      <c r="U29" s="36"/>
      <c r="V29" s="36" t="s">
        <v>60</v>
      </c>
      <c r="W29" s="36" t="s">
        <v>47</v>
      </c>
      <c r="X29" s="36"/>
    </row>
    <row r="30" ht="16.5" spans="1:24">
      <c r="A30" s="2">
        <v>4005</v>
      </c>
      <c r="B30" s="26">
        <v>1</v>
      </c>
      <c r="C30" s="26" t="b">
        <v>1</v>
      </c>
      <c r="D30" s="2">
        <v>4</v>
      </c>
      <c r="E30" s="26" t="s">
        <v>102</v>
      </c>
      <c r="F30" s="26" t="s">
        <v>103</v>
      </c>
      <c r="G30" s="26">
        <v>2025405</v>
      </c>
      <c r="H30" s="37" t="b">
        <v>0</v>
      </c>
      <c r="I30" s="38">
        <v>1</v>
      </c>
      <c r="J30" s="26">
        <v>1005</v>
      </c>
      <c r="K30" s="26"/>
      <c r="L30" s="2">
        <v>1400</v>
      </c>
      <c r="M30" s="2" t="s">
        <v>45</v>
      </c>
      <c r="N30" s="32">
        <v>2000</v>
      </c>
      <c r="O30" s="2">
        <f>_xlfn.XLOOKUP($D30,Sheet1!$A$2:$A$6,Sheet1!$C$2:$C$6,,0)</f>
        <v>553</v>
      </c>
      <c r="P30" s="33">
        <f>Sheet1!$A$9/Sheet1!$C$9*N30+R30</f>
        <v>2553</v>
      </c>
      <c r="Q30" s="34">
        <f t="shared" si="0"/>
        <v>0.019517453327829</v>
      </c>
      <c r="R30" s="2">
        <f t="shared" si="1"/>
        <v>553</v>
      </c>
      <c r="S30" s="35">
        <f t="shared" si="2"/>
        <v>0.0062270567304011</v>
      </c>
      <c r="T30" s="35"/>
      <c r="U30" s="36"/>
      <c r="V30" s="36" t="s">
        <v>104</v>
      </c>
      <c r="W30" s="36" t="s">
        <v>47</v>
      </c>
      <c r="X30" s="36"/>
    </row>
    <row r="31" ht="16.5" spans="1:24">
      <c r="A31" s="2">
        <v>4006</v>
      </c>
      <c r="B31" s="26">
        <v>1</v>
      </c>
      <c r="C31" s="26" t="b">
        <v>1</v>
      </c>
      <c r="D31" s="2">
        <v>4</v>
      </c>
      <c r="E31" s="26" t="s">
        <v>105</v>
      </c>
      <c r="F31" s="26" t="s">
        <v>106</v>
      </c>
      <c r="G31" s="26">
        <v>2025406</v>
      </c>
      <c r="H31" s="37" t="b">
        <v>0</v>
      </c>
      <c r="I31" s="38">
        <v>1</v>
      </c>
      <c r="J31" s="26">
        <v>1004</v>
      </c>
      <c r="K31" s="26"/>
      <c r="L31" s="2">
        <v>1400</v>
      </c>
      <c r="M31" s="2" t="s">
        <v>53</v>
      </c>
      <c r="N31" s="32">
        <v>2000</v>
      </c>
      <c r="O31" s="2">
        <f>_xlfn.XLOOKUP($D31,Sheet1!$A$2:$A$6,Sheet1!$C$2:$C$6,,0)</f>
        <v>553</v>
      </c>
      <c r="P31" s="33">
        <f>Sheet1!$A$9/Sheet1!$C$9*N31+R31</f>
        <v>2553</v>
      </c>
      <c r="Q31" s="34">
        <f t="shared" si="0"/>
        <v>0.019517453327829</v>
      </c>
      <c r="R31" s="2">
        <f t="shared" si="1"/>
        <v>553</v>
      </c>
      <c r="S31" s="35">
        <f t="shared" si="2"/>
        <v>0.0062270567304011</v>
      </c>
      <c r="T31" s="35"/>
      <c r="U31" s="36"/>
      <c r="V31" s="36" t="s">
        <v>104</v>
      </c>
      <c r="W31" s="36" t="s">
        <v>47</v>
      </c>
      <c r="X31" s="36"/>
    </row>
    <row r="32" ht="16.5" spans="1:24">
      <c r="A32" s="2">
        <v>5004</v>
      </c>
      <c r="B32" s="26">
        <v>1</v>
      </c>
      <c r="C32" s="26" t="b">
        <v>1</v>
      </c>
      <c r="D32" s="2">
        <v>5</v>
      </c>
      <c r="E32" s="26" t="s">
        <v>107</v>
      </c>
      <c r="F32" s="26" t="s">
        <v>108</v>
      </c>
      <c r="G32" s="26">
        <v>2025504</v>
      </c>
      <c r="H32" s="37" t="b">
        <v>0</v>
      </c>
      <c r="I32" s="38">
        <v>1</v>
      </c>
      <c r="J32" s="26">
        <v>1005</v>
      </c>
      <c r="K32" s="26"/>
      <c r="L32" s="2">
        <v>2000</v>
      </c>
      <c r="M32" s="2" t="s">
        <v>45</v>
      </c>
      <c r="N32" s="32">
        <v>3000</v>
      </c>
      <c r="O32" s="2">
        <f>_xlfn.XLOOKUP($D32,Sheet1!$A$2:$A$6,Sheet1!$C$2:$C$6,,0)</f>
        <v>138</v>
      </c>
      <c r="P32" s="33">
        <f>Sheet1!$A$9/Sheet1!$C$9*N32+R32</f>
        <v>3138</v>
      </c>
      <c r="Q32" s="34">
        <f t="shared" si="0"/>
        <v>0.0239897252419614</v>
      </c>
      <c r="R32" s="2">
        <f t="shared" si="1"/>
        <v>138</v>
      </c>
      <c r="S32" s="35">
        <f t="shared" si="2"/>
        <v>0.00155394905749612</v>
      </c>
      <c r="T32" s="35"/>
      <c r="U32" s="36"/>
      <c r="V32" s="36" t="s">
        <v>57</v>
      </c>
      <c r="W32" s="36" t="s">
        <v>47</v>
      </c>
      <c r="X32" s="36"/>
    </row>
    <row r="33" ht="16.5" spans="1:24">
      <c r="A33" s="2">
        <v>5005</v>
      </c>
      <c r="B33" s="26">
        <v>1</v>
      </c>
      <c r="C33" s="26" t="b">
        <v>1</v>
      </c>
      <c r="D33" s="2">
        <v>5</v>
      </c>
      <c r="E33" s="26" t="s">
        <v>109</v>
      </c>
      <c r="F33" s="26" t="s">
        <v>110</v>
      </c>
      <c r="G33" s="26">
        <v>2025505</v>
      </c>
      <c r="H33" s="37" t="b">
        <v>0</v>
      </c>
      <c r="I33" s="38">
        <v>1</v>
      </c>
      <c r="J33" s="26">
        <v>1004</v>
      </c>
      <c r="K33" s="26"/>
      <c r="L33" s="2">
        <v>2000</v>
      </c>
      <c r="M33" s="2" t="s">
        <v>45</v>
      </c>
      <c r="N33" s="32">
        <v>3000</v>
      </c>
      <c r="O33" s="2">
        <f>_xlfn.XLOOKUP($D33,Sheet1!$A$2:$A$6,Sheet1!$C$2:$C$6,,0)</f>
        <v>138</v>
      </c>
      <c r="P33" s="33">
        <f>Sheet1!$A$9/Sheet1!$C$9*N33+R33</f>
        <v>3138</v>
      </c>
      <c r="Q33" s="34">
        <f t="shared" si="0"/>
        <v>0.0239897252419614</v>
      </c>
      <c r="R33" s="2">
        <f t="shared" si="1"/>
        <v>138</v>
      </c>
      <c r="S33" s="35">
        <f t="shared" si="2"/>
        <v>0.00155394905749612</v>
      </c>
      <c r="T33" s="35"/>
      <c r="U33" s="36"/>
      <c r="V33" s="36" t="s">
        <v>54</v>
      </c>
      <c r="W33" s="36" t="s">
        <v>47</v>
      </c>
      <c r="X33" s="36"/>
    </row>
    <row r="34" ht="16.5" spans="1:24">
      <c r="A34" s="1">
        <v>5006</v>
      </c>
      <c r="B34" s="1">
        <v>1</v>
      </c>
      <c r="C34" s="29" t="b">
        <v>1</v>
      </c>
      <c r="D34" s="1">
        <v>5</v>
      </c>
      <c r="E34" s="30" t="s">
        <v>111</v>
      </c>
      <c r="F34" s="30" t="s">
        <v>112</v>
      </c>
      <c r="G34" s="26">
        <v>2025506</v>
      </c>
      <c r="H34" s="29" t="b">
        <v>0</v>
      </c>
      <c r="I34" s="31">
        <v>1</v>
      </c>
      <c r="J34" s="30">
        <v>5006</v>
      </c>
      <c r="K34" s="26"/>
      <c r="L34" s="2">
        <v>2000</v>
      </c>
      <c r="M34" s="2" t="s">
        <v>53</v>
      </c>
      <c r="N34" s="32">
        <v>3000</v>
      </c>
      <c r="O34" s="2">
        <f>_xlfn.XLOOKUP($D34,Sheet1!$A$2:$A$6,Sheet1!$C$2:$C$6,,0)</f>
        <v>138</v>
      </c>
      <c r="P34" s="33">
        <f>Sheet1!$A$9/Sheet1!$C$9*N34+R34</f>
        <v>3138</v>
      </c>
      <c r="Q34" s="34">
        <f t="shared" si="0"/>
        <v>0.0239897252419614</v>
      </c>
      <c r="R34" s="2">
        <f t="shared" si="1"/>
        <v>138</v>
      </c>
      <c r="S34" s="35">
        <f t="shared" si="2"/>
        <v>0.00155394905749612</v>
      </c>
      <c r="T34" s="35"/>
      <c r="U34" s="36"/>
      <c r="V34" s="36" t="s">
        <v>104</v>
      </c>
      <c r="W34" s="36" t="s">
        <v>47</v>
      </c>
      <c r="X34" s="36"/>
    </row>
    <row r="35" spans="1:24">
      <c r="L35" s="39"/>
      <c r="M35" s="39"/>
      <c r="Q35" s="40"/>
      <c r="S35" s="41"/>
      <c r="T35" s="41"/>
    </row>
    <row r="36" spans="1:24">
      <c r="L36" s="39"/>
      <c r="M36" s="39"/>
      <c r="Q36" s="40"/>
      <c r="S36" s="41"/>
      <c r="T36" s="41"/>
    </row>
    <row r="37" spans="1:24">
      <c r="L37" s="39"/>
      <c r="M37" s="39"/>
      <c r="Q37" s="40"/>
      <c r="S37" s="41"/>
      <c r="T37" s="41"/>
    </row>
    <row r="38" spans="1:24">
      <c r="Q38" s="40"/>
      <c r="S38" s="41"/>
      <c r="T38" s="41"/>
    </row>
    <row r="39" spans="1:24">
      <c r="Q39" s="40"/>
      <c r="S39" s="41"/>
      <c r="T39" s="41"/>
    </row>
    <row r="45" spans="1:24">
      <c r="L45" s="39"/>
      <c r="M45" s="39"/>
    </row>
    <row r="46" spans="1:24">
      <c r="L46" s="39"/>
      <c r="M46" s="39"/>
    </row>
    <row r="47" spans="1:24">
      <c r="L47" s="39"/>
      <c r="M47" s="39"/>
    </row>
    <row r="48" ht="14.25" spans="1:24">
      <c r="E48" s="42"/>
      <c r="L48" s="39"/>
      <c r="M48" s="39"/>
    </row>
    <row r="49" spans="12:13">
      <c r="L49" s="39"/>
      <c r="M49" s="39"/>
    </row>
    <row r="50" spans="12:13">
      <c r="L50" s="39"/>
      <c r="M50" s="39"/>
    </row>
    <row r="51" spans="12:13">
      <c r="L51" s="39"/>
      <c r="M51" s="39"/>
    </row>
    <row r="52" spans="12:13">
      <c r="L52" s="39"/>
      <c r="M52" s="39"/>
    </row>
    <row r="53" spans="12:13">
      <c r="L53" s="39"/>
      <c r="M53" s="39"/>
    </row>
    <row r="54" spans="12:13">
      <c r="L54" s="39"/>
      <c r="M54" s="39"/>
    </row>
    <row r="55" spans="12:13">
      <c r="L55" s="39"/>
      <c r="M55" s="39"/>
    </row>
  </sheetData>
  <pageMargins left="0.7" right="0.7" top="0.75" bottom="0.75" header="0.3" footer="0.3"/>
  <pageSetup paperSize="9" orientation="portrait"/>
  <headerFooter/>
  <ignoredErrors>
    <ignoredError sqref="X8:X19 X6 X35:X58 A1 M1 A4 M4:M9 M11:M12 M14:M15 M17:M18 V4 V1 D4 D1 X1:X4" formula="1"/>
  </ignoredError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59"/>
  <sheetViews>
    <sheetView workbookViewId="0">
      <selection activeCell="A15" sqref="A15"/>
    </sheetView>
  </sheetViews>
  <sheetFormatPr defaultColWidth="9" defaultRowHeight="13.5"/>
  <sheetData>
    <row r="1" spans="1:10">
      <c r="A1" t="s">
        <v>113</v>
      </c>
      <c r="B1" t="s">
        <v>114</v>
      </c>
      <c r="C1" t="s">
        <v>115</v>
      </c>
    </row>
    <row r="2" spans="1:10">
      <c r="A2" s="1">
        <v>1</v>
      </c>
      <c r="B2">
        <v>1</v>
      </c>
      <c r="C2">
        <f t="shared" ref="C2:C6" si="0">ROUND(SUM($B$2:$B$6)/B2*100,0)</f>
        <v>8300</v>
      </c>
    </row>
    <row r="3" spans="1:10">
      <c r="A3" s="2">
        <v>2</v>
      </c>
      <c r="B3">
        <v>2</v>
      </c>
      <c r="C3">
        <f t="shared" si="0"/>
        <v>4150</v>
      </c>
    </row>
    <row r="4" spans="1:10">
      <c r="A4" s="2">
        <v>3</v>
      </c>
      <c r="B4">
        <v>5</v>
      </c>
      <c r="C4">
        <f t="shared" si="0"/>
        <v>1660</v>
      </c>
    </row>
    <row r="5" spans="1:10">
      <c r="A5" s="2">
        <v>4</v>
      </c>
      <c r="B5">
        <v>15</v>
      </c>
      <c r="C5">
        <f t="shared" si="0"/>
        <v>553</v>
      </c>
      <c r="F5" t="s">
        <v>116</v>
      </c>
    </row>
    <row r="6" spans="1:10">
      <c r="A6" s="2">
        <v>5</v>
      </c>
      <c r="B6">
        <v>60</v>
      </c>
      <c r="C6">
        <f t="shared" si="0"/>
        <v>138</v>
      </c>
      <c r="J6" t="str">
        <f>_xlfn.TEXTJOIN("|",TRUE,I8:I21)</f>
        <v>1101_3000|1102_3000|1103_3000|1104_3000|1105_3000|1106_3000|1107_2000|1108_2000|1109_2000|1110_1000|1111_1000|1112_1000|1201_0|1202_0</v>
      </c>
    </row>
    <row r="8" ht="15" spans="1:10">
      <c r="A8" s="3" t="s">
        <v>117</v>
      </c>
      <c r="B8" s="3"/>
      <c r="C8" t="s">
        <v>118</v>
      </c>
      <c r="F8">
        <v>1101</v>
      </c>
      <c r="G8">
        <v>3000</v>
      </c>
      <c r="I8" t="str">
        <f>_xlfn.TEXTJOIN("_",TRUE,F8,G8)</f>
        <v>1101_3000</v>
      </c>
    </row>
    <row r="9" ht="15" spans="1:10">
      <c r="A9" s="3">
        <v>10000</v>
      </c>
      <c r="B9" s="4"/>
      <c r="C9" s="5">
        <v>10000</v>
      </c>
      <c r="F9">
        <v>1102</v>
      </c>
      <c r="G9">
        <v>3000</v>
      </c>
      <c r="I9" t="str">
        <f t="shared" ref="I9:I21" si="1">_xlfn.TEXTJOIN("_",TRUE,F9,G9)</f>
        <v>1102_3000</v>
      </c>
    </row>
    <row r="10" spans="1:10">
      <c r="A10" s="4" t="s">
        <v>119</v>
      </c>
      <c r="B10" s="4"/>
      <c r="C10" t="s">
        <v>120</v>
      </c>
      <c r="F10">
        <v>1103</v>
      </c>
      <c r="G10">
        <v>3000</v>
      </c>
      <c r="I10" t="str">
        <f t="shared" si="1"/>
        <v>1103_3000</v>
      </c>
    </row>
    <row r="11" spans="1:10">
      <c r="A11">
        <v>100</v>
      </c>
      <c r="C11" s="4">
        <v>2</v>
      </c>
      <c r="F11">
        <v>1104</v>
      </c>
      <c r="G11">
        <v>3000</v>
      </c>
      <c r="I11" t="str">
        <f t="shared" si="1"/>
        <v>1104_3000</v>
      </c>
    </row>
    <row r="12" spans="1:10">
      <c r="F12">
        <v>1105</v>
      </c>
      <c r="G12">
        <v>3000</v>
      </c>
      <c r="I12" t="str">
        <f t="shared" si="1"/>
        <v>1105_3000</v>
      </c>
    </row>
    <row r="13" spans="1:10">
      <c r="F13">
        <v>1106</v>
      </c>
      <c r="G13">
        <v>3000</v>
      </c>
      <c r="I13" t="str">
        <f t="shared" si="1"/>
        <v>1106_3000</v>
      </c>
    </row>
    <row r="14" spans="1:10">
      <c r="F14">
        <v>1107</v>
      </c>
      <c r="G14">
        <v>2000</v>
      </c>
      <c r="I14" t="str">
        <f t="shared" si="1"/>
        <v>1107_2000</v>
      </c>
    </row>
    <row r="15" spans="1:10">
      <c r="F15">
        <v>1108</v>
      </c>
      <c r="G15">
        <v>2000</v>
      </c>
      <c r="I15" t="str">
        <f t="shared" si="1"/>
        <v>1108_2000</v>
      </c>
    </row>
    <row r="16" spans="1:10">
      <c r="F16">
        <v>1109</v>
      </c>
      <c r="G16">
        <v>2000</v>
      </c>
      <c r="I16" t="str">
        <f t="shared" si="1"/>
        <v>1109_2000</v>
      </c>
    </row>
    <row r="17" spans="2:22">
      <c r="B17" t="str">
        <f>_xlfn.TEXTJOIN("_",TRUE,B18:B29)</f>
        <v>1102_1103_1104_1105_1106_1107_1108_1109_1110_1111_1112_1202</v>
      </c>
      <c r="F17">
        <v>1110</v>
      </c>
      <c r="G17">
        <v>1000</v>
      </c>
      <c r="I17" t="str">
        <f t="shared" si="1"/>
        <v>1110_1000</v>
      </c>
    </row>
    <row r="18" spans="2:22">
      <c r="B18">
        <v>1102</v>
      </c>
      <c r="F18">
        <v>1111</v>
      </c>
      <c r="G18">
        <v>1000</v>
      </c>
      <c r="I18" t="str">
        <f t="shared" si="1"/>
        <v>1111_1000</v>
      </c>
    </row>
    <row r="19" spans="2:22">
      <c r="B19">
        <v>1103</v>
      </c>
      <c r="F19">
        <v>1112</v>
      </c>
      <c r="G19">
        <v>1000</v>
      </c>
      <c r="I19" t="str">
        <f t="shared" si="1"/>
        <v>1112_1000</v>
      </c>
    </row>
    <row r="20" spans="2:22">
      <c r="B20">
        <v>1104</v>
      </c>
      <c r="F20">
        <v>1201</v>
      </c>
      <c r="G20">
        <v>0</v>
      </c>
      <c r="I20" t="str">
        <f t="shared" si="1"/>
        <v>1201_0</v>
      </c>
    </row>
    <row r="21" spans="2:22">
      <c r="B21">
        <v>1105</v>
      </c>
      <c r="F21">
        <v>1202</v>
      </c>
      <c r="G21">
        <v>0</v>
      </c>
      <c r="I21" t="str">
        <f t="shared" si="1"/>
        <v>1202_0</v>
      </c>
    </row>
    <row r="22" spans="2:22">
      <c r="B22">
        <v>1106</v>
      </c>
    </row>
    <row r="23" spans="2:22">
      <c r="B23">
        <v>1107</v>
      </c>
    </row>
    <row r="24" spans="2:22">
      <c r="B24">
        <v>1108</v>
      </c>
    </row>
    <row r="25" spans="2:22">
      <c r="B25">
        <v>1109</v>
      </c>
    </row>
    <row r="26" spans="2:22">
      <c r="B26">
        <v>1110</v>
      </c>
    </row>
    <row r="27" spans="2:22">
      <c r="B27">
        <v>1111</v>
      </c>
      <c r="F27" t="s">
        <v>121</v>
      </c>
      <c r="G27" t="s">
        <v>122</v>
      </c>
      <c r="H27" t="s">
        <v>123</v>
      </c>
    </row>
    <row r="28" spans="2:22">
      <c r="B28">
        <v>1112</v>
      </c>
    </row>
    <row r="29" spans="2:22">
      <c r="B29">
        <v>1202</v>
      </c>
    </row>
    <row r="30" ht="16.5" spans="2:22">
      <c r="F30" s="6">
        <v>1025101</v>
      </c>
      <c r="G30" s="6">
        <v>1125101</v>
      </c>
      <c r="H30">
        <v>2</v>
      </c>
      <c r="J30" t="str">
        <f>_xlfn.TEXTJOIN("_",TRUE,F30,G30,H30)</f>
        <v>1025101_1125101_2</v>
      </c>
      <c r="M30" s="6">
        <v>1025101</v>
      </c>
      <c r="N30" s="6">
        <v>1125101</v>
      </c>
      <c r="O30">
        <v>2</v>
      </c>
      <c r="P30" t="str">
        <f>_xlfn.TEXTJOIN("_",TRUE,M30,N30,O30)</f>
        <v>1025101_1125101_2</v>
      </c>
      <c r="R30" t="s">
        <v>44</v>
      </c>
      <c r="U30" s="7">
        <v>1025101</v>
      </c>
      <c r="V30" s="7" t="s">
        <v>44</v>
      </c>
    </row>
    <row r="31" ht="16.5" spans="2:22">
      <c r="F31" s="6">
        <v>1025102</v>
      </c>
      <c r="G31" s="6">
        <v>1125102</v>
      </c>
      <c r="H31">
        <v>2</v>
      </c>
      <c r="J31" t="str">
        <f t="shared" ref="J31:J59" si="2">_xlfn.TEXTJOIN("_",TRUE,F31,G31,H31)</f>
        <v>1025102_1125102_2</v>
      </c>
      <c r="M31" s="6">
        <v>1025102</v>
      </c>
      <c r="N31" s="6">
        <v>1125102</v>
      </c>
      <c r="O31">
        <v>2</v>
      </c>
      <c r="P31" t="str">
        <f t="shared" ref="P31:P59" si="3">_xlfn.TEXTJOIN("_",TRUE,M31,N31,O31)</f>
        <v>1025102_1125102_2</v>
      </c>
      <c r="R31" t="s">
        <v>49</v>
      </c>
      <c r="U31" s="7">
        <v>1025102</v>
      </c>
      <c r="V31" s="7" t="s">
        <v>49</v>
      </c>
    </row>
    <row r="32" ht="16.5" spans="2:22">
      <c r="F32" s="6">
        <v>1025103</v>
      </c>
      <c r="G32" s="6">
        <v>1125103</v>
      </c>
      <c r="H32">
        <v>2</v>
      </c>
      <c r="J32" t="str">
        <f t="shared" si="2"/>
        <v>1025103_1125103_2</v>
      </c>
      <c r="M32" s="6">
        <v>1025103</v>
      </c>
      <c r="N32" s="6">
        <v>1125103</v>
      </c>
      <c r="O32">
        <v>2</v>
      </c>
      <c r="P32" t="str">
        <f t="shared" si="3"/>
        <v>1025103_1125103_2</v>
      </c>
      <c r="R32" t="s">
        <v>52</v>
      </c>
      <c r="U32" s="7">
        <v>1025103</v>
      </c>
      <c r="V32" s="7" t="s">
        <v>52</v>
      </c>
    </row>
    <row r="33" ht="16.5" spans="6:22">
      <c r="F33" s="6">
        <v>1025104</v>
      </c>
      <c r="G33" s="6">
        <v>1125104</v>
      </c>
      <c r="H33">
        <v>2</v>
      </c>
      <c r="J33" t="str">
        <f t="shared" si="2"/>
        <v>1025104_1125104_2</v>
      </c>
      <c r="M33" s="6">
        <v>1025201</v>
      </c>
      <c r="N33" s="6">
        <v>1125201</v>
      </c>
      <c r="O33">
        <v>4</v>
      </c>
      <c r="P33" t="str">
        <f t="shared" si="3"/>
        <v>1025201_1125201_4</v>
      </c>
      <c r="R33" t="s">
        <v>56</v>
      </c>
      <c r="U33" s="7">
        <v>1025104</v>
      </c>
      <c r="V33" s="7" t="s">
        <v>82</v>
      </c>
    </row>
    <row r="34" ht="16.5" spans="6:22">
      <c r="F34" s="6">
        <v>1025105</v>
      </c>
      <c r="G34" s="6">
        <v>1125105</v>
      </c>
      <c r="H34">
        <v>2</v>
      </c>
      <c r="J34" t="str">
        <f t="shared" si="2"/>
        <v>1025105_1125105_2</v>
      </c>
      <c r="M34" s="6">
        <v>1025202</v>
      </c>
      <c r="N34" s="6">
        <v>1125202</v>
      </c>
      <c r="O34">
        <v>4</v>
      </c>
      <c r="P34" t="str">
        <f t="shared" si="3"/>
        <v>1025202_1125202_4</v>
      </c>
      <c r="R34" t="s">
        <v>59</v>
      </c>
      <c r="U34" s="7">
        <v>1025105</v>
      </c>
      <c r="V34" s="7" t="s">
        <v>84</v>
      </c>
    </row>
    <row r="35" ht="16.5" spans="6:22">
      <c r="F35" s="6">
        <v>1025106</v>
      </c>
      <c r="G35" s="6">
        <v>1125106</v>
      </c>
      <c r="H35">
        <v>2</v>
      </c>
      <c r="J35" t="str">
        <f t="shared" si="2"/>
        <v>1025106_1125106_2</v>
      </c>
      <c r="M35" s="6">
        <v>1025203</v>
      </c>
      <c r="N35" s="6">
        <v>1125203</v>
      </c>
      <c r="O35">
        <v>4</v>
      </c>
      <c r="P35" t="str">
        <f t="shared" si="3"/>
        <v>1025203_1125203_4</v>
      </c>
      <c r="R35" t="s">
        <v>62</v>
      </c>
      <c r="U35" s="7">
        <v>1025106</v>
      </c>
      <c r="V35" s="7" t="s">
        <v>86</v>
      </c>
    </row>
    <row r="36" ht="16.5" spans="6:22">
      <c r="F36" s="6">
        <v>1025201</v>
      </c>
      <c r="G36" s="6">
        <v>1125201</v>
      </c>
      <c r="H36">
        <v>4</v>
      </c>
      <c r="J36" t="str">
        <f t="shared" si="2"/>
        <v>1025201_1125201_4</v>
      </c>
      <c r="M36" s="6">
        <v>1025301</v>
      </c>
      <c r="N36" s="6">
        <v>1125301</v>
      </c>
      <c r="O36">
        <v>6</v>
      </c>
      <c r="P36" t="str">
        <f t="shared" si="3"/>
        <v>1025301_1125301_6</v>
      </c>
      <c r="R36" t="s">
        <v>64</v>
      </c>
      <c r="U36" s="8">
        <v>1025201</v>
      </c>
      <c r="V36" s="8" t="s">
        <v>56</v>
      </c>
    </row>
    <row r="37" ht="16.5" spans="6:22">
      <c r="F37" s="6">
        <v>1025202</v>
      </c>
      <c r="G37" s="6">
        <v>1125202</v>
      </c>
      <c r="H37">
        <v>4</v>
      </c>
      <c r="J37" t="str">
        <f t="shared" si="2"/>
        <v>1025202_1125202_4</v>
      </c>
      <c r="M37" s="6">
        <v>1025302</v>
      </c>
      <c r="N37" s="6">
        <v>1125302</v>
      </c>
      <c r="O37">
        <v>6</v>
      </c>
      <c r="P37" t="str">
        <f t="shared" si="3"/>
        <v>1025302_1125302_6</v>
      </c>
      <c r="R37" t="s">
        <v>66</v>
      </c>
      <c r="U37" s="8">
        <v>1025202</v>
      </c>
      <c r="V37" s="8" t="s">
        <v>59</v>
      </c>
    </row>
    <row r="38" ht="16.5" spans="6:22">
      <c r="F38" s="6">
        <v>1025203</v>
      </c>
      <c r="G38" s="6">
        <v>1125203</v>
      </c>
      <c r="H38">
        <v>4</v>
      </c>
      <c r="J38" t="str">
        <f t="shared" si="2"/>
        <v>1025203_1125203_4</v>
      </c>
      <c r="M38" s="6">
        <v>1025303</v>
      </c>
      <c r="N38" s="6">
        <v>1125303</v>
      </c>
      <c r="O38">
        <v>6</v>
      </c>
      <c r="P38" t="str">
        <f t="shared" si="3"/>
        <v>1025303_1125303_6</v>
      </c>
      <c r="R38" t="s">
        <v>68</v>
      </c>
      <c r="U38" s="8">
        <v>1025203</v>
      </c>
      <c r="V38" s="8" t="s">
        <v>62</v>
      </c>
    </row>
    <row r="39" ht="16.5" spans="6:22">
      <c r="F39" s="6">
        <v>1025204</v>
      </c>
      <c r="G39" s="6">
        <v>1125204</v>
      </c>
      <c r="H39">
        <v>4</v>
      </c>
      <c r="J39" t="str">
        <f t="shared" si="2"/>
        <v>1025204_1125204_4</v>
      </c>
      <c r="M39" s="6">
        <v>1025401</v>
      </c>
      <c r="N39" s="6">
        <v>1125401</v>
      </c>
      <c r="O39">
        <v>8</v>
      </c>
      <c r="P39" t="str">
        <f t="shared" si="3"/>
        <v>1025401_1125401_8</v>
      </c>
      <c r="R39" t="s">
        <v>70</v>
      </c>
      <c r="U39" s="8">
        <v>1025204</v>
      </c>
      <c r="V39" s="8" t="s">
        <v>89</v>
      </c>
    </row>
    <row r="40" ht="16.5" spans="6:22">
      <c r="F40" s="6">
        <v>1025205</v>
      </c>
      <c r="G40" s="6">
        <v>1125205</v>
      </c>
      <c r="H40">
        <v>4</v>
      </c>
      <c r="J40" t="str">
        <f t="shared" si="2"/>
        <v>1025205_1125205_4</v>
      </c>
      <c r="M40" s="6">
        <v>1025402</v>
      </c>
      <c r="N40" s="6">
        <v>1125402</v>
      </c>
      <c r="O40">
        <v>8</v>
      </c>
      <c r="P40" t="str">
        <f t="shared" si="3"/>
        <v>1025402_1125402_8</v>
      </c>
      <c r="R40" t="s">
        <v>72</v>
      </c>
      <c r="U40" s="8">
        <v>1025205</v>
      </c>
      <c r="V40" s="8" t="s">
        <v>91</v>
      </c>
    </row>
    <row r="41" ht="16.5" spans="6:22">
      <c r="F41" s="6">
        <v>1025206</v>
      </c>
      <c r="G41" s="6">
        <v>1125206</v>
      </c>
      <c r="H41">
        <v>4</v>
      </c>
      <c r="J41" t="str">
        <f t="shared" si="2"/>
        <v>1025206_1125206_4</v>
      </c>
      <c r="M41" s="6">
        <v>1025403</v>
      </c>
      <c r="N41" s="6">
        <v>1125403</v>
      </c>
      <c r="O41">
        <v>8</v>
      </c>
      <c r="P41" t="str">
        <f t="shared" si="3"/>
        <v>1025403_1125403_8</v>
      </c>
      <c r="R41" t="s">
        <v>74</v>
      </c>
      <c r="U41" s="8">
        <v>1025206</v>
      </c>
      <c r="V41" s="8" t="s">
        <v>93</v>
      </c>
    </row>
    <row r="42" ht="16.5" spans="6:22">
      <c r="F42" s="6">
        <v>1025301</v>
      </c>
      <c r="G42" s="6">
        <v>1125301</v>
      </c>
      <c r="H42">
        <v>6</v>
      </c>
      <c r="J42" t="str">
        <f t="shared" si="2"/>
        <v>1025301_1125301_6</v>
      </c>
      <c r="M42" s="6">
        <v>1025501</v>
      </c>
      <c r="N42" s="6">
        <v>1125501</v>
      </c>
      <c r="O42">
        <v>10</v>
      </c>
      <c r="P42" t="str">
        <f t="shared" si="3"/>
        <v>1025501_1125501_10</v>
      </c>
      <c r="R42" t="s">
        <v>76</v>
      </c>
      <c r="U42" s="7">
        <v>1025301</v>
      </c>
      <c r="V42" s="7" t="s">
        <v>64</v>
      </c>
    </row>
    <row r="43" ht="16.5" spans="6:22">
      <c r="F43" s="6">
        <v>1025302</v>
      </c>
      <c r="G43" s="6">
        <v>1125302</v>
      </c>
      <c r="H43">
        <v>6</v>
      </c>
      <c r="J43" t="str">
        <f t="shared" si="2"/>
        <v>1025302_1125302_6</v>
      </c>
      <c r="M43" s="6">
        <v>1025502</v>
      </c>
      <c r="N43" s="6">
        <v>1125502</v>
      </c>
      <c r="O43">
        <v>10</v>
      </c>
      <c r="P43" t="str">
        <f t="shared" si="3"/>
        <v>1025502_1125502_10</v>
      </c>
      <c r="R43" t="s">
        <v>78</v>
      </c>
      <c r="U43" s="7">
        <v>1025302</v>
      </c>
      <c r="V43" s="7" t="s">
        <v>66</v>
      </c>
    </row>
    <row r="44" ht="16.5" spans="6:22">
      <c r="F44" s="6">
        <v>1025303</v>
      </c>
      <c r="G44" s="6">
        <v>1125303</v>
      </c>
      <c r="H44">
        <v>6</v>
      </c>
      <c r="J44" t="str">
        <f t="shared" si="2"/>
        <v>1025303_1125303_6</v>
      </c>
      <c r="M44" s="6">
        <v>1025503</v>
      </c>
      <c r="N44" s="6">
        <v>1125503</v>
      </c>
      <c r="O44">
        <v>10</v>
      </c>
      <c r="P44" t="str">
        <f t="shared" si="3"/>
        <v>1025503_1125503_10</v>
      </c>
      <c r="R44" t="s">
        <v>80</v>
      </c>
      <c r="U44" s="7">
        <v>1025303</v>
      </c>
      <c r="V44" s="7" t="s">
        <v>68</v>
      </c>
    </row>
    <row r="45" ht="16.5" spans="6:22">
      <c r="F45" s="6">
        <v>1025304</v>
      </c>
      <c r="G45" s="6">
        <v>1125304</v>
      </c>
      <c r="H45">
        <v>6</v>
      </c>
      <c r="J45" t="str">
        <f t="shared" si="2"/>
        <v>1025304_1125304_6</v>
      </c>
      <c r="M45" s="6">
        <v>1025104</v>
      </c>
      <c r="N45" s="6">
        <v>1125104</v>
      </c>
      <c r="O45">
        <v>2</v>
      </c>
      <c r="P45" t="str">
        <f t="shared" si="3"/>
        <v>1025104_1125104_2</v>
      </c>
      <c r="R45" t="s">
        <v>82</v>
      </c>
      <c r="U45" s="7">
        <v>1025304</v>
      </c>
      <c r="V45" s="7" t="s">
        <v>95</v>
      </c>
    </row>
    <row r="46" ht="16.5" spans="6:22">
      <c r="F46" s="6">
        <v>1025305</v>
      </c>
      <c r="G46" s="6">
        <v>1125305</v>
      </c>
      <c r="H46">
        <v>6</v>
      </c>
      <c r="J46" t="str">
        <f t="shared" si="2"/>
        <v>1025305_1125305_6</v>
      </c>
      <c r="M46" s="6">
        <v>1025105</v>
      </c>
      <c r="N46" s="6">
        <v>1125105</v>
      </c>
      <c r="O46">
        <v>2</v>
      </c>
      <c r="P46" t="str">
        <f t="shared" si="3"/>
        <v>1025105_1125105_2</v>
      </c>
      <c r="R46" t="s">
        <v>84</v>
      </c>
      <c r="U46" s="7">
        <v>1025305</v>
      </c>
      <c r="V46" s="7" t="s">
        <v>97</v>
      </c>
    </row>
    <row r="47" ht="16.5" spans="6:22">
      <c r="F47" s="6">
        <v>1025306</v>
      </c>
      <c r="G47" s="6">
        <v>1125306</v>
      </c>
      <c r="H47">
        <v>6</v>
      </c>
      <c r="J47" t="str">
        <f t="shared" si="2"/>
        <v>1025306_1125306_6</v>
      </c>
      <c r="M47" s="6">
        <v>1025106</v>
      </c>
      <c r="N47" s="6">
        <v>1125106</v>
      </c>
      <c r="O47">
        <v>2</v>
      </c>
      <c r="P47" t="str">
        <f t="shared" si="3"/>
        <v>1025106_1125106_2</v>
      </c>
      <c r="R47" t="s">
        <v>86</v>
      </c>
      <c r="U47" s="7">
        <v>1025306</v>
      </c>
      <c r="V47" s="7" t="s">
        <v>99</v>
      </c>
    </row>
    <row r="48" ht="16.5" spans="6:22">
      <c r="F48" s="6">
        <v>1025401</v>
      </c>
      <c r="G48" s="6">
        <v>1125401</v>
      </c>
      <c r="H48">
        <v>8</v>
      </c>
      <c r="J48" t="str">
        <f t="shared" si="2"/>
        <v>1025401_1125401_8</v>
      </c>
      <c r="M48" s="6">
        <v>1025204</v>
      </c>
      <c r="N48" s="6">
        <v>1125204</v>
      </c>
      <c r="O48">
        <v>4</v>
      </c>
      <c r="P48" t="str">
        <f t="shared" si="3"/>
        <v>1025204_1125204_4</v>
      </c>
      <c r="R48" t="s">
        <v>89</v>
      </c>
      <c r="U48" s="8">
        <v>1025401</v>
      </c>
      <c r="V48" s="8" t="s">
        <v>70</v>
      </c>
    </row>
    <row r="49" ht="16.5" spans="6:22">
      <c r="F49" s="6">
        <v>1025402</v>
      </c>
      <c r="G49" s="6">
        <v>1125402</v>
      </c>
      <c r="H49">
        <v>8</v>
      </c>
      <c r="J49" t="str">
        <f t="shared" si="2"/>
        <v>1025402_1125402_8</v>
      </c>
      <c r="M49" s="6">
        <v>1025205</v>
      </c>
      <c r="N49" s="6">
        <v>1125205</v>
      </c>
      <c r="O49">
        <v>4</v>
      </c>
      <c r="P49" t="str">
        <f t="shared" si="3"/>
        <v>1025205_1125205_4</v>
      </c>
      <c r="R49" t="s">
        <v>91</v>
      </c>
      <c r="U49" s="8">
        <v>1025402</v>
      </c>
      <c r="V49" s="8" t="s">
        <v>72</v>
      </c>
    </row>
    <row r="50" ht="16.5" spans="6:22">
      <c r="F50" s="6">
        <v>1025403</v>
      </c>
      <c r="G50" s="6">
        <v>1125403</v>
      </c>
      <c r="H50">
        <v>8</v>
      </c>
      <c r="J50" t="str">
        <f t="shared" si="2"/>
        <v>1025403_1125403_8</v>
      </c>
      <c r="M50" s="6">
        <v>1025206</v>
      </c>
      <c r="N50" s="6">
        <v>1125206</v>
      </c>
      <c r="O50">
        <v>4</v>
      </c>
      <c r="P50" t="str">
        <f t="shared" si="3"/>
        <v>1025206_1125206_4</v>
      </c>
      <c r="R50" t="s">
        <v>93</v>
      </c>
      <c r="U50" s="8">
        <v>1025403</v>
      </c>
      <c r="V50" s="8" t="s">
        <v>74</v>
      </c>
    </row>
    <row r="51" ht="16.5" spans="6:22">
      <c r="F51" s="6">
        <v>1025404</v>
      </c>
      <c r="G51" s="6">
        <v>1125404</v>
      </c>
      <c r="H51">
        <v>8</v>
      </c>
      <c r="J51" t="str">
        <f t="shared" si="2"/>
        <v>1025404_1125404_8</v>
      </c>
      <c r="M51" s="6">
        <v>1025304</v>
      </c>
      <c r="N51" s="6">
        <v>1125304</v>
      </c>
      <c r="O51">
        <v>6</v>
      </c>
      <c r="P51" t="str">
        <f t="shared" si="3"/>
        <v>1025304_1125304_6</v>
      </c>
      <c r="R51" t="s">
        <v>95</v>
      </c>
      <c r="U51" s="8">
        <v>1025404</v>
      </c>
      <c r="V51" s="8" t="s">
        <v>101</v>
      </c>
    </row>
    <row r="52" ht="16.5" spans="6:22">
      <c r="F52" s="6">
        <v>1025405</v>
      </c>
      <c r="G52" s="6">
        <v>1125405</v>
      </c>
      <c r="H52">
        <v>8</v>
      </c>
      <c r="J52" t="str">
        <f t="shared" si="2"/>
        <v>1025405_1125405_8</v>
      </c>
      <c r="M52" s="6">
        <v>1025305</v>
      </c>
      <c r="N52" s="6">
        <v>1125305</v>
      </c>
      <c r="O52">
        <v>6</v>
      </c>
      <c r="P52" t="str">
        <f t="shared" si="3"/>
        <v>1025305_1125305_6</v>
      </c>
      <c r="R52" t="s">
        <v>97</v>
      </c>
      <c r="U52" s="8">
        <v>1025405</v>
      </c>
      <c r="V52" s="8" t="s">
        <v>103</v>
      </c>
    </row>
    <row r="53" ht="16.5" spans="6:22">
      <c r="F53" s="6">
        <v>1025406</v>
      </c>
      <c r="G53" s="6">
        <v>1125406</v>
      </c>
      <c r="H53">
        <v>8</v>
      </c>
      <c r="J53" t="str">
        <f t="shared" si="2"/>
        <v>1025406_1125406_8</v>
      </c>
      <c r="M53" s="6">
        <v>1025306</v>
      </c>
      <c r="N53" s="6">
        <v>1125306</v>
      </c>
      <c r="O53">
        <v>6</v>
      </c>
      <c r="P53" t="str">
        <f t="shared" si="3"/>
        <v>1025306_1125306_6</v>
      </c>
      <c r="R53" t="s">
        <v>99</v>
      </c>
      <c r="U53" s="8">
        <v>1025406</v>
      </c>
      <c r="V53" s="8" t="s">
        <v>106</v>
      </c>
    </row>
    <row r="54" ht="16.5" spans="6:22">
      <c r="F54" s="6">
        <v>1025501</v>
      </c>
      <c r="G54" s="6">
        <v>1125501</v>
      </c>
      <c r="H54">
        <v>10</v>
      </c>
      <c r="J54" t="str">
        <f t="shared" si="2"/>
        <v>1025501_1125501_10</v>
      </c>
      <c r="M54" s="6">
        <v>1025404</v>
      </c>
      <c r="N54" s="6">
        <v>1125404</v>
      </c>
      <c r="O54">
        <v>8</v>
      </c>
      <c r="P54" t="str">
        <f t="shared" si="3"/>
        <v>1025404_1125404_8</v>
      </c>
      <c r="R54" t="s">
        <v>101</v>
      </c>
      <c r="U54" s="7">
        <v>1025501</v>
      </c>
      <c r="V54" s="7" t="s">
        <v>76</v>
      </c>
    </row>
    <row r="55" ht="16.5" spans="6:22">
      <c r="F55" s="6">
        <v>1025502</v>
      </c>
      <c r="G55" s="6">
        <v>1125502</v>
      </c>
      <c r="H55">
        <v>10</v>
      </c>
      <c r="J55" t="str">
        <f t="shared" si="2"/>
        <v>1025502_1125502_10</v>
      </c>
      <c r="M55" s="6">
        <v>1025405</v>
      </c>
      <c r="N55" s="6">
        <v>1125405</v>
      </c>
      <c r="O55">
        <v>8</v>
      </c>
      <c r="P55" t="str">
        <f t="shared" si="3"/>
        <v>1025405_1125405_8</v>
      </c>
      <c r="R55" t="s">
        <v>103</v>
      </c>
      <c r="U55" s="7">
        <v>1025502</v>
      </c>
      <c r="V55" s="7" t="s">
        <v>78</v>
      </c>
    </row>
    <row r="56" ht="16.5" spans="6:22">
      <c r="F56" s="6">
        <v>1025503</v>
      </c>
      <c r="G56" s="6">
        <v>1125503</v>
      </c>
      <c r="H56">
        <v>10</v>
      </c>
      <c r="J56" t="str">
        <f t="shared" si="2"/>
        <v>1025503_1125503_10</v>
      </c>
      <c r="M56" s="6">
        <v>1025406</v>
      </c>
      <c r="N56" s="6">
        <v>1125406</v>
      </c>
      <c r="O56">
        <v>8</v>
      </c>
      <c r="P56" t="str">
        <f t="shared" si="3"/>
        <v>1025406_1125406_8</v>
      </c>
      <c r="R56" t="s">
        <v>106</v>
      </c>
      <c r="U56" s="7">
        <v>1025503</v>
      </c>
      <c r="V56" s="7" t="s">
        <v>80</v>
      </c>
    </row>
    <row r="57" ht="16.5" spans="6:22">
      <c r="F57" s="6">
        <v>1025504</v>
      </c>
      <c r="G57" s="6">
        <v>1125504</v>
      </c>
      <c r="H57">
        <v>10</v>
      </c>
      <c r="J57" t="str">
        <f t="shared" si="2"/>
        <v>1025504_1125504_10</v>
      </c>
      <c r="M57" s="6">
        <v>1025504</v>
      </c>
      <c r="N57" s="6">
        <v>1125504</v>
      </c>
      <c r="O57">
        <v>10</v>
      </c>
      <c r="P57" t="str">
        <f t="shared" si="3"/>
        <v>1025504_1125504_10</v>
      </c>
      <c r="R57" t="s">
        <v>108</v>
      </c>
      <c r="U57" s="7">
        <v>1025504</v>
      </c>
      <c r="V57" s="7" t="s">
        <v>108</v>
      </c>
    </row>
    <row r="58" ht="16.5" spans="6:22">
      <c r="F58" s="6">
        <v>1025505</v>
      </c>
      <c r="G58" s="6">
        <v>1125505</v>
      </c>
      <c r="H58">
        <v>10</v>
      </c>
      <c r="J58" t="str">
        <f t="shared" si="2"/>
        <v>1025505_1125505_10</v>
      </c>
      <c r="M58" s="6">
        <v>1025505</v>
      </c>
      <c r="N58" s="6">
        <v>1125505</v>
      </c>
      <c r="O58">
        <v>10</v>
      </c>
      <c r="P58" t="str">
        <f t="shared" si="3"/>
        <v>1025505_1125505_10</v>
      </c>
      <c r="R58" t="s">
        <v>110</v>
      </c>
      <c r="U58" s="7">
        <v>1025505</v>
      </c>
      <c r="V58" s="7" t="s">
        <v>110</v>
      </c>
    </row>
    <row r="59" ht="16.5" spans="6:22">
      <c r="F59" s="6">
        <v>1025506</v>
      </c>
      <c r="G59" s="6">
        <v>1125506</v>
      </c>
      <c r="H59">
        <v>10</v>
      </c>
      <c r="J59" t="str">
        <f t="shared" si="2"/>
        <v>1025506_1125506_10</v>
      </c>
      <c r="M59" s="6">
        <v>1025506</v>
      </c>
      <c r="N59" s="6">
        <v>1125506</v>
      </c>
      <c r="O59">
        <v>10</v>
      </c>
      <c r="P59" t="str">
        <f t="shared" si="3"/>
        <v>1025506_1125506_10</v>
      </c>
      <c r="R59" t="s">
        <v>112</v>
      </c>
      <c r="U59" s="7">
        <v>1025506</v>
      </c>
      <c r="V59" s="7" t="s">
        <v>112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VisitorQuest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随风</cp:lastModifiedBy>
  <dcterms:created xsi:type="dcterms:W3CDTF">2023-05-12T11:15:00Z</dcterms:created>
  <dcterms:modified xsi:type="dcterms:W3CDTF">2026-09-14T11:20:43Z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2052-12.1.0.28505</vt:lpwstr>
  </property>
  <property fmtid="{D5CDD505-2E9C-101B-9397-08002B2CF9AE}" pid="3" name="ICV">
    <vt:lpwstr>C40504014E714AF8868A7F80D131E42C_12</vt:lpwstr>
  </property>
  <property fmtid="{D5CDD505-2E9C-101B-9397-08002B2CF9AE}" pid="4" name="CalculationRule">
    <vt:i4>0</vt:i4>
  </property>
</Properties>
</file>