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VisitorQuest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影响交互次数 = 服务能力 / 繁荣度 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游客的优先级：先读取该表中的游客行为模式，
1.若执行固定模式，则去指定的区域进行交互；
2.若执行随机模式，则根据建筑交互权重进行抽取，对抽取到的区域去交互；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知名度影响各种品质游客（已解锁）出现在赌场的权重
知名度参数设置为为0时，与基础刷新权重一样；
公式：（个人知名度*设置的知名度/参数100+1）*基础刷新权重
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读取交互区域表的ID
ID_权重|ID_权重|....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读取交互区域表中的ID；该区域中的具体设备随机选择
注： 先不配置 前端是随机行走观光点的  。服务器在使用~~  </t>
        </r>
      </text>
    </comment>
  </commentList>
</comments>
</file>

<file path=xl/sharedStrings.xml><?xml version="1.0" encoding="utf-8"?>
<sst xmlns="http://schemas.openxmlformats.org/spreadsheetml/2006/main" count="157" uniqueCount="94">
  <si>
    <t>ID</t>
  </si>
  <si>
    <t>游客品质</t>
  </si>
  <si>
    <t>道具ID_碎片ID_碎片数量</t>
  </si>
  <si>
    <t>名称备注</t>
  </si>
  <si>
    <t>无奖励的服务能力</t>
  </si>
  <si>
    <t>服务能力</t>
  </si>
  <si>
    <t>行为模式</t>
  </si>
  <si>
    <t>知名度</t>
  </si>
  <si>
    <t>基础刷新权重</t>
  </si>
  <si>
    <t>知名度刷新权重</t>
  </si>
  <si>
    <t>概率</t>
  </si>
  <si>
    <t>建筑交互权重</t>
  </si>
  <si>
    <t>指定区域</t>
  </si>
  <si>
    <t>备注</t>
  </si>
  <si>
    <t>int</t>
  </si>
  <si>
    <t>list&lt;int&gt;{_}</t>
  </si>
  <si>
    <t>map&lt;int{_}int&gt;{|}</t>
  </si>
  <si>
    <t>id</t>
  </si>
  <si>
    <t>Quality</t>
  </si>
  <si>
    <t>DuplicatetoShard</t>
  </si>
  <si>
    <t>BaseServiceCapacity</t>
  </si>
  <si>
    <t>ServiceCapacity</t>
  </si>
  <si>
    <t>awareness</t>
  </si>
  <si>
    <t>BaseWeight</t>
  </si>
  <si>
    <t>InteractionWeight</t>
  </si>
  <si>
    <t>TargetArea</t>
  </si>
  <si>
    <t>1025101_1125101_2</t>
  </si>
  <si>
    <t>街头潮人</t>
  </si>
  <si>
    <t>随机</t>
  </si>
  <si>
    <t>1102_3000|1103_3000|1104_3000|1105_3000|1106_3000|1107_2000|1108_2000|1109_2000|1110_1000|1111_1000|1112_1000|1201_0|1202_0</t>
  </si>
  <si>
    <t>有奖励去建筑交互权重字段，无奖励去指定区域字段</t>
  </si>
  <si>
    <t>1025102_1125102_2</t>
  </si>
  <si>
    <t>复古绅士</t>
  </si>
  <si>
    <t>1025103_1125103_2</t>
  </si>
  <si>
    <t>酷盖少年</t>
  </si>
  <si>
    <t>固定</t>
  </si>
  <si>
    <t>1025104_1125104_2</t>
  </si>
  <si>
    <t>潮流先锋</t>
  </si>
  <si>
    <t>1025105_1125105_2</t>
  </si>
  <si>
    <t>时尚教主</t>
  </si>
  <si>
    <t>1025106_1125106_2</t>
  </si>
  <si>
    <t>街拍达人</t>
  </si>
  <si>
    <t>1025201_1125201_4</t>
  </si>
  <si>
    <t>运动健将</t>
  </si>
  <si>
    <t>1025202_1125202_4</t>
  </si>
  <si>
    <t>跑酷少年</t>
  </si>
  <si>
    <t>1025203_1125203_4</t>
  </si>
  <si>
    <t>滑板高手</t>
  </si>
  <si>
    <t>1025204_1125204_4</t>
  </si>
  <si>
    <t>甜心辣妹</t>
  </si>
  <si>
    <t>1025205_1125205_4</t>
  </si>
  <si>
    <t>活力少女</t>
  </si>
  <si>
    <t>1025206_1125206_4</t>
  </si>
  <si>
    <t>优雅女神</t>
  </si>
  <si>
    <t>1025301_1125301_6</t>
  </si>
  <si>
    <t>健身狂魔</t>
  </si>
  <si>
    <t>1025302_1125302_6</t>
  </si>
  <si>
    <t>单车骑士</t>
  </si>
  <si>
    <t>1025303_1125303_6</t>
  </si>
  <si>
    <t>登山行者</t>
  </si>
  <si>
    <t>1025304_1125304_6</t>
  </si>
  <si>
    <t>文艺青年</t>
  </si>
  <si>
    <t>1025305_1125305_6</t>
  </si>
  <si>
    <t>书香少女</t>
  </si>
  <si>
    <t>1025306_1125306_6</t>
  </si>
  <si>
    <t>民谣歌手</t>
  </si>
  <si>
    <t>1025401_1125401_8</t>
  </si>
  <si>
    <t>马拉松客</t>
  </si>
  <si>
    <t>1025402_1125402_8</t>
  </si>
  <si>
    <t>极限玩家</t>
  </si>
  <si>
    <t>1025403_1125403_8</t>
  </si>
  <si>
    <t>科技极客</t>
  </si>
  <si>
    <t>1025404_1125404_8</t>
  </si>
  <si>
    <t>独立画家</t>
  </si>
  <si>
    <t>1025405_1125405_8</t>
  </si>
  <si>
    <t>浪漫诗人</t>
  </si>
  <si>
    <t>1025406_1125406_8</t>
  </si>
  <si>
    <t>古典乐迷</t>
  </si>
  <si>
    <t>1025501_1125501_10</t>
  </si>
  <si>
    <t>创业新贵</t>
  </si>
  <si>
    <t>1025502_1125502_10</t>
  </si>
  <si>
    <t>摸金校尉</t>
  </si>
  <si>
    <t>1025503_1125503_10</t>
  </si>
  <si>
    <t>氪金大佬</t>
  </si>
  <si>
    <t>1025504_1125504_10</t>
  </si>
  <si>
    <t>穿搭博主</t>
  </si>
  <si>
    <t>1025505_1125505_10</t>
  </si>
  <si>
    <t>美妆新秀</t>
  </si>
  <si>
    <t>1025506_1125506_10</t>
  </si>
  <si>
    <t>高定女王</t>
  </si>
  <si>
    <t>交互ID</t>
  </si>
  <si>
    <t>道具ID</t>
  </si>
  <si>
    <t>碎片ID</t>
  </si>
  <si>
    <t>分解数量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</si>
</sst>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0.5"/>
      <color rgb="FF212529"/>
      <name val="微软雅黑"/>
      <charset val="134"/>
    </font>
    <font>
      <b/>
      <sz val="10.5"/>
      <name val="微软雅黑"/>
      <charset val="134"/>
    </font>
    <font>
      <b/>
      <sz val="11"/>
      <name val="微软雅黑"/>
      <charset val="134"/>
    </font>
    <font>
      <b/>
      <sz val="10.5"/>
      <color rgb="FF212529"/>
      <name val="宋体"/>
      <charset val="134"/>
    </font>
    <font>
      <b/>
      <sz val="10.5"/>
      <color rgb="FF212529"/>
      <name val="Segoe UI"/>
      <charset val="134"/>
    </font>
    <font>
      <sz val="10.5"/>
      <color rgb="FF212529"/>
      <name val="Segoe UI"/>
      <charset val="134"/>
    </font>
    <font>
      <sz val="10.5"/>
      <color rgb="FF212529"/>
      <name val="宋体"/>
      <charset val="134"/>
    </font>
    <font>
      <sz val="12"/>
      <color rgb="FF222222"/>
      <name val="Segoe UI"/>
      <charset val="134"/>
    </font>
    <font>
      <sz val="12"/>
      <color rgb="FF2222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3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4" borderId="5">
      <alignment vertical="center"/>
    </xf>
    <xf numFmtId="0" fontId="22" fillId="5" borderId="6">
      <alignment vertical="center"/>
    </xf>
    <xf numFmtId="0" fontId="23" fillId="5" borderId="5">
      <alignment vertical="center"/>
    </xf>
    <xf numFmtId="0" fontId="24" fillId="6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1" fillId="12" borderId="0">
      <alignment vertical="center"/>
    </xf>
    <xf numFmtId="0" fontId="30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0" fillId="33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10" fontId="0" fillId="0" borderId="1" xfId="3" applyNumberFormat="1" applyBorder="1">
      <alignment vertical="center"/>
    </xf>
    <xf numFmtId="0" fontId="0" fillId="0" borderId="1" xfId="0" applyBorder="1" applyAlignment="1">
      <alignment vertical="center"/>
    </xf>
    <xf numFmtId="49" fontId="0" fillId="0" borderId="0" xfId="0" applyNumberFormat="1" applyAlignme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0"/>
  <sheetViews>
    <sheetView tabSelected="1" zoomScale="85" zoomScaleNormal="85" workbookViewId="0">
      <selection activeCell="I39" sqref="I39"/>
    </sheetView>
  </sheetViews>
  <sheetFormatPr defaultColWidth="9" defaultRowHeight="13.5"/>
  <cols>
    <col min="1" max="1" width="5.375" customWidth="1"/>
    <col min="2" max="2" width="8.375" customWidth="1"/>
    <col min="3" max="3" width="22.125" customWidth="1"/>
    <col min="4" max="4" width="8.375" customWidth="1"/>
    <col min="5" max="5" width="21.5" customWidth="1"/>
    <col min="6" max="6" width="15.25" customWidth="1"/>
    <col min="7" max="7" width="8.375" customWidth="1"/>
    <col min="8" max="8" width="10" customWidth="1"/>
    <col min="9" max="9" width="12.875" customWidth="1"/>
    <col min="10" max="10" width="15" customWidth="1"/>
    <col min="11" max="11" width="6.375" customWidth="1"/>
    <col min="12" max="12" width="113.816666666667" customWidth="1"/>
    <col min="13" max="13" width="11" customWidth="1"/>
    <col min="14" max="14" width="48.375" customWidth="1"/>
    <col min="16" max="16" width="13.125" customWidth="1"/>
    <col min="17" max="17" width="17.25" customWidth="1"/>
    <col min="18" max="18" width="17.625" customWidth="1"/>
    <col min="19" max="19" width="15.375" customWidth="1"/>
  </cols>
  <sheetData>
    <row r="1" s="2" customFormat="1" ht="15.75" spans="1:1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5" t="s">
        <v>11</v>
      </c>
      <c r="M1" s="8" t="s">
        <v>12</v>
      </c>
      <c r="N1" s="9" t="s">
        <v>13</v>
      </c>
      <c r="O1" s="2"/>
      <c r="P1" s="10"/>
      <c r="Q1" s="10"/>
      <c r="R1" s="11"/>
      <c r="S1" s="11"/>
    </row>
    <row r="2" s="3" customFormat="1" ht="21" customHeight="1" spans="1:19">
      <c r="A2" s="12" t="s">
        <v>14</v>
      </c>
      <c r="B2" s="12" t="s">
        <v>14</v>
      </c>
      <c r="C2" s="12" t="s">
        <v>15</v>
      </c>
      <c r="D2" s="13"/>
      <c r="E2" s="12" t="s">
        <v>14</v>
      </c>
      <c r="F2" s="12" t="s">
        <v>14</v>
      </c>
      <c r="G2" s="14"/>
      <c r="H2" s="14" t="s">
        <v>14</v>
      </c>
      <c r="I2" s="14" t="s">
        <v>14</v>
      </c>
      <c r="J2" s="14"/>
      <c r="K2" s="14"/>
      <c r="L2" s="14" t="s">
        <v>16</v>
      </c>
      <c r="M2" s="14" t="s">
        <v>15</v>
      </c>
      <c r="N2" s="15"/>
    </row>
    <row r="3" s="3" customFormat="1" ht="15.75" spans="1:19">
      <c r="A3" s="12" t="s">
        <v>17</v>
      </c>
      <c r="B3" s="14" t="s">
        <v>18</v>
      </c>
      <c r="C3" s="13" t="s">
        <v>19</v>
      </c>
      <c r="D3" s="13"/>
      <c r="E3" s="13" t="s">
        <v>20</v>
      </c>
      <c r="F3" s="14" t="s">
        <v>21</v>
      </c>
      <c r="G3" s="14"/>
      <c r="H3" s="14" t="s">
        <v>22</v>
      </c>
      <c r="I3" s="12" t="s">
        <v>23</v>
      </c>
      <c r="J3" s="12"/>
      <c r="K3" s="12"/>
      <c r="L3" s="14" t="s">
        <v>24</v>
      </c>
      <c r="M3" s="14" t="s">
        <v>25</v>
      </c>
      <c r="N3" s="15"/>
    </row>
    <row r="4" ht="15.75" spans="1:19">
      <c r="A4" s="16"/>
      <c r="B4" s="17"/>
      <c r="C4" s="18"/>
      <c r="D4" s="18"/>
      <c r="E4" s="18"/>
      <c r="F4" s="17"/>
      <c r="G4" s="17"/>
      <c r="H4" s="17"/>
      <c r="I4" s="17"/>
      <c r="J4" s="17"/>
      <c r="K4" s="17"/>
      <c r="L4" s="17"/>
      <c r="M4" s="17"/>
      <c r="N4" s="19"/>
    </row>
    <row r="5" ht="16" customHeight="1" spans="1:19">
      <c r="A5" s="16">
        <v>1001</v>
      </c>
      <c r="B5" s="16">
        <v>1</v>
      </c>
      <c r="C5" s="18" t="s">
        <v>26</v>
      </c>
      <c r="D5" s="18" t="s">
        <v>27</v>
      </c>
      <c r="E5" s="18">
        <v>20</v>
      </c>
      <c r="F5" s="16">
        <v>100</v>
      </c>
      <c r="G5" s="16" t="s">
        <v>28</v>
      </c>
      <c r="H5" s="16">
        <v>0</v>
      </c>
      <c r="I5" s="16">
        <v>500</v>
      </c>
      <c r="J5" s="16">
        <f>IF(H5=0,I5,($O$1*H5/100+1)*I5)</f>
        <v>500</v>
      </c>
      <c r="K5" s="20">
        <f>J5/SUM($J$5:$J$34)</f>
        <v>0.0859106529209622</v>
      </c>
      <c r="L5" s="21" t="s">
        <v>29</v>
      </c>
      <c r="M5" s="21"/>
      <c r="N5" s="21" t="s">
        <v>30</v>
      </c>
    </row>
    <row r="6" ht="18" customHeight="1" spans="1:19">
      <c r="A6" s="16">
        <v>1002</v>
      </c>
      <c r="B6" s="16">
        <v>1</v>
      </c>
      <c r="C6" s="18" t="s">
        <v>31</v>
      </c>
      <c r="D6" s="18" t="s">
        <v>32</v>
      </c>
      <c r="E6" s="18">
        <v>20</v>
      </c>
      <c r="F6" s="16">
        <v>100</v>
      </c>
      <c r="G6" s="16" t="s">
        <v>28</v>
      </c>
      <c r="H6" s="16">
        <v>0</v>
      </c>
      <c r="I6" s="16">
        <v>500</v>
      </c>
      <c r="J6" s="16">
        <f t="shared" ref="J6:J34" si="0">IF(H6=0,I6,($O$1*H6/100+1)*I6)</f>
        <v>500</v>
      </c>
      <c r="K6" s="20">
        <f t="shared" ref="K6:K34" si="1">J6/SUM($J$5:$J$34)</f>
        <v>0.0859106529209622</v>
      </c>
      <c r="L6" s="21" t="s">
        <v>29</v>
      </c>
      <c r="M6" s="21"/>
      <c r="N6" s="21"/>
    </row>
    <row r="7" spans="1:19">
      <c r="A7" s="16">
        <v>1003</v>
      </c>
      <c r="B7" s="16">
        <v>1</v>
      </c>
      <c r="C7" s="18" t="s">
        <v>33</v>
      </c>
      <c r="D7" s="18" t="s">
        <v>34</v>
      </c>
      <c r="E7" s="18">
        <v>20</v>
      </c>
      <c r="F7" s="16">
        <v>450</v>
      </c>
      <c r="G7" s="16" t="s">
        <v>35</v>
      </c>
      <c r="H7" s="16">
        <v>0</v>
      </c>
      <c r="I7" s="16">
        <v>500</v>
      </c>
      <c r="J7" s="16">
        <f t="shared" si="0"/>
        <v>500</v>
      </c>
      <c r="K7" s="20">
        <f t="shared" si="1"/>
        <v>0.0859106529209622</v>
      </c>
      <c r="L7" s="21" t="s">
        <v>29</v>
      </c>
      <c r="M7" s="21"/>
      <c r="N7" s="21"/>
    </row>
    <row r="8" spans="1:19">
      <c r="A8" s="16">
        <v>2001</v>
      </c>
      <c r="B8" s="16">
        <v>2</v>
      </c>
      <c r="C8" s="18" t="s">
        <v>36</v>
      </c>
      <c r="D8" s="18" t="s">
        <v>37</v>
      </c>
      <c r="E8" s="18">
        <v>20</v>
      </c>
      <c r="F8" s="16">
        <v>450</v>
      </c>
      <c r="G8" s="16" t="s">
        <v>28</v>
      </c>
      <c r="H8" s="16">
        <v>0</v>
      </c>
      <c r="I8" s="16">
        <v>300</v>
      </c>
      <c r="J8" s="16">
        <f t="shared" si="0"/>
        <v>300</v>
      </c>
      <c r="K8" s="20">
        <f t="shared" si="1"/>
        <v>0.0515463917525773</v>
      </c>
      <c r="L8" s="21" t="s">
        <v>29</v>
      </c>
      <c r="M8" s="21"/>
      <c r="N8" s="21"/>
    </row>
    <row r="9" spans="1:19">
      <c r="A9" s="16">
        <v>2002</v>
      </c>
      <c r="B9" s="16">
        <v>2</v>
      </c>
      <c r="C9" s="18" t="s">
        <v>38</v>
      </c>
      <c r="D9" s="18" t="s">
        <v>39</v>
      </c>
      <c r="E9" s="18">
        <v>20</v>
      </c>
      <c r="F9" s="16">
        <v>450</v>
      </c>
      <c r="G9" s="16" t="s">
        <v>28</v>
      </c>
      <c r="H9" s="16">
        <v>0</v>
      </c>
      <c r="I9" s="16">
        <v>300</v>
      </c>
      <c r="J9" s="16">
        <f t="shared" si="0"/>
        <v>300</v>
      </c>
      <c r="K9" s="20">
        <f t="shared" si="1"/>
        <v>0.0515463917525773</v>
      </c>
      <c r="L9" s="21" t="s">
        <v>29</v>
      </c>
      <c r="M9" s="21"/>
      <c r="N9" s="21"/>
    </row>
    <row r="10" spans="1:19">
      <c r="A10" s="16">
        <v>2003</v>
      </c>
      <c r="B10" s="16">
        <v>2</v>
      </c>
      <c r="C10" s="18" t="s">
        <v>40</v>
      </c>
      <c r="D10" s="18" t="s">
        <v>41</v>
      </c>
      <c r="E10" s="18">
        <v>20</v>
      </c>
      <c r="F10" s="16">
        <v>450</v>
      </c>
      <c r="G10" s="16" t="s">
        <v>35</v>
      </c>
      <c r="H10" s="16">
        <v>0</v>
      </c>
      <c r="I10" s="16">
        <v>300</v>
      </c>
      <c r="J10" s="16">
        <f t="shared" si="0"/>
        <v>300</v>
      </c>
      <c r="K10" s="20">
        <f t="shared" si="1"/>
        <v>0.0515463917525773</v>
      </c>
      <c r="L10" s="21" t="s">
        <v>29</v>
      </c>
      <c r="M10" s="21"/>
      <c r="N10" s="21"/>
    </row>
    <row r="11" spans="1:19">
      <c r="A11" s="16">
        <v>3001</v>
      </c>
      <c r="B11" s="16">
        <v>3</v>
      </c>
      <c r="C11" s="18" t="s">
        <v>42</v>
      </c>
      <c r="D11" s="18" t="s">
        <v>43</v>
      </c>
      <c r="E11" s="18">
        <v>20</v>
      </c>
      <c r="F11" s="16">
        <v>450</v>
      </c>
      <c r="G11" s="16" t="s">
        <v>28</v>
      </c>
      <c r="H11" s="16">
        <v>0</v>
      </c>
      <c r="I11" s="16">
        <v>100</v>
      </c>
      <c r="J11" s="16">
        <f t="shared" si="0"/>
        <v>100</v>
      </c>
      <c r="K11" s="20">
        <f t="shared" si="1"/>
        <v>0.0171821305841924</v>
      </c>
      <c r="L11" s="21" t="s">
        <v>29</v>
      </c>
      <c r="M11" s="21"/>
      <c r="N11" s="21"/>
    </row>
    <row r="12" spans="1:19">
      <c r="A12" s="16">
        <v>3002</v>
      </c>
      <c r="B12" s="16">
        <v>3</v>
      </c>
      <c r="C12" s="18" t="s">
        <v>44</v>
      </c>
      <c r="D12" s="18" t="s">
        <v>45</v>
      </c>
      <c r="E12" s="18">
        <v>20</v>
      </c>
      <c r="F12" s="16">
        <v>450</v>
      </c>
      <c r="G12" s="16" t="s">
        <v>28</v>
      </c>
      <c r="H12" s="16">
        <v>0</v>
      </c>
      <c r="I12" s="16">
        <v>10</v>
      </c>
      <c r="J12" s="16">
        <f t="shared" si="0"/>
        <v>10</v>
      </c>
      <c r="K12" s="20">
        <f t="shared" si="1"/>
        <v>0.00171821305841924</v>
      </c>
      <c r="L12" s="21" t="s">
        <v>29</v>
      </c>
      <c r="M12" s="21"/>
      <c r="N12" s="21"/>
    </row>
    <row r="13" spans="1:19">
      <c r="A13" s="16">
        <v>3003</v>
      </c>
      <c r="B13" s="16">
        <v>3</v>
      </c>
      <c r="C13" s="18" t="s">
        <v>46</v>
      </c>
      <c r="D13" s="18" t="s">
        <v>47</v>
      </c>
      <c r="E13" s="18">
        <v>20</v>
      </c>
      <c r="F13" s="16">
        <v>450</v>
      </c>
      <c r="G13" s="16" t="s">
        <v>35</v>
      </c>
      <c r="H13" s="16">
        <v>0</v>
      </c>
      <c r="I13" s="16">
        <v>100</v>
      </c>
      <c r="J13" s="16">
        <f t="shared" si="0"/>
        <v>100</v>
      </c>
      <c r="K13" s="20">
        <f t="shared" si="1"/>
        <v>0.0171821305841924</v>
      </c>
      <c r="L13" s="21" t="s">
        <v>29</v>
      </c>
      <c r="M13" s="21"/>
      <c r="N13" s="21"/>
    </row>
    <row r="14" spans="1:19">
      <c r="A14" s="16">
        <v>4001</v>
      </c>
      <c r="B14" s="16">
        <v>4</v>
      </c>
      <c r="C14" s="18" t="s">
        <v>48</v>
      </c>
      <c r="D14" s="18" t="s">
        <v>49</v>
      </c>
      <c r="E14" s="18">
        <v>20</v>
      </c>
      <c r="F14" s="16">
        <v>450</v>
      </c>
      <c r="G14" s="16" t="s">
        <v>28</v>
      </c>
      <c r="H14" s="16">
        <v>0</v>
      </c>
      <c r="I14" s="16">
        <v>50</v>
      </c>
      <c r="J14" s="16">
        <f t="shared" si="0"/>
        <v>50</v>
      </c>
      <c r="K14" s="20">
        <f t="shared" si="1"/>
        <v>0.00859106529209622</v>
      </c>
      <c r="L14" s="21" t="s">
        <v>29</v>
      </c>
      <c r="M14" s="21"/>
      <c r="N14" s="21"/>
    </row>
    <row r="15" spans="1:19">
      <c r="A15" s="16">
        <v>4002</v>
      </c>
      <c r="B15" s="16">
        <v>4</v>
      </c>
      <c r="C15" s="18" t="s">
        <v>50</v>
      </c>
      <c r="D15" s="18" t="s">
        <v>51</v>
      </c>
      <c r="E15" s="18">
        <v>20</v>
      </c>
      <c r="F15" s="16">
        <v>450</v>
      </c>
      <c r="G15" s="16" t="s">
        <v>28</v>
      </c>
      <c r="H15" s="16">
        <v>0</v>
      </c>
      <c r="I15" s="16">
        <v>50</v>
      </c>
      <c r="J15" s="16">
        <f t="shared" si="0"/>
        <v>50</v>
      </c>
      <c r="K15" s="20">
        <f t="shared" si="1"/>
        <v>0.00859106529209622</v>
      </c>
      <c r="L15" s="21" t="s">
        <v>29</v>
      </c>
      <c r="M15" s="21"/>
      <c r="N15" s="21"/>
    </row>
    <row r="16" spans="1:19">
      <c r="A16" s="16">
        <v>4003</v>
      </c>
      <c r="B16" s="16">
        <v>4</v>
      </c>
      <c r="C16" s="18" t="s">
        <v>52</v>
      </c>
      <c r="D16" s="18" t="s">
        <v>53</v>
      </c>
      <c r="E16" s="18">
        <v>20</v>
      </c>
      <c r="F16" s="16">
        <v>450</v>
      </c>
      <c r="G16" s="16" t="s">
        <v>35</v>
      </c>
      <c r="H16" s="16">
        <v>0</v>
      </c>
      <c r="I16" s="16">
        <v>50</v>
      </c>
      <c r="J16" s="16">
        <f t="shared" si="0"/>
        <v>50</v>
      </c>
      <c r="K16" s="20">
        <f t="shared" si="1"/>
        <v>0.00859106529209622</v>
      </c>
      <c r="L16" s="21" t="s">
        <v>29</v>
      </c>
      <c r="M16" s="21"/>
      <c r="N16" s="21"/>
    </row>
    <row r="17" spans="1:14">
      <c r="A17" s="16">
        <v>5001</v>
      </c>
      <c r="B17" s="16">
        <v>5</v>
      </c>
      <c r="C17" s="18" t="s">
        <v>54</v>
      </c>
      <c r="D17" s="18" t="s">
        <v>55</v>
      </c>
      <c r="E17" s="18">
        <v>20</v>
      </c>
      <c r="F17" s="16">
        <v>450</v>
      </c>
      <c r="G17" s="16" t="s">
        <v>28</v>
      </c>
      <c r="H17" s="16">
        <v>0</v>
      </c>
      <c r="I17" s="16">
        <v>50</v>
      </c>
      <c r="J17" s="16">
        <f t="shared" si="0"/>
        <v>50</v>
      </c>
      <c r="K17" s="20">
        <f t="shared" si="1"/>
        <v>0.00859106529209622</v>
      </c>
      <c r="L17" s="21" t="s">
        <v>29</v>
      </c>
      <c r="M17" s="21"/>
      <c r="N17" s="21"/>
    </row>
    <row r="18" spans="1:14">
      <c r="A18" s="16">
        <v>5002</v>
      </c>
      <c r="B18" s="16">
        <v>5</v>
      </c>
      <c r="C18" s="18" t="s">
        <v>56</v>
      </c>
      <c r="D18" s="18" t="s">
        <v>57</v>
      </c>
      <c r="E18" s="18">
        <v>20</v>
      </c>
      <c r="F18" s="16">
        <v>450</v>
      </c>
      <c r="G18" s="16" t="s">
        <v>28</v>
      </c>
      <c r="H18" s="16">
        <v>0</v>
      </c>
      <c r="I18" s="16">
        <v>50</v>
      </c>
      <c r="J18" s="16">
        <f t="shared" si="0"/>
        <v>50</v>
      </c>
      <c r="K18" s="20">
        <f t="shared" si="1"/>
        <v>0.00859106529209622</v>
      </c>
      <c r="L18" s="21" t="s">
        <v>29</v>
      </c>
      <c r="M18" s="21"/>
      <c r="N18" s="21"/>
    </row>
    <row r="19" spans="1:14">
      <c r="A19" s="16">
        <v>5003</v>
      </c>
      <c r="B19" s="16">
        <v>5</v>
      </c>
      <c r="C19" s="18" t="s">
        <v>58</v>
      </c>
      <c r="D19" s="18" t="s">
        <v>59</v>
      </c>
      <c r="E19" s="18">
        <v>20</v>
      </c>
      <c r="F19" s="16">
        <v>450</v>
      </c>
      <c r="G19" s="16" t="s">
        <v>35</v>
      </c>
      <c r="H19" s="16">
        <v>0</v>
      </c>
      <c r="I19" s="16">
        <v>50</v>
      </c>
      <c r="J19" s="16">
        <f t="shared" si="0"/>
        <v>50</v>
      </c>
      <c r="K19" s="20">
        <f t="shared" si="1"/>
        <v>0.00859106529209622</v>
      </c>
      <c r="L19" s="21" t="s">
        <v>29</v>
      </c>
      <c r="M19" s="21"/>
      <c r="N19" s="21"/>
    </row>
    <row r="20" spans="1:14">
      <c r="A20" s="16">
        <v>1004</v>
      </c>
      <c r="B20" s="16">
        <v>1</v>
      </c>
      <c r="C20" s="18" t="s">
        <v>60</v>
      </c>
      <c r="D20" s="18" t="s">
        <v>61</v>
      </c>
      <c r="E20" s="18">
        <v>20</v>
      </c>
      <c r="F20" s="16">
        <v>450</v>
      </c>
      <c r="G20" s="16" t="s">
        <v>28</v>
      </c>
      <c r="H20" s="16">
        <v>50</v>
      </c>
      <c r="I20" s="16">
        <v>500</v>
      </c>
      <c r="J20" s="16">
        <f t="shared" si="0"/>
        <v>500</v>
      </c>
      <c r="K20" s="20">
        <f t="shared" si="1"/>
        <v>0.0859106529209622</v>
      </c>
      <c r="L20" s="21" t="s">
        <v>29</v>
      </c>
      <c r="M20" s="21"/>
      <c r="N20" s="21"/>
    </row>
    <row r="21" spans="1:14">
      <c r="A21" s="16">
        <v>1005</v>
      </c>
      <c r="B21" s="16">
        <v>1</v>
      </c>
      <c r="C21" s="18" t="s">
        <v>62</v>
      </c>
      <c r="D21" s="18" t="s">
        <v>63</v>
      </c>
      <c r="E21" s="18">
        <v>20</v>
      </c>
      <c r="F21" s="16">
        <v>450</v>
      </c>
      <c r="G21" s="16" t="s">
        <v>28</v>
      </c>
      <c r="H21" s="16">
        <v>50</v>
      </c>
      <c r="I21" s="16">
        <v>500</v>
      </c>
      <c r="J21" s="16">
        <f t="shared" si="0"/>
        <v>500</v>
      </c>
      <c r="K21" s="20">
        <f t="shared" si="1"/>
        <v>0.0859106529209622</v>
      </c>
      <c r="L21" s="21" t="s">
        <v>29</v>
      </c>
      <c r="M21" s="21"/>
      <c r="N21" s="21"/>
    </row>
    <row r="22" spans="1:14">
      <c r="A22" s="16">
        <v>1006</v>
      </c>
      <c r="B22" s="16">
        <v>1</v>
      </c>
      <c r="C22" s="18" t="s">
        <v>64</v>
      </c>
      <c r="D22" s="18" t="s">
        <v>65</v>
      </c>
      <c r="E22" s="18">
        <v>20</v>
      </c>
      <c r="F22" s="16">
        <v>450</v>
      </c>
      <c r="G22" s="16" t="s">
        <v>35</v>
      </c>
      <c r="H22" s="16">
        <v>50</v>
      </c>
      <c r="I22" s="16">
        <v>500</v>
      </c>
      <c r="J22" s="16">
        <f t="shared" si="0"/>
        <v>500</v>
      </c>
      <c r="K22" s="20">
        <f t="shared" si="1"/>
        <v>0.0859106529209622</v>
      </c>
      <c r="L22" s="21" t="s">
        <v>29</v>
      </c>
      <c r="M22" s="21"/>
      <c r="N22" s="21"/>
    </row>
    <row r="23" spans="1:14">
      <c r="A23" s="16">
        <v>2004</v>
      </c>
      <c r="B23" s="16">
        <v>2</v>
      </c>
      <c r="C23" s="18" t="s">
        <v>66</v>
      </c>
      <c r="D23" s="18" t="s">
        <v>67</v>
      </c>
      <c r="E23" s="18">
        <v>20</v>
      </c>
      <c r="F23" s="16">
        <v>450</v>
      </c>
      <c r="G23" s="16" t="s">
        <v>28</v>
      </c>
      <c r="H23" s="16">
        <v>50</v>
      </c>
      <c r="I23" s="16">
        <v>300</v>
      </c>
      <c r="J23" s="16">
        <f t="shared" si="0"/>
        <v>300</v>
      </c>
      <c r="K23" s="20">
        <f t="shared" si="1"/>
        <v>0.0515463917525773</v>
      </c>
      <c r="L23" s="21" t="s">
        <v>29</v>
      </c>
      <c r="M23" s="21"/>
      <c r="N23" s="21"/>
    </row>
    <row r="24" spans="1:14">
      <c r="A24" s="16">
        <v>2005</v>
      </c>
      <c r="B24" s="16">
        <v>2</v>
      </c>
      <c r="C24" s="18" t="s">
        <v>68</v>
      </c>
      <c r="D24" s="18" t="s">
        <v>69</v>
      </c>
      <c r="E24" s="18">
        <v>20</v>
      </c>
      <c r="F24" s="16">
        <v>450</v>
      </c>
      <c r="G24" s="16" t="s">
        <v>28</v>
      </c>
      <c r="H24" s="16">
        <v>50</v>
      </c>
      <c r="I24" s="16">
        <v>300</v>
      </c>
      <c r="J24" s="16">
        <f t="shared" si="0"/>
        <v>300</v>
      </c>
      <c r="K24" s="20">
        <f t="shared" si="1"/>
        <v>0.0515463917525773</v>
      </c>
      <c r="L24" s="21" t="s">
        <v>29</v>
      </c>
      <c r="M24" s="21"/>
      <c r="N24" s="21"/>
    </row>
    <row r="25" spans="1:14">
      <c r="A25" s="16">
        <v>2006</v>
      </c>
      <c r="B25" s="16">
        <v>2</v>
      </c>
      <c r="C25" s="18" t="s">
        <v>70</v>
      </c>
      <c r="D25" s="18" t="s">
        <v>71</v>
      </c>
      <c r="E25" s="18">
        <v>20</v>
      </c>
      <c r="F25" s="16">
        <v>450</v>
      </c>
      <c r="G25" s="16" t="s">
        <v>35</v>
      </c>
      <c r="H25" s="16">
        <v>50</v>
      </c>
      <c r="I25" s="16">
        <v>300</v>
      </c>
      <c r="J25" s="16">
        <f t="shared" si="0"/>
        <v>300</v>
      </c>
      <c r="K25" s="20">
        <f t="shared" si="1"/>
        <v>0.0515463917525773</v>
      </c>
      <c r="L25" s="21" t="s">
        <v>29</v>
      </c>
      <c r="M25" s="21"/>
      <c r="N25" s="21"/>
    </row>
    <row r="26" spans="1:14">
      <c r="A26" s="16">
        <v>3004</v>
      </c>
      <c r="B26" s="16">
        <v>3</v>
      </c>
      <c r="C26" s="18" t="s">
        <v>72</v>
      </c>
      <c r="D26" s="18" t="s">
        <v>73</v>
      </c>
      <c r="E26" s="18">
        <v>20</v>
      </c>
      <c r="F26" s="16">
        <v>450</v>
      </c>
      <c r="G26" s="16" t="s">
        <v>28</v>
      </c>
      <c r="H26" s="16">
        <v>50</v>
      </c>
      <c r="I26" s="16">
        <v>100</v>
      </c>
      <c r="J26" s="16">
        <f t="shared" si="0"/>
        <v>100</v>
      </c>
      <c r="K26" s="20">
        <f t="shared" si="1"/>
        <v>0.0171821305841924</v>
      </c>
      <c r="L26" s="21" t="s">
        <v>29</v>
      </c>
      <c r="M26" s="21"/>
      <c r="N26" s="21"/>
    </row>
    <row r="27" spans="1:14">
      <c r="A27" s="16">
        <v>3005</v>
      </c>
      <c r="B27" s="16">
        <v>3</v>
      </c>
      <c r="C27" s="18" t="s">
        <v>74</v>
      </c>
      <c r="D27" s="18" t="s">
        <v>75</v>
      </c>
      <c r="E27" s="18">
        <v>20</v>
      </c>
      <c r="F27" s="16">
        <v>450</v>
      </c>
      <c r="G27" s="16" t="s">
        <v>28</v>
      </c>
      <c r="H27" s="16">
        <v>50</v>
      </c>
      <c r="I27" s="16">
        <v>10</v>
      </c>
      <c r="J27" s="16">
        <f t="shared" si="0"/>
        <v>10</v>
      </c>
      <c r="K27" s="20">
        <f t="shared" si="1"/>
        <v>0.00171821305841924</v>
      </c>
      <c r="L27" s="21" t="s">
        <v>29</v>
      </c>
      <c r="M27" s="21"/>
      <c r="N27" s="21"/>
    </row>
    <row r="28" spans="1:14">
      <c r="A28" s="16">
        <v>3006</v>
      </c>
      <c r="B28" s="16">
        <v>3</v>
      </c>
      <c r="C28" s="18" t="s">
        <v>76</v>
      </c>
      <c r="D28" s="18" t="s">
        <v>77</v>
      </c>
      <c r="E28" s="18">
        <v>20</v>
      </c>
      <c r="F28" s="16">
        <v>450</v>
      </c>
      <c r="G28" s="16" t="s">
        <v>35</v>
      </c>
      <c r="H28" s="16">
        <v>50</v>
      </c>
      <c r="I28" s="16">
        <v>100</v>
      </c>
      <c r="J28" s="16">
        <f t="shared" si="0"/>
        <v>100</v>
      </c>
      <c r="K28" s="20">
        <f t="shared" si="1"/>
        <v>0.0171821305841924</v>
      </c>
      <c r="L28" s="21" t="s">
        <v>29</v>
      </c>
      <c r="M28" s="21"/>
      <c r="N28" s="21"/>
    </row>
    <row r="29" spans="1:14">
      <c r="A29" s="16">
        <v>4004</v>
      </c>
      <c r="B29" s="16">
        <v>4</v>
      </c>
      <c r="C29" s="18" t="s">
        <v>78</v>
      </c>
      <c r="D29" s="18" t="s">
        <v>79</v>
      </c>
      <c r="E29" s="18">
        <v>20</v>
      </c>
      <c r="F29" s="16">
        <v>450</v>
      </c>
      <c r="G29" s="16" t="s">
        <v>28</v>
      </c>
      <c r="H29" s="16">
        <v>50</v>
      </c>
      <c r="I29" s="16">
        <v>50</v>
      </c>
      <c r="J29" s="16">
        <f t="shared" si="0"/>
        <v>50</v>
      </c>
      <c r="K29" s="20">
        <f t="shared" si="1"/>
        <v>0.00859106529209622</v>
      </c>
      <c r="L29" s="21" t="s">
        <v>29</v>
      </c>
      <c r="M29" s="21"/>
      <c r="N29" s="21"/>
    </row>
    <row r="30" spans="1:14">
      <c r="A30" s="16">
        <v>4005</v>
      </c>
      <c r="B30" s="16">
        <v>4</v>
      </c>
      <c r="C30" s="18" t="s">
        <v>80</v>
      </c>
      <c r="D30" s="18" t="s">
        <v>81</v>
      </c>
      <c r="E30" s="18">
        <v>20</v>
      </c>
      <c r="F30" s="16">
        <v>450</v>
      </c>
      <c r="G30" s="16" t="s">
        <v>28</v>
      </c>
      <c r="H30" s="16">
        <v>50</v>
      </c>
      <c r="I30" s="16">
        <v>50</v>
      </c>
      <c r="J30" s="16">
        <f t="shared" si="0"/>
        <v>50</v>
      </c>
      <c r="K30" s="20">
        <f t="shared" si="1"/>
        <v>0.00859106529209622</v>
      </c>
      <c r="L30" s="21" t="s">
        <v>29</v>
      </c>
      <c r="M30" s="21"/>
      <c r="N30" s="21"/>
    </row>
    <row r="31" spans="1:14">
      <c r="A31" s="16">
        <v>4006</v>
      </c>
      <c r="B31" s="16">
        <v>4</v>
      </c>
      <c r="C31" s="18" t="s">
        <v>82</v>
      </c>
      <c r="D31" s="18" t="s">
        <v>83</v>
      </c>
      <c r="E31" s="18">
        <v>20</v>
      </c>
      <c r="F31" s="16">
        <v>450</v>
      </c>
      <c r="G31" s="16" t="s">
        <v>35</v>
      </c>
      <c r="H31" s="16">
        <v>50</v>
      </c>
      <c r="I31" s="16">
        <v>50</v>
      </c>
      <c r="J31" s="16">
        <f t="shared" si="0"/>
        <v>50</v>
      </c>
      <c r="K31" s="20">
        <f t="shared" si="1"/>
        <v>0.00859106529209622</v>
      </c>
      <c r="L31" s="21" t="s">
        <v>29</v>
      </c>
      <c r="M31" s="21"/>
      <c r="N31" s="21"/>
    </row>
    <row r="32" spans="1:14">
      <c r="A32" s="16">
        <v>5004</v>
      </c>
      <c r="B32" s="16">
        <v>5</v>
      </c>
      <c r="C32" s="18" t="s">
        <v>84</v>
      </c>
      <c r="D32" s="18" t="s">
        <v>85</v>
      </c>
      <c r="E32" s="18">
        <v>20</v>
      </c>
      <c r="F32" s="16">
        <v>450</v>
      </c>
      <c r="G32" s="16" t="s">
        <v>28</v>
      </c>
      <c r="H32" s="16">
        <v>50</v>
      </c>
      <c r="I32" s="16">
        <v>50</v>
      </c>
      <c r="J32" s="16">
        <f t="shared" si="0"/>
        <v>50</v>
      </c>
      <c r="K32" s="20">
        <f t="shared" si="1"/>
        <v>0.00859106529209622</v>
      </c>
      <c r="L32" s="21" t="s">
        <v>29</v>
      </c>
      <c r="M32" s="21"/>
      <c r="N32" s="21"/>
    </row>
    <row r="33" spans="1:14">
      <c r="A33" s="16">
        <v>5005</v>
      </c>
      <c r="B33" s="16">
        <v>5</v>
      </c>
      <c r="C33" s="18" t="s">
        <v>86</v>
      </c>
      <c r="D33" s="18" t="s">
        <v>87</v>
      </c>
      <c r="E33" s="18">
        <v>20</v>
      </c>
      <c r="F33" s="16">
        <v>450</v>
      </c>
      <c r="G33" s="16" t="s">
        <v>28</v>
      </c>
      <c r="H33" s="16">
        <v>50</v>
      </c>
      <c r="I33" s="16">
        <v>50</v>
      </c>
      <c r="J33" s="16">
        <f t="shared" si="0"/>
        <v>50</v>
      </c>
      <c r="K33" s="20">
        <f t="shared" si="1"/>
        <v>0.00859106529209622</v>
      </c>
      <c r="L33" s="21" t="s">
        <v>29</v>
      </c>
      <c r="M33" s="21"/>
      <c r="N33" s="21"/>
    </row>
    <row r="34" spans="1:14">
      <c r="A34" s="16">
        <v>5006</v>
      </c>
      <c r="B34" s="16">
        <v>5</v>
      </c>
      <c r="C34" s="18" t="s">
        <v>88</v>
      </c>
      <c r="D34" s="18" t="s">
        <v>89</v>
      </c>
      <c r="E34" s="18">
        <v>20</v>
      </c>
      <c r="F34" s="16">
        <v>450</v>
      </c>
      <c r="G34" s="16" t="s">
        <v>35</v>
      </c>
      <c r="H34" s="16">
        <v>50</v>
      </c>
      <c r="I34" s="16">
        <v>50</v>
      </c>
      <c r="J34" s="16">
        <f t="shared" si="0"/>
        <v>50</v>
      </c>
      <c r="K34" s="20">
        <f t="shared" si="1"/>
        <v>0.00859106529209622</v>
      </c>
      <c r="L34" s="21" t="s">
        <v>29</v>
      </c>
      <c r="M34" s="21"/>
      <c r="N34" s="21"/>
    </row>
    <row r="35" spans="1:14">
      <c r="F35" s="22"/>
      <c r="G35" s="22"/>
    </row>
    <row r="36" spans="1:14">
      <c r="F36" s="22"/>
      <c r="G36" s="22"/>
    </row>
    <row r="37" spans="1:14">
      <c r="F37" s="22"/>
      <c r="G37" s="22"/>
    </row>
    <row r="38" spans="1:14">
      <c r="F38" s="22"/>
      <c r="G38" s="22"/>
    </row>
    <row r="39" ht="17.25" spans="1:14">
      <c r="C39" s="23"/>
      <c r="D39" s="23"/>
      <c r="E39" s="23"/>
      <c r="F39" s="22"/>
      <c r="G39" s="22"/>
    </row>
    <row r="40" spans="1:14">
      <c r="F40" s="22"/>
      <c r="G40" s="22"/>
    </row>
    <row r="41" spans="1:14">
      <c r="F41" s="22"/>
      <c r="G41" s="22"/>
    </row>
    <row r="42" spans="1:14">
      <c r="F42" s="22"/>
      <c r="G42" s="22"/>
    </row>
    <row r="43" spans="1:14">
      <c r="F43" s="22"/>
      <c r="G43" s="22"/>
    </row>
    <row r="44" spans="1:14">
      <c r="F44" s="22"/>
      <c r="G44" s="22"/>
    </row>
    <row r="45" spans="1:14">
      <c r="F45" s="22"/>
      <c r="G45" s="22"/>
    </row>
    <row r="46" spans="1:14">
      <c r="F46" s="22"/>
      <c r="G46" s="22"/>
    </row>
    <row r="47" spans="1:14">
      <c r="F47" s="22"/>
      <c r="G47" s="22"/>
    </row>
    <row r="48" spans="1:14">
      <c r="F48" s="22"/>
      <c r="G48" s="22"/>
    </row>
    <row r="49" spans="3:7">
      <c r="F49" s="22"/>
      <c r="G49" s="22"/>
    </row>
    <row r="50" spans="3:7">
      <c r="F50" s="22"/>
      <c r="G50" s="22"/>
    </row>
    <row r="51" spans="3:7">
      <c r="F51" s="22"/>
      <c r="G51" s="22"/>
    </row>
    <row r="52" spans="3:7">
      <c r="F52" s="22"/>
      <c r="G52" s="22"/>
    </row>
    <row r="53" ht="14.25" spans="3:7">
      <c r="C53" s="24"/>
      <c r="D53" s="24"/>
      <c r="E53" s="24"/>
      <c r="F53" s="22"/>
      <c r="G53" s="22"/>
    </row>
    <row r="54" spans="3:7">
      <c r="F54" s="22"/>
      <c r="G54" s="22"/>
    </row>
    <row r="55" spans="3:7">
      <c r="F55" s="22"/>
      <c r="G55" s="22"/>
    </row>
    <row r="56" spans="3:7">
      <c r="F56" s="22"/>
      <c r="G56" s="22"/>
    </row>
    <row r="57" spans="3:7">
      <c r="F57" s="22"/>
      <c r="G57" s="22"/>
    </row>
    <row r="58" spans="3:7">
      <c r="F58" s="22"/>
      <c r="G58" s="22"/>
    </row>
    <row r="59" spans="3:7">
      <c r="F59" s="22"/>
      <c r="G59" s="22"/>
    </row>
    <row r="60" spans="3:7">
      <c r="F60" s="22"/>
      <c r="G60" s="22"/>
    </row>
  </sheetData>
  <pageMargins left="0.7" right="0.7" top="0.75" bottom="0.75" header="0.3" footer="0.3"/>
  <pageSetup paperSize="9" orientation="portrait"/>
  <headerFooter/>
  <ignoredErrors>
    <ignoredError sqref="N2:N3 N8:N19 N6 N35:N60 M61:N63 A1:B1 G1 A4:B4 G4:G9 G11:G12 G14:G15 G17:G18 M4:N4 M1:N1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5:J59"/>
  <sheetViews>
    <sheetView topLeftCell="A25" workbookViewId="0">
      <selection activeCell="J30" sqref="J30:J59"/>
    </sheetView>
  </sheetViews>
  <sheetFormatPr defaultColWidth="9" defaultRowHeight="13.5"/>
  <sheetData>
    <row r="5" spans="6:10">
      <c r="F5" t="s">
        <v>90</v>
      </c>
    </row>
    <row r="6" spans="6:10">
      <c r="J6" t="str">
        <f>_xlfn.TEXTJOIN("|",TRUE,I8:I21)</f>
        <v>1101_3000|1102_3000|1103_3000|1104_3000|1105_3000|1106_3000|1107_2000|1108_2000|1109_2000|1110_1000|1111_1000|1112_1000|1201_0|1202_0</v>
      </c>
    </row>
    <row r="8" spans="6:10">
      <c r="F8">
        <v>1101</v>
      </c>
      <c r="G8">
        <v>3000</v>
      </c>
      <c r="I8" t="str">
        <f>_xlfn.TEXTJOIN("_",TRUE,F8,G8)</f>
        <v>1101_3000</v>
      </c>
    </row>
    <row r="9" spans="6:10">
      <c r="F9">
        <v>1102</v>
      </c>
      <c r="G9">
        <v>3000</v>
      </c>
      <c r="I9" t="str">
        <f t="shared" ref="I9:I21" si="0">_xlfn.TEXTJOIN("_",TRUE,F9,G9)</f>
        <v>1102_3000</v>
      </c>
    </row>
    <row r="10" spans="6:10">
      <c r="F10">
        <v>1103</v>
      </c>
      <c r="G10">
        <v>3000</v>
      </c>
      <c r="I10" t="str">
        <f t="shared" si="0"/>
        <v>1103_3000</v>
      </c>
    </row>
    <row r="11" spans="6:10">
      <c r="F11">
        <v>1104</v>
      </c>
      <c r="G11">
        <v>3000</v>
      </c>
      <c r="I11" t="str">
        <f t="shared" si="0"/>
        <v>1104_3000</v>
      </c>
    </row>
    <row r="12" spans="6:10">
      <c r="F12">
        <v>1105</v>
      </c>
      <c r="G12">
        <v>3000</v>
      </c>
      <c r="I12" t="str">
        <f t="shared" si="0"/>
        <v>1105_3000</v>
      </c>
    </row>
    <row r="13" spans="6:10">
      <c r="F13">
        <v>1106</v>
      </c>
      <c r="G13">
        <v>3000</v>
      </c>
      <c r="I13" t="str">
        <f t="shared" si="0"/>
        <v>1106_3000</v>
      </c>
    </row>
    <row r="14" spans="6:10">
      <c r="F14">
        <v>1107</v>
      </c>
      <c r="G14">
        <v>2000</v>
      </c>
      <c r="I14" t="str">
        <f t="shared" si="0"/>
        <v>1107_2000</v>
      </c>
    </row>
    <row r="15" spans="6:10">
      <c r="F15">
        <v>1108</v>
      </c>
      <c r="G15">
        <v>2000</v>
      </c>
      <c r="I15" t="str">
        <f t="shared" si="0"/>
        <v>1108_2000</v>
      </c>
    </row>
    <row r="16" spans="6:10">
      <c r="F16">
        <v>1109</v>
      </c>
      <c r="G16">
        <v>2000</v>
      </c>
      <c r="I16" t="str">
        <f t="shared" si="0"/>
        <v>1109_2000</v>
      </c>
    </row>
    <row r="17" spans="6:10">
      <c r="F17">
        <v>1110</v>
      </c>
      <c r="G17">
        <v>1000</v>
      </c>
      <c r="I17" t="str">
        <f t="shared" si="0"/>
        <v>1110_1000</v>
      </c>
    </row>
    <row r="18" spans="6:10">
      <c r="F18">
        <v>1111</v>
      </c>
      <c r="G18">
        <v>1000</v>
      </c>
      <c r="I18" t="str">
        <f t="shared" si="0"/>
        <v>1111_1000</v>
      </c>
    </row>
    <row r="19" spans="6:10">
      <c r="F19">
        <v>1112</v>
      </c>
      <c r="G19">
        <v>1000</v>
      </c>
      <c r="I19" t="str">
        <f t="shared" si="0"/>
        <v>1112_1000</v>
      </c>
    </row>
    <row r="20" spans="6:10">
      <c r="F20">
        <v>1201</v>
      </c>
      <c r="G20">
        <v>0</v>
      </c>
      <c r="I20" t="str">
        <f t="shared" si="0"/>
        <v>1201_0</v>
      </c>
    </row>
    <row r="21" spans="6:10">
      <c r="F21">
        <v>1202</v>
      </c>
      <c r="G21">
        <v>0</v>
      </c>
      <c r="I21" t="str">
        <f t="shared" si="0"/>
        <v>1202_0</v>
      </c>
    </row>
    <row r="27" spans="6:10">
      <c r="F27" t="s">
        <v>91</v>
      </c>
      <c r="G27" t="s">
        <v>92</v>
      </c>
      <c r="H27" t="s">
        <v>93</v>
      </c>
    </row>
    <row r="30" spans="6:10">
      <c r="F30" s="1">
        <v>1025101</v>
      </c>
      <c r="G30" s="1">
        <v>1125101</v>
      </c>
      <c r="H30">
        <v>2</v>
      </c>
      <c r="J30" t="str">
        <f>_xlfn.TEXTJOIN("_",TRUE,F30,G30,H30)</f>
        <v>1025101_1125101_2</v>
      </c>
    </row>
    <row r="31" spans="6:10">
      <c r="F31" s="1">
        <v>1025102</v>
      </c>
      <c r="G31" s="1">
        <v>1125102</v>
      </c>
      <c r="H31">
        <v>2</v>
      </c>
      <c r="J31" t="str">
        <f t="shared" ref="J31:J59" si="1">_xlfn.TEXTJOIN("_",TRUE,F31,G31,H31)</f>
        <v>1025102_1125102_2</v>
      </c>
    </row>
    <row r="32" spans="6:10">
      <c r="F32" s="1">
        <v>1025103</v>
      </c>
      <c r="G32" s="1">
        <v>1125103</v>
      </c>
      <c r="H32">
        <v>2</v>
      </c>
      <c r="J32" t="str">
        <f t="shared" si="1"/>
        <v>1025103_1125103_2</v>
      </c>
    </row>
    <row r="33" spans="6:10">
      <c r="F33" s="1">
        <v>1025104</v>
      </c>
      <c r="G33" s="1">
        <v>1125104</v>
      </c>
      <c r="H33">
        <v>2</v>
      </c>
      <c r="J33" t="str">
        <f t="shared" si="1"/>
        <v>1025104_1125104_2</v>
      </c>
    </row>
    <row r="34" spans="6:10">
      <c r="F34" s="1">
        <v>1025105</v>
      </c>
      <c r="G34" s="1">
        <v>1125105</v>
      </c>
      <c r="H34">
        <v>2</v>
      </c>
      <c r="J34" t="str">
        <f t="shared" si="1"/>
        <v>1025105_1125105_2</v>
      </c>
    </row>
    <row r="35" spans="6:10">
      <c r="F35" s="1">
        <v>1025106</v>
      </c>
      <c r="G35" s="1">
        <v>1125106</v>
      </c>
      <c r="H35">
        <v>2</v>
      </c>
      <c r="J35" t="str">
        <f t="shared" si="1"/>
        <v>1025106_1125106_2</v>
      </c>
    </row>
    <row r="36" spans="6:10">
      <c r="F36" s="1">
        <v>1025201</v>
      </c>
      <c r="G36" s="1">
        <v>1125201</v>
      </c>
      <c r="H36">
        <v>4</v>
      </c>
      <c r="J36" t="str">
        <f t="shared" si="1"/>
        <v>1025201_1125201_4</v>
      </c>
    </row>
    <row r="37" spans="6:10">
      <c r="F37" s="1">
        <v>1025202</v>
      </c>
      <c r="G37" s="1">
        <v>1125202</v>
      </c>
      <c r="H37">
        <v>4</v>
      </c>
      <c r="J37" t="str">
        <f t="shared" si="1"/>
        <v>1025202_1125202_4</v>
      </c>
    </row>
    <row r="38" spans="6:10">
      <c r="F38" s="1">
        <v>1025203</v>
      </c>
      <c r="G38" s="1">
        <v>1125203</v>
      </c>
      <c r="H38">
        <v>4</v>
      </c>
      <c r="J38" t="str">
        <f t="shared" si="1"/>
        <v>1025203_1125203_4</v>
      </c>
    </row>
    <row r="39" spans="6:10">
      <c r="F39" s="1">
        <v>1025204</v>
      </c>
      <c r="G39" s="1">
        <v>1125204</v>
      </c>
      <c r="H39">
        <v>4</v>
      </c>
      <c r="J39" t="str">
        <f t="shared" si="1"/>
        <v>1025204_1125204_4</v>
      </c>
    </row>
    <row r="40" spans="6:10">
      <c r="F40" s="1">
        <v>1025205</v>
      </c>
      <c r="G40" s="1">
        <v>1125205</v>
      </c>
      <c r="H40">
        <v>4</v>
      </c>
      <c r="J40" t="str">
        <f t="shared" si="1"/>
        <v>1025205_1125205_4</v>
      </c>
    </row>
    <row r="41" spans="6:10">
      <c r="F41" s="1">
        <v>1025206</v>
      </c>
      <c r="G41" s="1">
        <v>1125206</v>
      </c>
      <c r="H41">
        <v>4</v>
      </c>
      <c r="J41" t="str">
        <f t="shared" si="1"/>
        <v>1025206_1125206_4</v>
      </c>
    </row>
    <row r="42" spans="6:10">
      <c r="F42" s="1">
        <v>1025301</v>
      </c>
      <c r="G42" s="1">
        <v>1125301</v>
      </c>
      <c r="H42">
        <v>6</v>
      </c>
      <c r="J42" t="str">
        <f t="shared" si="1"/>
        <v>1025301_1125301_6</v>
      </c>
    </row>
    <row r="43" spans="6:10">
      <c r="F43" s="1">
        <v>1025302</v>
      </c>
      <c r="G43" s="1">
        <v>1125302</v>
      </c>
      <c r="H43">
        <v>6</v>
      </c>
      <c r="J43" t="str">
        <f t="shared" si="1"/>
        <v>1025302_1125302_6</v>
      </c>
    </row>
    <row r="44" spans="6:10">
      <c r="F44" s="1">
        <v>1025303</v>
      </c>
      <c r="G44" s="1">
        <v>1125303</v>
      </c>
      <c r="H44">
        <v>6</v>
      </c>
      <c r="J44" t="str">
        <f t="shared" si="1"/>
        <v>1025303_1125303_6</v>
      </c>
    </row>
    <row r="45" spans="6:10">
      <c r="F45" s="1">
        <v>1025304</v>
      </c>
      <c r="G45" s="1">
        <v>1125304</v>
      </c>
      <c r="H45">
        <v>6</v>
      </c>
      <c r="J45" t="str">
        <f t="shared" si="1"/>
        <v>1025304_1125304_6</v>
      </c>
    </row>
    <row r="46" spans="6:10">
      <c r="F46" s="1">
        <v>1025305</v>
      </c>
      <c r="G46" s="1">
        <v>1125305</v>
      </c>
      <c r="H46">
        <v>6</v>
      </c>
      <c r="J46" t="str">
        <f t="shared" si="1"/>
        <v>1025305_1125305_6</v>
      </c>
    </row>
    <row r="47" spans="6:10">
      <c r="F47" s="1">
        <v>1025306</v>
      </c>
      <c r="G47" s="1">
        <v>1125306</v>
      </c>
      <c r="H47">
        <v>6</v>
      </c>
      <c r="J47" t="str">
        <f t="shared" si="1"/>
        <v>1025306_1125306_6</v>
      </c>
    </row>
    <row r="48" spans="6:10">
      <c r="F48" s="1">
        <v>1025401</v>
      </c>
      <c r="G48" s="1">
        <v>1125401</v>
      </c>
      <c r="H48">
        <v>8</v>
      </c>
      <c r="J48" t="str">
        <f t="shared" si="1"/>
        <v>1025401_1125401_8</v>
      </c>
    </row>
    <row r="49" spans="6:10">
      <c r="F49" s="1">
        <v>1025402</v>
      </c>
      <c r="G49" s="1">
        <v>1125402</v>
      </c>
      <c r="H49">
        <v>8</v>
      </c>
      <c r="J49" t="str">
        <f t="shared" si="1"/>
        <v>1025402_1125402_8</v>
      </c>
    </row>
    <row r="50" spans="6:10">
      <c r="F50" s="1">
        <v>1025403</v>
      </c>
      <c r="G50" s="1">
        <v>1125403</v>
      </c>
      <c r="H50">
        <v>8</v>
      </c>
      <c r="J50" t="str">
        <f t="shared" si="1"/>
        <v>1025403_1125403_8</v>
      </c>
    </row>
    <row r="51" spans="6:10">
      <c r="F51" s="1">
        <v>1025404</v>
      </c>
      <c r="G51" s="1">
        <v>1125404</v>
      </c>
      <c r="H51">
        <v>8</v>
      </c>
      <c r="J51" t="str">
        <f t="shared" si="1"/>
        <v>1025404_1125404_8</v>
      </c>
    </row>
    <row r="52" spans="6:10">
      <c r="F52" s="1">
        <v>1025405</v>
      </c>
      <c r="G52" s="1">
        <v>1125405</v>
      </c>
      <c r="H52">
        <v>8</v>
      </c>
      <c r="J52" t="str">
        <f t="shared" si="1"/>
        <v>1025405_1125405_8</v>
      </c>
    </row>
    <row r="53" spans="6:10">
      <c r="F53" s="1">
        <v>1025406</v>
      </c>
      <c r="G53" s="1">
        <v>1125406</v>
      </c>
      <c r="H53">
        <v>8</v>
      </c>
      <c r="J53" t="str">
        <f t="shared" si="1"/>
        <v>1025406_1125406_8</v>
      </c>
    </row>
    <row r="54" spans="6:10">
      <c r="F54" s="1">
        <v>1025501</v>
      </c>
      <c r="G54" s="1">
        <v>1125501</v>
      </c>
      <c r="H54">
        <v>10</v>
      </c>
      <c r="J54" t="str">
        <f t="shared" si="1"/>
        <v>1025501_1125501_10</v>
      </c>
    </row>
    <row r="55" spans="6:10">
      <c r="F55" s="1">
        <v>1025502</v>
      </c>
      <c r="G55" s="1">
        <v>1125502</v>
      </c>
      <c r="H55">
        <v>10</v>
      </c>
      <c r="J55" t="str">
        <f t="shared" si="1"/>
        <v>1025502_1125502_10</v>
      </c>
    </row>
    <row r="56" spans="6:10">
      <c r="F56" s="1">
        <v>1025503</v>
      </c>
      <c r="G56" s="1">
        <v>1125503</v>
      </c>
      <c r="H56">
        <v>10</v>
      </c>
      <c r="J56" t="str">
        <f t="shared" si="1"/>
        <v>1025503_1125503_10</v>
      </c>
    </row>
    <row r="57" spans="6:10">
      <c r="F57" s="1">
        <v>1025504</v>
      </c>
      <c r="G57" s="1">
        <v>1125504</v>
      </c>
      <c r="H57">
        <v>10</v>
      </c>
      <c r="J57" t="str">
        <f t="shared" si="1"/>
        <v>1025504_1125504_10</v>
      </c>
    </row>
    <row r="58" spans="6:10">
      <c r="F58" s="1">
        <v>1025505</v>
      </c>
      <c r="G58" s="1">
        <v>1125505</v>
      </c>
      <c r="H58">
        <v>10</v>
      </c>
      <c r="J58" t="str">
        <f t="shared" si="1"/>
        <v>1025505_1125505_10</v>
      </c>
    </row>
    <row r="59" spans="6:10">
      <c r="F59" s="1">
        <v>1025506</v>
      </c>
      <c r="G59" s="1">
        <v>1125506</v>
      </c>
      <c r="H59">
        <v>10</v>
      </c>
      <c r="J59" t="str">
        <f t="shared" si="1"/>
        <v>1025506_1125506_10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VisitorQuest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2026-07-15T09:38:27Z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C40504014E714AF8868A7F80D131E42C_12</vt:lpwstr>
  </property>
  <property fmtid="{D5CDD505-2E9C-101B-9397-08002B2CF9AE}" pid="4" name="CalculationRule">
    <vt:i4>0</vt:i4>
  </property>
</Properties>
</file>