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<sst xmlns="http://schemas.openxmlformats.org/spreadsheetml/2006/main" count="247" uniqueCount="119">
  <si>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</si>
  <si>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</si>
  <si>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</si>
  <si>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</si>
  <si>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</si>
  <si>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</si>
  <si>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</si>
  <si>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</si>
  <si>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</si>
  <si>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</si>
  <si>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</si>
  <si>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</si>
  <si>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</si>
  <si>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</si>
  <si>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</si>
  <si>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</si>
  <si>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</si>
  <si>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</si>
  <si>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</si>
  <si>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</si>
  <si>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</si>
  <si>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</si>
  <si>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</si>
  <si>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</si>
  <si>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</si>
  <si>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</si>
  <si>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</si>
  <si>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</si>
  <si>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</si>
  <si>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</si>
  <si>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</si>
  <si>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</si>
  <si>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</si>
  <si>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</si>
  <si>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</si>
  <si>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</si>
  <si>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</si>
  <si>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</si>
  <si>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</si>
  <si>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</si>
  <si>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</si>
  <si>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</si>
  <si>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</si>
  <si>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</si>
  <si>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1101_1107_1110_1102_1105_1104_1103_1106_1202_1111_1112_1108_1109</t>
  </si>
  <si>
    <t>1025103_1125103_10</t>
  </si>
  <si>
    <t>酷盖少年</t>
  </si>
  <si>
    <t>固定</t>
  </si>
  <si>
    <t>1102_3000|1103_3000|1104_3000|1105_3000|1106_3000|1107_3000|1108_3000|1109_3000|1110_3000|1111_3000|1112_3000|1202_2000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</si>
  <si>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</si>
  <si>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</si>
  <si>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</si>
  <si>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</si>
  <si>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</si>
  <si>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</si>
  <si>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</si>
  <si>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</si>
  <si>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</si>
  <si>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</si>
  <si>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</si>
  <si>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</si>
  <si>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</si>
  <si>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</si>
  <si>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</si>
  <si>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</si>
  <si>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</si>
  <si>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1107_1109_1108_1112_1111_1202_1106_1105_1104_1103_1102_1110_1101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</si>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</sst>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topLeftCell="E1" workbookViewId="0">
      <selection activeCell="Q27" sqref="Q27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500</v>
      </c>
      <c r="O5" s="19">
        <f>IF(M5=0,N5,($T$1*M5/100+1)*N5)</f>
        <v>500</v>
      </c>
      <c r="P5" s="27">
        <f>O5/SUM($O$5:$O$34)</f>
        <v>0.0617283950617284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500</v>
      </c>
      <c r="O6" s="19">
        <f t="shared" ref="O6:O34" si="0">IF(M6=0,N6,($T$1*M6/100+1)*N6)</f>
        <v>500</v>
      </c>
      <c r="P6" s="27">
        <f t="shared" ref="P6:P34" si="1">O6/SUM($O$5:$O$34)</f>
        <v>0.0617283950617284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500</v>
      </c>
      <c r="O7" s="19">
        <f t="shared" si="0"/>
        <v>500</v>
      </c>
      <c r="P7" s="27">
        <f t="shared" si="1"/>
        <v>0.0617283950617284</v>
      </c>
      <c r="Q7" s="28" t="s">
        <v>48</v>
      </c>
      <c r="R7" s="28"/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1002</v>
      </c>
      <c r="J8" s="21"/>
      <c r="K8" s="19">
        <v>600</v>
      </c>
      <c r="L8" s="19" t="s">
        <v>39</v>
      </c>
      <c r="M8" s="19">
        <v>50</v>
      </c>
      <c r="N8" s="19">
        <v>350</v>
      </c>
      <c r="O8" s="19">
        <f t="shared" si="0"/>
        <v>350</v>
      </c>
      <c r="P8" s="27">
        <f t="shared" si="1"/>
        <v>0.0432098765432099</v>
      </c>
      <c r="Q8" s="28"/>
      <c r="R8" s="28" t="s">
        <v>51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52</v>
      </c>
      <c r="F9" s="21" t="s">
        <v>53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350</v>
      </c>
      <c r="O9" s="19">
        <f t="shared" si="0"/>
        <v>350</v>
      </c>
      <c r="P9" s="27">
        <f t="shared" si="1"/>
        <v>0.0432098765432099</v>
      </c>
      <c r="Q9" s="28"/>
      <c r="R9" s="28" t="s">
        <v>44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54</v>
      </c>
      <c r="F10" s="21" t="s">
        <v>55</v>
      </c>
      <c r="G10" s="29" t="b">
        <v>0</v>
      </c>
      <c r="H10" s="30">
        <v>1</v>
      </c>
      <c r="I10" s="21">
        <v>1002</v>
      </c>
      <c r="J10" s="21"/>
      <c r="K10" s="19">
        <v>600</v>
      </c>
      <c r="L10" s="19" t="s">
        <v>47</v>
      </c>
      <c r="M10" s="19">
        <v>50</v>
      </c>
      <c r="N10" s="19">
        <v>350</v>
      </c>
      <c r="O10" s="19">
        <f t="shared" si="0"/>
        <v>350</v>
      </c>
      <c r="P10" s="27">
        <f t="shared" si="1"/>
        <v>0.0432098765432099</v>
      </c>
      <c r="Q10" s="28" t="s">
        <v>48</v>
      </c>
      <c r="R10" s="28"/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56</v>
      </c>
      <c r="F11" s="21" t="s">
        <v>57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250</v>
      </c>
      <c r="O11" s="19">
        <f t="shared" si="0"/>
        <v>250</v>
      </c>
      <c r="P11" s="27">
        <f t="shared" si="1"/>
        <v>0.0308641975308642</v>
      </c>
      <c r="Q11" s="28"/>
      <c r="R11" s="28" t="s">
        <v>40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58</v>
      </c>
      <c r="F12" s="21" t="s">
        <v>59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250</v>
      </c>
      <c r="O12" s="19">
        <f t="shared" si="0"/>
        <v>250</v>
      </c>
      <c r="P12" s="27">
        <f t="shared" si="1"/>
        <v>0.0308641975308642</v>
      </c>
      <c r="Q12" s="28"/>
      <c r="R12" s="28" t="s">
        <v>44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60</v>
      </c>
      <c r="F13" s="21" t="s">
        <v>61</v>
      </c>
      <c r="G13" s="29" t="b">
        <v>0</v>
      </c>
      <c r="H13" s="30">
        <v>1</v>
      </c>
      <c r="I13" s="21">
        <v>1001</v>
      </c>
      <c r="J13" s="21"/>
      <c r="K13" s="19">
        <v>600</v>
      </c>
      <c r="L13" s="19" t="s">
        <v>47</v>
      </c>
      <c r="M13" s="19">
        <v>50</v>
      </c>
      <c r="N13" s="19">
        <v>250</v>
      </c>
      <c r="O13" s="19">
        <f t="shared" si="0"/>
        <v>250</v>
      </c>
      <c r="P13" s="27">
        <f t="shared" si="1"/>
        <v>0.0308641975308642</v>
      </c>
      <c r="Q13" s="28" t="s">
        <v>48</v>
      </c>
      <c r="R13" s="28"/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62</v>
      </c>
      <c r="F14" s="21" t="s">
        <v>63</v>
      </c>
      <c r="G14" s="29" t="b">
        <v>0</v>
      </c>
      <c r="H14" s="30">
        <v>1</v>
      </c>
      <c r="I14" s="21">
        <v>1002</v>
      </c>
      <c r="J14" s="21"/>
      <c r="K14" s="19">
        <v>600</v>
      </c>
      <c r="L14" s="19" t="s">
        <v>39</v>
      </c>
      <c r="M14" s="19">
        <v>50</v>
      </c>
      <c r="N14" s="19">
        <v>150</v>
      </c>
      <c r="O14" s="19">
        <f t="shared" si="0"/>
        <v>150</v>
      </c>
      <c r="P14" s="27">
        <f t="shared" si="1"/>
        <v>0.0185185185185185</v>
      </c>
      <c r="Q14" s="28"/>
      <c r="R14" s="28" t="s">
        <v>51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64</v>
      </c>
      <c r="F15" s="21" t="s">
        <v>65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150</v>
      </c>
      <c r="O15" s="19">
        <f t="shared" si="0"/>
        <v>150</v>
      </c>
      <c r="P15" s="27">
        <f t="shared" si="1"/>
        <v>0.0185185185185185</v>
      </c>
      <c r="Q15" s="28"/>
      <c r="R15" s="28" t="s">
        <v>66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67</v>
      </c>
      <c r="F16" s="21" t="s">
        <v>68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150</v>
      </c>
      <c r="O16" s="19">
        <f t="shared" si="0"/>
        <v>150</v>
      </c>
      <c r="P16" s="27">
        <f t="shared" si="1"/>
        <v>0.0185185185185185</v>
      </c>
      <c r="Q16" s="28" t="s">
        <v>48</v>
      </c>
      <c r="R16" s="28"/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69</v>
      </c>
      <c r="F17" s="25" t="s">
        <v>70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0.0123456790123457</v>
      </c>
      <c r="Q17" s="28"/>
      <c r="R17" s="28" t="s">
        <v>51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71</v>
      </c>
      <c r="F18" s="21" t="s">
        <v>72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0.0123456790123457</v>
      </c>
      <c r="Q18" s="28"/>
      <c r="R18" s="28" t="s">
        <v>66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73</v>
      </c>
      <c r="F19" s="21" t="s">
        <v>74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0.0123456790123457</v>
      </c>
      <c r="Q19" s="28" t="s">
        <v>48</v>
      </c>
      <c r="R19" s="28"/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75</v>
      </c>
      <c r="F20" s="25" t="s">
        <v>76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500</v>
      </c>
      <c r="O20" s="19">
        <f t="shared" si="0"/>
        <v>500</v>
      </c>
      <c r="P20" s="27">
        <f t="shared" si="1"/>
        <v>0.0617283950617284</v>
      </c>
      <c r="Q20" s="28"/>
      <c r="R20" s="28" t="s">
        <v>51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77</v>
      </c>
      <c r="F21" s="25" t="s">
        <v>78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500</v>
      </c>
      <c r="O21" s="19">
        <f t="shared" si="0"/>
        <v>500</v>
      </c>
      <c r="P21" s="27">
        <f t="shared" si="1"/>
        <v>0.0617283950617284</v>
      </c>
      <c r="Q21" s="28"/>
      <c r="R21" s="28" t="s">
        <v>66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79</v>
      </c>
      <c r="F22" s="21" t="s">
        <v>80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500</v>
      </c>
      <c r="O22" s="19">
        <f t="shared" si="0"/>
        <v>500</v>
      </c>
      <c r="P22" s="27">
        <f t="shared" si="1"/>
        <v>0.0617283950617284</v>
      </c>
      <c r="Q22" s="28"/>
      <c r="R22" s="28" t="s">
        <v>40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81</v>
      </c>
      <c r="F23" s="21" t="s">
        <v>82</v>
      </c>
      <c r="G23" s="29" t="b">
        <v>0</v>
      </c>
      <c r="H23" s="30">
        <v>1</v>
      </c>
      <c r="I23" s="21">
        <v>1001</v>
      </c>
      <c r="J23" s="21"/>
      <c r="K23" s="19">
        <v>600</v>
      </c>
      <c r="L23" s="19" t="s">
        <v>39</v>
      </c>
      <c r="M23" s="19">
        <v>50</v>
      </c>
      <c r="N23" s="19">
        <v>350</v>
      </c>
      <c r="O23" s="19">
        <f t="shared" si="0"/>
        <v>350</v>
      </c>
      <c r="P23" s="27">
        <f t="shared" si="1"/>
        <v>0.0432098765432099</v>
      </c>
      <c r="Q23" s="28"/>
      <c r="R23" s="28" t="s">
        <v>44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83</v>
      </c>
      <c r="F24" s="21" t="s">
        <v>84</v>
      </c>
      <c r="G24" s="29" t="b">
        <v>0</v>
      </c>
      <c r="H24" s="30">
        <v>1</v>
      </c>
      <c r="I24" s="21">
        <v>1002</v>
      </c>
      <c r="J24" s="21"/>
      <c r="K24" s="19">
        <v>600</v>
      </c>
      <c r="L24" s="19" t="s">
        <v>39</v>
      </c>
      <c r="M24" s="19">
        <v>50</v>
      </c>
      <c r="N24" s="19">
        <v>350</v>
      </c>
      <c r="O24" s="19">
        <f t="shared" si="0"/>
        <v>350</v>
      </c>
      <c r="P24" s="27">
        <f t="shared" si="1"/>
        <v>0.0432098765432099</v>
      </c>
      <c r="Q24" s="28"/>
      <c r="R24" s="28" t="s">
        <v>44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85</v>
      </c>
      <c r="F25" s="21" t="s">
        <v>86</v>
      </c>
      <c r="G25" s="29" t="b">
        <v>0</v>
      </c>
      <c r="H25" s="30">
        <v>1</v>
      </c>
      <c r="I25" s="21">
        <v>1001</v>
      </c>
      <c r="J25" s="21"/>
      <c r="K25" s="19">
        <v>600</v>
      </c>
      <c r="L25" s="19" t="s">
        <v>47</v>
      </c>
      <c r="M25" s="19">
        <v>50</v>
      </c>
      <c r="N25" s="19">
        <v>350</v>
      </c>
      <c r="O25" s="19">
        <f t="shared" si="0"/>
        <v>350</v>
      </c>
      <c r="P25" s="27">
        <f t="shared" si="1"/>
        <v>0.0432098765432099</v>
      </c>
      <c r="Q25" s="28"/>
      <c r="R25" s="28" t="s">
        <v>40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87</v>
      </c>
      <c r="F26" s="21" t="s">
        <v>88</v>
      </c>
      <c r="G26" s="29" t="b">
        <v>0</v>
      </c>
      <c r="H26" s="30">
        <v>1</v>
      </c>
      <c r="I26" s="21">
        <v>1002</v>
      </c>
      <c r="J26" s="21"/>
      <c r="K26" s="19">
        <v>600</v>
      </c>
      <c r="L26" s="19" t="s">
        <v>39</v>
      </c>
      <c r="M26" s="19">
        <v>50</v>
      </c>
      <c r="N26" s="19">
        <v>250</v>
      </c>
      <c r="O26" s="19">
        <f t="shared" si="0"/>
        <v>250</v>
      </c>
      <c r="P26" s="27">
        <f t="shared" si="1"/>
        <v>0.0308641975308642</v>
      </c>
      <c r="Q26" s="28"/>
      <c r="R26" s="28" t="s">
        <v>66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89</v>
      </c>
      <c r="F27" s="21" t="s">
        <v>90</v>
      </c>
      <c r="G27" s="29" t="b">
        <v>0</v>
      </c>
      <c r="H27" s="30">
        <v>1</v>
      </c>
      <c r="I27" s="21">
        <v>1001</v>
      </c>
      <c r="J27" s="21"/>
      <c r="K27" s="19">
        <v>600</v>
      </c>
      <c r="L27" s="19" t="s">
        <v>39</v>
      </c>
      <c r="M27" s="19">
        <v>50</v>
      </c>
      <c r="N27" s="19">
        <v>250</v>
      </c>
      <c r="O27" s="19">
        <f t="shared" si="0"/>
        <v>250</v>
      </c>
      <c r="P27" s="27">
        <f t="shared" si="1"/>
        <v>0.0308641975308642</v>
      </c>
      <c r="Q27" s="28"/>
      <c r="R27" s="28" t="s">
        <v>51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91</v>
      </c>
      <c r="F28" s="21" t="s">
        <v>92</v>
      </c>
      <c r="G28" s="29" t="b">
        <v>0</v>
      </c>
      <c r="H28" s="30">
        <v>1</v>
      </c>
      <c r="I28" s="21">
        <v>1002</v>
      </c>
      <c r="J28" s="21"/>
      <c r="K28" s="19">
        <v>600</v>
      </c>
      <c r="L28" s="19" t="s">
        <v>47</v>
      </c>
      <c r="M28" s="19">
        <v>50</v>
      </c>
      <c r="N28" s="19">
        <v>250</v>
      </c>
      <c r="O28" s="19">
        <f t="shared" si="0"/>
        <v>250</v>
      </c>
      <c r="P28" s="27">
        <f t="shared" si="1"/>
        <v>0.0308641975308642</v>
      </c>
      <c r="Q28" s="28"/>
      <c r="R28" s="28" t="s">
        <v>66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93</v>
      </c>
      <c r="F29" s="21" t="s">
        <v>94</v>
      </c>
      <c r="G29" s="29" t="b">
        <v>0</v>
      </c>
      <c r="H29" s="30">
        <v>1</v>
      </c>
      <c r="I29" s="21">
        <v>1001</v>
      </c>
      <c r="J29" s="21"/>
      <c r="K29" s="19">
        <v>600</v>
      </c>
      <c r="L29" s="19" t="s">
        <v>39</v>
      </c>
      <c r="M29" s="19">
        <v>50</v>
      </c>
      <c r="N29" s="19">
        <v>150</v>
      </c>
      <c r="O29" s="19">
        <f t="shared" si="0"/>
        <v>150</v>
      </c>
      <c r="P29" s="27">
        <f t="shared" si="1"/>
        <v>0.0185185185185185</v>
      </c>
      <c r="Q29" s="28"/>
      <c r="R29" s="28" t="s">
        <v>44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95</v>
      </c>
      <c r="F30" s="21" t="s">
        <v>96</v>
      </c>
      <c r="G30" s="29" t="b">
        <v>0</v>
      </c>
      <c r="H30" s="30">
        <v>1</v>
      </c>
      <c r="I30" s="21">
        <v>1002</v>
      </c>
      <c r="J30" s="21"/>
      <c r="K30" s="19">
        <v>600</v>
      </c>
      <c r="L30" s="19" t="s">
        <v>39</v>
      </c>
      <c r="M30" s="19">
        <v>50</v>
      </c>
      <c r="N30" s="19">
        <v>150</v>
      </c>
      <c r="O30" s="19">
        <f t="shared" si="0"/>
        <v>150</v>
      </c>
      <c r="P30" s="27">
        <f t="shared" si="1"/>
        <v>0.0185185185185185</v>
      </c>
      <c r="Q30" s="28" t="s">
        <v>48</v>
      </c>
      <c r="R30" s="28"/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97</v>
      </c>
      <c r="F31" s="21" t="s">
        <v>98</v>
      </c>
      <c r="G31" s="29" t="b">
        <v>0</v>
      </c>
      <c r="H31" s="30">
        <v>1</v>
      </c>
      <c r="I31" s="21">
        <v>1001</v>
      </c>
      <c r="J31" s="21"/>
      <c r="K31" s="19">
        <v>600</v>
      </c>
      <c r="L31" s="19" t="s">
        <v>47</v>
      </c>
      <c r="M31" s="19">
        <v>50</v>
      </c>
      <c r="N31" s="19">
        <v>150</v>
      </c>
      <c r="O31" s="19">
        <f t="shared" si="0"/>
        <v>150</v>
      </c>
      <c r="P31" s="27">
        <f t="shared" si="1"/>
        <v>0.0185185185185185</v>
      </c>
      <c r="Q31" s="28" t="s">
        <v>48</v>
      </c>
      <c r="R31" s="28"/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99</v>
      </c>
      <c r="F32" s="21" t="s">
        <v>100</v>
      </c>
      <c r="G32" s="29" t="b">
        <v>0</v>
      </c>
      <c r="H32" s="30">
        <v>1</v>
      </c>
      <c r="I32" s="21">
        <v>1002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0.0123456790123457</v>
      </c>
      <c r="Q32" s="28" t="s">
        <v>48</v>
      </c>
      <c r="R32" s="28"/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101</v>
      </c>
      <c r="F33" s="21" t="s">
        <v>102</v>
      </c>
      <c r="G33" s="29" t="b">
        <v>0</v>
      </c>
      <c r="H33" s="30">
        <v>1</v>
      </c>
      <c r="I33" s="21">
        <v>1001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0.0123456790123457</v>
      </c>
      <c r="Q33" s="28" t="s">
        <v>48</v>
      </c>
      <c r="R33" s="28"/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103</v>
      </c>
      <c r="F34" s="25" t="s">
        <v>104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0.0123456790123457</v>
      </c>
      <c r="Q34" s="28" t="s">
        <v>48</v>
      </c>
      <c r="R34" s="28"/>
      <c r="S34" s="28"/>
    </row>
    <row r="35" ht="16.5" customHeight="1" spans="1:19">
      <c r="A35" s="31">
        <v>9001</v>
      </c>
      <c r="B35" s="19">
        <v>2</v>
      </c>
      <c r="C35" s="29" t="b">
        <v>0</v>
      </c>
      <c r="D35" s="19">
        <v>9</v>
      </c>
      <c r="E35" s="21" t="s">
        <v>105</v>
      </c>
      <c r="F35" s="28" t="s">
        <v>106</v>
      </c>
      <c r="G35" s="29" t="b">
        <v>0</v>
      </c>
      <c r="H35" s="19">
        <v>1</v>
      </c>
      <c r="I35" s="19">
        <v>1004</v>
      </c>
      <c r="J35" s="28"/>
      <c r="K35" s="32">
        <v>200</v>
      </c>
      <c r="L35" s="33"/>
      <c r="M35" s="28"/>
      <c r="N35" s="28"/>
      <c r="O35" s="34"/>
      <c r="P35" s="28"/>
      <c r="Q35" s="28" t="s">
        <v>48</v>
      </c>
      <c r="R35" s="28"/>
    </row>
    <row r="36" ht="16.5" customHeight="1" spans="1:19">
      <c r="A36" s="31">
        <v>9002</v>
      </c>
      <c r="B36" s="19">
        <v>2</v>
      </c>
      <c r="C36" s="29" t="b">
        <v>0</v>
      </c>
      <c r="D36" s="19">
        <v>9</v>
      </c>
      <c r="E36" s="21" t="s">
        <v>107</v>
      </c>
      <c r="F36" s="28" t="s">
        <v>108</v>
      </c>
      <c r="G36" s="29" t="b">
        <v>0</v>
      </c>
      <c r="H36" s="19">
        <v>1</v>
      </c>
      <c r="I36" s="19">
        <v>1004</v>
      </c>
      <c r="J36" s="28"/>
      <c r="K36" s="32">
        <v>200</v>
      </c>
      <c r="L36" s="33"/>
      <c r="M36" s="28"/>
      <c r="N36" s="28"/>
      <c r="O36" s="34"/>
      <c r="P36" s="28"/>
      <c r="Q36" s="28" t="s">
        <v>48</v>
      </c>
      <c r="R36" s="28"/>
    </row>
    <row r="37" ht="16.5" customHeight="1" spans="1:19">
      <c r="A37" s="31">
        <v>9003</v>
      </c>
      <c r="B37" s="19">
        <v>2</v>
      </c>
      <c r="C37" s="29" t="b">
        <v>0</v>
      </c>
      <c r="D37" s="19">
        <v>9</v>
      </c>
      <c r="E37" s="21" t="s">
        <v>109</v>
      </c>
      <c r="F37" s="28" t="s">
        <v>110</v>
      </c>
      <c r="G37" s="29" t="b">
        <v>0</v>
      </c>
      <c r="H37" s="19">
        <v>1</v>
      </c>
      <c r="I37" s="19">
        <v>1004</v>
      </c>
      <c r="J37" s="28"/>
      <c r="K37" s="32">
        <v>200</v>
      </c>
      <c r="L37" s="33"/>
      <c r="M37" s="28"/>
      <c r="N37" s="28"/>
      <c r="O37" s="34"/>
      <c r="P37" s="28"/>
      <c r="Q37" s="28" t="s">
        <v>48</v>
      </c>
      <c r="R37" s="28"/>
    </row>
    <row r="38" ht="16.5" customHeight="1" spans="1:19">
      <c r="A38" s="31">
        <v>9004</v>
      </c>
      <c r="B38" s="19">
        <v>2</v>
      </c>
      <c r="C38" s="29" t="b">
        <v>0</v>
      </c>
      <c r="D38" s="19">
        <v>9</v>
      </c>
      <c r="E38" s="21" t="s">
        <v>111</v>
      </c>
      <c r="F38" s="28" t="s">
        <v>112</v>
      </c>
      <c r="G38" s="29" t="b">
        <v>0</v>
      </c>
      <c r="H38" s="19">
        <v>1</v>
      </c>
      <c r="I38" s="19">
        <v>1003</v>
      </c>
      <c r="J38" s="28"/>
      <c r="K38" s="32">
        <v>200</v>
      </c>
      <c r="L38" s="33"/>
      <c r="M38" s="28"/>
      <c r="N38" s="28"/>
      <c r="O38" s="34"/>
      <c r="P38" s="28"/>
      <c r="Q38" s="28" t="s">
        <v>48</v>
      </c>
      <c r="R38" s="28"/>
    </row>
    <row r="39" ht="16.5" customHeight="1" spans="1:19">
      <c r="A39" s="31">
        <v>9005</v>
      </c>
      <c r="B39" s="19">
        <v>2</v>
      </c>
      <c r="C39" s="29" t="b">
        <v>0</v>
      </c>
      <c r="D39" s="19">
        <v>9</v>
      </c>
      <c r="E39" s="21" t="s">
        <v>113</v>
      </c>
      <c r="F39" s="28" t="s">
        <v>114</v>
      </c>
      <c r="G39" s="29" t="b">
        <v>0</v>
      </c>
      <c r="H39" s="19">
        <v>1</v>
      </c>
      <c r="I39" s="19">
        <v>1003</v>
      </c>
      <c r="J39" s="28"/>
      <c r="K39" s="32">
        <v>200</v>
      </c>
      <c r="L39" s="33"/>
      <c r="M39" s="28"/>
      <c r="N39" s="28"/>
      <c r="O39" s="34"/>
      <c r="P39" s="28"/>
      <c r="Q39" s="28" t="s">
        <v>48</v>
      </c>
      <c r="R39" s="28"/>
    </row>
    <row r="40" spans="1:19">
      <c r="K40" s="35"/>
      <c r="L40" s="35"/>
    </row>
    <row r="41" spans="1:19">
      <c r="K41" s="35"/>
      <c r="L41" s="35"/>
    </row>
    <row r="42" spans="1:19">
      <c r="K42" s="35"/>
      <c r="L42" s="35"/>
    </row>
    <row r="43" spans="1:19">
      <c r="K43" s="35"/>
      <c r="L43" s="35"/>
    </row>
    <row r="44" spans="1:19">
      <c r="K44" s="35"/>
      <c r="L44" s="35"/>
    </row>
    <row r="45" spans="1:19">
      <c r="K45" s="35"/>
      <c r="L45" s="35"/>
    </row>
    <row r="46" spans="1:19">
      <c r="K46" s="35"/>
      <c r="L46" s="35"/>
    </row>
    <row r="47" spans="1:19">
      <c r="K47" s="35"/>
      <c r="L47" s="35"/>
    </row>
    <row r="48" spans="1:19">
      <c r="K48" s="35"/>
      <c r="L48" s="35"/>
    </row>
    <row r="49" spans="5:12">
      <c r="K49" s="35"/>
      <c r="L49" s="35"/>
    </row>
    <row r="50" spans="5:12">
      <c r="K50" s="35"/>
      <c r="L50" s="35"/>
    </row>
    <row r="51" spans="5:12">
      <c r="K51" s="35"/>
      <c r="L51" s="35"/>
    </row>
    <row r="52" spans="5:12">
      <c r="K52" s="35"/>
      <c r="L52" s="35"/>
    </row>
    <row r="53" ht="14.25" spans="5:12">
      <c r="E53" s="36"/>
      <c r="K53" s="35"/>
      <c r="L53" s="35"/>
    </row>
    <row r="54" spans="5:12">
      <c r="K54" s="35"/>
      <c r="L54" s="35"/>
    </row>
    <row r="55" spans="5:12">
      <c r="K55" s="35"/>
      <c r="L55" s="35"/>
    </row>
    <row r="56" spans="5:12">
      <c r="K56" s="35"/>
      <c r="L56" s="35"/>
    </row>
    <row r="57" spans="5:12">
      <c r="K57" s="35"/>
      <c r="L57" s="35"/>
    </row>
    <row r="58" spans="5:12">
      <c r="K58" s="35"/>
      <c r="L58" s="35"/>
    </row>
    <row r="59" spans="5:12">
      <c r="K59" s="35"/>
      <c r="L59" s="35"/>
    </row>
    <row r="60" spans="5:12">
      <c r="K60" s="35"/>
      <c r="L60" s="35"/>
    </row>
  </sheetData>
  <pageMargins left="0.7" right="0.7" top="0.75" bottom="0.75" header="0.3" footer="0.3"/>
  <pageSetup paperSize="9" orientation="portrait"/>
  <headerFooter/>
  <ignoredErrors>
    <ignoredError sqref="D1 D4 R1:S1 R4:S4 L17:L18 L14:L15 L11:L12 L4:L9 A4 L1 A1 R61:S63 S35:S60 S6 S8:S19 S2:S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topLeftCell="A13" workbookViewId="0">
      <selection activeCell="J30" sqref="J30"/>
    </sheetView>
  </sheetViews>
  <sheetFormatPr defaultColWidth="9" defaultRowHeight="13.5"/>
  <sheetData>
    <row r="5" spans="6:10">
      <c r="F5" t="s">
        <v>115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116</v>
      </c>
      <c r="G27" t="s">
        <v>117</v>
      </c>
      <c r="H27" t="s">
        <v>118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76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53</v>
      </c>
      <c r="U34" s="2">
        <v>1025105</v>
      </c>
      <c r="V34" s="2" t="s">
        <v>78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55</v>
      </c>
      <c r="U35" s="2">
        <v>1025106</v>
      </c>
      <c r="V35" s="2" t="s">
        <v>80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57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59</v>
      </c>
      <c r="U37" s="3">
        <v>1025202</v>
      </c>
      <c r="V37" s="3" t="s">
        <v>53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61</v>
      </c>
      <c r="U38" s="3">
        <v>1025203</v>
      </c>
      <c r="V38" s="3" t="s">
        <v>55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63</v>
      </c>
      <c r="U39" s="3">
        <v>1025204</v>
      </c>
      <c r="V39" s="3" t="s">
        <v>82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65</v>
      </c>
      <c r="U40" s="3">
        <v>1025205</v>
      </c>
      <c r="V40" s="3" t="s">
        <v>84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68</v>
      </c>
      <c r="U41" s="3">
        <v>1025206</v>
      </c>
      <c r="V41" s="3" t="s">
        <v>86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70</v>
      </c>
      <c r="U42" s="2">
        <v>1025301</v>
      </c>
      <c r="V42" s="2" t="s">
        <v>57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72</v>
      </c>
      <c r="U43" s="2">
        <v>1025302</v>
      </c>
      <c r="V43" s="2" t="s">
        <v>59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74</v>
      </c>
      <c r="U44" s="2">
        <v>1025303</v>
      </c>
      <c r="V44" s="2" t="s">
        <v>61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76</v>
      </c>
      <c r="U45" s="2">
        <v>1025304</v>
      </c>
      <c r="V45" s="2" t="s">
        <v>88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78</v>
      </c>
      <c r="U46" s="2">
        <v>1025305</v>
      </c>
      <c r="V46" s="2" t="s">
        <v>90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80</v>
      </c>
      <c r="U47" s="2">
        <v>1025306</v>
      </c>
      <c r="V47" s="2" t="s">
        <v>92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82</v>
      </c>
      <c r="U48" s="3">
        <v>1025401</v>
      </c>
      <c r="V48" s="3" t="s">
        <v>63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84</v>
      </c>
      <c r="U49" s="3">
        <v>1025402</v>
      </c>
      <c r="V49" s="3" t="s">
        <v>65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86</v>
      </c>
      <c r="U50" s="3">
        <v>1025403</v>
      </c>
      <c r="V50" s="3" t="s">
        <v>68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88</v>
      </c>
      <c r="U51" s="3">
        <v>1025404</v>
      </c>
      <c r="V51" s="3" t="s">
        <v>94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90</v>
      </c>
      <c r="U52" s="3">
        <v>1025405</v>
      </c>
      <c r="V52" s="3" t="s">
        <v>96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92</v>
      </c>
      <c r="U53" s="3">
        <v>1025406</v>
      </c>
      <c r="V53" s="3" t="s">
        <v>98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94</v>
      </c>
      <c r="U54" s="2">
        <v>1025501</v>
      </c>
      <c r="V54" s="2" t="s">
        <v>70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96</v>
      </c>
      <c r="U55" s="2">
        <v>1025502</v>
      </c>
      <c r="V55" s="2" t="s">
        <v>72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98</v>
      </c>
      <c r="U56" s="2">
        <v>1025503</v>
      </c>
      <c r="V56" s="2" t="s">
        <v>74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100</v>
      </c>
      <c r="U57" s="2">
        <v>1025504</v>
      </c>
      <c r="V57" s="2" t="s">
        <v>100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102</v>
      </c>
      <c r="U58" s="2">
        <v>1025505</v>
      </c>
      <c r="V58" s="2" t="s">
        <v>102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104</v>
      </c>
      <c r="U59" s="2">
        <v>1025506</v>
      </c>
      <c r="V59" s="2" t="s">
        <v>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2026-08-13T11:15:07Z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