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6" authorId="0">
      <text>
        <r>
          <rPr>
            <b/>
            <sz val="9"/>
            <rFont val="宋体"/>
            <charset val="134"/>
          </rPr>
          <t>Administrator:</t>
        </r>
        <r>
          <rPr>
            <sz val="9"/>
            <rFont val="宋体"/>
            <charset val="134"/>
          </rPr>
          <t xml:space="preserve">
总量 ÷ 平均中奖金额 = 中奖次数
1000000000 ÷ 718000 = 1392.7577
初始天数30天</t>
        </r>
      </text>
    </comment>
    <comment ref="C38"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List>
</comments>
</file>

<file path=xl/sharedStrings.xml><?xml version="1.0" encoding="utf-8"?>
<sst xmlns="http://schemas.openxmlformats.org/spreadsheetml/2006/main" count="109" uniqueCount="102">
  <si>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</si>
  <si>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</si>
  <si>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</si>
  <si>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</si>
  <si>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</si>
  <si>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</si>
  <si>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</si>
  <si>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</si>
  <si>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</si>
  <si>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</si>
  <si>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</si>
  <si>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</si>
  <si>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</si>
  <si>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</si>
  <si>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</si>
  <si>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</si>
  <si>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</si>
  <si>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</si>
  <si>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</si>
  <si>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</si>
  <si>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</si>
  <si>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</si>
  <si>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</si>
  <si>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</si>
  <si>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</si>
  <si>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</si>
  <si>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</si>
  <si>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</si>
  <si>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</si>
  <si>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</si>
  <si>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</si>
  <si>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</si>
  <si>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</si>
  <si>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</si>
  <si>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</si>
  <si>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</si>
  <si>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</si>
  <si>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</si>
  <si>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</si>
  <si>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</si>
  <si>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</si>
  <si>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</si>
  <si>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</si>
  <si>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</si>
  <si>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</si>
  <si>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</si>
  <si>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</si>
  <si>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</si>
  <si>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</si>
  <si>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</si>
  <si>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</si>
  <si>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</si>
  <si>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</si>
  <si>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</si>
  <si>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</si>
  <si>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</si>
  <si>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</si>
  <si>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</si>
  <si>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</si>
  <si>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</si>
  <si>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</si>
  <si>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</si>
  <si>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</si>
  <si>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</si>
  <si>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</si>
  <si>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幸运夺宝开奖时间(秒)</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</si>
  <si>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</si>
  <si>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</si>
  <si>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</si>
  <si>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</si>
  <si>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</si>
  <si>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</si>
  <si>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</si>
  <si>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</si>
  <si>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</si>
  <si>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 = X积分</t>
  </si>
  <si>
    <t>1_1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</si>
  <si>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</si>
  <si>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</si>
  <si>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</si>
  <si>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</si>
  <si>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</si>
  <si>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</si>
  <si>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</si>
  <si>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</si>
  <si>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</si>
  <si>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</si>
  <si>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</si>
  <si>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</si>
  <si>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</si>
  <si>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</si>
  <si>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360_1990000_1400000|960_1990000_2800000|1800_1990000_5600000|2400_1990000_14000000|3000_1990000_35000000|3600_1990000_105000000</t>
  </si>
  <si>
    <t>VIP充值：充值金额与经验转换比例(充值金额_获得vip经验，最低支持0.01_1，美元)</t>
  </si>
  <si>
    <t>0.01_20000</t>
  </si>
  <si>
    <t>积分大奖：实物奖励兑换码过期时间（天）</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</si>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</sst>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5" borderId="5" applyNumberFormat="0" applyAlignment="0" applyProtection="0">
      <alignment vertical="center"/>
    </xf>
    <xf numFmtId="0" fontId="14" fillId="6" borderId="6" applyNumberFormat="0" applyAlignment="0" applyProtection="0">
      <alignment vertical="center"/>
    </xf>
    <xf numFmtId="0" fontId="15" fillId="6" borderId="5" applyNumberFormat="0" applyAlignment="0" applyProtection="0">
      <alignment vertical="center"/>
    </xf>
    <xf numFmtId="0" fontId="16" fillId="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cellStyleXfs>
  <cellXfs count="16">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9" fontId="1" fillId="0" borderId="0" xfId="0" applyNumberFormat="1" applyFont="1"/>
    <xf numFmtId="0" fontId="1" fillId="3" borderId="0" xfId="0" applyFont="1" applyFill="1"/>
    <xf numFmtId="0" fontId="4" fillId="0" borderId="0" xfId="0"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53"/>
  <sheetViews>
    <sheetView tabSelected="1" workbookViewId="0">
      <pane ySplit="3" topLeftCell="A25" activePane="bottomLeft" state="frozen"/>
      <selection/>
      <selection pane="bottomLeft" activeCell="K42" sqref="K42"/>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6" t="s">
        <v>24</v>
      </c>
      <c r="D10" s="8"/>
      <c r="E10" s="6"/>
      <c r="F10" s="6"/>
      <c r="G10" s="1" t="s">
        <v>25</v>
      </c>
    </row>
    <row r="11" spans="1:7">
      <c r="A11" s="1">
        <v>7</v>
      </c>
      <c r="B11" s="6" t="s">
        <v>26</v>
      </c>
      <c r="C11" s="17" t="s">
        <v>27</v>
      </c>
      <c r="D11" s="6"/>
      <c r="E11" s="6"/>
      <c r="F11" s="6"/>
      <c r="G11" s="1" t="s">
        <v>25</v>
      </c>
    </row>
    <row r="12" spans="1:7">
      <c r="A12" s="1">
        <v>8</v>
      </c>
      <c r="B12" s="6" t="s">
        <v>28</v>
      </c>
      <c r="C12" s="17" t="s">
        <v>29</v>
      </c>
      <c r="D12" s="6"/>
      <c r="E12" s="6"/>
      <c r="F12" s="6"/>
      <c r="G12" s="1" t="s">
        <v>25</v>
      </c>
    </row>
    <row r="13" spans="1:7">
      <c r="A13" s="1">
        <v>9</v>
      </c>
      <c r="B13" s="6" t="s">
        <v>30</v>
      </c>
      <c r="C13" s="17" t="s">
        <v>31</v>
      </c>
      <c r="D13" s="6"/>
      <c r="E13" s="6"/>
      <c r="F13" s="6"/>
      <c r="G13" s="1" t="s">
        <v>25</v>
      </c>
    </row>
    <row r="14" spans="1:7">
      <c r="A14" s="1">
        <v>10</v>
      </c>
      <c r="B14" s="6" t="s">
        <v>32</v>
      </c>
      <c r="C14" s="17" t="s">
        <v>33</v>
      </c>
      <c r="D14" s="6"/>
      <c r="E14" s="6"/>
      <c r="F14" s="6"/>
      <c r="G14" s="1" t="s">
        <v>25</v>
      </c>
    </row>
    <row r="15" spans="1:7">
      <c r="A15" s="1">
        <v>11</v>
      </c>
      <c r="B15" s="1" t="s">
        <v>34</v>
      </c>
      <c r="D15" s="1">
        <f>2*3*5*3</f>
        <v>90</v>
      </c>
    </row>
    <row r="16" spans="1:7">
      <c r="A16" s="1">
        <v>12</v>
      </c>
      <c r="B16" s="1" t="s">
        <v>35</v>
      </c>
      <c r="D16" s="1">
        <v>100</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customFormat="1" spans="1:23">
      <c r="A34" s="1">
        <v>55</v>
      </c>
      <c r="B34" s="1" t="s">
        <v>65</v>
      </c>
      <c r="C34" s="1"/>
      <c r="D34" s="1">
        <v>60</v>
      </c>
    </row>
    <row r="35" s="2" customFormat="1" spans="1:23">
      <c r="A35" s="11">
        <v>30</v>
      </c>
      <c r="B35" s="11" t="s">
        <v>66</v>
      </c>
      <c r="C35" s="2" t="s">
        <v>67</v>
      </c>
    </row>
    <row r="36" s="2" customFormat="1" spans="1:23">
      <c r="A36" s="11">
        <v>31</v>
      </c>
      <c r="B36" s="11" t="s">
        <v>68</v>
      </c>
      <c r="E36" s="2">
        <v>1000000000</v>
      </c>
      <c r="G36" s="2" t="s">
        <v>69</v>
      </c>
      <c r="H36" s="2">
        <v>718000</v>
      </c>
      <c r="I36" s="2" t="s">
        <v>70</v>
      </c>
      <c r="J36" s="2">
        <v>30</v>
      </c>
      <c r="K36" s="2" t="s">
        <v>71</v>
      </c>
      <c r="L36" s="2">
        <f>J36*24*60*60*1000</f>
        <v>2592000000</v>
      </c>
      <c r="M36" s="2" t="s">
        <v>72</v>
      </c>
    </row>
    <row r="37" spans="1:23">
      <c r="A37" s="11">
        <v>32</v>
      </c>
      <c r="B37" s="11" t="s">
        <v>73</v>
      </c>
      <c r="C37" s="2" t="s">
        <v>74</v>
      </c>
    </row>
    <row r="38" spans="1:23">
      <c r="A38" s="12">
        <v>33</v>
      </c>
      <c r="B38" s="12" t="s">
        <v>75</v>
      </c>
      <c r="C38" s="1" t="s">
        <v>76</v>
      </c>
    </row>
    <row r="39" s="2" customFormat="1" spans="1:23">
      <c r="A39" s="11">
        <v>34</v>
      </c>
      <c r="B39" s="11" t="s">
        <v>77</v>
      </c>
      <c r="C39" s="2" t="s">
        <v>78</v>
      </c>
      <c r="G39" s="2" t="s">
        <v>79</v>
      </c>
      <c r="H39" s="2">
        <f>VALUE(MID(C39,FIND("_",C39)+1,4))</f>
        <v>90</v>
      </c>
    </row>
    <row r="40" spans="1:23">
      <c r="A40" s="12">
        <v>35</v>
      </c>
      <c r="B40" s="12" t="s">
        <v>80</v>
      </c>
      <c r="C40" s="1" t="str">
        <f>_xlfn.TEXTJOIN("|",TRUE,S40:W40)</f>
        <v>3101760_1000|2584800_1000|2067840_1000|1550880_1000|1033920_1000</v>
      </c>
      <c r="G40" s="1" t="s">
        <v>81</v>
      </c>
      <c r="H40" s="1">
        <f>ROUND(L36/(E36*H39/100/H36),0)</f>
        <v>2067840</v>
      </c>
      <c r="I40" s="1" t="s">
        <v>72</v>
      </c>
      <c r="J40" s="1" t="s">
        <v>82</v>
      </c>
      <c r="K40" s="13" t="s">
        <v>83</v>
      </c>
      <c r="L40" s="13">
        <v>0.25</v>
      </c>
      <c r="M40" s="1" t="s">
        <v>84</v>
      </c>
      <c r="N40" s="1">
        <f>ROUND(P40*(1+2*L40),0)</f>
        <v>3101760</v>
      </c>
      <c r="O40" s="1">
        <f>ROUND(P40*(1+1*L40),0)</f>
        <v>2584800</v>
      </c>
      <c r="P40" s="1">
        <f>H40</f>
        <v>2067840</v>
      </c>
      <c r="Q40" s="1">
        <f>ROUND(P40*(1-1*L40),0)</f>
        <v>1550880</v>
      </c>
      <c r="R40" s="1">
        <f>ROUND(P40*(1-2*L40),0)</f>
        <v>1033920</v>
      </c>
      <c r="S40" s="1" t="str">
        <f>_xlfn.TEXTJOIN("_",TRUE,N40,1000)</f>
        <v>3101760_1000</v>
      </c>
      <c r="T40" s="1" t="str">
        <f>_xlfn.TEXTJOIN("_",TRUE,O40,1000)</f>
        <v>2584800_1000</v>
      </c>
      <c r="U40" s="1" t="str">
        <f>_xlfn.TEXTJOIN("_",TRUE,P40,1000)</f>
        <v>2067840_1000</v>
      </c>
      <c r="V40" s="1" t="str">
        <f>_xlfn.TEXTJOIN("_",TRUE,Q40,1000)</f>
        <v>1550880_1000</v>
      </c>
      <c r="W40" s="1" t="str">
        <f>_xlfn.TEXTJOIN("_",TRUE,R40,1000)</f>
        <v>1033920_1000</v>
      </c>
    </row>
    <row r="41" spans="1:23">
      <c r="A41" s="14">
        <v>40</v>
      </c>
      <c r="B41" s="14" t="s">
        <v>85</v>
      </c>
      <c r="D41" s="1">
        <v>50</v>
      </c>
    </row>
    <row r="42" spans="1:23">
      <c r="A42" s="14">
        <v>41</v>
      </c>
      <c r="B42" s="14" t="s">
        <v>86</v>
      </c>
      <c r="D42" s="1">
        <v>50</v>
      </c>
    </row>
    <row r="43" spans="1:23">
      <c r="A43" s="14">
        <v>42</v>
      </c>
      <c r="B43" s="14" t="s">
        <v>87</v>
      </c>
      <c r="D43" s="1">
        <v>500</v>
      </c>
    </row>
    <row r="44" spans="1:23">
      <c r="A44" s="14">
        <v>43</v>
      </c>
      <c r="B44" s="14" t="s">
        <v>88</v>
      </c>
      <c r="D44" s="1">
        <v>1</v>
      </c>
    </row>
    <row r="45" spans="1:23">
      <c r="A45" s="14">
        <v>44</v>
      </c>
      <c r="B45" s="1" t="s">
        <v>89</v>
      </c>
      <c r="D45" s="1">
        <v>10</v>
      </c>
    </row>
    <row r="46" spans="1:23">
      <c r="A46" s="14">
        <v>45</v>
      </c>
      <c r="B46" s="1" t="s">
        <v>90</v>
      </c>
      <c r="C46" s="1" t="s">
        <v>91</v>
      </c>
    </row>
    <row r="47" spans="1:23">
      <c r="A47" s="1">
        <v>46</v>
      </c>
      <c r="B47" s="1" t="s">
        <v>92</v>
      </c>
      <c r="C47" s="1" t="s">
        <v>93</v>
      </c>
    </row>
    <row r="48" spans="1:23">
      <c r="A48" s="1">
        <v>47</v>
      </c>
      <c r="B48" s="1" t="s">
        <v>94</v>
      </c>
      <c r="D48" s="1">
        <v>3</v>
      </c>
    </row>
    <row r="49" spans="1:4">
      <c r="A49" s="1">
        <v>50</v>
      </c>
      <c r="B49" s="1" t="s">
        <v>95</v>
      </c>
      <c r="C49" s="1" t="s">
        <v>96</v>
      </c>
    </row>
    <row r="50" s="2" customFormat="1" spans="1:4">
      <c r="A50" s="2">
        <v>51</v>
      </c>
      <c r="B50" s="2" t="s">
        <v>97</v>
      </c>
      <c r="C50" s="15" t="s">
        <v>98</v>
      </c>
    </row>
    <row r="51" spans="1:4">
      <c r="A51" s="1">
        <v>52</v>
      </c>
      <c r="B51" s="1" t="s">
        <v>99</v>
      </c>
      <c r="D51" s="1">
        <v>700000</v>
      </c>
    </row>
    <row r="52" spans="1:4">
      <c r="A52" s="1">
        <v>53</v>
      </c>
      <c r="B52" s="1" t="s">
        <v>100</v>
      </c>
      <c r="D52" s="1">
        <v>700000</v>
      </c>
    </row>
    <row r="53" spans="1:4">
      <c r="A53" s="1">
        <v>54</v>
      </c>
      <c r="B53" s="1" t="s">
        <v>101</v>
      </c>
      <c r="D53" s="1">
        <v>700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2025-11-07T03:37:30Z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2052-12.1.0.23542</vt:lpwstr>
  </property>
</Properties>
</file>