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D49" authorId="0">
      <text>
        <r>
          <rPr>
            <b/>
            <sz val="9"/>
            <rFont val="宋体"/>
            <charset val="134"/>
          </rPr>
          <t>Administrator:</t>
        </r>
        <r>
          <rPr>
            <sz val="9"/>
            <rFont val="宋体"/>
            <charset val="134"/>
          </rPr>
          <t xml:space="preserve">
配置 dropConfig.xlsx 中的 id 值</t>
        </r>
      </text>
    </comment>
  </commentList>
</comments>
</file>

<file path=xl/sharedStrings.xml><?xml version="1.0" encoding="utf-8"?>
<sst xmlns="http://schemas.openxmlformats.org/spreadsheetml/2006/main" count="104" uniqueCount="97">
  <si>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</si>
  <si>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</si>
  <si>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</si>
  <si>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</si>
  <si>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</si>
  <si>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</si>
  <si>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</si>
  <si>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</si>
  <si>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</si>
  <si>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</si>
  <si>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</si>
  <si>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</si>
  <si>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</si>
  <si>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</si>
  <si>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</si>
  <si>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</si>
  <si>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</si>
  <si>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</si>
  <si>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</si>
  <si>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</si>
  <si>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</si>
  <si>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</si>
  <si>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</si>
  <si>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</si>
  <si>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</si>
  <si>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</si>
  <si>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</si>
  <si>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</si>
  <si>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</si>
  <si>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</si>
  <si>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</si>
  <si>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</si>
  <si>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</si>
  <si>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</si>
  <si>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</si>
  <si>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</si>
  <si>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</si>
  <si>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</si>
  <si>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</si>
  <si>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</si>
  <si>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</si>
  <si>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</si>
  <si>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</si>
  <si>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</si>
  <si>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</si>
  <si>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</si>
  <si>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</si>
  <si>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</si>
  <si>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</si>
  <si>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</si>
  <si>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</si>
  <si>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</si>
  <si>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</si>
  <si>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</si>
  <si>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</si>
  <si>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</si>
  <si>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</si>
  <si>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</si>
  <si>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</si>
  <si>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</si>
  <si>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</si>
  <si>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</si>
  <si>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</si>
  <si>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</si>
  <si>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</si>
  <si>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</si>
  <si>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10_200_5000</t>
  </si>
  <si>
    <t>官方派奖转盘奖池金币数量（废弃，在活动配置表中配置）</t>
  </si>
  <si>
    <t>从OfficialAwards表中取平均中奖金额</t>
  </si>
  <si>
    <t>活动时间</t>
  </si>
  <si>
    <t>天</t>
  </si>
  <si>
    <t>毫秒</t>
  </si>
  <si>
    <t>官方派奖：有效下注转换积分比例 ：有效下注 = X积分</t>
  </si>
  <si>
    <t>100000_1</t>
  </si>
  <si>
    <t>官方派奖：充值转换积分比例 ：充值金额 = X积分</t>
  </si>
  <si>
    <t>1_1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</si>
  <si>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</si>
  <si>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</si>
  <si>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</si>
  <si>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</si>
  <si>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</si>
  <si>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</si>
  <si>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</si>
  <si>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</si>
  <si>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</si>
  <si>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</si>
  <si>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</si>
  <si>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</si>
  <si>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</si>
  <si>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</si>
  <si>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1000_1990000_200000|2000_1990000_500000|5000_1990000_1000000|8000_1990000_1500000|10000_1990000_2000000</t>
  </si>
  <si>
    <t>VIP充值：充值金额与经验转换比例(充值金额_获得vip经验，最低支持0.01_1)</t>
  </si>
  <si>
    <t>1000_1</t>
  </si>
  <si>
    <t>积分大奖：实物奖励兑换码过期时间（天）</t>
  </si>
  <si>
    <t>新手奖励</t>
  </si>
  <si>
    <t>1990000_200000</t>
  </si>
  <si>
    <t>掉落1001-1999【我的赌场】</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</si>
</sst>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4"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5" borderId="5" applyNumberFormat="0" applyAlignment="0" applyProtection="0">
      <alignment vertical="center"/>
    </xf>
    <xf numFmtId="0" fontId="13" fillId="6" borderId="6" applyNumberFormat="0" applyAlignment="0" applyProtection="0">
      <alignment vertical="center"/>
    </xf>
    <xf numFmtId="0" fontId="14" fillId="6" borderId="5" applyNumberFormat="0" applyAlignment="0" applyProtection="0">
      <alignment vertical="center"/>
    </xf>
    <xf numFmtId="0" fontId="15" fillId="7"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1" fillId="34" borderId="0" applyNumberFormat="0" applyBorder="0" applyAlignment="0" applyProtection="0">
      <alignment vertical="center"/>
    </xf>
  </cellStyleXfs>
  <cellXfs count="15">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1" fillId="2" borderId="0" xfId="0" applyFont="1" applyFill="1"/>
    <xf numFmtId="0" fontId="2" fillId="2" borderId="0" xfId="0" applyFont="1" applyFill="1"/>
    <xf numFmtId="0" fontId="1" fillId="3" borderId="0" xfId="0" applyFont="1" applyFill="1"/>
    <xf numFmtId="9" fontId="1" fillId="0" borderId="0" xfId="0" applyNumberFormat="1" applyFo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9"/>
  <sheetViews>
    <sheetView tabSelected="1" zoomScale="85" zoomScaleNormal="85" workbookViewId="0">
      <pane ySplit="3" topLeftCell="A19" activePane="bottomLeft" state="frozen"/>
      <selection/>
      <selection pane="bottomLeft" activeCell="C53" sqref="C53"/>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5" t="s">
        <v>24</v>
      </c>
      <c r="D10" s="8"/>
      <c r="E10" s="6"/>
      <c r="F10" s="6"/>
      <c r="G10" s="1" t="s">
        <v>25</v>
      </c>
    </row>
    <row r="11" spans="1:7">
      <c r="A11" s="1">
        <v>7</v>
      </c>
      <c r="B11" s="6" t="s">
        <v>26</v>
      </c>
      <c r="C11" s="16" t="s">
        <v>27</v>
      </c>
      <c r="D11" s="6"/>
      <c r="E11" s="6"/>
      <c r="F11" s="6"/>
      <c r="G11" s="1" t="s">
        <v>25</v>
      </c>
    </row>
    <row r="12" spans="1:7">
      <c r="A12" s="1">
        <v>8</v>
      </c>
      <c r="B12" s="6" t="s">
        <v>28</v>
      </c>
      <c r="C12" s="16" t="s">
        <v>29</v>
      </c>
      <c r="D12" s="6"/>
      <c r="E12" s="6"/>
      <c r="F12" s="6"/>
      <c r="G12" s="1" t="s">
        <v>25</v>
      </c>
    </row>
    <row r="13" spans="1:7">
      <c r="A13" s="1">
        <v>9</v>
      </c>
      <c r="B13" s="6" t="s">
        <v>30</v>
      </c>
      <c r="C13" s="16" t="s">
        <v>31</v>
      </c>
      <c r="D13" s="6"/>
      <c r="E13" s="6"/>
      <c r="F13" s="6"/>
      <c r="G13" s="1" t="s">
        <v>25</v>
      </c>
    </row>
    <row r="14" spans="1:7">
      <c r="A14" s="1">
        <v>10</v>
      </c>
      <c r="B14" s="6" t="s">
        <v>32</v>
      </c>
      <c r="C14" s="16" t="s">
        <v>33</v>
      </c>
      <c r="D14" s="6"/>
      <c r="E14" s="6"/>
      <c r="F14" s="6"/>
      <c r="G14" s="1" t="s">
        <v>25</v>
      </c>
    </row>
    <row r="15" spans="1:4">
      <c r="A15" s="1">
        <v>11</v>
      </c>
      <c r="B15" s="1" t="s">
        <v>34</v>
      </c>
      <c r="D15" s="1">
        <f>2*3*5*3</f>
        <v>90</v>
      </c>
    </row>
    <row r="16" spans="1:7">
      <c r="A16" s="1">
        <v>12</v>
      </c>
      <c r="B16" s="1" t="s">
        <v>35</v>
      </c>
      <c r="D16" s="1">
        <v>100</v>
      </c>
      <c r="G16" s="1" t="s">
        <v>36</v>
      </c>
    </row>
    <row r="17" spans="1:4">
      <c r="A17" s="1">
        <v>13</v>
      </c>
      <c r="B17" s="1" t="s">
        <v>37</v>
      </c>
      <c r="D17" s="1">
        <v>1</v>
      </c>
    </row>
    <row r="18" spans="1:7">
      <c r="A18" s="1">
        <v>14</v>
      </c>
      <c r="B18" s="1" t="s">
        <v>38</v>
      </c>
      <c r="C18" s="9" t="s">
        <v>39</v>
      </c>
      <c r="G18" s="1" t="s">
        <v>40</v>
      </c>
    </row>
    <row r="19" spans="1:4">
      <c r="A19" s="1">
        <v>15</v>
      </c>
      <c r="B19" s="1" t="s">
        <v>41</v>
      </c>
      <c r="D19" s="1">
        <v>5</v>
      </c>
    </row>
    <row r="20" spans="1:4">
      <c r="A20" s="1">
        <v>16</v>
      </c>
      <c r="B20" s="1" t="s">
        <v>42</v>
      </c>
      <c r="D20" s="1">
        <v>10</v>
      </c>
    </row>
    <row r="21" spans="1:3">
      <c r="A21" s="1">
        <v>17</v>
      </c>
      <c r="B21" s="1" t="s">
        <v>43</v>
      </c>
      <c r="C21" s="1" t="s">
        <v>44</v>
      </c>
    </row>
    <row r="22" spans="1:4">
      <c r="A22" s="1">
        <v>18</v>
      </c>
      <c r="B22" s="1" t="s">
        <v>45</v>
      </c>
      <c r="D22" s="1">
        <f>7*24*60*60</f>
        <v>604800</v>
      </c>
    </row>
    <row r="23" spans="1:3">
      <c r="A23" s="1">
        <v>19</v>
      </c>
      <c r="B23" s="1" t="s">
        <v>46</v>
      </c>
      <c r="C23" s="1" t="s">
        <v>47</v>
      </c>
    </row>
    <row r="24" spans="1:4">
      <c r="A24" s="1">
        <v>20</v>
      </c>
      <c r="B24" s="1" t="s">
        <v>48</v>
      </c>
      <c r="D24" s="1">
        <v>10</v>
      </c>
    </row>
    <row r="25" spans="1:7">
      <c r="A25" s="1">
        <v>21</v>
      </c>
      <c r="B25" s="1" t="s">
        <v>49</v>
      </c>
      <c r="C25" s="1" t="s">
        <v>50</v>
      </c>
      <c r="G25" s="1" t="s">
        <v>51</v>
      </c>
    </row>
    <row r="26" spans="1:7">
      <c r="A26" s="1">
        <v>22</v>
      </c>
      <c r="B26" s="1" t="s">
        <v>52</v>
      </c>
      <c r="C26" s="1" t="s">
        <v>53</v>
      </c>
      <c r="G26" s="1" t="s">
        <v>54</v>
      </c>
    </row>
    <row r="27" spans="1:4">
      <c r="A27" s="1">
        <v>23</v>
      </c>
      <c r="B27" s="1" t="s">
        <v>55</v>
      </c>
      <c r="D27" s="1">
        <v>10000</v>
      </c>
    </row>
    <row r="28" spans="1:4">
      <c r="A28" s="1">
        <v>24</v>
      </c>
      <c r="B28" s="1" t="s">
        <v>56</v>
      </c>
      <c r="D28" s="1">
        <v>100</v>
      </c>
    </row>
    <row r="29" s="1" customFormat="1" spans="1:3">
      <c r="A29" s="1">
        <v>25</v>
      </c>
      <c r="B29" s="1" t="s">
        <v>57</v>
      </c>
      <c r="C29" s="1" t="s">
        <v>58</v>
      </c>
    </row>
    <row r="30" spans="1:4">
      <c r="A30" s="1">
        <v>26</v>
      </c>
      <c r="B30" s="1" t="s">
        <v>59</v>
      </c>
      <c r="C30" s="10"/>
      <c r="D30" s="1">
        <v>100</v>
      </c>
    </row>
    <row r="31" spans="1:7">
      <c r="A31" s="1">
        <v>27</v>
      </c>
      <c r="B31" s="1" t="s">
        <v>60</v>
      </c>
      <c r="D31" s="1">
        <v>9900</v>
      </c>
      <c r="G31" s="1" t="s">
        <v>61</v>
      </c>
    </row>
    <row r="32" spans="1:3">
      <c r="A32" s="1">
        <v>28</v>
      </c>
      <c r="B32" s="1" t="s">
        <v>62</v>
      </c>
      <c r="C32" s="1" t="s">
        <v>63</v>
      </c>
    </row>
    <row r="33" spans="1:4">
      <c r="A33" s="1">
        <v>29</v>
      </c>
      <c r="B33" s="1" t="s">
        <v>64</v>
      </c>
      <c r="D33" s="1">
        <v>6</v>
      </c>
    </row>
    <row r="34" s="1" customFormat="1" spans="1:3">
      <c r="A34" s="11">
        <v>30</v>
      </c>
      <c r="B34" s="11" t="s">
        <v>65</v>
      </c>
      <c r="C34" s="1" t="s">
        <v>66</v>
      </c>
    </row>
    <row r="35" s="2" customFormat="1" spans="1:13">
      <c r="A35" s="12">
        <v>31</v>
      </c>
      <c r="B35" s="12" t="s">
        <v>67</v>
      </c>
      <c r="E35" s="2">
        <v>1000000000</v>
      </c>
      <c r="G35" s="2" t="s">
        <v>68</v>
      </c>
      <c r="H35" s="2">
        <v>718000</v>
      </c>
      <c r="I35" s="2" t="s">
        <v>69</v>
      </c>
      <c r="J35" s="2">
        <v>30</v>
      </c>
      <c r="K35" s="2" t="s">
        <v>70</v>
      </c>
      <c r="L35" s="2">
        <f>J35*24*60*60*1000</f>
        <v>2592000000</v>
      </c>
      <c r="M35" s="2" t="s">
        <v>71</v>
      </c>
    </row>
    <row r="36" spans="1:3">
      <c r="A36" s="12">
        <v>32</v>
      </c>
      <c r="B36" s="12" t="s">
        <v>72</v>
      </c>
      <c r="C36" s="2" t="s">
        <v>73</v>
      </c>
    </row>
    <row r="37" spans="1:3">
      <c r="A37" s="11">
        <v>33</v>
      </c>
      <c r="B37" s="11" t="s">
        <v>74</v>
      </c>
      <c r="C37" s="1" t="s">
        <v>75</v>
      </c>
    </row>
    <row r="38" s="2" customFormat="1" spans="1:8">
      <c r="A38" s="12">
        <v>34</v>
      </c>
      <c r="B38" s="12" t="s">
        <v>76</v>
      </c>
      <c r="C38" s="2" t="s">
        <v>77</v>
      </c>
      <c r="G38" s="2" t="s">
        <v>78</v>
      </c>
      <c r="H38" s="2">
        <f>VALUE(MID(C38,FIND("_",C38)+1,4))</f>
        <v>90</v>
      </c>
    </row>
    <row r="39" spans="1:23">
      <c r="A39" s="11">
        <v>35</v>
      </c>
      <c r="B39" s="11" t="s">
        <v>79</v>
      </c>
      <c r="C39" s="1" t="str">
        <f>_xlfn.TEXTJOIN("|",TRUE,S39:W39)</f>
        <v>3101760_1000|2584800_1000|2067840_1000|1550880_1000|1033920_1000</v>
      </c>
      <c r="G39" s="1" t="s">
        <v>80</v>
      </c>
      <c r="H39" s="1">
        <f>ROUND(L35/(E35*H38/100/H35),0)</f>
        <v>2067840</v>
      </c>
      <c r="I39" s="1" t="s">
        <v>71</v>
      </c>
      <c r="J39" s="1" t="s">
        <v>81</v>
      </c>
      <c r="K39" s="14" t="s">
        <v>82</v>
      </c>
      <c r="L39" s="14">
        <v>0.25</v>
      </c>
      <c r="M39" s="1" t="s">
        <v>83</v>
      </c>
      <c r="N39" s="1">
        <f>ROUND(P39*(1+2*L39),0)</f>
        <v>3101760</v>
      </c>
      <c r="O39" s="1">
        <f>ROUND(P39*(1+1*L39),0)</f>
        <v>2584800</v>
      </c>
      <c r="P39" s="1">
        <f>H39</f>
        <v>2067840</v>
      </c>
      <c r="Q39" s="1">
        <f>ROUND(P39*(1-1*L39),0)</f>
        <v>1550880</v>
      </c>
      <c r="R39" s="1">
        <f>ROUND(P39*(1-2*L39),0)</f>
        <v>1033920</v>
      </c>
      <c r="S39" s="1" t="str">
        <f>_xlfn.TEXTJOIN("_",TRUE,N39,1000)</f>
        <v>3101760_1000</v>
      </c>
      <c r="T39" s="1" t="str">
        <f>_xlfn.TEXTJOIN("_",TRUE,O39,1000)</f>
        <v>2584800_1000</v>
      </c>
      <c r="U39" s="1" t="str">
        <f>_xlfn.TEXTJOIN("_",TRUE,P39,1000)</f>
        <v>2067840_1000</v>
      </c>
      <c r="V39" s="1" t="str">
        <f>_xlfn.TEXTJOIN("_",TRUE,Q39,1000)</f>
        <v>1550880_1000</v>
      </c>
      <c r="W39" s="1" t="str">
        <f>_xlfn.TEXTJOIN("_",TRUE,R39,1000)</f>
        <v>1033920_1000</v>
      </c>
    </row>
    <row r="40" spans="1:4">
      <c r="A40" s="13">
        <v>40</v>
      </c>
      <c r="B40" s="13" t="s">
        <v>84</v>
      </c>
      <c r="D40" s="1">
        <v>50</v>
      </c>
    </row>
    <row r="41" spans="1:4">
      <c r="A41" s="13">
        <v>41</v>
      </c>
      <c r="B41" s="13" t="s">
        <v>85</v>
      </c>
      <c r="D41" s="1">
        <v>200</v>
      </c>
    </row>
    <row r="42" spans="1:4">
      <c r="A42" s="13">
        <v>42</v>
      </c>
      <c r="B42" s="13" t="s">
        <v>86</v>
      </c>
      <c r="D42" s="1">
        <v>2000</v>
      </c>
    </row>
    <row r="43" spans="1:4">
      <c r="A43" s="13">
        <v>43</v>
      </c>
      <c r="B43" s="13" t="s">
        <v>87</v>
      </c>
      <c r="D43" s="1">
        <v>1</v>
      </c>
    </row>
    <row r="44" spans="1:4">
      <c r="A44" s="13">
        <v>44</v>
      </c>
      <c r="B44" s="1" t="s">
        <v>88</v>
      </c>
      <c r="D44" s="1">
        <v>1000</v>
      </c>
    </row>
    <row r="45" spans="1:3">
      <c r="A45" s="13">
        <v>45</v>
      </c>
      <c r="B45" s="1" t="s">
        <v>89</v>
      </c>
      <c r="C45" s="1" t="s">
        <v>90</v>
      </c>
    </row>
    <row r="46" spans="1:3">
      <c r="A46" s="1">
        <v>46</v>
      </c>
      <c r="B46" s="1" t="s">
        <v>91</v>
      </c>
      <c r="C46" s="1" t="s">
        <v>92</v>
      </c>
    </row>
    <row r="47" spans="1:4">
      <c r="A47" s="1">
        <v>47</v>
      </c>
      <c r="B47" s="1" t="s">
        <v>93</v>
      </c>
      <c r="D47" s="1">
        <v>3</v>
      </c>
    </row>
    <row r="48" spans="1:3">
      <c r="A48" s="1">
        <v>50</v>
      </c>
      <c r="B48" s="1" t="s">
        <v>94</v>
      </c>
      <c r="C48" s="1" t="s">
        <v>95</v>
      </c>
    </row>
    <row r="49" spans="1:4">
      <c r="A49" s="1">
        <v>1001</v>
      </c>
      <c r="B49" s="1" t="s">
        <v>96</v>
      </c>
      <c r="D49" s="1">
        <v>4</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2025-10-28T03:38:09Z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2052-12.1.0.23125</vt:lpwstr>
  </property>
</Properties>
</file>