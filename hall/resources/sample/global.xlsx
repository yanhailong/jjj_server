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Administrator</author>
  </authors>
  <commentList>
    <comment ref="E35" authorId="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<sst xmlns="http://schemas.openxmlformats.org/spreadsheetml/2006/main" count="95" uniqueCount="88">
  <si>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</si>
  <si>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</si>
  <si>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</si>
  <si>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</si>
  <si>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</si>
  <si>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</si>
  <si>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</si>
  <si>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</si>
  <si>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</si>
  <si>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</si>
  <si>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</si>
  <si>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</si>
  <si>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</si>
  <si>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</si>
  <si>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</si>
  <si>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</si>
  <si>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</si>
  <si>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</si>
  <si>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</si>
  <si>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</si>
  <si>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</si>
  <si>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</si>
  <si>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</si>
  <si>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</si>
  <si>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</si>
  <si>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</si>
  <si>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</si>
  <si>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</si>
  <si>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</si>
  <si>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</si>
  <si>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</si>
  <si>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</si>
  <si>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</si>
  <si>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</si>
  <si>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</si>
  <si>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</si>
  <si>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</si>
  <si>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</si>
  <si>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</si>
  <si>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</si>
  <si>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</si>
  <si>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</si>
  <si>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</si>
  <si>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</si>
  <si>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</si>
  <si>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</si>
  <si>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</si>
  <si>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</si>
  <si>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</si>
  <si>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</si>
  <si>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</si>
  <si>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</si>
  <si>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</si>
  <si>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</si>
  <si>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</si>
  <si>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</si>
  <si>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</si>
  <si>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</si>
  <si>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</si>
  <si>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</si>
  <si>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</si>
  <si>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</si>
  <si>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</si>
  <si>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</si>
  <si>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</si>
  <si>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</si>
  <si>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</si>
  <si>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官方派奖转盘奖池金币数量（废弃，在活动配置表中配置）</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</si>
  <si>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</si>
  <si>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</si>
  <si>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</si>
  <si>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</si>
  <si>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</si>
  <si>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</si>
  <si>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</si>
  <si>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</si>
  <si>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  （废弃，功能不存在）</t>
  </si>
  <si>
    <t>10_90</t>
  </si>
  <si>
    <t>机器人奖池比例</t>
  </si>
  <si>
    <t>官方派奖：机器人中奖间隔（毫秒_权重|毫秒_权重）</t>
  </si>
  <si>
    <t>平均中奖间隔</t>
  </si>
  <si>
    <t>共5档</t>
  </si>
  <si>
    <t>每档偏移</t>
  </si>
  <si>
    <t>每档时间</t>
  </si>
  <si>
    <t>积分大奖： 转盘每次消耗积分数</t>
  </si>
  <si>
    <t>积分大奖：时段榜-上榜的最低积分要求(上午榜、下午榜共用)</t>
  </si>
  <si>
    <t>积分大奖：月总榜-上榜的最低积分要求</t>
  </si>
  <si>
    <t>积分大奖：每日转盘默认次数上限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</si>
</sst>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5">
    <font>
      <sz val="11"/>
      <color theme="1"/>
      <name val="等线"/>
      <charset val="134"/>
      <scheme val="minor"/>
    </font>
    <font>
      <sz val="11"/>
      <color theme="0" tint="-0.25"/>
      <name val="等线"/>
      <charset val="134"/>
      <scheme val="minor"/>
    </font>
    <font>
      <sz val="10"/>
      <color theme="1"/>
      <name val="等线"/>
      <charset val="134"/>
      <scheme val="minor"/>
    </font>
    <font>
      <sz val="11"/>
      <color theme="1"/>
      <name val="等线"/>
      <charset val="134"/>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b/>
      <sz val="9"/>
      <name val="宋体"/>
      <charset val="134"/>
    </font>
    <font>
      <sz val="9"/>
      <name val="宋体"/>
      <charset val="134"/>
    </font>
  </fonts>
  <fills count="35">
    <fill>
      <patternFill patternType="none"/>
    </fill>
    <fill>
      <patternFill patternType="gray125"/>
    </fill>
    <fill>
      <patternFill patternType="solid">
        <fgColor theme="5" tint="0.8"/>
        <bgColor indexed="64"/>
      </patternFill>
    </fill>
    <fill>
      <patternFill patternType="solid">
        <fgColor theme="9" tint="0.8"/>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DEE0E3"/>
      </left>
      <right style="thin">
        <color rgb="FFDEE0E3"/>
      </right>
      <top style="thin">
        <color rgb="FFDEE0E3"/>
      </top>
      <bottom style="thin">
        <color rgb="FFDEE0E3"/>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4" fillId="0" borderId="0" applyNumberFormat="0" applyFill="0" applyBorder="0" applyAlignment="0" applyProtection="0">
      <alignment vertical="center"/>
    </xf>
    <xf numFmtId="0" fontId="5" fillId="0" borderId="0" applyNumberFormat="0" applyFill="0" applyBorder="0" applyAlignment="0" applyProtection="0">
      <alignment vertical="center"/>
    </xf>
    <xf numFmtId="0" fontId="0" fillId="4" borderId="2" applyNumberFormat="0" applyFont="0" applyAlignment="0" applyProtection="0">
      <alignment vertical="center"/>
    </xf>
    <xf numFmtId="0" fontId="6" fillId="0" borderId="0" applyNumberFormat="0" applyFill="0" applyBorder="0" applyAlignment="0" applyProtection="0">
      <alignment vertical="center"/>
    </xf>
    <xf numFmtId="0" fontId="7"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9" fillId="0" borderId="3" applyNumberFormat="0" applyFill="0" applyAlignment="0" applyProtection="0">
      <alignment vertical="center"/>
    </xf>
    <xf numFmtId="0" fontId="10" fillId="0" borderId="3" applyNumberFormat="0" applyFill="0" applyAlignment="0" applyProtection="0">
      <alignment vertical="center"/>
    </xf>
    <xf numFmtId="0" fontId="11" fillId="0" borderId="4" applyNumberFormat="0" applyFill="0" applyAlignment="0" applyProtection="0">
      <alignment vertical="center"/>
    </xf>
    <xf numFmtId="0" fontId="11" fillId="0" borderId="0" applyNumberFormat="0" applyFill="0" applyBorder="0" applyAlignment="0" applyProtection="0">
      <alignment vertical="center"/>
    </xf>
    <xf numFmtId="0" fontId="12" fillId="5" borderId="5" applyNumberFormat="0" applyAlignment="0" applyProtection="0">
      <alignment vertical="center"/>
    </xf>
    <xf numFmtId="0" fontId="13" fillId="6" borderId="6" applyNumberFormat="0" applyAlignment="0" applyProtection="0">
      <alignment vertical="center"/>
    </xf>
    <xf numFmtId="0" fontId="14" fillId="6" borderId="5" applyNumberFormat="0" applyAlignment="0" applyProtection="0">
      <alignment vertical="center"/>
    </xf>
    <xf numFmtId="0" fontId="15" fillId="7" borderId="7" applyNumberFormat="0" applyAlignment="0" applyProtection="0">
      <alignment vertical="center"/>
    </xf>
    <xf numFmtId="0" fontId="16" fillId="0" borderId="8" applyNumberFormat="0" applyFill="0" applyAlignment="0" applyProtection="0">
      <alignment vertical="center"/>
    </xf>
    <xf numFmtId="0" fontId="17" fillId="0" borderId="9" applyNumberFormat="0" applyFill="0" applyAlignment="0" applyProtection="0">
      <alignment vertical="center"/>
    </xf>
    <xf numFmtId="0" fontId="18" fillId="8" borderId="0" applyNumberFormat="0" applyBorder="0" applyAlignment="0" applyProtection="0">
      <alignment vertical="center"/>
    </xf>
    <xf numFmtId="0" fontId="19" fillId="9" borderId="0" applyNumberFormat="0" applyBorder="0" applyAlignment="0" applyProtection="0">
      <alignment vertical="center"/>
    </xf>
    <xf numFmtId="0" fontId="20" fillId="10" borderId="0" applyNumberFormat="0" applyBorder="0" applyAlignment="0" applyProtection="0">
      <alignment vertical="center"/>
    </xf>
    <xf numFmtId="0" fontId="21" fillId="11" borderId="0" applyNumberFormat="0" applyBorder="0" applyAlignment="0" applyProtection="0">
      <alignment vertical="center"/>
    </xf>
    <xf numFmtId="0" fontId="22" fillId="12" borderId="0" applyNumberFormat="0" applyBorder="0" applyAlignment="0" applyProtection="0">
      <alignment vertical="center"/>
    </xf>
    <xf numFmtId="0" fontId="22" fillId="13" borderId="0" applyNumberFormat="0" applyBorder="0" applyAlignment="0" applyProtection="0">
      <alignment vertical="center"/>
    </xf>
    <xf numFmtId="0" fontId="21" fillId="14" borderId="0" applyNumberFormat="0" applyBorder="0" applyAlignment="0" applyProtection="0">
      <alignment vertical="center"/>
    </xf>
    <xf numFmtId="0" fontId="21" fillId="15" borderId="0" applyNumberFormat="0" applyBorder="0" applyAlignment="0" applyProtection="0">
      <alignment vertical="center"/>
    </xf>
    <xf numFmtId="0" fontId="22" fillId="16" borderId="0" applyNumberFormat="0" applyBorder="0" applyAlignment="0" applyProtection="0">
      <alignment vertical="center"/>
    </xf>
    <xf numFmtId="0" fontId="22" fillId="17" borderId="0" applyNumberFormat="0" applyBorder="0" applyAlignment="0" applyProtection="0">
      <alignment vertical="center"/>
    </xf>
    <xf numFmtId="0" fontId="21" fillId="18" borderId="0" applyNumberFormat="0" applyBorder="0" applyAlignment="0" applyProtection="0">
      <alignment vertical="center"/>
    </xf>
    <xf numFmtId="0" fontId="21" fillId="19" borderId="0" applyNumberFormat="0" applyBorder="0" applyAlignment="0" applyProtection="0">
      <alignment vertical="center"/>
    </xf>
    <xf numFmtId="0" fontId="22" fillId="20" borderId="0" applyNumberFormat="0" applyBorder="0" applyAlignment="0" applyProtection="0">
      <alignment vertical="center"/>
    </xf>
    <xf numFmtId="0" fontId="22" fillId="21" borderId="0" applyNumberFormat="0" applyBorder="0" applyAlignment="0" applyProtection="0">
      <alignment vertical="center"/>
    </xf>
    <xf numFmtId="0" fontId="21" fillId="22" borderId="0" applyNumberFormat="0" applyBorder="0" applyAlignment="0" applyProtection="0">
      <alignment vertical="center"/>
    </xf>
    <xf numFmtId="0" fontId="21" fillId="23" borderId="0" applyNumberFormat="0" applyBorder="0" applyAlignment="0" applyProtection="0">
      <alignment vertical="center"/>
    </xf>
    <xf numFmtId="0" fontId="22" fillId="24" borderId="0" applyNumberFormat="0" applyBorder="0" applyAlignment="0" applyProtection="0">
      <alignment vertical="center"/>
    </xf>
    <xf numFmtId="0" fontId="22" fillId="25" borderId="0" applyNumberFormat="0" applyBorder="0" applyAlignment="0" applyProtection="0">
      <alignment vertical="center"/>
    </xf>
    <xf numFmtId="0" fontId="21" fillId="26" borderId="0" applyNumberFormat="0" applyBorder="0" applyAlignment="0" applyProtection="0">
      <alignment vertical="center"/>
    </xf>
    <xf numFmtId="0" fontId="21" fillId="27" borderId="0" applyNumberFormat="0" applyBorder="0" applyAlignment="0" applyProtection="0">
      <alignment vertical="center"/>
    </xf>
    <xf numFmtId="0" fontId="22" fillId="28" borderId="0" applyNumberFormat="0" applyBorder="0" applyAlignment="0" applyProtection="0">
      <alignment vertical="center"/>
    </xf>
    <xf numFmtId="0" fontId="22" fillId="29" borderId="0" applyNumberFormat="0" applyBorder="0" applyAlignment="0" applyProtection="0">
      <alignment vertical="center"/>
    </xf>
    <xf numFmtId="0" fontId="21" fillId="30" borderId="0" applyNumberFormat="0" applyBorder="0" applyAlignment="0" applyProtection="0">
      <alignment vertical="center"/>
    </xf>
    <xf numFmtId="0" fontId="21" fillId="31" borderId="0" applyNumberFormat="0" applyBorder="0" applyAlignment="0" applyProtection="0">
      <alignment vertical="center"/>
    </xf>
    <xf numFmtId="0" fontId="22" fillId="32" borderId="0" applyNumberFormat="0" applyBorder="0" applyAlignment="0" applyProtection="0">
      <alignment vertical="center"/>
    </xf>
    <xf numFmtId="0" fontId="22" fillId="33" borderId="0" applyNumberFormat="0" applyBorder="0" applyAlignment="0" applyProtection="0">
      <alignment vertical="center"/>
    </xf>
    <xf numFmtId="0" fontId="21" fillId="34" borderId="0" applyNumberFormat="0" applyBorder="0" applyAlignment="0" applyProtection="0">
      <alignment vertical="center"/>
    </xf>
  </cellStyleXfs>
  <cellXfs count="17">
    <xf numFmtId="0" fontId="0" fillId="0" borderId="0" xfId="0"/>
    <xf numFmtId="0" fontId="1" fillId="0" borderId="0" xfId="0" applyFont="1"/>
    <xf numFmtId="0" fontId="0" fillId="0" borderId="1" xfId="0" applyBorder="1" applyAlignment="1">
      <alignment horizontal="left" vertical="center"/>
    </xf>
    <xf numFmtId="0" fontId="0" fillId="0" borderId="1" xfId="0" applyBorder="1" applyAlignment="1">
      <alignment vertical="center"/>
    </xf>
    <xf numFmtId="0" fontId="2" fillId="0" borderId="1" xfId="0" applyFont="1" applyBorder="1" applyAlignment="1">
      <alignment vertical="center"/>
    </xf>
    <xf numFmtId="0" fontId="0" fillId="0" borderId="0" xfId="0" applyAlignment="1">
      <alignment vertical="center"/>
    </xf>
    <xf numFmtId="0" fontId="0" fillId="0" borderId="1" xfId="0" applyFont="1" applyBorder="1" applyAlignment="1">
      <alignment horizontal="left" vertical="center"/>
    </xf>
    <xf numFmtId="0" fontId="0" fillId="0" borderId="0" xfId="0" applyFont="1" applyAlignment="1">
      <alignment horizontal="left" vertical="center"/>
    </xf>
    <xf numFmtId="3" fontId="0" fillId="0" borderId="0" xfId="0" applyNumberFormat="1" applyFont="1" applyAlignment="1">
      <alignment vertical="center"/>
    </xf>
    <xf numFmtId="0" fontId="0" fillId="0" borderId="0" xfId="0" applyFont="1" applyAlignment="1">
      <alignment vertical="center"/>
    </xf>
    <xf numFmtId="20" fontId="0" fillId="0" borderId="0" xfId="0" applyNumberFormat="1"/>
    <xf numFmtId="0" fontId="3" fillId="0" borderId="0" xfId="0" applyFont="1"/>
    <xf numFmtId="0" fontId="0" fillId="0" borderId="0" xfId="0" applyAlignment="1">
      <alignment horizontal="left"/>
    </xf>
    <xf numFmtId="0" fontId="0" fillId="2" borderId="0" xfId="0" applyFill="1"/>
    <xf numFmtId="0" fontId="1" fillId="2" borderId="0" xfId="0" applyFont="1" applyFill="1"/>
    <xf numFmtId="0" fontId="0" fillId="3" borderId="0" xfId="0" applyFill="1"/>
    <xf numFmtId="9" fontId="0" fillId="0" borderId="0" xfId="0" applyNumberFormat="1"/>
    <xf numFmtId="3" fontId="0" fillId="0" borderId="0" xfId="0" applyNumberFormat="1" applyFont="1" applyAlignment="1" quotePrefix="1">
      <alignment vertical="center"/>
    </xf>
    <xf numFmtId="0" fontId="0" fillId="0" borderId="0" xfId="0" applyFont="1" applyAlignment="1" quotePrefix="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4" Type="http://schemas.openxmlformats.org/officeDocument/2006/relationships/styles" Target="styles.xml"/><Relationship Id="rId3" Type="http://schemas.openxmlformats.org/officeDocument/2006/relationships/sharedStrings" Target="sharedStrings.xml"/><Relationship Id="rId2" Type="http://schemas.openxmlformats.org/officeDocument/2006/relationships/theme" Target="theme/theme1.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43"/>
  <sheetViews>
    <sheetView tabSelected="1" workbookViewId="0">
      <pane ySplit="3" topLeftCell="A16" activePane="bottomLeft" state="frozen"/>
      <selection/>
      <selection pane="bottomLeft" activeCell="B45" sqref="B45"/>
    </sheetView>
  </sheetViews>
  <sheetFormatPr defaultColWidth="9" defaultRowHeight="14.25"/>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c r="A1" s="2" t="s">
        <v>0</v>
      </c>
      <c r="B1" s="3"/>
      <c r="C1" s="3" t="s">
        <v>1</v>
      </c>
      <c r="D1" s="3" t="s">
        <v>2</v>
      </c>
      <c r="E1" s="3" t="s">
        <v>3</v>
      </c>
      <c r="F1" s="3" t="s">
        <v>4</v>
      </c>
      <c r="G1" s="3" t="s">
        <v>5</v>
      </c>
    </row>
    <row r="2" spans="1:7">
      <c r="A2" s="4" t="s">
        <v>6</v>
      </c>
      <c r="B2" s="3"/>
      <c r="C2" s="3" t="s">
        <v>7</v>
      </c>
      <c r="D2" s="5" t="s">
        <v>6</v>
      </c>
      <c r="E2" t="s">
        <v>8</v>
      </c>
      <c r="F2" s="3" t="s">
        <v>9</v>
      </c>
      <c r="G2" s="3"/>
    </row>
    <row r="3" spans="1:7">
      <c r="A3" s="6" t="s">
        <v>10</v>
      </c>
      <c r="B3" s="3"/>
      <c r="C3" s="3" t="s">
        <v>11</v>
      </c>
      <c r="D3" t="s">
        <v>12</v>
      </c>
      <c r="E3" t="s">
        <v>13</v>
      </c>
      <c r="F3" t="s">
        <v>14</v>
      </c>
      <c r="G3" s="3"/>
    </row>
    <row r="4" spans="1:7">
      <c r="A4" s="7"/>
      <c r="B4" s="5"/>
      <c r="C4" s="5"/>
      <c r="G4" s="5"/>
    </row>
    <row r="5" spans="1:7">
      <c r="A5">
        <v>1</v>
      </c>
      <c r="B5" s="5" t="s">
        <v>15</v>
      </c>
      <c r="D5" s="5">
        <v>200</v>
      </c>
      <c r="E5" s="5"/>
      <c r="F5" s="5"/>
      <c r="G5" s="5"/>
    </row>
    <row r="6" spans="1:7">
      <c r="A6">
        <v>2</v>
      </c>
      <c r="B6" s="5" t="s">
        <v>16</v>
      </c>
      <c r="D6" s="5">
        <v>10000</v>
      </c>
      <c r="E6" s="5"/>
      <c r="F6" s="5"/>
      <c r="G6" s="5" t="s">
        <v>17</v>
      </c>
    </row>
    <row r="7" spans="1:7">
      <c r="A7">
        <v>3</v>
      </c>
      <c r="B7" s="5" t="s">
        <v>18</v>
      </c>
      <c r="D7" s="5">
        <v>10000</v>
      </c>
      <c r="E7" s="5"/>
      <c r="F7" s="5"/>
      <c r="G7" s="5" t="s">
        <v>17</v>
      </c>
    </row>
    <row r="8" spans="1:7">
      <c r="A8">
        <v>4</v>
      </c>
      <c r="B8" s="5" t="s">
        <v>19</v>
      </c>
      <c r="C8" s="5">
        <v>100</v>
      </c>
      <c r="D8" s="5"/>
      <c r="E8" s="5"/>
      <c r="F8" s="5"/>
      <c r="G8" s="5" t="s">
        <v>20</v>
      </c>
    </row>
    <row r="9" spans="1:7">
      <c r="A9">
        <v>5</v>
      </c>
      <c r="B9" t="s">
        <v>21</v>
      </c>
      <c r="C9">
        <v>4</v>
      </c>
      <c r="G9" t="s">
        <v>22</v>
      </c>
    </row>
    <row r="10" spans="1:7">
      <c r="A10">
        <v>6</v>
      </c>
      <c r="B10" s="5" t="s">
        <v>23</v>
      </c>
      <c r="C10" s="17" t="s">
        <v>24</v>
      </c>
      <c r="D10" s="8"/>
      <c r="E10" s="5"/>
      <c r="F10" s="5"/>
      <c r="G10" t="s">
        <v>25</v>
      </c>
    </row>
    <row r="11" spans="1:7">
      <c r="A11">
        <v>7</v>
      </c>
      <c r="B11" s="5" t="s">
        <v>26</v>
      </c>
      <c r="C11" s="18" t="s">
        <v>27</v>
      </c>
      <c r="D11" s="9"/>
      <c r="E11" s="5"/>
      <c r="F11" s="5"/>
      <c r="G11" t="s">
        <v>25</v>
      </c>
    </row>
    <row r="12" spans="1:7">
      <c r="A12">
        <v>8</v>
      </c>
      <c r="B12" s="5" t="s">
        <v>28</v>
      </c>
      <c r="C12" s="18" t="s">
        <v>29</v>
      </c>
      <c r="D12" s="9"/>
      <c r="E12" s="5"/>
      <c r="F12" s="5"/>
      <c r="G12" t="s">
        <v>25</v>
      </c>
    </row>
    <row r="13" spans="1:7">
      <c r="A13">
        <v>9</v>
      </c>
      <c r="B13" s="5" t="s">
        <v>30</v>
      </c>
      <c r="C13" s="18" t="s">
        <v>31</v>
      </c>
      <c r="D13" s="9"/>
      <c r="E13" s="5"/>
      <c r="F13" s="5"/>
      <c r="G13" t="s">
        <v>25</v>
      </c>
    </row>
    <row r="14" spans="1:7">
      <c r="A14">
        <v>10</v>
      </c>
      <c r="B14" s="5" t="s">
        <v>32</v>
      </c>
      <c r="C14" s="18" t="s">
        <v>33</v>
      </c>
      <c r="D14" s="9"/>
      <c r="E14" s="5"/>
      <c r="F14" s="5"/>
      <c r="G14" t="s">
        <v>25</v>
      </c>
    </row>
    <row r="15" spans="1:4">
      <c r="A15">
        <v>11</v>
      </c>
      <c r="B15" t="s">
        <v>34</v>
      </c>
      <c r="D15">
        <f>2*3*5*3</f>
        <v>90</v>
      </c>
    </row>
    <row r="16" spans="1:7">
      <c r="A16">
        <v>12</v>
      </c>
      <c r="B16" t="s">
        <v>35</v>
      </c>
      <c r="D16">
        <v>100</v>
      </c>
      <c r="G16" t="s">
        <v>36</v>
      </c>
    </row>
    <row r="17" spans="1:4">
      <c r="A17">
        <v>13</v>
      </c>
      <c r="B17" t="s">
        <v>37</v>
      </c>
      <c r="D17">
        <v>1</v>
      </c>
    </row>
    <row r="18" spans="1:7">
      <c r="A18">
        <v>14</v>
      </c>
      <c r="B18" t="s">
        <v>38</v>
      </c>
      <c r="C18" s="10" t="s">
        <v>39</v>
      </c>
      <c r="G18" t="s">
        <v>40</v>
      </c>
    </row>
    <row r="19" spans="1:4">
      <c r="A19">
        <v>15</v>
      </c>
      <c r="B19" s="11" t="s">
        <v>41</v>
      </c>
      <c r="D19">
        <v>5</v>
      </c>
    </row>
    <row r="20" spans="1:4">
      <c r="A20">
        <v>16</v>
      </c>
      <c r="B20" t="s">
        <v>42</v>
      </c>
      <c r="D20">
        <v>10</v>
      </c>
    </row>
    <row r="21" spans="1:3">
      <c r="A21">
        <v>17</v>
      </c>
      <c r="B21" t="s">
        <v>43</v>
      </c>
      <c r="C21" t="s">
        <v>44</v>
      </c>
    </row>
    <row r="22" spans="1:4">
      <c r="A22">
        <v>18</v>
      </c>
      <c r="B22" t="s">
        <v>45</v>
      </c>
      <c r="D22">
        <f>7*24*60*60</f>
        <v>604800</v>
      </c>
    </row>
    <row r="23" spans="1:3">
      <c r="A23">
        <v>19</v>
      </c>
      <c r="B23" t="s">
        <v>46</v>
      </c>
      <c r="C23" t="s">
        <v>47</v>
      </c>
    </row>
    <row r="24" spans="1:4">
      <c r="A24">
        <v>20</v>
      </c>
      <c r="B24" t="s">
        <v>48</v>
      </c>
      <c r="D24">
        <v>10</v>
      </c>
    </row>
    <row r="25" spans="1:7">
      <c r="A25">
        <v>21</v>
      </c>
      <c r="B25" t="s">
        <v>49</v>
      </c>
      <c r="C25" t="s">
        <v>50</v>
      </c>
      <c r="G25" t="s">
        <v>51</v>
      </c>
    </row>
    <row r="26" spans="1:7">
      <c r="A26">
        <v>22</v>
      </c>
      <c r="B26" t="s">
        <v>52</v>
      </c>
      <c r="C26" t="s">
        <v>53</v>
      </c>
      <c r="G26" t="s">
        <v>54</v>
      </c>
    </row>
    <row r="27" spans="1:4">
      <c r="A27">
        <v>23</v>
      </c>
      <c r="B27" t="s">
        <v>55</v>
      </c>
      <c r="D27">
        <v>10000</v>
      </c>
    </row>
    <row r="28" spans="1:4">
      <c r="A28">
        <v>24</v>
      </c>
      <c r="B28" t="s">
        <v>56</v>
      </c>
      <c r="D28">
        <v>100</v>
      </c>
    </row>
    <row r="29" customFormat="1" spans="1:3">
      <c r="A29">
        <v>25</v>
      </c>
      <c r="B29" t="s">
        <v>57</v>
      </c>
      <c r="C29" t="s">
        <v>58</v>
      </c>
    </row>
    <row r="30" spans="1:4">
      <c r="A30">
        <v>26</v>
      </c>
      <c r="B30" t="s">
        <v>59</v>
      </c>
      <c r="C30" s="12"/>
      <c r="D30">
        <v>100</v>
      </c>
    </row>
    <row r="31" spans="1:7">
      <c r="A31">
        <v>27</v>
      </c>
      <c r="B31" t="s">
        <v>60</v>
      </c>
      <c r="D31">
        <v>9900</v>
      </c>
      <c r="G31" t="s">
        <v>61</v>
      </c>
    </row>
    <row r="32" spans="1:3">
      <c r="A32">
        <v>28</v>
      </c>
      <c r="B32" t="s">
        <v>62</v>
      </c>
      <c r="C32" t="s">
        <v>63</v>
      </c>
    </row>
    <row r="33" spans="1:4">
      <c r="A33">
        <v>29</v>
      </c>
      <c r="B33" t="s">
        <v>64</v>
      </c>
      <c r="D33">
        <v>6</v>
      </c>
    </row>
    <row r="34" customFormat="1" spans="1:3">
      <c r="A34" s="13">
        <v>30</v>
      </c>
      <c r="B34" s="13" t="s">
        <v>65</v>
      </c>
      <c r="C34" t="s">
        <v>66</v>
      </c>
    </row>
    <row r="35" s="1" customFormat="1" spans="1:13">
      <c r="A35" s="14">
        <v>31</v>
      </c>
      <c r="B35" s="14" t="s">
        <v>67</v>
      </c>
      <c r="E35" s="1">
        <v>1000000000</v>
      </c>
      <c r="G35" s="1" t="s">
        <v>68</v>
      </c>
      <c r="H35" s="1">
        <v>718000</v>
      </c>
      <c r="I35" s="1" t="s">
        <v>69</v>
      </c>
      <c r="J35" s="1">
        <v>30</v>
      </c>
      <c r="K35" s="1" t="s">
        <v>70</v>
      </c>
      <c r="L35" s="1">
        <f>J35*24*60*60*1000</f>
        <v>2592000000</v>
      </c>
      <c r="M35" s="1" t="s">
        <v>71</v>
      </c>
    </row>
    <row r="36" spans="1:3">
      <c r="A36" s="13">
        <v>32</v>
      </c>
      <c r="B36" s="13" t="s">
        <v>72</v>
      </c>
      <c r="C36" t="s">
        <v>73</v>
      </c>
    </row>
    <row r="37" spans="1:3">
      <c r="A37" s="13">
        <v>33</v>
      </c>
      <c r="B37" s="13" t="s">
        <v>74</v>
      </c>
      <c r="C37" t="s">
        <v>75</v>
      </c>
    </row>
    <row r="38" s="1" customFormat="1" spans="1:8">
      <c r="A38" s="14">
        <v>34</v>
      </c>
      <c r="B38" s="14" t="s">
        <v>76</v>
      </c>
      <c r="C38" s="1" t="s">
        <v>77</v>
      </c>
      <c r="G38" s="1" t="s">
        <v>78</v>
      </c>
      <c r="H38" s="1">
        <f>VALUE(MID(C38,FIND("_",C38)+1,4))</f>
        <v>90</v>
      </c>
    </row>
    <row r="39" spans="1:23">
      <c r="A39" s="13">
        <v>35</v>
      </c>
      <c r="B39" s="13" t="s">
        <v>79</v>
      </c>
      <c r="C39" t="str">
        <f>_xlfn.TEXTJOIN("|",TRUE,S39:W39)</f>
        <v>3101760_1000|2584800_1000|2067840_1000|1550880_1000|1033920_1000</v>
      </c>
      <c r="G39" t="s">
        <v>80</v>
      </c>
      <c r="H39">
        <f>ROUND(L35/(E35*H38/100/H35),0)</f>
        <v>2067840</v>
      </c>
      <c r="I39" t="s">
        <v>71</v>
      </c>
      <c r="J39" t="s">
        <v>81</v>
      </c>
      <c r="K39" s="16" t="s">
        <v>82</v>
      </c>
      <c r="L39" s="16">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row r="40" spans="1:4">
      <c r="A40" s="15">
        <v>40</v>
      </c>
      <c r="B40" s="15" t="s">
        <v>84</v>
      </c>
      <c r="D40">
        <v>50</v>
      </c>
    </row>
    <row r="41" spans="1:4">
      <c r="A41" s="15">
        <v>41</v>
      </c>
      <c r="B41" s="15" t="s">
        <v>85</v>
      </c>
      <c r="D41">
        <v>200</v>
      </c>
    </row>
    <row r="42" spans="1:4">
      <c r="A42" s="15">
        <v>42</v>
      </c>
      <c r="B42" s="15" t="s">
        <v>86</v>
      </c>
      <c r="D42">
        <v>2000</v>
      </c>
    </row>
    <row r="43" spans="1:4">
      <c r="A43" s="15">
        <v>43</v>
      </c>
      <c r="B43" s="15" t="s">
        <v>87</v>
      </c>
      <c r="D43">
        <v>10</v>
      </c>
    </row>
  </sheetData>
  <pageMargins left="0.7" right="0.7" top="0.75" bottom="0.75" header="0.3" footer="0.3"/>
  <pageSetup paperSize="9" orientation="portrait"/>
  <headerFooter/>
  <legacyDrawing r:id="rId2"/>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vt:i4>
      </vt:variant>
    </vt:vector>
  </HeadingPairs>
  <TitlesOfParts>
    <vt:vector size="1" baseType="lpstr">
      <vt:lpstr>globalConfig</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ひかり</cp:lastModifiedBy>
  <dcterms:created xsi:type="dcterms:W3CDTF">2015-06-05T18:19:00Z</dcterms:created>
  <dcterms:modified xsi:type="dcterms:W3CDTF">2025-10-14T07:36:33Z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