
<file path=[Content_Types].xml><?xml version="1.0" encoding="utf-8"?>
<Types xmlns="http://schemas.openxmlformats.org/package/2006/content-types">
  <Default Extension="vml" ContentType="application/vnd.openxmlformats-officedocument.vmlDrawing"/>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omments1.xml" ContentType="application/vnd.openxmlformats-officedocument.spreadsheetml.comment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27945" windowHeight="11925"/>
  </bookViews>
  <sheets>
    <sheet name="globalConfig"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Administrator</author>
  </authors>
  <commentList>
    <comment ref="D16" authorId="0">
      <text>
        <r>
          <rPr>
            <b/>
            <sz val="9"/>
            <rFont val="宋体"/>
            <charset val="134"/>
          </rPr>
          <t>Administrator:</t>
        </r>
        <r>
          <rPr>
            <sz val="9"/>
            <rFont val="宋体"/>
            <charset val="134"/>
          </rPr>
          <t xml:space="preserve">
赢家抽3%，再次基础上再抽3333/10000返给房主</t>
        </r>
      </text>
    </comment>
    <comment ref="G18" authorId="0">
      <text>
        <r>
          <rPr>
            <b/>
            <sz val="9"/>
            <rFont val="宋体"/>
            <charset val="134"/>
          </rPr>
          <t>Administrator:</t>
        </r>
        <r>
          <rPr>
            <sz val="9"/>
            <rFont val="宋体"/>
            <charset val="134"/>
          </rPr>
          <t xml:space="preserve">
默认头像：默认头像框：默认国旗：默认头衔：默认筹码：默认牌背：默认大厅背景
不需要时填0，不要改变分割</t>
        </r>
      </text>
    </comment>
    <comment ref="E35" authorId="0">
      <text>
        <r>
          <rPr>
            <b/>
            <sz val="9"/>
            <rFont val="宋体"/>
            <charset val="134"/>
          </rPr>
          <t>Administrator:</t>
        </r>
        <r>
          <rPr>
            <sz val="9"/>
            <rFont val="宋体"/>
            <charset val="134"/>
          </rPr>
          <t xml:space="preserve">
奖池总量
总量 ÷ 平均中奖金额 = 中奖次数
1000000000 ÷ 718000 = 1392.7577
初始天数30天</t>
        </r>
      </text>
    </comment>
    <comment ref="C37" authorId="0">
      <text>
        <r>
          <rPr>
            <b/>
            <sz val="9"/>
            <rFont val="宋体"/>
            <charset val="134"/>
          </rPr>
          <t>Administrator:</t>
        </r>
        <r>
          <rPr>
            <sz val="9"/>
            <rFont val="宋体"/>
            <charset val="134"/>
          </rPr>
          <t xml:space="preserve">
修改此比例后，需要在多语言表中(67016)修正描述数值</t>
        </r>
      </text>
    </comment>
    <comment ref="B48" authorId="0">
      <text>
        <r>
          <rPr>
            <b/>
            <sz val="9"/>
            <rFont val="宋体"/>
            <charset val="134"/>
          </rPr>
          <t>Administrator:</t>
        </r>
        <r>
          <rPr>
            <sz val="9"/>
            <rFont val="宋体"/>
            <charset val="134"/>
          </rPr>
          <t xml:space="preserve">
机器人积分增长最大值 = 参数 * 总排名（300） / 100</t>
        </r>
      </text>
    </comment>
    <comment ref="C50" authorId="0">
      <text>
        <r>
          <rPr>
            <b/>
            <sz val="9"/>
            <rFont val="宋体"/>
            <charset val="134"/>
          </rPr>
          <t>Administrator:</t>
        </r>
        <r>
          <rPr>
            <sz val="9"/>
            <rFont val="宋体"/>
            <charset val="134"/>
          </rPr>
          <t xml:space="preserve">
为空时表示不开此活动</t>
        </r>
      </text>
    </comment>
    <comment ref="B51" authorId="0">
      <text>
        <r>
          <rPr>
            <b/>
            <sz val="9"/>
            <rFont val="宋体"/>
            <charset val="134"/>
          </rPr>
          <t>Administrator:</t>
        </r>
        <r>
          <rPr>
            <sz val="9"/>
            <rFont val="宋体"/>
            <charset val="134"/>
          </rPr>
          <t xml:space="preserve">
废弃</t>
        </r>
      </text>
    </comment>
    <comment ref="D52" authorId="0">
      <text>
        <r>
          <rPr>
            <b/>
            <sz val="9"/>
            <rFont val="宋体"/>
            <charset val="134"/>
          </rPr>
          <t>Administrator:</t>
        </r>
        <r>
          <rPr>
            <sz val="9"/>
            <rFont val="宋体"/>
            <charset val="134"/>
          </rPr>
          <t xml:space="preserve">
值为0表示不返利
</t>
        </r>
      </text>
    </comment>
    <comment ref="D53" authorId="0">
      <text>
        <r>
          <rPr>
            <b/>
            <sz val="9"/>
            <rFont val="宋体"/>
            <charset val="134"/>
          </rPr>
          <t>Administrator:</t>
        </r>
        <r>
          <rPr>
            <sz val="9"/>
            <rFont val="宋体"/>
            <charset val="134"/>
          </rPr>
          <t xml:space="preserve">
值为0表示不返利
</t>
        </r>
      </text>
    </comment>
    <comment ref="D54" authorId="0">
      <text>
        <r>
          <rPr>
            <b/>
            <sz val="9"/>
            <rFont val="宋体"/>
            <charset val="134"/>
          </rPr>
          <t>Administrator:</t>
        </r>
        <r>
          <rPr>
            <sz val="9"/>
            <rFont val="宋体"/>
            <charset val="134"/>
          </rPr>
          <t xml:space="preserve">
值为0表示不返利
</t>
        </r>
      </text>
    </comment>
    <comment ref="C56" authorId="0">
      <text>
        <r>
          <rPr>
            <b/>
            <sz val="9"/>
            <rFont val="宋体"/>
            <charset val="134"/>
          </rPr>
          <t>Administrator:</t>
        </r>
        <r>
          <rPr>
            <sz val="9"/>
            <rFont val="宋体"/>
            <charset val="134"/>
          </rPr>
          <t xml:space="preserve">
配置几月几号领取，就在当天可领取奖励</t>
        </r>
      </text>
    </comment>
    <comment ref="C65" authorId="0">
      <text>
        <r>
          <rPr>
            <b/>
            <sz val="9"/>
            <rFont val="宋体"/>
            <charset val="134"/>
          </rPr>
          <t xml:space="preserve">Administrator:
</t>
        </r>
        <r>
          <rPr>
            <sz val="9"/>
            <rFont val="宋体"/>
            <charset val="134"/>
          </rPr>
          <t>游戏大类_有效的游戏ID范围|……
1_-1|2_201000_200100|3_300400
【游戏大类】
1:slot类型游戏
2:押注类游戏
3:对战类游戏
【有效的游戏ID】
Warehouse表中的gameID
-1:此类型的所有游戏
100100：金矿大亨
……</t>
        </r>
      </text>
    </comment>
  </commentList>
</comments>
</file>

<file path=xl/sharedStrings.xml><?xml version="1.0" encoding="utf-8"?>
<sst xmlns="http://schemas.openxmlformats.org/spreadsheetml/2006/main" count="149" uniqueCount="142">
  <si>
    <t>sid</t>
  </si>
  <si>
    <t>值</t>
  </si>
  <si>
    <t>整形</t>
  </si>
  <si>
    <t>长整型</t>
  </si>
  <si>
    <t>布尔值</t>
  </si>
  <si>
    <t>备注</t>
  </si>
  <si>
    <t>int</t>
  </si>
  <si>
    <t>String</t>
  </si>
  <si>
    <t>long</t>
  </si>
  <si>
    <t>bool</t>
  </si>
  <si>
    <t>id</t>
  </si>
  <si>
    <t>value</t>
  </si>
  <si>
    <t>intValue</t>
  </si>
  <si>
    <t>longValue</t>
  </si>
  <si>
    <t>boolValue</t>
  </si>
  <si>
    <t>玩家最大等级</t>
  </si>
  <si>
    <t>基础经验倍率</t>
  </si>
  <si>
    <t>万分比</t>
  </si>
  <si>
    <t>基础流水倍率（打码量）</t>
  </si>
  <si>
    <t>商店价格显示转换</t>
  </si>
  <si>
    <t>表中值除以此值</t>
  </si>
  <si>
    <t>百家乐允许显示最多的房间数量</t>
  </si>
  <si>
    <t>优先显示最近创建的房间</t>
  </si>
  <si>
    <t>sweet win</t>
  </si>
  <si>
    <t>5,10</t>
  </si>
  <si>
    <t>slot中奖倍数大于押注倍数后触发大奖表现。此配置下限 &gt;= 【中奖金额 ÷ baseRoom表_单线押分 ÷ baseRoom表_押分系数】 &gt; 此配置范围时，展示表现</t>
  </si>
  <si>
    <t>big win</t>
  </si>
  <si>
    <t>10,20</t>
  </si>
  <si>
    <t>mega win</t>
  </si>
  <si>
    <t>20,30</t>
  </si>
  <si>
    <t>epic win</t>
  </si>
  <si>
    <t>30,50</t>
  </si>
  <si>
    <t>legendary win</t>
  </si>
  <si>
    <t>50,9999999</t>
  </si>
  <si>
    <t>押注桌面展示的筹码数量上限</t>
  </si>
  <si>
    <t>创建房间功能基础收益万分比</t>
  </si>
  <si>
    <t>每局结束从赢方获得的奖金中扣除此比例金额提供给创建房间的玩家</t>
  </si>
  <si>
    <t>创建房间-【邀请码每日0点重置后获得次数】</t>
  </si>
  <si>
    <t>默认装扮</t>
  </si>
  <si>
    <t>1:1001:2023:0:4001:5001:6001</t>
  </si>
  <si>
    <t>avatar表的ID</t>
  </si>
  <si>
    <t>牌局开启后需要的等待时间（分钟）</t>
  </si>
  <si>
    <t>最多连续坐庄次数</t>
  </si>
  <si>
    <t>我的赌场清除CD价值，每X秒需要Y钻石（道具ID_道具数量_单位时间秒）</t>
  </si>
  <si>
    <t>1980000_500_60</t>
  </si>
  <si>
    <t>钻石和金币等价，30000金币等于1$，设1分钟=0.02$=0.14￥=0.02*30000=600</t>
  </si>
  <si>
    <t>默认邮件有效期（秒）</t>
  </si>
  <si>
    <t>我的赌场购买一键领取的消耗（道具ID_道具数量_持续时间分钟）</t>
  </si>
  <si>
    <t>1980000_3000_1440</t>
  </si>
  <si>
    <t>钻石和金币等价，30000金币等于1$，设1分钟=0.001$=0.007￥=1*0.001*30000=30</t>
  </si>
  <si>
    <t>收藏游戏数量上限</t>
  </si>
  <si>
    <t>摇钱树活动增长金额</t>
  </si>
  <si>
    <t>0_12_5000_10000|12_24_5000_10000</t>
  </si>
  <si>
    <t>开始时间/时_结束时间/时（左闭右开）_每次增长值_每次增长下限|</t>
  </si>
  <si>
    <t>摇钱树活动增加频率</t>
  </si>
  <si>
    <t>2_1000</t>
  </si>
  <si>
    <t>增长间隔（秒）_增长触发概率万分比</t>
  </si>
  <si>
    <t>摇钱树活动当前奖金累计进入下一期的万分比比例</t>
  </si>
  <si>
    <t>摇钱树活动当玩家产生有效打码量的金额万分比进入奖池</t>
  </si>
  <si>
    <t>摇钱树活动每日免费获得一个祈福卡道具（重置时间跟随系统）</t>
  </si>
  <si>
    <t>1022501_1</t>
  </si>
  <si>
    <t>储钱罐：每次下注金币的万分比飞入储钱罐</t>
  </si>
  <si>
    <t>创建房间-房间销毁时房主获得实际准备金的万分比</t>
  </si>
  <si>
    <t>不得超过10000</t>
  </si>
  <si>
    <t>刮刮奖活动每次消耗道具数量</t>
  </si>
  <si>
    <t>1022502_1</t>
  </si>
  <si>
    <t>幸运夺宝能配置商品数量上限</t>
  </si>
  <si>
    <t>官方派奖每个转盘需求积分：初、中、高(字段废弃，配置移到ActivityConfig.xlsx)</t>
  </si>
  <si>
    <t>10_200_5000</t>
  </si>
  <si>
    <t>官方派奖转盘奖池金币数量（废弃，在活动配置表中配置）</t>
  </si>
  <si>
    <t>从OfficialAwards表中取平均中奖金额</t>
  </si>
  <si>
    <t>活动时间</t>
  </si>
  <si>
    <t>天</t>
  </si>
  <si>
    <t>毫秒</t>
  </si>
  <si>
    <t>官方派奖：有效下注转换积分比例 ：有效下注 = X积分(字段废弃)</t>
  </si>
  <si>
    <t>100000_1</t>
  </si>
  <si>
    <t>官方派奖：充值转换积分比例 ：充值金额（290,000 越南盾 = 1 积分 )</t>
  </si>
  <si>
    <t>1_1</t>
  </si>
  <si>
    <t>官方派奖：转盘1次数_转盘2次数_转盘3次数（真人抽奖后机器人跟着的抽奖次数，填10，表示玩家抽1次，机器人抽10次）</t>
  </si>
  <si>
    <t>1_1_1</t>
  </si>
  <si>
    <t>机器人奖池比例</t>
  </si>
  <si>
    <t>官方派奖：机器人中奖间隔（毫秒_权重|毫秒_权重）</t>
  </si>
  <si>
    <t>3360_1000|2800_1000|2240_1000|1680_1000|1120_1000</t>
  </si>
  <si>
    <t>平均中奖间隔</t>
  </si>
  <si>
    <t>共5档</t>
  </si>
  <si>
    <t>每档偏移</t>
  </si>
  <si>
    <t>每档时间</t>
  </si>
  <si>
    <t>积分大奖： 转盘每次消耗积分数</t>
  </si>
  <si>
    <t>积分大奖：上榜的最低积分要求(日榜、周榜ID110 ，月榜ID42)</t>
  </si>
  <si>
    <t>积分大奖：月总榜-上榜的最低积分要求</t>
  </si>
  <si>
    <t>积分大奖：每日转盘默认初始次数上限</t>
  </si>
  <si>
    <t>积分大奖：充值多少金额给一次转盘次数</t>
  </si>
  <si>
    <t>积分大奖：积分保底奖励（积分数量_奖励道具ID_奖励道具数量）</t>
  </si>
  <si>
    <t>300_1990000_2170|600_1990000_4300|1200_1990000_8600|3600_1990000_17300|10800_1990000_26000|32400_1990000_34000</t>
  </si>
  <si>
    <t>VIP充值：充值金额与经验转换比例(充值金额_获得vip经验，最低支持0.01_1，美元)</t>
  </si>
  <si>
    <t>1_30000</t>
  </si>
  <si>
    <t>积分大奖：实物奖励兑换码过期时间（天）</t>
  </si>
  <si>
    <t>目标积分</t>
  </si>
  <si>
    <t>积分大奖：占用榜单的机器人条件，触发的倒计时，单位秒【倒计时下限_倒计时上限_最小增长积分_前X名用机器人占榜】</t>
  </si>
  <si>
    <t>600_1200_105_30</t>
  </si>
  <si>
    <t>目标积分 / （24*60/时间间隔分）*100/(总排名/MAX(1,(当前名次*(当前名次-1)))+总排名/当前名次) =增长积分</t>
  </si>
  <si>
    <t>名次</t>
  </si>
  <si>
    <t>积分大奖: 【日榜排行榜显示人数_周榜排行榜显示人数_月榜排行榜显示人数】</t>
  </si>
  <si>
    <t>300_50_10</t>
  </si>
  <si>
    <t>间隔</t>
  </si>
  <si>
    <t>新手奖励</t>
  </si>
  <si>
    <t>1990000_21400</t>
  </si>
  <si>
    <t>手机短信区号（印度、巴基斯坦、菲律宾、巴西、尼日利亚）废弃</t>
  </si>
  <si>
    <t>‌91_92_63_55_234</t>
  </si>
  <si>
    <t>VIP充值返利给金币时的金币数量，金币数量 = 返利金额 * 此值</t>
  </si>
  <si>
    <t>推广分享给金币时的金币数量，金币数量 = 返利金额 * 此值</t>
  </si>
  <si>
    <t>VIP充值返利给钻石时的钻石数量，钻石数量 = 返利金额 * 此值</t>
  </si>
  <si>
    <t>幸运夺宝开奖时间(秒)</t>
  </si>
  <si>
    <t>VIP季度奖励领取时间(月份1日期1_月份2日期2_月份3日期3_月份4日期4)</t>
  </si>
  <si>
    <t>0331_0630_0930_1231</t>
  </si>
  <si>
    <t>推广分享链接及宣传图</t>
  </si>
  <si>
    <t>https://aws-s3-jjg-asset-bucket.s3.ap-southeast-1.amazonaws.com/tanchuang_res/english/tc_sc_1.png</t>
  </si>
  <si>
    <t>隐私政策链接</t>
  </si>
  <si>
    <t>https://chat.kinghush.com/privacy.html</t>
  </si>
  <si>
    <t>推广分享：分享1人得固定奖励</t>
  </si>
  <si>
    <t>1990000_42000</t>
  </si>
  <si>
    <t>推广分享：二维码图片配置(该资源放在资源服务器实时下载显示的)</t>
  </si>
  <si>
    <t>ShareQRCode/QR_Code001.png</t>
  </si>
  <si>
    <t>推广分享：周榜上榜条件设置(收益数量)</t>
  </si>
  <si>
    <t>1990000_750000</t>
  </si>
  <si>
    <t>推广分享：有效用户达标条件（有效下注累计_数值|累计充值_数值）</t>
  </si>
  <si>
    <t>AND(totalValidBets(4200000),totalRecharge(10,0))</t>
  </si>
  <si>
    <t>财富轮盘：昨日输的金币兑换为积分的比例（昨日所输金币_获得积分）</t>
  </si>
  <si>
    <t>125_1</t>
  </si>
  <si>
    <t>财富轮盘：每次抽奖所消耗的积分</t>
  </si>
  <si>
    <t>财富轮盘：指定游戏内的打码才可以转为积分，填游戏范围</t>
  </si>
  <si>
    <t>1_-1</t>
  </si>
  <si>
    <t>买一送七：限购时间，单位秒，活动开始后到此倒计时结束之间才能付费参与活动</t>
  </si>
  <si>
    <t>摇钱树奖池保底：当摇钱树奖池金额低于此值时，始终不中奖</t>
  </si>
  <si>
    <t>货币文本符号，服务器发个前端放在货币数值前面</t>
  </si>
  <si>
    <t>$</t>
  </si>
  <si>
    <t>幸运夺宝：商品价值货币的图标</t>
  </si>
  <si>
    <t>jinbi_11.png</t>
  </si>
  <si>
    <t>幸运夺宝：抢购商品所需要的道具ID(仅在界面左上角处显示的抢购消耗道具的信息)</t>
  </si>
  <si>
    <t>积分大奖：上榜的最低积分要求(周榜)</t>
  </si>
  <si>
    <t>机器人最低准入倍数放大基数：用于选择机器人的携带金额，机器人携带金额= 游戏最小准入金额× 此倍数</t>
  </si>
  <si>
    <t>创建房间-Slot游戏新增超时提出的倒计时，单位毫秒</t>
  </si>
</sst>
</file>

<file path=xl/styles.xml><?xml version="1.0" encoding="utf-8"?>
<styleSheet xmlns="http://schemas.openxmlformats.org/spreadsheetml/2006/main" xmlns:mc="http://schemas.openxmlformats.org/markup-compatibility/2006" xmlns:xr9="http://schemas.microsoft.com/office/spreadsheetml/2016/revision9" mc:Ignorable="xr9">
  <numFmts count="5">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 numFmtId="176" formatCode="0_ "/>
  </numFmts>
  <fonts count="31">
    <font>
      <sz val="11"/>
      <color theme="1"/>
      <name val="等线"/>
      <charset val="134"/>
      <scheme val="minor"/>
    </font>
    <font>
      <sz val="11"/>
      <color theme="1"/>
      <name val="微软雅黑"/>
      <charset val="134"/>
    </font>
    <font>
      <sz val="11"/>
      <color theme="0" tint="-0.249977111117893"/>
      <name val="微软雅黑"/>
      <charset val="134"/>
    </font>
    <font>
      <sz val="11"/>
      <name val="微软雅黑"/>
      <charset val="134"/>
    </font>
    <font>
      <sz val="10"/>
      <color theme="1"/>
      <name val="微软雅黑"/>
      <charset val="134"/>
    </font>
    <font>
      <b/>
      <sz val="11"/>
      <color rgb="FFFF0000"/>
      <name val="微软雅黑"/>
      <charset val="134"/>
    </font>
    <font>
      <sz val="11"/>
      <color rgb="FFFF0000"/>
      <name val="微软雅黑"/>
      <charset val="134"/>
    </font>
    <font>
      <b/>
      <sz val="11"/>
      <color theme="2"/>
      <name val="微软雅黑"/>
      <charset val="134"/>
    </font>
    <font>
      <sz val="11"/>
      <color theme="0" tint="-0.249977111117893"/>
      <name val="Times New Roman"/>
      <charset val="134"/>
    </font>
    <font>
      <sz val="10.5"/>
      <color theme="0" tint="-0.249977111117893"/>
      <name val="Arial"/>
      <charset val="134"/>
    </font>
    <font>
      <u/>
      <sz val="11"/>
      <color rgb="FF0000FF"/>
      <name val="等线"/>
      <charset val="134"/>
      <scheme val="minor"/>
    </font>
    <font>
      <u/>
      <sz val="11"/>
      <color rgb="FF800080"/>
      <name val="等线"/>
      <charset val="0"/>
      <scheme val="minor"/>
    </font>
    <font>
      <sz val="11"/>
      <color rgb="FFFF0000"/>
      <name val="等线"/>
      <charset val="0"/>
      <scheme val="minor"/>
    </font>
    <font>
      <b/>
      <sz val="18"/>
      <color theme="3"/>
      <name val="等线"/>
      <charset val="134"/>
      <scheme val="minor"/>
    </font>
    <font>
      <i/>
      <sz val="11"/>
      <color rgb="FF7F7F7F"/>
      <name val="等线"/>
      <charset val="0"/>
      <scheme val="minor"/>
    </font>
    <font>
      <b/>
      <sz val="15"/>
      <color theme="3"/>
      <name val="等线"/>
      <charset val="134"/>
      <scheme val="minor"/>
    </font>
    <font>
      <b/>
      <sz val="13"/>
      <color theme="3"/>
      <name val="等线"/>
      <charset val="134"/>
      <scheme val="minor"/>
    </font>
    <font>
      <b/>
      <sz val="11"/>
      <color theme="3"/>
      <name val="等线"/>
      <charset val="134"/>
      <scheme val="minor"/>
    </font>
    <font>
      <sz val="11"/>
      <color rgb="FF3F3F76"/>
      <name val="等线"/>
      <charset val="0"/>
      <scheme val="minor"/>
    </font>
    <font>
      <b/>
      <sz val="11"/>
      <color rgb="FF3F3F3F"/>
      <name val="等线"/>
      <charset val="0"/>
      <scheme val="minor"/>
    </font>
    <font>
      <b/>
      <sz val="11"/>
      <color rgb="FFFA7D00"/>
      <name val="等线"/>
      <charset val="0"/>
      <scheme val="minor"/>
    </font>
    <font>
      <b/>
      <sz val="11"/>
      <color rgb="FFFFFFFF"/>
      <name val="等线"/>
      <charset val="0"/>
      <scheme val="minor"/>
    </font>
    <font>
      <sz val="11"/>
      <color rgb="FFFA7D00"/>
      <name val="等线"/>
      <charset val="0"/>
      <scheme val="minor"/>
    </font>
    <font>
      <b/>
      <sz val="11"/>
      <color theme="1"/>
      <name val="等线"/>
      <charset val="0"/>
      <scheme val="minor"/>
    </font>
    <font>
      <sz val="11"/>
      <color rgb="FF006100"/>
      <name val="等线"/>
      <charset val="0"/>
      <scheme val="minor"/>
    </font>
    <font>
      <sz val="11"/>
      <color rgb="FF9C0006"/>
      <name val="等线"/>
      <charset val="0"/>
      <scheme val="minor"/>
    </font>
    <font>
      <sz val="11"/>
      <color rgb="FF9C6500"/>
      <name val="等线"/>
      <charset val="0"/>
      <scheme val="minor"/>
    </font>
    <font>
      <sz val="11"/>
      <color theme="0"/>
      <name val="等线"/>
      <charset val="0"/>
      <scheme val="minor"/>
    </font>
    <font>
      <sz val="11"/>
      <color theme="1"/>
      <name val="等线"/>
      <charset val="0"/>
      <scheme val="minor"/>
    </font>
    <font>
      <b/>
      <sz val="9"/>
      <name val="宋体"/>
      <charset val="134"/>
    </font>
    <font>
      <sz val="9"/>
      <name val="宋体"/>
      <charset val="134"/>
    </font>
  </fonts>
  <fills count="38">
    <fill>
      <patternFill patternType="none"/>
    </fill>
    <fill>
      <patternFill patternType="gray125"/>
    </fill>
    <fill>
      <patternFill patternType="solid">
        <fgColor theme="9" tint="0.8"/>
        <bgColor indexed="64"/>
      </patternFill>
    </fill>
    <fill>
      <patternFill patternType="solid">
        <fgColor theme="8" tint="0.8"/>
        <bgColor indexed="64"/>
      </patternFill>
    </fill>
    <fill>
      <patternFill patternType="solid">
        <fgColor theme="5" tint="0.4"/>
        <bgColor indexed="64"/>
      </patternFill>
    </fill>
    <fill>
      <patternFill patternType="solid">
        <fgColor theme="7" tint="0.4"/>
        <bgColor indexed="64"/>
      </patternFill>
    </fill>
    <fill>
      <patternFill patternType="solid">
        <fgColor theme="5" tint="0.8"/>
        <bgColor indexed="64"/>
      </patternFill>
    </fill>
    <fill>
      <patternFill patternType="solid">
        <fgColor theme="5" tint="0.799981688894314"/>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0">
    <border>
      <left/>
      <right/>
      <top/>
      <bottom/>
      <diagonal/>
    </border>
    <border>
      <left style="thin">
        <color rgb="FFDEE0E3"/>
      </left>
      <right style="thin">
        <color rgb="FFDEE0E3"/>
      </right>
      <top style="thin">
        <color rgb="FFDEE0E3"/>
      </top>
      <bottom style="thin">
        <color rgb="FFDEE0E3"/>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xf numFmtId="43" fontId="0" fillId="0" borderId="0" applyFont="0" applyFill="0" applyBorder="0" applyAlignment="0" applyProtection="0">
      <alignment vertical="center"/>
    </xf>
    <xf numFmtId="44" fontId="0" fillId="0" borderId="0" applyFont="0" applyFill="0" applyBorder="0" applyAlignment="0" applyProtection="0">
      <alignment vertical="center"/>
    </xf>
    <xf numFmtId="9" fontId="0" fillId="0" borderId="0" applyFont="0" applyFill="0" applyBorder="0" applyAlignment="0" applyProtection="0">
      <alignment vertical="center"/>
    </xf>
    <xf numFmtId="41" fontId="0" fillId="0" borderId="0" applyFont="0" applyFill="0" applyBorder="0" applyAlignment="0" applyProtection="0">
      <alignment vertical="center"/>
    </xf>
    <xf numFmtId="42" fontId="0" fillId="0" borderId="0" applyFont="0" applyFill="0" applyBorder="0" applyAlignment="0" applyProtection="0">
      <alignment vertical="center"/>
    </xf>
    <xf numFmtId="0" fontId="10" fillId="0" borderId="0" applyNumberFormat="0" applyFill="0" applyBorder="0" applyAlignment="0" applyProtection="0">
      <alignment vertical="center"/>
    </xf>
    <xf numFmtId="0" fontId="11" fillId="0" borderId="0" applyNumberFormat="0" applyFill="0" applyBorder="0" applyAlignment="0" applyProtection="0">
      <alignment vertical="center"/>
    </xf>
    <xf numFmtId="0" fontId="0" fillId="8" borderId="2" applyNumberFormat="0" applyFont="0" applyAlignment="0" applyProtection="0">
      <alignment vertical="center"/>
    </xf>
    <xf numFmtId="0" fontId="12"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5" fillId="0" borderId="3" applyNumberFormat="0" applyFill="0" applyAlignment="0" applyProtection="0">
      <alignment vertical="center"/>
    </xf>
    <xf numFmtId="0" fontId="16" fillId="0" borderId="3" applyNumberFormat="0" applyFill="0" applyAlignment="0" applyProtection="0">
      <alignment vertical="center"/>
    </xf>
    <xf numFmtId="0" fontId="17" fillId="0" borderId="4" applyNumberFormat="0" applyFill="0" applyAlignment="0" applyProtection="0">
      <alignment vertical="center"/>
    </xf>
    <xf numFmtId="0" fontId="17" fillId="0" borderId="0" applyNumberFormat="0" applyFill="0" applyBorder="0" applyAlignment="0" applyProtection="0">
      <alignment vertical="center"/>
    </xf>
    <xf numFmtId="0" fontId="18" fillId="9" borderId="5" applyNumberFormat="0" applyAlignment="0" applyProtection="0">
      <alignment vertical="center"/>
    </xf>
    <xf numFmtId="0" fontId="19" fillId="10" borderId="6" applyNumberFormat="0" applyAlignment="0" applyProtection="0">
      <alignment vertical="center"/>
    </xf>
    <xf numFmtId="0" fontId="20" fillId="10" borderId="5" applyNumberFormat="0" applyAlignment="0" applyProtection="0">
      <alignment vertical="center"/>
    </xf>
    <xf numFmtId="0" fontId="21" fillId="11" borderId="7" applyNumberFormat="0" applyAlignment="0" applyProtection="0">
      <alignment vertical="center"/>
    </xf>
    <xf numFmtId="0" fontId="22" fillId="0" borderId="8" applyNumberFormat="0" applyFill="0" applyAlignment="0" applyProtection="0">
      <alignment vertical="center"/>
    </xf>
    <xf numFmtId="0" fontId="23" fillId="0" borderId="9" applyNumberFormat="0" applyFill="0" applyAlignment="0" applyProtection="0">
      <alignment vertical="center"/>
    </xf>
    <xf numFmtId="0" fontId="24" fillId="12" borderId="0" applyNumberFormat="0" applyBorder="0" applyAlignment="0" applyProtection="0">
      <alignment vertical="center"/>
    </xf>
    <xf numFmtId="0" fontId="25" fillId="13" borderId="0" applyNumberFormat="0" applyBorder="0" applyAlignment="0" applyProtection="0">
      <alignment vertical="center"/>
    </xf>
    <xf numFmtId="0" fontId="26" fillId="14" borderId="0" applyNumberFormat="0" applyBorder="0" applyAlignment="0" applyProtection="0">
      <alignment vertical="center"/>
    </xf>
    <xf numFmtId="0" fontId="27" fillId="15" borderId="0" applyNumberFormat="0" applyBorder="0" applyAlignment="0" applyProtection="0">
      <alignment vertical="center"/>
    </xf>
    <xf numFmtId="0" fontId="28" fillId="16" borderId="0" applyNumberFormat="0" applyBorder="0" applyAlignment="0" applyProtection="0">
      <alignment vertical="center"/>
    </xf>
    <xf numFmtId="0" fontId="28" fillId="17" borderId="0" applyNumberFormat="0" applyBorder="0" applyAlignment="0" applyProtection="0">
      <alignment vertical="center"/>
    </xf>
    <xf numFmtId="0" fontId="27" fillId="18" borderId="0" applyNumberFormat="0" applyBorder="0" applyAlignment="0" applyProtection="0">
      <alignment vertical="center"/>
    </xf>
    <xf numFmtId="0" fontId="27" fillId="19" borderId="0" applyNumberFormat="0" applyBorder="0" applyAlignment="0" applyProtection="0">
      <alignment vertical="center"/>
    </xf>
    <xf numFmtId="0" fontId="28" fillId="7" borderId="0" applyNumberFormat="0" applyBorder="0" applyAlignment="0" applyProtection="0">
      <alignment vertical="center"/>
    </xf>
    <xf numFmtId="0" fontId="28" fillId="20" borderId="0" applyNumberFormat="0" applyBorder="0" applyAlignment="0" applyProtection="0">
      <alignment vertical="center"/>
    </xf>
    <xf numFmtId="0" fontId="27" fillId="21" borderId="0" applyNumberFormat="0" applyBorder="0" applyAlignment="0" applyProtection="0">
      <alignment vertical="center"/>
    </xf>
    <xf numFmtId="0" fontId="27" fillId="22" borderId="0" applyNumberFormat="0" applyBorder="0" applyAlignment="0" applyProtection="0">
      <alignment vertical="center"/>
    </xf>
    <xf numFmtId="0" fontId="28" fillId="23" borderId="0" applyNumberFormat="0" applyBorder="0" applyAlignment="0" applyProtection="0">
      <alignment vertical="center"/>
    </xf>
    <xf numFmtId="0" fontId="28" fillId="24" borderId="0" applyNumberFormat="0" applyBorder="0" applyAlignment="0" applyProtection="0">
      <alignment vertical="center"/>
    </xf>
    <xf numFmtId="0" fontId="27" fillId="25" borderId="0" applyNumberFormat="0" applyBorder="0" applyAlignment="0" applyProtection="0">
      <alignment vertical="center"/>
    </xf>
    <xf numFmtId="0" fontId="27" fillId="26" borderId="0" applyNumberFormat="0" applyBorder="0" applyAlignment="0" applyProtection="0">
      <alignment vertical="center"/>
    </xf>
    <xf numFmtId="0" fontId="28" fillId="27" borderId="0" applyNumberFormat="0" applyBorder="0" applyAlignment="0" applyProtection="0">
      <alignment vertical="center"/>
    </xf>
    <xf numFmtId="0" fontId="28" fillId="28" borderId="0" applyNumberFormat="0" applyBorder="0" applyAlignment="0" applyProtection="0">
      <alignment vertical="center"/>
    </xf>
    <xf numFmtId="0" fontId="27" fillId="29" borderId="0" applyNumberFormat="0" applyBorder="0" applyAlignment="0" applyProtection="0">
      <alignment vertical="center"/>
    </xf>
    <xf numFmtId="0" fontId="27" fillId="30" borderId="0" applyNumberFormat="0" applyBorder="0" applyAlignment="0" applyProtection="0">
      <alignment vertical="center"/>
    </xf>
    <xf numFmtId="0" fontId="28" fillId="31" borderId="0" applyNumberFormat="0" applyBorder="0" applyAlignment="0" applyProtection="0">
      <alignment vertical="center"/>
    </xf>
    <xf numFmtId="0" fontId="28" fillId="32" borderId="0" applyNumberFormat="0" applyBorder="0" applyAlignment="0" applyProtection="0">
      <alignment vertical="center"/>
    </xf>
    <xf numFmtId="0" fontId="27" fillId="33" borderId="0" applyNumberFormat="0" applyBorder="0" applyAlignment="0" applyProtection="0">
      <alignment vertical="center"/>
    </xf>
    <xf numFmtId="0" fontId="27" fillId="34" borderId="0" applyNumberFormat="0" applyBorder="0" applyAlignment="0" applyProtection="0">
      <alignment vertical="center"/>
    </xf>
    <xf numFmtId="0" fontId="28" fillId="35" borderId="0" applyNumberFormat="0" applyBorder="0" applyAlignment="0" applyProtection="0">
      <alignment vertical="center"/>
    </xf>
    <xf numFmtId="0" fontId="28" fillId="36" borderId="0" applyNumberFormat="0" applyBorder="0" applyAlignment="0" applyProtection="0">
      <alignment vertical="center"/>
    </xf>
    <xf numFmtId="0" fontId="27" fillId="37" borderId="0" applyNumberFormat="0" applyBorder="0" applyAlignment="0" applyProtection="0">
      <alignment vertical="center"/>
    </xf>
  </cellStyleXfs>
  <cellXfs count="38">
    <xf numFmtId="0" fontId="0" fillId="0" borderId="0" xfId="0"/>
    <xf numFmtId="0" fontId="1" fillId="2" borderId="0" xfId="0" applyFont="1" applyFill="1"/>
    <xf numFmtId="0" fontId="2" fillId="0" borderId="0" xfId="0" applyFont="1"/>
    <xf numFmtId="0" fontId="3" fillId="0" borderId="0" xfId="0" applyFont="1"/>
    <xf numFmtId="0" fontId="1" fillId="3" borderId="0" xfId="0" applyFont="1" applyFill="1"/>
    <xf numFmtId="0" fontId="1" fillId="4" borderId="0" xfId="0" applyFont="1" applyFill="1"/>
    <xf numFmtId="0" fontId="1" fillId="5" borderId="0" xfId="0" applyFont="1" applyFill="1"/>
    <xf numFmtId="0" fontId="1" fillId="6" borderId="0" xfId="0" applyFont="1" applyFill="1"/>
    <xf numFmtId="0" fontId="1" fillId="0" borderId="0" xfId="0" applyFont="1"/>
    <xf numFmtId="0" fontId="1" fillId="0" borderId="1" xfId="0" applyFont="1" applyBorder="1" applyAlignment="1">
      <alignment horizontal="left" vertical="center"/>
    </xf>
    <xf numFmtId="0" fontId="1" fillId="0" borderId="1" xfId="0" applyFont="1" applyBorder="1" applyAlignment="1">
      <alignment vertical="center"/>
    </xf>
    <xf numFmtId="0" fontId="4" fillId="0" borderId="1" xfId="0" applyFont="1" applyBorder="1" applyAlignment="1">
      <alignment vertical="center"/>
    </xf>
    <xf numFmtId="0" fontId="1" fillId="0" borderId="0" xfId="0" applyFont="1" applyAlignment="1">
      <alignment vertical="center"/>
    </xf>
    <xf numFmtId="0" fontId="1" fillId="0" borderId="0" xfId="0" applyFont="1" applyAlignment="1">
      <alignment horizontal="left" vertical="center"/>
    </xf>
    <xf numFmtId="0" fontId="5" fillId="0" borderId="0" xfId="0" applyFont="1" applyAlignment="1">
      <alignment vertical="center"/>
    </xf>
    <xf numFmtId="3" fontId="1" fillId="0" borderId="0" xfId="0" applyNumberFormat="1" applyFont="1" applyAlignment="1">
      <alignment vertical="center"/>
    </xf>
    <xf numFmtId="20" fontId="1" fillId="0" borderId="0" xfId="0" applyNumberFormat="1" applyFont="1"/>
    <xf numFmtId="0" fontId="6" fillId="2" borderId="0" xfId="0" applyFont="1" applyFill="1"/>
    <xf numFmtId="0" fontId="1" fillId="0" borderId="0" xfId="0" applyFont="1" applyAlignment="1">
      <alignment horizontal="left"/>
    </xf>
    <xf numFmtId="0" fontId="2" fillId="7" borderId="0" xfId="0" applyFont="1" applyFill="1"/>
    <xf numFmtId="0" fontId="7" fillId="0" borderId="0" xfId="0" applyFont="1"/>
    <xf numFmtId="0" fontId="1" fillId="7" borderId="0" xfId="0" applyFont="1" applyFill="1"/>
    <xf numFmtId="0" fontId="5" fillId="6" borderId="0" xfId="0" applyFont="1" applyFill="1" applyAlignment="1"/>
    <xf numFmtId="0" fontId="3" fillId="7" borderId="0" xfId="0" applyFont="1" applyFill="1"/>
    <xf numFmtId="176" fontId="1" fillId="0" borderId="0" xfId="0" applyNumberFormat="1" applyFont="1"/>
    <xf numFmtId="9" fontId="1" fillId="0" borderId="0" xfId="0" applyNumberFormat="1" applyFont="1"/>
    <xf numFmtId="0" fontId="5" fillId="3" borderId="0" xfId="0" applyFont="1" applyFill="1"/>
    <xf numFmtId="0" fontId="5" fillId="4" borderId="0" xfId="0" applyFont="1" applyFill="1"/>
    <xf numFmtId="0" fontId="1" fillId="0" borderId="0" xfId="0" applyFont="1" applyFill="1" applyAlignment="1"/>
    <xf numFmtId="0" fontId="8" fillId="0" borderId="0" xfId="0" applyFont="1"/>
    <xf numFmtId="0" fontId="6" fillId="4" borderId="0" xfId="0" applyFont="1" applyFill="1"/>
    <xf numFmtId="0" fontId="6" fillId="5" borderId="0" xfId="0" applyFont="1" applyFill="1"/>
    <xf numFmtId="0" fontId="9" fillId="0" borderId="0" xfId="0" applyFont="1"/>
    <xf numFmtId="0" fontId="10" fillId="0" borderId="0" xfId="6" applyAlignment="1"/>
    <xf numFmtId="0" fontId="5" fillId="5" borderId="0" xfId="0" applyFont="1" applyFill="1"/>
    <xf numFmtId="0" fontId="5" fillId="6" borderId="0" xfId="0" applyFont="1" applyFill="1"/>
    <xf numFmtId="0" fontId="1" fillId="0" borderId="1" xfId="0" applyFont="1" applyBorder="1"/>
    <xf numFmtId="0" fontId="1" fillId="0" borderId="0" xfId="0" applyFont="1" applyAlignment="1">
      <alignment horizontal="right"/>
    </xf>
    <xf numFmtId="3" fontId="1" fillId="0" borderId="0" xfId="0" applyNumberFormat="1" applyFont="1" applyAlignment="1" quotePrefix="1">
      <alignment vertical="center"/>
    </xf>
    <xf numFmtId="0" fontId="1" fillId="0" borderId="0" xfId="0" applyFont="1" applyAlignment="1" quotePrefix="1">
      <alignment vertical="center"/>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4" Type="http://schemas.openxmlformats.org/officeDocument/2006/relationships/styles" Target="styles.xml"/><Relationship Id="rId3" Type="http://schemas.openxmlformats.org/officeDocument/2006/relationships/sharedStrings" Target="sharedStrings.xml"/><Relationship Id="rId2" Type="http://schemas.openxmlformats.org/officeDocument/2006/relationships/theme" Target="theme/theme1.xml"/><Relationship Id="rId1" Type="http://schemas.openxmlformats.org/officeDocument/2006/relationships/worksheet" Target="worksheets/sheet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xml version="1.0" encoding="UTF-8" standalone="yes"?>
<Relationships xmlns="http://schemas.openxmlformats.org/package/2006/relationships"><Relationship Id="rId4" Type="http://schemas.openxmlformats.org/officeDocument/2006/relationships/hyperlink" Target="https://chat.kinghush.com/privacy.html" TargetMode="External"/><Relationship Id="rId3" Type="http://schemas.openxmlformats.org/officeDocument/2006/relationships/hyperlink" Target="https://aws-s3-jjg-asset-bucket.s3.ap-southeast-1.amazonaws.com/tanchuang_res/english/tc_sc_1.png" TargetMode="External"/><Relationship Id="rId2" Type="http://schemas.openxmlformats.org/officeDocument/2006/relationships/vmlDrawing" Target="../drawings/vmlDrawing1.vml"/><Relationship Id="rId1" Type="http://schemas.openxmlformats.org/officeDocument/2006/relationships/comments" Target="../comments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W73"/>
  <sheetViews>
    <sheetView tabSelected="1" topLeftCell="B1" workbookViewId="0">
      <pane ySplit="3" topLeftCell="A36" activePane="bottomLeft" state="frozen"/>
      <selection/>
      <selection pane="bottomLeft" activeCell="D42" sqref="D42"/>
    </sheetView>
  </sheetViews>
  <sheetFormatPr defaultColWidth="9" defaultRowHeight="16.5"/>
  <cols>
    <col min="1" max="1" width="9" style="8"/>
    <col min="2" max="2" width="96.9083333333333" style="8" customWidth="1"/>
    <col min="3" max="4" width="28.375" style="8" customWidth="1"/>
    <col min="5" max="5" width="11.5" style="8" customWidth="1"/>
    <col min="6" max="6" width="9.625" style="8" customWidth="1"/>
    <col min="7" max="7" width="23.375" style="8" customWidth="1"/>
    <col min="8" max="8" width="12.75" style="8"/>
    <col min="9" max="10" width="14.125" style="8"/>
    <col min="11" max="11" width="9" style="8"/>
    <col min="12" max="12" width="12.875" style="8"/>
    <col min="13" max="13" width="9" style="8"/>
    <col min="14" max="17" width="10.375" style="8"/>
    <col min="18" max="18" width="9.25" style="8"/>
    <col min="19" max="16384" width="9" style="8"/>
  </cols>
  <sheetData>
    <row r="1" spans="1:7">
      <c r="A1" s="9" t="s">
        <v>0</v>
      </c>
      <c r="B1" s="10"/>
      <c r="C1" s="10" t="s">
        <v>1</v>
      </c>
      <c r="D1" s="10" t="s">
        <v>2</v>
      </c>
      <c r="E1" s="10" t="s">
        <v>3</v>
      </c>
      <c r="F1" s="10" t="s">
        <v>4</v>
      </c>
      <c r="G1" s="10" t="s">
        <v>5</v>
      </c>
    </row>
    <row r="2" spans="1:7">
      <c r="A2" s="11" t="s">
        <v>6</v>
      </c>
      <c r="B2" s="10"/>
      <c r="C2" s="10" t="s">
        <v>7</v>
      </c>
      <c r="D2" s="12" t="s">
        <v>6</v>
      </c>
      <c r="E2" s="8" t="s">
        <v>8</v>
      </c>
      <c r="F2" s="10" t="s">
        <v>9</v>
      </c>
      <c r="G2" s="10"/>
    </row>
    <row r="3" spans="1:7">
      <c r="A3" s="9" t="s">
        <v>10</v>
      </c>
      <c r="B3" s="10"/>
      <c r="C3" s="10" t="s">
        <v>11</v>
      </c>
      <c r="D3" s="8" t="s">
        <v>12</v>
      </c>
      <c r="E3" s="8" t="s">
        <v>13</v>
      </c>
      <c r="F3" s="8" t="s">
        <v>14</v>
      </c>
      <c r="G3" s="10"/>
    </row>
    <row r="4" spans="1:7">
      <c r="A4" s="13"/>
      <c r="B4" s="12"/>
      <c r="C4" s="12"/>
      <c r="G4" s="12"/>
    </row>
    <row r="5" spans="1:7">
      <c r="A5" s="8">
        <v>1</v>
      </c>
      <c r="B5" s="12" t="s">
        <v>15</v>
      </c>
      <c r="D5" s="12">
        <v>999</v>
      </c>
      <c r="E5" s="12"/>
      <c r="F5" s="12"/>
      <c r="G5" s="12"/>
    </row>
    <row r="6" spans="1:7">
      <c r="A6" s="8">
        <v>2</v>
      </c>
      <c r="B6" s="12" t="s">
        <v>16</v>
      </c>
      <c r="D6" s="14">
        <v>10000</v>
      </c>
      <c r="E6" s="12"/>
      <c r="F6" s="12"/>
      <c r="G6" s="12" t="s">
        <v>17</v>
      </c>
    </row>
    <row r="7" spans="1:7">
      <c r="A7" s="8">
        <v>3</v>
      </c>
      <c r="B7" s="12" t="s">
        <v>18</v>
      </c>
      <c r="D7" s="12">
        <v>10000</v>
      </c>
      <c r="E7" s="12"/>
      <c r="F7" s="12"/>
      <c r="G7" s="12" t="s">
        <v>17</v>
      </c>
    </row>
    <row r="8" spans="1:7">
      <c r="A8" s="8">
        <v>4</v>
      </c>
      <c r="B8" s="12" t="s">
        <v>19</v>
      </c>
      <c r="C8" s="12">
        <v>100</v>
      </c>
      <c r="D8" s="12"/>
      <c r="E8" s="12"/>
      <c r="F8" s="12"/>
      <c r="G8" s="12" t="s">
        <v>20</v>
      </c>
    </row>
    <row r="9" spans="1:7">
      <c r="A9" s="8">
        <v>5</v>
      </c>
      <c r="B9" s="8" t="s">
        <v>21</v>
      </c>
      <c r="C9" s="8">
        <v>4</v>
      </c>
      <c r="G9" s="8" t="s">
        <v>22</v>
      </c>
    </row>
    <row r="10" spans="1:7">
      <c r="A10" s="8">
        <v>6</v>
      </c>
      <c r="B10" s="12" t="s">
        <v>23</v>
      </c>
      <c r="C10" s="38" t="s">
        <v>24</v>
      </c>
      <c r="D10" s="15"/>
      <c r="E10" s="12"/>
      <c r="F10" s="12"/>
      <c r="G10" s="8" t="s">
        <v>25</v>
      </c>
    </row>
    <row r="11" spans="1:7">
      <c r="A11" s="8">
        <v>7</v>
      </c>
      <c r="B11" s="12" t="s">
        <v>26</v>
      </c>
      <c r="C11" s="39" t="s">
        <v>27</v>
      </c>
      <c r="D11" s="12"/>
      <c r="E11" s="12"/>
      <c r="F11" s="12"/>
      <c r="G11" s="8" t="s">
        <v>25</v>
      </c>
    </row>
    <row r="12" spans="1:7">
      <c r="A12" s="8">
        <v>8</v>
      </c>
      <c r="B12" s="12" t="s">
        <v>28</v>
      </c>
      <c r="C12" s="39" t="s">
        <v>29</v>
      </c>
      <c r="D12" s="12"/>
      <c r="E12" s="12"/>
      <c r="F12" s="12"/>
      <c r="G12" s="8" t="s">
        <v>25</v>
      </c>
    </row>
    <row r="13" spans="1:7">
      <c r="A13" s="8">
        <v>9</v>
      </c>
      <c r="B13" s="12" t="s">
        <v>30</v>
      </c>
      <c r="C13" s="39" t="s">
        <v>31</v>
      </c>
      <c r="D13" s="12"/>
      <c r="E13" s="12"/>
      <c r="F13" s="12"/>
      <c r="G13" s="8" t="s">
        <v>25</v>
      </c>
    </row>
    <row r="14" spans="1:7">
      <c r="A14" s="8">
        <v>10</v>
      </c>
      <c r="B14" s="12" t="s">
        <v>32</v>
      </c>
      <c r="C14" s="39" t="s">
        <v>33</v>
      </c>
      <c r="D14" s="12"/>
      <c r="E14" s="12"/>
      <c r="F14" s="12"/>
      <c r="G14" s="8" t="s">
        <v>25</v>
      </c>
    </row>
    <row r="15" spans="1:7">
      <c r="A15" s="8">
        <v>11</v>
      </c>
      <c r="B15" s="8" t="s">
        <v>34</v>
      </c>
      <c r="D15" s="8">
        <f>2*3*5*3</f>
        <v>90</v>
      </c>
    </row>
    <row r="16" spans="1:7">
      <c r="A16" s="8">
        <v>12</v>
      </c>
      <c r="B16" s="8" t="s">
        <v>35</v>
      </c>
      <c r="D16" s="8">
        <v>3333</v>
      </c>
      <c r="G16" s="8" t="s">
        <v>36</v>
      </c>
    </row>
    <row r="17" spans="1:12">
      <c r="A17" s="8">
        <v>13</v>
      </c>
      <c r="B17" s="8" t="s">
        <v>37</v>
      </c>
      <c r="D17" s="8">
        <v>1</v>
      </c>
    </row>
    <row r="18" spans="1:12">
      <c r="A18" s="8">
        <v>14</v>
      </c>
      <c r="B18" s="8" t="s">
        <v>38</v>
      </c>
      <c r="C18" s="16" t="s">
        <v>39</v>
      </c>
      <c r="G18" s="8" t="s">
        <v>40</v>
      </c>
    </row>
    <row r="19" spans="1:12">
      <c r="A19" s="8">
        <v>15</v>
      </c>
      <c r="B19" s="8" t="s">
        <v>41</v>
      </c>
      <c r="D19" s="8">
        <v>5</v>
      </c>
    </row>
    <row r="20" spans="1:12">
      <c r="A20" s="8">
        <v>16</v>
      </c>
      <c r="B20" s="8" t="s">
        <v>42</v>
      </c>
      <c r="D20" s="8">
        <v>10</v>
      </c>
    </row>
    <row r="21" spans="1:12">
      <c r="A21" s="8">
        <v>17</v>
      </c>
      <c r="B21" s="8" t="s">
        <v>43</v>
      </c>
      <c r="C21" s="8" t="s">
        <v>44</v>
      </c>
      <c r="G21" s="8" t="s">
        <v>45</v>
      </c>
    </row>
    <row r="22" spans="1:12">
      <c r="A22" s="8">
        <v>18</v>
      </c>
      <c r="B22" s="8" t="s">
        <v>46</v>
      </c>
      <c r="D22" s="8">
        <f>7*24*60*60</f>
        <v>604800</v>
      </c>
    </row>
    <row r="23" spans="1:12">
      <c r="A23" s="8">
        <v>19</v>
      </c>
      <c r="B23" s="8" t="s">
        <v>47</v>
      </c>
      <c r="C23" s="8" t="s">
        <v>48</v>
      </c>
      <c r="G23" s="8" t="s">
        <v>49</v>
      </c>
      <c r="L23" s="8">
        <f>60*24*30</f>
        <v>43200</v>
      </c>
    </row>
    <row r="24" spans="1:12">
      <c r="A24" s="8">
        <v>20</v>
      </c>
      <c r="B24" s="8" t="s">
        <v>50</v>
      </c>
      <c r="D24" s="8">
        <v>10</v>
      </c>
    </row>
    <row r="25" s="1" customFormat="1" spans="1:12">
      <c r="A25" s="1">
        <v>21</v>
      </c>
      <c r="B25" s="1" t="s">
        <v>51</v>
      </c>
      <c r="C25" s="17" t="s">
        <v>52</v>
      </c>
      <c r="G25" s="1" t="s">
        <v>53</v>
      </c>
    </row>
    <row r="26" s="1" customFormat="1" spans="1:12">
      <c r="A26" s="1">
        <v>22</v>
      </c>
      <c r="B26" s="1" t="s">
        <v>54</v>
      </c>
      <c r="C26" s="1" t="s">
        <v>55</v>
      </c>
      <c r="G26" s="1" t="s">
        <v>56</v>
      </c>
    </row>
    <row r="27" s="1" customFormat="1" spans="1:12">
      <c r="A27" s="1">
        <v>23</v>
      </c>
      <c r="B27" s="1" t="s">
        <v>57</v>
      </c>
      <c r="D27" s="1">
        <v>10000</v>
      </c>
    </row>
    <row r="28" s="1" customFormat="1" spans="1:12">
      <c r="A28" s="1">
        <v>24</v>
      </c>
      <c r="B28" s="1" t="s">
        <v>58</v>
      </c>
      <c r="D28" s="1">
        <v>100</v>
      </c>
    </row>
    <row r="29" s="1" customFormat="1" spans="1:12">
      <c r="A29" s="1">
        <v>25</v>
      </c>
      <c r="B29" s="1" t="s">
        <v>59</v>
      </c>
      <c r="C29" s="1" t="s">
        <v>60</v>
      </c>
    </row>
    <row r="30" spans="1:12">
      <c r="A30" s="8">
        <v>26</v>
      </c>
      <c r="B30" s="8" t="s">
        <v>61</v>
      </c>
      <c r="C30" s="18"/>
      <c r="D30" s="8">
        <v>100</v>
      </c>
    </row>
    <row r="31" spans="1:12">
      <c r="A31" s="8">
        <v>27</v>
      </c>
      <c r="B31" s="8" t="s">
        <v>62</v>
      </c>
      <c r="D31" s="8">
        <v>10000</v>
      </c>
      <c r="G31" s="8" t="s">
        <v>63</v>
      </c>
    </row>
    <row r="32" spans="1:12">
      <c r="A32" s="8">
        <v>28</v>
      </c>
      <c r="B32" s="8" t="s">
        <v>64</v>
      </c>
      <c r="C32" s="8" t="s">
        <v>65</v>
      </c>
    </row>
    <row r="33" spans="1:23">
      <c r="A33" s="8">
        <v>29</v>
      </c>
      <c r="B33" s="8" t="s">
        <v>66</v>
      </c>
      <c r="D33" s="8">
        <v>10</v>
      </c>
    </row>
    <row r="34" s="2" customFormat="1" spans="1:23">
      <c r="A34" s="19">
        <v>30</v>
      </c>
      <c r="B34" s="19" t="s">
        <v>67</v>
      </c>
      <c r="C34" s="2" t="s">
        <v>68</v>
      </c>
    </row>
    <row r="35" s="2" customFormat="1" spans="1:23">
      <c r="A35" s="19">
        <v>31</v>
      </c>
      <c r="B35" s="19" t="s">
        <v>69</v>
      </c>
      <c r="E35" s="20">
        <v>372460972.440945</v>
      </c>
      <c r="G35" s="2" t="s">
        <v>70</v>
      </c>
      <c r="H35" s="20">
        <v>8692.20472440945</v>
      </c>
      <c r="I35" s="2" t="s">
        <v>71</v>
      </c>
      <c r="J35" s="2">
        <v>1</v>
      </c>
      <c r="K35" s="2" t="s">
        <v>72</v>
      </c>
      <c r="L35" s="2">
        <f>J35*24*60*60*1000</f>
        <v>86400000</v>
      </c>
      <c r="M35" s="2" t="s">
        <v>73</v>
      </c>
    </row>
    <row r="36" spans="1:23">
      <c r="A36" s="19">
        <v>32</v>
      </c>
      <c r="B36" s="19" t="s">
        <v>74</v>
      </c>
      <c r="C36" s="2" t="s">
        <v>75</v>
      </c>
    </row>
    <row r="37" spans="1:23">
      <c r="A37" s="21">
        <v>33</v>
      </c>
      <c r="B37" s="21" t="s">
        <v>76</v>
      </c>
      <c r="C37" s="22" t="s">
        <v>77</v>
      </c>
    </row>
    <row r="38" s="3" customFormat="1" spans="1:23">
      <c r="A38" s="23">
        <v>34</v>
      </c>
      <c r="B38" s="23" t="s">
        <v>78</v>
      </c>
      <c r="C38" s="3" t="s">
        <v>79</v>
      </c>
      <c r="G38" s="3" t="s">
        <v>80</v>
      </c>
      <c r="H38" s="3">
        <v>90</v>
      </c>
    </row>
    <row r="39" spans="1:23">
      <c r="A39" s="21">
        <v>35</v>
      </c>
      <c r="B39" s="21" t="s">
        <v>81</v>
      </c>
      <c r="C39" s="8" t="s">
        <v>82</v>
      </c>
      <c r="G39" s="8" t="s">
        <v>83</v>
      </c>
      <c r="H39" s="24">
        <f>ROUND(L35/(E35*H38/100/H35),0)</f>
        <v>2240</v>
      </c>
      <c r="I39" s="8" t="s">
        <v>73</v>
      </c>
      <c r="J39" s="8" t="s">
        <v>84</v>
      </c>
      <c r="K39" s="25" t="s">
        <v>85</v>
      </c>
      <c r="L39" s="25">
        <v>0.25</v>
      </c>
      <c r="M39" s="8" t="s">
        <v>86</v>
      </c>
      <c r="N39" s="8">
        <f>ROUND(P39*(1+2*L39),0)</f>
        <v>3360</v>
      </c>
      <c r="O39" s="8">
        <f>ROUND(P39*(1+1*L39),0)</f>
        <v>2800</v>
      </c>
      <c r="P39" s="8">
        <f>H39</f>
        <v>2240</v>
      </c>
      <c r="Q39" s="8">
        <f>ROUND(P39*(1-1*L39),0)</f>
        <v>1680</v>
      </c>
      <c r="R39" s="8">
        <f>ROUND(P39*(1-2*L39),0)</f>
        <v>1120</v>
      </c>
      <c r="S39" s="8" t="str">
        <f>_xlfn.TEXTJOIN("_",TRUE,N39,1000)</f>
        <v>3360_1000</v>
      </c>
      <c r="T39" s="8" t="str">
        <f>_xlfn.TEXTJOIN("_",TRUE,O39,1000)</f>
        <v>2800_1000</v>
      </c>
      <c r="U39" s="8" t="str">
        <f>_xlfn.TEXTJOIN("_",TRUE,P39,1000)</f>
        <v>2240_1000</v>
      </c>
      <c r="V39" s="8" t="str">
        <f>_xlfn.TEXTJOIN("_",TRUE,Q39,1000)</f>
        <v>1680_1000</v>
      </c>
      <c r="W39" s="8" t="str">
        <f>_xlfn.TEXTJOIN("_",TRUE,R39,1000)</f>
        <v>1120_1000</v>
      </c>
    </row>
    <row r="40" s="4" customFormat="1" spans="1:23">
      <c r="A40" s="4">
        <v>40</v>
      </c>
      <c r="B40" s="4" t="s">
        <v>87</v>
      </c>
      <c r="D40" s="26">
        <v>88</v>
      </c>
    </row>
    <row r="41" s="4" customFormat="1" spans="1:23">
      <c r="A41" s="4">
        <v>41</v>
      </c>
      <c r="B41" s="4" t="s">
        <v>88</v>
      </c>
      <c r="D41" s="26">
        <v>600</v>
      </c>
    </row>
    <row r="42" s="4" customFormat="1" spans="1:23">
      <c r="A42" s="4">
        <v>42</v>
      </c>
      <c r="B42" s="4" t="s">
        <v>89</v>
      </c>
      <c r="D42" s="26">
        <v>18000</v>
      </c>
    </row>
    <row r="43" s="4" customFormat="1" spans="1:23">
      <c r="A43" s="4">
        <v>43</v>
      </c>
      <c r="B43" s="4" t="s">
        <v>90</v>
      </c>
      <c r="D43" s="26">
        <v>1</v>
      </c>
    </row>
    <row r="44" s="4" customFormat="1" spans="1:23">
      <c r="A44" s="4">
        <v>44</v>
      </c>
      <c r="B44" s="4" t="s">
        <v>91</v>
      </c>
      <c r="D44" s="26">
        <v>10</v>
      </c>
    </row>
    <row r="45" s="4" customFormat="1" spans="1:23">
      <c r="A45" s="4">
        <v>45</v>
      </c>
      <c r="B45" s="4" t="s">
        <v>92</v>
      </c>
      <c r="C45" s="26" t="s">
        <v>93</v>
      </c>
    </row>
    <row r="46" s="5" customFormat="1" spans="1:23">
      <c r="A46" s="5">
        <v>46</v>
      </c>
      <c r="B46" s="5" t="s">
        <v>94</v>
      </c>
      <c r="C46" s="27" t="s">
        <v>95</v>
      </c>
    </row>
    <row r="47" s="4" customFormat="1" spans="1:23">
      <c r="A47" s="4">
        <v>47</v>
      </c>
      <c r="B47" s="4" t="s">
        <v>96</v>
      </c>
      <c r="D47" s="4">
        <v>3</v>
      </c>
      <c r="H47" s="4" t="s">
        <v>97</v>
      </c>
      <c r="I47" s="4">
        <v>6000</v>
      </c>
    </row>
    <row r="48" s="4" customFormat="1" spans="1:23">
      <c r="A48" s="4">
        <v>48</v>
      </c>
      <c r="B48" s="4" t="s">
        <v>98</v>
      </c>
      <c r="C48" s="4" t="s">
        <v>99</v>
      </c>
      <c r="G48" s="4" t="s">
        <v>100</v>
      </c>
      <c r="H48" s="4" t="s">
        <v>101</v>
      </c>
      <c r="I48" s="4">
        <v>30</v>
      </c>
      <c r="J48" s="4">
        <f>I47/(24*60/I49)*100/(I48/1+I48/1)</f>
        <v>104.166666666667</v>
      </c>
    </row>
    <row r="49" s="4" customFormat="1" spans="1:9">
      <c r="A49" s="4">
        <v>49</v>
      </c>
      <c r="B49" s="4" t="s">
        <v>102</v>
      </c>
      <c r="C49" s="4" t="s">
        <v>103</v>
      </c>
      <c r="H49" s="4" t="s">
        <v>104</v>
      </c>
      <c r="I49" s="4">
        <v>15</v>
      </c>
    </row>
    <row r="50" spans="1:9">
      <c r="A50" s="8">
        <v>50</v>
      </c>
      <c r="B50" s="8" t="s">
        <v>105</v>
      </c>
      <c r="C50" s="28" t="s">
        <v>106</v>
      </c>
      <c r="I50" s="8">
        <v>600</v>
      </c>
    </row>
    <row r="51" s="2" customFormat="1" spans="1:9">
      <c r="A51" s="2">
        <v>51</v>
      </c>
      <c r="B51" s="2" t="s">
        <v>107</v>
      </c>
      <c r="C51" s="29" t="s">
        <v>108</v>
      </c>
      <c r="I51" s="2">
        <v>1200</v>
      </c>
    </row>
    <row r="52" s="5" customFormat="1" spans="1:9">
      <c r="A52" s="5">
        <v>52</v>
      </c>
      <c r="B52" s="5" t="s">
        <v>109</v>
      </c>
      <c r="D52" s="30">
        <v>30000</v>
      </c>
    </row>
    <row r="53" s="6" customFormat="1" spans="1:9">
      <c r="A53" s="6">
        <v>53</v>
      </c>
      <c r="B53" s="6" t="s">
        <v>110</v>
      </c>
      <c r="D53" s="31">
        <v>30000</v>
      </c>
    </row>
    <row r="54" s="5" customFormat="1" spans="1:9">
      <c r="A54" s="5">
        <v>54</v>
      </c>
      <c r="B54" s="5" t="s">
        <v>111</v>
      </c>
      <c r="D54" s="5">
        <v>0</v>
      </c>
    </row>
    <row r="55" customFormat="1" spans="1:9">
      <c r="A55" s="8">
        <v>55</v>
      </c>
      <c r="B55" s="8" t="s">
        <v>112</v>
      </c>
      <c r="C55" s="8"/>
      <c r="D55" s="8">
        <v>60</v>
      </c>
    </row>
    <row r="56" s="5" customFormat="1" spans="1:9">
      <c r="A56" s="5">
        <v>56</v>
      </c>
      <c r="B56" s="5" t="s">
        <v>113</v>
      </c>
      <c r="C56" s="5" t="s">
        <v>114</v>
      </c>
    </row>
    <row r="57" s="2" customFormat="1" spans="1:9">
      <c r="A57" s="2">
        <v>60</v>
      </c>
      <c r="B57" s="2" t="s">
        <v>115</v>
      </c>
      <c r="C57" s="32" t="s">
        <v>116</v>
      </c>
    </row>
    <row r="58" spans="1:9">
      <c r="A58" s="8">
        <v>61</v>
      </c>
      <c r="B58" s="8" t="s">
        <v>117</v>
      </c>
      <c r="C58" s="33" t="s">
        <v>118</v>
      </c>
    </row>
    <row r="59" s="6" customFormat="1" spans="1:9">
      <c r="A59" s="6">
        <v>62</v>
      </c>
      <c r="B59" s="6" t="s">
        <v>119</v>
      </c>
      <c r="C59" s="31" t="s">
        <v>120</v>
      </c>
    </row>
    <row r="60" s="6" customFormat="1" spans="1:9">
      <c r="A60" s="6">
        <v>63</v>
      </c>
      <c r="B60" s="6" t="s">
        <v>121</v>
      </c>
      <c r="C60" s="6" t="s">
        <v>122</v>
      </c>
    </row>
    <row r="61" s="6" customFormat="1" spans="1:9">
      <c r="A61" s="6">
        <v>64</v>
      </c>
      <c r="B61" s="6" t="s">
        <v>123</v>
      </c>
      <c r="C61" s="34" t="s">
        <v>124</v>
      </c>
    </row>
    <row r="62" s="6" customFormat="1" spans="1:9">
      <c r="A62" s="6">
        <v>65</v>
      </c>
      <c r="B62" s="6" t="s">
        <v>125</v>
      </c>
      <c r="C62" s="34" t="s">
        <v>126</v>
      </c>
    </row>
    <row r="63" s="7" customFormat="1" spans="1:9">
      <c r="A63" s="7">
        <v>70</v>
      </c>
      <c r="B63" s="7" t="s">
        <v>127</v>
      </c>
      <c r="C63" s="35" t="s">
        <v>128</v>
      </c>
      <c r="D63" s="35"/>
    </row>
    <row r="64" s="7" customFormat="1" spans="1:9">
      <c r="A64" s="7">
        <v>71</v>
      </c>
      <c r="B64" s="7" t="s">
        <v>129</v>
      </c>
      <c r="C64" s="35"/>
      <c r="D64" s="35">
        <v>5000</v>
      </c>
    </row>
    <row r="65" s="7" customFormat="1" spans="1:20">
      <c r="A65" s="7">
        <v>72</v>
      </c>
      <c r="B65" s="7" t="s">
        <v>130</v>
      </c>
      <c r="C65" s="35" t="s">
        <v>131</v>
      </c>
    </row>
    <row r="66" spans="1:20">
      <c r="A66" s="36">
        <v>80</v>
      </c>
      <c r="B66" s="36" t="s">
        <v>132</v>
      </c>
      <c r="C66" s="36"/>
      <c r="D66" s="36">
        <v>259200</v>
      </c>
      <c r="E66" s="11"/>
      <c r="F66" s="11"/>
      <c r="G66" s="11"/>
      <c r="H66" s="11"/>
      <c r="I66" s="11"/>
      <c r="J66" s="11"/>
      <c r="K66" s="11"/>
      <c r="L66" s="11"/>
      <c r="M66" s="11"/>
      <c r="N66" s="11"/>
      <c r="O66" s="11"/>
      <c r="P66" s="11"/>
      <c r="Q66" s="11"/>
      <c r="R66" s="11"/>
      <c r="S66" s="11"/>
      <c r="T66" s="11"/>
    </row>
    <row r="67" s="1" customFormat="1" spans="1:20">
      <c r="A67" s="1">
        <v>90</v>
      </c>
      <c r="B67" s="1" t="s">
        <v>133</v>
      </c>
      <c r="D67" s="1">
        <v>150000</v>
      </c>
    </row>
    <row r="68" spans="1:20">
      <c r="A68" s="8">
        <v>100</v>
      </c>
      <c r="B68" s="8" t="s">
        <v>134</v>
      </c>
      <c r="C68" s="8" t="s">
        <v>135</v>
      </c>
    </row>
    <row r="69" spans="1:20">
      <c r="A69" s="8">
        <v>101</v>
      </c>
      <c r="B69" s="8" t="s">
        <v>136</v>
      </c>
      <c r="C69" s="8" t="s">
        <v>137</v>
      </c>
    </row>
    <row r="70" spans="1:20">
      <c r="A70" s="8">
        <v>102</v>
      </c>
      <c r="B70" s="8" t="s">
        <v>138</v>
      </c>
      <c r="D70" s="37">
        <v>1022503</v>
      </c>
    </row>
    <row r="71" s="4" customFormat="1" spans="1:20">
      <c r="A71" s="4">
        <v>110</v>
      </c>
      <c r="B71" s="4" t="s">
        <v>139</v>
      </c>
      <c r="D71" s="26">
        <v>4200</v>
      </c>
    </row>
    <row r="72" spans="1:20">
      <c r="A72" s="8">
        <v>111</v>
      </c>
      <c r="B72" s="8" t="s">
        <v>140</v>
      </c>
      <c r="D72" s="8">
        <v>500</v>
      </c>
    </row>
    <row r="73" spans="1:20">
      <c r="A73" s="8">
        <v>112</v>
      </c>
      <c r="B73" s="8" t="s">
        <v>141</v>
      </c>
      <c r="D73" s="8">
        <v>300000</v>
      </c>
    </row>
  </sheetData>
  <hyperlinks>
    <hyperlink ref="C57" r:id="rId3" display="https://aws-s3-jjg-asset-bucket.s3.ap-southeast-1.amazonaws.com/tanchuang_res/english/tc_sc_1.png" tooltip="https://aws-s3-jjg-asset-bucket.s3.ap-southeast-1.amazonaws.com/tanchuang_res/english/tc_sc_1.png"/>
    <hyperlink ref="C58" r:id="rId4" display="https://chat.kinghush.com/privacy.html"/>
  </hyperlinks>
  <pageMargins left="0.7" right="0.7" top="0.75" bottom="0.75" header="0.3" footer="0.3"/>
  <pageSetup paperSize="9" orientation="portrait"/>
  <headerFooter/>
  <legacyDrawing r:id="rId2"/>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1</vt:i4>
      </vt:variant>
    </vt:vector>
  </HeadingPairs>
  <TitlesOfParts>
    <vt:vector size="1" baseType="lpstr">
      <vt:lpstr>globalConfig</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Administrator</dc:creator>
  <cp:lastModifiedBy>不懂中文</cp:lastModifiedBy>
  <dcterms:created xsi:type="dcterms:W3CDTF">2015-06-05T18:19:00Z</dcterms:created>
  <dcterms:modified xsi:type="dcterms:W3CDTF">2026-02-03T05:45:19Z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466347C2C4A64E719CB4A5AC14A2702C_13</vt:lpwstr>
  </property>
  <property fmtid="{D5CDD505-2E9C-101B-9397-08002B2CF9AE}" pid="3" name="KSOProductBuildVer">
    <vt:lpwstr>2052-12.1.0.24657</vt:lpwstr>
  </property>
  <property fmtid="{D5CDD505-2E9C-101B-9397-08002B2CF9AE}" pid="4" name="CalculationRule">
    <vt:i4>0</vt:i4>
  </property>
</Properties>
</file>