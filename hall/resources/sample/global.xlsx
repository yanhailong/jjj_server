
<file path=[Content_Types].xml><?xml version="1.0" encoding="utf-8"?>
<Types xmlns="http://schemas.openxmlformats.org/package/2006/content-types">
  <Default Extension="vml" ContentType="application/vnd.openxmlformats-officedocument.vmlDrawing"/>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omments1.xml" ContentType="application/vnd.openxmlformats-officedocument.spreadsheetml.comment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27945" windowHeight="12375"/>
  </bookViews>
  <sheets>
    <sheet name="globalConfig"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Administrator</author>
  </authors>
  <commentList>
    <comment ref="E35" authorId="0">
      <text>
        <r>
          <rPr>
            <b/>
            <sz val="9"/>
            <rFont val="宋体"/>
            <charset val="134"/>
          </rPr>
          <t>Administrator:</t>
        </r>
        <r>
          <rPr>
            <sz val="9"/>
            <rFont val="宋体"/>
            <charset val="134"/>
          </rPr>
          <t xml:space="preserve">
总量 ÷ 平均中奖金额 = 中奖次数
1000000000 ÷ 718000 = 1392.7577
初始天数30天</t>
        </r>
      </text>
    </comment>
    <comment ref="D47" authorId="0">
      <text>
        <r>
          <rPr>
            <b/>
            <sz val="9"/>
            <rFont val="宋体"/>
            <charset val="134"/>
          </rPr>
          <t>Administrator:</t>
        </r>
        <r>
          <rPr>
            <sz val="9"/>
            <rFont val="宋体"/>
            <charset val="134"/>
          </rPr>
          <t xml:space="preserve">
配置 dropConfig.xlsx 中的 id 值</t>
        </r>
      </text>
    </comment>
  </commentList>
</comments>
</file>

<file path=xl/sharedStrings.xml><?xml version="1.0" encoding="utf-8"?>
<sst xmlns="http://schemas.openxmlformats.org/spreadsheetml/2006/main" count="101" uniqueCount="94">
  <si>
    <t>sid</t>
  </si>
  <si>
    <t>值</t>
  </si>
  <si>
    <t>整形</t>
  </si>
  <si>
    <t>长整型</t>
  </si>
  <si>
    <t>布尔值</t>
  </si>
  <si>
    <t>备注</t>
  </si>
  <si>
    <t>int</t>
  </si>
  <si>
    <t>String</t>
  </si>
  <si>
    <t>long</t>
  </si>
  <si>
    <t>bool</t>
  </si>
  <si>
    <t>id</t>
  </si>
  <si>
    <t>value</t>
  </si>
  <si>
    <t>intValue</t>
  </si>
  <si>
    <t>longValue</t>
  </si>
  <si>
    <t>boolValue</t>
  </si>
  <si>
    <t>玩家最大等级</t>
  </si>
  <si>
    <t>基础经验倍率</t>
  </si>
  <si>
    <t>万分比</t>
  </si>
  <si>
    <t>基础流水倍率</t>
  </si>
  <si>
    <t>商店价格显示转换</t>
  </si>
  <si>
    <t>表中值除以此值</t>
  </si>
  <si>
    <t>百家乐允许显示最多的房间数量</t>
  </si>
  <si>
    <t>优先显示最近创建的房间</t>
  </si>
  <si>
    <t>sweet win</t>
  </si>
  <si>
    <t>5,10</t>
  </si>
  <si>
    <t>slot中奖倍数大于押注倍数后触发大奖表现。此配置下限 &gt;= 【中奖金额 ÷ baseRoom表_单线押分 ÷ baseRoom表_押分系数】 &gt; 此配置范围时，展示表现</t>
  </si>
  <si>
    <t>big win</t>
  </si>
  <si>
    <t>10,20</t>
  </si>
  <si>
    <t>mega win</t>
  </si>
  <si>
    <t>20,30</t>
  </si>
  <si>
    <t>epic win</t>
  </si>
  <si>
    <t>30,50</t>
  </si>
  <si>
    <t>legendary win</t>
  </si>
  <si>
    <t>50,9999999</t>
  </si>
  <si>
    <t>押注桌面展示的筹码数量上限</t>
  </si>
  <si>
    <t>创建房间功能基础收益万分比</t>
  </si>
  <si>
    <t>每局结束从赢方获得的奖金中扣除此比例金额提供给创建房间的玩家</t>
  </si>
  <si>
    <t>创建房间-【邀请码每日0点重置后获得次数】</t>
  </si>
  <si>
    <t>默认装扮</t>
  </si>
  <si>
    <t>1:1001:2001:3001:4001:5001:6001</t>
  </si>
  <si>
    <t>avatar表的ID</t>
  </si>
  <si>
    <t>牌局开启后需要的等待时间（分钟）</t>
  </si>
  <si>
    <t>最多连续坐庄次数</t>
  </si>
  <si>
    <t>我的赌场清除CD价值，每X秒需要Y钻石（道具ID_道具数量_单位时间秒）</t>
  </si>
  <si>
    <t>1980000_1_60</t>
  </si>
  <si>
    <t>默认邮件有效期（秒）</t>
  </si>
  <si>
    <t>我的赌场购买一键领取的消耗（道具ID_道具数量_持续时间分钟）</t>
  </si>
  <si>
    <t>1980000_200_1440</t>
  </si>
  <si>
    <t>收藏游戏数量上限</t>
  </si>
  <si>
    <t>摇钱树活动增长金额</t>
  </si>
  <si>
    <t>0_3_200_500|3_12_50_150|12_18_100_300|18_24_200_500</t>
  </si>
  <si>
    <t>开始时间/时_结束时间/时（左闭右开）_每次增长值_每次增长下限|</t>
  </si>
  <si>
    <t>摇钱树活动增加频率</t>
  </si>
  <si>
    <t>2_1000</t>
  </si>
  <si>
    <t>增长间隔（秒）_增长触发概率万分比</t>
  </si>
  <si>
    <t>摇钱树活动当前奖金累计进入下一期的万分比比例</t>
  </si>
  <si>
    <t>摇钱树活动当玩家产生有效打码量的金额万分比进入奖池</t>
  </si>
  <si>
    <t>摇钱树活动每日免费获得一个祈福卡道具（重置时间跟随系统）</t>
  </si>
  <si>
    <t>1022501_1</t>
  </si>
  <si>
    <t>每次下注金币的万分比飞入储钱罐</t>
  </si>
  <si>
    <t>创建房间-房间销毁时房主获得实际准备金的万分比</t>
  </si>
  <si>
    <t>不得超过10000</t>
  </si>
  <si>
    <t>刮刮奖活动每次消耗道具数量</t>
  </si>
  <si>
    <t>1022502_1</t>
  </si>
  <si>
    <t>幸运夺宝(一元购)能配置商品数量上限</t>
  </si>
  <si>
    <t>官方派奖每个转盘需求积分：初、中、高</t>
  </si>
  <si>
    <t>1000_3000_5000</t>
  </si>
  <si>
    <t>官方派奖转盘奖池金币数量（废弃，在活动配置表中配置）</t>
  </si>
  <si>
    <t>从OfficialAwards表中取平均中奖金额</t>
  </si>
  <si>
    <t>活动时间</t>
  </si>
  <si>
    <t>天</t>
  </si>
  <si>
    <t>毫秒</t>
  </si>
  <si>
    <t>官方派奖：有效下注转换积分比例 ：有效下注 = X积分</t>
  </si>
  <si>
    <t>100000_1</t>
  </si>
  <si>
    <t>官方派奖：充值转换积分比例 ：充值金额 = X积分</t>
  </si>
  <si>
    <t>10_1</t>
  </si>
  <si>
    <t>官方派奖：真人和机器人奖池比例(百分比)  （废弃，功能不存在）</t>
  </si>
  <si>
    <t>10_90</t>
  </si>
  <si>
    <t>机器人奖池比例</t>
  </si>
  <si>
    <t>官方派奖：机器人中奖间隔（毫秒_权重|毫秒_权重）</t>
  </si>
  <si>
    <t>平均中奖间隔</t>
  </si>
  <si>
    <t>共5档</t>
  </si>
  <si>
    <t>每档偏移</t>
  </si>
  <si>
    <t>每档时间</t>
  </si>
  <si>
    <t>积分大奖： 转盘每次消耗积分数</t>
  </si>
  <si>
    <t>积分大奖：时段榜-上榜的最低积分要求(上午榜、下午榜共用)</t>
  </si>
  <si>
    <t>积分大奖：月总榜-上榜的最低积分要求</t>
  </si>
  <si>
    <t>积分大奖：每日转盘默认次数上限</t>
  </si>
  <si>
    <t>积分大奖：充值多少金额给一次转盘次数</t>
  </si>
  <si>
    <t>积分大奖：积分保底奖励（积分数量_奖励道具ID_奖励道具数量）</t>
  </si>
  <si>
    <t>1000_1990000_200000|2000_1990000_500000|5000_1990000_1000000|8000_1990000_1500000|10000_1990000_2000000</t>
  </si>
  <si>
    <t>VIP充值：充值金额与经验转换比例(充值金额_获得vip经验，最低支持0.01_1)</t>
  </si>
  <si>
    <t>1000_1</t>
  </si>
  <si>
    <t>掉落1001-1999【我的赌场】</t>
  </si>
</sst>
</file>

<file path=xl/styles.xml><?xml version="1.0" encoding="utf-8"?>
<styleSheet xmlns="http://schemas.openxmlformats.org/spreadsheetml/2006/main" xmlns:mc="http://schemas.openxmlformats.org/markup-compatibility/2006" xmlns:xr9="http://schemas.microsoft.com/office/spreadsheetml/2016/revision9" mc:Ignorable="xr9">
  <numFmts count="4">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s>
  <fonts count="25">
    <font>
      <sz val="11"/>
      <color theme="1"/>
      <name val="等线"/>
      <charset val="134"/>
      <scheme val="minor"/>
    </font>
    <font>
      <sz val="11"/>
      <color theme="1"/>
      <name val="微软雅黑"/>
      <charset val="134"/>
    </font>
    <font>
      <sz val="11"/>
      <color theme="0" tint="-0.25"/>
      <name val="微软雅黑"/>
      <charset val="134"/>
    </font>
    <font>
      <sz val="10"/>
      <color theme="1"/>
      <name val="微软雅黑"/>
      <charset val="134"/>
    </font>
    <font>
      <u/>
      <sz val="11"/>
      <color rgb="FF0000FF"/>
      <name val="等线"/>
      <charset val="0"/>
      <scheme val="minor"/>
    </font>
    <font>
      <u/>
      <sz val="11"/>
      <color rgb="FF800080"/>
      <name val="等线"/>
      <charset val="0"/>
      <scheme val="minor"/>
    </font>
    <font>
      <sz val="11"/>
      <color rgb="FFFF0000"/>
      <name val="等线"/>
      <charset val="0"/>
      <scheme val="minor"/>
    </font>
    <font>
      <b/>
      <sz val="18"/>
      <color theme="3"/>
      <name val="等线"/>
      <charset val="134"/>
      <scheme val="minor"/>
    </font>
    <font>
      <i/>
      <sz val="11"/>
      <color rgb="FF7F7F7F"/>
      <name val="等线"/>
      <charset val="0"/>
      <scheme val="minor"/>
    </font>
    <font>
      <b/>
      <sz val="15"/>
      <color theme="3"/>
      <name val="等线"/>
      <charset val="134"/>
      <scheme val="minor"/>
    </font>
    <font>
      <b/>
      <sz val="13"/>
      <color theme="3"/>
      <name val="等线"/>
      <charset val="134"/>
      <scheme val="minor"/>
    </font>
    <font>
      <b/>
      <sz val="11"/>
      <color theme="3"/>
      <name val="等线"/>
      <charset val="134"/>
      <scheme val="minor"/>
    </font>
    <font>
      <sz val="11"/>
      <color rgb="FF3F3F76"/>
      <name val="等线"/>
      <charset val="0"/>
      <scheme val="minor"/>
    </font>
    <font>
      <b/>
      <sz val="11"/>
      <color rgb="FF3F3F3F"/>
      <name val="等线"/>
      <charset val="0"/>
      <scheme val="minor"/>
    </font>
    <font>
      <b/>
      <sz val="11"/>
      <color rgb="FFFA7D00"/>
      <name val="等线"/>
      <charset val="0"/>
      <scheme val="minor"/>
    </font>
    <font>
      <b/>
      <sz val="11"/>
      <color rgb="FFFFFFFF"/>
      <name val="等线"/>
      <charset val="0"/>
      <scheme val="minor"/>
    </font>
    <font>
      <sz val="11"/>
      <color rgb="FFFA7D00"/>
      <name val="等线"/>
      <charset val="0"/>
      <scheme val="minor"/>
    </font>
    <font>
      <b/>
      <sz val="11"/>
      <color theme="1"/>
      <name val="等线"/>
      <charset val="0"/>
      <scheme val="minor"/>
    </font>
    <font>
      <sz val="11"/>
      <color rgb="FF006100"/>
      <name val="等线"/>
      <charset val="0"/>
      <scheme val="minor"/>
    </font>
    <font>
      <sz val="11"/>
      <color rgb="FF9C0006"/>
      <name val="等线"/>
      <charset val="0"/>
      <scheme val="minor"/>
    </font>
    <font>
      <sz val="11"/>
      <color rgb="FF9C6500"/>
      <name val="等线"/>
      <charset val="0"/>
      <scheme val="minor"/>
    </font>
    <font>
      <sz val="11"/>
      <color theme="0"/>
      <name val="等线"/>
      <charset val="0"/>
      <scheme val="minor"/>
    </font>
    <font>
      <sz val="11"/>
      <color theme="1"/>
      <name val="等线"/>
      <charset val="0"/>
      <scheme val="minor"/>
    </font>
    <font>
      <b/>
      <sz val="9"/>
      <name val="宋体"/>
      <charset val="134"/>
    </font>
    <font>
      <sz val="9"/>
      <name val="宋体"/>
      <charset val="134"/>
    </font>
  </fonts>
  <fills count="35">
    <fill>
      <patternFill patternType="none"/>
    </fill>
    <fill>
      <patternFill patternType="gray125"/>
    </fill>
    <fill>
      <patternFill patternType="solid">
        <fgColor theme="5" tint="0.8"/>
        <bgColor indexed="64"/>
      </patternFill>
    </fill>
    <fill>
      <patternFill patternType="solid">
        <fgColor theme="9" tint="0.8"/>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0">
    <border>
      <left/>
      <right/>
      <top/>
      <bottom/>
      <diagonal/>
    </border>
    <border>
      <left style="thin">
        <color rgb="FFDEE0E3"/>
      </left>
      <right style="thin">
        <color rgb="FFDEE0E3"/>
      </right>
      <top style="thin">
        <color rgb="FFDEE0E3"/>
      </top>
      <bottom style="thin">
        <color rgb="FFDEE0E3"/>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xf numFmtId="43" fontId="0" fillId="0" borderId="0" applyFont="0" applyFill="0" applyBorder="0" applyAlignment="0" applyProtection="0">
      <alignment vertical="center"/>
    </xf>
    <xf numFmtId="44" fontId="0" fillId="0" borderId="0" applyFont="0" applyFill="0" applyBorder="0" applyAlignment="0" applyProtection="0">
      <alignment vertical="center"/>
    </xf>
    <xf numFmtId="9" fontId="0" fillId="0" borderId="0" applyFont="0" applyFill="0" applyBorder="0" applyAlignment="0" applyProtection="0">
      <alignment vertical="center"/>
    </xf>
    <xf numFmtId="41" fontId="0" fillId="0" borderId="0" applyFont="0" applyFill="0" applyBorder="0" applyAlignment="0" applyProtection="0">
      <alignment vertical="center"/>
    </xf>
    <xf numFmtId="42" fontId="0" fillId="0" borderId="0" applyFont="0" applyFill="0" applyBorder="0" applyAlignment="0" applyProtection="0">
      <alignment vertical="center"/>
    </xf>
    <xf numFmtId="0" fontId="4" fillId="0" borderId="0" applyNumberFormat="0" applyFill="0" applyBorder="0" applyAlignment="0" applyProtection="0">
      <alignment vertical="center"/>
    </xf>
    <xf numFmtId="0" fontId="5" fillId="0" borderId="0" applyNumberFormat="0" applyFill="0" applyBorder="0" applyAlignment="0" applyProtection="0">
      <alignment vertical="center"/>
    </xf>
    <xf numFmtId="0" fontId="0" fillId="4" borderId="2" applyNumberFormat="0" applyFont="0" applyAlignment="0" applyProtection="0">
      <alignment vertical="center"/>
    </xf>
    <xf numFmtId="0" fontId="6" fillId="0" borderId="0" applyNumberFormat="0" applyFill="0" applyBorder="0" applyAlignment="0" applyProtection="0">
      <alignment vertical="center"/>
    </xf>
    <xf numFmtId="0" fontId="7"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9" fillId="0" borderId="3" applyNumberFormat="0" applyFill="0" applyAlignment="0" applyProtection="0">
      <alignment vertical="center"/>
    </xf>
    <xf numFmtId="0" fontId="10" fillId="0" borderId="3" applyNumberFormat="0" applyFill="0" applyAlignment="0" applyProtection="0">
      <alignment vertical="center"/>
    </xf>
    <xf numFmtId="0" fontId="11" fillId="0" borderId="4" applyNumberFormat="0" applyFill="0" applyAlignment="0" applyProtection="0">
      <alignment vertical="center"/>
    </xf>
    <xf numFmtId="0" fontId="11" fillId="0" borderId="0" applyNumberFormat="0" applyFill="0" applyBorder="0" applyAlignment="0" applyProtection="0">
      <alignment vertical="center"/>
    </xf>
    <xf numFmtId="0" fontId="12" fillId="5" borderId="5" applyNumberFormat="0" applyAlignment="0" applyProtection="0">
      <alignment vertical="center"/>
    </xf>
    <xf numFmtId="0" fontId="13" fillId="6" borderId="6" applyNumberFormat="0" applyAlignment="0" applyProtection="0">
      <alignment vertical="center"/>
    </xf>
    <xf numFmtId="0" fontId="14" fillId="6" borderId="5" applyNumberFormat="0" applyAlignment="0" applyProtection="0">
      <alignment vertical="center"/>
    </xf>
    <xf numFmtId="0" fontId="15" fillId="7" borderId="7" applyNumberFormat="0" applyAlignment="0" applyProtection="0">
      <alignment vertical="center"/>
    </xf>
    <xf numFmtId="0" fontId="16" fillId="0" borderId="8" applyNumberFormat="0" applyFill="0" applyAlignment="0" applyProtection="0">
      <alignment vertical="center"/>
    </xf>
    <xf numFmtId="0" fontId="17" fillId="0" borderId="9" applyNumberFormat="0" applyFill="0" applyAlignment="0" applyProtection="0">
      <alignment vertical="center"/>
    </xf>
    <xf numFmtId="0" fontId="18" fillId="8" borderId="0" applyNumberFormat="0" applyBorder="0" applyAlignment="0" applyProtection="0">
      <alignment vertical="center"/>
    </xf>
    <xf numFmtId="0" fontId="19" fillId="9" borderId="0" applyNumberFormat="0" applyBorder="0" applyAlignment="0" applyProtection="0">
      <alignment vertical="center"/>
    </xf>
    <xf numFmtId="0" fontId="20" fillId="10" borderId="0" applyNumberFormat="0" applyBorder="0" applyAlignment="0" applyProtection="0">
      <alignment vertical="center"/>
    </xf>
    <xf numFmtId="0" fontId="21" fillId="11" borderId="0" applyNumberFormat="0" applyBorder="0" applyAlignment="0" applyProtection="0">
      <alignment vertical="center"/>
    </xf>
    <xf numFmtId="0" fontId="22" fillId="12" borderId="0" applyNumberFormat="0" applyBorder="0" applyAlignment="0" applyProtection="0">
      <alignment vertical="center"/>
    </xf>
    <xf numFmtId="0" fontId="22" fillId="13" borderId="0" applyNumberFormat="0" applyBorder="0" applyAlignment="0" applyProtection="0">
      <alignment vertical="center"/>
    </xf>
    <xf numFmtId="0" fontId="21" fillId="14" borderId="0" applyNumberFormat="0" applyBorder="0" applyAlignment="0" applyProtection="0">
      <alignment vertical="center"/>
    </xf>
    <xf numFmtId="0" fontId="21" fillId="15" borderId="0" applyNumberFormat="0" applyBorder="0" applyAlignment="0" applyProtection="0">
      <alignment vertical="center"/>
    </xf>
    <xf numFmtId="0" fontId="22" fillId="16" borderId="0" applyNumberFormat="0" applyBorder="0" applyAlignment="0" applyProtection="0">
      <alignment vertical="center"/>
    </xf>
    <xf numFmtId="0" fontId="22" fillId="17" borderId="0" applyNumberFormat="0" applyBorder="0" applyAlignment="0" applyProtection="0">
      <alignment vertical="center"/>
    </xf>
    <xf numFmtId="0" fontId="21" fillId="18" borderId="0" applyNumberFormat="0" applyBorder="0" applyAlignment="0" applyProtection="0">
      <alignment vertical="center"/>
    </xf>
    <xf numFmtId="0" fontId="21" fillId="19" borderId="0" applyNumberFormat="0" applyBorder="0" applyAlignment="0" applyProtection="0">
      <alignment vertical="center"/>
    </xf>
    <xf numFmtId="0" fontId="22" fillId="20" borderId="0" applyNumberFormat="0" applyBorder="0" applyAlignment="0" applyProtection="0">
      <alignment vertical="center"/>
    </xf>
    <xf numFmtId="0" fontId="22" fillId="21" borderId="0" applyNumberFormat="0" applyBorder="0" applyAlignment="0" applyProtection="0">
      <alignment vertical="center"/>
    </xf>
    <xf numFmtId="0" fontId="21" fillId="22" borderId="0" applyNumberFormat="0" applyBorder="0" applyAlignment="0" applyProtection="0">
      <alignment vertical="center"/>
    </xf>
    <xf numFmtId="0" fontId="21" fillId="23" borderId="0" applyNumberFormat="0" applyBorder="0" applyAlignment="0" applyProtection="0">
      <alignment vertical="center"/>
    </xf>
    <xf numFmtId="0" fontId="22" fillId="24" borderId="0" applyNumberFormat="0" applyBorder="0" applyAlignment="0" applyProtection="0">
      <alignment vertical="center"/>
    </xf>
    <xf numFmtId="0" fontId="22" fillId="25" borderId="0" applyNumberFormat="0" applyBorder="0" applyAlignment="0" applyProtection="0">
      <alignment vertical="center"/>
    </xf>
    <xf numFmtId="0" fontId="21" fillId="26" borderId="0" applyNumberFormat="0" applyBorder="0" applyAlignment="0" applyProtection="0">
      <alignment vertical="center"/>
    </xf>
    <xf numFmtId="0" fontId="21" fillId="27" borderId="0" applyNumberFormat="0" applyBorder="0" applyAlignment="0" applyProtection="0">
      <alignment vertical="center"/>
    </xf>
    <xf numFmtId="0" fontId="22" fillId="28" borderId="0" applyNumberFormat="0" applyBorder="0" applyAlignment="0" applyProtection="0">
      <alignment vertical="center"/>
    </xf>
    <xf numFmtId="0" fontId="22" fillId="29" borderId="0" applyNumberFormat="0" applyBorder="0" applyAlignment="0" applyProtection="0">
      <alignment vertical="center"/>
    </xf>
    <xf numFmtId="0" fontId="21" fillId="30" borderId="0" applyNumberFormat="0" applyBorder="0" applyAlignment="0" applyProtection="0">
      <alignment vertical="center"/>
    </xf>
    <xf numFmtId="0" fontId="21" fillId="31" borderId="0" applyNumberFormat="0" applyBorder="0" applyAlignment="0" applyProtection="0">
      <alignment vertical="center"/>
    </xf>
    <xf numFmtId="0" fontId="22" fillId="32" borderId="0" applyNumberFormat="0" applyBorder="0" applyAlignment="0" applyProtection="0">
      <alignment vertical="center"/>
    </xf>
    <xf numFmtId="0" fontId="22" fillId="33" borderId="0" applyNumberFormat="0" applyBorder="0" applyAlignment="0" applyProtection="0">
      <alignment vertical="center"/>
    </xf>
    <xf numFmtId="0" fontId="21" fillId="34" borderId="0" applyNumberFormat="0" applyBorder="0" applyAlignment="0" applyProtection="0">
      <alignment vertical="center"/>
    </xf>
  </cellStyleXfs>
  <cellXfs count="21">
    <xf numFmtId="0" fontId="0" fillId="0" borderId="0" xfId="0"/>
    <xf numFmtId="0" fontId="1" fillId="0" borderId="0" xfId="0" applyFont="1"/>
    <xf numFmtId="0" fontId="2" fillId="0" borderId="0" xfId="0" applyFont="1"/>
    <xf numFmtId="0" fontId="1" fillId="0" borderId="1" xfId="0" applyFont="1" applyBorder="1" applyAlignment="1">
      <alignment horizontal="left" vertical="center"/>
    </xf>
    <xf numFmtId="0" fontId="1" fillId="0" borderId="1" xfId="0" applyFont="1" applyBorder="1" applyAlignment="1">
      <alignment vertical="center"/>
    </xf>
    <xf numFmtId="0" fontId="1" fillId="0" borderId="1" xfId="0" applyFont="1" applyBorder="1" applyAlignment="1">
      <alignment vertical="center"/>
    </xf>
    <xf numFmtId="0" fontId="3" fillId="0" borderId="1" xfId="0" applyFont="1" applyBorder="1" applyAlignment="1">
      <alignment vertical="center"/>
    </xf>
    <xf numFmtId="0" fontId="1" fillId="0" borderId="0" xfId="0" applyFont="1" applyAlignment="1">
      <alignment vertical="center"/>
    </xf>
    <xf numFmtId="0" fontId="1" fillId="0" borderId="0" xfId="0" applyFont="1"/>
    <xf numFmtId="0" fontId="1" fillId="0" borderId="0" xfId="0" applyFont="1" applyAlignment="1">
      <alignment horizontal="left" vertical="center"/>
    </xf>
    <xf numFmtId="0" fontId="1" fillId="0" borderId="0" xfId="0" applyFont="1" applyAlignment="1">
      <alignment vertical="center"/>
    </xf>
    <xf numFmtId="3" fontId="1" fillId="0" borderId="0" xfId="0" applyNumberFormat="1" applyFont="1" applyAlignment="1">
      <alignment vertical="center"/>
    </xf>
    <xf numFmtId="20" fontId="1" fillId="0" borderId="0" xfId="0" applyNumberFormat="1" applyFont="1"/>
    <xf numFmtId="0" fontId="1" fillId="0" borderId="0" xfId="0" applyFont="1" applyAlignment="1">
      <alignment horizontal="left"/>
    </xf>
    <xf numFmtId="0" fontId="1" fillId="2" borderId="0" xfId="0" applyFont="1" applyFill="1"/>
    <xf numFmtId="0" fontId="1" fillId="2" borderId="0" xfId="0" applyFont="1" applyFill="1"/>
    <xf numFmtId="0" fontId="2" fillId="2" borderId="0" xfId="0" applyFont="1" applyFill="1"/>
    <xf numFmtId="0" fontId="1" fillId="3" borderId="0" xfId="0" applyFont="1" applyFill="1"/>
    <xf numFmtId="0" fontId="1" fillId="3" borderId="0" xfId="0" applyFont="1" applyFill="1"/>
    <xf numFmtId="9" fontId="1" fillId="0" borderId="0" xfId="0" applyNumberFormat="1" applyFont="1"/>
    <xf numFmtId="9" fontId="1" fillId="0" borderId="0" xfId="0" applyNumberFormat="1" applyFont="1"/>
    <xf numFmtId="3" fontId="1" fillId="0" borderId="0" xfId="0" applyNumberFormat="1" applyFont="1" applyAlignment="1" quotePrefix="1">
      <alignment vertical="center"/>
    </xf>
    <xf numFmtId="0" fontId="1" fillId="0" borderId="0" xfId="0" applyFont="1" applyAlignment="1" quotePrefix="1">
      <alignment vertical="center"/>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4" Type="http://schemas.openxmlformats.org/officeDocument/2006/relationships/styles" Target="styles.xml"/><Relationship Id="rId3" Type="http://schemas.openxmlformats.org/officeDocument/2006/relationships/sharedStrings" Target="sharedStrings.xml"/><Relationship Id="rId2" Type="http://schemas.openxmlformats.org/officeDocument/2006/relationships/theme" Target="theme/theme1.xml"/><Relationship Id="rId1" Type="http://schemas.openxmlformats.org/officeDocument/2006/relationships/worksheet" Target="worksheets/sheet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comments" Target="../comments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W47"/>
  <sheetViews>
    <sheetView tabSelected="1" zoomScale="85" zoomScaleNormal="85" workbookViewId="0">
      <pane ySplit="3" topLeftCell="A19" activePane="bottomLeft" state="frozen"/>
      <selection/>
      <selection pane="bottomLeft" activeCell="B52" sqref="B52"/>
    </sheetView>
  </sheetViews>
  <sheetFormatPr defaultColWidth="9" defaultRowHeight="16.5"/>
  <cols>
    <col min="1" max="1" width="9" style="1"/>
    <col min="2" max="2" width="65.375" style="1" customWidth="1"/>
    <col min="3" max="3" width="37.625" style="1" customWidth="1"/>
    <col min="4" max="4" width="9.375" style="1" customWidth="1"/>
    <col min="5" max="5" width="11.5" style="1" customWidth="1"/>
    <col min="6" max="6" width="9.625" style="1" customWidth="1"/>
    <col min="7" max="7" width="23.375" style="1" customWidth="1"/>
    <col min="8" max="8" width="9.25" style="1"/>
    <col min="9" max="9" width="9" style="1"/>
    <col min="10" max="10" width="11.5" style="1"/>
    <col min="11" max="11" width="9" style="1"/>
    <col min="12" max="12" width="12.875" style="1"/>
    <col min="13" max="13" width="9" style="1"/>
    <col min="14" max="18" width="9.25" style="1"/>
    <col min="19" max="16384" width="9" style="1"/>
  </cols>
  <sheetData>
    <row r="1" spans="1:7">
      <c r="A1" s="3" t="s">
        <v>0</v>
      </c>
      <c r="B1" s="4"/>
      <c r="C1" s="5" t="s">
        <v>1</v>
      </c>
      <c r="D1" s="5" t="s">
        <v>2</v>
      </c>
      <c r="E1" s="5" t="s">
        <v>3</v>
      </c>
      <c r="F1" s="5" t="s">
        <v>4</v>
      </c>
      <c r="G1" s="5" t="s">
        <v>5</v>
      </c>
    </row>
    <row r="2" spans="1:7">
      <c r="A2" s="6" t="s">
        <v>6</v>
      </c>
      <c r="B2" s="4"/>
      <c r="C2" s="5" t="s">
        <v>7</v>
      </c>
      <c r="D2" s="7" t="s">
        <v>6</v>
      </c>
      <c r="E2" s="8" t="s">
        <v>8</v>
      </c>
      <c r="F2" s="5" t="s">
        <v>9</v>
      </c>
      <c r="G2" s="4"/>
    </row>
    <row r="3" spans="1:7">
      <c r="A3" s="3" t="s">
        <v>10</v>
      </c>
      <c r="B3" s="4"/>
      <c r="C3" s="5" t="s">
        <v>11</v>
      </c>
      <c r="D3" s="8" t="s">
        <v>12</v>
      </c>
      <c r="E3" s="8" t="s">
        <v>13</v>
      </c>
      <c r="F3" s="8" t="s">
        <v>14</v>
      </c>
      <c r="G3" s="4"/>
    </row>
    <row r="4" spans="1:7">
      <c r="A4" s="9"/>
      <c r="B4" s="10"/>
      <c r="C4" s="10"/>
      <c r="G4" s="10"/>
    </row>
    <row r="5" spans="1:7">
      <c r="A5" s="1">
        <v>1</v>
      </c>
      <c r="B5" s="7" t="s">
        <v>15</v>
      </c>
      <c r="D5" s="10">
        <v>200</v>
      </c>
      <c r="E5" s="10"/>
      <c r="F5" s="10"/>
      <c r="G5" s="10"/>
    </row>
    <row r="6" spans="1:7">
      <c r="A6" s="1">
        <v>2</v>
      </c>
      <c r="B6" s="7" t="s">
        <v>16</v>
      </c>
      <c r="D6" s="10">
        <v>10000</v>
      </c>
      <c r="E6" s="10"/>
      <c r="F6" s="10"/>
      <c r="G6" s="7" t="s">
        <v>17</v>
      </c>
    </row>
    <row r="7" spans="1:7">
      <c r="A7" s="1">
        <v>3</v>
      </c>
      <c r="B7" s="7" t="s">
        <v>18</v>
      </c>
      <c r="D7" s="10">
        <v>10000</v>
      </c>
      <c r="E7" s="10"/>
      <c r="F7" s="10"/>
      <c r="G7" s="7" t="s">
        <v>17</v>
      </c>
    </row>
    <row r="8" spans="1:7">
      <c r="A8" s="1">
        <v>4</v>
      </c>
      <c r="B8" s="7" t="s">
        <v>19</v>
      </c>
      <c r="C8" s="10">
        <v>100</v>
      </c>
      <c r="D8" s="10"/>
      <c r="E8" s="10"/>
      <c r="F8" s="10"/>
      <c r="G8" s="7" t="s">
        <v>20</v>
      </c>
    </row>
    <row r="9" spans="1:7">
      <c r="A9" s="1">
        <v>5</v>
      </c>
      <c r="B9" s="8" t="s">
        <v>21</v>
      </c>
      <c r="C9" s="1">
        <v>4</v>
      </c>
      <c r="G9" s="8" t="s">
        <v>22</v>
      </c>
    </row>
    <row r="10" spans="1:7">
      <c r="A10" s="1">
        <v>6</v>
      </c>
      <c r="B10" s="7" t="s">
        <v>23</v>
      </c>
      <c r="C10" s="21" t="s">
        <v>24</v>
      </c>
      <c r="D10" s="11"/>
      <c r="E10" s="10"/>
      <c r="F10" s="10"/>
      <c r="G10" s="8" t="s">
        <v>25</v>
      </c>
    </row>
    <row r="11" spans="1:7">
      <c r="A11" s="1">
        <v>7</v>
      </c>
      <c r="B11" s="7" t="s">
        <v>26</v>
      </c>
      <c r="C11" s="22" t="s">
        <v>27</v>
      </c>
      <c r="D11" s="7"/>
      <c r="E11" s="10"/>
      <c r="F11" s="10"/>
      <c r="G11" s="8" t="s">
        <v>25</v>
      </c>
    </row>
    <row r="12" spans="1:7">
      <c r="A12" s="1">
        <v>8</v>
      </c>
      <c r="B12" s="7" t="s">
        <v>28</v>
      </c>
      <c r="C12" s="22" t="s">
        <v>29</v>
      </c>
      <c r="D12" s="7"/>
      <c r="E12" s="10"/>
      <c r="F12" s="10"/>
      <c r="G12" s="8" t="s">
        <v>25</v>
      </c>
    </row>
    <row r="13" spans="1:7">
      <c r="A13" s="1">
        <v>9</v>
      </c>
      <c r="B13" s="7" t="s">
        <v>30</v>
      </c>
      <c r="C13" s="22" t="s">
        <v>31</v>
      </c>
      <c r="D13" s="7"/>
      <c r="E13" s="10"/>
      <c r="F13" s="10"/>
      <c r="G13" s="8" t="s">
        <v>25</v>
      </c>
    </row>
    <row r="14" spans="1:7">
      <c r="A14" s="1">
        <v>10</v>
      </c>
      <c r="B14" s="7" t="s">
        <v>32</v>
      </c>
      <c r="C14" s="22" t="s">
        <v>33</v>
      </c>
      <c r="D14" s="7"/>
      <c r="E14" s="10"/>
      <c r="F14" s="10"/>
      <c r="G14" s="8" t="s">
        <v>25</v>
      </c>
    </row>
    <row r="15" spans="1:4">
      <c r="A15" s="1">
        <v>11</v>
      </c>
      <c r="B15" s="8" t="s">
        <v>34</v>
      </c>
      <c r="D15" s="1">
        <f>2*3*5*3</f>
        <v>90</v>
      </c>
    </row>
    <row r="16" spans="1:7">
      <c r="A16" s="1">
        <v>12</v>
      </c>
      <c r="B16" s="8" t="s">
        <v>35</v>
      </c>
      <c r="D16" s="1">
        <v>100</v>
      </c>
      <c r="G16" s="8" t="s">
        <v>36</v>
      </c>
    </row>
    <row r="17" spans="1:4">
      <c r="A17" s="1">
        <v>13</v>
      </c>
      <c r="B17" s="8" t="s">
        <v>37</v>
      </c>
      <c r="D17" s="1">
        <v>1</v>
      </c>
    </row>
    <row r="18" spans="1:7">
      <c r="A18" s="1">
        <v>14</v>
      </c>
      <c r="B18" s="8" t="s">
        <v>38</v>
      </c>
      <c r="C18" s="12" t="s">
        <v>39</v>
      </c>
      <c r="G18" s="8" t="s">
        <v>40</v>
      </c>
    </row>
    <row r="19" spans="1:4">
      <c r="A19" s="1">
        <v>15</v>
      </c>
      <c r="B19" s="8" t="s">
        <v>41</v>
      </c>
      <c r="D19" s="1">
        <v>5</v>
      </c>
    </row>
    <row r="20" spans="1:4">
      <c r="A20" s="1">
        <v>16</v>
      </c>
      <c r="B20" s="8" t="s">
        <v>42</v>
      </c>
      <c r="D20" s="1">
        <v>10</v>
      </c>
    </row>
    <row r="21" spans="1:3">
      <c r="A21" s="1">
        <v>17</v>
      </c>
      <c r="B21" s="8" t="s">
        <v>43</v>
      </c>
      <c r="C21" s="8" t="s">
        <v>44</v>
      </c>
    </row>
    <row r="22" spans="1:4">
      <c r="A22" s="1">
        <v>18</v>
      </c>
      <c r="B22" s="8" t="s">
        <v>45</v>
      </c>
      <c r="D22" s="1">
        <f>7*24*60*60</f>
        <v>604800</v>
      </c>
    </row>
    <row r="23" spans="1:3">
      <c r="A23" s="1">
        <v>19</v>
      </c>
      <c r="B23" s="8" t="s">
        <v>46</v>
      </c>
      <c r="C23" s="8" t="s">
        <v>47</v>
      </c>
    </row>
    <row r="24" spans="1:4">
      <c r="A24" s="1">
        <v>20</v>
      </c>
      <c r="B24" s="8" t="s">
        <v>48</v>
      </c>
      <c r="D24" s="1">
        <v>10</v>
      </c>
    </row>
    <row r="25" spans="1:7">
      <c r="A25" s="1">
        <v>21</v>
      </c>
      <c r="B25" s="8" t="s">
        <v>49</v>
      </c>
      <c r="C25" s="8" t="s">
        <v>50</v>
      </c>
      <c r="G25" s="8" t="s">
        <v>51</v>
      </c>
    </row>
    <row r="26" spans="1:7">
      <c r="A26" s="1">
        <v>22</v>
      </c>
      <c r="B26" s="8" t="s">
        <v>52</v>
      </c>
      <c r="C26" s="8" t="s">
        <v>53</v>
      </c>
      <c r="G26" s="8" t="s">
        <v>54</v>
      </c>
    </row>
    <row r="27" spans="1:4">
      <c r="A27" s="1">
        <v>23</v>
      </c>
      <c r="B27" s="8" t="s">
        <v>55</v>
      </c>
      <c r="D27" s="1">
        <v>10000</v>
      </c>
    </row>
    <row r="28" spans="1:4">
      <c r="A28" s="1">
        <v>24</v>
      </c>
      <c r="B28" s="8" t="s">
        <v>56</v>
      </c>
      <c r="D28" s="1">
        <v>100</v>
      </c>
    </row>
    <row r="29" s="1" customFormat="1" spans="1:3">
      <c r="A29" s="1">
        <v>25</v>
      </c>
      <c r="B29" s="8" t="s">
        <v>57</v>
      </c>
      <c r="C29" s="8" t="s">
        <v>58</v>
      </c>
    </row>
    <row r="30" spans="1:4">
      <c r="A30" s="1">
        <v>26</v>
      </c>
      <c r="B30" s="8" t="s">
        <v>59</v>
      </c>
      <c r="C30" s="13"/>
      <c r="D30" s="1">
        <v>100</v>
      </c>
    </row>
    <row r="31" spans="1:7">
      <c r="A31" s="1">
        <v>27</v>
      </c>
      <c r="B31" s="8" t="s">
        <v>60</v>
      </c>
      <c r="D31" s="1">
        <v>9900</v>
      </c>
      <c r="G31" s="8" t="s">
        <v>61</v>
      </c>
    </row>
    <row r="32" spans="1:3">
      <c r="A32" s="1">
        <v>28</v>
      </c>
      <c r="B32" s="8" t="s">
        <v>62</v>
      </c>
      <c r="C32" s="8" t="s">
        <v>63</v>
      </c>
    </row>
    <row r="33" spans="1:4">
      <c r="A33" s="1">
        <v>29</v>
      </c>
      <c r="B33" s="8" t="s">
        <v>64</v>
      </c>
      <c r="D33" s="1">
        <v>6</v>
      </c>
    </row>
    <row r="34" s="1" customFormat="1" spans="1:3">
      <c r="A34" s="14">
        <v>30</v>
      </c>
      <c r="B34" s="15" t="s">
        <v>65</v>
      </c>
      <c r="C34" s="8" t="s">
        <v>66</v>
      </c>
    </row>
    <row r="35" s="2" customFormat="1" spans="1:13">
      <c r="A35" s="16">
        <v>31</v>
      </c>
      <c r="B35" s="16" t="s">
        <v>67</v>
      </c>
      <c r="E35" s="2">
        <v>1000000000</v>
      </c>
      <c r="G35" s="2" t="s">
        <v>68</v>
      </c>
      <c r="H35" s="2">
        <v>718000</v>
      </c>
      <c r="I35" s="2" t="s">
        <v>69</v>
      </c>
      <c r="J35" s="2">
        <v>30</v>
      </c>
      <c r="K35" s="2" t="s">
        <v>70</v>
      </c>
      <c r="L35" s="2">
        <f>J35*24*60*60*1000</f>
        <v>2592000000</v>
      </c>
      <c r="M35" s="2" t="s">
        <v>71</v>
      </c>
    </row>
    <row r="36" spans="1:3">
      <c r="A36" s="14">
        <v>32</v>
      </c>
      <c r="B36" s="15" t="s">
        <v>72</v>
      </c>
      <c r="C36" s="8" t="s">
        <v>73</v>
      </c>
    </row>
    <row r="37" spans="1:3">
      <c r="A37" s="14">
        <v>33</v>
      </c>
      <c r="B37" s="15" t="s">
        <v>74</v>
      </c>
      <c r="C37" s="8" t="s">
        <v>75</v>
      </c>
    </row>
    <row r="38" s="2" customFormat="1" spans="1:8">
      <c r="A38" s="16">
        <v>34</v>
      </c>
      <c r="B38" s="16" t="s">
        <v>76</v>
      </c>
      <c r="C38" s="2" t="s">
        <v>77</v>
      </c>
      <c r="G38" s="2" t="s">
        <v>78</v>
      </c>
      <c r="H38" s="2">
        <f>VALUE(MID(C38,FIND("_",C38)+1,4))</f>
        <v>90</v>
      </c>
    </row>
    <row r="39" spans="1:23">
      <c r="A39" s="14">
        <v>35</v>
      </c>
      <c r="B39" s="15" t="s">
        <v>79</v>
      </c>
      <c r="C39" s="8" t="str">
        <f>_xlfn.TEXTJOIN("|",TRUE,S39:W39)</f>
        <v>3101760_1000|2584800_1000|2067840_1000|1550880_1000|1033920_1000</v>
      </c>
      <c r="G39" s="8" t="s">
        <v>80</v>
      </c>
      <c r="H39" s="1">
        <f>ROUND(L35/(E35*H38/100/H35),0)</f>
        <v>2067840</v>
      </c>
      <c r="I39" s="8" t="s">
        <v>71</v>
      </c>
      <c r="J39" s="8" t="s">
        <v>81</v>
      </c>
      <c r="K39" s="19" t="s">
        <v>82</v>
      </c>
      <c r="L39" s="20">
        <v>0.25</v>
      </c>
      <c r="M39" s="8" t="s">
        <v>83</v>
      </c>
      <c r="N39" s="1">
        <f>ROUND(P39*(1+2*L39),0)</f>
        <v>3101760</v>
      </c>
      <c r="O39" s="1">
        <f>ROUND(P39*(1+1*L39),0)</f>
        <v>2584800</v>
      </c>
      <c r="P39" s="1">
        <f>H39</f>
        <v>2067840</v>
      </c>
      <c r="Q39" s="1">
        <f>ROUND(P39*(1-1*L39),0)</f>
        <v>1550880</v>
      </c>
      <c r="R39" s="1">
        <f>ROUND(P39*(1-2*L39),0)</f>
        <v>1033920</v>
      </c>
      <c r="S39" s="8" t="str">
        <f>_xlfn.TEXTJOIN("_",TRUE,N39,1000)</f>
        <v>3101760_1000</v>
      </c>
      <c r="T39" s="8" t="str">
        <f>_xlfn.TEXTJOIN("_",TRUE,O39,1000)</f>
        <v>2584800_1000</v>
      </c>
      <c r="U39" s="8" t="str">
        <f>_xlfn.TEXTJOIN("_",TRUE,P39,1000)</f>
        <v>2067840_1000</v>
      </c>
      <c r="V39" s="8" t="str">
        <f>_xlfn.TEXTJOIN("_",TRUE,Q39,1000)</f>
        <v>1550880_1000</v>
      </c>
      <c r="W39" s="8" t="str">
        <f>_xlfn.TEXTJOIN("_",TRUE,R39,1000)</f>
        <v>1033920_1000</v>
      </c>
    </row>
    <row r="40" spans="1:4">
      <c r="A40" s="17">
        <v>40</v>
      </c>
      <c r="B40" s="18" t="s">
        <v>84</v>
      </c>
      <c r="D40" s="1">
        <v>50</v>
      </c>
    </row>
    <row r="41" spans="1:4">
      <c r="A41" s="17">
        <v>41</v>
      </c>
      <c r="B41" s="18" t="s">
        <v>85</v>
      </c>
      <c r="D41" s="1">
        <v>200</v>
      </c>
    </row>
    <row r="42" spans="1:4">
      <c r="A42" s="17">
        <v>42</v>
      </c>
      <c r="B42" s="18" t="s">
        <v>86</v>
      </c>
      <c r="D42" s="1">
        <v>2000</v>
      </c>
    </row>
    <row r="43" spans="1:4">
      <c r="A43" s="17">
        <v>43</v>
      </c>
      <c r="B43" s="18" t="s">
        <v>87</v>
      </c>
      <c r="D43" s="1">
        <v>10</v>
      </c>
    </row>
    <row r="44" spans="1:4">
      <c r="A44" s="17">
        <v>44</v>
      </c>
      <c r="B44" s="8" t="s">
        <v>88</v>
      </c>
      <c r="D44" s="1">
        <v>1000</v>
      </c>
    </row>
    <row r="45" spans="1:3">
      <c r="A45" s="17">
        <v>45</v>
      </c>
      <c r="B45" s="8" t="s">
        <v>89</v>
      </c>
      <c r="C45" s="8" t="s">
        <v>90</v>
      </c>
    </row>
    <row r="46" spans="1:3">
      <c r="A46" s="1">
        <v>46</v>
      </c>
      <c r="B46" s="8" t="s">
        <v>91</v>
      </c>
      <c r="C46" s="8" t="s">
        <v>92</v>
      </c>
    </row>
    <row r="47" spans="1:4">
      <c r="A47" s="1">
        <v>1001</v>
      </c>
      <c r="B47" s="8" t="s">
        <v>93</v>
      </c>
      <c r="D47" s="1">
        <v>4</v>
      </c>
    </row>
  </sheetData>
  <pageMargins left="0.7" right="0.7" top="0.75" bottom="0.75" header="0.3" footer="0.3"/>
  <pageSetup paperSize="9" orientation="portrait"/>
  <headerFooter/>
  <legacyDrawing r:id="rId2"/>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1</vt:i4>
      </vt:variant>
    </vt:vector>
  </HeadingPairs>
  <TitlesOfParts>
    <vt:vector size="1" baseType="lpstr">
      <vt:lpstr>globalConfig</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Administrator</dc:creator>
  <cp:lastModifiedBy>微信用户</cp:lastModifiedBy>
  <dcterms:created xsi:type="dcterms:W3CDTF">2015-06-05T18:19:00Z</dcterms:created>
  <dcterms:modified xsi:type="dcterms:W3CDTF">2025-10-16T08:06:31Z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B5E976CEC25246FE8BA3A05094E16AD1_12</vt:lpwstr>
  </property>
  <property fmtid="{D5CDD505-2E9C-101B-9397-08002B2CF9AE}" pid="3" name="KSOProductBuildVer">
    <vt:lpwstr>2052-12.1.0.22529</vt:lpwstr>
  </property>
</Properties>
</file>