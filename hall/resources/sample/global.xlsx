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G18" authorId="0">
      <text>
        <r>
          <rPr>
            <b/>
            <sz val="9"/>
            <rFont val="宋体"/>
            <charset val="134"/>
          </rPr>
          <t>Administrator:</t>
        </r>
        <r>
          <rPr>
            <sz val="9"/>
            <rFont val="宋体"/>
            <charset val="134"/>
          </rPr>
          <t xml:space="preserve">
默认头像：默认头像框：默认国旗：默认头衔：默认筹码：默认牌背：默认大厅背景
不需要时填0，不要改变分割</t>
        </r>
      </text>
    </comment>
    <comment ref="E36" authorId="0">
      <text>
        <r>
          <rPr>
            <b/>
            <sz val="9"/>
            <rFont val="宋体"/>
            <charset val="134"/>
          </rPr>
          <t>Administrator:</t>
        </r>
        <r>
          <rPr>
            <sz val="9"/>
            <rFont val="宋体"/>
            <charset val="134"/>
          </rPr>
          <t xml:space="preserve">
总量 ÷ 平均中奖金额 = 中奖次数
1000000000 ÷ 718000 = 1392.7577
初始天数30天</t>
        </r>
      </text>
    </comment>
    <comment ref="C38" authorId="0">
      <text>
        <r>
          <rPr>
            <b/>
            <sz val="9"/>
            <rFont val="宋体"/>
            <charset val="134"/>
          </rPr>
          <t>Administrator:</t>
        </r>
        <r>
          <rPr>
            <sz val="9"/>
            <rFont val="宋体"/>
            <charset val="134"/>
          </rPr>
          <t xml:space="preserve">
修改此比例后，需要在多语言表中(67016)修正描述数值</t>
        </r>
      </text>
    </comment>
  </commentList>
</comments>
</file>

<file path=xl/sharedStrings.xml><?xml version="1.0" encoding="utf-8"?>
<sst xmlns="http://schemas.openxmlformats.org/spreadsheetml/2006/main" count="109" uniqueCount="101">
  <si>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</si>
  <si>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</si>
  <si>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</si>
  <si>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</si>
  <si>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</si>
  <si>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</si>
  <si>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</si>
  <si>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</si>
  <si>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</si>
  <si>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</si>
  <si>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</si>
  <si>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</si>
  <si>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</si>
  <si>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</si>
  <si>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</si>
  <si>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</si>
  <si>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</si>
  <si>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</si>
  <si>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</si>
  <si>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</si>
  <si>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</si>
  <si>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</si>
  <si>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</si>
  <si>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</si>
  <si>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</si>
  <si>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</si>
  <si>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</si>
  <si>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</si>
  <si>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</si>
  <si>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</si>
  <si>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</si>
  <si>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</si>
  <si>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</si>
  <si>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</si>
  <si>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</si>
  <si>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</si>
  <si>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</si>
  <si>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</si>
  <si>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</si>
  <si>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1:1001:2001:0:4001:5001:6001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</si>
  <si>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</si>
  <si>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</si>
  <si>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</si>
  <si>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</si>
  <si>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</si>
  <si>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</si>
  <si>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</si>
  <si>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</si>
  <si>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</si>
  <si>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</si>
  <si>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</si>
  <si>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</si>
  <si>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</si>
  <si>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</si>
  <si>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</si>
  <si>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</si>
  <si>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</si>
  <si>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</si>
  <si>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</si>
  <si>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</si>
  <si>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</si>
  <si>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</si>
  <si>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</si>
  <si>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</si>
  <si>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幸运夺宝能配置商品数量上限</t>
  </si>
  <si>
    <t>幸运夺宝开奖时间(秒)</t>
  </si>
  <si>
    <t>官方派奖每个转盘需求积分：初、中、高(字段废弃，配置移到ActivityConfig.xlsx)</t>
  </si>
  <si>
    <t>10_200_5000</t>
  </si>
  <si>
    <t>官方派奖转盘奖池金币数量（废弃，在活动配置表中配置）</t>
  </si>
  <si>
    <t>从OfficialAwards表中取平均中奖金额</t>
  </si>
  <si>
    <t>活动时间</t>
  </si>
  <si>
    <t>天</t>
  </si>
  <si>
    <t>毫秒</t>
  </si>
  <si>
    <t>官方派奖：有效下注转换积分比例 ：有效下注 = X积分(字段废弃)</t>
  </si>
  <si>
    <t>100000_1</t>
  </si>
  <si>
    <t>官方派奖：充值转换积分比例 ：充值金额 = X积分</t>
  </si>
  <si>
    <t>1_1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</si>
  <si>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</si>
  <si>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</si>
  <si>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</si>
  <si>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</si>
  <si>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</si>
  <si>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</si>
  <si>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</si>
  <si>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</si>
  <si>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</si>
  <si>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</si>
  <si>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</si>
  <si>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积分大奖：每日转盘默认初始次数上限</t>
  </si>
  <si>
    <t>积分大奖：充值多少金额给一次转盘次数</t>
  </si>
  <si>
    <t>积分大奖：积分保底奖励（积分数量_奖励道具ID_奖励道具数量）</t>
  </si>
  <si>
    <t>360_1990000_1400000|960_1990000_2800000|1800_1990000_5600000|2400_1990000_14000000|3000_1990000_35000000|3600_1990000_105000000</t>
  </si>
  <si>
    <t>VIP充值：充值金额与经验转换比例(充值金额_获得vip经验，最低支持0.01_1，美元)</t>
  </si>
  <si>
    <t>积分大奖：实物奖励兑换码过期时间（天）</t>
  </si>
  <si>
    <t>新手奖励</t>
  </si>
  <si>
    <t>1990000_700000</t>
  </si>
  <si>
    <t>手机短信区号</t>
  </si>
  <si>
    <r>
      <rPr>
        <sz val="11"/>
        <color theme="1"/>
        <rFont val="Times New Roman"/>
        <charset val="134"/>
      </rPr>
      <t>‌</t>
    </r>
    <r>
      <rPr>
        <sz val="11"/>
        <color theme="1"/>
        <rFont val="微软雅黑"/>
        <charset val="134"/>
      </rPr>
      <t>84</t>
    </r>
    <r>
      <rPr>
        <sz val="11"/>
        <color theme="1"/>
        <rFont val="Times New Roman"/>
        <charset val="134"/>
      </rPr>
      <t>‌</t>
    </r>
    <r>
      <rPr>
        <sz val="11"/>
        <color theme="1"/>
        <rFont val="微软雅黑"/>
        <charset val="134"/>
      </rPr>
      <t>_91_351</t>
    </r>
  </si>
  <si>
    <t>VIP充值返利给金币时的金币数量，金币数量 = 返利金额 * 此值</t>
  </si>
  <si>
    <t>推广分享给金币时的金币数量，金币数量 = 返利金额 * 此值</t>
  </si>
  <si>
    <t>VIP充值返利给钻石时的钻石数量，钻石数量 = 返利金额 * 此值</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</si>
</sst>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6">
    <font>
      <sz val="11"/>
      <color theme="1"/>
      <name val="等线"/>
      <charset val="134"/>
      <scheme val="minor"/>
    </font>
    <font>
      <sz val="11"/>
      <color theme="1"/>
      <name val="微软雅黑"/>
      <charset val="134"/>
    </font>
    <font>
      <sz val="11"/>
      <color theme="0" tint="-0.25"/>
      <name val="微软雅黑"/>
      <charset val="134"/>
    </font>
    <font>
      <sz val="10"/>
      <color theme="1"/>
      <name val="微软雅黑"/>
      <charset val="134"/>
    </font>
    <font>
      <sz val="11"/>
      <color theme="1"/>
      <name val="Times New Roman"/>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
      <name val="宋体"/>
      <charset val="134"/>
    </font>
    <font>
      <b/>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5" fillId="0" borderId="0" applyNumberFormat="0" applyFill="0" applyBorder="0" applyAlignment="0" applyProtection="0">
      <alignment vertical="center"/>
    </xf>
    <xf numFmtId="0" fontId="6" fillId="0" borderId="0" applyNumberFormat="0" applyFill="0" applyBorder="0" applyAlignment="0" applyProtection="0">
      <alignment vertical="center"/>
    </xf>
    <xf numFmtId="0" fontId="0" fillId="4" borderId="2" applyNumberFormat="0" applyFont="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10" fillId="0" borderId="3" applyNumberFormat="0" applyFill="0" applyAlignment="0" applyProtection="0">
      <alignment vertical="center"/>
    </xf>
    <xf numFmtId="0" fontId="11" fillId="0" borderId="3" applyNumberFormat="0" applyFill="0" applyAlignment="0" applyProtection="0">
      <alignment vertical="center"/>
    </xf>
    <xf numFmtId="0" fontId="12" fillId="0" borderId="4" applyNumberFormat="0" applyFill="0" applyAlignment="0" applyProtection="0">
      <alignment vertical="center"/>
    </xf>
    <xf numFmtId="0" fontId="12" fillId="0" borderId="0" applyNumberFormat="0" applyFill="0" applyBorder="0" applyAlignment="0" applyProtection="0">
      <alignment vertical="center"/>
    </xf>
    <xf numFmtId="0" fontId="13" fillId="5" borderId="5" applyNumberFormat="0" applyAlignment="0" applyProtection="0">
      <alignment vertical="center"/>
    </xf>
    <xf numFmtId="0" fontId="14" fillId="6" borderId="6" applyNumberFormat="0" applyAlignment="0" applyProtection="0">
      <alignment vertical="center"/>
    </xf>
    <xf numFmtId="0" fontId="15" fillId="6" borderId="5" applyNumberFormat="0" applyAlignment="0" applyProtection="0">
      <alignment vertical="center"/>
    </xf>
    <xf numFmtId="0" fontId="16" fillId="7" borderId="7" applyNumberFormat="0" applyAlignment="0" applyProtection="0">
      <alignment vertical="center"/>
    </xf>
    <xf numFmtId="0" fontId="17" fillId="0" borderId="8" applyNumberFormat="0" applyFill="0" applyAlignment="0" applyProtection="0">
      <alignment vertical="center"/>
    </xf>
    <xf numFmtId="0" fontId="18" fillId="0" borderId="9" applyNumberFormat="0" applyFill="0" applyAlignment="0" applyProtection="0">
      <alignment vertical="center"/>
    </xf>
    <xf numFmtId="0" fontId="19" fillId="8" borderId="0" applyNumberFormat="0" applyBorder="0" applyAlignment="0" applyProtection="0">
      <alignment vertical="center"/>
    </xf>
    <xf numFmtId="0" fontId="20" fillId="9" borderId="0" applyNumberFormat="0" applyBorder="0" applyAlignment="0" applyProtection="0">
      <alignment vertical="center"/>
    </xf>
    <xf numFmtId="0" fontId="21" fillId="10" borderId="0" applyNumberFormat="0" applyBorder="0" applyAlignment="0" applyProtection="0">
      <alignment vertical="center"/>
    </xf>
    <xf numFmtId="0" fontId="22" fillId="11" borderId="0" applyNumberFormat="0" applyBorder="0" applyAlignment="0" applyProtection="0">
      <alignment vertical="center"/>
    </xf>
    <xf numFmtId="0" fontId="23" fillId="12" borderId="0" applyNumberFormat="0" applyBorder="0" applyAlignment="0" applyProtection="0">
      <alignment vertical="center"/>
    </xf>
    <xf numFmtId="0" fontId="23" fillId="13" borderId="0" applyNumberFormat="0" applyBorder="0" applyAlignment="0" applyProtection="0">
      <alignment vertical="center"/>
    </xf>
    <xf numFmtId="0" fontId="22" fillId="14" borderId="0" applyNumberFormat="0" applyBorder="0" applyAlignment="0" applyProtection="0">
      <alignment vertical="center"/>
    </xf>
    <xf numFmtId="0" fontId="22" fillId="15" borderId="0" applyNumberFormat="0" applyBorder="0" applyAlignment="0" applyProtection="0">
      <alignment vertical="center"/>
    </xf>
    <xf numFmtId="0" fontId="23" fillId="16" borderId="0" applyNumberFormat="0" applyBorder="0" applyAlignment="0" applyProtection="0">
      <alignment vertical="center"/>
    </xf>
    <xf numFmtId="0" fontId="23" fillId="17" borderId="0" applyNumberFormat="0" applyBorder="0" applyAlignment="0" applyProtection="0">
      <alignment vertical="center"/>
    </xf>
    <xf numFmtId="0" fontId="22" fillId="18" borderId="0" applyNumberFormat="0" applyBorder="0" applyAlignment="0" applyProtection="0">
      <alignment vertical="center"/>
    </xf>
    <xf numFmtId="0" fontId="22" fillId="19" borderId="0" applyNumberFormat="0" applyBorder="0" applyAlignment="0" applyProtection="0">
      <alignment vertical="center"/>
    </xf>
    <xf numFmtId="0" fontId="23" fillId="20" borderId="0" applyNumberFormat="0" applyBorder="0" applyAlignment="0" applyProtection="0">
      <alignment vertical="center"/>
    </xf>
    <xf numFmtId="0" fontId="23" fillId="21" borderId="0" applyNumberFormat="0" applyBorder="0" applyAlignment="0" applyProtection="0">
      <alignment vertical="center"/>
    </xf>
    <xf numFmtId="0" fontId="22" fillId="22" borderId="0" applyNumberFormat="0" applyBorder="0" applyAlignment="0" applyProtection="0">
      <alignment vertical="center"/>
    </xf>
    <xf numFmtId="0" fontId="22" fillId="23" borderId="0" applyNumberFormat="0" applyBorder="0" applyAlignment="0" applyProtection="0">
      <alignment vertical="center"/>
    </xf>
    <xf numFmtId="0" fontId="23" fillId="24" borderId="0" applyNumberFormat="0" applyBorder="0" applyAlignment="0" applyProtection="0">
      <alignment vertical="center"/>
    </xf>
    <xf numFmtId="0" fontId="23" fillId="25" borderId="0" applyNumberFormat="0" applyBorder="0" applyAlignment="0" applyProtection="0">
      <alignment vertical="center"/>
    </xf>
    <xf numFmtId="0" fontId="22" fillId="26" borderId="0" applyNumberFormat="0" applyBorder="0" applyAlignment="0" applyProtection="0">
      <alignment vertical="center"/>
    </xf>
    <xf numFmtId="0" fontId="22" fillId="27" borderId="0" applyNumberFormat="0" applyBorder="0" applyAlignment="0" applyProtection="0">
      <alignment vertical="center"/>
    </xf>
    <xf numFmtId="0" fontId="23" fillId="28" borderId="0" applyNumberFormat="0" applyBorder="0" applyAlignment="0" applyProtection="0">
      <alignment vertical="center"/>
    </xf>
    <xf numFmtId="0" fontId="23" fillId="29" borderId="0" applyNumberFormat="0" applyBorder="0" applyAlignment="0" applyProtection="0">
      <alignment vertical="center"/>
    </xf>
    <xf numFmtId="0" fontId="22" fillId="30" borderId="0" applyNumberFormat="0" applyBorder="0" applyAlignment="0" applyProtection="0">
      <alignment vertical="center"/>
    </xf>
    <xf numFmtId="0" fontId="22" fillId="31" borderId="0" applyNumberFormat="0" applyBorder="0" applyAlignment="0" applyProtection="0">
      <alignment vertical="center"/>
    </xf>
    <xf numFmtId="0" fontId="23" fillId="32" borderId="0" applyNumberFormat="0" applyBorder="0" applyAlignment="0" applyProtection="0">
      <alignment vertical="center"/>
    </xf>
    <xf numFmtId="0" fontId="23" fillId="33" borderId="0" applyNumberFormat="0" applyBorder="0" applyAlignment="0" applyProtection="0">
      <alignment vertical="center"/>
    </xf>
    <xf numFmtId="0" fontId="22" fillId="34" borderId="0" applyNumberFormat="0" applyBorder="0" applyAlignment="0" applyProtection="0">
      <alignment vertical="center"/>
    </xf>
  </cellStyleXfs>
  <cellXfs count="16">
    <xf numFmtId="0" fontId="0" fillId="0" borderId="0" xfId="0"/>
    <xf numFmtId="0" fontId="1" fillId="0" borderId="0" xfId="0" applyFont="1"/>
    <xf numFmtId="0" fontId="2" fillId="0" borderId="0" xfId="0" applyFont="1"/>
    <xf numFmtId="0" fontId="1" fillId="0" borderId="1" xfId="0" applyFont="1" applyBorder="1" applyAlignment="1">
      <alignment horizontal="left" vertical="center"/>
    </xf>
    <xf numFmtId="0" fontId="1" fillId="0" borderId="1" xfId="0" applyFont="1" applyBorder="1" applyAlignment="1">
      <alignment vertical="center"/>
    </xf>
    <xf numFmtId="0" fontId="3" fillId="0" borderId="1" xfId="0" applyFont="1" applyBorder="1" applyAlignment="1">
      <alignment vertical="center"/>
    </xf>
    <xf numFmtId="0" fontId="1" fillId="0" borderId="0" xfId="0" applyFont="1" applyAlignment="1">
      <alignment vertical="center"/>
    </xf>
    <xf numFmtId="0" fontId="1" fillId="0" borderId="0" xfId="0" applyFont="1" applyAlignment="1">
      <alignment horizontal="left" vertical="center"/>
    </xf>
    <xf numFmtId="3" fontId="1" fillId="0" borderId="0" xfId="0" applyNumberFormat="1" applyFont="1" applyAlignment="1">
      <alignment vertical="center"/>
    </xf>
    <xf numFmtId="20" fontId="1" fillId="0" borderId="0" xfId="0" applyNumberFormat="1" applyFont="1"/>
    <xf numFmtId="0" fontId="1" fillId="0" borderId="0" xfId="0" applyFont="1" applyAlignment="1">
      <alignment horizontal="left"/>
    </xf>
    <xf numFmtId="0" fontId="2" fillId="2" borderId="0" xfId="0" applyFont="1" applyFill="1"/>
    <xf numFmtId="0" fontId="1" fillId="2" borderId="0" xfId="0" applyFont="1" applyFill="1"/>
    <xf numFmtId="9" fontId="1" fillId="0" borderId="0" xfId="0" applyNumberFormat="1" applyFont="1"/>
    <xf numFmtId="0" fontId="1" fillId="3" borderId="0" xfId="0" applyFont="1" applyFill="1"/>
    <xf numFmtId="0" fontId="4" fillId="0" borderId="0" xfId="0" applyFont="1"/>
    <xf numFmtId="3" fontId="1" fillId="0" borderId="0" xfId="0" applyNumberFormat="1" applyFont="1" applyAlignment="1" quotePrefix="1">
      <alignment vertical="center"/>
    </xf>
    <xf numFmtId="0" fontId="1"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53"/>
  <sheetViews>
    <sheetView tabSelected="1" workbookViewId="0">
      <pane ySplit="3" topLeftCell="A24" activePane="bottomLeft" state="frozen"/>
      <selection/>
      <selection pane="bottomLeft" activeCell="K50" sqref="K50"/>
    </sheetView>
  </sheetViews>
  <sheetFormatPr defaultColWidth="9" defaultRowHeight="16.5"/>
  <cols>
    <col min="1" max="1" width="9" style="1"/>
    <col min="2" max="2" width="65.375" style="1" customWidth="1"/>
    <col min="3" max="3" width="37.625" style="1" customWidth="1"/>
    <col min="4" max="4" width="9.375" style="1" customWidth="1"/>
    <col min="5" max="5" width="11.5" style="1" customWidth="1"/>
    <col min="6" max="6" width="9.625" style="1" customWidth="1"/>
    <col min="7" max="7" width="23.375" style="1" customWidth="1"/>
    <col min="8" max="8" width="9.25" style="1"/>
    <col min="9" max="9" width="9" style="1"/>
    <col min="10" max="10" width="11.5" style="1"/>
    <col min="11" max="11" width="9" style="1"/>
    <col min="12" max="12" width="12.875" style="1"/>
    <col min="13" max="13" width="9" style="1"/>
    <col min="14" max="18" width="9.25" style="1"/>
    <col min="19" max="16384" width="9" style="1"/>
  </cols>
  <sheetData>
    <row r="1" spans="1:7">
      <c r="A1" s="3" t="s">
        <v>0</v>
      </c>
      <c r="B1" s="4"/>
      <c r="C1" s="4" t="s">
        <v>1</v>
      </c>
      <c r="D1" s="4" t="s">
        <v>2</v>
      </c>
      <c r="E1" s="4" t="s">
        <v>3</v>
      </c>
      <c r="F1" s="4" t="s">
        <v>4</v>
      </c>
      <c r="G1" s="4" t="s">
        <v>5</v>
      </c>
    </row>
    <row r="2" spans="1:7">
      <c r="A2" s="5" t="s">
        <v>6</v>
      </c>
      <c r="B2" s="4"/>
      <c r="C2" s="4" t="s">
        <v>7</v>
      </c>
      <c r="D2" s="6" t="s">
        <v>6</v>
      </c>
      <c r="E2" s="1" t="s">
        <v>8</v>
      </c>
      <c r="F2" s="4" t="s">
        <v>9</v>
      </c>
      <c r="G2" s="4"/>
    </row>
    <row r="3" spans="1:7">
      <c r="A3" s="3" t="s">
        <v>10</v>
      </c>
      <c r="B3" s="4"/>
      <c r="C3" s="4" t="s">
        <v>11</v>
      </c>
      <c r="D3" s="1" t="s">
        <v>12</v>
      </c>
      <c r="E3" s="1" t="s">
        <v>13</v>
      </c>
      <c r="F3" s="1" t="s">
        <v>14</v>
      </c>
      <c r="G3" s="4"/>
    </row>
    <row r="4" spans="1:7">
      <c r="A4" s="7"/>
      <c r="B4" s="6"/>
      <c r="C4" s="6"/>
      <c r="G4" s="6"/>
    </row>
    <row r="5" spans="1:7">
      <c r="A5" s="1">
        <v>1</v>
      </c>
      <c r="B5" s="6" t="s">
        <v>15</v>
      </c>
      <c r="D5" s="6">
        <v>999</v>
      </c>
      <c r="E5" s="6"/>
      <c r="F5" s="6"/>
      <c r="G5" s="6"/>
    </row>
    <row r="6" spans="1:7">
      <c r="A6" s="1">
        <v>2</v>
      </c>
      <c r="B6" s="6" t="s">
        <v>16</v>
      </c>
      <c r="D6" s="6">
        <v>10000</v>
      </c>
      <c r="E6" s="6"/>
      <c r="F6" s="6"/>
      <c r="G6" s="6" t="s">
        <v>17</v>
      </c>
    </row>
    <row r="7" spans="1:7">
      <c r="A7" s="1">
        <v>3</v>
      </c>
      <c r="B7" s="6" t="s">
        <v>18</v>
      </c>
      <c r="D7" s="6">
        <v>10000</v>
      </c>
      <c r="E7" s="6"/>
      <c r="F7" s="6"/>
      <c r="G7" s="6" t="s">
        <v>17</v>
      </c>
    </row>
    <row r="8" spans="1:7">
      <c r="A8" s="1">
        <v>4</v>
      </c>
      <c r="B8" s="6" t="s">
        <v>19</v>
      </c>
      <c r="C8" s="6">
        <v>100</v>
      </c>
      <c r="D8" s="6"/>
      <c r="E8" s="6"/>
      <c r="F8" s="6"/>
      <c r="G8" s="6" t="s">
        <v>20</v>
      </c>
    </row>
    <row r="9" spans="1:7">
      <c r="A9" s="1">
        <v>5</v>
      </c>
      <c r="B9" s="1" t="s">
        <v>21</v>
      </c>
      <c r="C9" s="1">
        <v>4</v>
      </c>
      <c r="G9" s="1" t="s">
        <v>22</v>
      </c>
    </row>
    <row r="10" spans="1:7">
      <c r="A10" s="1">
        <v>6</v>
      </c>
      <c r="B10" s="6" t="s">
        <v>23</v>
      </c>
      <c r="C10" s="16" t="s">
        <v>24</v>
      </c>
      <c r="D10" s="8"/>
      <c r="E10" s="6"/>
      <c r="F10" s="6"/>
      <c r="G10" s="1" t="s">
        <v>25</v>
      </c>
    </row>
    <row r="11" spans="1:7">
      <c r="A11" s="1">
        <v>7</v>
      </c>
      <c r="B11" s="6" t="s">
        <v>26</v>
      </c>
      <c r="C11" s="17" t="s">
        <v>27</v>
      </c>
      <c r="D11" s="6"/>
      <c r="E11" s="6"/>
      <c r="F11" s="6"/>
      <c r="G11" s="1" t="s">
        <v>25</v>
      </c>
    </row>
    <row r="12" spans="1:7">
      <c r="A12" s="1">
        <v>8</v>
      </c>
      <c r="B12" s="6" t="s">
        <v>28</v>
      </c>
      <c r="C12" s="17" t="s">
        <v>29</v>
      </c>
      <c r="D12" s="6"/>
      <c r="E12" s="6"/>
      <c r="F12" s="6"/>
      <c r="G12" s="1" t="s">
        <v>25</v>
      </c>
    </row>
    <row r="13" spans="1:7">
      <c r="A13" s="1">
        <v>9</v>
      </c>
      <c r="B13" s="6" t="s">
        <v>30</v>
      </c>
      <c r="C13" s="17" t="s">
        <v>31</v>
      </c>
      <c r="D13" s="6"/>
      <c r="E13" s="6"/>
      <c r="F13" s="6"/>
      <c r="G13" s="1" t="s">
        <v>25</v>
      </c>
    </row>
    <row r="14" spans="1:7">
      <c r="A14" s="1">
        <v>10</v>
      </c>
      <c r="B14" s="6" t="s">
        <v>32</v>
      </c>
      <c r="C14" s="17" t="s">
        <v>33</v>
      </c>
      <c r="D14" s="6"/>
      <c r="E14" s="6"/>
      <c r="F14" s="6"/>
      <c r="G14" s="1" t="s">
        <v>25</v>
      </c>
    </row>
    <row r="15" spans="1:7">
      <c r="A15" s="1">
        <v>11</v>
      </c>
      <c r="B15" s="1" t="s">
        <v>34</v>
      </c>
      <c r="D15" s="1">
        <f>2*3*5*3</f>
        <v>90</v>
      </c>
    </row>
    <row r="16" spans="1:7">
      <c r="A16" s="1">
        <v>12</v>
      </c>
      <c r="B16" s="1" t="s">
        <v>35</v>
      </c>
      <c r="D16" s="1">
        <v>100</v>
      </c>
      <c r="G16" s="1" t="s">
        <v>36</v>
      </c>
    </row>
    <row r="17" spans="1:7">
      <c r="A17" s="1">
        <v>13</v>
      </c>
      <c r="B17" s="1" t="s">
        <v>37</v>
      </c>
      <c r="D17" s="1">
        <v>1</v>
      </c>
    </row>
    <row r="18" spans="1:7">
      <c r="A18" s="1">
        <v>14</v>
      </c>
      <c r="B18" s="1" t="s">
        <v>38</v>
      </c>
      <c r="C18" s="9" t="s">
        <v>39</v>
      </c>
      <c r="G18" s="1" t="s">
        <v>40</v>
      </c>
    </row>
    <row r="19" spans="1:7">
      <c r="A19" s="1">
        <v>15</v>
      </c>
      <c r="B19" s="1" t="s">
        <v>41</v>
      </c>
      <c r="D19" s="1">
        <v>5</v>
      </c>
    </row>
    <row r="20" spans="1:7">
      <c r="A20" s="1">
        <v>16</v>
      </c>
      <c r="B20" s="1" t="s">
        <v>42</v>
      </c>
      <c r="D20" s="1">
        <v>10</v>
      </c>
    </row>
    <row r="21" spans="1:7">
      <c r="A21" s="1">
        <v>17</v>
      </c>
      <c r="B21" s="1" t="s">
        <v>43</v>
      </c>
      <c r="C21" s="1" t="s">
        <v>44</v>
      </c>
    </row>
    <row r="22" spans="1:7">
      <c r="A22" s="1">
        <v>18</v>
      </c>
      <c r="B22" s="1" t="s">
        <v>45</v>
      </c>
      <c r="D22" s="1">
        <f>7*24*60*60</f>
        <v>604800</v>
      </c>
    </row>
    <row r="23" spans="1:7">
      <c r="A23" s="1">
        <v>19</v>
      </c>
      <c r="B23" s="1" t="s">
        <v>46</v>
      </c>
      <c r="C23" s="1" t="s">
        <v>47</v>
      </c>
    </row>
    <row r="24" spans="1:7">
      <c r="A24" s="1">
        <v>20</v>
      </c>
      <c r="B24" s="1" t="s">
        <v>48</v>
      </c>
      <c r="D24" s="1">
        <v>10</v>
      </c>
    </row>
    <row r="25" spans="1:7">
      <c r="A25" s="1">
        <v>21</v>
      </c>
      <c r="B25" s="1" t="s">
        <v>49</v>
      </c>
      <c r="C25" s="1" t="s">
        <v>50</v>
      </c>
      <c r="G25" s="1" t="s">
        <v>51</v>
      </c>
    </row>
    <row r="26" spans="1:7">
      <c r="A26" s="1">
        <v>22</v>
      </c>
      <c r="B26" s="1" t="s">
        <v>52</v>
      </c>
      <c r="C26" s="1" t="s">
        <v>53</v>
      </c>
      <c r="G26" s="1" t="s">
        <v>54</v>
      </c>
    </row>
    <row r="27" spans="1:7">
      <c r="A27" s="1">
        <v>23</v>
      </c>
      <c r="B27" s="1" t="s">
        <v>55</v>
      </c>
      <c r="D27" s="1">
        <v>10000</v>
      </c>
    </row>
    <row r="28" spans="1:7">
      <c r="A28" s="1">
        <v>24</v>
      </c>
      <c r="B28" s="1" t="s">
        <v>56</v>
      </c>
      <c r="D28" s="1">
        <v>100</v>
      </c>
    </row>
    <row r="29" s="1" customFormat="1" spans="1:7">
      <c r="A29" s="1">
        <v>25</v>
      </c>
      <c r="B29" s="1" t="s">
        <v>57</v>
      </c>
      <c r="C29" s="1" t="s">
        <v>58</v>
      </c>
    </row>
    <row r="30" spans="1:7">
      <c r="A30" s="1">
        <v>26</v>
      </c>
      <c r="B30" s="1" t="s">
        <v>59</v>
      </c>
      <c r="C30" s="10"/>
      <c r="D30" s="1">
        <v>100</v>
      </c>
    </row>
    <row r="31" spans="1:7">
      <c r="A31" s="1">
        <v>27</v>
      </c>
      <c r="B31" s="1" t="s">
        <v>60</v>
      </c>
      <c r="D31" s="1">
        <v>9900</v>
      </c>
      <c r="G31" s="1" t="s">
        <v>61</v>
      </c>
    </row>
    <row r="32" spans="1:7">
      <c r="A32" s="1">
        <v>28</v>
      </c>
      <c r="B32" s="1" t="s">
        <v>62</v>
      </c>
      <c r="C32" s="1" t="s">
        <v>63</v>
      </c>
    </row>
    <row r="33" spans="1:23">
      <c r="A33" s="1">
        <v>29</v>
      </c>
      <c r="B33" s="1" t="s">
        <v>64</v>
      </c>
      <c r="D33" s="1">
        <v>10</v>
      </c>
    </row>
    <row r="34" customFormat="1" spans="1:23">
      <c r="A34" s="1">
        <v>55</v>
      </c>
      <c r="B34" s="1" t="s">
        <v>65</v>
      </c>
      <c r="C34" s="1"/>
      <c r="D34" s="1">
        <v>60</v>
      </c>
    </row>
    <row r="35" s="2" customFormat="1" spans="1:23">
      <c r="A35" s="11">
        <v>30</v>
      </c>
      <c r="B35" s="11" t="s">
        <v>66</v>
      </c>
      <c r="C35" s="2" t="s">
        <v>67</v>
      </c>
    </row>
    <row r="36" s="2" customFormat="1" spans="1:23">
      <c r="A36" s="11">
        <v>31</v>
      </c>
      <c r="B36" s="11" t="s">
        <v>68</v>
      </c>
      <c r="E36" s="2">
        <v>1000000000</v>
      </c>
      <c r="G36" s="2" t="s">
        <v>69</v>
      </c>
      <c r="H36" s="2">
        <v>718000</v>
      </c>
      <c r="I36" s="2" t="s">
        <v>70</v>
      </c>
      <c r="J36" s="2">
        <v>30</v>
      </c>
      <c r="K36" s="2" t="s">
        <v>71</v>
      </c>
      <c r="L36" s="2">
        <f>J36*24*60*60*1000</f>
        <v>2592000000</v>
      </c>
      <c r="M36" s="2" t="s">
        <v>72</v>
      </c>
    </row>
    <row r="37" spans="1:23">
      <c r="A37" s="11">
        <v>32</v>
      </c>
      <c r="B37" s="11" t="s">
        <v>73</v>
      </c>
      <c r="C37" s="2" t="s">
        <v>74</v>
      </c>
    </row>
    <row r="38" spans="1:23">
      <c r="A38" s="12">
        <v>33</v>
      </c>
      <c r="B38" s="12" t="s">
        <v>75</v>
      </c>
      <c r="C38" s="1" t="s">
        <v>76</v>
      </c>
    </row>
    <row r="39" s="2" customFormat="1" spans="1:23">
      <c r="A39" s="11">
        <v>34</v>
      </c>
      <c r="B39" s="11" t="s">
        <v>77</v>
      </c>
      <c r="C39" s="2" t="s">
        <v>78</v>
      </c>
      <c r="G39" s="2" t="s">
        <v>79</v>
      </c>
      <c r="H39" s="2">
        <f>VALUE(MID(C39,FIND("_",C39)+1,4))</f>
        <v>90</v>
      </c>
    </row>
    <row r="40" spans="1:23">
      <c r="A40" s="12">
        <v>35</v>
      </c>
      <c r="B40" s="12" t="s">
        <v>80</v>
      </c>
      <c r="C40" s="1" t="str">
        <f>_xlfn.TEXTJOIN("|",TRUE,S40:W40)</f>
        <v>3101760_1000|2584800_1000|2067840_1000|1550880_1000|1033920_1000</v>
      </c>
      <c r="G40" s="1" t="s">
        <v>81</v>
      </c>
      <c r="H40" s="1">
        <f>ROUND(L36/(E36*H39/100/H36),0)</f>
        <v>2067840</v>
      </c>
      <c r="I40" s="1" t="s">
        <v>72</v>
      </c>
      <c r="J40" s="1" t="s">
        <v>82</v>
      </c>
      <c r="K40" s="13" t="s">
        <v>83</v>
      </c>
      <c r="L40" s="13">
        <v>0.25</v>
      </c>
      <c r="M40" s="1" t="s">
        <v>84</v>
      </c>
      <c r="N40" s="1">
        <f>ROUND(P40*(1+2*L40),0)</f>
        <v>3101760</v>
      </c>
      <c r="O40" s="1">
        <f>ROUND(P40*(1+1*L40),0)</f>
        <v>2584800</v>
      </c>
      <c r="P40" s="1">
        <f>H40</f>
        <v>2067840</v>
      </c>
      <c r="Q40" s="1">
        <f>ROUND(P40*(1-1*L40),0)</f>
        <v>1550880</v>
      </c>
      <c r="R40" s="1">
        <f>ROUND(P40*(1-2*L40),0)</f>
        <v>1033920</v>
      </c>
      <c r="S40" s="1" t="str">
        <f>_xlfn.TEXTJOIN("_",TRUE,N40,1000)</f>
        <v>3101760_1000</v>
      </c>
      <c r="T40" s="1" t="str">
        <f>_xlfn.TEXTJOIN("_",TRUE,O40,1000)</f>
        <v>2584800_1000</v>
      </c>
      <c r="U40" s="1" t="str">
        <f>_xlfn.TEXTJOIN("_",TRUE,P40,1000)</f>
        <v>2067840_1000</v>
      </c>
      <c r="V40" s="1" t="str">
        <f>_xlfn.TEXTJOIN("_",TRUE,Q40,1000)</f>
        <v>1550880_1000</v>
      </c>
      <c r="W40" s="1" t="str">
        <f>_xlfn.TEXTJOIN("_",TRUE,R40,1000)</f>
        <v>1033920_1000</v>
      </c>
    </row>
    <row r="41" spans="1:23">
      <c r="A41" s="14">
        <v>40</v>
      </c>
      <c r="B41" s="14" t="s">
        <v>85</v>
      </c>
      <c r="D41" s="1">
        <v>50</v>
      </c>
    </row>
    <row r="42" spans="1:23">
      <c r="A42" s="14">
        <v>41</v>
      </c>
      <c r="B42" s="14" t="s">
        <v>86</v>
      </c>
      <c r="D42" s="1">
        <v>50</v>
      </c>
    </row>
    <row r="43" spans="1:23">
      <c r="A43" s="14">
        <v>42</v>
      </c>
      <c r="B43" s="14" t="s">
        <v>87</v>
      </c>
      <c r="D43" s="1">
        <v>500</v>
      </c>
    </row>
    <row r="44" spans="1:23">
      <c r="A44" s="14">
        <v>43</v>
      </c>
      <c r="B44" s="14" t="s">
        <v>88</v>
      </c>
      <c r="D44" s="1">
        <v>1</v>
      </c>
    </row>
    <row r="45" spans="1:23">
      <c r="A45" s="14">
        <v>44</v>
      </c>
      <c r="B45" s="1" t="s">
        <v>89</v>
      </c>
      <c r="D45" s="1">
        <v>10</v>
      </c>
    </row>
    <row r="46" spans="1:23">
      <c r="A46" s="14">
        <v>45</v>
      </c>
      <c r="B46" s="1" t="s">
        <v>90</v>
      </c>
      <c r="C46" s="1" t="s">
        <v>91</v>
      </c>
    </row>
    <row r="47" spans="1:23">
      <c r="A47" s="1">
        <v>46</v>
      </c>
      <c r="B47" s="1" t="s">
        <v>92</v>
      </c>
      <c r="C47" s="1" t="s">
        <v>76</v>
      </c>
    </row>
    <row r="48" spans="1:23">
      <c r="A48" s="1">
        <v>47</v>
      </c>
      <c r="B48" s="1" t="s">
        <v>93</v>
      </c>
      <c r="D48" s="1">
        <v>3</v>
      </c>
    </row>
    <row r="49" spans="1:4">
      <c r="A49" s="1">
        <v>50</v>
      </c>
      <c r="B49" s="1" t="s">
        <v>94</v>
      </c>
      <c r="C49" s="1" t="s">
        <v>95</v>
      </c>
    </row>
    <row r="50" spans="1:4">
      <c r="A50" s="1">
        <v>51</v>
      </c>
      <c r="B50" s="1" t="s">
        <v>96</v>
      </c>
      <c r="C50" s="15" t="s">
        <v>97</v>
      </c>
    </row>
    <row r="51" spans="1:4">
      <c r="A51" s="1">
        <v>52</v>
      </c>
      <c r="B51" s="1" t="s">
        <v>98</v>
      </c>
      <c r="D51" s="1">
        <v>700000</v>
      </c>
    </row>
    <row r="52" spans="1:4">
      <c r="A52" s="1">
        <v>53</v>
      </c>
      <c r="B52" s="1" t="s">
        <v>99</v>
      </c>
      <c r="D52" s="1">
        <v>700000</v>
      </c>
    </row>
    <row r="53" spans="1:4">
      <c r="A53" s="1">
        <v>54</v>
      </c>
      <c r="B53" s="1" t="s">
        <v>100</v>
      </c>
      <c r="D53" s="1">
        <v>700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微信用户</cp:lastModifiedBy>
  <dcterms:created xsi:type="dcterms:W3CDTF">2015-06-05T18:19:00Z</dcterms:created>
  <dcterms:modified xsi:type="dcterms:W3CDTF">2025-11-05T05:58:13Z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2052-12.1.0.23542</vt:lpwstr>
  </property>
</Properties>
</file>