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Detailed" sheetId="2" r:id="rId1"/>
    <sheet name="Sheet1" sheetId="3" r:id="rId2"/>
    <sheet name="Sheet1 (2)" sheetId="5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<sst xmlns="http://schemas.openxmlformats.org/spreadsheetml/2006/main" count="134" uniqueCount="105">
  <si>
    <t>掉落ID</t>
  </si>
  <si>
    <t>权重_道具ID</t>
  </si>
  <si>
    <t>道具1</t>
  </si>
  <si>
    <t>权重</t>
  </si>
  <si>
    <t>道具ID</t>
  </si>
  <si>
    <t>道具数量</t>
  </si>
  <si>
    <t>道具名字</t>
  </si>
  <si>
    <t>道具2</t>
  </si>
  <si>
    <t>int</t>
  </si>
  <si>
    <t>list&lt;list&lt;int&gt;{_}&gt;{|}</t>
  </si>
  <si>
    <t>id</t>
  </si>
  <si>
    <t>detailedDropItem</t>
  </si>
  <si>
    <t>1金币</t>
  </si>
  <si>
    <t>1000_1990000_1</t>
  </si>
  <si>
    <t>金币</t>
  </si>
  <si>
    <t>5000_10000随机金币</t>
  </si>
  <si>
    <t>900_1990000_10000|900_1990000_5000</t>
  </si>
  <si>
    <t>900_1990000_5000</t>
  </si>
  <si>
    <t>900_1990000_10000</t>
  </si>
  <si>
    <t>10000_50000随机金币</t>
  </si>
  <si>
    <t>900_1990000_50000|900_1990000_10000</t>
  </si>
  <si>
    <t>900_1990000_50000</t>
  </si>
  <si>
    <t>50000_100000随机金币</t>
  </si>
  <si>
    <t>900_1990000_100000|900_1990000_50000</t>
  </si>
  <si>
    <t>900_1990000_100000</t>
  </si>
  <si>
    <t>100000_500000随机金币</t>
  </si>
  <si>
    <t>900_1990000_500000|900_1990000_100000</t>
  </si>
  <si>
    <t>900_1990000_500000</t>
  </si>
  <si>
    <t>拼图碎片包1</t>
  </si>
  <si>
    <t>400_1200101_1|400_1200102_1|400_1200103_1|400_1200121_1|400_1200122_1|400_1200123_1|400_1200141_1|400_1200142_1|400_1200143_1|400_1200161_1|400_1200162_1|400_1200163_1|400_1200181_1|400_1200182_1|400_1200183_1|400_1200201_1|400_1200202_1|400_1200203_1|400_1200221_1|400_1200222_1|400_1200223_1|400_1200241_1|400_1200242_1|400_1200243_1</t>
  </si>
  <si>
    <t>拼图碎片包2</t>
  </si>
  <si>
    <t>拼图碎片包3</t>
  </si>
  <si>
    <t>400_1200101_1|400_1200102_1|400_1200103_1|400_1200121_1|400_1200122_1|400_1200123_1|400_1200141_1|400_1200142_1|400_1200143_1|400_1200161_1|400_1200162_1|400_1200163_1|400_1200181_1|400_1200182_1|400_1200183_1|400_1200201_1</t>
  </si>
  <si>
    <t>拼图碎片包4</t>
  </si>
  <si>
    <t>拼图碎片包5</t>
  </si>
  <si>
    <t>刮刮卡</t>
  </si>
  <si>
    <t>1000_1022502_1</t>
  </si>
  <si>
    <t>赌场材料-40级</t>
  </si>
  <si>
    <t>3790_1023001_1|1061_1023101_1|352_1023201_1|189_1023301_1|107_1023401_1</t>
  </si>
  <si>
    <t>赌场材料-50级</t>
  </si>
  <si>
    <t>3772_1023001_1|1057_1023101_1|352_1023201_1|189_1023301_1|107_1023401_1</t>
  </si>
  <si>
    <t>赌场材料-60级</t>
  </si>
  <si>
    <t>2512_1023001_1|1686_1023001_5|702_1023101_1|505_1023101_5|235_1023201_1|196_1023201_5|231_1023301_1|71_1023401_1|56_1023401_5</t>
  </si>
  <si>
    <t>赌场材料-70级</t>
  </si>
  <si>
    <t>682_1023001_1|1834_1023001_5|191_1023101_1|550_1023101_5|64_1023201_1|212_1023201_5|33_1023301_1|163_1023301_5|18_1023401_1|60_1023401_5</t>
  </si>
  <si>
    <t>赌场材料-80级</t>
  </si>
  <si>
    <t>940_1023001_1|1260_1023001_5|1260_1023001_17|263_1023101_1|378_1023101_5|378_1023101_16|86_1023201_1|145_1023201_5|145_1023201_15|48_1023301_1|111_1023301_5|88_1023301_15|27_1023401_1|41_1023401_5|41_1023401_15</t>
  </si>
  <si>
    <t>赌场材料-90级</t>
  </si>
  <si>
    <t>458_1023001_5|1830_1023001_17|136_1023101_5|548_1023101_16|53_1023201_5|212_1023201_15|43_1023301_5|129_1023301_15|16_1023401_5|60_1023401_15</t>
  </si>
  <si>
    <t>赌场材料-100级</t>
  </si>
  <si>
    <t>502_1023001_5|1006_1023001_17|609_1023001_50|151_1023101_5|301_1023101_16|162_1023101_47|58_1023201_5|117_1023201_15|57_1023201_46|43_1023301_5|71_1023301_15|34_1023301_46|16_1023401_5|33_1023401_15|17_1023401_46</t>
  </si>
  <si>
    <t>赌场材料-110级</t>
  </si>
  <si>
    <t>538_1023001_17|1305_1023001_50|162_1023101_16|348_1023101_47|61_1023201_15|122_1023201_46|37_1023301_15|72_1023301_46|17_1023401_15|36_1023401_46</t>
  </si>
  <si>
    <t>赌场材料-120级</t>
  </si>
  <si>
    <t>558_1023001_17|676_1023001_50|541_1023001_89|166_1023101_16|180_1023101_47|135_1023101_83|64_1023201_15|64_1023201_46|45_1023201_81|40_1023301_15|38_1023301_46|28_1023301_82|19_1023401_15|19_1023401_46|13_1023401_82</t>
  </si>
  <si>
    <t>赌场材料-130级</t>
  </si>
  <si>
    <t>345_1023001_50|1105_1023001_89|92_1023101_47|276_1023101_83|32_1023201_46|92_1023201_81|20_1023301_46|57_1023301_82|10_1023401_46|26_1023401_82</t>
  </si>
  <si>
    <t>赌场材料-140级</t>
  </si>
  <si>
    <t>351_1023001_50|561_1023001_89|93_1023101_47|140_1023101_83|32_1023201_46|46_1023201_81|20_1023301_46|28_1023301_82|10_1023401_46|13_1023401_82</t>
  </si>
  <si>
    <t>赌场材料-150级</t>
  </si>
  <si>
    <t>648_1023001_89|162_1023101_83|54_1023201_81|34_1023301_82|16_1023401_82</t>
  </si>
  <si>
    <t>1星材料包</t>
  </si>
  <si>
    <t>4450_1023001_4|2960_1023101_2|1480_1023201_1|740_1023301_1|370_1023401_1</t>
  </si>
  <si>
    <t>2星材料包</t>
  </si>
  <si>
    <t>4450_1023001_6|2960_1023101_3|987_1023201_2|494_1023301_2|247_1023401_2</t>
  </si>
  <si>
    <t>3星材料包</t>
  </si>
  <si>
    <t>4450_1023001_8|2960_1023101_4|1480_1023201_2|740_1023301_2|370_1023401_2</t>
  </si>
  <si>
    <t>4星材料包</t>
  </si>
  <si>
    <t>4450_1023001_12|2960_1023101_6|1480_1023201_3|740_1023301_3|370_1023401_3</t>
  </si>
  <si>
    <t>5星材料包</t>
  </si>
  <si>
    <t>4450_1023001_24|2960_1023101_12|1480_1023201_6|740_1023301_6|370_1023401_6</t>
  </si>
  <si>
    <t>1星材料包X2</t>
  </si>
  <si>
    <t>2星材料包X2</t>
  </si>
  <si>
    <t>3星材料包X2</t>
  </si>
  <si>
    <t>4450_1023001_16|2960_1023101_8|1480_1023201_4|740_1023301_4|370_1023401_4</t>
  </si>
  <si>
    <t>4星材料包X2</t>
  </si>
  <si>
    <t>5星材料包X2</t>
  </si>
  <si>
    <t>4450_1023001_48|2960_1023101_24|1480_1023201_12|740_1023301_12|370_1023401_12</t>
  </si>
  <si>
    <t>1星材料包-35</t>
  </si>
  <si>
    <t>6566_1023001_35|1928_1023101_35|750_1023201_35|503_1023301_35|251_1023401_35</t>
  </si>
  <si>
    <t>1星材料包-40</t>
  </si>
  <si>
    <t>6566_1023001_40|1928_1023101_40|750_1023201_40|503_1023301_40|251_1023401_40</t>
  </si>
  <si>
    <t>2500_1023001_1|833_1023101_1|208_1023201_1|104_1023301_1|52_1023401_1</t>
  </si>
  <si>
    <t>2500_1023001_1|1667_1023002_1|833_1023101_1|556_1023102_1|208_1023201_1|139_1023202_1|104_1023301_1|69_1023302_1|52_1023401_1|35_1023402_1</t>
  </si>
  <si>
    <t>2500_1023001_1|1667_1023002_1|1250_1023003_1|833_1023101_1|556_1023102_1|417_1023103_1|208_1023201_1|139_1023202_1|104_1023203_1|104_1023301_1|69_1023302_1|52_1023303_1|52_1023401_1|35_1023402_1|26_1023403_1</t>
  </si>
  <si>
    <t>250_1023001_1|1667_1023002_1|1250_1023003_1|83_1023101_1|556_1023102_1|417_1023103_1|20_1023201_1|139_1023202_1|104_1023203_1|10_1023301_1|69_1023302_1|52_1023303_1|5_1023401_1|35_1023402_1|26_1023403_1</t>
  </si>
  <si>
    <t>250_1023001_1|1667_1023002_1|1250_1023003_1|833_1023004_1|83_1023101_1|556_1023102_1|417_1023103_1|278_1023104_1|20_1023201_1|139_1023202_1|104_1023203_1|69_1023204_1|10_1023301_1|69_1023302_1|52_1023303_1|35_1023304_1|5_1023401_1|35_1023402_1|26_1023403_1|17_1023404_1</t>
  </si>
  <si>
    <t>250_1023001_1|166_1023002_1|1250_1023003_1|833_1023004_1|83_1023101_1|55_1023102_1|417_1023103_1|278_1023104_1|20_1023201_1|13_1023202_1|104_1023203_1|69_1023204_1|10_1023301_1|6_1023302_1|52_1023303_1|35_1023304_1|5_1023401_1|3_1023402_1|26_1023403_1|17_1023404_1</t>
  </si>
  <si>
    <t>250_1023001_1|166_1023002_1|1250_1023003_1|833_1023004_1|417_1023005_1|83_1023101_1|55_1023102_1|417_1023103_1|278_1023104_1|139_1023105_1|20_1023201_1|13_1023202_1|104_1023203_1|69_1023204_1|35_1023205_1|10_1023301_1|6_1023302_1|52_1023303_1|35_1023304_1|17_1023305_1|5_1023401_1|3_1023402_1|26_1023403_1|17_1023404_1|9_1023405_1</t>
  </si>
  <si>
    <t>250_1023001_1|166_1023002_1|125_1023003_1|833_1023004_1|417_1023005_1|83_1023101_1|55_1023102_1|41_1023103_1|278_1023104_1|139_1023105_1|20_1023201_1|13_1023202_1|10_1023203_1|69_1023204_1|35_1023205_1|10_1023301_1|6_1023302_1|5_1023303_1|35_1023304_1|17_1023305_1|5_1023401_1|3_1023402_1|2_1023403_1|17_1023404_1|9_1023405_1</t>
  </si>
  <si>
    <t>250_1023001_1|166_1023002_1|125_1023003_1|83_1023004_1|417_1023005_1|83_1023101_1|55_1023102_1|41_1023103_1|27_1023104_1|139_1023105_1|20_1023201_1|13_1023202_1|10_1023203_1|6_1023204_1|35_1023205_1|10_1023301_1|6_1023302_1|5_1023303_1|3_1023304_1|17_1023305_1|5_1023401_1|3_1023402_1|2_1023403_1|1_1023404_1|9_1023405_1</t>
  </si>
  <si>
    <t>4450_1023002_4|2960_1023102_2|1480_1023202_1|740_1023302_1|370_1023402_1</t>
  </si>
  <si>
    <t>4450_1023003_4|2960_1023103_2|1480_1023203_1|740_1023303_1|370_1023403_1</t>
  </si>
  <si>
    <t>4450_1023004_4|2960_1023104_2|1480_1023204_1|740_1023304_1|370_1023404_1</t>
  </si>
  <si>
    <t>4450_1023005_4|2960_1023105_2|1480_1023205_1|740_1023305_1|370_1023405_1</t>
  </si>
  <si>
    <t>4450_1023002_8|2960_1023102_4|1480_1023202_2|740_1023302_2|370_1023402_2</t>
  </si>
  <si>
    <t>4450_1023003_8|2960_1023103_4|1480_1023203_2|740_1023303_2|370_1023403_2</t>
  </si>
  <si>
    <t>4450_1023004_8|2960_1023104_4|1480_1023204_2|740_1023304_2|370_1023404_2</t>
  </si>
  <si>
    <t>4450_1023005_8|2960_1023105_4|1480_1023205_2|740_1023305_2|370_1023405_2</t>
  </si>
  <si>
    <t>原数量</t>
  </si>
  <si>
    <t>总价</t>
  </si>
  <si>
    <t>原道具</t>
  </si>
  <si>
    <t>新道具</t>
  </si>
  <si>
    <t>单价</t>
  </si>
  <si>
    <t>新数量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</si>
</sst>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topLeftCell="A10" workbookViewId="0">
      <selection activeCell="L36" sqref="L36"/>
    </sheetView>
  </sheetViews>
  <sheetFormatPr defaultColWidth="9" defaultRowHeight="13.5"/>
  <cols>
    <col min="1" max="1" width="10.375"/>
    <col min="2" max="2" width="21" customWidth="1"/>
    <col min="3" max="3" width="39.375" customWidth="1"/>
    <col min="4" max="4" width="19.375" customWidth="1"/>
    <col min="5" max="5" width="5.125" customWidth="1"/>
    <col min="6" max="6" width="8.375" customWidth="1"/>
    <col min="7" max="8" width="8.875" customWidth="1"/>
    <col min="9" max="9" width="19.375" customWidth="1"/>
    <col min="10" max="10" width="5.125" customWidth="1"/>
    <col min="11" max="11" width="8.375" customWidth="1"/>
    <col min="12" max="13" width="8.875" customWidth="1"/>
  </cols>
  <sheetData>
    <row r="1" spans="1:1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8</v>
      </c>
      <c r="C2" t="s">
        <v>9</v>
      </c>
    </row>
    <row r="3" spans="1:13">
      <c r="A3" t="s">
        <v>10</v>
      </c>
      <c r="C3" t="s">
        <v>11</v>
      </c>
    </row>
    <row r="5" spans="1:13">
      <c r="A5">
        <v>20000000</v>
      </c>
      <c r="B5" t="s">
        <v>12</v>
      </c>
      <c r="C5" t="s">
        <v>13</v>
      </c>
      <c r="D5" t="s">
        <v>13</v>
      </c>
      <c r="E5">
        <v>1000</v>
      </c>
      <c r="F5">
        <v>1990000</v>
      </c>
      <c r="G5">
        <v>1</v>
      </c>
      <c r="H5" t="s">
        <v>14</v>
      </c>
    </row>
    <row r="6" spans="1:13">
      <c r="A6">
        <v>20000001</v>
      </c>
      <c r="B6" t="s">
        <v>15</v>
      </c>
      <c r="C6" t="s">
        <v>16</v>
      </c>
      <c r="D6" t="s">
        <v>17</v>
      </c>
      <c r="E6">
        <v>900</v>
      </c>
      <c r="F6">
        <v>1990000</v>
      </c>
      <c r="G6">
        <v>5000</v>
      </c>
      <c r="H6" t="s">
        <v>14</v>
      </c>
      <c r="I6" t="s">
        <v>18</v>
      </c>
      <c r="J6">
        <v>900</v>
      </c>
      <c r="K6">
        <v>1990000</v>
      </c>
      <c r="L6">
        <v>10000</v>
      </c>
      <c r="M6" t="s">
        <v>14</v>
      </c>
    </row>
    <row r="7" spans="1:13">
      <c r="A7">
        <v>20000002</v>
      </c>
      <c r="B7" t="s">
        <v>19</v>
      </c>
      <c r="C7" t="s">
        <v>20</v>
      </c>
      <c r="D7" t="s">
        <v>18</v>
      </c>
      <c r="E7">
        <v>900</v>
      </c>
      <c r="F7">
        <v>1990000</v>
      </c>
      <c r="G7">
        <v>10000</v>
      </c>
      <c r="H7" t="s">
        <v>14</v>
      </c>
      <c r="I7" t="s">
        <v>21</v>
      </c>
      <c r="J7">
        <v>900</v>
      </c>
      <c r="K7">
        <v>1990000</v>
      </c>
      <c r="L7">
        <v>50000</v>
      </c>
      <c r="M7" t="s">
        <v>14</v>
      </c>
    </row>
    <row r="8" spans="1:13">
      <c r="A8">
        <v>20000003</v>
      </c>
      <c r="B8" t="s">
        <v>22</v>
      </c>
      <c r="C8" t="s">
        <v>23</v>
      </c>
      <c r="D8" t="s">
        <v>21</v>
      </c>
      <c r="E8">
        <v>900</v>
      </c>
      <c r="F8">
        <v>1990000</v>
      </c>
      <c r="G8">
        <v>50000</v>
      </c>
      <c r="H8" t="s">
        <v>14</v>
      </c>
      <c r="I8" t="s">
        <v>24</v>
      </c>
      <c r="J8">
        <v>900</v>
      </c>
      <c r="K8">
        <v>1990000</v>
      </c>
      <c r="L8">
        <v>100000</v>
      </c>
      <c r="M8" t="s">
        <v>14</v>
      </c>
    </row>
    <row r="9" spans="1:13">
      <c r="A9">
        <v>20000004</v>
      </c>
      <c r="B9" t="s">
        <v>25</v>
      </c>
      <c r="C9" t="s">
        <v>26</v>
      </c>
      <c r="D9" t="s">
        <v>24</v>
      </c>
      <c r="E9">
        <v>900</v>
      </c>
      <c r="F9">
        <v>1990000</v>
      </c>
      <c r="G9">
        <v>100000</v>
      </c>
      <c r="H9" t="s">
        <v>14</v>
      </c>
      <c r="I9" t="s">
        <v>27</v>
      </c>
      <c r="J9">
        <v>900</v>
      </c>
      <c r="K9">
        <v>1990000</v>
      </c>
      <c r="L9">
        <v>500000</v>
      </c>
      <c r="M9" t="s">
        <v>14</v>
      </c>
    </row>
    <row r="10" customFormat="1" spans="1:13">
      <c r="A10">
        <v>20000008</v>
      </c>
      <c r="B10" t="s">
        <v>28</v>
      </c>
      <c r="C10" t="s">
        <v>29</v>
      </c>
    </row>
    <row r="11" customFormat="1" spans="1:13">
      <c r="A11">
        <v>20000009</v>
      </c>
      <c r="B11" t="s">
        <v>30</v>
      </c>
      <c r="C11" t="s">
        <v>29</v>
      </c>
    </row>
    <row r="12" customFormat="1" spans="1:13">
      <c r="A12">
        <v>20000010</v>
      </c>
      <c r="B12" t="s">
        <v>31</v>
      </c>
      <c r="C12" t="s">
        <v>32</v>
      </c>
    </row>
    <row r="13" customFormat="1" spans="1:13">
      <c r="A13">
        <v>20000011</v>
      </c>
      <c r="B13" t="s">
        <v>33</v>
      </c>
      <c r="C13" t="s">
        <v>32</v>
      </c>
    </row>
    <row r="14" customFormat="1" spans="1:13">
      <c r="A14">
        <v>20000012</v>
      </c>
      <c r="B14" t="s">
        <v>34</v>
      </c>
      <c r="C14" t="s">
        <v>32</v>
      </c>
    </row>
    <row r="15" customFormat="1" spans="1:13">
      <c r="A15">
        <v>20000021</v>
      </c>
      <c r="B15" t="s">
        <v>35</v>
      </c>
      <c r="C15" t="s">
        <v>36</v>
      </c>
    </row>
    <row r="16" spans="1:13">
      <c r="A16" s="3">
        <v>20010040</v>
      </c>
      <c r="B16" s="3" t="s">
        <v>37</v>
      </c>
      <c r="C16" t="s">
        <v>38</v>
      </c>
    </row>
    <row r="17" spans="1:3">
      <c r="A17" s="3">
        <v>20010050</v>
      </c>
      <c r="B17" s="3" t="s">
        <v>39</v>
      </c>
      <c r="C17" t="s">
        <v>40</v>
      </c>
    </row>
    <row r="18" spans="1:3">
      <c r="A18" s="3">
        <v>20010060</v>
      </c>
      <c r="B18" s="3" t="s">
        <v>41</v>
      </c>
      <c r="C18" t="s">
        <v>42</v>
      </c>
    </row>
    <row r="19" spans="1:3">
      <c r="A19" s="3">
        <v>20010070</v>
      </c>
      <c r="B19" s="3" t="s">
        <v>43</v>
      </c>
      <c r="C19" t="s">
        <v>44</v>
      </c>
    </row>
    <row r="20" spans="1:3">
      <c r="A20" s="3">
        <v>20010080</v>
      </c>
      <c r="B20" s="3" t="s">
        <v>45</v>
      </c>
      <c r="C20" t="s">
        <v>46</v>
      </c>
    </row>
    <row r="21" spans="1:3">
      <c r="A21" s="3">
        <v>20010090</v>
      </c>
      <c r="B21" s="3" t="s">
        <v>47</v>
      </c>
      <c r="C21" t="s">
        <v>48</v>
      </c>
    </row>
    <row r="22" spans="1:3">
      <c r="A22" s="3">
        <v>20010100</v>
      </c>
      <c r="B22" s="3" t="s">
        <v>49</v>
      </c>
      <c r="C22" t="s">
        <v>50</v>
      </c>
    </row>
    <row r="23" spans="1:3">
      <c r="A23" s="3">
        <v>20010110</v>
      </c>
      <c r="B23" s="3" t="s">
        <v>51</v>
      </c>
      <c r="C23" t="s">
        <v>52</v>
      </c>
    </row>
    <row r="24" spans="1:3">
      <c r="A24" s="3">
        <v>20010120</v>
      </c>
      <c r="B24" s="3" t="s">
        <v>53</v>
      </c>
      <c r="C24" t="s">
        <v>54</v>
      </c>
    </row>
    <row r="25" spans="1:3">
      <c r="A25" s="3">
        <v>20010130</v>
      </c>
      <c r="B25" s="3" t="s">
        <v>55</v>
      </c>
      <c r="C25" t="s">
        <v>56</v>
      </c>
    </row>
    <row r="26" spans="1:3">
      <c r="A26" s="3">
        <v>20010140</v>
      </c>
      <c r="B26" s="3" t="s">
        <v>57</v>
      </c>
      <c r="C26" t="s">
        <v>58</v>
      </c>
    </row>
    <row r="27" spans="1:3">
      <c r="A27" s="3">
        <v>20010150</v>
      </c>
      <c r="B27" s="3" t="s">
        <v>59</v>
      </c>
      <c r="C27" t="s">
        <v>60</v>
      </c>
    </row>
    <row r="28" customFormat="1" spans="1:3">
      <c r="A28">
        <v>20020001</v>
      </c>
      <c r="B28" t="s">
        <v>61</v>
      </c>
      <c r="C28" t="s">
        <v>62</v>
      </c>
    </row>
    <row r="29" customFormat="1" spans="1:3">
      <c r="A29">
        <v>20020002</v>
      </c>
      <c r="B29" t="s">
        <v>63</v>
      </c>
      <c r="C29" t="s">
        <v>64</v>
      </c>
    </row>
    <row r="30" customFormat="1" spans="1:3">
      <c r="A30">
        <v>20020003</v>
      </c>
      <c r="B30" t="s">
        <v>65</v>
      </c>
      <c r="C30" t="s">
        <v>66</v>
      </c>
    </row>
    <row r="31" spans="1:3">
      <c r="A31">
        <v>20020004</v>
      </c>
      <c r="B31" t="s">
        <v>67</v>
      </c>
      <c r="C31" t="s">
        <v>68</v>
      </c>
    </row>
    <row r="32" spans="1:3">
      <c r="A32">
        <v>20020005</v>
      </c>
      <c r="B32" t="s">
        <v>69</v>
      </c>
      <c r="C32" t="s">
        <v>70</v>
      </c>
    </row>
    <row r="33" customFormat="1" spans="1:3">
      <c r="A33">
        <v>20020011</v>
      </c>
      <c r="B33" t="s">
        <v>71</v>
      </c>
      <c r="C33" t="s">
        <v>66</v>
      </c>
    </row>
    <row r="34" customFormat="1" spans="1:3">
      <c r="A34">
        <v>20020012</v>
      </c>
      <c r="B34" t="s">
        <v>72</v>
      </c>
      <c r="C34" t="s">
        <v>68</v>
      </c>
    </row>
    <row r="35" customFormat="1" spans="1:3">
      <c r="A35">
        <v>20020013</v>
      </c>
      <c r="B35" t="s">
        <v>73</v>
      </c>
      <c r="C35" t="s">
        <v>74</v>
      </c>
    </row>
    <row r="36" customFormat="1" spans="1:3">
      <c r="A36">
        <v>20020014</v>
      </c>
      <c r="B36" t="s">
        <v>75</v>
      </c>
      <c r="C36" t="s">
        <v>70</v>
      </c>
    </row>
    <row r="37" customFormat="1" spans="1:3">
      <c r="A37">
        <v>20020015</v>
      </c>
      <c r="B37" t="s">
        <v>76</v>
      </c>
      <c r="C37" t="s">
        <v>77</v>
      </c>
    </row>
    <row r="38" customFormat="1" spans="1:3">
      <c r="A38" s="4">
        <v>20020020</v>
      </c>
      <c r="B38" t="s">
        <v>78</v>
      </c>
      <c r="C38" t="s">
        <v>79</v>
      </c>
    </row>
    <row r="39" spans="1:3">
      <c r="A39" s="4">
        <v>20020021</v>
      </c>
      <c r="B39" t="s">
        <v>80</v>
      </c>
      <c r="C39" t="s">
        <v>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9"/>
  <sheetViews>
    <sheetView topLeftCell="A34" workbookViewId="0">
      <selection activeCell="C12" sqref="C1:C12"/>
    </sheetView>
  </sheetViews>
  <sheetFormatPr defaultColWidth="9" defaultRowHeight="13.5"/>
  <cols>
    <col min="1" max="1" width="9.375"/>
    <col min="2" max="2" width="14.25" customWidth="1"/>
    <col min="3" max="3" width="9.375"/>
  </cols>
  <sheetData>
    <row r="1" spans="1:12">
      <c r="A1">
        <v>20010040</v>
      </c>
      <c r="B1" t="s">
        <v>82</v>
      </c>
      <c r="C1" s="1" t="str">
        <f>_xlfn.XLOOKUP(A1,$A$16:$A$222,$L$16:$L$222,B1)</f>
        <v>2500_1023001_1|833_1023101_1|208_1023201_1|104_1023301_1|52_1023401_1</v>
      </c>
    </row>
    <row r="2" spans="1:12">
      <c r="A2">
        <v>20010050</v>
      </c>
      <c r="B2" t="s">
        <v>82</v>
      </c>
      <c r="C2" s="1" t="str">
        <f t="shared" ref="C2:C12" si="0">_xlfn.XLOOKUP(A2,$A$16:$A$222,$L$16:$L$222,B2)</f>
        <v>2500_1023001_1|833_1023101_1|208_1023201_1|104_1023301_1|52_1023401_1</v>
      </c>
    </row>
    <row r="3" spans="1:12">
      <c r="A3">
        <v>20010060</v>
      </c>
      <c r="B3" t="s">
        <v>83</v>
      </c>
      <c r="C3" s="1" t="str">
        <f t="shared" si="0"/>
        <v>2500_1023001_1|833_1023001_2|833_1023101_1|278_1023101_2|208_1023201_1|69_1023201_2|104_1023301_1|34_1023301_2|52_1023401_1|17_1023401_2</v>
      </c>
    </row>
    <row r="4" spans="1:12">
      <c r="A4">
        <v>20010070</v>
      </c>
      <c r="B4" t="s">
        <v>83</v>
      </c>
      <c r="C4" s="1" t="str">
        <f t="shared" si="0"/>
        <v>2500_1023001_1|833_1023001_2|833_1023101_1|278_1023101_2|208_1023201_1|69_1023201_2|104_1023301_1|34_1023301_2|52_1023401_1|17_1023401_2</v>
      </c>
    </row>
    <row r="5" spans="1:12">
      <c r="A5">
        <v>20010080</v>
      </c>
      <c r="B5" t="s">
        <v>84</v>
      </c>
      <c r="C5" s="1" t="str">
        <f t="shared" si="0"/>
        <v>2500_1023001_1|833_1023001_2|625_1023001_2|833_1023101_1|278_1023101_2|208_1023101_2|208_1023201_1|69_1023201_2|52_1023201_2|104_1023301_1|34_1023301_2|26_1023301_2|52_1023401_1|17_1023401_2|13_1023401_2</v>
      </c>
    </row>
    <row r="6" spans="1:12">
      <c r="A6">
        <v>20010090</v>
      </c>
      <c r="B6" t="s">
        <v>85</v>
      </c>
      <c r="C6" s="1" t="str">
        <f t="shared" si="0"/>
        <v>250_1023001_1|833_1023001_2|625_1023001_2|83_1023101_1|278_1023101_2|208_1023101_2|20_1023201_1|69_1023201_2|52_1023201_2|10_1023301_1|34_1023301_2|26_1023301_2|5_1023401_1|17_1023401_2|13_1023401_2</v>
      </c>
    </row>
    <row r="7" spans="1:12">
      <c r="A7">
        <v>20010100</v>
      </c>
      <c r="B7" t="s">
        <v>86</v>
      </c>
      <c r="C7" s="1" t="str">
        <f t="shared" si="0"/>
        <v>250_1023001_1|833_1023001_2|625_1023001_2|277_1023001_3|83_1023101_1|278_1023101_2|208_1023101_2|92_1023101_3|20_1023201_1|69_1023201_2|52_1023201_2|23_1023201_3|10_1023301_1|34_1023301_2|26_1023301_2</v>
      </c>
    </row>
    <row r="8" spans="1:12">
      <c r="A8">
        <v>20010110</v>
      </c>
      <c r="B8" t="s">
        <v>87</v>
      </c>
      <c r="C8" s="1" t="str">
        <f t="shared" si="0"/>
        <v>250_1023001_1|83_1023001_2|625_1023001_2|277_1023001_3|83_1023101_1|27_1023101_2|208_1023101_2|92_1023101_3|20_1023201_1|6_1023201_2|52_1023201_2|23_1023201_3|10_1023301_1|3_1023301_2|26_1023301_2</v>
      </c>
    </row>
    <row r="9" spans="1:12">
      <c r="A9">
        <v>20010120</v>
      </c>
      <c r="B9" t="s">
        <v>88</v>
      </c>
      <c r="C9" s="1" t="str">
        <f t="shared" si="0"/>
        <v>250_1023001_1|83_1023001_2|625_1023001_2|277_1023001_3|69_1023001_6|83_1023101_1|27_1023101_2|208_1023101_2|92_1023101_3|23_1023101_6|20_1023201_1|6_1023201_2|52_1023201_2|23_1023201_3|5_1023201_6</v>
      </c>
    </row>
    <row r="10" spans="1:12">
      <c r="A10">
        <v>20010130</v>
      </c>
      <c r="B10" t="s">
        <v>89</v>
      </c>
      <c r="C10" s="1" t="str">
        <f t="shared" si="0"/>
        <v>250_1023001_1|83_1023001_2|62_1023001_2|277_1023001_3|69_1023001_6|83_1023101_1|27_1023101_2|20_1023101_2|92_1023101_3|23_1023101_6|20_1023201_1|6_1023201_2|5_1023201_2|23_1023201_3|5_1023201_6</v>
      </c>
    </row>
    <row r="11" spans="1:12">
      <c r="A11">
        <v>20010140</v>
      </c>
      <c r="B11" t="s">
        <v>89</v>
      </c>
      <c r="C11" s="1" t="str">
        <f t="shared" si="0"/>
        <v>250_1023001_1|83_1023001_2|62_1023001_2|277_1023001_3|69_1023001_6|83_1023101_1|27_1023101_2|20_1023101_2|92_1023101_3|23_1023101_6|20_1023201_1|6_1023201_2|5_1023201_2|23_1023201_3|5_1023201_6</v>
      </c>
    </row>
    <row r="12" spans="1:12">
      <c r="A12">
        <v>20010150</v>
      </c>
      <c r="B12" t="s">
        <v>90</v>
      </c>
      <c r="C12" s="1" t="str">
        <f t="shared" si="0"/>
        <v>250_1023001_1|83_1023001_2|62_1023001_2|27_1023001_3|69_1023001_6|83_1023101_1|27_1023101_2|20_1023101_2|9_1023101_3|23_1023101_6|20_1023201_1|6_1023201_2|5_1023201_2|2_1023201_3|5_1023201_6</v>
      </c>
    </row>
    <row r="16" spans="1:12">
      <c r="A16">
        <v>20010060</v>
      </c>
      <c r="B16" t="s">
        <v>83</v>
      </c>
      <c r="L16" t="str">
        <f>_xlfn.TEXTJOIN("|",TRUE,L17:L26)</f>
        <v>2500_1023001_1|833_1023001_2|833_1023101_1|278_1023101_2|208_1023201_1|69_1023201_2|104_1023301_1|34_1023301_2|52_1023401_1|17_1023401_2</v>
      </c>
    </row>
    <row r="17" spans="1:12">
      <c r="B17" t="str" cm="1">
        <f t="array" ref="B17:B26">_xlfn.TEXTSPLIT(B16,,"|")</f>
        <v>2500_1023001_1</v>
      </c>
      <c r="C17" t="str" cm="1">
        <f t="array" ref="C17:E17">_xlfn.TEXTSPLIT(B17,"_",)</f>
        <v>2500</v>
      </c>
      <c r="D17" t="str">
        <v>1023001</v>
      </c>
      <c r="E17" t="str">
        <v>1</v>
      </c>
      <c r="F17">
        <f>_xlfn.XLOOKUP(VALUE(D17),Sheet2!$A$1:$A$25,Sheet2!$C$1:$C$25)</f>
        <v>20</v>
      </c>
      <c r="G17">
        <f>VALUE(D17)</f>
        <v>1023001</v>
      </c>
      <c r="H17">
        <f>_xlfn.XLOOKUP(G17,Sheet2!A:A,Sheet2!B:B)</f>
        <v>1023001</v>
      </c>
      <c r="I17">
        <f>_xlfn.XLOOKUP(VALUE(H17),Sheet2!$A$1:$A$25,Sheet2!$C$1:$C$25)</f>
        <v>20</v>
      </c>
      <c r="J17">
        <f>ROUNDUP(F17/I17,0)</f>
        <v>1</v>
      </c>
      <c r="K17">
        <f>ROUNDDOWN(C17/J17,0)</f>
        <v>2500</v>
      </c>
      <c r="L17" s="2" t="str">
        <f>_xlfn.TEXTJOIN("_",TRUE,K17,H17,J17)</f>
        <v>2500_1023001_1</v>
      </c>
    </row>
    <row r="18" spans="1:12">
      <c r="B18" t="str">
        <v>1667_1023002_1</v>
      </c>
      <c r="C18" t="str" cm="1">
        <f t="array" ref="C18:E18">_xlfn.TEXTSPLIT(B18,"_",)</f>
        <v>1667</v>
      </c>
      <c r="D18" t="str">
        <v>1023002</v>
      </c>
      <c r="E18" t="str">
        <v>1</v>
      </c>
      <c r="F18">
        <f>_xlfn.XLOOKUP(VALUE(D18),Sheet2!$A$1:$A$25,Sheet2!$C$1:$C$25)</f>
        <v>30</v>
      </c>
      <c r="G18">
        <f t="shared" ref="G18:G26" si="1">VALUE(D18)</f>
        <v>1023002</v>
      </c>
      <c r="H18">
        <f>_xlfn.XLOOKUP(G18,Sheet2!A:A,Sheet2!B:B)</f>
        <v>1023001</v>
      </c>
      <c r="I18">
        <f>_xlfn.XLOOKUP(VALUE(H18),Sheet2!$A$1:$A$25,Sheet2!$C$1:$C$25)</f>
        <v>20</v>
      </c>
      <c r="J18">
        <f t="shared" ref="J18:J26" si="2">ROUNDUP(F18/I18,0)</f>
        <v>2</v>
      </c>
      <c r="K18">
        <f t="shared" ref="K18:K26" si="3">ROUNDDOWN(C18/J18,0)</f>
        <v>833</v>
      </c>
      <c r="L18" s="2" t="str">
        <f t="shared" ref="L18:L26" si="4">_xlfn.TEXTJOIN("_",TRUE,K18,H18,J18)</f>
        <v>833_1023001_2</v>
      </c>
    </row>
    <row r="19" spans="1:12">
      <c r="B19" t="str">
        <v>833_1023101_1</v>
      </c>
      <c r="C19" t="str" cm="1">
        <f t="array" ref="C19:E19">_xlfn.TEXTSPLIT(B19,"_",)</f>
        <v>833</v>
      </c>
      <c r="D19" t="str">
        <v>1023101</v>
      </c>
      <c r="E19" t="str">
        <v>1</v>
      </c>
      <c r="F19">
        <f>_xlfn.XLOOKUP(VALUE(D19),Sheet2!$A$1:$A$25,Sheet2!$C$1:$C$25)</f>
        <v>60</v>
      </c>
      <c r="G19">
        <f t="shared" si="1"/>
        <v>1023101</v>
      </c>
      <c r="H19">
        <f>_xlfn.XLOOKUP(G19,Sheet2!A:A,Sheet2!B:B)</f>
        <v>1023101</v>
      </c>
      <c r="I19">
        <f>_xlfn.XLOOKUP(VALUE(H19),Sheet2!$A$1:$A$25,Sheet2!$C$1:$C$25)</f>
        <v>60</v>
      </c>
      <c r="J19">
        <f t="shared" si="2"/>
        <v>1</v>
      </c>
      <c r="K19">
        <f t="shared" si="3"/>
        <v>833</v>
      </c>
      <c r="L19" s="2" t="str">
        <f t="shared" si="4"/>
        <v>833_1023101_1</v>
      </c>
    </row>
    <row r="20" spans="1:12">
      <c r="B20" t="str">
        <v>556_1023102_1</v>
      </c>
      <c r="C20" t="str" cm="1">
        <f t="array" ref="C20:E20">_xlfn.TEXTSPLIT(B20,"_",)</f>
        <v>556</v>
      </c>
      <c r="D20" t="str">
        <v>1023102</v>
      </c>
      <c r="E20" t="str">
        <v>1</v>
      </c>
      <c r="F20">
        <f>_xlfn.XLOOKUP(VALUE(D20),Sheet2!$A$1:$A$25,Sheet2!$C$1:$C$25)</f>
        <v>90</v>
      </c>
      <c r="G20">
        <f t="shared" si="1"/>
        <v>1023102</v>
      </c>
      <c r="H20">
        <f>_xlfn.XLOOKUP(G20,Sheet2!A:A,Sheet2!B:B)</f>
        <v>1023101</v>
      </c>
      <c r="I20">
        <f>_xlfn.XLOOKUP(VALUE(H20),Sheet2!$A$1:$A$25,Sheet2!$C$1:$C$25)</f>
        <v>60</v>
      </c>
      <c r="J20">
        <f t="shared" si="2"/>
        <v>2</v>
      </c>
      <c r="K20">
        <f t="shared" si="3"/>
        <v>278</v>
      </c>
      <c r="L20" s="2" t="str">
        <f t="shared" si="4"/>
        <v>278_1023101_2</v>
      </c>
    </row>
    <row r="21" spans="1:12">
      <c r="B21" t="str">
        <v>208_1023201_1</v>
      </c>
      <c r="C21" t="str" cm="1">
        <f t="array" ref="C21:E21">_xlfn.TEXTSPLIT(B21,"_",)</f>
        <v>208</v>
      </c>
      <c r="D21" t="str">
        <v>1023201</v>
      </c>
      <c r="E21" t="str">
        <v>1</v>
      </c>
      <c r="F21">
        <f>_xlfn.XLOOKUP(VALUE(D21),Sheet2!$A$1:$A$25,Sheet2!$C$1:$C$25)</f>
        <v>240</v>
      </c>
      <c r="G21">
        <f t="shared" si="1"/>
        <v>1023201</v>
      </c>
      <c r="H21">
        <f>_xlfn.XLOOKUP(G21,Sheet2!A:A,Sheet2!B:B)</f>
        <v>1023201</v>
      </c>
      <c r="I21">
        <f>_xlfn.XLOOKUP(VALUE(H21),Sheet2!$A$1:$A$25,Sheet2!$C$1:$C$25)</f>
        <v>240</v>
      </c>
      <c r="J21">
        <f t="shared" si="2"/>
        <v>1</v>
      </c>
      <c r="K21">
        <f t="shared" si="3"/>
        <v>208</v>
      </c>
      <c r="L21" s="2" t="str">
        <f t="shared" si="4"/>
        <v>208_1023201_1</v>
      </c>
    </row>
    <row r="22" spans="1:12">
      <c r="B22" t="str">
        <v>139_1023202_1</v>
      </c>
      <c r="C22" t="str" cm="1">
        <f t="array" ref="C22:E22">_xlfn.TEXTSPLIT(B22,"_",)</f>
        <v>139</v>
      </c>
      <c r="D22" t="str">
        <v>1023202</v>
      </c>
      <c r="E22" t="str">
        <v>1</v>
      </c>
      <c r="F22">
        <f>_xlfn.XLOOKUP(VALUE(D22),Sheet2!$A$1:$A$25,Sheet2!$C$1:$C$25)</f>
        <v>360</v>
      </c>
      <c r="G22">
        <f t="shared" si="1"/>
        <v>1023202</v>
      </c>
      <c r="H22">
        <f>_xlfn.XLOOKUP(G22,Sheet2!A:A,Sheet2!B:B)</f>
        <v>1023201</v>
      </c>
      <c r="I22">
        <f>_xlfn.XLOOKUP(VALUE(H22),Sheet2!$A$1:$A$25,Sheet2!$C$1:$C$25)</f>
        <v>240</v>
      </c>
      <c r="J22">
        <f t="shared" si="2"/>
        <v>2</v>
      </c>
      <c r="K22">
        <f t="shared" si="3"/>
        <v>69</v>
      </c>
      <c r="L22" s="2" t="str">
        <f t="shared" si="4"/>
        <v>69_1023201_2</v>
      </c>
    </row>
    <row r="23" spans="1:12">
      <c r="B23" t="str">
        <v>104_1023301_1</v>
      </c>
      <c r="C23" t="str" cm="1">
        <f t="array" ref="C23:E23">_xlfn.TEXTSPLIT(B23,"_",)</f>
        <v>104</v>
      </c>
      <c r="D23" t="str">
        <v>1023301</v>
      </c>
      <c r="E23" t="str">
        <v>1</v>
      </c>
      <c r="F23">
        <f>_xlfn.XLOOKUP(VALUE(D23),Sheet2!$A$1:$A$25,Sheet2!$C$1:$C$25)</f>
        <v>480</v>
      </c>
      <c r="G23">
        <f t="shared" si="1"/>
        <v>1023301</v>
      </c>
      <c r="H23">
        <f>_xlfn.XLOOKUP(G23,Sheet2!A:A,Sheet2!B:B)</f>
        <v>1023301</v>
      </c>
      <c r="I23">
        <f>_xlfn.XLOOKUP(VALUE(H23),Sheet2!$A$1:$A$25,Sheet2!$C$1:$C$25)</f>
        <v>480</v>
      </c>
      <c r="J23">
        <f t="shared" si="2"/>
        <v>1</v>
      </c>
      <c r="K23">
        <f t="shared" si="3"/>
        <v>104</v>
      </c>
      <c r="L23" s="2" t="str">
        <f t="shared" si="4"/>
        <v>104_1023301_1</v>
      </c>
    </row>
    <row r="24" spans="1:12">
      <c r="B24" t="str">
        <v>69_1023302_1</v>
      </c>
      <c r="C24" t="str" cm="1">
        <f t="array" ref="C24:E24">_xlfn.TEXTSPLIT(B24,"_",)</f>
        <v>69</v>
      </c>
      <c r="D24" t="str">
        <v>1023302</v>
      </c>
      <c r="E24" t="str">
        <v>1</v>
      </c>
      <c r="F24">
        <f>_xlfn.XLOOKUP(VALUE(D24),Sheet2!$A$1:$A$25,Sheet2!$C$1:$C$25)</f>
        <v>720</v>
      </c>
      <c r="G24">
        <f t="shared" si="1"/>
        <v>1023302</v>
      </c>
      <c r="H24">
        <f>_xlfn.XLOOKUP(G24,Sheet2!A:A,Sheet2!B:B)</f>
        <v>1023301</v>
      </c>
      <c r="I24">
        <f>_xlfn.XLOOKUP(VALUE(H24),Sheet2!$A$1:$A$25,Sheet2!$C$1:$C$25)</f>
        <v>480</v>
      </c>
      <c r="J24">
        <f t="shared" si="2"/>
        <v>2</v>
      </c>
      <c r="K24">
        <f t="shared" si="3"/>
        <v>34</v>
      </c>
      <c r="L24" s="2" t="str">
        <f t="shared" si="4"/>
        <v>34_1023301_2</v>
      </c>
    </row>
    <row r="25" spans="1:12">
      <c r="B25" t="str">
        <v>52_1023401_1</v>
      </c>
      <c r="C25" t="str" cm="1">
        <f t="array" ref="C25:E25">_xlfn.TEXTSPLIT(B25,"_",)</f>
        <v>52</v>
      </c>
      <c r="D25" t="str">
        <v>1023401</v>
      </c>
      <c r="E25" t="str">
        <v>1</v>
      </c>
      <c r="F25">
        <f>_xlfn.XLOOKUP(VALUE(D25),Sheet2!$A$1:$A$25,Sheet2!$C$1:$C$25)</f>
        <v>960</v>
      </c>
      <c r="G25">
        <f t="shared" si="1"/>
        <v>1023401</v>
      </c>
      <c r="H25">
        <f>_xlfn.XLOOKUP(G25,Sheet2!A:A,Sheet2!B:B)</f>
        <v>1023401</v>
      </c>
      <c r="I25">
        <f>_xlfn.XLOOKUP(VALUE(H25),Sheet2!$A$1:$A$25,Sheet2!$C$1:$C$25)</f>
        <v>960</v>
      </c>
      <c r="J25">
        <f t="shared" si="2"/>
        <v>1</v>
      </c>
      <c r="K25">
        <f t="shared" si="3"/>
        <v>52</v>
      </c>
      <c r="L25" s="2" t="str">
        <f t="shared" si="4"/>
        <v>52_1023401_1</v>
      </c>
    </row>
    <row r="26" spans="1:12">
      <c r="B26" t="str">
        <v>35_1023402_1</v>
      </c>
      <c r="C26" t="str" cm="1">
        <f t="array" ref="C26:E26">_xlfn.TEXTSPLIT(B26,"_",)</f>
        <v>35</v>
      </c>
      <c r="D26" t="str">
        <v>1023402</v>
      </c>
      <c r="E26" t="str">
        <v>1</v>
      </c>
      <c r="F26">
        <f>_xlfn.XLOOKUP(VALUE(D26),Sheet2!$A$1:$A$25,Sheet2!$C$1:$C$25)</f>
        <v>1440</v>
      </c>
      <c r="G26">
        <f t="shared" si="1"/>
        <v>1023402</v>
      </c>
      <c r="H26">
        <f>_xlfn.XLOOKUP(G26,Sheet2!A:A,Sheet2!B:B)</f>
        <v>1023401</v>
      </c>
      <c r="I26">
        <f>_xlfn.XLOOKUP(VALUE(H26),Sheet2!$A$1:$A$25,Sheet2!$C$1:$C$25)</f>
        <v>960</v>
      </c>
      <c r="J26">
        <f t="shared" si="2"/>
        <v>2</v>
      </c>
      <c r="K26">
        <f t="shared" si="3"/>
        <v>17</v>
      </c>
      <c r="L26" s="2" t="str">
        <f t="shared" si="4"/>
        <v>17_1023401_2</v>
      </c>
    </row>
    <row r="29" spans="1:12">
      <c r="A29">
        <v>20010070</v>
      </c>
      <c r="B29" t="s">
        <v>83</v>
      </c>
      <c r="L29" t="str">
        <f>_xlfn.TEXTJOIN("|",TRUE,L30:L44)</f>
        <v>2500_1023001_1|833_1023001_2|833_1023101_1|278_1023101_2|208_1023201_1|69_1023201_2|104_1023301_1|34_1023301_2|52_1023401_1|17_1023401_2</v>
      </c>
    </row>
    <row r="30" customFormat="1" spans="1:12">
      <c r="B30" t="str" cm="1">
        <f t="array" ref="B30:B39">_xlfn.TEXTSPLIT(B29,,"|")</f>
        <v>2500_1023001_1</v>
      </c>
      <c r="C30" t="str" cm="1">
        <f t="array" ref="C30:E30">_xlfn.TEXTSPLIT(B30,"_",)</f>
        <v>2500</v>
      </c>
      <c r="D30" t="str">
        <v>1023001</v>
      </c>
      <c r="E30" t="str">
        <v>1</v>
      </c>
      <c r="F30">
        <f>_xlfn.XLOOKUP(VALUE(D30),Sheet2!$A$1:$A$25,Sheet2!$C$1:$C$25)</f>
        <v>20</v>
      </c>
      <c r="G30">
        <f t="shared" ref="G30:G39" si="5">VALUE(D30)</f>
        <v>1023001</v>
      </c>
      <c r="H30">
        <f>_xlfn.XLOOKUP(G30,Sheet2!A:A,Sheet2!B:B)</f>
        <v>1023001</v>
      </c>
      <c r="I30">
        <f>_xlfn.XLOOKUP(VALUE(H30),Sheet2!$A$1:$A$25,Sheet2!$C$1:$C$25)</f>
        <v>20</v>
      </c>
      <c r="J30">
        <f t="shared" ref="J30:J39" si="6">ROUNDUP(F30/I30,0)</f>
        <v>1</v>
      </c>
      <c r="K30">
        <f t="shared" ref="K30:K39" si="7">ROUNDDOWN(C30/J30,0)</f>
        <v>2500</v>
      </c>
      <c r="L30" s="2" t="str">
        <f t="shared" ref="L30:L39" si="8">_xlfn.TEXTJOIN("_",TRUE,K30,H30,J30)</f>
        <v>2500_1023001_1</v>
      </c>
    </row>
    <row r="31" spans="1:12">
      <c r="B31" t="str">
        <v>1667_1023002_1</v>
      </c>
      <c r="C31" t="str" cm="1">
        <f t="array" ref="C31:E31">_xlfn.TEXTSPLIT(B31,"_",)</f>
        <v>1667</v>
      </c>
      <c r="D31" t="str">
        <v>1023002</v>
      </c>
      <c r="E31" t="str">
        <v>1</v>
      </c>
      <c r="F31">
        <f>_xlfn.XLOOKUP(VALUE(D31),Sheet2!$A$1:$A$25,Sheet2!$C$1:$C$25)</f>
        <v>30</v>
      </c>
      <c r="G31">
        <f t="shared" si="5"/>
        <v>1023002</v>
      </c>
      <c r="H31">
        <f>_xlfn.XLOOKUP(G31,Sheet2!A:A,Sheet2!B:B)</f>
        <v>1023001</v>
      </c>
      <c r="I31">
        <f>_xlfn.XLOOKUP(VALUE(H31),Sheet2!$A$1:$A$25,Sheet2!$C$1:$C$25)</f>
        <v>20</v>
      </c>
      <c r="J31">
        <f t="shared" si="6"/>
        <v>2</v>
      </c>
      <c r="K31">
        <f t="shared" si="7"/>
        <v>833</v>
      </c>
      <c r="L31" s="2" t="str">
        <f t="shared" si="8"/>
        <v>833_1023001_2</v>
      </c>
    </row>
    <row r="32" spans="1:12">
      <c r="B32" t="str">
        <v>833_1023101_1</v>
      </c>
      <c r="C32" t="str" cm="1">
        <f t="array" ref="C32:E32">_xlfn.TEXTSPLIT(B32,"_",)</f>
        <v>833</v>
      </c>
      <c r="D32" t="str">
        <v>1023101</v>
      </c>
      <c r="E32" t="str">
        <v>1</v>
      </c>
      <c r="F32">
        <f>_xlfn.XLOOKUP(VALUE(D32),Sheet2!$A$1:$A$25,Sheet2!$C$1:$C$25)</f>
        <v>60</v>
      </c>
      <c r="G32">
        <f t="shared" si="5"/>
        <v>1023101</v>
      </c>
      <c r="H32">
        <f>_xlfn.XLOOKUP(G32,Sheet2!A:A,Sheet2!B:B)</f>
        <v>1023101</v>
      </c>
      <c r="I32">
        <f>_xlfn.XLOOKUP(VALUE(H32),Sheet2!$A$1:$A$25,Sheet2!$C$1:$C$25)</f>
        <v>60</v>
      </c>
      <c r="J32">
        <f t="shared" si="6"/>
        <v>1</v>
      </c>
      <c r="K32">
        <f t="shared" si="7"/>
        <v>833</v>
      </c>
      <c r="L32" s="2" t="str">
        <f t="shared" si="8"/>
        <v>833_1023101_1</v>
      </c>
    </row>
    <row r="33" spans="1:12">
      <c r="B33" t="str">
        <v>556_1023102_1</v>
      </c>
      <c r="C33" t="str" cm="1">
        <f t="array" ref="C33:E33">_xlfn.TEXTSPLIT(B33,"_",)</f>
        <v>556</v>
      </c>
      <c r="D33" t="str">
        <v>1023102</v>
      </c>
      <c r="E33" t="str">
        <v>1</v>
      </c>
      <c r="F33">
        <f>_xlfn.XLOOKUP(VALUE(D33),Sheet2!$A$1:$A$25,Sheet2!$C$1:$C$25)</f>
        <v>90</v>
      </c>
      <c r="G33">
        <f t="shared" si="5"/>
        <v>1023102</v>
      </c>
      <c r="H33">
        <f>_xlfn.XLOOKUP(G33,Sheet2!A:A,Sheet2!B:B)</f>
        <v>1023101</v>
      </c>
      <c r="I33">
        <f>_xlfn.XLOOKUP(VALUE(H33),Sheet2!$A$1:$A$25,Sheet2!$C$1:$C$25)</f>
        <v>60</v>
      </c>
      <c r="J33">
        <f t="shared" si="6"/>
        <v>2</v>
      </c>
      <c r="K33">
        <f t="shared" si="7"/>
        <v>278</v>
      </c>
      <c r="L33" s="2" t="str">
        <f t="shared" si="8"/>
        <v>278_1023101_2</v>
      </c>
    </row>
    <row r="34" spans="1:12">
      <c r="B34" t="str">
        <v>208_1023201_1</v>
      </c>
      <c r="C34" t="str" cm="1">
        <f t="array" ref="C34:E34">_xlfn.TEXTSPLIT(B34,"_",)</f>
        <v>208</v>
      </c>
      <c r="D34" t="str">
        <v>1023201</v>
      </c>
      <c r="E34" t="str">
        <v>1</v>
      </c>
      <c r="F34">
        <f>_xlfn.XLOOKUP(VALUE(D34),Sheet2!$A$1:$A$25,Sheet2!$C$1:$C$25)</f>
        <v>240</v>
      </c>
      <c r="G34">
        <f t="shared" si="5"/>
        <v>1023201</v>
      </c>
      <c r="H34">
        <f>_xlfn.XLOOKUP(G34,Sheet2!A:A,Sheet2!B:B)</f>
        <v>1023201</v>
      </c>
      <c r="I34">
        <f>_xlfn.XLOOKUP(VALUE(H34),Sheet2!$A$1:$A$25,Sheet2!$C$1:$C$25)</f>
        <v>240</v>
      </c>
      <c r="J34">
        <f t="shared" si="6"/>
        <v>1</v>
      </c>
      <c r="K34">
        <f t="shared" si="7"/>
        <v>208</v>
      </c>
      <c r="L34" s="2" t="str">
        <f t="shared" si="8"/>
        <v>208_1023201_1</v>
      </c>
    </row>
    <row r="35" spans="1:12">
      <c r="B35" t="str">
        <v>139_1023202_1</v>
      </c>
      <c r="C35" t="str" cm="1">
        <f t="array" ref="C35:E35">_xlfn.TEXTSPLIT(B35,"_",)</f>
        <v>139</v>
      </c>
      <c r="D35" t="str">
        <v>1023202</v>
      </c>
      <c r="E35" t="str">
        <v>1</v>
      </c>
      <c r="F35">
        <f>_xlfn.XLOOKUP(VALUE(D35),Sheet2!$A$1:$A$25,Sheet2!$C$1:$C$25)</f>
        <v>360</v>
      </c>
      <c r="G35">
        <f t="shared" si="5"/>
        <v>1023202</v>
      </c>
      <c r="H35">
        <f>_xlfn.XLOOKUP(G35,Sheet2!A:A,Sheet2!B:B)</f>
        <v>1023201</v>
      </c>
      <c r="I35">
        <f>_xlfn.XLOOKUP(VALUE(H35),Sheet2!$A$1:$A$25,Sheet2!$C$1:$C$25)</f>
        <v>240</v>
      </c>
      <c r="J35">
        <f t="shared" si="6"/>
        <v>2</v>
      </c>
      <c r="K35">
        <f t="shared" si="7"/>
        <v>69</v>
      </c>
      <c r="L35" s="2" t="str">
        <f t="shared" si="8"/>
        <v>69_1023201_2</v>
      </c>
    </row>
    <row r="36" spans="1:12">
      <c r="B36" t="str">
        <v>104_1023301_1</v>
      </c>
      <c r="C36" t="str" cm="1">
        <f t="array" ref="C36:E36">_xlfn.TEXTSPLIT(B36,"_",)</f>
        <v>104</v>
      </c>
      <c r="D36" t="str">
        <v>1023301</v>
      </c>
      <c r="E36" t="str">
        <v>1</v>
      </c>
      <c r="F36">
        <f>_xlfn.XLOOKUP(VALUE(D36),Sheet2!$A$1:$A$25,Sheet2!$C$1:$C$25)</f>
        <v>480</v>
      </c>
      <c r="G36">
        <f t="shared" si="5"/>
        <v>1023301</v>
      </c>
      <c r="H36">
        <f>_xlfn.XLOOKUP(G36,Sheet2!A:A,Sheet2!B:B)</f>
        <v>1023301</v>
      </c>
      <c r="I36">
        <f>_xlfn.XLOOKUP(VALUE(H36),Sheet2!$A$1:$A$25,Sheet2!$C$1:$C$25)</f>
        <v>480</v>
      </c>
      <c r="J36">
        <f t="shared" si="6"/>
        <v>1</v>
      </c>
      <c r="K36">
        <f t="shared" si="7"/>
        <v>104</v>
      </c>
      <c r="L36" s="2" t="str">
        <f t="shared" si="8"/>
        <v>104_1023301_1</v>
      </c>
    </row>
    <row r="37" spans="1:12">
      <c r="B37" t="str">
        <v>69_1023302_1</v>
      </c>
      <c r="C37" t="str" cm="1">
        <f t="array" ref="C37:E37">_xlfn.TEXTSPLIT(B37,"_",)</f>
        <v>69</v>
      </c>
      <c r="D37" t="str">
        <v>1023302</v>
      </c>
      <c r="E37" t="str">
        <v>1</v>
      </c>
      <c r="F37">
        <f>_xlfn.XLOOKUP(VALUE(D37),Sheet2!$A$1:$A$25,Sheet2!$C$1:$C$25)</f>
        <v>720</v>
      </c>
      <c r="G37">
        <f t="shared" si="5"/>
        <v>1023302</v>
      </c>
      <c r="H37">
        <f>_xlfn.XLOOKUP(G37,Sheet2!A:A,Sheet2!B:B)</f>
        <v>1023301</v>
      </c>
      <c r="I37">
        <f>_xlfn.XLOOKUP(VALUE(H37),Sheet2!$A$1:$A$25,Sheet2!$C$1:$C$25)</f>
        <v>480</v>
      </c>
      <c r="J37">
        <f t="shared" si="6"/>
        <v>2</v>
      </c>
      <c r="K37">
        <f t="shared" si="7"/>
        <v>34</v>
      </c>
      <c r="L37" s="2" t="str">
        <f t="shared" si="8"/>
        <v>34_1023301_2</v>
      </c>
    </row>
    <row r="38" spans="1:12">
      <c r="B38" t="str">
        <v>52_1023401_1</v>
      </c>
      <c r="C38" t="str" cm="1">
        <f t="array" ref="C38:E38">_xlfn.TEXTSPLIT(B38,"_",)</f>
        <v>52</v>
      </c>
      <c r="D38" t="str">
        <v>1023401</v>
      </c>
      <c r="E38" t="str">
        <v>1</v>
      </c>
      <c r="F38">
        <f>_xlfn.XLOOKUP(VALUE(D38),Sheet2!$A$1:$A$25,Sheet2!$C$1:$C$25)</f>
        <v>960</v>
      </c>
      <c r="G38">
        <f t="shared" si="5"/>
        <v>1023401</v>
      </c>
      <c r="H38">
        <f>_xlfn.XLOOKUP(G38,Sheet2!A:A,Sheet2!B:B)</f>
        <v>1023401</v>
      </c>
      <c r="I38">
        <f>_xlfn.XLOOKUP(VALUE(H38),Sheet2!$A$1:$A$25,Sheet2!$C$1:$C$25)</f>
        <v>960</v>
      </c>
      <c r="J38">
        <f t="shared" si="6"/>
        <v>1</v>
      </c>
      <c r="K38">
        <f t="shared" si="7"/>
        <v>52</v>
      </c>
      <c r="L38" s="2" t="str">
        <f t="shared" si="8"/>
        <v>52_1023401_1</v>
      </c>
    </row>
    <row r="39" spans="1:12">
      <c r="B39" t="str">
        <v>35_1023402_1</v>
      </c>
      <c r="C39" t="str" cm="1">
        <f t="array" ref="C39:E39">_xlfn.TEXTSPLIT(B39,"_",)</f>
        <v>35</v>
      </c>
      <c r="D39" t="str">
        <v>1023402</v>
      </c>
      <c r="E39" t="str">
        <v>1</v>
      </c>
      <c r="F39">
        <f>_xlfn.XLOOKUP(VALUE(D39),Sheet2!$A$1:$A$25,Sheet2!$C$1:$C$25)</f>
        <v>1440</v>
      </c>
      <c r="G39">
        <f t="shared" si="5"/>
        <v>1023402</v>
      </c>
      <c r="H39">
        <f>_xlfn.XLOOKUP(G39,Sheet2!A:A,Sheet2!B:B)</f>
        <v>1023401</v>
      </c>
      <c r="I39">
        <f>_xlfn.XLOOKUP(VALUE(H39),Sheet2!$A$1:$A$25,Sheet2!$C$1:$C$25)</f>
        <v>960</v>
      </c>
      <c r="J39">
        <f t="shared" si="6"/>
        <v>2</v>
      </c>
      <c r="K39">
        <f t="shared" si="7"/>
        <v>17</v>
      </c>
      <c r="L39" s="2" t="str">
        <f t="shared" si="8"/>
        <v>17_1023401_2</v>
      </c>
    </row>
    <row r="40" spans="1:12">
      <c r="L40" s="2"/>
    </row>
    <row r="41" spans="1:12">
      <c r="L41" s="2"/>
    </row>
    <row r="42" spans="1:12">
      <c r="L42" s="2"/>
    </row>
    <row r="43" spans="1:12">
      <c r="L43" s="2"/>
    </row>
    <row r="44" spans="1:12">
      <c r="L44" s="2"/>
    </row>
    <row r="48" spans="1:12">
      <c r="A48">
        <v>20010080</v>
      </c>
      <c r="B48" t="str">
        <f>_xlfn.XLOOKUP(A48,$A$1:$A$12,$B$1:$B$12)</f>
        <v>2500_1023001_1|1667_1023002_1|1250_1023003_1|833_1023101_1|556_1023102_1|417_1023103_1|208_1023201_1|139_1023202_1|104_1023203_1|104_1023301_1|69_1023302_1|52_1023303_1|52_1023401_1|35_1023402_1|26_1023403_1</v>
      </c>
      <c r="L48" t="str">
        <f>_xlfn.TEXTJOIN("|",TRUE,L49:L63)</f>
        <v>2500_1023001_1|833_1023001_2|625_1023001_2|833_1023101_1|278_1023101_2|208_1023101_2|208_1023201_1|69_1023201_2|52_1023201_2|104_1023301_1|34_1023301_2|26_1023301_2|52_1023401_1|17_1023401_2|13_1023401_2</v>
      </c>
    </row>
    <row r="49" customFormat="1" spans="2:12">
      <c r="B49" t="str" cm="1">
        <f t="array" ref="B49:B63">_xlfn.TEXTSPLIT(B48,,"|")</f>
        <v>2500_1023001_1</v>
      </c>
      <c r="C49" t="str" cm="1">
        <f t="array" ref="C49:E49">_xlfn.TEXTSPLIT(B49,"_",)</f>
        <v>2500</v>
      </c>
      <c r="D49" t="str">
        <v>1023001</v>
      </c>
      <c r="E49" t="str">
        <v>1</v>
      </c>
      <c r="F49">
        <f>_xlfn.XLOOKUP(VALUE(D49),Sheet2!$A$1:$A$25,Sheet2!$C$1:$C$25)</f>
        <v>20</v>
      </c>
      <c r="G49">
        <f t="shared" ref="G49:G61" si="9">VALUE(D49)</f>
        <v>1023001</v>
      </c>
      <c r="H49">
        <f>_xlfn.XLOOKUP(G49,Sheet2!A:A,Sheet2!B:B)</f>
        <v>1023001</v>
      </c>
      <c r="I49">
        <f>_xlfn.XLOOKUP(VALUE(H49),Sheet2!$A$1:$A$25,Sheet2!$C$1:$C$25)</f>
        <v>20</v>
      </c>
      <c r="J49">
        <f t="shared" ref="J49:J61" si="10">ROUNDUP(F49/I49,0)</f>
        <v>1</v>
      </c>
      <c r="K49">
        <f t="shared" ref="K49:K61" si="11">ROUNDDOWN(C49/J49,0)</f>
        <v>2500</v>
      </c>
      <c r="L49" s="2" t="str">
        <f t="shared" ref="L49:L61" si="12">_xlfn.TEXTJOIN("_",TRUE,K49,H49,J49)</f>
        <v>2500_1023001_1</v>
      </c>
    </row>
    <row r="50" customFormat="1" spans="2:12">
      <c r="B50" t="str">
        <v>1667_1023002_1</v>
      </c>
      <c r="C50" t="str" cm="1">
        <f t="array" ref="C50:E50">_xlfn.TEXTSPLIT(B50,"_",)</f>
        <v>1667</v>
      </c>
      <c r="D50" t="str">
        <v>1023002</v>
      </c>
      <c r="E50" t="str">
        <v>1</v>
      </c>
      <c r="F50">
        <f>_xlfn.XLOOKUP(VALUE(D50),Sheet2!$A$1:$A$25,Sheet2!$C$1:$C$25)</f>
        <v>30</v>
      </c>
      <c r="G50">
        <f t="shared" si="9"/>
        <v>1023002</v>
      </c>
      <c r="H50">
        <f>_xlfn.XLOOKUP(G50,Sheet2!A:A,Sheet2!B:B)</f>
        <v>1023001</v>
      </c>
      <c r="I50">
        <f>_xlfn.XLOOKUP(VALUE(H50),Sheet2!$A$1:$A$25,Sheet2!$C$1:$C$25)</f>
        <v>20</v>
      </c>
      <c r="J50">
        <f t="shared" si="10"/>
        <v>2</v>
      </c>
      <c r="K50">
        <f t="shared" si="11"/>
        <v>833</v>
      </c>
      <c r="L50" s="2" t="str">
        <f t="shared" si="12"/>
        <v>833_1023001_2</v>
      </c>
    </row>
    <row r="51" customFormat="1" spans="2:12">
      <c r="B51" t="str">
        <v>1250_1023003_1</v>
      </c>
      <c r="C51" t="str" cm="1">
        <f t="array" ref="C51:E51">_xlfn.TEXTSPLIT(B51,"_",)</f>
        <v>1250</v>
      </c>
      <c r="D51" t="str">
        <v>1023003</v>
      </c>
      <c r="E51" t="str">
        <v>1</v>
      </c>
      <c r="F51">
        <f>_xlfn.XLOOKUP(VALUE(D51),Sheet2!$A$1:$A$25,Sheet2!$C$1:$C$25)</f>
        <v>40</v>
      </c>
      <c r="G51">
        <f t="shared" si="9"/>
        <v>1023003</v>
      </c>
      <c r="H51">
        <f>_xlfn.XLOOKUP(G51,Sheet2!A:A,Sheet2!B:B)</f>
        <v>1023001</v>
      </c>
      <c r="I51">
        <f>_xlfn.XLOOKUP(VALUE(H51),Sheet2!$A$1:$A$25,Sheet2!$C$1:$C$25)</f>
        <v>20</v>
      </c>
      <c r="J51">
        <f t="shared" si="10"/>
        <v>2</v>
      </c>
      <c r="K51">
        <f t="shared" si="11"/>
        <v>625</v>
      </c>
      <c r="L51" s="2" t="str">
        <f t="shared" si="12"/>
        <v>625_1023001_2</v>
      </c>
    </row>
    <row r="52" customFormat="1" spans="2:12">
      <c r="B52" t="str">
        <v>833_1023101_1</v>
      </c>
      <c r="C52" t="str" cm="1">
        <f t="array" ref="C52:E52">_xlfn.TEXTSPLIT(B52,"_",)</f>
        <v>833</v>
      </c>
      <c r="D52" t="str">
        <v>1023101</v>
      </c>
      <c r="E52" t="str">
        <v>1</v>
      </c>
      <c r="F52">
        <f>_xlfn.XLOOKUP(VALUE(D52),Sheet2!$A$1:$A$25,Sheet2!$C$1:$C$25)</f>
        <v>60</v>
      </c>
      <c r="G52">
        <f t="shared" si="9"/>
        <v>1023101</v>
      </c>
      <c r="H52">
        <f>_xlfn.XLOOKUP(G52,Sheet2!A:A,Sheet2!B:B)</f>
        <v>1023101</v>
      </c>
      <c r="I52">
        <f>_xlfn.XLOOKUP(VALUE(H52),Sheet2!$A$1:$A$25,Sheet2!$C$1:$C$25)</f>
        <v>60</v>
      </c>
      <c r="J52">
        <f t="shared" si="10"/>
        <v>1</v>
      </c>
      <c r="K52">
        <f t="shared" si="11"/>
        <v>833</v>
      </c>
      <c r="L52" s="2" t="str">
        <f t="shared" si="12"/>
        <v>833_1023101_1</v>
      </c>
    </row>
    <row r="53" customFormat="1" spans="2:12">
      <c r="B53" t="str">
        <v>556_1023102_1</v>
      </c>
      <c r="C53" t="str" cm="1">
        <f t="array" ref="C53:E53">_xlfn.TEXTSPLIT(B53,"_",)</f>
        <v>556</v>
      </c>
      <c r="D53" t="str">
        <v>1023102</v>
      </c>
      <c r="E53" t="str">
        <v>1</v>
      </c>
      <c r="F53">
        <f>_xlfn.XLOOKUP(VALUE(D53),Sheet2!$A$1:$A$25,Sheet2!$C$1:$C$25)</f>
        <v>90</v>
      </c>
      <c r="G53">
        <f t="shared" si="9"/>
        <v>1023102</v>
      </c>
      <c r="H53">
        <f>_xlfn.XLOOKUP(G53,Sheet2!A:A,Sheet2!B:B)</f>
        <v>1023101</v>
      </c>
      <c r="I53">
        <f>_xlfn.XLOOKUP(VALUE(H53),Sheet2!$A$1:$A$25,Sheet2!$C$1:$C$25)</f>
        <v>60</v>
      </c>
      <c r="J53">
        <f t="shared" si="10"/>
        <v>2</v>
      </c>
      <c r="K53">
        <f t="shared" si="11"/>
        <v>278</v>
      </c>
      <c r="L53" s="2" t="str">
        <f t="shared" si="12"/>
        <v>278_1023101_2</v>
      </c>
    </row>
    <row r="54" customFormat="1" spans="2:12">
      <c r="B54" t="str">
        <v>417_1023103_1</v>
      </c>
      <c r="C54" t="str" cm="1">
        <f t="array" ref="C54:E54">_xlfn.TEXTSPLIT(B54,"_",)</f>
        <v>417</v>
      </c>
      <c r="D54" t="str">
        <v>1023103</v>
      </c>
      <c r="E54" t="str">
        <v>1</v>
      </c>
      <c r="F54">
        <f>_xlfn.XLOOKUP(VALUE(D54),Sheet2!$A$1:$A$25,Sheet2!$C$1:$C$25)</f>
        <v>120</v>
      </c>
      <c r="G54">
        <f t="shared" si="9"/>
        <v>1023103</v>
      </c>
      <c r="H54">
        <f>_xlfn.XLOOKUP(G54,Sheet2!A:A,Sheet2!B:B)</f>
        <v>1023101</v>
      </c>
      <c r="I54">
        <f>_xlfn.XLOOKUP(VALUE(H54),Sheet2!$A$1:$A$25,Sheet2!$C$1:$C$25)</f>
        <v>60</v>
      </c>
      <c r="J54">
        <f t="shared" si="10"/>
        <v>2</v>
      </c>
      <c r="K54">
        <f t="shared" si="11"/>
        <v>208</v>
      </c>
      <c r="L54" s="2" t="str">
        <f t="shared" si="12"/>
        <v>208_1023101_2</v>
      </c>
    </row>
    <row r="55" customFormat="1" spans="2:12">
      <c r="B55" t="str">
        <v>208_1023201_1</v>
      </c>
      <c r="C55" t="str" cm="1">
        <f t="array" ref="C55:E55">_xlfn.TEXTSPLIT(B55,"_",)</f>
        <v>208</v>
      </c>
      <c r="D55" t="str">
        <v>1023201</v>
      </c>
      <c r="E55" t="str">
        <v>1</v>
      </c>
      <c r="F55">
        <f>_xlfn.XLOOKUP(VALUE(D55),Sheet2!$A$1:$A$25,Sheet2!$C$1:$C$25)</f>
        <v>240</v>
      </c>
      <c r="G55">
        <f t="shared" si="9"/>
        <v>1023201</v>
      </c>
      <c r="H55">
        <f>_xlfn.XLOOKUP(G55,Sheet2!A:A,Sheet2!B:B)</f>
        <v>1023201</v>
      </c>
      <c r="I55">
        <f>_xlfn.XLOOKUP(VALUE(H55),Sheet2!$A$1:$A$25,Sheet2!$C$1:$C$25)</f>
        <v>240</v>
      </c>
      <c r="J55">
        <f t="shared" si="10"/>
        <v>1</v>
      </c>
      <c r="K55">
        <f t="shared" si="11"/>
        <v>208</v>
      </c>
      <c r="L55" s="2" t="str">
        <f t="shared" si="12"/>
        <v>208_1023201_1</v>
      </c>
    </row>
    <row r="56" customFormat="1" spans="2:12">
      <c r="B56" t="str">
        <v>139_1023202_1</v>
      </c>
      <c r="C56" t="str" cm="1">
        <f t="array" ref="C56:E56">_xlfn.TEXTSPLIT(B56,"_",)</f>
        <v>139</v>
      </c>
      <c r="D56" t="str">
        <v>1023202</v>
      </c>
      <c r="E56" t="str">
        <v>1</v>
      </c>
      <c r="F56">
        <f>_xlfn.XLOOKUP(VALUE(D56),Sheet2!$A$1:$A$25,Sheet2!$C$1:$C$25)</f>
        <v>360</v>
      </c>
      <c r="G56">
        <f t="shared" si="9"/>
        <v>1023202</v>
      </c>
      <c r="H56">
        <f>_xlfn.XLOOKUP(G56,Sheet2!A:A,Sheet2!B:B)</f>
        <v>1023201</v>
      </c>
      <c r="I56">
        <f>_xlfn.XLOOKUP(VALUE(H56),Sheet2!$A$1:$A$25,Sheet2!$C$1:$C$25)</f>
        <v>240</v>
      </c>
      <c r="J56">
        <f t="shared" si="10"/>
        <v>2</v>
      </c>
      <c r="K56">
        <f t="shared" si="11"/>
        <v>69</v>
      </c>
      <c r="L56" s="2" t="str">
        <f t="shared" si="12"/>
        <v>69_1023201_2</v>
      </c>
    </row>
    <row r="57" customFormat="1" spans="2:12">
      <c r="B57" t="str">
        <v>104_1023203_1</v>
      </c>
      <c r="C57" t="str" cm="1">
        <f t="array" ref="C57:E57">_xlfn.TEXTSPLIT(B57,"_",)</f>
        <v>104</v>
      </c>
      <c r="D57" t="str">
        <v>1023203</v>
      </c>
      <c r="E57" t="str">
        <v>1</v>
      </c>
      <c r="F57">
        <f>_xlfn.XLOOKUP(VALUE(D57),Sheet2!$A$1:$A$25,Sheet2!$C$1:$C$25)</f>
        <v>480</v>
      </c>
      <c r="G57">
        <f t="shared" si="9"/>
        <v>1023203</v>
      </c>
      <c r="H57">
        <f>_xlfn.XLOOKUP(G57,Sheet2!A:A,Sheet2!B:B)</f>
        <v>1023201</v>
      </c>
      <c r="I57">
        <f>_xlfn.XLOOKUP(VALUE(H57),Sheet2!$A$1:$A$25,Sheet2!$C$1:$C$25)</f>
        <v>240</v>
      </c>
      <c r="J57">
        <f t="shared" si="10"/>
        <v>2</v>
      </c>
      <c r="K57">
        <f t="shared" si="11"/>
        <v>52</v>
      </c>
      <c r="L57" s="2" t="str">
        <f t="shared" si="12"/>
        <v>52_1023201_2</v>
      </c>
    </row>
    <row r="58" customFormat="1" spans="2:12">
      <c r="B58" t="str">
        <v>104_1023301_1</v>
      </c>
      <c r="C58" t="str" cm="1">
        <f t="array" ref="C58:E58">_xlfn.TEXTSPLIT(B58,"_",)</f>
        <v>104</v>
      </c>
      <c r="D58" t="str">
        <v>1023301</v>
      </c>
      <c r="E58" t="str">
        <v>1</v>
      </c>
      <c r="F58">
        <f>_xlfn.XLOOKUP(VALUE(D58),Sheet2!$A$1:$A$25,Sheet2!$C$1:$C$25)</f>
        <v>480</v>
      </c>
      <c r="G58">
        <f t="shared" si="9"/>
        <v>1023301</v>
      </c>
      <c r="H58">
        <f>_xlfn.XLOOKUP(G58,Sheet2!A:A,Sheet2!B:B)</f>
        <v>1023301</v>
      </c>
      <c r="I58">
        <f>_xlfn.XLOOKUP(VALUE(H58),Sheet2!$A$1:$A$25,Sheet2!$C$1:$C$25)</f>
        <v>480</v>
      </c>
      <c r="J58">
        <f t="shared" si="10"/>
        <v>1</v>
      </c>
      <c r="K58">
        <f t="shared" si="11"/>
        <v>104</v>
      </c>
      <c r="L58" s="2" t="str">
        <f t="shared" si="12"/>
        <v>104_1023301_1</v>
      </c>
    </row>
    <row r="59" customFormat="1" spans="2:12">
      <c r="B59" t="str">
        <v>69_1023302_1</v>
      </c>
      <c r="C59" t="str" cm="1">
        <f t="array" ref="C59:E59">_xlfn.TEXTSPLIT(B59,"_",)</f>
        <v>69</v>
      </c>
      <c r="D59" t="str">
        <v>1023302</v>
      </c>
      <c r="E59" t="str">
        <v>1</v>
      </c>
      <c r="F59">
        <f>_xlfn.XLOOKUP(VALUE(D59),Sheet2!$A$1:$A$25,Sheet2!$C$1:$C$25)</f>
        <v>720</v>
      </c>
      <c r="G59">
        <f t="shared" si="9"/>
        <v>1023302</v>
      </c>
      <c r="H59">
        <f>_xlfn.XLOOKUP(G59,Sheet2!A:A,Sheet2!B:B)</f>
        <v>1023301</v>
      </c>
      <c r="I59">
        <f>_xlfn.XLOOKUP(VALUE(H59),Sheet2!$A$1:$A$25,Sheet2!$C$1:$C$25)</f>
        <v>480</v>
      </c>
      <c r="J59">
        <f t="shared" si="10"/>
        <v>2</v>
      </c>
      <c r="K59">
        <f t="shared" si="11"/>
        <v>34</v>
      </c>
      <c r="L59" s="2" t="str">
        <f t="shared" si="12"/>
        <v>34_1023301_2</v>
      </c>
    </row>
    <row r="60" customFormat="1" spans="2:12">
      <c r="B60" t="str">
        <v>52_1023303_1</v>
      </c>
      <c r="C60" t="str" cm="1">
        <f t="array" ref="C60:E60">_xlfn.TEXTSPLIT(B60,"_",)</f>
        <v>52</v>
      </c>
      <c r="D60" t="str">
        <v>1023303</v>
      </c>
      <c r="E60" t="str">
        <v>1</v>
      </c>
      <c r="F60">
        <f>_xlfn.XLOOKUP(VALUE(D60),Sheet2!$A$1:$A$25,Sheet2!$C$1:$C$25)</f>
        <v>960</v>
      </c>
      <c r="G60">
        <f t="shared" si="9"/>
        <v>1023303</v>
      </c>
      <c r="H60">
        <f>_xlfn.XLOOKUP(G60,Sheet2!A:A,Sheet2!B:B)</f>
        <v>1023301</v>
      </c>
      <c r="I60">
        <f>_xlfn.XLOOKUP(VALUE(H60),Sheet2!$A$1:$A$25,Sheet2!$C$1:$C$25)</f>
        <v>480</v>
      </c>
      <c r="J60">
        <f t="shared" si="10"/>
        <v>2</v>
      </c>
      <c r="K60">
        <f t="shared" si="11"/>
        <v>26</v>
      </c>
      <c r="L60" s="2" t="str">
        <f t="shared" si="12"/>
        <v>26_1023301_2</v>
      </c>
    </row>
    <row r="61" customFormat="1" spans="2:12">
      <c r="B61" t="str">
        <v>52_1023401_1</v>
      </c>
      <c r="C61" t="str" cm="1">
        <f t="array" ref="C61:E61">_xlfn.TEXTSPLIT(B61,"_",)</f>
        <v>52</v>
      </c>
      <c r="D61" t="str">
        <v>1023401</v>
      </c>
      <c r="E61" t="str">
        <v>1</v>
      </c>
      <c r="F61">
        <f>_xlfn.XLOOKUP(VALUE(D61),Sheet2!$A$1:$A$25,Sheet2!$C$1:$C$25)</f>
        <v>960</v>
      </c>
      <c r="G61">
        <f t="shared" si="9"/>
        <v>1023401</v>
      </c>
      <c r="H61">
        <f>_xlfn.XLOOKUP(G61,Sheet2!A:A,Sheet2!B:B)</f>
        <v>1023401</v>
      </c>
      <c r="I61">
        <f>_xlfn.XLOOKUP(VALUE(H61),Sheet2!$A$1:$A$25,Sheet2!$C$1:$C$25)</f>
        <v>960</v>
      </c>
      <c r="J61">
        <f t="shared" si="10"/>
        <v>1</v>
      </c>
      <c r="K61">
        <f t="shared" si="11"/>
        <v>52</v>
      </c>
      <c r="L61" s="2" t="str">
        <f t="shared" si="12"/>
        <v>52_1023401_1</v>
      </c>
    </row>
    <row r="62" customFormat="1" spans="2:12">
      <c r="B62" t="str">
        <v>35_1023402_1</v>
      </c>
      <c r="C62" t="str" cm="1">
        <f t="array" ref="C62:E62">_xlfn.TEXTSPLIT(B62,"_",)</f>
        <v>35</v>
      </c>
      <c r="D62" t="str">
        <v>1023402</v>
      </c>
      <c r="E62" t="str">
        <v>1</v>
      </c>
      <c r="F62">
        <f>_xlfn.XLOOKUP(VALUE(D62),Sheet2!$A$1:$A$25,Sheet2!$C$1:$C$25)</f>
        <v>1440</v>
      </c>
      <c r="G62">
        <f t="shared" ref="G62:G81" si="13">VALUE(D62)</f>
        <v>1023402</v>
      </c>
      <c r="H62">
        <f>_xlfn.XLOOKUP(G62,Sheet2!A:A,Sheet2!B:B)</f>
        <v>1023401</v>
      </c>
      <c r="I62">
        <f>_xlfn.XLOOKUP(VALUE(H62),Sheet2!$A$1:$A$25,Sheet2!$C$1:$C$25)</f>
        <v>960</v>
      </c>
      <c r="J62">
        <f t="shared" ref="J62:J81" si="14">ROUNDUP(F62/I62,0)</f>
        <v>2</v>
      </c>
      <c r="K62">
        <f t="shared" ref="K62:K81" si="15">ROUNDDOWN(C62/J62,0)</f>
        <v>17</v>
      </c>
      <c r="L62" s="2" t="str">
        <f t="shared" ref="L62:L81" si="16">_xlfn.TEXTJOIN("_",TRUE,K62,H62,J62)</f>
        <v>17_1023401_2</v>
      </c>
    </row>
    <row r="63" customFormat="1" spans="2:12">
      <c r="B63" t="str">
        <v>26_1023403_1</v>
      </c>
      <c r="C63" t="str" cm="1">
        <f t="array" ref="C63:E63">_xlfn.TEXTSPLIT(B63,"_",)</f>
        <v>26</v>
      </c>
      <c r="D63" t="str">
        <v>1023403</v>
      </c>
      <c r="E63" t="str">
        <v>1</v>
      </c>
      <c r="F63">
        <f>_xlfn.XLOOKUP(VALUE(D63),Sheet2!$A$1:$A$25,Sheet2!$C$1:$C$25)</f>
        <v>1920</v>
      </c>
      <c r="G63">
        <f t="shared" si="13"/>
        <v>1023403</v>
      </c>
      <c r="H63">
        <f>_xlfn.XLOOKUP(G63,Sheet2!A:A,Sheet2!B:B)</f>
        <v>1023401</v>
      </c>
      <c r="I63">
        <f>_xlfn.XLOOKUP(VALUE(H63),Sheet2!$A$1:$A$25,Sheet2!$C$1:$C$25)</f>
        <v>960</v>
      </c>
      <c r="J63">
        <f t="shared" si="14"/>
        <v>2</v>
      </c>
      <c r="K63">
        <f t="shared" si="15"/>
        <v>13</v>
      </c>
      <c r="L63" s="2" t="str">
        <f t="shared" si="16"/>
        <v>13_1023401_2</v>
      </c>
    </row>
    <row r="66" spans="1:12">
      <c r="A66">
        <v>20010090</v>
      </c>
      <c r="B66" t="str">
        <f>_xlfn.XLOOKUP(A66,$A$1:$A$12,$B$1:$B$12)</f>
        <v>250_1023001_1|1667_1023002_1|1250_1023003_1|83_1023101_1|556_1023102_1|417_1023103_1|20_1023201_1|139_1023202_1|104_1023203_1|10_1023301_1|69_1023302_1|52_1023303_1|5_1023401_1|35_1023402_1|26_1023403_1</v>
      </c>
      <c r="L66" t="str">
        <f>_xlfn.TEXTJOIN("|",TRUE,L67:L81)</f>
        <v>250_1023001_1|833_1023001_2|625_1023001_2|83_1023101_1|278_1023101_2|208_1023101_2|20_1023201_1|69_1023201_2|52_1023201_2|10_1023301_1|34_1023301_2|26_1023301_2|5_1023401_1|17_1023401_2|13_1023401_2</v>
      </c>
    </row>
    <row r="67" customFormat="1" spans="1:12">
      <c r="B67" t="str" cm="1">
        <f t="array" ref="B67:B81">_xlfn.TEXTSPLIT(B66,,"|")</f>
        <v>250_1023001_1</v>
      </c>
      <c r="C67" t="str" cm="1">
        <f t="array" ref="C67:E67">_xlfn.TEXTSPLIT(B67,"_",)</f>
        <v>250</v>
      </c>
      <c r="D67" t="str">
        <v>1023001</v>
      </c>
      <c r="E67" t="str">
        <v>1</v>
      </c>
      <c r="F67">
        <f>_xlfn.XLOOKUP(VALUE(D67),Sheet2!$A$1:$A$25,Sheet2!$C$1:$C$25)</f>
        <v>20</v>
      </c>
      <c r="G67">
        <f t="shared" si="13"/>
        <v>1023001</v>
      </c>
      <c r="H67">
        <f>_xlfn.XLOOKUP(G67,Sheet2!A:A,Sheet2!B:B)</f>
        <v>1023001</v>
      </c>
      <c r="I67">
        <f>_xlfn.XLOOKUP(VALUE(H67),Sheet2!$A$1:$A$25,Sheet2!$C$1:$C$25)</f>
        <v>20</v>
      </c>
      <c r="J67">
        <f t="shared" si="14"/>
        <v>1</v>
      </c>
      <c r="K67">
        <f t="shared" si="15"/>
        <v>250</v>
      </c>
      <c r="L67" s="2" t="str">
        <f t="shared" si="16"/>
        <v>250_1023001_1</v>
      </c>
    </row>
    <row r="68" customFormat="1" spans="1:12">
      <c r="B68" t="str">
        <v>1667_1023002_1</v>
      </c>
      <c r="C68" t="str" cm="1">
        <f t="array" ref="C68:E68">_xlfn.TEXTSPLIT(B68,"_",)</f>
        <v>1667</v>
      </c>
      <c r="D68" t="str">
        <v>1023002</v>
      </c>
      <c r="E68" t="str">
        <v>1</v>
      </c>
      <c r="F68">
        <f>_xlfn.XLOOKUP(VALUE(D68),Sheet2!$A$1:$A$25,Sheet2!$C$1:$C$25)</f>
        <v>30</v>
      </c>
      <c r="G68">
        <f t="shared" si="13"/>
        <v>1023002</v>
      </c>
      <c r="H68">
        <f>_xlfn.XLOOKUP(G68,Sheet2!A:A,Sheet2!B:B)</f>
        <v>1023001</v>
      </c>
      <c r="I68">
        <f>_xlfn.XLOOKUP(VALUE(H68),Sheet2!$A$1:$A$25,Sheet2!$C$1:$C$25)</f>
        <v>20</v>
      </c>
      <c r="J68">
        <f t="shared" si="14"/>
        <v>2</v>
      </c>
      <c r="K68">
        <f t="shared" si="15"/>
        <v>833</v>
      </c>
      <c r="L68" s="2" t="str">
        <f t="shared" si="16"/>
        <v>833_1023001_2</v>
      </c>
    </row>
    <row r="69" customFormat="1" spans="1:12">
      <c r="B69" t="str">
        <v>1250_1023003_1</v>
      </c>
      <c r="C69" t="str" cm="1">
        <f t="array" ref="C69:E69">_xlfn.TEXTSPLIT(B69,"_",)</f>
        <v>1250</v>
      </c>
      <c r="D69" t="str">
        <v>1023003</v>
      </c>
      <c r="E69" t="str">
        <v>1</v>
      </c>
      <c r="F69">
        <f>_xlfn.XLOOKUP(VALUE(D69),Sheet2!$A$1:$A$25,Sheet2!$C$1:$C$25)</f>
        <v>40</v>
      </c>
      <c r="G69">
        <f t="shared" si="13"/>
        <v>1023003</v>
      </c>
      <c r="H69">
        <f>_xlfn.XLOOKUP(G69,Sheet2!A:A,Sheet2!B:B)</f>
        <v>1023001</v>
      </c>
      <c r="I69">
        <f>_xlfn.XLOOKUP(VALUE(H69),Sheet2!$A$1:$A$25,Sheet2!$C$1:$C$25)</f>
        <v>20</v>
      </c>
      <c r="J69">
        <f t="shared" si="14"/>
        <v>2</v>
      </c>
      <c r="K69">
        <f t="shared" si="15"/>
        <v>625</v>
      </c>
      <c r="L69" s="2" t="str">
        <f t="shared" si="16"/>
        <v>625_1023001_2</v>
      </c>
    </row>
    <row r="70" customFormat="1" spans="1:12">
      <c r="B70" t="str">
        <v>83_1023101_1</v>
      </c>
      <c r="C70" t="str" cm="1">
        <f t="array" ref="C70:E70">_xlfn.TEXTSPLIT(B70,"_",)</f>
        <v>83</v>
      </c>
      <c r="D70" t="str">
        <v>1023101</v>
      </c>
      <c r="E70" t="str">
        <v>1</v>
      </c>
      <c r="F70">
        <f>_xlfn.XLOOKUP(VALUE(D70),Sheet2!$A$1:$A$25,Sheet2!$C$1:$C$25)</f>
        <v>60</v>
      </c>
      <c r="G70">
        <f t="shared" si="13"/>
        <v>1023101</v>
      </c>
      <c r="H70">
        <f>_xlfn.XLOOKUP(G70,Sheet2!A:A,Sheet2!B:B)</f>
        <v>1023101</v>
      </c>
      <c r="I70">
        <f>_xlfn.XLOOKUP(VALUE(H70),Sheet2!$A$1:$A$25,Sheet2!$C$1:$C$25)</f>
        <v>60</v>
      </c>
      <c r="J70">
        <f t="shared" si="14"/>
        <v>1</v>
      </c>
      <c r="K70">
        <f t="shared" si="15"/>
        <v>83</v>
      </c>
      <c r="L70" s="2" t="str">
        <f t="shared" si="16"/>
        <v>83_1023101_1</v>
      </c>
    </row>
    <row r="71" customFormat="1" spans="1:12">
      <c r="B71" t="str">
        <v>556_1023102_1</v>
      </c>
      <c r="C71" t="str" cm="1">
        <f t="array" ref="C71:E71">_xlfn.TEXTSPLIT(B71,"_",)</f>
        <v>556</v>
      </c>
      <c r="D71" t="str">
        <v>1023102</v>
      </c>
      <c r="E71" t="str">
        <v>1</v>
      </c>
      <c r="F71">
        <f>_xlfn.XLOOKUP(VALUE(D71),Sheet2!$A$1:$A$25,Sheet2!$C$1:$C$25)</f>
        <v>90</v>
      </c>
      <c r="G71">
        <f t="shared" si="13"/>
        <v>1023102</v>
      </c>
      <c r="H71">
        <f>_xlfn.XLOOKUP(G71,Sheet2!A:A,Sheet2!B:B)</f>
        <v>1023101</v>
      </c>
      <c r="I71">
        <f>_xlfn.XLOOKUP(VALUE(H71),Sheet2!$A$1:$A$25,Sheet2!$C$1:$C$25)</f>
        <v>60</v>
      </c>
      <c r="J71">
        <f t="shared" si="14"/>
        <v>2</v>
      </c>
      <c r="K71">
        <f t="shared" si="15"/>
        <v>278</v>
      </c>
      <c r="L71" s="2" t="str">
        <f t="shared" si="16"/>
        <v>278_1023101_2</v>
      </c>
    </row>
    <row r="72" customFormat="1" spans="1:12">
      <c r="B72" t="str">
        <v>417_1023103_1</v>
      </c>
      <c r="C72" t="str" cm="1">
        <f t="array" ref="C72:E72">_xlfn.TEXTSPLIT(B72,"_",)</f>
        <v>417</v>
      </c>
      <c r="D72" t="str">
        <v>1023103</v>
      </c>
      <c r="E72" t="str">
        <v>1</v>
      </c>
      <c r="F72">
        <f>_xlfn.XLOOKUP(VALUE(D72),Sheet2!$A$1:$A$25,Sheet2!$C$1:$C$25)</f>
        <v>120</v>
      </c>
      <c r="G72">
        <f t="shared" si="13"/>
        <v>1023103</v>
      </c>
      <c r="H72">
        <f>_xlfn.XLOOKUP(G72,Sheet2!A:A,Sheet2!B:B)</f>
        <v>1023101</v>
      </c>
      <c r="I72">
        <f>_xlfn.XLOOKUP(VALUE(H72),Sheet2!$A$1:$A$25,Sheet2!$C$1:$C$25)</f>
        <v>60</v>
      </c>
      <c r="J72">
        <f t="shared" si="14"/>
        <v>2</v>
      </c>
      <c r="K72">
        <f t="shared" si="15"/>
        <v>208</v>
      </c>
      <c r="L72" s="2" t="str">
        <f t="shared" si="16"/>
        <v>208_1023101_2</v>
      </c>
    </row>
    <row r="73" customFormat="1" spans="1:12">
      <c r="B73" t="str">
        <v>20_1023201_1</v>
      </c>
      <c r="C73" t="str" cm="1">
        <f t="array" ref="C73:E73">_xlfn.TEXTSPLIT(B73,"_",)</f>
        <v>20</v>
      </c>
      <c r="D73" t="str">
        <v>1023201</v>
      </c>
      <c r="E73" t="str">
        <v>1</v>
      </c>
      <c r="F73">
        <f>_xlfn.XLOOKUP(VALUE(D73),Sheet2!$A$1:$A$25,Sheet2!$C$1:$C$25)</f>
        <v>240</v>
      </c>
      <c r="G73">
        <f t="shared" si="13"/>
        <v>1023201</v>
      </c>
      <c r="H73">
        <f>_xlfn.XLOOKUP(G73,Sheet2!A:A,Sheet2!B:B)</f>
        <v>1023201</v>
      </c>
      <c r="I73">
        <f>_xlfn.XLOOKUP(VALUE(H73),Sheet2!$A$1:$A$25,Sheet2!$C$1:$C$25)</f>
        <v>240</v>
      </c>
      <c r="J73">
        <f t="shared" si="14"/>
        <v>1</v>
      </c>
      <c r="K73">
        <f t="shared" si="15"/>
        <v>20</v>
      </c>
      <c r="L73" s="2" t="str">
        <f t="shared" si="16"/>
        <v>20_1023201_1</v>
      </c>
    </row>
    <row r="74" customFormat="1" spans="1:12">
      <c r="B74" t="str">
        <v>139_1023202_1</v>
      </c>
      <c r="C74" t="str" cm="1">
        <f t="array" ref="C74:E74">_xlfn.TEXTSPLIT(B74,"_",)</f>
        <v>139</v>
      </c>
      <c r="D74" t="str">
        <v>1023202</v>
      </c>
      <c r="E74" t="str">
        <v>1</v>
      </c>
      <c r="F74">
        <f>_xlfn.XLOOKUP(VALUE(D74),Sheet2!$A$1:$A$25,Sheet2!$C$1:$C$25)</f>
        <v>360</v>
      </c>
      <c r="G74">
        <f t="shared" si="13"/>
        <v>1023202</v>
      </c>
      <c r="H74">
        <f>_xlfn.XLOOKUP(G74,Sheet2!A:A,Sheet2!B:B)</f>
        <v>1023201</v>
      </c>
      <c r="I74">
        <f>_xlfn.XLOOKUP(VALUE(H74),Sheet2!$A$1:$A$25,Sheet2!$C$1:$C$25)</f>
        <v>240</v>
      </c>
      <c r="J74">
        <f t="shared" si="14"/>
        <v>2</v>
      </c>
      <c r="K74">
        <f t="shared" si="15"/>
        <v>69</v>
      </c>
      <c r="L74" s="2" t="str">
        <f t="shared" si="16"/>
        <v>69_1023201_2</v>
      </c>
    </row>
    <row r="75" customFormat="1" spans="1:12">
      <c r="B75" t="str">
        <v>104_1023203_1</v>
      </c>
      <c r="C75" t="str" cm="1">
        <f t="array" ref="C75:E75">_xlfn.TEXTSPLIT(B75,"_",)</f>
        <v>104</v>
      </c>
      <c r="D75" t="str">
        <v>1023203</v>
      </c>
      <c r="E75" t="str">
        <v>1</v>
      </c>
      <c r="F75">
        <f>_xlfn.XLOOKUP(VALUE(D75),Sheet2!$A$1:$A$25,Sheet2!$C$1:$C$25)</f>
        <v>480</v>
      </c>
      <c r="G75">
        <f t="shared" si="13"/>
        <v>1023203</v>
      </c>
      <c r="H75">
        <f>_xlfn.XLOOKUP(G75,Sheet2!A:A,Sheet2!B:B)</f>
        <v>1023201</v>
      </c>
      <c r="I75">
        <f>_xlfn.XLOOKUP(VALUE(H75),Sheet2!$A$1:$A$25,Sheet2!$C$1:$C$25)</f>
        <v>240</v>
      </c>
      <c r="J75">
        <f t="shared" si="14"/>
        <v>2</v>
      </c>
      <c r="K75">
        <f t="shared" si="15"/>
        <v>52</v>
      </c>
      <c r="L75" s="2" t="str">
        <f t="shared" si="16"/>
        <v>52_1023201_2</v>
      </c>
    </row>
    <row r="76" customFormat="1" spans="1:12">
      <c r="B76" t="str">
        <v>10_1023301_1</v>
      </c>
      <c r="C76" t="str" cm="1">
        <f t="array" ref="C76:E76">_xlfn.TEXTSPLIT(B76,"_",)</f>
        <v>10</v>
      </c>
      <c r="D76" t="str">
        <v>1023301</v>
      </c>
      <c r="E76" t="str">
        <v>1</v>
      </c>
      <c r="F76">
        <f>_xlfn.XLOOKUP(VALUE(D76),Sheet2!$A$1:$A$25,Sheet2!$C$1:$C$25)</f>
        <v>480</v>
      </c>
      <c r="G76">
        <f t="shared" si="13"/>
        <v>1023301</v>
      </c>
      <c r="H76">
        <f>_xlfn.XLOOKUP(G76,Sheet2!A:A,Sheet2!B:B)</f>
        <v>1023301</v>
      </c>
      <c r="I76">
        <f>_xlfn.XLOOKUP(VALUE(H76),Sheet2!$A$1:$A$25,Sheet2!$C$1:$C$25)</f>
        <v>480</v>
      </c>
      <c r="J76">
        <f t="shared" si="14"/>
        <v>1</v>
      </c>
      <c r="K76">
        <f t="shared" si="15"/>
        <v>10</v>
      </c>
      <c r="L76" s="2" t="str">
        <f t="shared" si="16"/>
        <v>10_1023301_1</v>
      </c>
    </row>
    <row r="77" customFormat="1" spans="1:12">
      <c r="B77" t="str">
        <v>69_1023302_1</v>
      </c>
      <c r="C77" t="str" cm="1">
        <f t="array" ref="C77:E77">_xlfn.TEXTSPLIT(B77,"_",)</f>
        <v>69</v>
      </c>
      <c r="D77" t="str">
        <v>1023302</v>
      </c>
      <c r="E77" t="str">
        <v>1</v>
      </c>
      <c r="F77">
        <f>_xlfn.XLOOKUP(VALUE(D77),Sheet2!$A$1:$A$25,Sheet2!$C$1:$C$25)</f>
        <v>720</v>
      </c>
      <c r="G77">
        <f t="shared" si="13"/>
        <v>1023302</v>
      </c>
      <c r="H77">
        <f>_xlfn.XLOOKUP(G77,Sheet2!A:A,Sheet2!B:B)</f>
        <v>1023301</v>
      </c>
      <c r="I77">
        <f>_xlfn.XLOOKUP(VALUE(H77),Sheet2!$A$1:$A$25,Sheet2!$C$1:$C$25)</f>
        <v>480</v>
      </c>
      <c r="J77">
        <f t="shared" si="14"/>
        <v>2</v>
      </c>
      <c r="K77">
        <f t="shared" si="15"/>
        <v>34</v>
      </c>
      <c r="L77" s="2" t="str">
        <f t="shared" si="16"/>
        <v>34_1023301_2</v>
      </c>
    </row>
    <row r="78" customFormat="1" spans="1:12">
      <c r="B78" t="str">
        <v>52_1023303_1</v>
      </c>
      <c r="C78" t="str" cm="1">
        <f t="array" ref="C78:E78">_xlfn.TEXTSPLIT(B78,"_",)</f>
        <v>52</v>
      </c>
      <c r="D78" t="str">
        <v>1023303</v>
      </c>
      <c r="E78" t="str">
        <v>1</v>
      </c>
      <c r="F78">
        <f>_xlfn.XLOOKUP(VALUE(D78),Sheet2!$A$1:$A$25,Sheet2!$C$1:$C$25)</f>
        <v>960</v>
      </c>
      <c r="G78">
        <f t="shared" si="13"/>
        <v>1023303</v>
      </c>
      <c r="H78">
        <f>_xlfn.XLOOKUP(G78,Sheet2!A:A,Sheet2!B:B)</f>
        <v>1023301</v>
      </c>
      <c r="I78">
        <f>_xlfn.XLOOKUP(VALUE(H78),Sheet2!$A$1:$A$25,Sheet2!$C$1:$C$25)</f>
        <v>480</v>
      </c>
      <c r="J78">
        <f t="shared" si="14"/>
        <v>2</v>
      </c>
      <c r="K78">
        <f t="shared" si="15"/>
        <v>26</v>
      </c>
      <c r="L78" s="2" t="str">
        <f t="shared" si="16"/>
        <v>26_1023301_2</v>
      </c>
    </row>
    <row r="79" customFormat="1" spans="1:12">
      <c r="B79" t="str">
        <v>5_1023401_1</v>
      </c>
      <c r="C79" t="str" cm="1">
        <f t="array" ref="C79:E79">_xlfn.TEXTSPLIT(B79,"_",)</f>
        <v>5</v>
      </c>
      <c r="D79" t="str">
        <v>1023401</v>
      </c>
      <c r="E79" t="str">
        <v>1</v>
      </c>
      <c r="F79">
        <f>_xlfn.XLOOKUP(VALUE(D79),Sheet2!$A$1:$A$25,Sheet2!$C$1:$C$25)</f>
        <v>960</v>
      </c>
      <c r="G79">
        <f t="shared" si="13"/>
        <v>1023401</v>
      </c>
      <c r="H79">
        <f>_xlfn.XLOOKUP(G79,Sheet2!A:A,Sheet2!B:B)</f>
        <v>1023401</v>
      </c>
      <c r="I79">
        <f>_xlfn.XLOOKUP(VALUE(H79),Sheet2!$A$1:$A$25,Sheet2!$C$1:$C$25)</f>
        <v>960</v>
      </c>
      <c r="J79">
        <f t="shared" si="14"/>
        <v>1</v>
      </c>
      <c r="K79">
        <f t="shared" si="15"/>
        <v>5</v>
      </c>
      <c r="L79" s="2" t="str">
        <f t="shared" si="16"/>
        <v>5_1023401_1</v>
      </c>
    </row>
    <row r="80" customFormat="1" spans="1:12">
      <c r="B80" t="str">
        <v>35_1023402_1</v>
      </c>
      <c r="C80" t="str" cm="1">
        <f t="array" ref="C80:E80">_xlfn.TEXTSPLIT(B80,"_",)</f>
        <v>35</v>
      </c>
      <c r="D80" t="str">
        <v>1023402</v>
      </c>
      <c r="E80" t="str">
        <v>1</v>
      </c>
      <c r="F80">
        <f>_xlfn.XLOOKUP(VALUE(D80),Sheet2!$A$1:$A$25,Sheet2!$C$1:$C$25)</f>
        <v>1440</v>
      </c>
      <c r="G80">
        <f t="shared" si="13"/>
        <v>1023402</v>
      </c>
      <c r="H80">
        <f>_xlfn.XLOOKUP(G80,Sheet2!A:A,Sheet2!B:B)</f>
        <v>1023401</v>
      </c>
      <c r="I80">
        <f>_xlfn.XLOOKUP(VALUE(H80),Sheet2!$A$1:$A$25,Sheet2!$C$1:$C$25)</f>
        <v>960</v>
      </c>
      <c r="J80">
        <f t="shared" si="14"/>
        <v>2</v>
      </c>
      <c r="K80">
        <f t="shared" si="15"/>
        <v>17</v>
      </c>
      <c r="L80" s="2" t="str">
        <f t="shared" si="16"/>
        <v>17_1023401_2</v>
      </c>
    </row>
    <row r="81" customFormat="1" spans="1:12">
      <c r="B81" t="str">
        <v>26_1023403_1</v>
      </c>
      <c r="C81" t="str" cm="1">
        <f t="array" ref="C81:E81">_xlfn.TEXTSPLIT(B81,"_",)</f>
        <v>26</v>
      </c>
      <c r="D81" t="str">
        <v>1023403</v>
      </c>
      <c r="E81" t="str">
        <v>1</v>
      </c>
      <c r="F81">
        <f>_xlfn.XLOOKUP(VALUE(D81),Sheet2!$A$1:$A$25,Sheet2!$C$1:$C$25)</f>
        <v>1920</v>
      </c>
      <c r="G81">
        <f t="shared" si="13"/>
        <v>1023403</v>
      </c>
      <c r="H81">
        <f>_xlfn.XLOOKUP(G81,Sheet2!A:A,Sheet2!B:B)</f>
        <v>1023401</v>
      </c>
      <c r="I81">
        <f>_xlfn.XLOOKUP(VALUE(H81),Sheet2!$A$1:$A$25,Sheet2!$C$1:$C$25)</f>
        <v>960</v>
      </c>
      <c r="J81">
        <f t="shared" si="14"/>
        <v>2</v>
      </c>
      <c r="K81">
        <f t="shared" si="15"/>
        <v>13</v>
      </c>
      <c r="L81" s="2" t="str">
        <f t="shared" si="16"/>
        <v>13_1023401_2</v>
      </c>
    </row>
    <row r="84" spans="1:12">
      <c r="A84">
        <v>20010100</v>
      </c>
      <c r="B84" t="str">
        <f>_xlfn.XLOOKUP(A84,$A$1:$A$12,$B$1:$B$12)</f>
        <v>250_1023001_1|1667_1023002_1|1250_1023003_1|833_1023004_1|83_1023101_1|556_1023102_1|417_1023103_1|278_1023104_1|20_1023201_1|139_1023202_1|104_1023203_1|69_1023204_1|10_1023301_1|69_1023302_1|52_1023303_1|35_1023304_1|5_1023401_1|35_1023402_1|26_1023403_1|17_1023404_1</v>
      </c>
      <c r="L84" t="str">
        <f>_xlfn.TEXTJOIN("|",TRUE,L85:L99)</f>
        <v>250_1023001_1|833_1023001_2|625_1023001_2|277_1023001_3|83_1023101_1|278_1023101_2|208_1023101_2|92_1023101_3|20_1023201_1|69_1023201_2|52_1023201_2|23_1023201_3|10_1023301_1|34_1023301_2|26_1023301_2</v>
      </c>
    </row>
    <row r="85" customFormat="1" spans="1:12">
      <c r="B85" t="str" cm="1">
        <f t="array" ref="B85:B104">_xlfn.TEXTSPLIT(B84,,"|")</f>
        <v>250_1023001_1</v>
      </c>
      <c r="C85" t="str" cm="1">
        <f t="array" ref="C85:E85">_xlfn.TEXTSPLIT(B85,"_",)</f>
        <v>250</v>
      </c>
      <c r="D85" t="str">
        <v>1023001</v>
      </c>
      <c r="E85" t="str">
        <v>1</v>
      </c>
      <c r="F85">
        <f>_xlfn.XLOOKUP(VALUE(D85),Sheet2!$A$1:$A$25,Sheet2!$C$1:$C$25)</f>
        <v>20</v>
      </c>
      <c r="G85">
        <f t="shared" ref="G85:G102" si="17">VALUE(D85)</f>
        <v>1023001</v>
      </c>
      <c r="H85">
        <f>_xlfn.XLOOKUP(G85,Sheet2!A:A,Sheet2!B:B)</f>
        <v>1023001</v>
      </c>
      <c r="I85">
        <f>_xlfn.XLOOKUP(VALUE(H85),Sheet2!$A$1:$A$25,Sheet2!$C$1:$C$25)</f>
        <v>20</v>
      </c>
      <c r="J85">
        <f t="shared" ref="J85:J102" si="18">ROUNDUP(F85/I85,0)</f>
        <v>1</v>
      </c>
      <c r="K85">
        <f t="shared" ref="K85:K102" si="19">ROUNDDOWN(C85/J85,0)</f>
        <v>250</v>
      </c>
      <c r="L85" s="2" t="str">
        <f t="shared" ref="L85:L102" si="20">_xlfn.TEXTJOIN("_",TRUE,K85,H85,J85)</f>
        <v>250_1023001_1</v>
      </c>
    </row>
    <row r="86" customFormat="1" spans="1:12">
      <c r="B86" t="str">
        <v>1667_1023002_1</v>
      </c>
      <c r="C86" t="str" cm="1">
        <f t="array" ref="C86:E86">_xlfn.TEXTSPLIT(B86,"_",)</f>
        <v>1667</v>
      </c>
      <c r="D86" t="str">
        <v>1023002</v>
      </c>
      <c r="E86" t="str">
        <v>1</v>
      </c>
      <c r="F86">
        <f>_xlfn.XLOOKUP(VALUE(D86),Sheet2!$A$1:$A$25,Sheet2!$C$1:$C$25)</f>
        <v>30</v>
      </c>
      <c r="G86">
        <f t="shared" si="17"/>
        <v>1023002</v>
      </c>
      <c r="H86">
        <f>_xlfn.XLOOKUP(G86,Sheet2!A:A,Sheet2!B:B)</f>
        <v>1023001</v>
      </c>
      <c r="I86">
        <f>_xlfn.XLOOKUP(VALUE(H86),Sheet2!$A$1:$A$25,Sheet2!$C$1:$C$25)</f>
        <v>20</v>
      </c>
      <c r="J86">
        <f t="shared" si="18"/>
        <v>2</v>
      </c>
      <c r="K86">
        <f t="shared" si="19"/>
        <v>833</v>
      </c>
      <c r="L86" s="2" t="str">
        <f t="shared" si="20"/>
        <v>833_1023001_2</v>
      </c>
    </row>
    <row r="87" customFormat="1" spans="1:12">
      <c r="B87" t="str">
        <v>1250_1023003_1</v>
      </c>
      <c r="C87" t="str" cm="1">
        <f t="array" ref="C87:E87">_xlfn.TEXTSPLIT(B87,"_",)</f>
        <v>1250</v>
      </c>
      <c r="D87" t="str">
        <v>1023003</v>
      </c>
      <c r="E87" t="str">
        <v>1</v>
      </c>
      <c r="F87">
        <f>_xlfn.XLOOKUP(VALUE(D87),Sheet2!$A$1:$A$25,Sheet2!$C$1:$C$25)</f>
        <v>40</v>
      </c>
      <c r="G87">
        <f t="shared" si="17"/>
        <v>1023003</v>
      </c>
      <c r="H87">
        <f>_xlfn.XLOOKUP(G87,Sheet2!A:A,Sheet2!B:B)</f>
        <v>1023001</v>
      </c>
      <c r="I87">
        <f>_xlfn.XLOOKUP(VALUE(H87),Sheet2!$A$1:$A$25,Sheet2!$C$1:$C$25)</f>
        <v>20</v>
      </c>
      <c r="J87">
        <f t="shared" si="18"/>
        <v>2</v>
      </c>
      <c r="K87">
        <f t="shared" si="19"/>
        <v>625</v>
      </c>
      <c r="L87" s="2" t="str">
        <f t="shared" si="20"/>
        <v>625_1023001_2</v>
      </c>
    </row>
    <row r="88" customFormat="1" spans="1:12">
      <c r="B88" t="str">
        <v>833_1023004_1</v>
      </c>
      <c r="C88" t="str" cm="1">
        <f t="array" ref="C88:E88">_xlfn.TEXTSPLIT(B88,"_",)</f>
        <v>833</v>
      </c>
      <c r="D88" t="str">
        <v>1023004</v>
      </c>
      <c r="E88" t="str">
        <v>1</v>
      </c>
      <c r="F88">
        <f>_xlfn.XLOOKUP(VALUE(D88),Sheet2!$A$1:$A$25,Sheet2!$C$1:$C$25)</f>
        <v>60</v>
      </c>
      <c r="G88">
        <f t="shared" si="17"/>
        <v>1023004</v>
      </c>
      <c r="H88">
        <f>_xlfn.XLOOKUP(G88,Sheet2!A:A,Sheet2!B:B)</f>
        <v>1023001</v>
      </c>
      <c r="I88">
        <f>_xlfn.XLOOKUP(VALUE(H88),Sheet2!$A$1:$A$25,Sheet2!$C$1:$C$25)</f>
        <v>20</v>
      </c>
      <c r="J88">
        <f t="shared" si="18"/>
        <v>3</v>
      </c>
      <c r="K88">
        <f t="shared" si="19"/>
        <v>277</v>
      </c>
      <c r="L88" s="2" t="str">
        <f t="shared" si="20"/>
        <v>277_1023001_3</v>
      </c>
    </row>
    <row r="89" customFormat="1" spans="1:12">
      <c r="B89" t="str">
        <v>83_1023101_1</v>
      </c>
      <c r="C89" t="str" cm="1">
        <f t="array" ref="C89:E89">_xlfn.TEXTSPLIT(B89,"_",)</f>
        <v>83</v>
      </c>
      <c r="D89" t="str">
        <v>1023101</v>
      </c>
      <c r="E89" t="str">
        <v>1</v>
      </c>
      <c r="F89">
        <f>_xlfn.XLOOKUP(VALUE(D89),Sheet2!$A$1:$A$25,Sheet2!$C$1:$C$25)</f>
        <v>60</v>
      </c>
      <c r="G89">
        <f t="shared" si="17"/>
        <v>1023101</v>
      </c>
      <c r="H89">
        <f>_xlfn.XLOOKUP(G89,Sheet2!A:A,Sheet2!B:B)</f>
        <v>1023101</v>
      </c>
      <c r="I89">
        <f>_xlfn.XLOOKUP(VALUE(H89),Sheet2!$A$1:$A$25,Sheet2!$C$1:$C$25)</f>
        <v>60</v>
      </c>
      <c r="J89">
        <f t="shared" si="18"/>
        <v>1</v>
      </c>
      <c r="K89">
        <f t="shared" si="19"/>
        <v>83</v>
      </c>
      <c r="L89" s="2" t="str">
        <f t="shared" si="20"/>
        <v>83_1023101_1</v>
      </c>
    </row>
    <row r="90" customFormat="1" spans="1:12">
      <c r="B90" t="str">
        <v>556_1023102_1</v>
      </c>
      <c r="C90" t="str" cm="1">
        <f t="array" ref="C90:E90">_xlfn.TEXTSPLIT(B90,"_",)</f>
        <v>556</v>
      </c>
      <c r="D90" t="str">
        <v>1023102</v>
      </c>
      <c r="E90" t="str">
        <v>1</v>
      </c>
      <c r="F90">
        <f>_xlfn.XLOOKUP(VALUE(D90),Sheet2!$A$1:$A$25,Sheet2!$C$1:$C$25)</f>
        <v>90</v>
      </c>
      <c r="G90">
        <f t="shared" si="17"/>
        <v>1023102</v>
      </c>
      <c r="H90">
        <f>_xlfn.XLOOKUP(G90,Sheet2!A:A,Sheet2!B:B)</f>
        <v>1023101</v>
      </c>
      <c r="I90">
        <f>_xlfn.XLOOKUP(VALUE(H90),Sheet2!$A$1:$A$25,Sheet2!$C$1:$C$25)</f>
        <v>60</v>
      </c>
      <c r="J90">
        <f t="shared" si="18"/>
        <v>2</v>
      </c>
      <c r="K90">
        <f t="shared" si="19"/>
        <v>278</v>
      </c>
      <c r="L90" s="2" t="str">
        <f t="shared" si="20"/>
        <v>278_1023101_2</v>
      </c>
    </row>
    <row r="91" customFormat="1" spans="1:12">
      <c r="B91" t="str">
        <v>417_1023103_1</v>
      </c>
      <c r="C91" t="str" cm="1">
        <f t="array" ref="C91:E91">_xlfn.TEXTSPLIT(B91,"_",)</f>
        <v>417</v>
      </c>
      <c r="D91" t="str">
        <v>1023103</v>
      </c>
      <c r="E91" t="str">
        <v>1</v>
      </c>
      <c r="F91">
        <f>_xlfn.XLOOKUP(VALUE(D91),Sheet2!$A$1:$A$25,Sheet2!$C$1:$C$25)</f>
        <v>120</v>
      </c>
      <c r="G91">
        <f t="shared" si="17"/>
        <v>1023103</v>
      </c>
      <c r="H91">
        <f>_xlfn.XLOOKUP(G91,Sheet2!A:A,Sheet2!B:B)</f>
        <v>1023101</v>
      </c>
      <c r="I91">
        <f>_xlfn.XLOOKUP(VALUE(H91),Sheet2!$A$1:$A$25,Sheet2!$C$1:$C$25)</f>
        <v>60</v>
      </c>
      <c r="J91">
        <f t="shared" si="18"/>
        <v>2</v>
      </c>
      <c r="K91">
        <f t="shared" si="19"/>
        <v>208</v>
      </c>
      <c r="L91" s="2" t="str">
        <f t="shared" si="20"/>
        <v>208_1023101_2</v>
      </c>
    </row>
    <row r="92" customFormat="1" spans="1:12">
      <c r="B92" t="str">
        <v>278_1023104_1</v>
      </c>
      <c r="C92" t="str" cm="1">
        <f t="array" ref="C92:E92">_xlfn.TEXTSPLIT(B92,"_",)</f>
        <v>278</v>
      </c>
      <c r="D92" t="str">
        <v>1023104</v>
      </c>
      <c r="E92" t="str">
        <v>1</v>
      </c>
      <c r="F92">
        <f>_xlfn.XLOOKUP(VALUE(D92),Sheet2!$A$1:$A$25,Sheet2!$C$1:$C$25)</f>
        <v>180</v>
      </c>
      <c r="G92">
        <f t="shared" si="17"/>
        <v>1023104</v>
      </c>
      <c r="H92">
        <f>_xlfn.XLOOKUP(G92,Sheet2!A:A,Sheet2!B:B)</f>
        <v>1023101</v>
      </c>
      <c r="I92">
        <f>_xlfn.XLOOKUP(VALUE(H92),Sheet2!$A$1:$A$25,Sheet2!$C$1:$C$25)</f>
        <v>60</v>
      </c>
      <c r="J92">
        <f t="shared" si="18"/>
        <v>3</v>
      </c>
      <c r="K92">
        <f t="shared" si="19"/>
        <v>92</v>
      </c>
      <c r="L92" s="2" t="str">
        <f t="shared" si="20"/>
        <v>92_1023101_3</v>
      </c>
    </row>
    <row r="93" customFormat="1" spans="1:12">
      <c r="B93" t="str">
        <v>20_1023201_1</v>
      </c>
      <c r="C93" t="str" cm="1">
        <f t="array" ref="C93:E93">_xlfn.TEXTSPLIT(B93,"_",)</f>
        <v>20</v>
      </c>
      <c r="D93" t="str">
        <v>1023201</v>
      </c>
      <c r="E93" t="str">
        <v>1</v>
      </c>
      <c r="F93">
        <f>_xlfn.XLOOKUP(VALUE(D93),Sheet2!$A$1:$A$25,Sheet2!$C$1:$C$25)</f>
        <v>240</v>
      </c>
      <c r="G93">
        <f t="shared" si="17"/>
        <v>1023201</v>
      </c>
      <c r="H93">
        <f>_xlfn.XLOOKUP(G93,Sheet2!A:A,Sheet2!B:B)</f>
        <v>1023201</v>
      </c>
      <c r="I93">
        <f>_xlfn.XLOOKUP(VALUE(H93),Sheet2!$A$1:$A$25,Sheet2!$C$1:$C$25)</f>
        <v>240</v>
      </c>
      <c r="J93">
        <f t="shared" si="18"/>
        <v>1</v>
      </c>
      <c r="K93">
        <f t="shared" si="19"/>
        <v>20</v>
      </c>
      <c r="L93" s="2" t="str">
        <f t="shared" si="20"/>
        <v>20_1023201_1</v>
      </c>
    </row>
    <row r="94" customFormat="1" spans="1:12">
      <c r="B94" t="str">
        <v>139_1023202_1</v>
      </c>
      <c r="C94" t="str" cm="1">
        <f t="array" ref="C94:E94">_xlfn.TEXTSPLIT(B94,"_",)</f>
        <v>139</v>
      </c>
      <c r="D94" t="str">
        <v>1023202</v>
      </c>
      <c r="E94" t="str">
        <v>1</v>
      </c>
      <c r="F94">
        <f>_xlfn.XLOOKUP(VALUE(D94),Sheet2!$A$1:$A$25,Sheet2!$C$1:$C$25)</f>
        <v>360</v>
      </c>
      <c r="G94">
        <f t="shared" si="17"/>
        <v>1023202</v>
      </c>
      <c r="H94">
        <f>_xlfn.XLOOKUP(G94,Sheet2!A:A,Sheet2!B:B)</f>
        <v>1023201</v>
      </c>
      <c r="I94">
        <f>_xlfn.XLOOKUP(VALUE(H94),Sheet2!$A$1:$A$25,Sheet2!$C$1:$C$25)</f>
        <v>240</v>
      </c>
      <c r="J94">
        <f t="shared" si="18"/>
        <v>2</v>
      </c>
      <c r="K94">
        <f t="shared" si="19"/>
        <v>69</v>
      </c>
      <c r="L94" s="2" t="str">
        <f t="shared" si="20"/>
        <v>69_1023201_2</v>
      </c>
    </row>
    <row r="95" customFormat="1" spans="1:12">
      <c r="B95" t="str">
        <v>104_1023203_1</v>
      </c>
      <c r="C95" t="str" cm="1">
        <f t="array" ref="C95:E95">_xlfn.TEXTSPLIT(B95,"_",)</f>
        <v>104</v>
      </c>
      <c r="D95" t="str">
        <v>1023203</v>
      </c>
      <c r="E95" t="str">
        <v>1</v>
      </c>
      <c r="F95">
        <f>_xlfn.XLOOKUP(VALUE(D95),Sheet2!$A$1:$A$25,Sheet2!$C$1:$C$25)</f>
        <v>480</v>
      </c>
      <c r="G95">
        <f t="shared" si="17"/>
        <v>1023203</v>
      </c>
      <c r="H95">
        <f>_xlfn.XLOOKUP(G95,Sheet2!A:A,Sheet2!B:B)</f>
        <v>1023201</v>
      </c>
      <c r="I95">
        <f>_xlfn.XLOOKUP(VALUE(H95),Sheet2!$A$1:$A$25,Sheet2!$C$1:$C$25)</f>
        <v>240</v>
      </c>
      <c r="J95">
        <f t="shared" si="18"/>
        <v>2</v>
      </c>
      <c r="K95">
        <f t="shared" si="19"/>
        <v>52</v>
      </c>
      <c r="L95" s="2" t="str">
        <f t="shared" si="20"/>
        <v>52_1023201_2</v>
      </c>
    </row>
    <row r="96" customFormat="1" spans="1:12">
      <c r="B96" t="str">
        <v>69_1023204_1</v>
      </c>
      <c r="C96" t="str" cm="1">
        <f t="array" ref="C96:E96">_xlfn.TEXTSPLIT(B96,"_",)</f>
        <v>69</v>
      </c>
      <c r="D96" t="str">
        <v>1023204</v>
      </c>
      <c r="E96" t="str">
        <v>1</v>
      </c>
      <c r="F96">
        <f>_xlfn.XLOOKUP(VALUE(D96),Sheet2!$A$1:$A$25,Sheet2!$C$1:$C$25)</f>
        <v>720</v>
      </c>
      <c r="G96">
        <f t="shared" si="17"/>
        <v>1023204</v>
      </c>
      <c r="H96">
        <f>_xlfn.XLOOKUP(G96,Sheet2!A:A,Sheet2!B:B)</f>
        <v>1023201</v>
      </c>
      <c r="I96">
        <f>_xlfn.XLOOKUP(VALUE(H96),Sheet2!$A$1:$A$25,Sheet2!$C$1:$C$25)</f>
        <v>240</v>
      </c>
      <c r="J96">
        <f t="shared" si="18"/>
        <v>3</v>
      </c>
      <c r="K96">
        <f t="shared" si="19"/>
        <v>23</v>
      </c>
      <c r="L96" s="2" t="str">
        <f t="shared" si="20"/>
        <v>23_1023201_3</v>
      </c>
    </row>
    <row r="97" customFormat="1" spans="1:12">
      <c r="B97" t="str">
        <v>10_1023301_1</v>
      </c>
      <c r="C97" t="str" cm="1">
        <f t="array" ref="C97:E97">_xlfn.TEXTSPLIT(B97,"_",)</f>
        <v>10</v>
      </c>
      <c r="D97" t="str">
        <v>1023301</v>
      </c>
      <c r="E97" t="str">
        <v>1</v>
      </c>
      <c r="F97">
        <f>_xlfn.XLOOKUP(VALUE(D97),Sheet2!$A$1:$A$25,Sheet2!$C$1:$C$25)</f>
        <v>480</v>
      </c>
      <c r="G97">
        <f t="shared" si="17"/>
        <v>1023301</v>
      </c>
      <c r="H97">
        <f>_xlfn.XLOOKUP(G97,Sheet2!A:A,Sheet2!B:B)</f>
        <v>1023301</v>
      </c>
      <c r="I97">
        <f>_xlfn.XLOOKUP(VALUE(H97),Sheet2!$A$1:$A$25,Sheet2!$C$1:$C$25)</f>
        <v>480</v>
      </c>
      <c r="J97">
        <f t="shared" si="18"/>
        <v>1</v>
      </c>
      <c r="K97">
        <f t="shared" si="19"/>
        <v>10</v>
      </c>
      <c r="L97" s="2" t="str">
        <f t="shared" si="20"/>
        <v>10_1023301_1</v>
      </c>
    </row>
    <row r="98" customFormat="1" spans="1:12">
      <c r="B98" t="str">
        <v>69_1023302_1</v>
      </c>
      <c r="C98" t="str" cm="1">
        <f t="array" ref="C98:E98">_xlfn.TEXTSPLIT(B98,"_",)</f>
        <v>69</v>
      </c>
      <c r="D98" t="str">
        <v>1023302</v>
      </c>
      <c r="E98" t="str">
        <v>1</v>
      </c>
      <c r="F98">
        <f>_xlfn.XLOOKUP(VALUE(D98),Sheet2!$A$1:$A$25,Sheet2!$C$1:$C$25)</f>
        <v>720</v>
      </c>
      <c r="G98">
        <f t="shared" si="17"/>
        <v>1023302</v>
      </c>
      <c r="H98">
        <f>_xlfn.XLOOKUP(G98,Sheet2!A:A,Sheet2!B:B)</f>
        <v>1023301</v>
      </c>
      <c r="I98">
        <f>_xlfn.XLOOKUP(VALUE(H98),Sheet2!$A$1:$A$25,Sheet2!$C$1:$C$25)</f>
        <v>480</v>
      </c>
      <c r="J98">
        <f t="shared" si="18"/>
        <v>2</v>
      </c>
      <c r="K98">
        <f t="shared" si="19"/>
        <v>34</v>
      </c>
      <c r="L98" s="2" t="str">
        <f t="shared" si="20"/>
        <v>34_1023301_2</v>
      </c>
    </row>
    <row r="99" customFormat="1" spans="1:12">
      <c r="B99" t="str">
        <v>52_1023303_1</v>
      </c>
      <c r="C99" t="str" cm="1">
        <f t="array" ref="C99:E99">_xlfn.TEXTSPLIT(B99,"_",)</f>
        <v>52</v>
      </c>
      <c r="D99" t="str">
        <v>1023303</v>
      </c>
      <c r="E99" t="str">
        <v>1</v>
      </c>
      <c r="F99">
        <f>_xlfn.XLOOKUP(VALUE(D99),Sheet2!$A$1:$A$25,Sheet2!$C$1:$C$25)</f>
        <v>960</v>
      </c>
      <c r="G99">
        <f t="shared" si="17"/>
        <v>1023303</v>
      </c>
      <c r="H99">
        <f>_xlfn.XLOOKUP(G99,Sheet2!A:A,Sheet2!B:B)</f>
        <v>1023301</v>
      </c>
      <c r="I99">
        <f>_xlfn.XLOOKUP(VALUE(H99),Sheet2!$A$1:$A$25,Sheet2!$C$1:$C$25)</f>
        <v>480</v>
      </c>
      <c r="J99">
        <f t="shared" si="18"/>
        <v>2</v>
      </c>
      <c r="K99">
        <f t="shared" si="19"/>
        <v>26</v>
      </c>
      <c r="L99" s="2" t="str">
        <f t="shared" si="20"/>
        <v>26_1023301_2</v>
      </c>
    </row>
    <row r="100" spans="1:12">
      <c r="B100" t="str">
        <v>35_1023304_1</v>
      </c>
      <c r="C100" t="str" cm="1">
        <f t="array" ref="C100:E100">_xlfn.TEXTSPLIT(B100,"_",)</f>
        <v>35</v>
      </c>
      <c r="D100" t="str">
        <v>1023304</v>
      </c>
      <c r="E100" t="str">
        <v>1</v>
      </c>
      <c r="F100">
        <f>_xlfn.XLOOKUP(VALUE(D100),Sheet2!$A$1:$A$25,Sheet2!$C$1:$C$25)</f>
        <v>1440</v>
      </c>
      <c r="G100">
        <f t="shared" si="17"/>
        <v>1023304</v>
      </c>
      <c r="H100">
        <f>_xlfn.XLOOKUP(G100,Sheet2!A:A,Sheet2!B:B)</f>
        <v>1023301</v>
      </c>
      <c r="I100">
        <f>_xlfn.XLOOKUP(VALUE(H100),Sheet2!$A$1:$A$25,Sheet2!$C$1:$C$25)</f>
        <v>480</v>
      </c>
      <c r="J100">
        <f t="shared" si="18"/>
        <v>3</v>
      </c>
      <c r="K100">
        <f t="shared" si="19"/>
        <v>11</v>
      </c>
      <c r="L100" s="2" t="str">
        <f t="shared" si="20"/>
        <v>11_1023301_3</v>
      </c>
    </row>
    <row r="101" spans="1:12">
      <c r="B101" t="str">
        <v>5_1023401_1</v>
      </c>
      <c r="C101" t="str" cm="1">
        <f t="array" ref="C101:E101">_xlfn.TEXTSPLIT(B101,"_",)</f>
        <v>5</v>
      </c>
      <c r="D101" t="str">
        <v>1023401</v>
      </c>
      <c r="E101" t="str">
        <v>1</v>
      </c>
      <c r="F101">
        <f>_xlfn.XLOOKUP(VALUE(D101),Sheet2!$A$1:$A$25,Sheet2!$C$1:$C$25)</f>
        <v>960</v>
      </c>
      <c r="G101">
        <f t="shared" si="17"/>
        <v>1023401</v>
      </c>
      <c r="H101">
        <f>_xlfn.XLOOKUP(G101,Sheet2!A:A,Sheet2!B:B)</f>
        <v>1023401</v>
      </c>
      <c r="I101">
        <f>_xlfn.XLOOKUP(VALUE(H101),Sheet2!$A$1:$A$25,Sheet2!$C$1:$C$25)</f>
        <v>960</v>
      </c>
      <c r="J101">
        <f t="shared" si="18"/>
        <v>1</v>
      </c>
      <c r="K101">
        <f t="shared" si="19"/>
        <v>5</v>
      </c>
      <c r="L101" s="2" t="str">
        <f t="shared" si="20"/>
        <v>5_1023401_1</v>
      </c>
    </row>
    <row r="102" spans="1:12">
      <c r="B102" t="str">
        <v>35_1023402_1</v>
      </c>
      <c r="C102" t="str" cm="1">
        <f t="array" ref="C102:E102">_xlfn.TEXTSPLIT(B102,"_",)</f>
        <v>35</v>
      </c>
      <c r="D102" t="str">
        <v>1023402</v>
      </c>
      <c r="E102" t="str">
        <v>1</v>
      </c>
      <c r="F102">
        <f>_xlfn.XLOOKUP(VALUE(D102),Sheet2!$A$1:$A$25,Sheet2!$C$1:$C$25)</f>
        <v>1440</v>
      </c>
      <c r="G102">
        <f t="shared" si="17"/>
        <v>1023402</v>
      </c>
      <c r="H102">
        <f>_xlfn.XLOOKUP(G102,Sheet2!A:A,Sheet2!B:B)</f>
        <v>1023401</v>
      </c>
      <c r="I102">
        <f>_xlfn.XLOOKUP(VALUE(H102),Sheet2!$A$1:$A$25,Sheet2!$C$1:$C$25)</f>
        <v>960</v>
      </c>
      <c r="J102">
        <f t="shared" si="18"/>
        <v>2</v>
      </c>
      <c r="K102">
        <f t="shared" si="19"/>
        <v>17</v>
      </c>
      <c r="L102" s="2" t="str">
        <f t="shared" si="20"/>
        <v>17_1023401_2</v>
      </c>
    </row>
    <row r="103" spans="1:12">
      <c r="B103" t="str">
        <v>26_1023403_1</v>
      </c>
      <c r="C103" t="str" cm="1">
        <f t="array" ref="C103:E103">_xlfn.TEXTSPLIT(B103,"_",)</f>
        <v>26</v>
      </c>
      <c r="D103" t="str">
        <v>1023403</v>
      </c>
      <c r="E103" t="str">
        <v>1</v>
      </c>
      <c r="F103">
        <f>_xlfn.XLOOKUP(VALUE(D103),Sheet2!$A$1:$A$25,Sheet2!$C$1:$C$25)</f>
        <v>1920</v>
      </c>
      <c r="G103">
        <f t="shared" ref="G103:G127" si="21">VALUE(D103)</f>
        <v>1023403</v>
      </c>
      <c r="H103">
        <f>_xlfn.XLOOKUP(G103,Sheet2!A:A,Sheet2!B:B)</f>
        <v>1023401</v>
      </c>
      <c r="I103">
        <f>_xlfn.XLOOKUP(VALUE(H103),Sheet2!$A$1:$A$25,Sheet2!$C$1:$C$25)</f>
        <v>960</v>
      </c>
      <c r="J103">
        <f t="shared" ref="J103:J127" si="22">ROUNDUP(F103/I103,0)</f>
        <v>2</v>
      </c>
      <c r="K103">
        <f t="shared" ref="K103:K127" si="23">ROUNDDOWN(C103/J103,0)</f>
        <v>13</v>
      </c>
      <c r="L103" s="2" t="str">
        <f t="shared" ref="L103:L127" si="24">_xlfn.TEXTJOIN("_",TRUE,K103,H103,J103)</f>
        <v>13_1023401_2</v>
      </c>
    </row>
    <row r="104" spans="1:12">
      <c r="B104" t="str">
        <v>17_1023404_1</v>
      </c>
      <c r="C104" t="str" cm="1">
        <f t="array" ref="C104:E104">_xlfn.TEXTSPLIT(B104,"_",)</f>
        <v>17</v>
      </c>
      <c r="D104" t="str">
        <v>1023404</v>
      </c>
      <c r="E104" t="str">
        <v>1</v>
      </c>
      <c r="F104">
        <f>_xlfn.XLOOKUP(VALUE(D104),Sheet2!$A$1:$A$25,Sheet2!$C$1:$C$25)</f>
        <v>2880</v>
      </c>
      <c r="G104">
        <f t="shared" si="21"/>
        <v>1023404</v>
      </c>
      <c r="H104">
        <f>_xlfn.XLOOKUP(G104,Sheet2!A:A,Sheet2!B:B)</f>
        <v>1023401</v>
      </c>
      <c r="I104">
        <f>_xlfn.XLOOKUP(VALUE(H104),Sheet2!$A$1:$A$25,Sheet2!$C$1:$C$25)</f>
        <v>960</v>
      </c>
      <c r="J104">
        <f t="shared" si="22"/>
        <v>3</v>
      </c>
      <c r="K104">
        <f t="shared" si="23"/>
        <v>5</v>
      </c>
      <c r="L104" s="2" t="str">
        <f t="shared" si="24"/>
        <v>5_1023401_3</v>
      </c>
    </row>
    <row r="107" spans="1:12">
      <c r="A107">
        <v>20010110</v>
      </c>
      <c r="B107" t="str">
        <f>_xlfn.XLOOKUP(A107,$A$1:$A$12,$B$1:$B$12)</f>
        <v>250_1023001_1|166_1023002_1|1250_1023003_1|833_1023004_1|83_1023101_1|55_1023102_1|417_1023103_1|278_1023104_1|20_1023201_1|13_1023202_1|104_1023203_1|69_1023204_1|10_1023301_1|6_1023302_1|52_1023303_1|35_1023304_1|5_1023401_1|3_1023402_1|26_1023403_1|17_1023404_1</v>
      </c>
      <c r="L107" t="str">
        <f>_xlfn.TEXTJOIN("|",TRUE,L108:L122)</f>
        <v>250_1023001_1|83_1023001_2|625_1023001_2|277_1023001_3|83_1023101_1|27_1023101_2|208_1023101_2|92_1023101_3|20_1023201_1|6_1023201_2|52_1023201_2|23_1023201_3|10_1023301_1|3_1023301_2|26_1023301_2</v>
      </c>
    </row>
    <row r="108" customFormat="1" spans="1:12">
      <c r="B108" t="str" cm="1">
        <f t="array" ref="B108:B127">_xlfn.TEXTSPLIT(B107,,"|")</f>
        <v>250_1023001_1</v>
      </c>
      <c r="C108" t="str" cm="1">
        <f t="array" ref="C108:E108">_xlfn.TEXTSPLIT(B108,"_",)</f>
        <v>250</v>
      </c>
      <c r="D108" t="str">
        <v>1023001</v>
      </c>
      <c r="E108" t="str">
        <v>1</v>
      </c>
      <c r="F108">
        <f>_xlfn.XLOOKUP(VALUE(D108),Sheet2!$A$1:$A$25,Sheet2!$C$1:$C$25)</f>
        <v>20</v>
      </c>
      <c r="G108">
        <f t="shared" si="21"/>
        <v>1023001</v>
      </c>
      <c r="H108">
        <f>_xlfn.XLOOKUP(G108,Sheet2!A:A,Sheet2!B:B)</f>
        <v>1023001</v>
      </c>
      <c r="I108">
        <f>_xlfn.XLOOKUP(VALUE(H108),Sheet2!$A$1:$A$25,Sheet2!$C$1:$C$25)</f>
        <v>20</v>
      </c>
      <c r="J108">
        <f t="shared" si="22"/>
        <v>1</v>
      </c>
      <c r="K108">
        <f t="shared" si="23"/>
        <v>250</v>
      </c>
      <c r="L108" s="2" t="str">
        <f t="shared" si="24"/>
        <v>250_1023001_1</v>
      </c>
    </row>
    <row r="109" customFormat="1" spans="1:12">
      <c r="B109" t="str">
        <v>166_1023002_1</v>
      </c>
      <c r="C109" t="str" cm="1">
        <f t="array" ref="C109:E109">_xlfn.TEXTSPLIT(B109,"_",)</f>
        <v>166</v>
      </c>
      <c r="D109" t="str">
        <v>1023002</v>
      </c>
      <c r="E109" t="str">
        <v>1</v>
      </c>
      <c r="F109">
        <f>_xlfn.XLOOKUP(VALUE(D109),Sheet2!$A$1:$A$25,Sheet2!$C$1:$C$25)</f>
        <v>30</v>
      </c>
      <c r="G109">
        <f t="shared" si="21"/>
        <v>1023002</v>
      </c>
      <c r="H109">
        <f>_xlfn.XLOOKUP(G109,Sheet2!A:A,Sheet2!B:B)</f>
        <v>1023001</v>
      </c>
      <c r="I109">
        <f>_xlfn.XLOOKUP(VALUE(H109),Sheet2!$A$1:$A$25,Sheet2!$C$1:$C$25)</f>
        <v>20</v>
      </c>
      <c r="J109">
        <f t="shared" si="22"/>
        <v>2</v>
      </c>
      <c r="K109">
        <f t="shared" si="23"/>
        <v>83</v>
      </c>
      <c r="L109" s="2" t="str">
        <f t="shared" si="24"/>
        <v>83_1023001_2</v>
      </c>
    </row>
    <row r="110" customFormat="1" spans="1:12">
      <c r="B110" t="str">
        <v>1250_1023003_1</v>
      </c>
      <c r="C110" t="str" cm="1">
        <f t="array" ref="C110:E110">_xlfn.TEXTSPLIT(B110,"_",)</f>
        <v>1250</v>
      </c>
      <c r="D110" t="str">
        <v>1023003</v>
      </c>
      <c r="E110" t="str">
        <v>1</v>
      </c>
      <c r="F110">
        <f>_xlfn.XLOOKUP(VALUE(D110),Sheet2!$A$1:$A$25,Sheet2!$C$1:$C$25)</f>
        <v>40</v>
      </c>
      <c r="G110">
        <f t="shared" si="21"/>
        <v>1023003</v>
      </c>
      <c r="H110">
        <f>_xlfn.XLOOKUP(G110,Sheet2!A:A,Sheet2!B:B)</f>
        <v>1023001</v>
      </c>
      <c r="I110">
        <f>_xlfn.XLOOKUP(VALUE(H110),Sheet2!$A$1:$A$25,Sheet2!$C$1:$C$25)</f>
        <v>20</v>
      </c>
      <c r="J110">
        <f t="shared" si="22"/>
        <v>2</v>
      </c>
      <c r="K110">
        <f t="shared" si="23"/>
        <v>625</v>
      </c>
      <c r="L110" s="2" t="str">
        <f t="shared" si="24"/>
        <v>625_1023001_2</v>
      </c>
    </row>
    <row r="111" customFormat="1" spans="1:12">
      <c r="B111" t="str">
        <v>833_1023004_1</v>
      </c>
      <c r="C111" t="str" cm="1">
        <f t="array" ref="C111:E111">_xlfn.TEXTSPLIT(B111,"_",)</f>
        <v>833</v>
      </c>
      <c r="D111" t="str">
        <v>1023004</v>
      </c>
      <c r="E111" t="str">
        <v>1</v>
      </c>
      <c r="F111">
        <f>_xlfn.XLOOKUP(VALUE(D111),Sheet2!$A$1:$A$25,Sheet2!$C$1:$C$25)</f>
        <v>60</v>
      </c>
      <c r="G111">
        <f t="shared" si="21"/>
        <v>1023004</v>
      </c>
      <c r="H111">
        <f>_xlfn.XLOOKUP(G111,Sheet2!A:A,Sheet2!B:B)</f>
        <v>1023001</v>
      </c>
      <c r="I111">
        <f>_xlfn.XLOOKUP(VALUE(H111),Sheet2!$A$1:$A$25,Sheet2!$C$1:$C$25)</f>
        <v>20</v>
      </c>
      <c r="J111">
        <f t="shared" si="22"/>
        <v>3</v>
      </c>
      <c r="K111">
        <f t="shared" si="23"/>
        <v>277</v>
      </c>
      <c r="L111" s="2" t="str">
        <f t="shared" si="24"/>
        <v>277_1023001_3</v>
      </c>
    </row>
    <row r="112" customFormat="1" spans="1:12">
      <c r="B112" t="str">
        <v>83_1023101_1</v>
      </c>
      <c r="C112" t="str" cm="1">
        <f t="array" ref="C112:E112">_xlfn.TEXTSPLIT(B112,"_",)</f>
        <v>83</v>
      </c>
      <c r="D112" t="str">
        <v>1023101</v>
      </c>
      <c r="E112" t="str">
        <v>1</v>
      </c>
      <c r="F112">
        <f>_xlfn.XLOOKUP(VALUE(D112),Sheet2!$A$1:$A$25,Sheet2!$C$1:$C$25)</f>
        <v>60</v>
      </c>
      <c r="G112">
        <f t="shared" si="21"/>
        <v>1023101</v>
      </c>
      <c r="H112">
        <f>_xlfn.XLOOKUP(G112,Sheet2!A:A,Sheet2!B:B)</f>
        <v>1023101</v>
      </c>
      <c r="I112">
        <f>_xlfn.XLOOKUP(VALUE(H112),Sheet2!$A$1:$A$25,Sheet2!$C$1:$C$25)</f>
        <v>60</v>
      </c>
      <c r="J112">
        <f t="shared" si="22"/>
        <v>1</v>
      </c>
      <c r="K112">
        <f t="shared" si="23"/>
        <v>83</v>
      </c>
      <c r="L112" s="2" t="str">
        <f t="shared" si="24"/>
        <v>83_1023101_1</v>
      </c>
    </row>
    <row r="113" customFormat="1" spans="2:12">
      <c r="B113" t="str">
        <v>55_1023102_1</v>
      </c>
      <c r="C113" t="str" cm="1">
        <f t="array" ref="C113:E113">_xlfn.TEXTSPLIT(B113,"_",)</f>
        <v>55</v>
      </c>
      <c r="D113" t="str">
        <v>1023102</v>
      </c>
      <c r="E113" t="str">
        <v>1</v>
      </c>
      <c r="F113">
        <f>_xlfn.XLOOKUP(VALUE(D113),Sheet2!$A$1:$A$25,Sheet2!$C$1:$C$25)</f>
        <v>90</v>
      </c>
      <c r="G113">
        <f t="shared" si="21"/>
        <v>1023102</v>
      </c>
      <c r="H113">
        <f>_xlfn.XLOOKUP(G113,Sheet2!A:A,Sheet2!B:B)</f>
        <v>1023101</v>
      </c>
      <c r="I113">
        <f>_xlfn.XLOOKUP(VALUE(H113),Sheet2!$A$1:$A$25,Sheet2!$C$1:$C$25)</f>
        <v>60</v>
      </c>
      <c r="J113">
        <f t="shared" si="22"/>
        <v>2</v>
      </c>
      <c r="K113">
        <f t="shared" si="23"/>
        <v>27</v>
      </c>
      <c r="L113" s="2" t="str">
        <f t="shared" si="24"/>
        <v>27_1023101_2</v>
      </c>
    </row>
    <row r="114" customFormat="1" spans="2:12">
      <c r="B114" t="str">
        <v>417_1023103_1</v>
      </c>
      <c r="C114" t="str" cm="1">
        <f t="array" ref="C114:E114">_xlfn.TEXTSPLIT(B114,"_",)</f>
        <v>417</v>
      </c>
      <c r="D114" t="str">
        <v>1023103</v>
      </c>
      <c r="E114" t="str">
        <v>1</v>
      </c>
      <c r="F114">
        <f>_xlfn.XLOOKUP(VALUE(D114),Sheet2!$A$1:$A$25,Sheet2!$C$1:$C$25)</f>
        <v>120</v>
      </c>
      <c r="G114">
        <f t="shared" si="21"/>
        <v>1023103</v>
      </c>
      <c r="H114">
        <f>_xlfn.XLOOKUP(G114,Sheet2!A:A,Sheet2!B:B)</f>
        <v>1023101</v>
      </c>
      <c r="I114">
        <f>_xlfn.XLOOKUP(VALUE(H114),Sheet2!$A$1:$A$25,Sheet2!$C$1:$C$25)</f>
        <v>60</v>
      </c>
      <c r="J114">
        <f t="shared" si="22"/>
        <v>2</v>
      </c>
      <c r="K114">
        <f t="shared" si="23"/>
        <v>208</v>
      </c>
      <c r="L114" s="2" t="str">
        <f t="shared" si="24"/>
        <v>208_1023101_2</v>
      </c>
    </row>
    <row r="115" customFormat="1" spans="2:12">
      <c r="B115" t="str">
        <v>278_1023104_1</v>
      </c>
      <c r="C115" t="str" cm="1">
        <f t="array" ref="C115:E115">_xlfn.TEXTSPLIT(B115,"_",)</f>
        <v>278</v>
      </c>
      <c r="D115" t="str">
        <v>1023104</v>
      </c>
      <c r="E115" t="str">
        <v>1</v>
      </c>
      <c r="F115">
        <f>_xlfn.XLOOKUP(VALUE(D115),Sheet2!$A$1:$A$25,Sheet2!$C$1:$C$25)</f>
        <v>180</v>
      </c>
      <c r="G115">
        <f t="shared" si="21"/>
        <v>1023104</v>
      </c>
      <c r="H115">
        <f>_xlfn.XLOOKUP(G115,Sheet2!A:A,Sheet2!B:B)</f>
        <v>1023101</v>
      </c>
      <c r="I115">
        <f>_xlfn.XLOOKUP(VALUE(H115),Sheet2!$A$1:$A$25,Sheet2!$C$1:$C$25)</f>
        <v>60</v>
      </c>
      <c r="J115">
        <f t="shared" si="22"/>
        <v>3</v>
      </c>
      <c r="K115">
        <f t="shared" si="23"/>
        <v>92</v>
      </c>
      <c r="L115" s="2" t="str">
        <f t="shared" si="24"/>
        <v>92_1023101_3</v>
      </c>
    </row>
    <row r="116" customFormat="1" spans="2:12">
      <c r="B116" t="str">
        <v>20_1023201_1</v>
      </c>
      <c r="C116" t="str" cm="1">
        <f t="array" ref="C116:E116">_xlfn.TEXTSPLIT(B116,"_",)</f>
        <v>20</v>
      </c>
      <c r="D116" t="str">
        <v>1023201</v>
      </c>
      <c r="E116" t="str">
        <v>1</v>
      </c>
      <c r="F116">
        <f>_xlfn.XLOOKUP(VALUE(D116),Sheet2!$A$1:$A$25,Sheet2!$C$1:$C$25)</f>
        <v>240</v>
      </c>
      <c r="G116">
        <f t="shared" si="21"/>
        <v>1023201</v>
      </c>
      <c r="H116">
        <f>_xlfn.XLOOKUP(G116,Sheet2!A:A,Sheet2!B:B)</f>
        <v>1023201</v>
      </c>
      <c r="I116">
        <f>_xlfn.XLOOKUP(VALUE(H116),Sheet2!$A$1:$A$25,Sheet2!$C$1:$C$25)</f>
        <v>240</v>
      </c>
      <c r="J116">
        <f t="shared" si="22"/>
        <v>1</v>
      </c>
      <c r="K116">
        <f t="shared" si="23"/>
        <v>20</v>
      </c>
      <c r="L116" s="2" t="str">
        <f t="shared" si="24"/>
        <v>20_1023201_1</v>
      </c>
    </row>
    <row r="117" customFormat="1" spans="2:12">
      <c r="B117" t="str">
        <v>13_1023202_1</v>
      </c>
      <c r="C117" t="str" cm="1">
        <f t="array" ref="C117:E117">_xlfn.TEXTSPLIT(B117,"_",)</f>
        <v>13</v>
      </c>
      <c r="D117" t="str">
        <v>1023202</v>
      </c>
      <c r="E117" t="str">
        <v>1</v>
      </c>
      <c r="F117">
        <f>_xlfn.XLOOKUP(VALUE(D117),Sheet2!$A$1:$A$25,Sheet2!$C$1:$C$25)</f>
        <v>360</v>
      </c>
      <c r="G117">
        <f t="shared" si="21"/>
        <v>1023202</v>
      </c>
      <c r="H117">
        <f>_xlfn.XLOOKUP(G117,Sheet2!A:A,Sheet2!B:B)</f>
        <v>1023201</v>
      </c>
      <c r="I117">
        <f>_xlfn.XLOOKUP(VALUE(H117),Sheet2!$A$1:$A$25,Sheet2!$C$1:$C$25)</f>
        <v>240</v>
      </c>
      <c r="J117">
        <f t="shared" si="22"/>
        <v>2</v>
      </c>
      <c r="K117">
        <f t="shared" si="23"/>
        <v>6</v>
      </c>
      <c r="L117" s="2" t="str">
        <f t="shared" si="24"/>
        <v>6_1023201_2</v>
      </c>
    </row>
    <row r="118" customFormat="1" spans="2:12">
      <c r="B118" t="str">
        <v>104_1023203_1</v>
      </c>
      <c r="C118" t="str" cm="1">
        <f t="array" ref="C118:E118">_xlfn.TEXTSPLIT(B118,"_",)</f>
        <v>104</v>
      </c>
      <c r="D118" t="str">
        <v>1023203</v>
      </c>
      <c r="E118" t="str">
        <v>1</v>
      </c>
      <c r="F118">
        <f>_xlfn.XLOOKUP(VALUE(D118),Sheet2!$A$1:$A$25,Sheet2!$C$1:$C$25)</f>
        <v>480</v>
      </c>
      <c r="G118">
        <f t="shared" si="21"/>
        <v>1023203</v>
      </c>
      <c r="H118">
        <f>_xlfn.XLOOKUP(G118,Sheet2!A:A,Sheet2!B:B)</f>
        <v>1023201</v>
      </c>
      <c r="I118">
        <f>_xlfn.XLOOKUP(VALUE(H118),Sheet2!$A$1:$A$25,Sheet2!$C$1:$C$25)</f>
        <v>240</v>
      </c>
      <c r="J118">
        <f t="shared" si="22"/>
        <v>2</v>
      </c>
      <c r="K118">
        <f t="shared" si="23"/>
        <v>52</v>
      </c>
      <c r="L118" s="2" t="str">
        <f t="shared" si="24"/>
        <v>52_1023201_2</v>
      </c>
    </row>
    <row r="119" customFormat="1" spans="2:12">
      <c r="B119" t="str">
        <v>69_1023204_1</v>
      </c>
      <c r="C119" t="str" cm="1">
        <f t="array" ref="C119:E119">_xlfn.TEXTSPLIT(B119,"_",)</f>
        <v>69</v>
      </c>
      <c r="D119" t="str">
        <v>1023204</v>
      </c>
      <c r="E119" t="str">
        <v>1</v>
      </c>
      <c r="F119">
        <f>_xlfn.XLOOKUP(VALUE(D119),Sheet2!$A$1:$A$25,Sheet2!$C$1:$C$25)</f>
        <v>720</v>
      </c>
      <c r="G119">
        <f t="shared" si="21"/>
        <v>1023204</v>
      </c>
      <c r="H119">
        <f>_xlfn.XLOOKUP(G119,Sheet2!A:A,Sheet2!B:B)</f>
        <v>1023201</v>
      </c>
      <c r="I119">
        <f>_xlfn.XLOOKUP(VALUE(H119),Sheet2!$A$1:$A$25,Sheet2!$C$1:$C$25)</f>
        <v>240</v>
      </c>
      <c r="J119">
        <f t="shared" si="22"/>
        <v>3</v>
      </c>
      <c r="K119">
        <f t="shared" si="23"/>
        <v>23</v>
      </c>
      <c r="L119" s="2" t="str">
        <f t="shared" si="24"/>
        <v>23_1023201_3</v>
      </c>
    </row>
    <row r="120" customFormat="1" spans="2:12">
      <c r="B120" t="str">
        <v>10_1023301_1</v>
      </c>
      <c r="C120" t="str" cm="1">
        <f t="array" ref="C120:E120">_xlfn.TEXTSPLIT(B120,"_",)</f>
        <v>10</v>
      </c>
      <c r="D120" t="str">
        <v>1023301</v>
      </c>
      <c r="E120" t="str">
        <v>1</v>
      </c>
      <c r="F120">
        <f>_xlfn.XLOOKUP(VALUE(D120),Sheet2!$A$1:$A$25,Sheet2!$C$1:$C$25)</f>
        <v>480</v>
      </c>
      <c r="G120">
        <f t="shared" si="21"/>
        <v>1023301</v>
      </c>
      <c r="H120">
        <f>_xlfn.XLOOKUP(G120,Sheet2!A:A,Sheet2!B:B)</f>
        <v>1023301</v>
      </c>
      <c r="I120">
        <f>_xlfn.XLOOKUP(VALUE(H120),Sheet2!$A$1:$A$25,Sheet2!$C$1:$C$25)</f>
        <v>480</v>
      </c>
      <c r="J120">
        <f t="shared" si="22"/>
        <v>1</v>
      </c>
      <c r="K120">
        <f t="shared" si="23"/>
        <v>10</v>
      </c>
      <c r="L120" s="2" t="str">
        <f t="shared" si="24"/>
        <v>10_1023301_1</v>
      </c>
    </row>
    <row r="121" customFormat="1" spans="2:12">
      <c r="B121" t="str">
        <v>6_1023302_1</v>
      </c>
      <c r="C121" t="str" cm="1">
        <f t="array" ref="C121:E121">_xlfn.TEXTSPLIT(B121,"_",)</f>
        <v>6</v>
      </c>
      <c r="D121" t="str">
        <v>1023302</v>
      </c>
      <c r="E121" t="str">
        <v>1</v>
      </c>
      <c r="F121">
        <f>_xlfn.XLOOKUP(VALUE(D121),Sheet2!$A$1:$A$25,Sheet2!$C$1:$C$25)</f>
        <v>720</v>
      </c>
      <c r="G121">
        <f t="shared" si="21"/>
        <v>1023302</v>
      </c>
      <c r="H121">
        <f>_xlfn.XLOOKUP(G121,Sheet2!A:A,Sheet2!B:B)</f>
        <v>1023301</v>
      </c>
      <c r="I121">
        <f>_xlfn.XLOOKUP(VALUE(H121),Sheet2!$A$1:$A$25,Sheet2!$C$1:$C$25)</f>
        <v>480</v>
      </c>
      <c r="J121">
        <f t="shared" si="22"/>
        <v>2</v>
      </c>
      <c r="K121">
        <f t="shared" si="23"/>
        <v>3</v>
      </c>
      <c r="L121" s="2" t="str">
        <f t="shared" si="24"/>
        <v>3_1023301_2</v>
      </c>
    </row>
    <row r="122" customFormat="1" spans="2:12">
      <c r="B122" t="str">
        <v>52_1023303_1</v>
      </c>
      <c r="C122" t="str" cm="1">
        <f t="array" ref="C122:E122">_xlfn.TEXTSPLIT(B122,"_",)</f>
        <v>52</v>
      </c>
      <c r="D122" t="str">
        <v>1023303</v>
      </c>
      <c r="E122" t="str">
        <v>1</v>
      </c>
      <c r="F122">
        <f>_xlfn.XLOOKUP(VALUE(D122),Sheet2!$A$1:$A$25,Sheet2!$C$1:$C$25)</f>
        <v>960</v>
      </c>
      <c r="G122">
        <f t="shared" si="21"/>
        <v>1023303</v>
      </c>
      <c r="H122">
        <f>_xlfn.XLOOKUP(G122,Sheet2!A:A,Sheet2!B:B)</f>
        <v>1023301</v>
      </c>
      <c r="I122">
        <f>_xlfn.XLOOKUP(VALUE(H122),Sheet2!$A$1:$A$25,Sheet2!$C$1:$C$25)</f>
        <v>480</v>
      </c>
      <c r="J122">
        <f t="shared" si="22"/>
        <v>2</v>
      </c>
      <c r="K122">
        <f t="shared" si="23"/>
        <v>26</v>
      </c>
      <c r="L122" s="2" t="str">
        <f t="shared" si="24"/>
        <v>26_1023301_2</v>
      </c>
    </row>
    <row r="123" customFormat="1" spans="2:12">
      <c r="B123" t="str">
        <v>35_1023304_1</v>
      </c>
      <c r="C123" t="str" cm="1">
        <f t="array" ref="C123:E123">_xlfn.TEXTSPLIT(B123,"_",)</f>
        <v>35</v>
      </c>
      <c r="D123" t="str">
        <v>1023304</v>
      </c>
      <c r="E123" t="str">
        <v>1</v>
      </c>
      <c r="F123">
        <f>_xlfn.XLOOKUP(VALUE(D123),Sheet2!$A$1:$A$25,Sheet2!$C$1:$C$25)</f>
        <v>1440</v>
      </c>
      <c r="G123">
        <f t="shared" si="21"/>
        <v>1023304</v>
      </c>
      <c r="H123">
        <f>_xlfn.XLOOKUP(G123,Sheet2!A:A,Sheet2!B:B)</f>
        <v>1023301</v>
      </c>
      <c r="I123">
        <f>_xlfn.XLOOKUP(VALUE(H123),Sheet2!$A$1:$A$25,Sheet2!$C$1:$C$25)</f>
        <v>480</v>
      </c>
      <c r="J123">
        <f t="shared" si="22"/>
        <v>3</v>
      </c>
      <c r="K123">
        <f t="shared" si="23"/>
        <v>11</v>
      </c>
      <c r="L123" s="2" t="str">
        <f t="shared" si="24"/>
        <v>11_1023301_3</v>
      </c>
    </row>
    <row r="124" customFormat="1" spans="2:12">
      <c r="B124" t="str">
        <v>5_1023401_1</v>
      </c>
      <c r="C124" t="str" cm="1">
        <f t="array" ref="C124:E124">_xlfn.TEXTSPLIT(B124,"_",)</f>
        <v>5</v>
      </c>
      <c r="D124" t="str">
        <v>1023401</v>
      </c>
      <c r="E124" t="str">
        <v>1</v>
      </c>
      <c r="F124">
        <f>_xlfn.XLOOKUP(VALUE(D124),Sheet2!$A$1:$A$25,Sheet2!$C$1:$C$25)</f>
        <v>960</v>
      </c>
      <c r="G124">
        <f t="shared" si="21"/>
        <v>1023401</v>
      </c>
      <c r="H124">
        <f>_xlfn.XLOOKUP(G124,Sheet2!A:A,Sheet2!B:B)</f>
        <v>1023401</v>
      </c>
      <c r="I124">
        <f>_xlfn.XLOOKUP(VALUE(H124),Sheet2!$A$1:$A$25,Sheet2!$C$1:$C$25)</f>
        <v>960</v>
      </c>
      <c r="J124">
        <f t="shared" si="22"/>
        <v>1</v>
      </c>
      <c r="K124">
        <f t="shared" si="23"/>
        <v>5</v>
      </c>
      <c r="L124" s="2" t="str">
        <f t="shared" si="24"/>
        <v>5_1023401_1</v>
      </c>
    </row>
    <row r="125" customFormat="1" spans="2:12">
      <c r="B125" t="str">
        <v>3_1023402_1</v>
      </c>
      <c r="C125" t="str" cm="1">
        <f t="array" ref="C125:E125">_xlfn.TEXTSPLIT(B125,"_",)</f>
        <v>3</v>
      </c>
      <c r="D125" t="str">
        <v>1023402</v>
      </c>
      <c r="E125" t="str">
        <v>1</v>
      </c>
      <c r="F125">
        <f>_xlfn.XLOOKUP(VALUE(D125),Sheet2!$A$1:$A$25,Sheet2!$C$1:$C$25)</f>
        <v>1440</v>
      </c>
      <c r="G125">
        <f t="shared" si="21"/>
        <v>1023402</v>
      </c>
      <c r="H125">
        <f>_xlfn.XLOOKUP(G125,Sheet2!A:A,Sheet2!B:B)</f>
        <v>1023401</v>
      </c>
      <c r="I125">
        <f>_xlfn.XLOOKUP(VALUE(H125),Sheet2!$A$1:$A$25,Sheet2!$C$1:$C$25)</f>
        <v>960</v>
      </c>
      <c r="J125">
        <f t="shared" si="22"/>
        <v>2</v>
      </c>
      <c r="K125">
        <f t="shared" si="23"/>
        <v>1</v>
      </c>
      <c r="L125" s="2" t="str">
        <f t="shared" si="24"/>
        <v>1_1023401_2</v>
      </c>
    </row>
    <row r="126" customFormat="1" spans="2:12">
      <c r="B126" t="str">
        <v>26_1023403_1</v>
      </c>
      <c r="C126" t="str" cm="1">
        <f t="array" ref="C126:E126">_xlfn.TEXTSPLIT(B126,"_",)</f>
        <v>26</v>
      </c>
      <c r="D126" t="str">
        <v>1023403</v>
      </c>
      <c r="E126" t="str">
        <v>1</v>
      </c>
      <c r="F126">
        <f>_xlfn.XLOOKUP(VALUE(D126),Sheet2!$A$1:$A$25,Sheet2!$C$1:$C$25)</f>
        <v>1920</v>
      </c>
      <c r="G126">
        <f t="shared" si="21"/>
        <v>1023403</v>
      </c>
      <c r="H126">
        <f>_xlfn.XLOOKUP(G126,Sheet2!A:A,Sheet2!B:B)</f>
        <v>1023401</v>
      </c>
      <c r="I126">
        <f>_xlfn.XLOOKUP(VALUE(H126),Sheet2!$A$1:$A$25,Sheet2!$C$1:$C$25)</f>
        <v>960</v>
      </c>
      <c r="J126">
        <f t="shared" si="22"/>
        <v>2</v>
      </c>
      <c r="K126">
        <f t="shared" si="23"/>
        <v>13</v>
      </c>
      <c r="L126" s="2" t="str">
        <f t="shared" si="24"/>
        <v>13_1023401_2</v>
      </c>
    </row>
    <row r="127" customFormat="1" spans="2:12">
      <c r="B127" t="str">
        <v>17_1023404_1</v>
      </c>
      <c r="C127" t="str" cm="1">
        <f t="array" ref="C127:E127">_xlfn.TEXTSPLIT(B127,"_",)</f>
        <v>17</v>
      </c>
      <c r="D127" t="str">
        <v>1023404</v>
      </c>
      <c r="E127" t="str">
        <v>1</v>
      </c>
      <c r="F127">
        <f>_xlfn.XLOOKUP(VALUE(D127),Sheet2!$A$1:$A$25,Sheet2!$C$1:$C$25)</f>
        <v>2880</v>
      </c>
      <c r="G127">
        <f t="shared" si="21"/>
        <v>1023404</v>
      </c>
      <c r="H127">
        <f>_xlfn.XLOOKUP(G127,Sheet2!A:A,Sheet2!B:B)</f>
        <v>1023401</v>
      </c>
      <c r="I127">
        <f>_xlfn.XLOOKUP(VALUE(H127),Sheet2!$A$1:$A$25,Sheet2!$C$1:$C$25)</f>
        <v>960</v>
      </c>
      <c r="J127">
        <f t="shared" si="22"/>
        <v>3</v>
      </c>
      <c r="K127">
        <f t="shared" si="23"/>
        <v>5</v>
      </c>
      <c r="L127" s="2" t="str">
        <f t="shared" si="24"/>
        <v>5_1023401_3</v>
      </c>
    </row>
    <row r="130" spans="1:12">
      <c r="A130">
        <v>20010120</v>
      </c>
      <c r="B130" t="str">
        <f>_xlfn.XLOOKUP(A130,$A$1:$A$12,$B$1:$B$12)</f>
        <v>250_1023001_1|166_1023002_1|1250_1023003_1|833_1023004_1|417_1023005_1|83_1023101_1|55_1023102_1|417_1023103_1|278_1023104_1|139_1023105_1|20_1023201_1|13_1023202_1|104_1023203_1|69_1023204_1|35_1023205_1|10_1023301_1|6_1023302_1|52_1023303_1|35_1023304_1|17_1023305_1|5_1023401_1|3_1023402_1|26_1023403_1|17_1023404_1|9_1023405_1</v>
      </c>
      <c r="L130" t="str">
        <f>_xlfn.TEXTJOIN("|",TRUE,L131:L145)</f>
        <v>250_1023001_1|83_1023001_2|625_1023001_2|277_1023001_3|69_1023001_6|83_1023101_1|27_1023101_2|208_1023101_2|92_1023101_3|23_1023101_6|20_1023201_1|6_1023201_2|52_1023201_2|23_1023201_3|5_1023201_6</v>
      </c>
    </row>
    <row r="131" customFormat="1" spans="1:12">
      <c r="B131" t="str" cm="1">
        <f t="array" ref="B131:B155">_xlfn.TEXTSPLIT(B130,,"|")</f>
        <v>250_1023001_1</v>
      </c>
      <c r="C131" t="str" cm="1">
        <f t="array" ref="C131:E131">_xlfn.TEXTSPLIT(B131,"_",)</f>
        <v>250</v>
      </c>
      <c r="D131" t="str">
        <v>1023001</v>
      </c>
      <c r="E131" t="str">
        <v>1</v>
      </c>
      <c r="F131">
        <f>_xlfn.XLOOKUP(VALUE(D131),Sheet2!$A$1:$A$25,Sheet2!$C$1:$C$25)</f>
        <v>20</v>
      </c>
      <c r="G131">
        <f t="shared" ref="G131:G153" si="25">VALUE(D131)</f>
        <v>1023001</v>
      </c>
      <c r="H131">
        <f>_xlfn.XLOOKUP(G131,Sheet2!A:A,Sheet2!B:B)</f>
        <v>1023001</v>
      </c>
      <c r="I131">
        <f>_xlfn.XLOOKUP(VALUE(H131),Sheet2!$A$1:$A$25,Sheet2!$C$1:$C$25)</f>
        <v>20</v>
      </c>
      <c r="J131">
        <f t="shared" ref="J131:J153" si="26">ROUNDUP(F131/I131,0)</f>
        <v>1</v>
      </c>
      <c r="K131">
        <f t="shared" ref="K131:K153" si="27">ROUNDDOWN(C131/J131,0)</f>
        <v>250</v>
      </c>
      <c r="L131" s="2" t="str">
        <f t="shared" ref="L131:L153" si="28">_xlfn.TEXTJOIN("_",TRUE,K131,H131,J131)</f>
        <v>250_1023001_1</v>
      </c>
    </row>
    <row r="132" customFormat="1" spans="1:12">
      <c r="B132" t="str">
        <v>166_1023002_1</v>
      </c>
      <c r="C132" t="str" cm="1">
        <f t="array" ref="C132:E132">_xlfn.TEXTSPLIT(B132,"_",)</f>
        <v>166</v>
      </c>
      <c r="D132" t="str">
        <v>1023002</v>
      </c>
      <c r="E132" t="str">
        <v>1</v>
      </c>
      <c r="F132">
        <f>_xlfn.XLOOKUP(VALUE(D132),Sheet2!$A$1:$A$25,Sheet2!$C$1:$C$25)</f>
        <v>30</v>
      </c>
      <c r="G132">
        <f t="shared" si="25"/>
        <v>1023002</v>
      </c>
      <c r="H132">
        <f>_xlfn.XLOOKUP(G132,Sheet2!A:A,Sheet2!B:B)</f>
        <v>1023001</v>
      </c>
      <c r="I132">
        <f>_xlfn.XLOOKUP(VALUE(H132),Sheet2!$A$1:$A$25,Sheet2!$C$1:$C$25)</f>
        <v>20</v>
      </c>
      <c r="J132">
        <f t="shared" si="26"/>
        <v>2</v>
      </c>
      <c r="K132">
        <f t="shared" si="27"/>
        <v>83</v>
      </c>
      <c r="L132" s="2" t="str">
        <f t="shared" si="28"/>
        <v>83_1023001_2</v>
      </c>
    </row>
    <row r="133" customFormat="1" spans="1:12">
      <c r="B133" t="str">
        <v>1250_1023003_1</v>
      </c>
      <c r="C133" t="str" cm="1">
        <f t="array" ref="C133:E133">_xlfn.TEXTSPLIT(B133,"_",)</f>
        <v>1250</v>
      </c>
      <c r="D133" t="str">
        <v>1023003</v>
      </c>
      <c r="E133" t="str">
        <v>1</v>
      </c>
      <c r="F133">
        <f>_xlfn.XLOOKUP(VALUE(D133),Sheet2!$A$1:$A$25,Sheet2!$C$1:$C$25)</f>
        <v>40</v>
      </c>
      <c r="G133">
        <f t="shared" si="25"/>
        <v>1023003</v>
      </c>
      <c r="H133">
        <f>_xlfn.XLOOKUP(G133,Sheet2!A:A,Sheet2!B:B)</f>
        <v>1023001</v>
      </c>
      <c r="I133">
        <f>_xlfn.XLOOKUP(VALUE(H133),Sheet2!$A$1:$A$25,Sheet2!$C$1:$C$25)</f>
        <v>20</v>
      </c>
      <c r="J133">
        <f t="shared" si="26"/>
        <v>2</v>
      </c>
      <c r="K133">
        <f t="shared" si="27"/>
        <v>625</v>
      </c>
      <c r="L133" s="2" t="str">
        <f t="shared" si="28"/>
        <v>625_1023001_2</v>
      </c>
    </row>
    <row r="134" customFormat="1" spans="1:12">
      <c r="B134" t="str">
        <v>833_1023004_1</v>
      </c>
      <c r="C134" t="str" cm="1">
        <f t="array" ref="C134:E134">_xlfn.TEXTSPLIT(B134,"_",)</f>
        <v>833</v>
      </c>
      <c r="D134" t="str">
        <v>1023004</v>
      </c>
      <c r="E134" t="str">
        <v>1</v>
      </c>
      <c r="F134">
        <f>_xlfn.XLOOKUP(VALUE(D134),Sheet2!$A$1:$A$25,Sheet2!$C$1:$C$25)</f>
        <v>60</v>
      </c>
      <c r="G134">
        <f t="shared" si="25"/>
        <v>1023004</v>
      </c>
      <c r="H134">
        <f>_xlfn.XLOOKUP(G134,Sheet2!A:A,Sheet2!B:B)</f>
        <v>1023001</v>
      </c>
      <c r="I134">
        <f>_xlfn.XLOOKUP(VALUE(H134),Sheet2!$A$1:$A$25,Sheet2!$C$1:$C$25)</f>
        <v>20</v>
      </c>
      <c r="J134">
        <f t="shared" si="26"/>
        <v>3</v>
      </c>
      <c r="K134">
        <f t="shared" si="27"/>
        <v>277</v>
      </c>
      <c r="L134" s="2" t="str">
        <f t="shared" si="28"/>
        <v>277_1023001_3</v>
      </c>
    </row>
    <row r="135" customFormat="1" spans="1:12">
      <c r="B135" t="str">
        <v>417_1023005_1</v>
      </c>
      <c r="C135" t="str" cm="1">
        <f t="array" ref="C135:E135">_xlfn.TEXTSPLIT(B135,"_",)</f>
        <v>417</v>
      </c>
      <c r="D135" t="str">
        <v>1023005</v>
      </c>
      <c r="E135" t="str">
        <v>1</v>
      </c>
      <c r="F135">
        <f>_xlfn.XLOOKUP(VALUE(D135),Sheet2!$A$1:$A$25,Sheet2!$C$1:$C$25)</f>
        <v>120</v>
      </c>
      <c r="G135">
        <f t="shared" si="25"/>
        <v>1023005</v>
      </c>
      <c r="H135">
        <f>_xlfn.XLOOKUP(G135,Sheet2!A:A,Sheet2!B:B)</f>
        <v>1023001</v>
      </c>
      <c r="I135">
        <f>_xlfn.XLOOKUP(VALUE(H135),Sheet2!$A$1:$A$25,Sheet2!$C$1:$C$25)</f>
        <v>20</v>
      </c>
      <c r="J135">
        <f t="shared" si="26"/>
        <v>6</v>
      </c>
      <c r="K135">
        <f t="shared" si="27"/>
        <v>69</v>
      </c>
      <c r="L135" s="2" t="str">
        <f t="shared" si="28"/>
        <v>69_1023001_6</v>
      </c>
    </row>
    <row r="136" customFormat="1" spans="1:12">
      <c r="B136" t="str">
        <v>83_1023101_1</v>
      </c>
      <c r="C136" t="str" cm="1">
        <f t="array" ref="C136:E136">_xlfn.TEXTSPLIT(B136,"_",)</f>
        <v>83</v>
      </c>
      <c r="D136" t="str">
        <v>1023101</v>
      </c>
      <c r="E136" t="str">
        <v>1</v>
      </c>
      <c r="F136">
        <f>_xlfn.XLOOKUP(VALUE(D136),Sheet2!$A$1:$A$25,Sheet2!$C$1:$C$25)</f>
        <v>60</v>
      </c>
      <c r="G136">
        <f t="shared" si="25"/>
        <v>1023101</v>
      </c>
      <c r="H136">
        <f>_xlfn.XLOOKUP(G136,Sheet2!A:A,Sheet2!B:B)</f>
        <v>1023101</v>
      </c>
      <c r="I136">
        <f>_xlfn.XLOOKUP(VALUE(H136),Sheet2!$A$1:$A$25,Sheet2!$C$1:$C$25)</f>
        <v>60</v>
      </c>
      <c r="J136">
        <f t="shared" si="26"/>
        <v>1</v>
      </c>
      <c r="K136">
        <f t="shared" si="27"/>
        <v>83</v>
      </c>
      <c r="L136" s="2" t="str">
        <f t="shared" si="28"/>
        <v>83_1023101_1</v>
      </c>
    </row>
    <row r="137" customFormat="1" spans="1:12">
      <c r="B137" t="str">
        <v>55_1023102_1</v>
      </c>
      <c r="C137" t="str" cm="1">
        <f t="array" ref="C137:E137">_xlfn.TEXTSPLIT(B137,"_",)</f>
        <v>55</v>
      </c>
      <c r="D137" t="str">
        <v>1023102</v>
      </c>
      <c r="E137" t="str">
        <v>1</v>
      </c>
      <c r="F137">
        <f>_xlfn.XLOOKUP(VALUE(D137),Sheet2!$A$1:$A$25,Sheet2!$C$1:$C$25)</f>
        <v>90</v>
      </c>
      <c r="G137">
        <f t="shared" si="25"/>
        <v>1023102</v>
      </c>
      <c r="H137">
        <f>_xlfn.XLOOKUP(G137,Sheet2!A:A,Sheet2!B:B)</f>
        <v>1023101</v>
      </c>
      <c r="I137">
        <f>_xlfn.XLOOKUP(VALUE(H137),Sheet2!$A$1:$A$25,Sheet2!$C$1:$C$25)</f>
        <v>60</v>
      </c>
      <c r="J137">
        <f t="shared" si="26"/>
        <v>2</v>
      </c>
      <c r="K137">
        <f t="shared" si="27"/>
        <v>27</v>
      </c>
      <c r="L137" s="2" t="str">
        <f t="shared" si="28"/>
        <v>27_1023101_2</v>
      </c>
    </row>
    <row r="138" customFormat="1" spans="1:12">
      <c r="B138" t="str">
        <v>417_1023103_1</v>
      </c>
      <c r="C138" t="str" cm="1">
        <f t="array" ref="C138:E138">_xlfn.TEXTSPLIT(B138,"_",)</f>
        <v>417</v>
      </c>
      <c r="D138" t="str">
        <v>1023103</v>
      </c>
      <c r="E138" t="str">
        <v>1</v>
      </c>
      <c r="F138">
        <f>_xlfn.XLOOKUP(VALUE(D138),Sheet2!$A$1:$A$25,Sheet2!$C$1:$C$25)</f>
        <v>120</v>
      </c>
      <c r="G138">
        <f t="shared" si="25"/>
        <v>1023103</v>
      </c>
      <c r="H138">
        <f>_xlfn.XLOOKUP(G138,Sheet2!A:A,Sheet2!B:B)</f>
        <v>1023101</v>
      </c>
      <c r="I138">
        <f>_xlfn.XLOOKUP(VALUE(H138),Sheet2!$A$1:$A$25,Sheet2!$C$1:$C$25)</f>
        <v>60</v>
      </c>
      <c r="J138">
        <f t="shared" si="26"/>
        <v>2</v>
      </c>
      <c r="K138">
        <f t="shared" si="27"/>
        <v>208</v>
      </c>
      <c r="L138" s="2" t="str">
        <f t="shared" si="28"/>
        <v>208_1023101_2</v>
      </c>
    </row>
    <row r="139" customFormat="1" spans="1:12">
      <c r="B139" t="str">
        <v>278_1023104_1</v>
      </c>
      <c r="C139" t="str" cm="1">
        <f t="array" ref="C139:E139">_xlfn.TEXTSPLIT(B139,"_",)</f>
        <v>278</v>
      </c>
      <c r="D139" t="str">
        <v>1023104</v>
      </c>
      <c r="E139" t="str">
        <v>1</v>
      </c>
      <c r="F139">
        <f>_xlfn.XLOOKUP(VALUE(D139),Sheet2!$A$1:$A$25,Sheet2!$C$1:$C$25)</f>
        <v>180</v>
      </c>
      <c r="G139">
        <f t="shared" si="25"/>
        <v>1023104</v>
      </c>
      <c r="H139">
        <f>_xlfn.XLOOKUP(G139,Sheet2!A:A,Sheet2!B:B)</f>
        <v>1023101</v>
      </c>
      <c r="I139">
        <f>_xlfn.XLOOKUP(VALUE(H139),Sheet2!$A$1:$A$25,Sheet2!$C$1:$C$25)</f>
        <v>60</v>
      </c>
      <c r="J139">
        <f t="shared" si="26"/>
        <v>3</v>
      </c>
      <c r="K139">
        <f t="shared" si="27"/>
        <v>92</v>
      </c>
      <c r="L139" s="2" t="str">
        <f t="shared" si="28"/>
        <v>92_1023101_3</v>
      </c>
    </row>
    <row r="140" customFormat="1" spans="1:12">
      <c r="B140" t="str">
        <v>139_1023105_1</v>
      </c>
      <c r="C140" t="str" cm="1">
        <f t="array" ref="C140:E140">_xlfn.TEXTSPLIT(B140,"_",)</f>
        <v>139</v>
      </c>
      <c r="D140" t="str">
        <v>1023105</v>
      </c>
      <c r="E140" t="str">
        <v>1</v>
      </c>
      <c r="F140">
        <f>_xlfn.XLOOKUP(VALUE(D140),Sheet2!$A$1:$A$25,Sheet2!$C$1:$C$25)</f>
        <v>360</v>
      </c>
      <c r="G140">
        <f t="shared" si="25"/>
        <v>1023105</v>
      </c>
      <c r="H140">
        <f>_xlfn.XLOOKUP(G140,Sheet2!A:A,Sheet2!B:B)</f>
        <v>1023101</v>
      </c>
      <c r="I140">
        <f>_xlfn.XLOOKUP(VALUE(H140),Sheet2!$A$1:$A$25,Sheet2!$C$1:$C$25)</f>
        <v>60</v>
      </c>
      <c r="J140">
        <f t="shared" si="26"/>
        <v>6</v>
      </c>
      <c r="K140">
        <f t="shared" si="27"/>
        <v>23</v>
      </c>
      <c r="L140" s="2" t="str">
        <f t="shared" si="28"/>
        <v>23_1023101_6</v>
      </c>
    </row>
    <row r="141" customFormat="1" spans="1:12">
      <c r="B141" t="str">
        <v>20_1023201_1</v>
      </c>
      <c r="C141" t="str" cm="1">
        <f t="array" ref="C141:E141">_xlfn.TEXTSPLIT(B141,"_",)</f>
        <v>20</v>
      </c>
      <c r="D141" t="str">
        <v>1023201</v>
      </c>
      <c r="E141" t="str">
        <v>1</v>
      </c>
      <c r="F141">
        <f>_xlfn.XLOOKUP(VALUE(D141),Sheet2!$A$1:$A$25,Sheet2!$C$1:$C$25)</f>
        <v>240</v>
      </c>
      <c r="G141">
        <f t="shared" si="25"/>
        <v>1023201</v>
      </c>
      <c r="H141">
        <f>_xlfn.XLOOKUP(G141,Sheet2!A:A,Sheet2!B:B)</f>
        <v>1023201</v>
      </c>
      <c r="I141">
        <f>_xlfn.XLOOKUP(VALUE(H141),Sheet2!$A$1:$A$25,Sheet2!$C$1:$C$25)</f>
        <v>240</v>
      </c>
      <c r="J141">
        <f t="shared" si="26"/>
        <v>1</v>
      </c>
      <c r="K141">
        <f t="shared" si="27"/>
        <v>20</v>
      </c>
      <c r="L141" s="2" t="str">
        <f t="shared" si="28"/>
        <v>20_1023201_1</v>
      </c>
    </row>
    <row r="142" customFormat="1" spans="1:12">
      <c r="B142" t="str">
        <v>13_1023202_1</v>
      </c>
      <c r="C142" t="str" cm="1">
        <f t="array" ref="C142:E142">_xlfn.TEXTSPLIT(B142,"_",)</f>
        <v>13</v>
      </c>
      <c r="D142" t="str">
        <v>1023202</v>
      </c>
      <c r="E142" t="str">
        <v>1</v>
      </c>
      <c r="F142">
        <f>_xlfn.XLOOKUP(VALUE(D142),Sheet2!$A$1:$A$25,Sheet2!$C$1:$C$25)</f>
        <v>360</v>
      </c>
      <c r="G142">
        <f t="shared" si="25"/>
        <v>1023202</v>
      </c>
      <c r="H142">
        <f>_xlfn.XLOOKUP(G142,Sheet2!A:A,Sheet2!B:B)</f>
        <v>1023201</v>
      </c>
      <c r="I142">
        <f>_xlfn.XLOOKUP(VALUE(H142),Sheet2!$A$1:$A$25,Sheet2!$C$1:$C$25)</f>
        <v>240</v>
      </c>
      <c r="J142">
        <f t="shared" si="26"/>
        <v>2</v>
      </c>
      <c r="K142">
        <f t="shared" si="27"/>
        <v>6</v>
      </c>
      <c r="L142" s="2" t="str">
        <f t="shared" si="28"/>
        <v>6_1023201_2</v>
      </c>
    </row>
    <row r="143" customFormat="1" spans="1:12">
      <c r="B143" t="str">
        <v>104_1023203_1</v>
      </c>
      <c r="C143" t="str" cm="1">
        <f t="array" ref="C143:E143">_xlfn.TEXTSPLIT(B143,"_",)</f>
        <v>104</v>
      </c>
      <c r="D143" t="str">
        <v>1023203</v>
      </c>
      <c r="E143" t="str">
        <v>1</v>
      </c>
      <c r="F143">
        <f>_xlfn.XLOOKUP(VALUE(D143),Sheet2!$A$1:$A$25,Sheet2!$C$1:$C$25)</f>
        <v>480</v>
      </c>
      <c r="G143">
        <f t="shared" si="25"/>
        <v>1023203</v>
      </c>
      <c r="H143">
        <f>_xlfn.XLOOKUP(G143,Sheet2!A:A,Sheet2!B:B)</f>
        <v>1023201</v>
      </c>
      <c r="I143">
        <f>_xlfn.XLOOKUP(VALUE(H143),Sheet2!$A$1:$A$25,Sheet2!$C$1:$C$25)</f>
        <v>240</v>
      </c>
      <c r="J143">
        <f t="shared" si="26"/>
        <v>2</v>
      </c>
      <c r="K143">
        <f t="shared" si="27"/>
        <v>52</v>
      </c>
      <c r="L143" s="2" t="str">
        <f t="shared" si="28"/>
        <v>52_1023201_2</v>
      </c>
    </row>
    <row r="144" customFormat="1" spans="1:12">
      <c r="B144" t="str">
        <v>69_1023204_1</v>
      </c>
      <c r="C144" t="str" cm="1">
        <f t="array" ref="C144:E144">_xlfn.TEXTSPLIT(B144,"_",)</f>
        <v>69</v>
      </c>
      <c r="D144" t="str">
        <v>1023204</v>
      </c>
      <c r="E144" t="str">
        <v>1</v>
      </c>
      <c r="F144">
        <f>_xlfn.XLOOKUP(VALUE(D144),Sheet2!$A$1:$A$25,Sheet2!$C$1:$C$25)</f>
        <v>720</v>
      </c>
      <c r="G144">
        <f t="shared" si="25"/>
        <v>1023204</v>
      </c>
      <c r="H144">
        <f>_xlfn.XLOOKUP(G144,Sheet2!A:A,Sheet2!B:B)</f>
        <v>1023201</v>
      </c>
      <c r="I144">
        <f>_xlfn.XLOOKUP(VALUE(H144),Sheet2!$A$1:$A$25,Sheet2!$C$1:$C$25)</f>
        <v>240</v>
      </c>
      <c r="J144">
        <f t="shared" si="26"/>
        <v>3</v>
      </c>
      <c r="K144">
        <f t="shared" si="27"/>
        <v>23</v>
      </c>
      <c r="L144" s="2" t="str">
        <f t="shared" si="28"/>
        <v>23_1023201_3</v>
      </c>
    </row>
    <row r="145" customFormat="1" spans="1:12">
      <c r="B145" t="str">
        <v>35_1023205_1</v>
      </c>
      <c r="C145" t="str" cm="1">
        <f t="array" ref="C145:E145">_xlfn.TEXTSPLIT(B145,"_",)</f>
        <v>35</v>
      </c>
      <c r="D145" t="str">
        <v>1023205</v>
      </c>
      <c r="E145" t="str">
        <v>1</v>
      </c>
      <c r="F145">
        <f>_xlfn.XLOOKUP(VALUE(D145),Sheet2!$A$1:$A$25,Sheet2!$C$1:$C$25)</f>
        <v>1440</v>
      </c>
      <c r="G145">
        <f t="shared" si="25"/>
        <v>1023205</v>
      </c>
      <c r="H145">
        <f>_xlfn.XLOOKUP(G145,Sheet2!A:A,Sheet2!B:B)</f>
        <v>1023201</v>
      </c>
      <c r="I145">
        <f>_xlfn.XLOOKUP(VALUE(H145),Sheet2!$A$1:$A$25,Sheet2!$C$1:$C$25)</f>
        <v>240</v>
      </c>
      <c r="J145">
        <f t="shared" si="26"/>
        <v>6</v>
      </c>
      <c r="K145">
        <f t="shared" si="27"/>
        <v>5</v>
      </c>
      <c r="L145" s="2" t="str">
        <f t="shared" si="28"/>
        <v>5_1023201_6</v>
      </c>
    </row>
    <row r="146" customFormat="1" spans="1:12">
      <c r="B146" t="str">
        <v>10_1023301_1</v>
      </c>
      <c r="C146" t="str" cm="1">
        <f t="array" ref="C146:E146">_xlfn.TEXTSPLIT(B146,"_",)</f>
        <v>10</v>
      </c>
      <c r="D146" t="str">
        <v>1023301</v>
      </c>
      <c r="E146" t="str">
        <v>1</v>
      </c>
      <c r="F146">
        <f>_xlfn.XLOOKUP(VALUE(D146),Sheet2!$A$1:$A$25,Sheet2!$C$1:$C$25)</f>
        <v>480</v>
      </c>
      <c r="G146">
        <f t="shared" si="25"/>
        <v>1023301</v>
      </c>
      <c r="H146">
        <f>_xlfn.XLOOKUP(G146,Sheet2!A:A,Sheet2!B:B)</f>
        <v>1023301</v>
      </c>
      <c r="I146">
        <f>_xlfn.XLOOKUP(VALUE(H146),Sheet2!$A$1:$A$25,Sheet2!$C$1:$C$25)</f>
        <v>480</v>
      </c>
      <c r="J146">
        <f t="shared" si="26"/>
        <v>1</v>
      </c>
      <c r="K146">
        <f t="shared" si="27"/>
        <v>10</v>
      </c>
      <c r="L146" s="2" t="str">
        <f t="shared" si="28"/>
        <v>10_1023301_1</v>
      </c>
    </row>
    <row r="147" customFormat="1" spans="1:12">
      <c r="B147" t="str">
        <v>6_1023302_1</v>
      </c>
      <c r="C147" t="str" cm="1">
        <f t="array" ref="C147:E147">_xlfn.TEXTSPLIT(B147,"_",)</f>
        <v>6</v>
      </c>
      <c r="D147" t="str">
        <v>1023302</v>
      </c>
      <c r="E147" t="str">
        <v>1</v>
      </c>
      <c r="F147">
        <f>_xlfn.XLOOKUP(VALUE(D147),Sheet2!$A$1:$A$25,Sheet2!$C$1:$C$25)</f>
        <v>720</v>
      </c>
      <c r="G147">
        <f t="shared" si="25"/>
        <v>1023302</v>
      </c>
      <c r="H147">
        <f>_xlfn.XLOOKUP(G147,Sheet2!A:A,Sheet2!B:B)</f>
        <v>1023301</v>
      </c>
      <c r="I147">
        <f>_xlfn.XLOOKUP(VALUE(H147),Sheet2!$A$1:$A$25,Sheet2!$C$1:$C$25)</f>
        <v>480</v>
      </c>
      <c r="J147">
        <f t="shared" si="26"/>
        <v>2</v>
      </c>
      <c r="K147">
        <f t="shared" si="27"/>
        <v>3</v>
      </c>
      <c r="L147" s="2" t="str">
        <f t="shared" si="28"/>
        <v>3_1023301_2</v>
      </c>
    </row>
    <row r="148" customFormat="1" spans="1:12">
      <c r="B148" t="str">
        <v>52_1023303_1</v>
      </c>
      <c r="C148" t="str" cm="1">
        <f t="array" ref="C148:E148">_xlfn.TEXTSPLIT(B148,"_",)</f>
        <v>52</v>
      </c>
      <c r="D148" t="str">
        <v>1023303</v>
      </c>
      <c r="E148" t="str">
        <v>1</v>
      </c>
      <c r="F148">
        <f>_xlfn.XLOOKUP(VALUE(D148),Sheet2!$A$1:$A$25,Sheet2!$C$1:$C$25)</f>
        <v>960</v>
      </c>
      <c r="G148">
        <f t="shared" si="25"/>
        <v>1023303</v>
      </c>
      <c r="H148">
        <f>_xlfn.XLOOKUP(G148,Sheet2!A:A,Sheet2!B:B)</f>
        <v>1023301</v>
      </c>
      <c r="I148">
        <f>_xlfn.XLOOKUP(VALUE(H148),Sheet2!$A$1:$A$25,Sheet2!$C$1:$C$25)</f>
        <v>480</v>
      </c>
      <c r="J148">
        <f t="shared" si="26"/>
        <v>2</v>
      </c>
      <c r="K148">
        <f t="shared" si="27"/>
        <v>26</v>
      </c>
      <c r="L148" s="2" t="str">
        <f t="shared" si="28"/>
        <v>26_1023301_2</v>
      </c>
    </row>
    <row r="149" customFormat="1" spans="1:12">
      <c r="B149" t="str">
        <v>35_1023304_1</v>
      </c>
      <c r="C149" t="str" cm="1">
        <f t="array" ref="C149:E149">_xlfn.TEXTSPLIT(B149,"_",)</f>
        <v>35</v>
      </c>
      <c r="D149" t="str">
        <v>1023304</v>
      </c>
      <c r="E149" t="str">
        <v>1</v>
      </c>
      <c r="F149">
        <f>_xlfn.XLOOKUP(VALUE(D149),Sheet2!$A$1:$A$25,Sheet2!$C$1:$C$25)</f>
        <v>1440</v>
      </c>
      <c r="G149">
        <f t="shared" si="25"/>
        <v>1023304</v>
      </c>
      <c r="H149">
        <f>_xlfn.XLOOKUP(G149,Sheet2!A:A,Sheet2!B:B)</f>
        <v>1023301</v>
      </c>
      <c r="I149">
        <f>_xlfn.XLOOKUP(VALUE(H149),Sheet2!$A$1:$A$25,Sheet2!$C$1:$C$25)</f>
        <v>480</v>
      </c>
      <c r="J149">
        <f t="shared" si="26"/>
        <v>3</v>
      </c>
      <c r="K149">
        <f t="shared" si="27"/>
        <v>11</v>
      </c>
      <c r="L149" s="2" t="str">
        <f t="shared" si="28"/>
        <v>11_1023301_3</v>
      </c>
    </row>
    <row r="150" customFormat="1" spans="1:12">
      <c r="B150" t="str">
        <v>17_1023305_1</v>
      </c>
      <c r="C150" t="str" cm="1">
        <f t="array" ref="C150:E150">_xlfn.TEXTSPLIT(B150,"_",)</f>
        <v>17</v>
      </c>
      <c r="D150" t="str">
        <v>1023305</v>
      </c>
      <c r="E150" t="str">
        <v>1</v>
      </c>
      <c r="F150">
        <f>_xlfn.XLOOKUP(VALUE(D150),Sheet2!$A$1:$A$25,Sheet2!$C$1:$C$25)</f>
        <v>2880</v>
      </c>
      <c r="G150">
        <f t="shared" si="25"/>
        <v>1023305</v>
      </c>
      <c r="H150">
        <f>_xlfn.XLOOKUP(G150,Sheet2!A:A,Sheet2!B:B)</f>
        <v>1023301</v>
      </c>
      <c r="I150">
        <f>_xlfn.XLOOKUP(VALUE(H150),Sheet2!$A$1:$A$25,Sheet2!$C$1:$C$25)</f>
        <v>480</v>
      </c>
      <c r="J150">
        <f t="shared" si="26"/>
        <v>6</v>
      </c>
      <c r="K150">
        <f t="shared" si="27"/>
        <v>2</v>
      </c>
      <c r="L150" s="2" t="str">
        <f t="shared" si="28"/>
        <v>2_1023301_6</v>
      </c>
    </row>
    <row r="151" spans="1:12">
      <c r="B151" t="str">
        <v>5_1023401_1</v>
      </c>
      <c r="C151" t="str" cm="1">
        <f t="array" ref="C151:E151">_xlfn.TEXTSPLIT(B151,"_",)</f>
        <v>5</v>
      </c>
      <c r="D151" t="str">
        <v>1023401</v>
      </c>
      <c r="E151" t="str">
        <v>1</v>
      </c>
      <c r="F151">
        <f>_xlfn.XLOOKUP(VALUE(D151),Sheet2!$A$1:$A$25,Sheet2!$C$1:$C$25)</f>
        <v>960</v>
      </c>
      <c r="G151">
        <f t="shared" si="25"/>
        <v>1023401</v>
      </c>
      <c r="H151">
        <f>_xlfn.XLOOKUP(G151,Sheet2!A:A,Sheet2!B:B)</f>
        <v>1023401</v>
      </c>
      <c r="I151">
        <f>_xlfn.XLOOKUP(VALUE(H151),Sheet2!$A$1:$A$25,Sheet2!$C$1:$C$25)</f>
        <v>960</v>
      </c>
      <c r="J151">
        <f t="shared" si="26"/>
        <v>1</v>
      </c>
      <c r="K151">
        <f t="shared" si="27"/>
        <v>5</v>
      </c>
      <c r="L151" s="2" t="str">
        <f t="shared" si="28"/>
        <v>5_1023401_1</v>
      </c>
    </row>
    <row r="152" spans="1:12">
      <c r="B152" t="str">
        <v>3_1023402_1</v>
      </c>
      <c r="C152" t="str" cm="1">
        <f t="array" ref="C152:E152">_xlfn.TEXTSPLIT(B152,"_",)</f>
        <v>3</v>
      </c>
      <c r="D152" t="str">
        <v>1023402</v>
      </c>
      <c r="E152" t="str">
        <v>1</v>
      </c>
      <c r="F152">
        <f>_xlfn.XLOOKUP(VALUE(D152),Sheet2!$A$1:$A$25,Sheet2!$C$1:$C$25)</f>
        <v>1440</v>
      </c>
      <c r="G152">
        <f t="shared" si="25"/>
        <v>1023402</v>
      </c>
      <c r="H152">
        <f>_xlfn.XLOOKUP(G152,Sheet2!A:A,Sheet2!B:B)</f>
        <v>1023401</v>
      </c>
      <c r="I152">
        <f>_xlfn.XLOOKUP(VALUE(H152),Sheet2!$A$1:$A$25,Sheet2!$C$1:$C$25)</f>
        <v>960</v>
      </c>
      <c r="J152">
        <f t="shared" si="26"/>
        <v>2</v>
      </c>
      <c r="K152">
        <f t="shared" si="27"/>
        <v>1</v>
      </c>
      <c r="L152" s="2" t="str">
        <f t="shared" si="28"/>
        <v>1_1023401_2</v>
      </c>
    </row>
    <row r="153" spans="1:12">
      <c r="B153" t="str">
        <v>26_1023403_1</v>
      </c>
      <c r="C153" t="str" cm="1">
        <f t="array" ref="C153:E153">_xlfn.TEXTSPLIT(B153,"_",)</f>
        <v>26</v>
      </c>
      <c r="D153" t="str">
        <v>1023403</v>
      </c>
      <c r="E153" t="str">
        <v>1</v>
      </c>
      <c r="F153">
        <f>_xlfn.XLOOKUP(VALUE(D153),Sheet2!$A$1:$A$25,Sheet2!$C$1:$C$25)</f>
        <v>1920</v>
      </c>
      <c r="G153">
        <f t="shared" si="25"/>
        <v>1023403</v>
      </c>
      <c r="H153">
        <f>_xlfn.XLOOKUP(G153,Sheet2!A:A,Sheet2!B:B)</f>
        <v>1023401</v>
      </c>
      <c r="I153">
        <f>_xlfn.XLOOKUP(VALUE(H153),Sheet2!$A$1:$A$25,Sheet2!$C$1:$C$25)</f>
        <v>960</v>
      </c>
      <c r="J153">
        <f t="shared" si="26"/>
        <v>2</v>
      </c>
      <c r="K153">
        <f t="shared" si="27"/>
        <v>13</v>
      </c>
      <c r="L153" s="2" t="str">
        <f t="shared" si="28"/>
        <v>13_1023401_2</v>
      </c>
    </row>
    <row r="154" spans="1:12">
      <c r="B154" t="str">
        <v>17_1023404_1</v>
      </c>
      <c r="C154" t="str" cm="1">
        <f t="array" ref="C154:E154">_xlfn.TEXTSPLIT(B154,"_",)</f>
        <v>17</v>
      </c>
      <c r="D154" t="str">
        <v>1023404</v>
      </c>
      <c r="E154" t="str">
        <v>1</v>
      </c>
      <c r="F154">
        <f>_xlfn.XLOOKUP(VALUE(D154),Sheet2!$A$1:$A$25,Sheet2!$C$1:$C$25)</f>
        <v>2880</v>
      </c>
      <c r="G154">
        <f t="shared" ref="G154:G183" si="29">VALUE(D154)</f>
        <v>1023404</v>
      </c>
      <c r="H154">
        <f>_xlfn.XLOOKUP(G154,Sheet2!A:A,Sheet2!B:B)</f>
        <v>1023401</v>
      </c>
      <c r="I154">
        <f>_xlfn.XLOOKUP(VALUE(H154),Sheet2!$A$1:$A$25,Sheet2!$C$1:$C$25)</f>
        <v>960</v>
      </c>
      <c r="J154">
        <f t="shared" ref="J154:J183" si="30">ROUNDUP(F154/I154,0)</f>
        <v>3</v>
      </c>
      <c r="K154">
        <f t="shared" ref="K154:K183" si="31">ROUNDDOWN(C154/J154,0)</f>
        <v>5</v>
      </c>
      <c r="L154" s="2" t="str">
        <f t="shared" ref="L154:L183" si="32">_xlfn.TEXTJOIN("_",TRUE,K154,H154,J154)</f>
        <v>5_1023401_3</v>
      </c>
    </row>
    <row r="155" spans="1:12">
      <c r="B155" t="str">
        <v>9_1023405_1</v>
      </c>
      <c r="C155" t="str" cm="1">
        <f t="array" ref="C155:E155">_xlfn.TEXTSPLIT(B155,"_",)</f>
        <v>9</v>
      </c>
      <c r="D155" t="str">
        <v>1023405</v>
      </c>
      <c r="E155" t="str">
        <v>1</v>
      </c>
      <c r="F155">
        <f>_xlfn.XLOOKUP(VALUE(D155),Sheet2!$A$1:$A$25,Sheet2!$C$1:$C$25)</f>
        <v>5760</v>
      </c>
      <c r="G155">
        <f t="shared" si="29"/>
        <v>1023405</v>
      </c>
      <c r="H155">
        <f>_xlfn.XLOOKUP(G155,Sheet2!A:A,Sheet2!B:B)</f>
        <v>1023401</v>
      </c>
      <c r="I155">
        <f>_xlfn.XLOOKUP(VALUE(H155),Sheet2!$A$1:$A$25,Sheet2!$C$1:$C$25)</f>
        <v>960</v>
      </c>
      <c r="J155">
        <f t="shared" si="30"/>
        <v>6</v>
      </c>
      <c r="K155">
        <f t="shared" si="31"/>
        <v>1</v>
      </c>
      <c r="L155" s="2" t="str">
        <f t="shared" si="32"/>
        <v>1_1023401_6</v>
      </c>
    </row>
    <row r="158" spans="1:12">
      <c r="A158">
        <v>20010130</v>
      </c>
      <c r="B158" t="str">
        <f>_xlfn.XLOOKUP(A158,$A$1:$A$12,$B$1:$B$12)</f>
        <v>250_1023001_1|166_1023002_1|125_1023003_1|833_1023004_1|417_1023005_1|83_1023101_1|55_1023102_1|41_1023103_1|278_1023104_1|139_1023105_1|20_1023201_1|13_1023202_1|10_1023203_1|69_1023204_1|35_1023205_1|10_1023301_1|6_1023302_1|5_1023303_1|35_1023304_1|17_1023305_1|5_1023401_1|3_1023402_1|2_1023403_1|17_1023404_1|9_1023405_1</v>
      </c>
      <c r="L158" t="str">
        <f>_xlfn.TEXTJOIN("|",TRUE,L159:L173)</f>
        <v>250_1023001_1|83_1023001_2|62_1023001_2|277_1023001_3|69_1023001_6|83_1023101_1|27_1023101_2|20_1023101_2|92_1023101_3|23_1023101_6|20_1023201_1|6_1023201_2|5_1023201_2|23_1023201_3|5_1023201_6</v>
      </c>
    </row>
    <row r="159" customFormat="1" spans="1:12">
      <c r="B159" t="str" cm="1">
        <f t="array" ref="B159:B183">_xlfn.TEXTSPLIT(B158,,"|")</f>
        <v>250_1023001_1</v>
      </c>
      <c r="C159" t="str" cm="1">
        <f t="array" ref="C159:E159">_xlfn.TEXTSPLIT(B159,"_",)</f>
        <v>250</v>
      </c>
      <c r="D159" t="str">
        <v>1023001</v>
      </c>
      <c r="E159" t="str">
        <v>1</v>
      </c>
      <c r="F159">
        <f>_xlfn.XLOOKUP(VALUE(D159),Sheet2!$A$1:$A$25,Sheet2!$C$1:$C$25)</f>
        <v>20</v>
      </c>
      <c r="G159">
        <f t="shared" si="29"/>
        <v>1023001</v>
      </c>
      <c r="H159">
        <f>_xlfn.XLOOKUP(G159,Sheet2!A:A,Sheet2!B:B)</f>
        <v>1023001</v>
      </c>
      <c r="I159">
        <f>_xlfn.XLOOKUP(VALUE(H159),Sheet2!$A$1:$A$25,Sheet2!$C$1:$C$25)</f>
        <v>20</v>
      </c>
      <c r="J159">
        <f t="shared" si="30"/>
        <v>1</v>
      </c>
      <c r="K159">
        <f t="shared" si="31"/>
        <v>250</v>
      </c>
      <c r="L159" s="2" t="str">
        <f t="shared" si="32"/>
        <v>250_1023001_1</v>
      </c>
    </row>
    <row r="160" customFormat="1" spans="1:12">
      <c r="B160" t="str">
        <v>166_1023002_1</v>
      </c>
      <c r="C160" t="str" cm="1">
        <f t="array" ref="C160:E160">_xlfn.TEXTSPLIT(B160,"_",)</f>
        <v>166</v>
      </c>
      <c r="D160" t="str">
        <v>1023002</v>
      </c>
      <c r="E160" t="str">
        <v>1</v>
      </c>
      <c r="F160">
        <f>_xlfn.XLOOKUP(VALUE(D160),Sheet2!$A$1:$A$25,Sheet2!$C$1:$C$25)</f>
        <v>30</v>
      </c>
      <c r="G160">
        <f t="shared" si="29"/>
        <v>1023002</v>
      </c>
      <c r="H160">
        <f>_xlfn.XLOOKUP(G160,Sheet2!A:A,Sheet2!B:B)</f>
        <v>1023001</v>
      </c>
      <c r="I160">
        <f>_xlfn.XLOOKUP(VALUE(H160),Sheet2!$A$1:$A$25,Sheet2!$C$1:$C$25)</f>
        <v>20</v>
      </c>
      <c r="J160">
        <f t="shared" si="30"/>
        <v>2</v>
      </c>
      <c r="K160">
        <f t="shared" si="31"/>
        <v>83</v>
      </c>
      <c r="L160" s="2" t="str">
        <f t="shared" si="32"/>
        <v>83_1023001_2</v>
      </c>
    </row>
    <row r="161" customFormat="1" spans="2:12">
      <c r="B161" t="str">
        <v>125_1023003_1</v>
      </c>
      <c r="C161" t="str" cm="1">
        <f t="array" ref="C161:E161">_xlfn.TEXTSPLIT(B161,"_",)</f>
        <v>125</v>
      </c>
      <c r="D161" t="str">
        <v>1023003</v>
      </c>
      <c r="E161" t="str">
        <v>1</v>
      </c>
      <c r="F161">
        <f>_xlfn.XLOOKUP(VALUE(D161),Sheet2!$A$1:$A$25,Sheet2!$C$1:$C$25)</f>
        <v>40</v>
      </c>
      <c r="G161">
        <f t="shared" si="29"/>
        <v>1023003</v>
      </c>
      <c r="H161">
        <f>_xlfn.XLOOKUP(G161,Sheet2!A:A,Sheet2!B:B)</f>
        <v>1023001</v>
      </c>
      <c r="I161">
        <f>_xlfn.XLOOKUP(VALUE(H161),Sheet2!$A$1:$A$25,Sheet2!$C$1:$C$25)</f>
        <v>20</v>
      </c>
      <c r="J161">
        <f t="shared" si="30"/>
        <v>2</v>
      </c>
      <c r="K161">
        <f t="shared" si="31"/>
        <v>62</v>
      </c>
      <c r="L161" s="2" t="str">
        <f t="shared" si="32"/>
        <v>62_1023001_2</v>
      </c>
    </row>
    <row r="162" customFormat="1" spans="2:12">
      <c r="B162" t="str">
        <v>833_1023004_1</v>
      </c>
      <c r="C162" t="str" cm="1">
        <f t="array" ref="C162:E162">_xlfn.TEXTSPLIT(B162,"_",)</f>
        <v>833</v>
      </c>
      <c r="D162" t="str">
        <v>1023004</v>
      </c>
      <c r="E162" t="str">
        <v>1</v>
      </c>
      <c r="F162">
        <f>_xlfn.XLOOKUP(VALUE(D162),Sheet2!$A$1:$A$25,Sheet2!$C$1:$C$25)</f>
        <v>60</v>
      </c>
      <c r="G162">
        <f t="shared" si="29"/>
        <v>1023004</v>
      </c>
      <c r="H162">
        <f>_xlfn.XLOOKUP(G162,Sheet2!A:A,Sheet2!B:B)</f>
        <v>1023001</v>
      </c>
      <c r="I162">
        <f>_xlfn.XLOOKUP(VALUE(H162),Sheet2!$A$1:$A$25,Sheet2!$C$1:$C$25)</f>
        <v>20</v>
      </c>
      <c r="J162">
        <f t="shared" si="30"/>
        <v>3</v>
      </c>
      <c r="K162">
        <f t="shared" si="31"/>
        <v>277</v>
      </c>
      <c r="L162" s="2" t="str">
        <f t="shared" si="32"/>
        <v>277_1023001_3</v>
      </c>
    </row>
    <row r="163" customFormat="1" spans="2:12">
      <c r="B163" t="str">
        <v>417_1023005_1</v>
      </c>
      <c r="C163" t="str" cm="1">
        <f t="array" ref="C163:E163">_xlfn.TEXTSPLIT(B163,"_",)</f>
        <v>417</v>
      </c>
      <c r="D163" t="str">
        <v>1023005</v>
      </c>
      <c r="E163" t="str">
        <v>1</v>
      </c>
      <c r="F163">
        <f>_xlfn.XLOOKUP(VALUE(D163),Sheet2!$A$1:$A$25,Sheet2!$C$1:$C$25)</f>
        <v>120</v>
      </c>
      <c r="G163">
        <f t="shared" si="29"/>
        <v>1023005</v>
      </c>
      <c r="H163">
        <f>_xlfn.XLOOKUP(G163,Sheet2!A:A,Sheet2!B:B)</f>
        <v>1023001</v>
      </c>
      <c r="I163">
        <f>_xlfn.XLOOKUP(VALUE(H163),Sheet2!$A$1:$A$25,Sheet2!$C$1:$C$25)</f>
        <v>20</v>
      </c>
      <c r="J163">
        <f t="shared" si="30"/>
        <v>6</v>
      </c>
      <c r="K163">
        <f t="shared" si="31"/>
        <v>69</v>
      </c>
      <c r="L163" s="2" t="str">
        <f t="shared" si="32"/>
        <v>69_1023001_6</v>
      </c>
    </row>
    <row r="164" customFormat="1" spans="2:12">
      <c r="B164" t="str">
        <v>83_1023101_1</v>
      </c>
      <c r="C164" t="str" cm="1">
        <f t="array" ref="C164:E164">_xlfn.TEXTSPLIT(B164,"_",)</f>
        <v>83</v>
      </c>
      <c r="D164" t="str">
        <v>1023101</v>
      </c>
      <c r="E164" t="str">
        <v>1</v>
      </c>
      <c r="F164">
        <f>_xlfn.XLOOKUP(VALUE(D164),Sheet2!$A$1:$A$25,Sheet2!$C$1:$C$25)</f>
        <v>60</v>
      </c>
      <c r="G164">
        <f t="shared" si="29"/>
        <v>1023101</v>
      </c>
      <c r="H164">
        <f>_xlfn.XLOOKUP(G164,Sheet2!A:A,Sheet2!B:B)</f>
        <v>1023101</v>
      </c>
      <c r="I164">
        <f>_xlfn.XLOOKUP(VALUE(H164),Sheet2!$A$1:$A$25,Sheet2!$C$1:$C$25)</f>
        <v>60</v>
      </c>
      <c r="J164">
        <f t="shared" si="30"/>
        <v>1</v>
      </c>
      <c r="K164">
        <f t="shared" si="31"/>
        <v>83</v>
      </c>
      <c r="L164" s="2" t="str">
        <f t="shared" si="32"/>
        <v>83_1023101_1</v>
      </c>
    </row>
    <row r="165" customFormat="1" spans="2:12">
      <c r="B165" t="str">
        <v>55_1023102_1</v>
      </c>
      <c r="C165" t="str" cm="1">
        <f t="array" ref="C165:E165">_xlfn.TEXTSPLIT(B165,"_",)</f>
        <v>55</v>
      </c>
      <c r="D165" t="str">
        <v>1023102</v>
      </c>
      <c r="E165" t="str">
        <v>1</v>
      </c>
      <c r="F165">
        <f>_xlfn.XLOOKUP(VALUE(D165),Sheet2!$A$1:$A$25,Sheet2!$C$1:$C$25)</f>
        <v>90</v>
      </c>
      <c r="G165">
        <f t="shared" si="29"/>
        <v>1023102</v>
      </c>
      <c r="H165">
        <f>_xlfn.XLOOKUP(G165,Sheet2!A:A,Sheet2!B:B)</f>
        <v>1023101</v>
      </c>
      <c r="I165">
        <f>_xlfn.XLOOKUP(VALUE(H165),Sheet2!$A$1:$A$25,Sheet2!$C$1:$C$25)</f>
        <v>60</v>
      </c>
      <c r="J165">
        <f t="shared" si="30"/>
        <v>2</v>
      </c>
      <c r="K165">
        <f t="shared" si="31"/>
        <v>27</v>
      </c>
      <c r="L165" s="2" t="str">
        <f t="shared" si="32"/>
        <v>27_1023101_2</v>
      </c>
    </row>
    <row r="166" customFormat="1" spans="2:12">
      <c r="B166" t="str">
        <v>41_1023103_1</v>
      </c>
      <c r="C166" t="str" cm="1">
        <f t="array" ref="C166:E166">_xlfn.TEXTSPLIT(B166,"_",)</f>
        <v>41</v>
      </c>
      <c r="D166" t="str">
        <v>1023103</v>
      </c>
      <c r="E166" t="str">
        <v>1</v>
      </c>
      <c r="F166">
        <f>_xlfn.XLOOKUP(VALUE(D166),Sheet2!$A$1:$A$25,Sheet2!$C$1:$C$25)</f>
        <v>120</v>
      </c>
      <c r="G166">
        <f t="shared" si="29"/>
        <v>1023103</v>
      </c>
      <c r="H166">
        <f>_xlfn.XLOOKUP(G166,Sheet2!A:A,Sheet2!B:B)</f>
        <v>1023101</v>
      </c>
      <c r="I166">
        <f>_xlfn.XLOOKUP(VALUE(H166),Sheet2!$A$1:$A$25,Sheet2!$C$1:$C$25)</f>
        <v>60</v>
      </c>
      <c r="J166">
        <f t="shared" si="30"/>
        <v>2</v>
      </c>
      <c r="K166">
        <f t="shared" si="31"/>
        <v>20</v>
      </c>
      <c r="L166" s="2" t="str">
        <f t="shared" si="32"/>
        <v>20_1023101_2</v>
      </c>
    </row>
    <row r="167" customFormat="1" spans="2:12">
      <c r="B167" t="str">
        <v>278_1023104_1</v>
      </c>
      <c r="C167" t="str" cm="1">
        <f t="array" ref="C167:E167">_xlfn.TEXTSPLIT(B167,"_",)</f>
        <v>278</v>
      </c>
      <c r="D167" t="str">
        <v>1023104</v>
      </c>
      <c r="E167" t="str">
        <v>1</v>
      </c>
      <c r="F167">
        <f>_xlfn.XLOOKUP(VALUE(D167),Sheet2!$A$1:$A$25,Sheet2!$C$1:$C$25)</f>
        <v>180</v>
      </c>
      <c r="G167">
        <f t="shared" si="29"/>
        <v>1023104</v>
      </c>
      <c r="H167">
        <f>_xlfn.XLOOKUP(G167,Sheet2!A:A,Sheet2!B:B)</f>
        <v>1023101</v>
      </c>
      <c r="I167">
        <f>_xlfn.XLOOKUP(VALUE(H167),Sheet2!$A$1:$A$25,Sheet2!$C$1:$C$25)</f>
        <v>60</v>
      </c>
      <c r="J167">
        <f t="shared" si="30"/>
        <v>3</v>
      </c>
      <c r="K167">
        <f t="shared" si="31"/>
        <v>92</v>
      </c>
      <c r="L167" s="2" t="str">
        <f t="shared" si="32"/>
        <v>92_1023101_3</v>
      </c>
    </row>
    <row r="168" customFormat="1" spans="2:12">
      <c r="B168" t="str">
        <v>139_1023105_1</v>
      </c>
      <c r="C168" t="str" cm="1">
        <f t="array" ref="C168:E168">_xlfn.TEXTSPLIT(B168,"_",)</f>
        <v>139</v>
      </c>
      <c r="D168" t="str">
        <v>1023105</v>
      </c>
      <c r="E168" t="str">
        <v>1</v>
      </c>
      <c r="F168">
        <f>_xlfn.XLOOKUP(VALUE(D168),Sheet2!$A$1:$A$25,Sheet2!$C$1:$C$25)</f>
        <v>360</v>
      </c>
      <c r="G168">
        <f t="shared" si="29"/>
        <v>1023105</v>
      </c>
      <c r="H168">
        <f>_xlfn.XLOOKUP(G168,Sheet2!A:A,Sheet2!B:B)</f>
        <v>1023101</v>
      </c>
      <c r="I168">
        <f>_xlfn.XLOOKUP(VALUE(H168),Sheet2!$A$1:$A$25,Sheet2!$C$1:$C$25)</f>
        <v>60</v>
      </c>
      <c r="J168">
        <f t="shared" si="30"/>
        <v>6</v>
      </c>
      <c r="K168">
        <f t="shared" si="31"/>
        <v>23</v>
      </c>
      <c r="L168" s="2" t="str">
        <f t="shared" si="32"/>
        <v>23_1023101_6</v>
      </c>
    </row>
    <row r="169" customFormat="1" spans="2:12">
      <c r="B169" t="str">
        <v>20_1023201_1</v>
      </c>
      <c r="C169" t="str" cm="1">
        <f t="array" ref="C169:E169">_xlfn.TEXTSPLIT(B169,"_",)</f>
        <v>20</v>
      </c>
      <c r="D169" t="str">
        <v>1023201</v>
      </c>
      <c r="E169" t="str">
        <v>1</v>
      </c>
      <c r="F169">
        <f>_xlfn.XLOOKUP(VALUE(D169),Sheet2!$A$1:$A$25,Sheet2!$C$1:$C$25)</f>
        <v>240</v>
      </c>
      <c r="G169">
        <f t="shared" si="29"/>
        <v>1023201</v>
      </c>
      <c r="H169">
        <f>_xlfn.XLOOKUP(G169,Sheet2!A:A,Sheet2!B:B)</f>
        <v>1023201</v>
      </c>
      <c r="I169">
        <f>_xlfn.XLOOKUP(VALUE(H169),Sheet2!$A$1:$A$25,Sheet2!$C$1:$C$25)</f>
        <v>240</v>
      </c>
      <c r="J169">
        <f t="shared" si="30"/>
        <v>1</v>
      </c>
      <c r="K169">
        <f t="shared" si="31"/>
        <v>20</v>
      </c>
      <c r="L169" s="2" t="str">
        <f t="shared" si="32"/>
        <v>20_1023201_1</v>
      </c>
    </row>
    <row r="170" customFormat="1" spans="2:12">
      <c r="B170" t="str">
        <v>13_1023202_1</v>
      </c>
      <c r="C170" t="str" cm="1">
        <f t="array" ref="C170:E170">_xlfn.TEXTSPLIT(B170,"_",)</f>
        <v>13</v>
      </c>
      <c r="D170" t="str">
        <v>1023202</v>
      </c>
      <c r="E170" t="str">
        <v>1</v>
      </c>
      <c r="F170">
        <f>_xlfn.XLOOKUP(VALUE(D170),Sheet2!$A$1:$A$25,Sheet2!$C$1:$C$25)</f>
        <v>360</v>
      </c>
      <c r="G170">
        <f t="shared" si="29"/>
        <v>1023202</v>
      </c>
      <c r="H170">
        <f>_xlfn.XLOOKUP(G170,Sheet2!A:A,Sheet2!B:B)</f>
        <v>1023201</v>
      </c>
      <c r="I170">
        <f>_xlfn.XLOOKUP(VALUE(H170),Sheet2!$A$1:$A$25,Sheet2!$C$1:$C$25)</f>
        <v>240</v>
      </c>
      <c r="J170">
        <f t="shared" si="30"/>
        <v>2</v>
      </c>
      <c r="K170">
        <f t="shared" si="31"/>
        <v>6</v>
      </c>
      <c r="L170" s="2" t="str">
        <f t="shared" si="32"/>
        <v>6_1023201_2</v>
      </c>
    </row>
    <row r="171" customFormat="1" spans="2:12">
      <c r="B171" t="str">
        <v>10_1023203_1</v>
      </c>
      <c r="C171" t="str" cm="1">
        <f t="array" ref="C171:E171">_xlfn.TEXTSPLIT(B171,"_",)</f>
        <v>10</v>
      </c>
      <c r="D171" t="str">
        <v>1023203</v>
      </c>
      <c r="E171" t="str">
        <v>1</v>
      </c>
      <c r="F171">
        <f>_xlfn.XLOOKUP(VALUE(D171),Sheet2!$A$1:$A$25,Sheet2!$C$1:$C$25)</f>
        <v>480</v>
      </c>
      <c r="G171">
        <f t="shared" si="29"/>
        <v>1023203</v>
      </c>
      <c r="H171">
        <f>_xlfn.XLOOKUP(G171,Sheet2!A:A,Sheet2!B:B)</f>
        <v>1023201</v>
      </c>
      <c r="I171">
        <f>_xlfn.XLOOKUP(VALUE(H171),Sheet2!$A$1:$A$25,Sheet2!$C$1:$C$25)</f>
        <v>240</v>
      </c>
      <c r="J171">
        <f t="shared" si="30"/>
        <v>2</v>
      </c>
      <c r="K171">
        <f t="shared" si="31"/>
        <v>5</v>
      </c>
      <c r="L171" s="2" t="str">
        <f t="shared" si="32"/>
        <v>5_1023201_2</v>
      </c>
    </row>
    <row r="172" customFormat="1" spans="2:12">
      <c r="B172" t="str">
        <v>69_1023204_1</v>
      </c>
      <c r="C172" t="str" cm="1">
        <f t="array" ref="C172:E172">_xlfn.TEXTSPLIT(B172,"_",)</f>
        <v>69</v>
      </c>
      <c r="D172" t="str">
        <v>1023204</v>
      </c>
      <c r="E172" t="str">
        <v>1</v>
      </c>
      <c r="F172">
        <f>_xlfn.XLOOKUP(VALUE(D172),Sheet2!$A$1:$A$25,Sheet2!$C$1:$C$25)</f>
        <v>720</v>
      </c>
      <c r="G172">
        <f t="shared" si="29"/>
        <v>1023204</v>
      </c>
      <c r="H172">
        <f>_xlfn.XLOOKUP(G172,Sheet2!A:A,Sheet2!B:B)</f>
        <v>1023201</v>
      </c>
      <c r="I172">
        <f>_xlfn.XLOOKUP(VALUE(H172),Sheet2!$A$1:$A$25,Sheet2!$C$1:$C$25)</f>
        <v>240</v>
      </c>
      <c r="J172">
        <f t="shared" si="30"/>
        <v>3</v>
      </c>
      <c r="K172">
        <f t="shared" si="31"/>
        <v>23</v>
      </c>
      <c r="L172" s="2" t="str">
        <f t="shared" si="32"/>
        <v>23_1023201_3</v>
      </c>
    </row>
    <row r="173" customFormat="1" spans="2:12">
      <c r="B173" t="str">
        <v>35_1023205_1</v>
      </c>
      <c r="C173" t="str" cm="1">
        <f t="array" ref="C173:E173">_xlfn.TEXTSPLIT(B173,"_",)</f>
        <v>35</v>
      </c>
      <c r="D173" t="str">
        <v>1023205</v>
      </c>
      <c r="E173" t="str">
        <v>1</v>
      </c>
      <c r="F173">
        <f>_xlfn.XLOOKUP(VALUE(D173),Sheet2!$A$1:$A$25,Sheet2!$C$1:$C$25)</f>
        <v>1440</v>
      </c>
      <c r="G173">
        <f t="shared" si="29"/>
        <v>1023205</v>
      </c>
      <c r="H173">
        <f>_xlfn.XLOOKUP(G173,Sheet2!A:A,Sheet2!B:B)</f>
        <v>1023201</v>
      </c>
      <c r="I173">
        <f>_xlfn.XLOOKUP(VALUE(H173),Sheet2!$A$1:$A$25,Sheet2!$C$1:$C$25)</f>
        <v>240</v>
      </c>
      <c r="J173">
        <f t="shared" si="30"/>
        <v>6</v>
      </c>
      <c r="K173">
        <f t="shared" si="31"/>
        <v>5</v>
      </c>
      <c r="L173" s="2" t="str">
        <f t="shared" si="32"/>
        <v>5_1023201_6</v>
      </c>
    </row>
    <row r="174" customFormat="1" spans="2:12">
      <c r="B174" t="str">
        <v>10_1023301_1</v>
      </c>
      <c r="C174" t="str" cm="1">
        <f t="array" ref="C174:E174">_xlfn.TEXTSPLIT(B174,"_",)</f>
        <v>10</v>
      </c>
      <c r="D174" t="str">
        <v>1023301</v>
      </c>
      <c r="E174" t="str">
        <v>1</v>
      </c>
      <c r="F174">
        <f>_xlfn.XLOOKUP(VALUE(D174),Sheet2!$A$1:$A$25,Sheet2!$C$1:$C$25)</f>
        <v>480</v>
      </c>
      <c r="G174">
        <f t="shared" si="29"/>
        <v>1023301</v>
      </c>
      <c r="H174">
        <f>_xlfn.XLOOKUP(G174,Sheet2!A:A,Sheet2!B:B)</f>
        <v>1023301</v>
      </c>
      <c r="I174">
        <f>_xlfn.XLOOKUP(VALUE(H174),Sheet2!$A$1:$A$25,Sheet2!$C$1:$C$25)</f>
        <v>480</v>
      </c>
      <c r="J174">
        <f t="shared" si="30"/>
        <v>1</v>
      </c>
      <c r="K174">
        <f t="shared" si="31"/>
        <v>10</v>
      </c>
      <c r="L174" s="2" t="str">
        <f t="shared" si="32"/>
        <v>10_1023301_1</v>
      </c>
    </row>
    <row r="175" customFormat="1" spans="2:12">
      <c r="B175" t="str">
        <v>6_1023302_1</v>
      </c>
      <c r="C175" t="str" cm="1">
        <f t="array" ref="C175:E175">_xlfn.TEXTSPLIT(B175,"_",)</f>
        <v>6</v>
      </c>
      <c r="D175" t="str">
        <v>1023302</v>
      </c>
      <c r="E175" t="str">
        <v>1</v>
      </c>
      <c r="F175">
        <f>_xlfn.XLOOKUP(VALUE(D175),Sheet2!$A$1:$A$25,Sheet2!$C$1:$C$25)</f>
        <v>720</v>
      </c>
      <c r="G175">
        <f t="shared" si="29"/>
        <v>1023302</v>
      </c>
      <c r="H175">
        <f>_xlfn.XLOOKUP(G175,Sheet2!A:A,Sheet2!B:B)</f>
        <v>1023301</v>
      </c>
      <c r="I175">
        <f>_xlfn.XLOOKUP(VALUE(H175),Sheet2!$A$1:$A$25,Sheet2!$C$1:$C$25)</f>
        <v>480</v>
      </c>
      <c r="J175">
        <f t="shared" si="30"/>
        <v>2</v>
      </c>
      <c r="K175">
        <f t="shared" si="31"/>
        <v>3</v>
      </c>
      <c r="L175" s="2" t="str">
        <f t="shared" si="32"/>
        <v>3_1023301_2</v>
      </c>
    </row>
    <row r="176" customFormat="1" spans="2:12">
      <c r="B176" t="str">
        <v>5_1023303_1</v>
      </c>
      <c r="C176" t="str" cm="1">
        <f t="array" ref="C176:E176">_xlfn.TEXTSPLIT(B176,"_",)</f>
        <v>5</v>
      </c>
      <c r="D176" t="str">
        <v>1023303</v>
      </c>
      <c r="E176" t="str">
        <v>1</v>
      </c>
      <c r="F176">
        <f>_xlfn.XLOOKUP(VALUE(D176),Sheet2!$A$1:$A$25,Sheet2!$C$1:$C$25)</f>
        <v>960</v>
      </c>
      <c r="G176">
        <f t="shared" si="29"/>
        <v>1023303</v>
      </c>
      <c r="H176">
        <f>_xlfn.XLOOKUP(G176,Sheet2!A:A,Sheet2!B:B)</f>
        <v>1023301</v>
      </c>
      <c r="I176">
        <f>_xlfn.XLOOKUP(VALUE(H176),Sheet2!$A$1:$A$25,Sheet2!$C$1:$C$25)</f>
        <v>480</v>
      </c>
      <c r="J176">
        <f t="shared" si="30"/>
        <v>2</v>
      </c>
      <c r="K176">
        <f t="shared" si="31"/>
        <v>2</v>
      </c>
      <c r="L176" s="2" t="str">
        <f t="shared" si="32"/>
        <v>2_1023301_2</v>
      </c>
    </row>
    <row r="177" customFormat="1" spans="1:12">
      <c r="B177" t="str">
        <v>35_1023304_1</v>
      </c>
      <c r="C177" t="str" cm="1">
        <f t="array" ref="C177:E177">_xlfn.TEXTSPLIT(B177,"_",)</f>
        <v>35</v>
      </c>
      <c r="D177" t="str">
        <v>1023304</v>
      </c>
      <c r="E177" t="str">
        <v>1</v>
      </c>
      <c r="F177">
        <f>_xlfn.XLOOKUP(VALUE(D177),Sheet2!$A$1:$A$25,Sheet2!$C$1:$C$25)</f>
        <v>1440</v>
      </c>
      <c r="G177">
        <f t="shared" si="29"/>
        <v>1023304</v>
      </c>
      <c r="H177">
        <f>_xlfn.XLOOKUP(G177,Sheet2!A:A,Sheet2!B:B)</f>
        <v>1023301</v>
      </c>
      <c r="I177">
        <f>_xlfn.XLOOKUP(VALUE(H177),Sheet2!$A$1:$A$25,Sheet2!$C$1:$C$25)</f>
        <v>480</v>
      </c>
      <c r="J177">
        <f t="shared" si="30"/>
        <v>3</v>
      </c>
      <c r="K177">
        <f t="shared" si="31"/>
        <v>11</v>
      </c>
      <c r="L177" s="2" t="str">
        <f t="shared" si="32"/>
        <v>11_1023301_3</v>
      </c>
    </row>
    <row r="178" customFormat="1" spans="1:12">
      <c r="B178" t="str">
        <v>17_1023305_1</v>
      </c>
      <c r="C178" t="str" cm="1">
        <f t="array" ref="C178:E178">_xlfn.TEXTSPLIT(B178,"_",)</f>
        <v>17</v>
      </c>
      <c r="D178" t="str">
        <v>1023305</v>
      </c>
      <c r="E178" t="str">
        <v>1</v>
      </c>
      <c r="F178">
        <f>_xlfn.XLOOKUP(VALUE(D178),Sheet2!$A$1:$A$25,Sheet2!$C$1:$C$25)</f>
        <v>2880</v>
      </c>
      <c r="G178">
        <f t="shared" si="29"/>
        <v>1023305</v>
      </c>
      <c r="H178">
        <f>_xlfn.XLOOKUP(G178,Sheet2!A:A,Sheet2!B:B)</f>
        <v>1023301</v>
      </c>
      <c r="I178">
        <f>_xlfn.XLOOKUP(VALUE(H178),Sheet2!$A$1:$A$25,Sheet2!$C$1:$C$25)</f>
        <v>480</v>
      </c>
      <c r="J178">
        <f t="shared" si="30"/>
        <v>6</v>
      </c>
      <c r="K178">
        <f t="shared" si="31"/>
        <v>2</v>
      </c>
      <c r="L178" s="2" t="str">
        <f t="shared" si="32"/>
        <v>2_1023301_6</v>
      </c>
    </row>
    <row r="179" customFormat="1" spans="1:12">
      <c r="B179" t="str">
        <v>5_1023401_1</v>
      </c>
      <c r="C179" t="str" cm="1">
        <f t="array" ref="C179:E179">_xlfn.TEXTSPLIT(B179,"_",)</f>
        <v>5</v>
      </c>
      <c r="D179" t="str">
        <v>1023401</v>
      </c>
      <c r="E179" t="str">
        <v>1</v>
      </c>
      <c r="F179">
        <f>_xlfn.XLOOKUP(VALUE(D179),Sheet2!$A$1:$A$25,Sheet2!$C$1:$C$25)</f>
        <v>960</v>
      </c>
      <c r="G179">
        <f t="shared" si="29"/>
        <v>1023401</v>
      </c>
      <c r="H179">
        <f>_xlfn.XLOOKUP(G179,Sheet2!A:A,Sheet2!B:B)</f>
        <v>1023401</v>
      </c>
      <c r="I179">
        <f>_xlfn.XLOOKUP(VALUE(H179),Sheet2!$A$1:$A$25,Sheet2!$C$1:$C$25)</f>
        <v>960</v>
      </c>
      <c r="J179">
        <f t="shared" si="30"/>
        <v>1</v>
      </c>
      <c r="K179">
        <f t="shared" si="31"/>
        <v>5</v>
      </c>
      <c r="L179" s="2" t="str">
        <f t="shared" si="32"/>
        <v>5_1023401_1</v>
      </c>
    </row>
    <row r="180" customFormat="1" spans="1:12">
      <c r="B180" t="str">
        <v>3_1023402_1</v>
      </c>
      <c r="C180" t="str" cm="1">
        <f t="array" ref="C180:E180">_xlfn.TEXTSPLIT(B180,"_",)</f>
        <v>3</v>
      </c>
      <c r="D180" t="str">
        <v>1023402</v>
      </c>
      <c r="E180" t="str">
        <v>1</v>
      </c>
      <c r="F180">
        <f>_xlfn.XLOOKUP(VALUE(D180),Sheet2!$A$1:$A$25,Sheet2!$C$1:$C$25)</f>
        <v>1440</v>
      </c>
      <c r="G180">
        <f t="shared" si="29"/>
        <v>1023402</v>
      </c>
      <c r="H180">
        <f>_xlfn.XLOOKUP(G180,Sheet2!A:A,Sheet2!B:B)</f>
        <v>1023401</v>
      </c>
      <c r="I180">
        <f>_xlfn.XLOOKUP(VALUE(H180),Sheet2!$A$1:$A$25,Sheet2!$C$1:$C$25)</f>
        <v>960</v>
      </c>
      <c r="J180">
        <f t="shared" si="30"/>
        <v>2</v>
      </c>
      <c r="K180">
        <f t="shared" si="31"/>
        <v>1</v>
      </c>
      <c r="L180" s="2" t="str">
        <f t="shared" si="32"/>
        <v>1_1023401_2</v>
      </c>
    </row>
    <row r="181" customFormat="1" spans="1:12">
      <c r="B181" t="str">
        <v>2_1023403_1</v>
      </c>
      <c r="C181" t="str" cm="1">
        <f t="array" ref="C181:E181">_xlfn.TEXTSPLIT(B181,"_",)</f>
        <v>2</v>
      </c>
      <c r="D181" t="str">
        <v>1023403</v>
      </c>
      <c r="E181" t="str">
        <v>1</v>
      </c>
      <c r="F181">
        <f>_xlfn.XLOOKUP(VALUE(D181),Sheet2!$A$1:$A$25,Sheet2!$C$1:$C$25)</f>
        <v>1920</v>
      </c>
      <c r="G181">
        <f t="shared" si="29"/>
        <v>1023403</v>
      </c>
      <c r="H181">
        <f>_xlfn.XLOOKUP(G181,Sheet2!A:A,Sheet2!B:B)</f>
        <v>1023401</v>
      </c>
      <c r="I181">
        <f>_xlfn.XLOOKUP(VALUE(H181),Sheet2!$A$1:$A$25,Sheet2!$C$1:$C$25)</f>
        <v>960</v>
      </c>
      <c r="J181">
        <f t="shared" si="30"/>
        <v>2</v>
      </c>
      <c r="K181">
        <f t="shared" si="31"/>
        <v>1</v>
      </c>
      <c r="L181" s="2" t="str">
        <f t="shared" si="32"/>
        <v>1_1023401_2</v>
      </c>
    </row>
    <row r="182" customFormat="1" spans="1:12">
      <c r="B182" t="str">
        <v>17_1023404_1</v>
      </c>
      <c r="C182" t="str" cm="1">
        <f t="array" ref="C182:E182">_xlfn.TEXTSPLIT(B182,"_",)</f>
        <v>17</v>
      </c>
      <c r="D182" t="str">
        <v>1023404</v>
      </c>
      <c r="E182" t="str">
        <v>1</v>
      </c>
      <c r="F182">
        <f>_xlfn.XLOOKUP(VALUE(D182),Sheet2!$A$1:$A$25,Sheet2!$C$1:$C$25)</f>
        <v>2880</v>
      </c>
      <c r="G182">
        <f t="shared" si="29"/>
        <v>1023404</v>
      </c>
      <c r="H182">
        <f>_xlfn.XLOOKUP(G182,Sheet2!A:A,Sheet2!B:B)</f>
        <v>1023401</v>
      </c>
      <c r="I182">
        <f>_xlfn.XLOOKUP(VALUE(H182),Sheet2!$A$1:$A$25,Sheet2!$C$1:$C$25)</f>
        <v>960</v>
      </c>
      <c r="J182">
        <f t="shared" si="30"/>
        <v>3</v>
      </c>
      <c r="K182">
        <f t="shared" si="31"/>
        <v>5</v>
      </c>
      <c r="L182" s="2" t="str">
        <f t="shared" si="32"/>
        <v>5_1023401_3</v>
      </c>
    </row>
    <row r="183" customFormat="1" spans="1:12">
      <c r="B183" t="str">
        <v>9_1023405_1</v>
      </c>
      <c r="C183" t="str" cm="1">
        <f t="array" ref="C183:E183">_xlfn.TEXTSPLIT(B183,"_",)</f>
        <v>9</v>
      </c>
      <c r="D183" t="str">
        <v>1023405</v>
      </c>
      <c r="E183" t="str">
        <v>1</v>
      </c>
      <c r="F183">
        <f>_xlfn.XLOOKUP(VALUE(D183),Sheet2!$A$1:$A$25,Sheet2!$C$1:$C$25)</f>
        <v>5760</v>
      </c>
      <c r="G183">
        <f t="shared" si="29"/>
        <v>1023405</v>
      </c>
      <c r="H183">
        <f>_xlfn.XLOOKUP(G183,Sheet2!A:A,Sheet2!B:B)</f>
        <v>1023401</v>
      </c>
      <c r="I183">
        <f>_xlfn.XLOOKUP(VALUE(H183),Sheet2!$A$1:$A$25,Sheet2!$C$1:$C$25)</f>
        <v>960</v>
      </c>
      <c r="J183">
        <f t="shared" si="30"/>
        <v>6</v>
      </c>
      <c r="K183">
        <f t="shared" si="31"/>
        <v>1</v>
      </c>
      <c r="L183" s="2" t="str">
        <f t="shared" si="32"/>
        <v>1_1023401_6</v>
      </c>
    </row>
    <row r="186" spans="1:12">
      <c r="A186">
        <v>20010140</v>
      </c>
      <c r="B186" t="str">
        <f>_xlfn.XLOOKUP(A186,$A$1:$A$12,$B$1:$B$12)</f>
        <v>250_1023001_1|166_1023002_1|125_1023003_1|833_1023004_1|417_1023005_1|83_1023101_1|55_1023102_1|41_1023103_1|278_1023104_1|139_1023105_1|20_1023201_1|13_1023202_1|10_1023203_1|69_1023204_1|35_1023205_1|10_1023301_1|6_1023302_1|5_1023303_1|35_1023304_1|17_1023305_1|5_1023401_1|3_1023402_1|2_1023403_1|17_1023404_1|9_1023405_1</v>
      </c>
      <c r="L186" t="str">
        <f>_xlfn.TEXTJOIN("|",TRUE,L187:L201)</f>
        <v>250_1023001_1|83_1023001_2|62_1023001_2|277_1023001_3|69_1023001_6|83_1023101_1|27_1023101_2|20_1023101_2|92_1023101_3|23_1023101_6|20_1023201_1|6_1023201_2|5_1023201_2|23_1023201_3|5_1023201_6</v>
      </c>
    </row>
    <row r="187" customFormat="1" spans="1:12">
      <c r="B187" t="str" cm="1">
        <f t="array" ref="B187:B211">_xlfn.TEXTSPLIT(B186,,"|")</f>
        <v>250_1023001_1</v>
      </c>
      <c r="C187" t="str" cm="1">
        <f t="array" ref="C187:E187">_xlfn.TEXTSPLIT(B187,"_",)</f>
        <v>250</v>
      </c>
      <c r="D187" t="str">
        <v>1023001</v>
      </c>
      <c r="E187" t="str">
        <v>1</v>
      </c>
      <c r="F187">
        <f>_xlfn.XLOOKUP(VALUE(D187),Sheet2!$A$1:$A$25,Sheet2!$C$1:$C$25)</f>
        <v>20</v>
      </c>
      <c r="G187">
        <f t="shared" ref="G187:G211" si="33">VALUE(D187)</f>
        <v>1023001</v>
      </c>
      <c r="H187">
        <f>_xlfn.XLOOKUP(G187,Sheet2!A:A,Sheet2!B:B)</f>
        <v>1023001</v>
      </c>
      <c r="I187">
        <f>_xlfn.XLOOKUP(VALUE(H187),Sheet2!$A$1:$A$25,Sheet2!$C$1:$C$25)</f>
        <v>20</v>
      </c>
      <c r="J187">
        <f t="shared" ref="J187:J211" si="34">ROUNDUP(F187/I187,0)</f>
        <v>1</v>
      </c>
      <c r="K187">
        <f t="shared" ref="K187:K211" si="35">ROUNDDOWN(C187/J187,0)</f>
        <v>250</v>
      </c>
      <c r="L187" s="2" t="str">
        <f t="shared" ref="L187:L211" si="36">_xlfn.TEXTJOIN("_",TRUE,K187,H187,J187)</f>
        <v>250_1023001_1</v>
      </c>
    </row>
    <row r="188" customFormat="1" spans="1:12">
      <c r="B188" t="str">
        <v>166_1023002_1</v>
      </c>
      <c r="C188" t="str" cm="1">
        <f t="array" ref="C188:E188">_xlfn.TEXTSPLIT(B188,"_",)</f>
        <v>166</v>
      </c>
      <c r="D188" t="str">
        <v>1023002</v>
      </c>
      <c r="E188" t="str">
        <v>1</v>
      </c>
      <c r="F188">
        <f>_xlfn.XLOOKUP(VALUE(D188),Sheet2!$A$1:$A$25,Sheet2!$C$1:$C$25)</f>
        <v>30</v>
      </c>
      <c r="G188">
        <f t="shared" si="33"/>
        <v>1023002</v>
      </c>
      <c r="H188">
        <f>_xlfn.XLOOKUP(G188,Sheet2!A:A,Sheet2!B:B)</f>
        <v>1023001</v>
      </c>
      <c r="I188">
        <f>_xlfn.XLOOKUP(VALUE(H188),Sheet2!$A$1:$A$25,Sheet2!$C$1:$C$25)</f>
        <v>20</v>
      </c>
      <c r="J188">
        <f t="shared" si="34"/>
        <v>2</v>
      </c>
      <c r="K188">
        <f t="shared" si="35"/>
        <v>83</v>
      </c>
      <c r="L188" s="2" t="str">
        <f t="shared" si="36"/>
        <v>83_1023001_2</v>
      </c>
    </row>
    <row r="189" customFormat="1" spans="1:12">
      <c r="B189" t="str">
        <v>125_1023003_1</v>
      </c>
      <c r="C189" t="str" cm="1">
        <f t="array" ref="C189:E189">_xlfn.TEXTSPLIT(B189,"_",)</f>
        <v>125</v>
      </c>
      <c r="D189" t="str">
        <v>1023003</v>
      </c>
      <c r="E189" t="str">
        <v>1</v>
      </c>
      <c r="F189">
        <f>_xlfn.XLOOKUP(VALUE(D189),Sheet2!$A$1:$A$25,Sheet2!$C$1:$C$25)</f>
        <v>40</v>
      </c>
      <c r="G189">
        <f t="shared" si="33"/>
        <v>1023003</v>
      </c>
      <c r="H189">
        <f>_xlfn.XLOOKUP(G189,Sheet2!A:A,Sheet2!B:B)</f>
        <v>1023001</v>
      </c>
      <c r="I189">
        <f>_xlfn.XLOOKUP(VALUE(H189),Sheet2!$A$1:$A$25,Sheet2!$C$1:$C$25)</f>
        <v>20</v>
      </c>
      <c r="J189">
        <f t="shared" si="34"/>
        <v>2</v>
      </c>
      <c r="K189">
        <f t="shared" si="35"/>
        <v>62</v>
      </c>
      <c r="L189" s="2" t="str">
        <f t="shared" si="36"/>
        <v>62_1023001_2</v>
      </c>
    </row>
    <row r="190" customFormat="1" spans="1:12">
      <c r="B190" t="str">
        <v>833_1023004_1</v>
      </c>
      <c r="C190" t="str" cm="1">
        <f t="array" ref="C190:E190">_xlfn.TEXTSPLIT(B190,"_",)</f>
        <v>833</v>
      </c>
      <c r="D190" t="str">
        <v>1023004</v>
      </c>
      <c r="E190" t="str">
        <v>1</v>
      </c>
      <c r="F190">
        <f>_xlfn.XLOOKUP(VALUE(D190),Sheet2!$A$1:$A$25,Sheet2!$C$1:$C$25)</f>
        <v>60</v>
      </c>
      <c r="G190">
        <f t="shared" si="33"/>
        <v>1023004</v>
      </c>
      <c r="H190">
        <f>_xlfn.XLOOKUP(G190,Sheet2!A:A,Sheet2!B:B)</f>
        <v>1023001</v>
      </c>
      <c r="I190">
        <f>_xlfn.XLOOKUP(VALUE(H190),Sheet2!$A$1:$A$25,Sheet2!$C$1:$C$25)</f>
        <v>20</v>
      </c>
      <c r="J190">
        <f t="shared" si="34"/>
        <v>3</v>
      </c>
      <c r="K190">
        <f t="shared" si="35"/>
        <v>277</v>
      </c>
      <c r="L190" s="2" t="str">
        <f t="shared" si="36"/>
        <v>277_1023001_3</v>
      </c>
    </row>
    <row r="191" customFormat="1" spans="1:12">
      <c r="B191" t="str">
        <v>417_1023005_1</v>
      </c>
      <c r="C191" t="str" cm="1">
        <f t="array" ref="C191:E191">_xlfn.TEXTSPLIT(B191,"_",)</f>
        <v>417</v>
      </c>
      <c r="D191" t="str">
        <v>1023005</v>
      </c>
      <c r="E191" t="str">
        <v>1</v>
      </c>
      <c r="F191">
        <f>_xlfn.XLOOKUP(VALUE(D191),Sheet2!$A$1:$A$25,Sheet2!$C$1:$C$25)</f>
        <v>120</v>
      </c>
      <c r="G191">
        <f t="shared" si="33"/>
        <v>1023005</v>
      </c>
      <c r="H191">
        <f>_xlfn.XLOOKUP(G191,Sheet2!A:A,Sheet2!B:B)</f>
        <v>1023001</v>
      </c>
      <c r="I191">
        <f>_xlfn.XLOOKUP(VALUE(H191),Sheet2!$A$1:$A$25,Sheet2!$C$1:$C$25)</f>
        <v>20</v>
      </c>
      <c r="J191">
        <f t="shared" si="34"/>
        <v>6</v>
      </c>
      <c r="K191">
        <f t="shared" si="35"/>
        <v>69</v>
      </c>
      <c r="L191" s="2" t="str">
        <f t="shared" si="36"/>
        <v>69_1023001_6</v>
      </c>
    </row>
    <row r="192" customFormat="1" spans="1:12">
      <c r="B192" t="str">
        <v>83_1023101_1</v>
      </c>
      <c r="C192" t="str" cm="1">
        <f t="array" ref="C192:E192">_xlfn.TEXTSPLIT(B192,"_",)</f>
        <v>83</v>
      </c>
      <c r="D192" t="str">
        <v>1023101</v>
      </c>
      <c r="E192" t="str">
        <v>1</v>
      </c>
      <c r="F192">
        <f>_xlfn.XLOOKUP(VALUE(D192),Sheet2!$A$1:$A$25,Sheet2!$C$1:$C$25)</f>
        <v>60</v>
      </c>
      <c r="G192">
        <f t="shared" si="33"/>
        <v>1023101</v>
      </c>
      <c r="H192">
        <f>_xlfn.XLOOKUP(G192,Sheet2!A:A,Sheet2!B:B)</f>
        <v>1023101</v>
      </c>
      <c r="I192">
        <f>_xlfn.XLOOKUP(VALUE(H192),Sheet2!$A$1:$A$25,Sheet2!$C$1:$C$25)</f>
        <v>60</v>
      </c>
      <c r="J192">
        <f t="shared" si="34"/>
        <v>1</v>
      </c>
      <c r="K192">
        <f t="shared" si="35"/>
        <v>83</v>
      </c>
      <c r="L192" s="2" t="str">
        <f t="shared" si="36"/>
        <v>83_1023101_1</v>
      </c>
    </row>
    <row r="193" customFormat="1" spans="2:12">
      <c r="B193" t="str">
        <v>55_1023102_1</v>
      </c>
      <c r="C193" t="str" cm="1">
        <f t="array" ref="C193:E193">_xlfn.TEXTSPLIT(B193,"_",)</f>
        <v>55</v>
      </c>
      <c r="D193" t="str">
        <v>1023102</v>
      </c>
      <c r="E193" t="str">
        <v>1</v>
      </c>
      <c r="F193">
        <f>_xlfn.XLOOKUP(VALUE(D193),Sheet2!$A$1:$A$25,Sheet2!$C$1:$C$25)</f>
        <v>90</v>
      </c>
      <c r="G193">
        <f t="shared" si="33"/>
        <v>1023102</v>
      </c>
      <c r="H193">
        <f>_xlfn.XLOOKUP(G193,Sheet2!A:A,Sheet2!B:B)</f>
        <v>1023101</v>
      </c>
      <c r="I193">
        <f>_xlfn.XLOOKUP(VALUE(H193),Sheet2!$A$1:$A$25,Sheet2!$C$1:$C$25)</f>
        <v>60</v>
      </c>
      <c r="J193">
        <f t="shared" si="34"/>
        <v>2</v>
      </c>
      <c r="K193">
        <f t="shared" si="35"/>
        <v>27</v>
      </c>
      <c r="L193" s="2" t="str">
        <f t="shared" si="36"/>
        <v>27_1023101_2</v>
      </c>
    </row>
    <row r="194" customFormat="1" spans="2:12">
      <c r="B194" t="str">
        <v>41_1023103_1</v>
      </c>
      <c r="C194" t="str" cm="1">
        <f t="array" ref="C194:E194">_xlfn.TEXTSPLIT(B194,"_",)</f>
        <v>41</v>
      </c>
      <c r="D194" t="str">
        <v>1023103</v>
      </c>
      <c r="E194" t="str">
        <v>1</v>
      </c>
      <c r="F194">
        <f>_xlfn.XLOOKUP(VALUE(D194),Sheet2!$A$1:$A$25,Sheet2!$C$1:$C$25)</f>
        <v>120</v>
      </c>
      <c r="G194">
        <f t="shared" si="33"/>
        <v>1023103</v>
      </c>
      <c r="H194">
        <f>_xlfn.XLOOKUP(G194,Sheet2!A:A,Sheet2!B:B)</f>
        <v>1023101</v>
      </c>
      <c r="I194">
        <f>_xlfn.XLOOKUP(VALUE(H194),Sheet2!$A$1:$A$25,Sheet2!$C$1:$C$25)</f>
        <v>60</v>
      </c>
      <c r="J194">
        <f t="shared" si="34"/>
        <v>2</v>
      </c>
      <c r="K194">
        <f t="shared" si="35"/>
        <v>20</v>
      </c>
      <c r="L194" s="2" t="str">
        <f t="shared" si="36"/>
        <v>20_1023101_2</v>
      </c>
    </row>
    <row r="195" customFormat="1" spans="2:12">
      <c r="B195" t="str">
        <v>278_1023104_1</v>
      </c>
      <c r="C195" t="str" cm="1">
        <f t="array" ref="C195:E195">_xlfn.TEXTSPLIT(B195,"_",)</f>
        <v>278</v>
      </c>
      <c r="D195" t="str">
        <v>1023104</v>
      </c>
      <c r="E195" t="str">
        <v>1</v>
      </c>
      <c r="F195">
        <f>_xlfn.XLOOKUP(VALUE(D195),Sheet2!$A$1:$A$25,Sheet2!$C$1:$C$25)</f>
        <v>180</v>
      </c>
      <c r="G195">
        <f t="shared" si="33"/>
        <v>1023104</v>
      </c>
      <c r="H195">
        <f>_xlfn.XLOOKUP(G195,Sheet2!A:A,Sheet2!B:B)</f>
        <v>1023101</v>
      </c>
      <c r="I195">
        <f>_xlfn.XLOOKUP(VALUE(H195),Sheet2!$A$1:$A$25,Sheet2!$C$1:$C$25)</f>
        <v>60</v>
      </c>
      <c r="J195">
        <f t="shared" si="34"/>
        <v>3</v>
      </c>
      <c r="K195">
        <f t="shared" si="35"/>
        <v>92</v>
      </c>
      <c r="L195" s="2" t="str">
        <f t="shared" si="36"/>
        <v>92_1023101_3</v>
      </c>
    </row>
    <row r="196" customFormat="1" spans="2:12">
      <c r="B196" t="str">
        <v>139_1023105_1</v>
      </c>
      <c r="C196" t="str" cm="1">
        <f t="array" ref="C196:E196">_xlfn.TEXTSPLIT(B196,"_",)</f>
        <v>139</v>
      </c>
      <c r="D196" t="str">
        <v>1023105</v>
      </c>
      <c r="E196" t="str">
        <v>1</v>
      </c>
      <c r="F196">
        <f>_xlfn.XLOOKUP(VALUE(D196),Sheet2!$A$1:$A$25,Sheet2!$C$1:$C$25)</f>
        <v>360</v>
      </c>
      <c r="G196">
        <f t="shared" si="33"/>
        <v>1023105</v>
      </c>
      <c r="H196">
        <f>_xlfn.XLOOKUP(G196,Sheet2!A:A,Sheet2!B:B)</f>
        <v>1023101</v>
      </c>
      <c r="I196">
        <f>_xlfn.XLOOKUP(VALUE(H196),Sheet2!$A$1:$A$25,Sheet2!$C$1:$C$25)</f>
        <v>60</v>
      </c>
      <c r="J196">
        <f t="shared" si="34"/>
        <v>6</v>
      </c>
      <c r="K196">
        <f t="shared" si="35"/>
        <v>23</v>
      </c>
      <c r="L196" s="2" t="str">
        <f t="shared" si="36"/>
        <v>23_1023101_6</v>
      </c>
    </row>
    <row r="197" customFormat="1" spans="2:12">
      <c r="B197" t="str">
        <v>20_1023201_1</v>
      </c>
      <c r="C197" t="str" cm="1">
        <f t="array" ref="C197:E197">_xlfn.TEXTSPLIT(B197,"_",)</f>
        <v>20</v>
      </c>
      <c r="D197" t="str">
        <v>1023201</v>
      </c>
      <c r="E197" t="str">
        <v>1</v>
      </c>
      <c r="F197">
        <f>_xlfn.XLOOKUP(VALUE(D197),Sheet2!$A$1:$A$25,Sheet2!$C$1:$C$25)</f>
        <v>240</v>
      </c>
      <c r="G197">
        <f t="shared" si="33"/>
        <v>1023201</v>
      </c>
      <c r="H197">
        <f>_xlfn.XLOOKUP(G197,Sheet2!A:A,Sheet2!B:B)</f>
        <v>1023201</v>
      </c>
      <c r="I197">
        <f>_xlfn.XLOOKUP(VALUE(H197),Sheet2!$A$1:$A$25,Sheet2!$C$1:$C$25)</f>
        <v>240</v>
      </c>
      <c r="J197">
        <f t="shared" si="34"/>
        <v>1</v>
      </c>
      <c r="K197">
        <f t="shared" si="35"/>
        <v>20</v>
      </c>
      <c r="L197" s="2" t="str">
        <f t="shared" si="36"/>
        <v>20_1023201_1</v>
      </c>
    </row>
    <row r="198" customFormat="1" spans="2:12">
      <c r="B198" t="str">
        <v>13_1023202_1</v>
      </c>
      <c r="C198" t="str" cm="1">
        <f t="array" ref="C198:E198">_xlfn.TEXTSPLIT(B198,"_",)</f>
        <v>13</v>
      </c>
      <c r="D198" t="str">
        <v>1023202</v>
      </c>
      <c r="E198" t="str">
        <v>1</v>
      </c>
      <c r="F198">
        <f>_xlfn.XLOOKUP(VALUE(D198),Sheet2!$A$1:$A$25,Sheet2!$C$1:$C$25)</f>
        <v>360</v>
      </c>
      <c r="G198">
        <f t="shared" si="33"/>
        <v>1023202</v>
      </c>
      <c r="H198">
        <f>_xlfn.XLOOKUP(G198,Sheet2!A:A,Sheet2!B:B)</f>
        <v>1023201</v>
      </c>
      <c r="I198">
        <f>_xlfn.XLOOKUP(VALUE(H198),Sheet2!$A$1:$A$25,Sheet2!$C$1:$C$25)</f>
        <v>240</v>
      </c>
      <c r="J198">
        <f t="shared" si="34"/>
        <v>2</v>
      </c>
      <c r="K198">
        <f t="shared" si="35"/>
        <v>6</v>
      </c>
      <c r="L198" s="2" t="str">
        <f t="shared" si="36"/>
        <v>6_1023201_2</v>
      </c>
    </row>
    <row r="199" customFormat="1" spans="2:12">
      <c r="B199" t="str">
        <v>10_1023203_1</v>
      </c>
      <c r="C199" t="str" cm="1">
        <f t="array" ref="C199:E199">_xlfn.TEXTSPLIT(B199,"_",)</f>
        <v>10</v>
      </c>
      <c r="D199" t="str">
        <v>1023203</v>
      </c>
      <c r="E199" t="str">
        <v>1</v>
      </c>
      <c r="F199">
        <f>_xlfn.XLOOKUP(VALUE(D199),Sheet2!$A$1:$A$25,Sheet2!$C$1:$C$25)</f>
        <v>480</v>
      </c>
      <c r="G199">
        <f t="shared" si="33"/>
        <v>1023203</v>
      </c>
      <c r="H199">
        <f>_xlfn.XLOOKUP(G199,Sheet2!A:A,Sheet2!B:B)</f>
        <v>1023201</v>
      </c>
      <c r="I199">
        <f>_xlfn.XLOOKUP(VALUE(H199),Sheet2!$A$1:$A$25,Sheet2!$C$1:$C$25)</f>
        <v>240</v>
      </c>
      <c r="J199">
        <f t="shared" si="34"/>
        <v>2</v>
      </c>
      <c r="K199">
        <f t="shared" si="35"/>
        <v>5</v>
      </c>
      <c r="L199" s="2" t="str">
        <f t="shared" si="36"/>
        <v>5_1023201_2</v>
      </c>
    </row>
    <row r="200" customFormat="1" spans="2:12">
      <c r="B200" t="str">
        <v>69_1023204_1</v>
      </c>
      <c r="C200" t="str" cm="1">
        <f t="array" ref="C200:E200">_xlfn.TEXTSPLIT(B200,"_",)</f>
        <v>69</v>
      </c>
      <c r="D200" t="str">
        <v>1023204</v>
      </c>
      <c r="E200" t="str">
        <v>1</v>
      </c>
      <c r="F200">
        <f>_xlfn.XLOOKUP(VALUE(D200),Sheet2!$A$1:$A$25,Sheet2!$C$1:$C$25)</f>
        <v>720</v>
      </c>
      <c r="G200">
        <f t="shared" si="33"/>
        <v>1023204</v>
      </c>
      <c r="H200">
        <f>_xlfn.XLOOKUP(G200,Sheet2!A:A,Sheet2!B:B)</f>
        <v>1023201</v>
      </c>
      <c r="I200">
        <f>_xlfn.XLOOKUP(VALUE(H200),Sheet2!$A$1:$A$25,Sheet2!$C$1:$C$25)</f>
        <v>240</v>
      </c>
      <c r="J200">
        <f t="shared" si="34"/>
        <v>3</v>
      </c>
      <c r="K200">
        <f t="shared" si="35"/>
        <v>23</v>
      </c>
      <c r="L200" s="2" t="str">
        <f t="shared" si="36"/>
        <v>23_1023201_3</v>
      </c>
    </row>
    <row r="201" customFormat="1" spans="2:12">
      <c r="B201" t="str">
        <v>35_1023205_1</v>
      </c>
      <c r="C201" t="str" cm="1">
        <f t="array" ref="C201:E201">_xlfn.TEXTSPLIT(B201,"_",)</f>
        <v>35</v>
      </c>
      <c r="D201" t="str">
        <v>1023205</v>
      </c>
      <c r="E201" t="str">
        <v>1</v>
      </c>
      <c r="F201">
        <f>_xlfn.XLOOKUP(VALUE(D201),Sheet2!$A$1:$A$25,Sheet2!$C$1:$C$25)</f>
        <v>1440</v>
      </c>
      <c r="G201">
        <f t="shared" si="33"/>
        <v>1023205</v>
      </c>
      <c r="H201">
        <f>_xlfn.XLOOKUP(G201,Sheet2!A:A,Sheet2!B:B)</f>
        <v>1023201</v>
      </c>
      <c r="I201">
        <f>_xlfn.XLOOKUP(VALUE(H201),Sheet2!$A$1:$A$25,Sheet2!$C$1:$C$25)</f>
        <v>240</v>
      </c>
      <c r="J201">
        <f t="shared" si="34"/>
        <v>6</v>
      </c>
      <c r="K201">
        <f t="shared" si="35"/>
        <v>5</v>
      </c>
      <c r="L201" s="2" t="str">
        <f t="shared" si="36"/>
        <v>5_1023201_6</v>
      </c>
    </row>
    <row r="202" customFormat="1" spans="2:12">
      <c r="B202" t="str">
        <v>10_1023301_1</v>
      </c>
      <c r="C202" t="str" cm="1">
        <f t="array" ref="C202:E202">_xlfn.TEXTSPLIT(B202,"_",)</f>
        <v>10</v>
      </c>
      <c r="D202" t="str">
        <v>1023301</v>
      </c>
      <c r="E202" t="str">
        <v>1</v>
      </c>
      <c r="F202">
        <f>_xlfn.XLOOKUP(VALUE(D202),Sheet2!$A$1:$A$25,Sheet2!$C$1:$C$25)</f>
        <v>480</v>
      </c>
      <c r="G202">
        <f t="shared" si="33"/>
        <v>1023301</v>
      </c>
      <c r="H202">
        <f>_xlfn.XLOOKUP(G202,Sheet2!A:A,Sheet2!B:B)</f>
        <v>1023301</v>
      </c>
      <c r="I202">
        <f>_xlfn.XLOOKUP(VALUE(H202),Sheet2!$A$1:$A$25,Sheet2!$C$1:$C$25)</f>
        <v>480</v>
      </c>
      <c r="J202">
        <f t="shared" si="34"/>
        <v>1</v>
      </c>
      <c r="K202">
        <f t="shared" si="35"/>
        <v>10</v>
      </c>
      <c r="L202" s="2" t="str">
        <f t="shared" si="36"/>
        <v>10_1023301_1</v>
      </c>
    </row>
    <row r="203" customFormat="1" spans="2:12">
      <c r="B203" t="str">
        <v>6_1023302_1</v>
      </c>
      <c r="C203" t="str" cm="1">
        <f t="array" ref="C203:E203">_xlfn.TEXTSPLIT(B203,"_",)</f>
        <v>6</v>
      </c>
      <c r="D203" t="str">
        <v>1023302</v>
      </c>
      <c r="E203" t="str">
        <v>1</v>
      </c>
      <c r="F203">
        <f>_xlfn.XLOOKUP(VALUE(D203),Sheet2!$A$1:$A$25,Sheet2!$C$1:$C$25)</f>
        <v>720</v>
      </c>
      <c r="G203">
        <f t="shared" si="33"/>
        <v>1023302</v>
      </c>
      <c r="H203">
        <f>_xlfn.XLOOKUP(G203,Sheet2!A:A,Sheet2!B:B)</f>
        <v>1023301</v>
      </c>
      <c r="I203">
        <f>_xlfn.XLOOKUP(VALUE(H203),Sheet2!$A$1:$A$25,Sheet2!$C$1:$C$25)</f>
        <v>480</v>
      </c>
      <c r="J203">
        <f t="shared" si="34"/>
        <v>2</v>
      </c>
      <c r="K203">
        <f t="shared" si="35"/>
        <v>3</v>
      </c>
      <c r="L203" s="2" t="str">
        <f t="shared" si="36"/>
        <v>3_1023301_2</v>
      </c>
    </row>
    <row r="204" customFormat="1" spans="2:12">
      <c r="B204" t="str">
        <v>5_1023303_1</v>
      </c>
      <c r="C204" t="str" cm="1">
        <f t="array" ref="C204:E204">_xlfn.TEXTSPLIT(B204,"_",)</f>
        <v>5</v>
      </c>
      <c r="D204" t="str">
        <v>1023303</v>
      </c>
      <c r="E204" t="str">
        <v>1</v>
      </c>
      <c r="F204">
        <f>_xlfn.XLOOKUP(VALUE(D204),Sheet2!$A$1:$A$25,Sheet2!$C$1:$C$25)</f>
        <v>960</v>
      </c>
      <c r="G204">
        <f t="shared" si="33"/>
        <v>1023303</v>
      </c>
      <c r="H204">
        <f>_xlfn.XLOOKUP(G204,Sheet2!A:A,Sheet2!B:B)</f>
        <v>1023301</v>
      </c>
      <c r="I204">
        <f>_xlfn.XLOOKUP(VALUE(H204),Sheet2!$A$1:$A$25,Sheet2!$C$1:$C$25)</f>
        <v>480</v>
      </c>
      <c r="J204">
        <f t="shared" si="34"/>
        <v>2</v>
      </c>
      <c r="K204">
        <f t="shared" si="35"/>
        <v>2</v>
      </c>
      <c r="L204" s="2" t="str">
        <f t="shared" si="36"/>
        <v>2_1023301_2</v>
      </c>
    </row>
    <row r="205" customFormat="1" spans="2:12">
      <c r="B205" t="str">
        <v>35_1023304_1</v>
      </c>
      <c r="C205" t="str" cm="1">
        <f t="array" ref="C205:E205">_xlfn.TEXTSPLIT(B205,"_",)</f>
        <v>35</v>
      </c>
      <c r="D205" t="str">
        <v>1023304</v>
      </c>
      <c r="E205" t="str">
        <v>1</v>
      </c>
      <c r="F205">
        <f>_xlfn.XLOOKUP(VALUE(D205),Sheet2!$A$1:$A$25,Sheet2!$C$1:$C$25)</f>
        <v>1440</v>
      </c>
      <c r="G205">
        <f t="shared" si="33"/>
        <v>1023304</v>
      </c>
      <c r="H205">
        <f>_xlfn.XLOOKUP(G205,Sheet2!A:A,Sheet2!B:B)</f>
        <v>1023301</v>
      </c>
      <c r="I205">
        <f>_xlfn.XLOOKUP(VALUE(H205),Sheet2!$A$1:$A$25,Sheet2!$C$1:$C$25)</f>
        <v>480</v>
      </c>
      <c r="J205">
        <f t="shared" si="34"/>
        <v>3</v>
      </c>
      <c r="K205">
        <f t="shared" si="35"/>
        <v>11</v>
      </c>
      <c r="L205" s="2" t="str">
        <f t="shared" si="36"/>
        <v>11_1023301_3</v>
      </c>
    </row>
    <row r="206" customFormat="1" spans="2:12">
      <c r="B206" t="str">
        <v>17_1023305_1</v>
      </c>
      <c r="C206" t="str" cm="1">
        <f t="array" ref="C206:E206">_xlfn.TEXTSPLIT(B206,"_",)</f>
        <v>17</v>
      </c>
      <c r="D206" t="str">
        <v>1023305</v>
      </c>
      <c r="E206" t="str">
        <v>1</v>
      </c>
      <c r="F206">
        <f>_xlfn.XLOOKUP(VALUE(D206),Sheet2!$A$1:$A$25,Sheet2!$C$1:$C$25)</f>
        <v>2880</v>
      </c>
      <c r="G206">
        <f t="shared" si="33"/>
        <v>1023305</v>
      </c>
      <c r="H206">
        <f>_xlfn.XLOOKUP(G206,Sheet2!A:A,Sheet2!B:B)</f>
        <v>1023301</v>
      </c>
      <c r="I206">
        <f>_xlfn.XLOOKUP(VALUE(H206),Sheet2!$A$1:$A$25,Sheet2!$C$1:$C$25)</f>
        <v>480</v>
      </c>
      <c r="J206">
        <f t="shared" si="34"/>
        <v>6</v>
      </c>
      <c r="K206">
        <f t="shared" si="35"/>
        <v>2</v>
      </c>
      <c r="L206" s="2" t="str">
        <f t="shared" si="36"/>
        <v>2_1023301_6</v>
      </c>
    </row>
    <row r="207" customFormat="1" spans="2:12">
      <c r="B207" t="str">
        <v>5_1023401_1</v>
      </c>
      <c r="C207" t="str" cm="1">
        <f t="array" ref="C207:E207">_xlfn.TEXTSPLIT(B207,"_",)</f>
        <v>5</v>
      </c>
      <c r="D207" t="str">
        <v>1023401</v>
      </c>
      <c r="E207" t="str">
        <v>1</v>
      </c>
      <c r="F207">
        <f>_xlfn.XLOOKUP(VALUE(D207),Sheet2!$A$1:$A$25,Sheet2!$C$1:$C$25)</f>
        <v>960</v>
      </c>
      <c r="G207">
        <f t="shared" si="33"/>
        <v>1023401</v>
      </c>
      <c r="H207">
        <f>_xlfn.XLOOKUP(G207,Sheet2!A:A,Sheet2!B:B)</f>
        <v>1023401</v>
      </c>
      <c r="I207">
        <f>_xlfn.XLOOKUP(VALUE(H207),Sheet2!$A$1:$A$25,Sheet2!$C$1:$C$25)</f>
        <v>960</v>
      </c>
      <c r="J207">
        <f t="shared" si="34"/>
        <v>1</v>
      </c>
      <c r="K207">
        <f t="shared" si="35"/>
        <v>5</v>
      </c>
      <c r="L207" s="2" t="str">
        <f t="shared" si="36"/>
        <v>5_1023401_1</v>
      </c>
    </row>
    <row r="208" customFormat="1" spans="2:12">
      <c r="B208" t="str">
        <v>3_1023402_1</v>
      </c>
      <c r="C208" t="str" cm="1">
        <f t="array" ref="C208:E208">_xlfn.TEXTSPLIT(B208,"_",)</f>
        <v>3</v>
      </c>
      <c r="D208" t="str">
        <v>1023402</v>
      </c>
      <c r="E208" t="str">
        <v>1</v>
      </c>
      <c r="F208">
        <f>_xlfn.XLOOKUP(VALUE(D208),Sheet2!$A$1:$A$25,Sheet2!$C$1:$C$25)</f>
        <v>1440</v>
      </c>
      <c r="G208">
        <f t="shared" si="33"/>
        <v>1023402</v>
      </c>
      <c r="H208">
        <f>_xlfn.XLOOKUP(G208,Sheet2!A:A,Sheet2!B:B)</f>
        <v>1023401</v>
      </c>
      <c r="I208">
        <f>_xlfn.XLOOKUP(VALUE(H208),Sheet2!$A$1:$A$25,Sheet2!$C$1:$C$25)</f>
        <v>960</v>
      </c>
      <c r="J208">
        <f t="shared" si="34"/>
        <v>2</v>
      </c>
      <c r="K208">
        <f t="shared" si="35"/>
        <v>1</v>
      </c>
      <c r="L208" s="2" t="str">
        <f t="shared" si="36"/>
        <v>1_1023401_2</v>
      </c>
    </row>
    <row r="209" customFormat="1" spans="1:12">
      <c r="B209" t="str">
        <v>2_1023403_1</v>
      </c>
      <c r="C209" t="str" cm="1">
        <f t="array" ref="C209:E209">_xlfn.TEXTSPLIT(B209,"_",)</f>
        <v>2</v>
      </c>
      <c r="D209" t="str">
        <v>1023403</v>
      </c>
      <c r="E209" t="str">
        <v>1</v>
      </c>
      <c r="F209">
        <f>_xlfn.XLOOKUP(VALUE(D209),Sheet2!$A$1:$A$25,Sheet2!$C$1:$C$25)</f>
        <v>1920</v>
      </c>
      <c r="G209">
        <f t="shared" si="33"/>
        <v>1023403</v>
      </c>
      <c r="H209">
        <f>_xlfn.XLOOKUP(G209,Sheet2!A:A,Sheet2!B:B)</f>
        <v>1023401</v>
      </c>
      <c r="I209">
        <f>_xlfn.XLOOKUP(VALUE(H209),Sheet2!$A$1:$A$25,Sheet2!$C$1:$C$25)</f>
        <v>960</v>
      </c>
      <c r="J209">
        <f t="shared" si="34"/>
        <v>2</v>
      </c>
      <c r="K209">
        <f t="shared" si="35"/>
        <v>1</v>
      </c>
      <c r="L209" s="2" t="str">
        <f t="shared" si="36"/>
        <v>1_1023401_2</v>
      </c>
    </row>
    <row r="210" customFormat="1" spans="1:12">
      <c r="B210" t="str">
        <v>17_1023404_1</v>
      </c>
      <c r="C210" t="str" cm="1">
        <f t="array" ref="C210:E210">_xlfn.TEXTSPLIT(B210,"_",)</f>
        <v>17</v>
      </c>
      <c r="D210" t="str">
        <v>1023404</v>
      </c>
      <c r="E210" t="str">
        <v>1</v>
      </c>
      <c r="F210">
        <f>_xlfn.XLOOKUP(VALUE(D210),Sheet2!$A$1:$A$25,Sheet2!$C$1:$C$25)</f>
        <v>2880</v>
      </c>
      <c r="G210">
        <f t="shared" si="33"/>
        <v>1023404</v>
      </c>
      <c r="H210">
        <f>_xlfn.XLOOKUP(G210,Sheet2!A:A,Sheet2!B:B)</f>
        <v>1023401</v>
      </c>
      <c r="I210">
        <f>_xlfn.XLOOKUP(VALUE(H210),Sheet2!$A$1:$A$25,Sheet2!$C$1:$C$25)</f>
        <v>960</v>
      </c>
      <c r="J210">
        <f t="shared" si="34"/>
        <v>3</v>
      </c>
      <c r="K210">
        <f t="shared" si="35"/>
        <v>5</v>
      </c>
      <c r="L210" s="2" t="str">
        <f t="shared" si="36"/>
        <v>5_1023401_3</v>
      </c>
    </row>
    <row r="211" customFormat="1" spans="1:12">
      <c r="B211" t="str">
        <v>9_1023405_1</v>
      </c>
      <c r="C211" t="str" cm="1">
        <f t="array" ref="C211:E211">_xlfn.TEXTSPLIT(B211,"_",)</f>
        <v>9</v>
      </c>
      <c r="D211" t="str">
        <v>1023405</v>
      </c>
      <c r="E211" t="str">
        <v>1</v>
      </c>
      <c r="F211">
        <f>_xlfn.XLOOKUP(VALUE(D211),Sheet2!$A$1:$A$25,Sheet2!$C$1:$C$25)</f>
        <v>5760</v>
      </c>
      <c r="G211">
        <f t="shared" si="33"/>
        <v>1023405</v>
      </c>
      <c r="H211">
        <f>_xlfn.XLOOKUP(G211,Sheet2!A:A,Sheet2!B:B)</f>
        <v>1023401</v>
      </c>
      <c r="I211">
        <f>_xlfn.XLOOKUP(VALUE(H211),Sheet2!$A$1:$A$25,Sheet2!$C$1:$C$25)</f>
        <v>960</v>
      </c>
      <c r="J211">
        <f t="shared" si="34"/>
        <v>6</v>
      </c>
      <c r="K211">
        <f t="shared" si="35"/>
        <v>1</v>
      </c>
      <c r="L211" s="2" t="str">
        <f t="shared" si="36"/>
        <v>1_1023401_6</v>
      </c>
    </row>
    <row r="214" spans="1:12">
      <c r="A214">
        <v>20010150</v>
      </c>
      <c r="B214" t="str">
        <f>_xlfn.XLOOKUP(A214,$A$1:$A$12,$B$1:$B$12)</f>
        <v>250_1023001_1|166_1023002_1|125_1023003_1|83_1023004_1|417_1023005_1|83_1023101_1|55_1023102_1|41_1023103_1|27_1023104_1|139_1023105_1|20_1023201_1|13_1023202_1|10_1023203_1|6_1023204_1|35_1023205_1|10_1023301_1|6_1023302_1|5_1023303_1|3_1023304_1|17_1023305_1|5_1023401_1|3_1023402_1|2_1023403_1|1_1023404_1|9_1023405_1</v>
      </c>
      <c r="L214" t="str">
        <f>_xlfn.TEXTJOIN("|",TRUE,L215:L229)</f>
        <v>250_1023001_1|83_1023001_2|62_1023001_2|27_1023001_3|69_1023001_6|83_1023101_1|27_1023101_2|20_1023101_2|9_1023101_3|23_1023101_6|20_1023201_1|6_1023201_2|5_1023201_2|2_1023201_3|5_1023201_6</v>
      </c>
    </row>
    <row r="215" customFormat="1" spans="1:12">
      <c r="B215" t="str" cm="1">
        <f t="array" ref="B215:B239">_xlfn.TEXTSPLIT(B214,,"|")</f>
        <v>250_1023001_1</v>
      </c>
      <c r="C215" t="str" cm="1">
        <f t="array" ref="C215:E215">_xlfn.TEXTSPLIT(B215,"_",)</f>
        <v>250</v>
      </c>
      <c r="D215" t="str">
        <v>1023001</v>
      </c>
      <c r="E215" t="str">
        <v>1</v>
      </c>
      <c r="F215">
        <f>_xlfn.XLOOKUP(VALUE(D215),Sheet2!$A$1:$A$25,Sheet2!$C$1:$C$25)</f>
        <v>20</v>
      </c>
      <c r="G215">
        <f t="shared" ref="G215:G239" si="37">VALUE(D215)</f>
        <v>1023001</v>
      </c>
      <c r="H215">
        <f>_xlfn.XLOOKUP(G215,Sheet2!A:A,Sheet2!B:B)</f>
        <v>1023001</v>
      </c>
      <c r="I215">
        <f>_xlfn.XLOOKUP(VALUE(H215),Sheet2!$A$1:$A$25,Sheet2!$C$1:$C$25)</f>
        <v>20</v>
      </c>
      <c r="J215">
        <f t="shared" ref="J215:J239" si="38">ROUNDUP(F215/I215,0)</f>
        <v>1</v>
      </c>
      <c r="K215">
        <f>MAX(1,ROUNDDOWN(C215/J215,0))</f>
        <v>250</v>
      </c>
      <c r="L215" s="2" t="str">
        <f t="shared" ref="L215:L239" si="39">_xlfn.TEXTJOIN("_",TRUE,K215,H215,J215)</f>
        <v>250_1023001_1</v>
      </c>
    </row>
    <row r="216" customFormat="1" spans="1:12">
      <c r="B216" t="str">
        <v>166_1023002_1</v>
      </c>
      <c r="C216" t="str" cm="1">
        <f t="array" ref="C216:E216">_xlfn.TEXTSPLIT(B216,"_",)</f>
        <v>166</v>
      </c>
      <c r="D216" t="str">
        <v>1023002</v>
      </c>
      <c r="E216" t="str">
        <v>1</v>
      </c>
      <c r="F216">
        <f>_xlfn.XLOOKUP(VALUE(D216),Sheet2!$A$1:$A$25,Sheet2!$C$1:$C$25)</f>
        <v>30</v>
      </c>
      <c r="G216">
        <f t="shared" si="37"/>
        <v>1023002</v>
      </c>
      <c r="H216">
        <f>_xlfn.XLOOKUP(G216,Sheet2!A:A,Sheet2!B:B)</f>
        <v>1023001</v>
      </c>
      <c r="I216">
        <f>_xlfn.XLOOKUP(VALUE(H216),Sheet2!$A$1:$A$25,Sheet2!$C$1:$C$25)</f>
        <v>20</v>
      </c>
      <c r="J216">
        <f t="shared" si="38"/>
        <v>2</v>
      </c>
      <c r="K216">
        <f t="shared" ref="K216:K239" si="40">MAX(1,ROUNDDOWN(C216/J216,0))</f>
        <v>83</v>
      </c>
      <c r="L216" s="2" t="str">
        <f t="shared" si="39"/>
        <v>83_1023001_2</v>
      </c>
    </row>
    <row r="217" customFormat="1" spans="1:12">
      <c r="B217" t="str">
        <v>125_1023003_1</v>
      </c>
      <c r="C217" t="str" cm="1">
        <f t="array" ref="C217:E217">_xlfn.TEXTSPLIT(B217,"_",)</f>
        <v>125</v>
      </c>
      <c r="D217" t="str">
        <v>1023003</v>
      </c>
      <c r="E217" t="str">
        <v>1</v>
      </c>
      <c r="F217">
        <f>_xlfn.XLOOKUP(VALUE(D217),Sheet2!$A$1:$A$25,Sheet2!$C$1:$C$25)</f>
        <v>40</v>
      </c>
      <c r="G217">
        <f t="shared" si="37"/>
        <v>1023003</v>
      </c>
      <c r="H217">
        <f>_xlfn.XLOOKUP(G217,Sheet2!A:A,Sheet2!B:B)</f>
        <v>1023001</v>
      </c>
      <c r="I217">
        <f>_xlfn.XLOOKUP(VALUE(H217),Sheet2!$A$1:$A$25,Sheet2!$C$1:$C$25)</f>
        <v>20</v>
      </c>
      <c r="J217">
        <f t="shared" si="38"/>
        <v>2</v>
      </c>
      <c r="K217">
        <f t="shared" si="40"/>
        <v>62</v>
      </c>
      <c r="L217" s="2" t="str">
        <f t="shared" si="39"/>
        <v>62_1023001_2</v>
      </c>
    </row>
    <row r="218" customFormat="1" spans="1:12">
      <c r="B218" t="str">
        <v>83_1023004_1</v>
      </c>
      <c r="C218" t="str" cm="1">
        <f t="array" ref="C218:E218">_xlfn.TEXTSPLIT(B218,"_",)</f>
        <v>83</v>
      </c>
      <c r="D218" t="str">
        <v>1023004</v>
      </c>
      <c r="E218" t="str">
        <v>1</v>
      </c>
      <c r="F218">
        <f>_xlfn.XLOOKUP(VALUE(D218),Sheet2!$A$1:$A$25,Sheet2!$C$1:$C$25)</f>
        <v>60</v>
      </c>
      <c r="G218">
        <f t="shared" si="37"/>
        <v>1023004</v>
      </c>
      <c r="H218">
        <f>_xlfn.XLOOKUP(G218,Sheet2!A:A,Sheet2!B:B)</f>
        <v>1023001</v>
      </c>
      <c r="I218">
        <f>_xlfn.XLOOKUP(VALUE(H218),Sheet2!$A$1:$A$25,Sheet2!$C$1:$C$25)</f>
        <v>20</v>
      </c>
      <c r="J218">
        <f t="shared" si="38"/>
        <v>3</v>
      </c>
      <c r="K218">
        <f t="shared" si="40"/>
        <v>27</v>
      </c>
      <c r="L218" s="2" t="str">
        <f t="shared" si="39"/>
        <v>27_1023001_3</v>
      </c>
    </row>
    <row r="219" customFormat="1" spans="1:12">
      <c r="B219" t="str">
        <v>417_1023005_1</v>
      </c>
      <c r="C219" t="str" cm="1">
        <f t="array" ref="C219:E219">_xlfn.TEXTSPLIT(B219,"_",)</f>
        <v>417</v>
      </c>
      <c r="D219" t="str">
        <v>1023005</v>
      </c>
      <c r="E219" t="str">
        <v>1</v>
      </c>
      <c r="F219">
        <f>_xlfn.XLOOKUP(VALUE(D219),Sheet2!$A$1:$A$25,Sheet2!$C$1:$C$25)</f>
        <v>120</v>
      </c>
      <c r="G219">
        <f t="shared" si="37"/>
        <v>1023005</v>
      </c>
      <c r="H219">
        <f>_xlfn.XLOOKUP(G219,Sheet2!A:A,Sheet2!B:B)</f>
        <v>1023001</v>
      </c>
      <c r="I219">
        <f>_xlfn.XLOOKUP(VALUE(H219),Sheet2!$A$1:$A$25,Sheet2!$C$1:$C$25)</f>
        <v>20</v>
      </c>
      <c r="J219">
        <f t="shared" si="38"/>
        <v>6</v>
      </c>
      <c r="K219">
        <f t="shared" si="40"/>
        <v>69</v>
      </c>
      <c r="L219" s="2" t="str">
        <f t="shared" si="39"/>
        <v>69_1023001_6</v>
      </c>
    </row>
    <row r="220" customFormat="1" spans="1:12">
      <c r="B220" t="str">
        <v>83_1023101_1</v>
      </c>
      <c r="C220" t="str" cm="1">
        <f t="array" ref="C220:E220">_xlfn.TEXTSPLIT(B220,"_",)</f>
        <v>83</v>
      </c>
      <c r="D220" t="str">
        <v>1023101</v>
      </c>
      <c r="E220" t="str">
        <v>1</v>
      </c>
      <c r="F220">
        <f>_xlfn.XLOOKUP(VALUE(D220),Sheet2!$A$1:$A$25,Sheet2!$C$1:$C$25)</f>
        <v>60</v>
      </c>
      <c r="G220">
        <f t="shared" si="37"/>
        <v>1023101</v>
      </c>
      <c r="H220">
        <f>_xlfn.XLOOKUP(G220,Sheet2!A:A,Sheet2!B:B)</f>
        <v>1023101</v>
      </c>
      <c r="I220">
        <f>_xlfn.XLOOKUP(VALUE(H220),Sheet2!$A$1:$A$25,Sheet2!$C$1:$C$25)</f>
        <v>60</v>
      </c>
      <c r="J220">
        <f t="shared" si="38"/>
        <v>1</v>
      </c>
      <c r="K220">
        <f t="shared" si="40"/>
        <v>83</v>
      </c>
      <c r="L220" s="2" t="str">
        <f t="shared" si="39"/>
        <v>83_1023101_1</v>
      </c>
    </row>
    <row r="221" customFormat="1" spans="1:12">
      <c r="B221" t="str">
        <v>55_1023102_1</v>
      </c>
      <c r="C221" t="str" cm="1">
        <f t="array" ref="C221:E221">_xlfn.TEXTSPLIT(B221,"_",)</f>
        <v>55</v>
      </c>
      <c r="D221" t="str">
        <v>1023102</v>
      </c>
      <c r="E221" t="str">
        <v>1</v>
      </c>
      <c r="F221">
        <f>_xlfn.XLOOKUP(VALUE(D221),Sheet2!$A$1:$A$25,Sheet2!$C$1:$C$25)</f>
        <v>90</v>
      </c>
      <c r="G221">
        <f t="shared" si="37"/>
        <v>1023102</v>
      </c>
      <c r="H221">
        <f>_xlfn.XLOOKUP(G221,Sheet2!A:A,Sheet2!B:B)</f>
        <v>1023101</v>
      </c>
      <c r="I221">
        <f>_xlfn.XLOOKUP(VALUE(H221),Sheet2!$A$1:$A$25,Sheet2!$C$1:$C$25)</f>
        <v>60</v>
      </c>
      <c r="J221">
        <f t="shared" si="38"/>
        <v>2</v>
      </c>
      <c r="K221">
        <f t="shared" si="40"/>
        <v>27</v>
      </c>
      <c r="L221" s="2" t="str">
        <f t="shared" si="39"/>
        <v>27_1023101_2</v>
      </c>
    </row>
    <row r="222" customFormat="1" spans="1:12">
      <c r="B222" t="str">
        <v>41_1023103_1</v>
      </c>
      <c r="C222" t="str" cm="1">
        <f t="array" ref="C222:E222">_xlfn.TEXTSPLIT(B222,"_",)</f>
        <v>41</v>
      </c>
      <c r="D222" t="str">
        <v>1023103</v>
      </c>
      <c r="E222" t="str">
        <v>1</v>
      </c>
      <c r="F222">
        <f>_xlfn.XLOOKUP(VALUE(D222),Sheet2!$A$1:$A$25,Sheet2!$C$1:$C$25)</f>
        <v>120</v>
      </c>
      <c r="G222">
        <f t="shared" si="37"/>
        <v>1023103</v>
      </c>
      <c r="H222">
        <f>_xlfn.XLOOKUP(G222,Sheet2!A:A,Sheet2!B:B)</f>
        <v>1023101</v>
      </c>
      <c r="I222">
        <f>_xlfn.XLOOKUP(VALUE(H222),Sheet2!$A$1:$A$25,Sheet2!$C$1:$C$25)</f>
        <v>60</v>
      </c>
      <c r="J222">
        <f t="shared" si="38"/>
        <v>2</v>
      </c>
      <c r="K222">
        <f t="shared" si="40"/>
        <v>20</v>
      </c>
      <c r="L222" s="2" t="str">
        <f t="shared" si="39"/>
        <v>20_1023101_2</v>
      </c>
    </row>
    <row r="223" customFormat="1" spans="1:12">
      <c r="B223" t="str">
        <v>27_1023104_1</v>
      </c>
      <c r="C223" t="str" cm="1">
        <f t="array" ref="C223:E223">_xlfn.TEXTSPLIT(B223,"_",)</f>
        <v>27</v>
      </c>
      <c r="D223" t="str">
        <v>1023104</v>
      </c>
      <c r="E223" t="str">
        <v>1</v>
      </c>
      <c r="F223">
        <f>_xlfn.XLOOKUP(VALUE(D223),Sheet2!$A$1:$A$25,Sheet2!$C$1:$C$25)</f>
        <v>180</v>
      </c>
      <c r="G223">
        <f t="shared" si="37"/>
        <v>1023104</v>
      </c>
      <c r="H223">
        <f>_xlfn.XLOOKUP(G223,Sheet2!A:A,Sheet2!B:B)</f>
        <v>1023101</v>
      </c>
      <c r="I223">
        <f>_xlfn.XLOOKUP(VALUE(H223),Sheet2!$A$1:$A$25,Sheet2!$C$1:$C$25)</f>
        <v>60</v>
      </c>
      <c r="J223">
        <f t="shared" si="38"/>
        <v>3</v>
      </c>
      <c r="K223">
        <f t="shared" si="40"/>
        <v>9</v>
      </c>
      <c r="L223" s="2" t="str">
        <f t="shared" si="39"/>
        <v>9_1023101_3</v>
      </c>
    </row>
    <row r="224" customFormat="1" spans="1:12">
      <c r="B224" t="str">
        <v>139_1023105_1</v>
      </c>
      <c r="C224" t="str" cm="1">
        <f t="array" ref="C224:E224">_xlfn.TEXTSPLIT(B224,"_",)</f>
        <v>139</v>
      </c>
      <c r="D224" t="str">
        <v>1023105</v>
      </c>
      <c r="E224" t="str">
        <v>1</v>
      </c>
      <c r="F224">
        <f>_xlfn.XLOOKUP(VALUE(D224),Sheet2!$A$1:$A$25,Sheet2!$C$1:$C$25)</f>
        <v>360</v>
      </c>
      <c r="G224">
        <f t="shared" si="37"/>
        <v>1023105</v>
      </c>
      <c r="H224">
        <f>_xlfn.XLOOKUP(G224,Sheet2!A:A,Sheet2!B:B)</f>
        <v>1023101</v>
      </c>
      <c r="I224">
        <f>_xlfn.XLOOKUP(VALUE(H224),Sheet2!$A$1:$A$25,Sheet2!$C$1:$C$25)</f>
        <v>60</v>
      </c>
      <c r="J224">
        <f t="shared" si="38"/>
        <v>6</v>
      </c>
      <c r="K224">
        <f t="shared" si="40"/>
        <v>23</v>
      </c>
      <c r="L224" s="2" t="str">
        <f t="shared" si="39"/>
        <v>23_1023101_6</v>
      </c>
    </row>
    <row r="225" customFormat="1" spans="2:12">
      <c r="B225" t="str">
        <v>20_1023201_1</v>
      </c>
      <c r="C225" t="str" cm="1">
        <f t="array" ref="C225:E225">_xlfn.TEXTSPLIT(B225,"_",)</f>
        <v>20</v>
      </c>
      <c r="D225" t="str">
        <v>1023201</v>
      </c>
      <c r="E225" t="str">
        <v>1</v>
      </c>
      <c r="F225">
        <f>_xlfn.XLOOKUP(VALUE(D225),Sheet2!$A$1:$A$25,Sheet2!$C$1:$C$25)</f>
        <v>240</v>
      </c>
      <c r="G225">
        <f t="shared" si="37"/>
        <v>1023201</v>
      </c>
      <c r="H225">
        <f>_xlfn.XLOOKUP(G225,Sheet2!A:A,Sheet2!B:B)</f>
        <v>1023201</v>
      </c>
      <c r="I225">
        <f>_xlfn.XLOOKUP(VALUE(H225),Sheet2!$A$1:$A$25,Sheet2!$C$1:$C$25)</f>
        <v>240</v>
      </c>
      <c r="J225">
        <f t="shared" si="38"/>
        <v>1</v>
      </c>
      <c r="K225">
        <f t="shared" si="40"/>
        <v>20</v>
      </c>
      <c r="L225" s="2" t="str">
        <f t="shared" si="39"/>
        <v>20_1023201_1</v>
      </c>
    </row>
    <row r="226" customFormat="1" spans="2:12">
      <c r="B226" t="str">
        <v>13_1023202_1</v>
      </c>
      <c r="C226" t="str" cm="1">
        <f t="array" ref="C226:E226">_xlfn.TEXTSPLIT(B226,"_",)</f>
        <v>13</v>
      </c>
      <c r="D226" t="str">
        <v>1023202</v>
      </c>
      <c r="E226" t="str">
        <v>1</v>
      </c>
      <c r="F226">
        <f>_xlfn.XLOOKUP(VALUE(D226),Sheet2!$A$1:$A$25,Sheet2!$C$1:$C$25)</f>
        <v>360</v>
      </c>
      <c r="G226">
        <f t="shared" si="37"/>
        <v>1023202</v>
      </c>
      <c r="H226">
        <f>_xlfn.XLOOKUP(G226,Sheet2!A:A,Sheet2!B:B)</f>
        <v>1023201</v>
      </c>
      <c r="I226">
        <f>_xlfn.XLOOKUP(VALUE(H226),Sheet2!$A$1:$A$25,Sheet2!$C$1:$C$25)</f>
        <v>240</v>
      </c>
      <c r="J226">
        <f t="shared" si="38"/>
        <v>2</v>
      </c>
      <c r="K226">
        <f t="shared" si="40"/>
        <v>6</v>
      </c>
      <c r="L226" s="2" t="str">
        <f t="shared" si="39"/>
        <v>6_1023201_2</v>
      </c>
    </row>
    <row r="227" customFormat="1" spans="2:12">
      <c r="B227" t="str">
        <v>10_1023203_1</v>
      </c>
      <c r="C227" t="str" cm="1">
        <f t="array" ref="C227:E227">_xlfn.TEXTSPLIT(B227,"_",)</f>
        <v>10</v>
      </c>
      <c r="D227" t="str">
        <v>1023203</v>
      </c>
      <c r="E227" t="str">
        <v>1</v>
      </c>
      <c r="F227">
        <f>_xlfn.XLOOKUP(VALUE(D227),Sheet2!$A$1:$A$25,Sheet2!$C$1:$C$25)</f>
        <v>480</v>
      </c>
      <c r="G227">
        <f t="shared" si="37"/>
        <v>1023203</v>
      </c>
      <c r="H227">
        <f>_xlfn.XLOOKUP(G227,Sheet2!A:A,Sheet2!B:B)</f>
        <v>1023201</v>
      </c>
      <c r="I227">
        <f>_xlfn.XLOOKUP(VALUE(H227),Sheet2!$A$1:$A$25,Sheet2!$C$1:$C$25)</f>
        <v>240</v>
      </c>
      <c r="J227">
        <f t="shared" si="38"/>
        <v>2</v>
      </c>
      <c r="K227">
        <f t="shared" si="40"/>
        <v>5</v>
      </c>
      <c r="L227" s="2" t="str">
        <f t="shared" si="39"/>
        <v>5_1023201_2</v>
      </c>
    </row>
    <row r="228" customFormat="1" spans="2:12">
      <c r="B228" t="str">
        <v>6_1023204_1</v>
      </c>
      <c r="C228" t="str" cm="1">
        <f t="array" ref="C228:E228">_xlfn.TEXTSPLIT(B228,"_",)</f>
        <v>6</v>
      </c>
      <c r="D228" t="str">
        <v>1023204</v>
      </c>
      <c r="E228" t="str">
        <v>1</v>
      </c>
      <c r="F228">
        <f>_xlfn.XLOOKUP(VALUE(D228),Sheet2!$A$1:$A$25,Sheet2!$C$1:$C$25)</f>
        <v>720</v>
      </c>
      <c r="G228">
        <f t="shared" si="37"/>
        <v>1023204</v>
      </c>
      <c r="H228">
        <f>_xlfn.XLOOKUP(G228,Sheet2!A:A,Sheet2!B:B)</f>
        <v>1023201</v>
      </c>
      <c r="I228">
        <f>_xlfn.XLOOKUP(VALUE(H228),Sheet2!$A$1:$A$25,Sheet2!$C$1:$C$25)</f>
        <v>240</v>
      </c>
      <c r="J228">
        <f t="shared" si="38"/>
        <v>3</v>
      </c>
      <c r="K228">
        <f t="shared" si="40"/>
        <v>2</v>
      </c>
      <c r="L228" s="2" t="str">
        <f t="shared" si="39"/>
        <v>2_1023201_3</v>
      </c>
    </row>
    <row r="229" customFormat="1" spans="2:12">
      <c r="B229" t="str">
        <v>35_1023205_1</v>
      </c>
      <c r="C229" t="str" cm="1">
        <f t="array" ref="C229:E229">_xlfn.TEXTSPLIT(B229,"_",)</f>
        <v>35</v>
      </c>
      <c r="D229" t="str">
        <v>1023205</v>
      </c>
      <c r="E229" t="str">
        <v>1</v>
      </c>
      <c r="F229">
        <f>_xlfn.XLOOKUP(VALUE(D229),Sheet2!$A$1:$A$25,Sheet2!$C$1:$C$25)</f>
        <v>1440</v>
      </c>
      <c r="G229">
        <f t="shared" si="37"/>
        <v>1023205</v>
      </c>
      <c r="H229">
        <f>_xlfn.XLOOKUP(G229,Sheet2!A:A,Sheet2!B:B)</f>
        <v>1023201</v>
      </c>
      <c r="I229">
        <f>_xlfn.XLOOKUP(VALUE(H229),Sheet2!$A$1:$A$25,Sheet2!$C$1:$C$25)</f>
        <v>240</v>
      </c>
      <c r="J229">
        <f t="shared" si="38"/>
        <v>6</v>
      </c>
      <c r="K229">
        <f t="shared" si="40"/>
        <v>5</v>
      </c>
      <c r="L229" s="2" t="str">
        <f t="shared" si="39"/>
        <v>5_1023201_6</v>
      </c>
    </row>
    <row r="230" customFormat="1" spans="2:12">
      <c r="B230" t="str">
        <v>10_1023301_1</v>
      </c>
      <c r="C230" t="str" cm="1">
        <f t="array" ref="C230:E230">_xlfn.TEXTSPLIT(B230,"_",)</f>
        <v>10</v>
      </c>
      <c r="D230" t="str">
        <v>1023301</v>
      </c>
      <c r="E230" t="str">
        <v>1</v>
      </c>
      <c r="F230">
        <f>_xlfn.XLOOKUP(VALUE(D230),Sheet2!$A$1:$A$25,Sheet2!$C$1:$C$25)</f>
        <v>480</v>
      </c>
      <c r="G230">
        <f t="shared" si="37"/>
        <v>1023301</v>
      </c>
      <c r="H230">
        <f>_xlfn.XLOOKUP(G230,Sheet2!A:A,Sheet2!B:B)</f>
        <v>1023301</v>
      </c>
      <c r="I230">
        <f>_xlfn.XLOOKUP(VALUE(H230),Sheet2!$A$1:$A$25,Sheet2!$C$1:$C$25)</f>
        <v>480</v>
      </c>
      <c r="J230">
        <f t="shared" si="38"/>
        <v>1</v>
      </c>
      <c r="K230">
        <f t="shared" si="40"/>
        <v>10</v>
      </c>
      <c r="L230" s="2" t="str">
        <f t="shared" si="39"/>
        <v>10_1023301_1</v>
      </c>
    </row>
    <row r="231" customFormat="1" spans="2:12">
      <c r="B231" t="str">
        <v>6_1023302_1</v>
      </c>
      <c r="C231" t="str" cm="1">
        <f t="array" ref="C231:E231">_xlfn.TEXTSPLIT(B231,"_",)</f>
        <v>6</v>
      </c>
      <c r="D231" t="str">
        <v>1023302</v>
      </c>
      <c r="E231" t="str">
        <v>1</v>
      </c>
      <c r="F231">
        <f>_xlfn.XLOOKUP(VALUE(D231),Sheet2!$A$1:$A$25,Sheet2!$C$1:$C$25)</f>
        <v>720</v>
      </c>
      <c r="G231">
        <f t="shared" si="37"/>
        <v>1023302</v>
      </c>
      <c r="H231">
        <f>_xlfn.XLOOKUP(G231,Sheet2!A:A,Sheet2!B:B)</f>
        <v>1023301</v>
      </c>
      <c r="I231">
        <f>_xlfn.XLOOKUP(VALUE(H231),Sheet2!$A$1:$A$25,Sheet2!$C$1:$C$25)</f>
        <v>480</v>
      </c>
      <c r="J231">
        <f t="shared" si="38"/>
        <v>2</v>
      </c>
      <c r="K231">
        <f t="shared" si="40"/>
        <v>3</v>
      </c>
      <c r="L231" s="2" t="str">
        <f t="shared" si="39"/>
        <v>3_1023301_2</v>
      </c>
    </row>
    <row r="232" customFormat="1" spans="2:12">
      <c r="B232" t="str">
        <v>5_1023303_1</v>
      </c>
      <c r="C232" t="str" cm="1">
        <f t="array" ref="C232:E232">_xlfn.TEXTSPLIT(B232,"_",)</f>
        <v>5</v>
      </c>
      <c r="D232" t="str">
        <v>1023303</v>
      </c>
      <c r="E232" t="str">
        <v>1</v>
      </c>
      <c r="F232">
        <f>_xlfn.XLOOKUP(VALUE(D232),Sheet2!$A$1:$A$25,Sheet2!$C$1:$C$25)</f>
        <v>960</v>
      </c>
      <c r="G232">
        <f t="shared" si="37"/>
        <v>1023303</v>
      </c>
      <c r="H232">
        <f>_xlfn.XLOOKUP(G232,Sheet2!A:A,Sheet2!B:B)</f>
        <v>1023301</v>
      </c>
      <c r="I232">
        <f>_xlfn.XLOOKUP(VALUE(H232),Sheet2!$A$1:$A$25,Sheet2!$C$1:$C$25)</f>
        <v>480</v>
      </c>
      <c r="J232">
        <f t="shared" si="38"/>
        <v>2</v>
      </c>
      <c r="K232">
        <f t="shared" si="40"/>
        <v>2</v>
      </c>
      <c r="L232" s="2" t="str">
        <f t="shared" si="39"/>
        <v>2_1023301_2</v>
      </c>
    </row>
    <row r="233" customFormat="1" spans="2:12">
      <c r="B233" t="str">
        <v>3_1023304_1</v>
      </c>
      <c r="C233" t="str" cm="1">
        <f t="array" ref="C233:E233">_xlfn.TEXTSPLIT(B233,"_",)</f>
        <v>3</v>
      </c>
      <c r="D233" t="str">
        <v>1023304</v>
      </c>
      <c r="E233" t="str">
        <v>1</v>
      </c>
      <c r="F233">
        <f>_xlfn.XLOOKUP(VALUE(D233),Sheet2!$A$1:$A$25,Sheet2!$C$1:$C$25)</f>
        <v>1440</v>
      </c>
      <c r="G233">
        <f t="shared" si="37"/>
        <v>1023304</v>
      </c>
      <c r="H233">
        <f>_xlfn.XLOOKUP(G233,Sheet2!A:A,Sheet2!B:B)</f>
        <v>1023301</v>
      </c>
      <c r="I233">
        <f>_xlfn.XLOOKUP(VALUE(H233),Sheet2!$A$1:$A$25,Sheet2!$C$1:$C$25)</f>
        <v>480</v>
      </c>
      <c r="J233">
        <f t="shared" si="38"/>
        <v>3</v>
      </c>
      <c r="K233">
        <f t="shared" si="40"/>
        <v>1</v>
      </c>
      <c r="L233" s="2" t="str">
        <f t="shared" si="39"/>
        <v>1_1023301_3</v>
      </c>
    </row>
    <row r="234" customFormat="1" spans="2:12">
      <c r="B234" t="str">
        <v>17_1023305_1</v>
      </c>
      <c r="C234" t="str" cm="1">
        <f t="array" ref="C234:E234">_xlfn.TEXTSPLIT(B234,"_",)</f>
        <v>17</v>
      </c>
      <c r="D234" t="str">
        <v>1023305</v>
      </c>
      <c r="E234" t="str">
        <v>1</v>
      </c>
      <c r="F234">
        <f>_xlfn.XLOOKUP(VALUE(D234),Sheet2!$A$1:$A$25,Sheet2!$C$1:$C$25)</f>
        <v>2880</v>
      </c>
      <c r="G234">
        <f t="shared" si="37"/>
        <v>1023305</v>
      </c>
      <c r="H234">
        <f>_xlfn.XLOOKUP(G234,Sheet2!A:A,Sheet2!B:B)</f>
        <v>1023301</v>
      </c>
      <c r="I234">
        <f>_xlfn.XLOOKUP(VALUE(H234),Sheet2!$A$1:$A$25,Sheet2!$C$1:$C$25)</f>
        <v>480</v>
      </c>
      <c r="J234">
        <f t="shared" si="38"/>
        <v>6</v>
      </c>
      <c r="K234">
        <f t="shared" si="40"/>
        <v>2</v>
      </c>
      <c r="L234" s="2" t="str">
        <f t="shared" si="39"/>
        <v>2_1023301_6</v>
      </c>
    </row>
    <row r="235" customFormat="1" spans="2:12">
      <c r="B235" t="str">
        <v>5_1023401_1</v>
      </c>
      <c r="C235" t="str" cm="1">
        <f t="array" ref="C235:E235">_xlfn.TEXTSPLIT(B235,"_",)</f>
        <v>5</v>
      </c>
      <c r="D235" t="str">
        <v>1023401</v>
      </c>
      <c r="E235" t="str">
        <v>1</v>
      </c>
      <c r="F235">
        <f>_xlfn.XLOOKUP(VALUE(D235),Sheet2!$A$1:$A$25,Sheet2!$C$1:$C$25)</f>
        <v>960</v>
      </c>
      <c r="G235">
        <f t="shared" si="37"/>
        <v>1023401</v>
      </c>
      <c r="H235">
        <f>_xlfn.XLOOKUP(G235,Sheet2!A:A,Sheet2!B:B)</f>
        <v>1023401</v>
      </c>
      <c r="I235">
        <f>_xlfn.XLOOKUP(VALUE(H235),Sheet2!$A$1:$A$25,Sheet2!$C$1:$C$25)</f>
        <v>960</v>
      </c>
      <c r="J235">
        <f t="shared" si="38"/>
        <v>1</v>
      </c>
      <c r="K235">
        <f t="shared" si="40"/>
        <v>5</v>
      </c>
      <c r="L235" s="2" t="str">
        <f t="shared" si="39"/>
        <v>5_1023401_1</v>
      </c>
    </row>
    <row r="236" customFormat="1" spans="2:12">
      <c r="B236" t="str">
        <v>3_1023402_1</v>
      </c>
      <c r="C236" t="str" cm="1">
        <f t="array" ref="C236:E236">_xlfn.TEXTSPLIT(B236,"_",)</f>
        <v>3</v>
      </c>
      <c r="D236" t="str">
        <v>1023402</v>
      </c>
      <c r="E236" t="str">
        <v>1</v>
      </c>
      <c r="F236">
        <f>_xlfn.XLOOKUP(VALUE(D236),Sheet2!$A$1:$A$25,Sheet2!$C$1:$C$25)</f>
        <v>1440</v>
      </c>
      <c r="G236">
        <f t="shared" si="37"/>
        <v>1023402</v>
      </c>
      <c r="H236">
        <f>_xlfn.XLOOKUP(G236,Sheet2!A:A,Sheet2!B:B)</f>
        <v>1023401</v>
      </c>
      <c r="I236">
        <f>_xlfn.XLOOKUP(VALUE(H236),Sheet2!$A$1:$A$25,Sheet2!$C$1:$C$25)</f>
        <v>960</v>
      </c>
      <c r="J236">
        <f t="shared" si="38"/>
        <v>2</v>
      </c>
      <c r="K236">
        <f t="shared" si="40"/>
        <v>1</v>
      </c>
      <c r="L236" s="2" t="str">
        <f t="shared" si="39"/>
        <v>1_1023401_2</v>
      </c>
    </row>
    <row r="237" customFormat="1" spans="2:12">
      <c r="B237" t="str">
        <v>2_1023403_1</v>
      </c>
      <c r="C237" t="str" cm="1">
        <f t="array" ref="C237:E237">_xlfn.TEXTSPLIT(B237,"_",)</f>
        <v>2</v>
      </c>
      <c r="D237" t="str">
        <v>1023403</v>
      </c>
      <c r="E237" t="str">
        <v>1</v>
      </c>
      <c r="F237">
        <f>_xlfn.XLOOKUP(VALUE(D237),Sheet2!$A$1:$A$25,Sheet2!$C$1:$C$25)</f>
        <v>1920</v>
      </c>
      <c r="G237">
        <f t="shared" si="37"/>
        <v>1023403</v>
      </c>
      <c r="H237">
        <f>_xlfn.XLOOKUP(G237,Sheet2!A:A,Sheet2!B:B)</f>
        <v>1023401</v>
      </c>
      <c r="I237">
        <f>_xlfn.XLOOKUP(VALUE(H237),Sheet2!$A$1:$A$25,Sheet2!$C$1:$C$25)</f>
        <v>960</v>
      </c>
      <c r="J237">
        <f t="shared" si="38"/>
        <v>2</v>
      </c>
      <c r="K237">
        <f t="shared" si="40"/>
        <v>1</v>
      </c>
      <c r="L237" s="2" t="str">
        <f t="shared" si="39"/>
        <v>1_1023401_2</v>
      </c>
    </row>
    <row r="238" customFormat="1" spans="2:12">
      <c r="B238" t="str">
        <v>1_1023404_1</v>
      </c>
      <c r="C238" t="str" cm="1">
        <f t="array" ref="C238:E238">_xlfn.TEXTSPLIT(B238,"_",)</f>
        <v>1</v>
      </c>
      <c r="D238" t="str">
        <v>1023404</v>
      </c>
      <c r="E238" t="str">
        <v>1</v>
      </c>
      <c r="F238">
        <f>_xlfn.XLOOKUP(VALUE(D238),Sheet2!$A$1:$A$25,Sheet2!$C$1:$C$25)</f>
        <v>2880</v>
      </c>
      <c r="G238">
        <f t="shared" si="37"/>
        <v>1023404</v>
      </c>
      <c r="H238">
        <f>_xlfn.XLOOKUP(G238,Sheet2!A:A,Sheet2!B:B)</f>
        <v>1023401</v>
      </c>
      <c r="I238">
        <f>_xlfn.XLOOKUP(VALUE(H238),Sheet2!$A$1:$A$25,Sheet2!$C$1:$C$25)</f>
        <v>960</v>
      </c>
      <c r="J238">
        <f t="shared" si="38"/>
        <v>3</v>
      </c>
      <c r="K238">
        <f t="shared" si="40"/>
        <v>1</v>
      </c>
      <c r="L238" s="2" t="str">
        <f t="shared" si="39"/>
        <v>1_1023401_3</v>
      </c>
    </row>
    <row r="239" customFormat="1" spans="2:12">
      <c r="B239" t="str">
        <v>9_1023405_1</v>
      </c>
      <c r="C239" t="str" cm="1">
        <f t="array" ref="C239:E239">_xlfn.TEXTSPLIT(B239,"_",)</f>
        <v>9</v>
      </c>
      <c r="D239" t="str">
        <v>1023405</v>
      </c>
      <c r="E239" t="str">
        <v>1</v>
      </c>
      <c r="F239">
        <f>_xlfn.XLOOKUP(VALUE(D239),Sheet2!$A$1:$A$25,Sheet2!$C$1:$C$25)</f>
        <v>5760</v>
      </c>
      <c r="G239">
        <f t="shared" si="37"/>
        <v>1023405</v>
      </c>
      <c r="H239">
        <f>_xlfn.XLOOKUP(G239,Sheet2!A:A,Sheet2!B:B)</f>
        <v>1023401</v>
      </c>
      <c r="I239">
        <f>_xlfn.XLOOKUP(VALUE(H239),Sheet2!$A$1:$A$25,Sheet2!$C$1:$C$25)</f>
        <v>960</v>
      </c>
      <c r="J239">
        <f t="shared" si="38"/>
        <v>6</v>
      </c>
      <c r="K239">
        <f t="shared" si="40"/>
        <v>1</v>
      </c>
      <c r="L239" s="2" t="str">
        <f t="shared" si="39"/>
        <v>1_1023401_6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9"/>
  <sheetViews>
    <sheetView workbookViewId="0">
      <selection activeCell="C1" sqref="C1:C10"/>
    </sheetView>
  </sheetViews>
  <sheetFormatPr defaultColWidth="9" defaultRowHeight="13.5"/>
  <cols>
    <col min="1" max="1" width="9.375"/>
    <col min="2" max="2" width="14.25" customWidth="1"/>
    <col min="3" max="3" width="9.375"/>
  </cols>
  <sheetData>
    <row r="1" spans="1:12">
      <c r="A1">
        <v>20020001</v>
      </c>
      <c r="B1" t="s">
        <v>62</v>
      </c>
      <c r="C1" s="1" t="str">
        <f t="shared" ref="C1:C12" si="0">_xlfn.XLOOKUP(A1,$A$16:$A$222,$L$16:$L$222,B1)</f>
        <v>4450_1023001_4|2960_1023101_2|1480_1023201_1|740_1023301_1|370_1023401_1</v>
      </c>
    </row>
    <row r="2" spans="1:12">
      <c r="A2">
        <v>20020002</v>
      </c>
      <c r="B2" t="s">
        <v>91</v>
      </c>
      <c r="C2" s="1" t="str">
        <f t="shared" si="0"/>
        <v>4450_1023001_6|2960_1023101_3|987_1023201_2|494_1023301_2|247_1023401_2</v>
      </c>
    </row>
    <row r="3" spans="1:12">
      <c r="A3">
        <v>20020003</v>
      </c>
      <c r="B3" t="s">
        <v>92</v>
      </c>
      <c r="C3" s="1" t="str">
        <f t="shared" si="0"/>
        <v>4450_1023001_8|2960_1023101_4|1480_1023201_2|740_1023301_2|370_1023401_2</v>
      </c>
    </row>
    <row r="4" spans="1:12">
      <c r="A4">
        <v>20020004</v>
      </c>
      <c r="B4" t="s">
        <v>93</v>
      </c>
      <c r="C4" s="1" t="str">
        <f t="shared" si="0"/>
        <v>4450_1023001_12|2960_1023101_6|1480_1023201_3|740_1023301_3|370_1023401_3</v>
      </c>
    </row>
    <row r="5" spans="1:12">
      <c r="A5">
        <v>20020005</v>
      </c>
      <c r="B5" t="s">
        <v>94</v>
      </c>
      <c r="C5" s="1" t="str">
        <f t="shared" si="0"/>
        <v>4450_1023001_24|2960_1023101_12|1480_1023201_6|740_1023301_6|370_1023401_6</v>
      </c>
    </row>
    <row r="6" spans="1:12">
      <c r="A6">
        <v>20020011</v>
      </c>
      <c r="B6" t="s">
        <v>66</v>
      </c>
      <c r="C6" s="1" t="str">
        <f t="shared" si="0"/>
        <v>4450_1023001_8|2960_1023101_4|1480_1023201_2|740_1023301_2|370_1023401_2</v>
      </c>
    </row>
    <row r="7" spans="1:12">
      <c r="A7">
        <v>20020012</v>
      </c>
      <c r="B7" t="s">
        <v>95</v>
      </c>
      <c r="C7" s="1" t="str">
        <f t="shared" si="0"/>
        <v>4450_1023001_12|2960_1023101_6|1480_1023201_3|740_1023301_3|370_1023401_3</v>
      </c>
    </row>
    <row r="8" spans="1:12">
      <c r="A8">
        <v>20020013</v>
      </c>
      <c r="B8" t="s">
        <v>96</v>
      </c>
      <c r="C8" s="1" t="str">
        <f t="shared" si="0"/>
        <v>4450_1023001_16|2960_1023101_8|1480_1023201_4|740_1023301_4|370_1023401_4</v>
      </c>
    </row>
    <row r="9" spans="1:12">
      <c r="A9">
        <v>20020014</v>
      </c>
      <c r="B9" t="s">
        <v>97</v>
      </c>
      <c r="C9" s="1" t="str">
        <f t="shared" si="0"/>
        <v>4450_1023001_24|2960_1023101_12|1480_1023201_6|740_1023301_6|370_1023401_6</v>
      </c>
    </row>
    <row r="10" spans="1:12">
      <c r="A10">
        <v>20020015</v>
      </c>
      <c r="B10" t="s">
        <v>98</v>
      </c>
      <c r="C10" s="1" t="str">
        <f t="shared" si="0"/>
        <v>4450_1023001_48|2960_1023101_24|1480_1023201_12|740_1023301_12|370_1023401_12</v>
      </c>
    </row>
    <row r="11" spans="1:12">
      <c r="C11" s="1"/>
    </row>
    <row r="12" spans="1:12">
      <c r="C12" s="1"/>
    </row>
    <row r="15" spans="1:12"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</row>
    <row r="16" spans="1:12">
      <c r="A16">
        <v>20020001</v>
      </c>
      <c r="B16" t="str">
        <f>_xlfn.XLOOKUP(A16,$A$1:$A$12,$B$1:$B$12)</f>
        <v>4450_1023001_4|2960_1023101_2|1480_1023201_1|740_1023301_1|370_1023401_1</v>
      </c>
      <c r="L16" t="str">
        <f>_xlfn.TEXTJOIN("|",TRUE,L17:L26)</f>
        <v>4450_1023001_4|2960_1023101_2|1480_1023201_1|740_1023301_1|370_1023401_1</v>
      </c>
    </row>
    <row r="17" spans="1:15">
      <c r="B17" t="str" cm="1">
        <f t="array" ref="B17:B21">_xlfn.TEXTSPLIT(B16,,"|")</f>
        <v>4450_1023001_4</v>
      </c>
      <c r="C17" t="str" cm="1">
        <f t="array" ref="C17:E17">_xlfn.TEXTSPLIT(B17,"_",)</f>
        <v>4450</v>
      </c>
      <c r="D17" t="str">
        <v>1023001</v>
      </c>
      <c r="E17" t="str">
        <v>4</v>
      </c>
      <c r="F17">
        <f>_xlfn.XLOOKUP(VALUE(D17),Sheet2!$A$1:$A$25,Sheet2!$C$1:$C$25)*E17</f>
        <v>80</v>
      </c>
      <c r="G17">
        <f t="shared" ref="G17:G26" si="1">VALUE(D17)</f>
        <v>1023001</v>
      </c>
      <c r="H17">
        <f>_xlfn.XLOOKUP(G17,Sheet2!A:A,Sheet2!B:B)</f>
        <v>1023001</v>
      </c>
      <c r="I17">
        <f>_xlfn.XLOOKUP(VALUE(H17),Sheet2!$A$1:$A$25,Sheet2!$C$1:$C$25)</f>
        <v>20</v>
      </c>
      <c r="J17">
        <f>ROUNDUP(IF(H17=G17,E17,F17/I17),0)</f>
        <v>4</v>
      </c>
      <c r="K17">
        <f>ROUNDUP(IF(H17=G17,C17,C17),0)</f>
        <v>4450</v>
      </c>
      <c r="L17" s="2" t="str">
        <f t="shared" ref="L17:L26" si="2">_xlfn.TEXTJOIN("_",TRUE,K17,H17,J17)</f>
        <v>4450_1023001_4</v>
      </c>
    </row>
    <row r="18" spans="1:15">
      <c r="B18" t="str">
        <v>2960_1023101_2</v>
      </c>
      <c r="C18" t="str" cm="1">
        <f t="array" ref="C18:E18">_xlfn.TEXTSPLIT(B18,"_",)</f>
        <v>2960</v>
      </c>
      <c r="D18" t="str">
        <v>1023101</v>
      </c>
      <c r="E18" t="str">
        <v>2</v>
      </c>
      <c r="F18">
        <f>_xlfn.XLOOKUP(VALUE(D18),Sheet2!$A$1:$A$25,Sheet2!$C$1:$C$25)*E18</f>
        <v>120</v>
      </c>
      <c r="G18">
        <f t="shared" si="1"/>
        <v>1023101</v>
      </c>
      <c r="H18">
        <f>_xlfn.XLOOKUP(G18,Sheet2!A:A,Sheet2!B:B)</f>
        <v>1023101</v>
      </c>
      <c r="I18">
        <f>_xlfn.XLOOKUP(VALUE(H18),Sheet2!$A$1:$A$25,Sheet2!$C$1:$C$25)</f>
        <v>60</v>
      </c>
      <c r="J18">
        <f>ROUNDUP(IF(H18=G18,E18,F18/I18),0)</f>
        <v>2</v>
      </c>
      <c r="K18">
        <f>ROUNDUP(IF(H18=G18,C18,C18),0)</f>
        <v>2960</v>
      </c>
      <c r="L18" s="2" t="str">
        <f t="shared" si="2"/>
        <v>2960_1023101_2</v>
      </c>
    </row>
    <row r="19" spans="1:15">
      <c r="B19" t="str">
        <v>1480_1023201_1</v>
      </c>
      <c r="C19" t="str" cm="1">
        <f t="array" ref="C19:E19">_xlfn.TEXTSPLIT(B19,"_",)</f>
        <v>1480</v>
      </c>
      <c r="D19" t="str">
        <v>1023201</v>
      </c>
      <c r="E19" t="str">
        <v>1</v>
      </c>
      <c r="F19">
        <f>_xlfn.XLOOKUP(VALUE(D19),Sheet2!$A$1:$A$25,Sheet2!$C$1:$C$25)*E19</f>
        <v>240</v>
      </c>
      <c r="G19">
        <f t="shared" si="1"/>
        <v>1023201</v>
      </c>
      <c r="H19">
        <f>_xlfn.XLOOKUP(G19,Sheet2!A:A,Sheet2!B:B)</f>
        <v>1023201</v>
      </c>
      <c r="I19">
        <f>_xlfn.XLOOKUP(VALUE(H19),Sheet2!$A$1:$A$25,Sheet2!$C$1:$C$25)</f>
        <v>240</v>
      </c>
      <c r="J19">
        <f>ROUNDUP(IF(H19=G19,E19,F19/I19),0)</f>
        <v>1</v>
      </c>
      <c r="K19">
        <f>ROUNDUP(IF(H19=G19,C19,C19),0)</f>
        <v>1480</v>
      </c>
      <c r="L19" s="2" t="str">
        <f t="shared" si="2"/>
        <v>1480_1023201_1</v>
      </c>
    </row>
    <row r="20" spans="1:15">
      <c r="B20" t="str">
        <v>740_1023301_1</v>
      </c>
      <c r="C20" t="str" cm="1">
        <f t="array" ref="C20:E20">_xlfn.TEXTSPLIT(B20,"_",)</f>
        <v>740</v>
      </c>
      <c r="D20" t="str">
        <v>1023301</v>
      </c>
      <c r="E20" t="str">
        <v>1</v>
      </c>
      <c r="F20">
        <f>_xlfn.XLOOKUP(VALUE(D20),Sheet2!$A$1:$A$25,Sheet2!$C$1:$C$25)*E20</f>
        <v>480</v>
      </c>
      <c r="G20">
        <f t="shared" si="1"/>
        <v>1023301</v>
      </c>
      <c r="H20">
        <f>_xlfn.XLOOKUP(G20,Sheet2!A:A,Sheet2!B:B)</f>
        <v>1023301</v>
      </c>
      <c r="I20">
        <f>_xlfn.XLOOKUP(VALUE(H20),Sheet2!$A$1:$A$25,Sheet2!$C$1:$C$25)</f>
        <v>480</v>
      </c>
      <c r="J20">
        <f>ROUNDUP(IF(H20=G20,E20,F20/I20),0)</f>
        <v>1</v>
      </c>
      <c r="K20">
        <f>ROUNDUP(IF(H20=G20,C20,C20),0)</f>
        <v>740</v>
      </c>
      <c r="L20" s="2" t="str">
        <f t="shared" si="2"/>
        <v>740_1023301_1</v>
      </c>
    </row>
    <row r="21" spans="1:15">
      <c r="B21" t="str">
        <v>370_1023401_1</v>
      </c>
      <c r="C21" t="str" cm="1">
        <f t="array" ref="C21:E21">_xlfn.TEXTSPLIT(B21,"_",)</f>
        <v>370</v>
      </c>
      <c r="D21" t="str">
        <v>1023401</v>
      </c>
      <c r="E21" t="str">
        <v>1</v>
      </c>
      <c r="F21">
        <f>_xlfn.XLOOKUP(VALUE(D21),Sheet2!$A$1:$A$25,Sheet2!$C$1:$C$25)*E21</f>
        <v>960</v>
      </c>
      <c r="G21">
        <f t="shared" si="1"/>
        <v>1023401</v>
      </c>
      <c r="H21">
        <f>_xlfn.XLOOKUP(G21,Sheet2!A:A,Sheet2!B:B)</f>
        <v>1023401</v>
      </c>
      <c r="I21">
        <f>_xlfn.XLOOKUP(VALUE(H21),Sheet2!$A$1:$A$25,Sheet2!$C$1:$C$25)</f>
        <v>960</v>
      </c>
      <c r="J21">
        <f>ROUNDUP(IF(H21=G21,E21,F21/I21),0)</f>
        <v>1</v>
      </c>
      <c r="K21">
        <f>ROUNDUP(IF(H21=G21,C21,C21),0)</f>
        <v>370</v>
      </c>
      <c r="L21" s="2" t="str">
        <f t="shared" si="2"/>
        <v>370_1023401_1</v>
      </c>
    </row>
    <row r="22" spans="1:15">
      <c r="L22" s="2"/>
    </row>
    <row r="23" spans="1:15">
      <c r="L23" s="2"/>
    </row>
    <row r="24" spans="1:15">
      <c r="L24" s="2"/>
    </row>
    <row r="25" spans="1:15">
      <c r="L25" s="2"/>
    </row>
    <row r="26" spans="1:15">
      <c r="L26" s="2"/>
    </row>
    <row r="29" spans="1:15">
      <c r="A29">
        <v>20020002</v>
      </c>
      <c r="B29" t="str">
        <f>_xlfn.XLOOKUP(A29,$A$1:$A$12,$B$1:$B$12)</f>
        <v>4450_1023002_4|2960_1023102_2|1480_1023202_1|740_1023302_1|370_1023402_1</v>
      </c>
      <c r="L29" t="str">
        <f>_xlfn.TEXTJOIN("|",TRUE,L30:L44)</f>
        <v>4450_1023001_6|2960_1023101_3|987_1023201_2|494_1023301_2|247_1023401_2</v>
      </c>
    </row>
    <row r="30" customFormat="1" spans="1:15">
      <c r="B30" t="str" cm="1">
        <f t="array" ref="B30:B34">_xlfn.TEXTSPLIT(B29,,"|")</f>
        <v>4450_1023002_4</v>
      </c>
      <c r="C30" t="str" cm="1">
        <f t="array" ref="C30:E30">_xlfn.TEXTSPLIT(B30,"_",)</f>
        <v>4450</v>
      </c>
      <c r="D30" t="str">
        <v>1023002</v>
      </c>
      <c r="E30" t="str">
        <v>4</v>
      </c>
      <c r="F30">
        <f>_xlfn.XLOOKUP(VALUE(D30),Sheet2!$A$1:$A$25,Sheet2!$C$1:$C$25)*E30</f>
        <v>120</v>
      </c>
      <c r="G30">
        <f t="shared" ref="G30:G39" si="3">VALUE(D30)</f>
        <v>1023002</v>
      </c>
      <c r="H30">
        <f>_xlfn.XLOOKUP(G30,Sheet2!A:A,Sheet2!B:B)</f>
        <v>1023001</v>
      </c>
      <c r="I30">
        <f>_xlfn.XLOOKUP(VALUE(H30),Sheet2!$A$1:$A$25,Sheet2!$C$1:$C$25)</f>
        <v>20</v>
      </c>
      <c r="J30">
        <f>ROUNDUP(IF(H30=G30,E30,F30/I30),2)</f>
        <v>6</v>
      </c>
      <c r="K30">
        <f>ROUNDUP(IF(H30=G30,C30,C30),0)</f>
        <v>4450</v>
      </c>
      <c r="L30" s="2" t="str">
        <f>_xlfn.TEXTJOIN("_",TRUE,K30,H30,J30)</f>
        <v>4450_1023001_6</v>
      </c>
    </row>
    <row r="31" spans="1:15">
      <c r="B31" t="str">
        <v>2960_1023102_2</v>
      </c>
      <c r="C31" t="str" cm="1">
        <f t="array" ref="C31:E31">_xlfn.TEXTSPLIT(B31,"_",)</f>
        <v>2960</v>
      </c>
      <c r="D31" t="str">
        <v>1023102</v>
      </c>
      <c r="E31" t="str">
        <v>2</v>
      </c>
      <c r="F31">
        <f>_xlfn.XLOOKUP(VALUE(D31),Sheet2!$A$1:$A$25,Sheet2!$C$1:$C$25)*E31</f>
        <v>180</v>
      </c>
      <c r="G31">
        <f t="shared" si="3"/>
        <v>1023102</v>
      </c>
      <c r="H31">
        <f>_xlfn.XLOOKUP(G31,Sheet2!A:A,Sheet2!B:B)</f>
        <v>1023101</v>
      </c>
      <c r="I31">
        <f>_xlfn.XLOOKUP(VALUE(H31),Sheet2!$A$1:$A$25,Sheet2!$C$1:$C$25)</f>
        <v>60</v>
      </c>
      <c r="J31">
        <f>ROUNDUP(IF(H31=G31,E31,F31/I31),2)</f>
        <v>3</v>
      </c>
      <c r="K31">
        <f>ROUNDUP(IF(H31=G31,C31,C31),0)</f>
        <v>2960</v>
      </c>
      <c r="L31" s="2" t="str">
        <f>_xlfn.TEXTJOIN("_",TRUE,K31,H31,J31)</f>
        <v>2960_1023101_3</v>
      </c>
    </row>
    <row r="32" spans="1:15">
      <c r="B32" t="str">
        <v>1480_1023202_1</v>
      </c>
      <c r="C32" t="str" cm="1">
        <f t="array" ref="C32:E32">_xlfn.TEXTSPLIT(B32,"_",)</f>
        <v>1480</v>
      </c>
      <c r="D32" t="str">
        <v>1023202</v>
      </c>
      <c r="E32" t="str">
        <v>1</v>
      </c>
      <c r="F32">
        <f>_xlfn.XLOOKUP(VALUE(D32),Sheet2!$A$1:$A$25,Sheet2!$C$1:$C$25)*E32</f>
        <v>360</v>
      </c>
      <c r="G32">
        <f t="shared" si="3"/>
        <v>1023202</v>
      </c>
      <c r="H32">
        <f>_xlfn.XLOOKUP(G32,Sheet2!A:A,Sheet2!B:B)</f>
        <v>1023201</v>
      </c>
      <c r="I32">
        <f>_xlfn.XLOOKUP(VALUE(H32),Sheet2!$A$1:$A$25,Sheet2!$C$1:$C$25)</f>
        <v>240</v>
      </c>
      <c r="J32">
        <f>ROUNDUP(IF(H32=G32,E32,F32/I32),2)</f>
        <v>1.5</v>
      </c>
      <c r="K32">
        <f>ROUNDUP(IF(H32=G32,C32,C32/N32),0)</f>
        <v>987</v>
      </c>
      <c r="L32" s="2" t="str">
        <f>_xlfn.TEXTJOIN("_",TRUE,K32,H32,O32)</f>
        <v>987_1023201_2</v>
      </c>
      <c r="N32">
        <v>1.5</v>
      </c>
      <c r="O32">
        <f>ROUNDUP(J32,0)</f>
        <v>2</v>
      </c>
    </row>
    <row r="33" spans="1:15">
      <c r="B33" t="str">
        <v>740_1023302_1</v>
      </c>
      <c r="C33" t="str" cm="1">
        <f t="array" ref="C33:E33">_xlfn.TEXTSPLIT(B33,"_",)</f>
        <v>740</v>
      </c>
      <c r="D33" t="str">
        <v>1023302</v>
      </c>
      <c r="E33" t="str">
        <v>1</v>
      </c>
      <c r="F33">
        <f>_xlfn.XLOOKUP(VALUE(D33),Sheet2!$A$1:$A$25,Sheet2!$C$1:$C$25)*E33</f>
        <v>720</v>
      </c>
      <c r="G33">
        <f t="shared" si="3"/>
        <v>1023302</v>
      </c>
      <c r="H33">
        <f>_xlfn.XLOOKUP(G33,Sheet2!A:A,Sheet2!B:B)</f>
        <v>1023301</v>
      </c>
      <c r="I33">
        <f>_xlfn.XLOOKUP(VALUE(H33),Sheet2!$A$1:$A$25,Sheet2!$C$1:$C$25)</f>
        <v>480</v>
      </c>
      <c r="J33">
        <f>ROUNDUP(IF(H33=G33,E33,F33/I33),2)</f>
        <v>1.5</v>
      </c>
      <c r="K33">
        <f>ROUNDUP(IF(H33=G33,C33,C33/N33),0)</f>
        <v>494</v>
      </c>
      <c r="L33" s="2" t="str">
        <f>_xlfn.TEXTJOIN("_",TRUE,K33,H33,O33)</f>
        <v>494_1023301_2</v>
      </c>
      <c r="N33">
        <v>1.5</v>
      </c>
      <c r="O33">
        <f>ROUNDUP(J33,0)</f>
        <v>2</v>
      </c>
    </row>
    <row r="34" spans="1:15">
      <c r="B34" t="str">
        <v>370_1023402_1</v>
      </c>
      <c r="C34" t="str" cm="1">
        <f t="array" ref="C34:E34">_xlfn.TEXTSPLIT(B34,"_",)</f>
        <v>370</v>
      </c>
      <c r="D34" t="str">
        <v>1023402</v>
      </c>
      <c r="E34" t="str">
        <v>1</v>
      </c>
      <c r="F34">
        <f>_xlfn.XLOOKUP(VALUE(D34),Sheet2!$A$1:$A$25,Sheet2!$C$1:$C$25)*E34</f>
        <v>1440</v>
      </c>
      <c r="G34">
        <f t="shared" si="3"/>
        <v>1023402</v>
      </c>
      <c r="H34">
        <f>_xlfn.XLOOKUP(G34,Sheet2!A:A,Sheet2!B:B)</f>
        <v>1023401</v>
      </c>
      <c r="I34">
        <f>_xlfn.XLOOKUP(VALUE(H34),Sheet2!$A$1:$A$25,Sheet2!$C$1:$C$25)</f>
        <v>960</v>
      </c>
      <c r="J34">
        <f>ROUNDUP(IF(H34=G34,E34,F34/I34),2)</f>
        <v>1.5</v>
      </c>
      <c r="K34">
        <f>ROUNDUP(IF(H34=G34,C34,C34/N34),0)</f>
        <v>247</v>
      </c>
      <c r="L34" s="2" t="str">
        <f>_xlfn.TEXTJOIN("_",TRUE,K34,H34,O34)</f>
        <v>247_1023401_2</v>
      </c>
      <c r="N34">
        <v>1.5</v>
      </c>
      <c r="O34">
        <f>ROUNDUP(J34,0)</f>
        <v>2</v>
      </c>
    </row>
    <row r="35" spans="1:15">
      <c r="L35" s="2"/>
    </row>
    <row r="36" spans="1:15">
      <c r="L36" s="2"/>
    </row>
    <row r="37" spans="1:15">
      <c r="L37" s="2"/>
    </row>
    <row r="38" spans="1:15">
      <c r="L38" s="2"/>
    </row>
    <row r="39" spans="1:15">
      <c r="L39" s="2"/>
    </row>
    <row r="40" spans="1:15">
      <c r="L40" s="2"/>
    </row>
    <row r="41" spans="1:15">
      <c r="L41" s="2"/>
    </row>
    <row r="42" spans="1:15">
      <c r="L42" s="2"/>
    </row>
    <row r="43" spans="1:15">
      <c r="L43" s="2"/>
    </row>
    <row r="44" spans="1:15">
      <c r="L44" s="2"/>
    </row>
    <row r="48" spans="1:15">
      <c r="A48">
        <v>20020003</v>
      </c>
      <c r="B48" t="str">
        <f>_xlfn.XLOOKUP(A48,$A$1:$A$12,$B$1:$B$12)</f>
        <v>4450_1023003_4|2960_1023103_2|1480_1023203_1|740_1023303_1|370_1023403_1</v>
      </c>
      <c r="L48" t="str">
        <f>_xlfn.TEXTJOIN("|",TRUE,L49:L63)</f>
        <v>4450_1023001_8|2960_1023101_4|1480_1023201_2|740_1023301_2|370_1023401_2</v>
      </c>
    </row>
    <row r="49" customFormat="1" spans="2:12">
      <c r="B49" t="str" cm="1">
        <f t="array" ref="B49:B53">_xlfn.TEXTSPLIT(B48,,"|")</f>
        <v>4450_1023003_4</v>
      </c>
      <c r="C49" t="str" cm="1">
        <f t="array" ref="C49:E49">_xlfn.TEXTSPLIT(B49,"_",)</f>
        <v>4450</v>
      </c>
      <c r="D49" t="str">
        <v>1023003</v>
      </c>
      <c r="E49" t="str">
        <v>4</v>
      </c>
      <c r="F49">
        <f>_xlfn.XLOOKUP(VALUE(D49),Sheet2!$A$1:$A$25,Sheet2!$C$1:$C$25)*E49</f>
        <v>160</v>
      </c>
      <c r="G49">
        <f t="shared" ref="G49:G53" si="4">VALUE(D49)</f>
        <v>1023003</v>
      </c>
      <c r="H49">
        <f>_xlfn.XLOOKUP(G49,Sheet2!A:A,Sheet2!B:B)</f>
        <v>1023001</v>
      </c>
      <c r="I49">
        <f>_xlfn.XLOOKUP(VALUE(H49),Sheet2!$A$1:$A$25,Sheet2!$C$1:$C$25)</f>
        <v>20</v>
      </c>
      <c r="J49">
        <f t="shared" ref="J49:J53" si="5">ROUNDUP(IF(H49=G49,E49,F49/I49),2)</f>
        <v>8</v>
      </c>
      <c r="K49">
        <f t="shared" ref="K49:K53" si="6">ROUNDUP(IF(H49=G49,C49,C49),0)</f>
        <v>4450</v>
      </c>
      <c r="L49" s="2" t="str">
        <f t="shared" ref="L49:L53" si="7">_xlfn.TEXTJOIN("_",TRUE,K49,H49,J49)</f>
        <v>4450_1023001_8</v>
      </c>
    </row>
    <row r="50" customFormat="1" spans="2:12">
      <c r="B50" t="str">
        <v>2960_1023103_2</v>
      </c>
      <c r="C50" t="str" cm="1">
        <f t="array" ref="C50:E50">_xlfn.TEXTSPLIT(B50,"_",)</f>
        <v>2960</v>
      </c>
      <c r="D50" t="str">
        <v>1023103</v>
      </c>
      <c r="E50" t="str">
        <v>2</v>
      </c>
      <c r="F50">
        <f>_xlfn.XLOOKUP(VALUE(D50),Sheet2!$A$1:$A$25,Sheet2!$C$1:$C$25)*E50</f>
        <v>240</v>
      </c>
      <c r="G50">
        <f t="shared" si="4"/>
        <v>1023103</v>
      </c>
      <c r="H50">
        <f>_xlfn.XLOOKUP(G50,Sheet2!A:A,Sheet2!B:B)</f>
        <v>1023101</v>
      </c>
      <c r="I50">
        <f>_xlfn.XLOOKUP(VALUE(H50),Sheet2!$A$1:$A$25,Sheet2!$C$1:$C$25)</f>
        <v>60</v>
      </c>
      <c r="J50">
        <f t="shared" si="5"/>
        <v>4</v>
      </c>
      <c r="K50">
        <f t="shared" si="6"/>
        <v>2960</v>
      </c>
      <c r="L50" s="2" t="str">
        <f t="shared" si="7"/>
        <v>2960_1023101_4</v>
      </c>
    </row>
    <row r="51" customFormat="1" spans="2:12">
      <c r="B51" t="str">
        <v>1480_1023203_1</v>
      </c>
      <c r="C51" t="str" cm="1">
        <f t="array" ref="C51:E51">_xlfn.TEXTSPLIT(B51,"_",)</f>
        <v>1480</v>
      </c>
      <c r="D51" t="str">
        <v>1023203</v>
      </c>
      <c r="E51" t="str">
        <v>1</v>
      </c>
      <c r="F51">
        <f>_xlfn.XLOOKUP(VALUE(D51),Sheet2!$A$1:$A$25,Sheet2!$C$1:$C$25)*E51</f>
        <v>480</v>
      </c>
      <c r="G51">
        <f t="shared" si="4"/>
        <v>1023203</v>
      </c>
      <c r="H51">
        <f>_xlfn.XLOOKUP(G51,Sheet2!A:A,Sheet2!B:B)</f>
        <v>1023201</v>
      </c>
      <c r="I51">
        <f>_xlfn.XLOOKUP(VALUE(H51),Sheet2!$A$1:$A$25,Sheet2!$C$1:$C$25)</f>
        <v>240</v>
      </c>
      <c r="J51">
        <f t="shared" si="5"/>
        <v>2</v>
      </c>
      <c r="K51">
        <f t="shared" si="6"/>
        <v>1480</v>
      </c>
      <c r="L51" s="2" t="str">
        <f t="shared" si="7"/>
        <v>1480_1023201_2</v>
      </c>
    </row>
    <row r="52" customFormat="1" spans="2:12">
      <c r="B52" t="str">
        <v>740_1023303_1</v>
      </c>
      <c r="C52" t="str" cm="1">
        <f t="array" ref="C52:E52">_xlfn.TEXTSPLIT(B52,"_",)</f>
        <v>740</v>
      </c>
      <c r="D52" t="str">
        <v>1023303</v>
      </c>
      <c r="E52" t="str">
        <v>1</v>
      </c>
      <c r="F52">
        <f>_xlfn.XLOOKUP(VALUE(D52),Sheet2!$A$1:$A$25,Sheet2!$C$1:$C$25)*E52</f>
        <v>960</v>
      </c>
      <c r="G52">
        <f t="shared" si="4"/>
        <v>1023303</v>
      </c>
      <c r="H52">
        <f>_xlfn.XLOOKUP(G52,Sheet2!A:A,Sheet2!B:B)</f>
        <v>1023301</v>
      </c>
      <c r="I52">
        <f>_xlfn.XLOOKUP(VALUE(H52),Sheet2!$A$1:$A$25,Sheet2!$C$1:$C$25)</f>
        <v>480</v>
      </c>
      <c r="J52">
        <f t="shared" si="5"/>
        <v>2</v>
      </c>
      <c r="K52">
        <f t="shared" si="6"/>
        <v>740</v>
      </c>
      <c r="L52" s="2" t="str">
        <f t="shared" si="7"/>
        <v>740_1023301_2</v>
      </c>
    </row>
    <row r="53" customFormat="1" spans="2:12">
      <c r="B53" t="str">
        <v>370_1023403_1</v>
      </c>
      <c r="C53" t="str" cm="1">
        <f t="array" ref="C53:E53">_xlfn.TEXTSPLIT(B53,"_",)</f>
        <v>370</v>
      </c>
      <c r="D53" t="str">
        <v>1023403</v>
      </c>
      <c r="E53" t="str">
        <v>1</v>
      </c>
      <c r="F53">
        <f>_xlfn.XLOOKUP(VALUE(D53),Sheet2!$A$1:$A$25,Sheet2!$C$1:$C$25)*E53</f>
        <v>1920</v>
      </c>
      <c r="G53">
        <f t="shared" si="4"/>
        <v>1023403</v>
      </c>
      <c r="H53">
        <f>_xlfn.XLOOKUP(G53,Sheet2!A:A,Sheet2!B:B)</f>
        <v>1023401</v>
      </c>
      <c r="I53">
        <f>_xlfn.XLOOKUP(VALUE(H53),Sheet2!$A$1:$A$25,Sheet2!$C$1:$C$25)</f>
        <v>960</v>
      </c>
      <c r="J53">
        <f t="shared" si="5"/>
        <v>2</v>
      </c>
      <c r="K53">
        <f t="shared" si="6"/>
        <v>370</v>
      </c>
      <c r="L53" s="2" t="str">
        <f t="shared" si="7"/>
        <v>370_1023401_2</v>
      </c>
    </row>
    <row r="54" customFormat="1" spans="2:12">
      <c r="L54" s="2"/>
    </row>
    <row r="55" customFormat="1" spans="2:12">
      <c r="L55" s="2"/>
    </row>
    <row r="56" customFormat="1" spans="2:12">
      <c r="L56" s="2"/>
    </row>
    <row r="57" customFormat="1" spans="2:12">
      <c r="L57" s="2"/>
    </row>
    <row r="58" customFormat="1" spans="2:12">
      <c r="L58" s="2"/>
    </row>
    <row r="59" customFormat="1" spans="2:12">
      <c r="L59" s="2"/>
    </row>
    <row r="60" customFormat="1" spans="2:12">
      <c r="L60" s="2"/>
    </row>
    <row r="61" customFormat="1" spans="2:12">
      <c r="L61" s="2"/>
    </row>
    <row r="62" customFormat="1" spans="2:12">
      <c r="L62" s="2"/>
    </row>
    <row r="63" customFormat="1" spans="2:12">
      <c r="L63" s="2"/>
    </row>
    <row r="66" spans="1:12">
      <c r="A66">
        <v>20020004</v>
      </c>
      <c r="B66" t="str">
        <f>_xlfn.XLOOKUP(A66,$A$1:$A$12,$B$1:$B$12)</f>
        <v>4450_1023004_4|2960_1023104_2|1480_1023204_1|740_1023304_1|370_1023404_1</v>
      </c>
      <c r="L66" t="str">
        <f>_xlfn.TEXTJOIN("|",TRUE,L67:L81)</f>
        <v>4450_1023001_12|2960_1023101_6|1480_1023201_3|740_1023301_3|370_1023401_3</v>
      </c>
    </row>
    <row r="67" customFormat="1" spans="1:12">
      <c r="B67" t="str" cm="1">
        <f t="array" ref="B67:B71">_xlfn.TEXTSPLIT(B66,,"|")</f>
        <v>4450_1023004_4</v>
      </c>
      <c r="C67" t="str" cm="1">
        <f t="array" ref="C67:E67">_xlfn.TEXTSPLIT(B67,"_",)</f>
        <v>4450</v>
      </c>
      <c r="D67" t="str">
        <v>1023004</v>
      </c>
      <c r="E67" t="str">
        <v>4</v>
      </c>
      <c r="F67">
        <f>_xlfn.XLOOKUP(VALUE(D67),Sheet2!$A$1:$A$25,Sheet2!$C$1:$C$25)*E67</f>
        <v>240</v>
      </c>
      <c r="G67">
        <f t="shared" ref="G67:G71" si="8">VALUE(D67)</f>
        <v>1023004</v>
      </c>
      <c r="H67">
        <f>_xlfn.XLOOKUP(G67,Sheet2!A:A,Sheet2!B:B)</f>
        <v>1023001</v>
      </c>
      <c r="I67">
        <f>_xlfn.XLOOKUP(VALUE(H67),Sheet2!$A$1:$A$25,Sheet2!$C$1:$C$25)</f>
        <v>20</v>
      </c>
      <c r="J67">
        <f t="shared" ref="J67:J71" si="9">ROUNDUP(IF(H67=G67,E67,F67/I67),2)</f>
        <v>12</v>
      </c>
      <c r="K67">
        <f t="shared" ref="K67:K71" si="10">ROUNDUP(IF(H67=G67,C67,C67),0)</f>
        <v>4450</v>
      </c>
      <c r="L67" s="2" t="str">
        <f t="shared" ref="L67:L71" si="11">_xlfn.TEXTJOIN("_",TRUE,K67,H67,J67)</f>
        <v>4450_1023001_12</v>
      </c>
    </row>
    <row r="68" customFormat="1" spans="1:12">
      <c r="B68" t="str">
        <v>2960_1023104_2</v>
      </c>
      <c r="C68" t="str" cm="1">
        <f t="array" ref="C68:E68">_xlfn.TEXTSPLIT(B68,"_",)</f>
        <v>2960</v>
      </c>
      <c r="D68" t="str">
        <v>1023104</v>
      </c>
      <c r="E68" t="str">
        <v>2</v>
      </c>
      <c r="F68">
        <f>_xlfn.XLOOKUP(VALUE(D68),Sheet2!$A$1:$A$25,Sheet2!$C$1:$C$25)*E68</f>
        <v>360</v>
      </c>
      <c r="G68">
        <f t="shared" si="8"/>
        <v>1023104</v>
      </c>
      <c r="H68">
        <f>_xlfn.XLOOKUP(G68,Sheet2!A:A,Sheet2!B:B)</f>
        <v>1023101</v>
      </c>
      <c r="I68">
        <f>_xlfn.XLOOKUP(VALUE(H68),Sheet2!$A$1:$A$25,Sheet2!$C$1:$C$25)</f>
        <v>60</v>
      </c>
      <c r="J68">
        <f t="shared" si="9"/>
        <v>6</v>
      </c>
      <c r="K68">
        <f t="shared" si="10"/>
        <v>2960</v>
      </c>
      <c r="L68" s="2" t="str">
        <f t="shared" si="11"/>
        <v>2960_1023101_6</v>
      </c>
    </row>
    <row r="69" customFormat="1" spans="1:12">
      <c r="B69" t="str">
        <v>1480_1023204_1</v>
      </c>
      <c r="C69" t="str" cm="1">
        <f t="array" ref="C69:E69">_xlfn.TEXTSPLIT(B69,"_",)</f>
        <v>1480</v>
      </c>
      <c r="D69" t="str">
        <v>1023204</v>
      </c>
      <c r="E69" t="str">
        <v>1</v>
      </c>
      <c r="F69">
        <f>_xlfn.XLOOKUP(VALUE(D69),Sheet2!$A$1:$A$25,Sheet2!$C$1:$C$25)*E69</f>
        <v>720</v>
      </c>
      <c r="G69">
        <f t="shared" si="8"/>
        <v>1023204</v>
      </c>
      <c r="H69">
        <f>_xlfn.XLOOKUP(G69,Sheet2!A:A,Sheet2!B:B)</f>
        <v>1023201</v>
      </c>
      <c r="I69">
        <f>_xlfn.XLOOKUP(VALUE(H69),Sheet2!$A$1:$A$25,Sheet2!$C$1:$C$25)</f>
        <v>240</v>
      </c>
      <c r="J69">
        <f t="shared" si="9"/>
        <v>3</v>
      </c>
      <c r="K69">
        <f t="shared" si="10"/>
        <v>1480</v>
      </c>
      <c r="L69" s="2" t="str">
        <f t="shared" si="11"/>
        <v>1480_1023201_3</v>
      </c>
    </row>
    <row r="70" customFormat="1" spans="1:12">
      <c r="B70" t="str">
        <v>740_1023304_1</v>
      </c>
      <c r="C70" t="str" cm="1">
        <f t="array" ref="C70:E70">_xlfn.TEXTSPLIT(B70,"_",)</f>
        <v>740</v>
      </c>
      <c r="D70" t="str">
        <v>1023304</v>
      </c>
      <c r="E70" t="str">
        <v>1</v>
      </c>
      <c r="F70">
        <f>_xlfn.XLOOKUP(VALUE(D70),Sheet2!$A$1:$A$25,Sheet2!$C$1:$C$25)*E70</f>
        <v>1440</v>
      </c>
      <c r="G70">
        <f t="shared" si="8"/>
        <v>1023304</v>
      </c>
      <c r="H70">
        <f>_xlfn.XLOOKUP(G70,Sheet2!A:A,Sheet2!B:B)</f>
        <v>1023301</v>
      </c>
      <c r="I70">
        <f>_xlfn.XLOOKUP(VALUE(H70),Sheet2!$A$1:$A$25,Sheet2!$C$1:$C$25)</f>
        <v>480</v>
      </c>
      <c r="J70">
        <f t="shared" si="9"/>
        <v>3</v>
      </c>
      <c r="K70">
        <f t="shared" si="10"/>
        <v>740</v>
      </c>
      <c r="L70" s="2" t="str">
        <f t="shared" si="11"/>
        <v>740_1023301_3</v>
      </c>
    </row>
    <row r="71" customFormat="1" spans="1:12">
      <c r="B71" t="str">
        <v>370_1023404_1</v>
      </c>
      <c r="C71" t="str" cm="1">
        <f t="array" ref="C71:E71">_xlfn.TEXTSPLIT(B71,"_",)</f>
        <v>370</v>
      </c>
      <c r="D71" t="str">
        <v>1023404</v>
      </c>
      <c r="E71" t="str">
        <v>1</v>
      </c>
      <c r="F71">
        <f>_xlfn.XLOOKUP(VALUE(D71),Sheet2!$A$1:$A$25,Sheet2!$C$1:$C$25)*E71</f>
        <v>2880</v>
      </c>
      <c r="G71">
        <f t="shared" si="8"/>
        <v>1023404</v>
      </c>
      <c r="H71">
        <f>_xlfn.XLOOKUP(G71,Sheet2!A:A,Sheet2!B:B)</f>
        <v>1023401</v>
      </c>
      <c r="I71">
        <f>_xlfn.XLOOKUP(VALUE(H71),Sheet2!$A$1:$A$25,Sheet2!$C$1:$C$25)</f>
        <v>960</v>
      </c>
      <c r="J71">
        <f t="shared" si="9"/>
        <v>3</v>
      </c>
      <c r="K71">
        <f t="shared" si="10"/>
        <v>370</v>
      </c>
      <c r="L71" s="2" t="str">
        <f t="shared" si="11"/>
        <v>370_1023401_3</v>
      </c>
    </row>
    <row r="72" customFormat="1" spans="1:12">
      <c r="L72" s="2"/>
    </row>
    <row r="73" customFormat="1" spans="1:12">
      <c r="L73" s="2"/>
    </row>
    <row r="74" customFormat="1" spans="1:12">
      <c r="L74" s="2"/>
    </row>
    <row r="75" customFormat="1" spans="1:12">
      <c r="L75" s="2"/>
    </row>
    <row r="76" customFormat="1" spans="1:12">
      <c r="L76" s="2"/>
    </row>
    <row r="77" customFormat="1" spans="1:12">
      <c r="L77" s="2"/>
    </row>
    <row r="78" customFormat="1" spans="1:12">
      <c r="L78" s="2"/>
    </row>
    <row r="79" customFormat="1" spans="1:12">
      <c r="L79" s="2"/>
    </row>
    <row r="80" customFormat="1" spans="1:12">
      <c r="L80" s="2"/>
    </row>
    <row r="81" customFormat="1" spans="1:12">
      <c r="L81" s="2"/>
    </row>
    <row r="84" spans="1:12">
      <c r="A84">
        <v>20020005</v>
      </c>
      <c r="B84" t="str">
        <f>_xlfn.XLOOKUP(A84,$A$1:$A$12,$B$1:$B$12)</f>
        <v>4450_1023005_4|2960_1023105_2|1480_1023205_1|740_1023305_1|370_1023405_1</v>
      </c>
      <c r="L84" t="str">
        <f>_xlfn.TEXTJOIN("|",TRUE,L85:L99)</f>
        <v>4450_1023001_24|2960_1023101_12|1480_1023201_6|740_1023301_6|370_1023401_6</v>
      </c>
    </row>
    <row r="85" customFormat="1" spans="1:12">
      <c r="B85" t="str" cm="1">
        <f t="array" ref="B85:B89">_xlfn.TEXTSPLIT(B84,,"|")</f>
        <v>4450_1023005_4</v>
      </c>
      <c r="C85" t="str" cm="1">
        <f t="array" ref="C85:E85">_xlfn.TEXTSPLIT(B85,"_",)</f>
        <v>4450</v>
      </c>
      <c r="D85" t="str">
        <v>1023005</v>
      </c>
      <c r="E85" t="str">
        <v>4</v>
      </c>
      <c r="F85">
        <f>_xlfn.XLOOKUP(VALUE(D85),Sheet2!$A$1:$A$25,Sheet2!$C$1:$C$25)*E85</f>
        <v>480</v>
      </c>
      <c r="G85">
        <f t="shared" ref="G85:G89" si="12">VALUE(D85)</f>
        <v>1023005</v>
      </c>
      <c r="H85">
        <f>_xlfn.XLOOKUP(G85,Sheet2!A:A,Sheet2!B:B)</f>
        <v>1023001</v>
      </c>
      <c r="I85">
        <f>_xlfn.XLOOKUP(VALUE(H85),Sheet2!$A$1:$A$25,Sheet2!$C$1:$C$25)</f>
        <v>20</v>
      </c>
      <c r="J85">
        <f t="shared" ref="J85:J89" si="13">ROUNDUP(IF(H85=G85,E85,F85/I85),2)</f>
        <v>24</v>
      </c>
      <c r="K85">
        <f t="shared" ref="K85:K89" si="14">ROUNDUP(IF(H85=G85,C85,C85),0)</f>
        <v>4450</v>
      </c>
      <c r="L85" s="2" t="str">
        <f t="shared" ref="L85:L89" si="15">_xlfn.TEXTJOIN("_",TRUE,K85,H85,J85)</f>
        <v>4450_1023001_24</v>
      </c>
    </row>
    <row r="86" customFormat="1" spans="1:12">
      <c r="B86" t="str">
        <v>2960_1023105_2</v>
      </c>
      <c r="C86" t="str" cm="1">
        <f t="array" ref="C86:E86">_xlfn.TEXTSPLIT(B86,"_",)</f>
        <v>2960</v>
      </c>
      <c r="D86" t="str">
        <v>1023105</v>
      </c>
      <c r="E86" t="str">
        <v>2</v>
      </c>
      <c r="F86">
        <f>_xlfn.XLOOKUP(VALUE(D86),Sheet2!$A$1:$A$25,Sheet2!$C$1:$C$25)*E86</f>
        <v>720</v>
      </c>
      <c r="G86">
        <f t="shared" si="12"/>
        <v>1023105</v>
      </c>
      <c r="H86">
        <f>_xlfn.XLOOKUP(G86,Sheet2!A:A,Sheet2!B:B)</f>
        <v>1023101</v>
      </c>
      <c r="I86">
        <f>_xlfn.XLOOKUP(VALUE(H86),Sheet2!$A$1:$A$25,Sheet2!$C$1:$C$25)</f>
        <v>60</v>
      </c>
      <c r="J86">
        <f t="shared" si="13"/>
        <v>12</v>
      </c>
      <c r="K86">
        <f t="shared" si="14"/>
        <v>2960</v>
      </c>
      <c r="L86" s="2" t="str">
        <f t="shared" si="15"/>
        <v>2960_1023101_12</v>
      </c>
    </row>
    <row r="87" customFormat="1" spans="1:12">
      <c r="B87" t="str">
        <v>1480_1023205_1</v>
      </c>
      <c r="C87" t="str" cm="1">
        <f t="array" ref="C87:E87">_xlfn.TEXTSPLIT(B87,"_",)</f>
        <v>1480</v>
      </c>
      <c r="D87" t="str">
        <v>1023205</v>
      </c>
      <c r="E87" t="str">
        <v>1</v>
      </c>
      <c r="F87">
        <f>_xlfn.XLOOKUP(VALUE(D87),Sheet2!$A$1:$A$25,Sheet2!$C$1:$C$25)*E87</f>
        <v>1440</v>
      </c>
      <c r="G87">
        <f t="shared" si="12"/>
        <v>1023205</v>
      </c>
      <c r="H87">
        <f>_xlfn.XLOOKUP(G87,Sheet2!A:A,Sheet2!B:B)</f>
        <v>1023201</v>
      </c>
      <c r="I87">
        <f>_xlfn.XLOOKUP(VALUE(H87),Sheet2!$A$1:$A$25,Sheet2!$C$1:$C$25)</f>
        <v>240</v>
      </c>
      <c r="J87">
        <f t="shared" si="13"/>
        <v>6</v>
      </c>
      <c r="K87">
        <f t="shared" si="14"/>
        <v>1480</v>
      </c>
      <c r="L87" s="2" t="str">
        <f t="shared" si="15"/>
        <v>1480_1023201_6</v>
      </c>
    </row>
    <row r="88" customFormat="1" spans="1:12">
      <c r="B88" t="str">
        <v>740_1023305_1</v>
      </c>
      <c r="C88" t="str" cm="1">
        <f t="array" ref="C88:E88">_xlfn.TEXTSPLIT(B88,"_",)</f>
        <v>740</v>
      </c>
      <c r="D88" t="str">
        <v>1023305</v>
      </c>
      <c r="E88" t="str">
        <v>1</v>
      </c>
      <c r="F88">
        <f>_xlfn.XLOOKUP(VALUE(D88),Sheet2!$A$1:$A$25,Sheet2!$C$1:$C$25)*E88</f>
        <v>2880</v>
      </c>
      <c r="G88">
        <f t="shared" si="12"/>
        <v>1023305</v>
      </c>
      <c r="H88">
        <f>_xlfn.XLOOKUP(G88,Sheet2!A:A,Sheet2!B:B)</f>
        <v>1023301</v>
      </c>
      <c r="I88">
        <f>_xlfn.XLOOKUP(VALUE(H88),Sheet2!$A$1:$A$25,Sheet2!$C$1:$C$25)</f>
        <v>480</v>
      </c>
      <c r="J88">
        <f t="shared" si="13"/>
        <v>6</v>
      </c>
      <c r="K88">
        <f t="shared" si="14"/>
        <v>740</v>
      </c>
      <c r="L88" s="2" t="str">
        <f t="shared" si="15"/>
        <v>740_1023301_6</v>
      </c>
    </row>
    <row r="89" customFormat="1" spans="1:12">
      <c r="B89" t="str">
        <v>370_1023405_1</v>
      </c>
      <c r="C89" t="str" cm="1">
        <f t="array" ref="C89:E89">_xlfn.TEXTSPLIT(B89,"_",)</f>
        <v>370</v>
      </c>
      <c r="D89" t="str">
        <v>1023405</v>
      </c>
      <c r="E89" t="str">
        <v>1</v>
      </c>
      <c r="F89">
        <f>_xlfn.XLOOKUP(VALUE(D89),Sheet2!$A$1:$A$25,Sheet2!$C$1:$C$25)*E89</f>
        <v>5760</v>
      </c>
      <c r="G89">
        <f t="shared" si="12"/>
        <v>1023405</v>
      </c>
      <c r="H89">
        <f>_xlfn.XLOOKUP(G89,Sheet2!A:A,Sheet2!B:B)</f>
        <v>1023401</v>
      </c>
      <c r="I89">
        <f>_xlfn.XLOOKUP(VALUE(H89),Sheet2!$A$1:$A$25,Sheet2!$C$1:$C$25)</f>
        <v>960</v>
      </c>
      <c r="J89">
        <f t="shared" si="13"/>
        <v>6</v>
      </c>
      <c r="K89">
        <f t="shared" si="14"/>
        <v>370</v>
      </c>
      <c r="L89" s="2" t="str">
        <f t="shared" si="15"/>
        <v>370_1023401_6</v>
      </c>
    </row>
    <row r="90" customFormat="1" spans="1:12">
      <c r="L90" s="2"/>
    </row>
    <row r="91" customFormat="1" spans="1:12">
      <c r="L91" s="2"/>
    </row>
    <row r="92" customFormat="1" spans="1:12">
      <c r="L92" s="2"/>
    </row>
    <row r="93" customFormat="1" spans="1:12">
      <c r="L93" s="2"/>
    </row>
    <row r="94" customFormat="1" spans="1:12">
      <c r="L94" s="2"/>
    </row>
    <row r="95" customFormat="1" spans="1:12">
      <c r="L95" s="2"/>
    </row>
    <row r="96" customFormat="1" spans="1:12">
      <c r="L96" s="2"/>
    </row>
    <row r="97" customFormat="1" spans="1:12">
      <c r="L97" s="2"/>
    </row>
    <row r="98" customFormat="1" spans="1:12">
      <c r="L98" s="2"/>
    </row>
    <row r="99" customFormat="1" spans="1:12">
      <c r="L99" s="2"/>
    </row>
    <row r="100" spans="1:12">
      <c r="L100" s="2"/>
    </row>
    <row r="101" spans="1:12">
      <c r="L101" s="2"/>
    </row>
    <row r="102" spans="1:12">
      <c r="L102" s="2"/>
    </row>
    <row r="103" spans="1:12">
      <c r="L103" s="2"/>
    </row>
    <row r="104" spans="1:12">
      <c r="L104" s="2"/>
    </row>
    <row r="107" spans="1:12">
      <c r="A107">
        <v>20020011</v>
      </c>
      <c r="B107" t="str">
        <f>_xlfn.XLOOKUP(A107,$A$1:$A$12,$B$1:$B$12)</f>
        <v>4450_1023001_8|2960_1023101_4|1480_1023201_2|740_1023301_2|370_1023401_2</v>
      </c>
      <c r="L107" t="str">
        <f>_xlfn.TEXTJOIN("|",TRUE,L108:L122)</f>
        <v>4450_1023001_8|2960_1023101_4|1480_1023201_2|740_1023301_2|370_1023401_2</v>
      </c>
    </row>
    <row r="108" customFormat="1" spans="1:12">
      <c r="B108" t="str" cm="1">
        <f t="array" ref="B108:B112">_xlfn.TEXTSPLIT(B107,,"|")</f>
        <v>4450_1023001_8</v>
      </c>
      <c r="C108" t="str" cm="1">
        <f t="array" ref="C108:E108">_xlfn.TEXTSPLIT(B108,"_",)</f>
        <v>4450</v>
      </c>
      <c r="D108" t="str">
        <v>1023001</v>
      </c>
      <c r="E108" t="str">
        <v>8</v>
      </c>
      <c r="F108">
        <f>_xlfn.XLOOKUP(VALUE(D108),Sheet2!$A$1:$A$25,Sheet2!$C$1:$C$25)*E108</f>
        <v>160</v>
      </c>
      <c r="G108">
        <f t="shared" ref="G108:G112" si="16">VALUE(D108)</f>
        <v>1023001</v>
      </c>
      <c r="H108">
        <f>_xlfn.XLOOKUP(G108,Sheet2!A:A,Sheet2!B:B)</f>
        <v>1023001</v>
      </c>
      <c r="I108">
        <f>_xlfn.XLOOKUP(VALUE(H108),Sheet2!$A$1:$A$25,Sheet2!$C$1:$C$25)</f>
        <v>20</v>
      </c>
      <c r="J108">
        <f t="shared" ref="J108:J112" si="17">ROUNDUP(IF(H108=G108,E108,F108/I108),2)</f>
        <v>8</v>
      </c>
      <c r="K108">
        <f t="shared" ref="K108:K112" si="18">ROUNDUP(IF(H108=G108,C108,C108),0)</f>
        <v>4450</v>
      </c>
      <c r="L108" s="2" t="str">
        <f t="shared" ref="L108:L112" si="19">_xlfn.TEXTJOIN("_",TRUE,K108,H108,J108)</f>
        <v>4450_1023001_8</v>
      </c>
    </row>
    <row r="109" customFormat="1" spans="1:12">
      <c r="B109" t="str">
        <v>2960_1023101_4</v>
      </c>
      <c r="C109" t="str" cm="1">
        <f t="array" ref="C109:E109">_xlfn.TEXTSPLIT(B109,"_",)</f>
        <v>2960</v>
      </c>
      <c r="D109" t="str">
        <v>1023101</v>
      </c>
      <c r="E109" t="str">
        <v>4</v>
      </c>
      <c r="F109">
        <f>_xlfn.XLOOKUP(VALUE(D109),Sheet2!$A$1:$A$25,Sheet2!$C$1:$C$25)*E109</f>
        <v>240</v>
      </c>
      <c r="G109">
        <f t="shared" si="16"/>
        <v>1023101</v>
      </c>
      <c r="H109">
        <f>_xlfn.XLOOKUP(G109,Sheet2!A:A,Sheet2!B:B)</f>
        <v>1023101</v>
      </c>
      <c r="I109">
        <f>_xlfn.XLOOKUP(VALUE(H109),Sheet2!$A$1:$A$25,Sheet2!$C$1:$C$25)</f>
        <v>60</v>
      </c>
      <c r="J109">
        <f t="shared" si="17"/>
        <v>4</v>
      </c>
      <c r="K109">
        <f t="shared" si="18"/>
        <v>2960</v>
      </c>
      <c r="L109" s="2" t="str">
        <f t="shared" si="19"/>
        <v>2960_1023101_4</v>
      </c>
    </row>
    <row r="110" customFormat="1" spans="1:12">
      <c r="B110" t="str">
        <v>1480_1023201_2</v>
      </c>
      <c r="C110" t="str" cm="1">
        <f t="array" ref="C110:E110">_xlfn.TEXTSPLIT(B110,"_",)</f>
        <v>1480</v>
      </c>
      <c r="D110" t="str">
        <v>1023201</v>
      </c>
      <c r="E110" t="str">
        <v>2</v>
      </c>
      <c r="F110">
        <f>_xlfn.XLOOKUP(VALUE(D110),Sheet2!$A$1:$A$25,Sheet2!$C$1:$C$25)*E110</f>
        <v>480</v>
      </c>
      <c r="G110">
        <f t="shared" si="16"/>
        <v>1023201</v>
      </c>
      <c r="H110">
        <f>_xlfn.XLOOKUP(G110,Sheet2!A:A,Sheet2!B:B)</f>
        <v>1023201</v>
      </c>
      <c r="I110">
        <f>_xlfn.XLOOKUP(VALUE(H110),Sheet2!$A$1:$A$25,Sheet2!$C$1:$C$25)</f>
        <v>240</v>
      </c>
      <c r="J110">
        <f t="shared" si="17"/>
        <v>2</v>
      </c>
      <c r="K110">
        <f t="shared" si="18"/>
        <v>1480</v>
      </c>
      <c r="L110" s="2" t="str">
        <f t="shared" si="19"/>
        <v>1480_1023201_2</v>
      </c>
    </row>
    <row r="111" customFormat="1" spans="1:12">
      <c r="B111" t="str">
        <v>740_1023301_2</v>
      </c>
      <c r="C111" t="str" cm="1">
        <f t="array" ref="C111:E111">_xlfn.TEXTSPLIT(B111,"_",)</f>
        <v>740</v>
      </c>
      <c r="D111" t="str">
        <v>1023301</v>
      </c>
      <c r="E111" t="str">
        <v>2</v>
      </c>
      <c r="F111">
        <f>_xlfn.XLOOKUP(VALUE(D111),Sheet2!$A$1:$A$25,Sheet2!$C$1:$C$25)*E111</f>
        <v>960</v>
      </c>
      <c r="G111">
        <f t="shared" si="16"/>
        <v>1023301</v>
      </c>
      <c r="H111">
        <f>_xlfn.XLOOKUP(G111,Sheet2!A:A,Sheet2!B:B)</f>
        <v>1023301</v>
      </c>
      <c r="I111">
        <f>_xlfn.XLOOKUP(VALUE(H111),Sheet2!$A$1:$A$25,Sheet2!$C$1:$C$25)</f>
        <v>480</v>
      </c>
      <c r="J111">
        <f t="shared" si="17"/>
        <v>2</v>
      </c>
      <c r="K111">
        <f t="shared" si="18"/>
        <v>740</v>
      </c>
      <c r="L111" s="2" t="str">
        <f t="shared" si="19"/>
        <v>740_1023301_2</v>
      </c>
    </row>
    <row r="112" customFormat="1" spans="1:12">
      <c r="B112" t="str">
        <v>370_1023401_2</v>
      </c>
      <c r="C112" t="str" cm="1">
        <f t="array" ref="C112:E112">_xlfn.TEXTSPLIT(B112,"_",)</f>
        <v>370</v>
      </c>
      <c r="D112" t="str">
        <v>1023401</v>
      </c>
      <c r="E112" t="str">
        <v>2</v>
      </c>
      <c r="F112">
        <f>_xlfn.XLOOKUP(VALUE(D112),Sheet2!$A$1:$A$25,Sheet2!$C$1:$C$25)*E112</f>
        <v>1920</v>
      </c>
      <c r="G112">
        <f t="shared" si="16"/>
        <v>1023401</v>
      </c>
      <c r="H112">
        <f>_xlfn.XLOOKUP(G112,Sheet2!A:A,Sheet2!B:B)</f>
        <v>1023401</v>
      </c>
      <c r="I112">
        <f>_xlfn.XLOOKUP(VALUE(H112),Sheet2!$A$1:$A$25,Sheet2!$C$1:$C$25)</f>
        <v>960</v>
      </c>
      <c r="J112">
        <f t="shared" si="17"/>
        <v>2</v>
      </c>
      <c r="K112">
        <f t="shared" si="18"/>
        <v>370</v>
      </c>
      <c r="L112" s="2" t="str">
        <f t="shared" si="19"/>
        <v>370_1023401_2</v>
      </c>
    </row>
    <row r="113" customFormat="1" spans="12:12">
      <c r="L113" s="2"/>
    </row>
    <row r="114" customFormat="1" spans="12:12">
      <c r="L114" s="2"/>
    </row>
    <row r="115" customFormat="1" spans="12:12">
      <c r="L115" s="2"/>
    </row>
    <row r="116" customFormat="1" spans="12:12">
      <c r="L116" s="2"/>
    </row>
    <row r="117" customFormat="1" spans="12:12">
      <c r="L117" s="2"/>
    </row>
    <row r="118" customFormat="1" spans="12:12">
      <c r="L118" s="2"/>
    </row>
    <row r="119" customFormat="1" spans="12:12">
      <c r="L119" s="2"/>
    </row>
    <row r="120" customFormat="1" spans="12:12">
      <c r="L120" s="2"/>
    </row>
    <row r="121" customFormat="1" spans="12:12">
      <c r="L121" s="2"/>
    </row>
    <row r="122" customFormat="1" spans="12:12">
      <c r="L122" s="2"/>
    </row>
    <row r="123" customFormat="1" spans="12:12">
      <c r="L123" s="2"/>
    </row>
    <row r="124" customFormat="1" spans="12:12">
      <c r="L124" s="2"/>
    </row>
    <row r="125" customFormat="1" spans="12:12">
      <c r="L125" s="2"/>
    </row>
    <row r="126" customFormat="1" spans="12:12">
      <c r="L126" s="2"/>
    </row>
    <row r="127" customFormat="1" spans="12:12">
      <c r="L127" s="2"/>
    </row>
    <row r="130" spans="1:12">
      <c r="A130">
        <f>A107+1</f>
        <v>20020012</v>
      </c>
      <c r="B130" t="str">
        <f>_xlfn.XLOOKUP(A130,$A$1:$A$12,$B$1:$B$12)</f>
        <v>4450_1023002_8|2960_1023102_4|1480_1023202_2|740_1023302_2|370_1023402_2</v>
      </c>
      <c r="L130" t="str">
        <f>_xlfn.TEXTJOIN("|",TRUE,L131:L145)</f>
        <v>4450_1023001_12|2960_1023101_6|1480_1023201_3|740_1023301_3|370_1023401_3</v>
      </c>
    </row>
    <row r="131" customFormat="1" spans="1:12">
      <c r="B131" t="str" cm="1">
        <f t="array" ref="B131:B135">_xlfn.TEXTSPLIT(B130,,"|")</f>
        <v>4450_1023002_8</v>
      </c>
      <c r="C131" t="str" cm="1">
        <f t="array" ref="C131:E131">_xlfn.TEXTSPLIT(B131,"_",)</f>
        <v>4450</v>
      </c>
      <c r="D131" t="str">
        <v>1023002</v>
      </c>
      <c r="E131" t="str">
        <v>8</v>
      </c>
      <c r="F131">
        <f>_xlfn.XLOOKUP(VALUE(D131),Sheet2!$A$1:$A$25,Sheet2!$C$1:$C$25)*E131</f>
        <v>240</v>
      </c>
      <c r="G131">
        <f t="shared" ref="G131:G135" si="20">VALUE(D131)</f>
        <v>1023002</v>
      </c>
      <c r="H131">
        <f>_xlfn.XLOOKUP(G131,Sheet2!A:A,Sheet2!B:B)</f>
        <v>1023001</v>
      </c>
      <c r="I131">
        <f>_xlfn.XLOOKUP(VALUE(H131),Sheet2!$A$1:$A$25,Sheet2!$C$1:$C$25)</f>
        <v>20</v>
      </c>
      <c r="J131">
        <f t="shared" ref="J131:J135" si="21">ROUNDUP(IF(H131=G131,E131,F131/I131),2)</f>
        <v>12</v>
      </c>
      <c r="K131">
        <f t="shared" ref="K131:K135" si="22">ROUNDUP(IF(H131=G131,C131,C131),0)</f>
        <v>4450</v>
      </c>
      <c r="L131" s="2" t="str">
        <f t="shared" ref="L131:L135" si="23">_xlfn.TEXTJOIN("_",TRUE,K131,H131,J131)</f>
        <v>4450_1023001_12</v>
      </c>
    </row>
    <row r="132" customFormat="1" spans="1:12">
      <c r="B132" t="str">
        <v>2960_1023102_4</v>
      </c>
      <c r="C132" t="str" cm="1">
        <f t="array" ref="C132:E132">_xlfn.TEXTSPLIT(B132,"_",)</f>
        <v>2960</v>
      </c>
      <c r="D132" t="str">
        <v>1023102</v>
      </c>
      <c r="E132" t="str">
        <v>4</v>
      </c>
      <c r="F132">
        <f>_xlfn.XLOOKUP(VALUE(D132),Sheet2!$A$1:$A$25,Sheet2!$C$1:$C$25)*E132</f>
        <v>360</v>
      </c>
      <c r="G132">
        <f t="shared" si="20"/>
        <v>1023102</v>
      </c>
      <c r="H132">
        <f>_xlfn.XLOOKUP(G132,Sheet2!A:A,Sheet2!B:B)</f>
        <v>1023101</v>
      </c>
      <c r="I132">
        <f>_xlfn.XLOOKUP(VALUE(H132),Sheet2!$A$1:$A$25,Sheet2!$C$1:$C$25)</f>
        <v>60</v>
      </c>
      <c r="J132">
        <f t="shared" si="21"/>
        <v>6</v>
      </c>
      <c r="K132">
        <f t="shared" si="22"/>
        <v>2960</v>
      </c>
      <c r="L132" s="2" t="str">
        <f t="shared" si="23"/>
        <v>2960_1023101_6</v>
      </c>
    </row>
    <row r="133" customFormat="1" spans="1:12">
      <c r="B133" t="str">
        <v>1480_1023202_2</v>
      </c>
      <c r="C133" t="str" cm="1">
        <f t="array" ref="C133:E133">_xlfn.TEXTSPLIT(B133,"_",)</f>
        <v>1480</v>
      </c>
      <c r="D133" t="str">
        <v>1023202</v>
      </c>
      <c r="E133" t="str">
        <v>2</v>
      </c>
      <c r="F133">
        <f>_xlfn.XLOOKUP(VALUE(D133),Sheet2!$A$1:$A$25,Sheet2!$C$1:$C$25)*E133</f>
        <v>720</v>
      </c>
      <c r="G133">
        <f t="shared" si="20"/>
        <v>1023202</v>
      </c>
      <c r="H133">
        <f>_xlfn.XLOOKUP(G133,Sheet2!A:A,Sheet2!B:B)</f>
        <v>1023201</v>
      </c>
      <c r="I133">
        <f>_xlfn.XLOOKUP(VALUE(H133),Sheet2!$A$1:$A$25,Sheet2!$C$1:$C$25)</f>
        <v>240</v>
      </c>
      <c r="J133">
        <f t="shared" si="21"/>
        <v>3</v>
      </c>
      <c r="K133">
        <f t="shared" si="22"/>
        <v>1480</v>
      </c>
      <c r="L133" s="2" t="str">
        <f t="shared" si="23"/>
        <v>1480_1023201_3</v>
      </c>
    </row>
    <row r="134" customFormat="1" spans="1:12">
      <c r="B134" t="str">
        <v>740_1023302_2</v>
      </c>
      <c r="C134" t="str" cm="1">
        <f t="array" ref="C134:E134">_xlfn.TEXTSPLIT(B134,"_",)</f>
        <v>740</v>
      </c>
      <c r="D134" t="str">
        <v>1023302</v>
      </c>
      <c r="E134" t="str">
        <v>2</v>
      </c>
      <c r="F134">
        <f>_xlfn.XLOOKUP(VALUE(D134),Sheet2!$A$1:$A$25,Sheet2!$C$1:$C$25)*E134</f>
        <v>1440</v>
      </c>
      <c r="G134">
        <f t="shared" si="20"/>
        <v>1023302</v>
      </c>
      <c r="H134">
        <f>_xlfn.XLOOKUP(G134,Sheet2!A:A,Sheet2!B:B)</f>
        <v>1023301</v>
      </c>
      <c r="I134">
        <f>_xlfn.XLOOKUP(VALUE(H134),Sheet2!$A$1:$A$25,Sheet2!$C$1:$C$25)</f>
        <v>480</v>
      </c>
      <c r="J134">
        <f t="shared" si="21"/>
        <v>3</v>
      </c>
      <c r="K134">
        <f t="shared" si="22"/>
        <v>740</v>
      </c>
      <c r="L134" s="2" t="str">
        <f t="shared" si="23"/>
        <v>740_1023301_3</v>
      </c>
    </row>
    <row r="135" customFormat="1" spans="1:12">
      <c r="B135" t="str">
        <v>370_1023402_2</v>
      </c>
      <c r="C135" t="str" cm="1">
        <f t="array" ref="C135:E135">_xlfn.TEXTSPLIT(B135,"_",)</f>
        <v>370</v>
      </c>
      <c r="D135" t="str">
        <v>1023402</v>
      </c>
      <c r="E135" t="str">
        <v>2</v>
      </c>
      <c r="F135">
        <f>_xlfn.XLOOKUP(VALUE(D135),Sheet2!$A$1:$A$25,Sheet2!$C$1:$C$25)*E135</f>
        <v>2880</v>
      </c>
      <c r="G135">
        <f t="shared" si="20"/>
        <v>1023402</v>
      </c>
      <c r="H135">
        <f>_xlfn.XLOOKUP(G135,Sheet2!A:A,Sheet2!B:B)</f>
        <v>1023401</v>
      </c>
      <c r="I135">
        <f>_xlfn.XLOOKUP(VALUE(H135),Sheet2!$A$1:$A$25,Sheet2!$C$1:$C$25)</f>
        <v>960</v>
      </c>
      <c r="J135">
        <f t="shared" si="21"/>
        <v>3</v>
      </c>
      <c r="K135">
        <f t="shared" si="22"/>
        <v>370</v>
      </c>
      <c r="L135" s="2" t="str">
        <f t="shared" si="23"/>
        <v>370_1023401_3</v>
      </c>
    </row>
    <row r="136" customFormat="1" spans="1:12">
      <c r="L136" s="2"/>
    </row>
    <row r="137" customFormat="1" spans="1:12">
      <c r="L137" s="2"/>
    </row>
    <row r="138" customFormat="1" spans="1:12">
      <c r="L138" s="2"/>
    </row>
    <row r="139" customFormat="1" spans="1:12">
      <c r="L139" s="2"/>
    </row>
    <row r="140" customFormat="1" spans="1:12">
      <c r="L140" s="2"/>
    </row>
    <row r="141" customFormat="1" spans="1:12">
      <c r="L141" s="2"/>
    </row>
    <row r="142" customFormat="1" spans="1:12">
      <c r="L142" s="2"/>
    </row>
    <row r="143" customFormat="1" spans="1:12">
      <c r="L143" s="2"/>
    </row>
    <row r="144" customFormat="1" spans="1:12">
      <c r="L144" s="2"/>
    </row>
    <row r="145" customFormat="1" spans="1:12">
      <c r="L145" s="2"/>
    </row>
    <row r="146" customFormat="1" spans="1:12">
      <c r="L146" s="2"/>
    </row>
    <row r="147" customFormat="1" spans="1:12">
      <c r="L147" s="2"/>
    </row>
    <row r="148" customFormat="1" spans="1:12">
      <c r="L148" s="2"/>
    </row>
    <row r="149" customFormat="1" spans="1:12">
      <c r="L149" s="2"/>
    </row>
    <row r="150" customFormat="1" spans="1:12">
      <c r="L150" s="2"/>
    </row>
    <row r="151" spans="1:12">
      <c r="L151" s="2"/>
    </row>
    <row r="152" spans="1:12">
      <c r="L152" s="2"/>
    </row>
    <row r="153" spans="1:12">
      <c r="L153" s="2"/>
    </row>
    <row r="154" spans="1:12">
      <c r="L154" s="2"/>
    </row>
    <row r="155" spans="1:12">
      <c r="L155" s="2"/>
    </row>
    <row r="158" spans="1:12">
      <c r="A158">
        <f>A130+1</f>
        <v>20020013</v>
      </c>
      <c r="B158" t="str">
        <f>_xlfn.XLOOKUP(A158,$A$1:$A$12,$B$1:$B$12)</f>
        <v>4450_1023003_8|2960_1023103_4|1480_1023203_2|740_1023303_2|370_1023403_2</v>
      </c>
      <c r="L158" t="str">
        <f>_xlfn.TEXTJOIN("|",TRUE,L159:L173)</f>
        <v>4450_1023001_16|2960_1023101_8|1480_1023201_4|740_1023301_4|370_1023401_4</v>
      </c>
    </row>
    <row r="159" customFormat="1" spans="1:12">
      <c r="B159" t="str" cm="1">
        <f t="array" ref="B159:B163">_xlfn.TEXTSPLIT(B158,,"|")</f>
        <v>4450_1023003_8</v>
      </c>
      <c r="C159" t="str" cm="1">
        <f t="array" ref="C159:E159">_xlfn.TEXTSPLIT(B159,"_",)</f>
        <v>4450</v>
      </c>
      <c r="D159" t="str">
        <v>1023003</v>
      </c>
      <c r="E159" t="str">
        <v>8</v>
      </c>
      <c r="F159">
        <f>_xlfn.XLOOKUP(VALUE(D159),Sheet2!$A$1:$A$25,Sheet2!$C$1:$C$25)*E159</f>
        <v>320</v>
      </c>
      <c r="G159">
        <f t="shared" ref="G159:G163" si="24">VALUE(D159)</f>
        <v>1023003</v>
      </c>
      <c r="H159">
        <f>_xlfn.XLOOKUP(G159,Sheet2!A:A,Sheet2!B:B)</f>
        <v>1023001</v>
      </c>
      <c r="I159">
        <f>_xlfn.XLOOKUP(VALUE(H159),Sheet2!$A$1:$A$25,Sheet2!$C$1:$C$25)</f>
        <v>20</v>
      </c>
      <c r="J159">
        <f t="shared" ref="J159:J163" si="25">ROUNDUP(IF(H159=G159,E159,F159/I159),2)</f>
        <v>16</v>
      </c>
      <c r="K159">
        <f t="shared" ref="K159:K163" si="26">ROUNDUP(IF(H159=G159,C159,C159),0)</f>
        <v>4450</v>
      </c>
      <c r="L159" s="2" t="str">
        <f t="shared" ref="L159:L163" si="27">_xlfn.TEXTJOIN("_",TRUE,K159,H159,J159)</f>
        <v>4450_1023001_16</v>
      </c>
    </row>
    <row r="160" customFormat="1" spans="1:12">
      <c r="B160" t="str">
        <v>2960_1023103_4</v>
      </c>
      <c r="C160" t="str" cm="1">
        <f t="array" ref="C160:E160">_xlfn.TEXTSPLIT(B160,"_",)</f>
        <v>2960</v>
      </c>
      <c r="D160" t="str">
        <v>1023103</v>
      </c>
      <c r="E160" t="str">
        <v>4</v>
      </c>
      <c r="F160">
        <f>_xlfn.XLOOKUP(VALUE(D160),Sheet2!$A$1:$A$25,Sheet2!$C$1:$C$25)*E160</f>
        <v>480</v>
      </c>
      <c r="G160">
        <f t="shared" si="24"/>
        <v>1023103</v>
      </c>
      <c r="H160">
        <f>_xlfn.XLOOKUP(G160,Sheet2!A:A,Sheet2!B:B)</f>
        <v>1023101</v>
      </c>
      <c r="I160">
        <f>_xlfn.XLOOKUP(VALUE(H160),Sheet2!$A$1:$A$25,Sheet2!$C$1:$C$25)</f>
        <v>60</v>
      </c>
      <c r="J160">
        <f t="shared" si="25"/>
        <v>8</v>
      </c>
      <c r="K160">
        <f t="shared" si="26"/>
        <v>2960</v>
      </c>
      <c r="L160" s="2" t="str">
        <f t="shared" si="27"/>
        <v>2960_1023101_8</v>
      </c>
    </row>
    <row r="161" customFormat="1" spans="2:12">
      <c r="B161" t="str">
        <v>1480_1023203_2</v>
      </c>
      <c r="C161" t="str" cm="1">
        <f t="array" ref="C161:E161">_xlfn.TEXTSPLIT(B161,"_",)</f>
        <v>1480</v>
      </c>
      <c r="D161" t="str">
        <v>1023203</v>
      </c>
      <c r="E161" t="str">
        <v>2</v>
      </c>
      <c r="F161">
        <f>_xlfn.XLOOKUP(VALUE(D161),Sheet2!$A$1:$A$25,Sheet2!$C$1:$C$25)*E161</f>
        <v>960</v>
      </c>
      <c r="G161">
        <f t="shared" si="24"/>
        <v>1023203</v>
      </c>
      <c r="H161">
        <f>_xlfn.XLOOKUP(G161,Sheet2!A:A,Sheet2!B:B)</f>
        <v>1023201</v>
      </c>
      <c r="I161">
        <f>_xlfn.XLOOKUP(VALUE(H161),Sheet2!$A$1:$A$25,Sheet2!$C$1:$C$25)</f>
        <v>240</v>
      </c>
      <c r="J161">
        <f t="shared" si="25"/>
        <v>4</v>
      </c>
      <c r="K161">
        <f t="shared" si="26"/>
        <v>1480</v>
      </c>
      <c r="L161" s="2" t="str">
        <f t="shared" si="27"/>
        <v>1480_1023201_4</v>
      </c>
    </row>
    <row r="162" customFormat="1" spans="2:12">
      <c r="B162" t="str">
        <v>740_1023303_2</v>
      </c>
      <c r="C162" t="str" cm="1">
        <f t="array" ref="C162:E162">_xlfn.TEXTSPLIT(B162,"_",)</f>
        <v>740</v>
      </c>
      <c r="D162" t="str">
        <v>1023303</v>
      </c>
      <c r="E162" t="str">
        <v>2</v>
      </c>
      <c r="F162">
        <f>_xlfn.XLOOKUP(VALUE(D162),Sheet2!$A$1:$A$25,Sheet2!$C$1:$C$25)*E162</f>
        <v>1920</v>
      </c>
      <c r="G162">
        <f t="shared" si="24"/>
        <v>1023303</v>
      </c>
      <c r="H162">
        <f>_xlfn.XLOOKUP(G162,Sheet2!A:A,Sheet2!B:B)</f>
        <v>1023301</v>
      </c>
      <c r="I162">
        <f>_xlfn.XLOOKUP(VALUE(H162),Sheet2!$A$1:$A$25,Sheet2!$C$1:$C$25)</f>
        <v>480</v>
      </c>
      <c r="J162">
        <f t="shared" si="25"/>
        <v>4</v>
      </c>
      <c r="K162">
        <f t="shared" si="26"/>
        <v>740</v>
      </c>
      <c r="L162" s="2" t="str">
        <f t="shared" si="27"/>
        <v>740_1023301_4</v>
      </c>
    </row>
    <row r="163" customFormat="1" spans="2:12">
      <c r="B163" t="str">
        <v>370_1023403_2</v>
      </c>
      <c r="C163" t="str" cm="1">
        <f t="array" ref="C163:E163">_xlfn.TEXTSPLIT(B163,"_",)</f>
        <v>370</v>
      </c>
      <c r="D163" t="str">
        <v>1023403</v>
      </c>
      <c r="E163" t="str">
        <v>2</v>
      </c>
      <c r="F163">
        <f>_xlfn.XLOOKUP(VALUE(D163),Sheet2!$A$1:$A$25,Sheet2!$C$1:$C$25)*E163</f>
        <v>3840</v>
      </c>
      <c r="G163">
        <f t="shared" si="24"/>
        <v>1023403</v>
      </c>
      <c r="H163">
        <f>_xlfn.XLOOKUP(G163,Sheet2!A:A,Sheet2!B:B)</f>
        <v>1023401</v>
      </c>
      <c r="I163">
        <f>_xlfn.XLOOKUP(VALUE(H163),Sheet2!$A$1:$A$25,Sheet2!$C$1:$C$25)</f>
        <v>960</v>
      </c>
      <c r="J163">
        <f t="shared" si="25"/>
        <v>4</v>
      </c>
      <c r="K163">
        <f t="shared" si="26"/>
        <v>370</v>
      </c>
      <c r="L163" s="2" t="str">
        <f t="shared" si="27"/>
        <v>370_1023401_4</v>
      </c>
    </row>
    <row r="164" customFormat="1" spans="2:12">
      <c r="L164" s="2"/>
    </row>
    <row r="165" customFormat="1" spans="2:12">
      <c r="L165" s="2"/>
    </row>
    <row r="166" customFormat="1" spans="2:12">
      <c r="L166" s="2"/>
    </row>
    <row r="167" customFormat="1" spans="2:12">
      <c r="L167" s="2"/>
    </row>
    <row r="168" customFormat="1" spans="2:12">
      <c r="L168" s="2"/>
    </row>
    <row r="169" customFormat="1" spans="2:12">
      <c r="L169" s="2"/>
    </row>
    <row r="170" customFormat="1" spans="2:12">
      <c r="L170" s="2"/>
    </row>
    <row r="171" customFormat="1" spans="2:12">
      <c r="L171" s="2"/>
    </row>
    <row r="172" customFormat="1" spans="2:12">
      <c r="L172" s="2"/>
    </row>
    <row r="173" customFormat="1" spans="2:12">
      <c r="L173" s="2"/>
    </row>
    <row r="174" customFormat="1" spans="2:12">
      <c r="L174" s="2"/>
    </row>
    <row r="175" customFormat="1" spans="2:12">
      <c r="L175" s="2"/>
    </row>
    <row r="176" customFormat="1" spans="2:12">
      <c r="L176" s="2"/>
    </row>
    <row r="177" customFormat="1" spans="1:12">
      <c r="L177" s="2"/>
    </row>
    <row r="178" customFormat="1" spans="1:12">
      <c r="L178" s="2"/>
    </row>
    <row r="179" customFormat="1" spans="1:12">
      <c r="L179" s="2"/>
    </row>
    <row r="180" customFormat="1" spans="1:12">
      <c r="L180" s="2"/>
    </row>
    <row r="181" customFormat="1" spans="1:12">
      <c r="L181" s="2"/>
    </row>
    <row r="182" customFormat="1" spans="1:12">
      <c r="L182" s="2"/>
    </row>
    <row r="183" customFormat="1" spans="1:12">
      <c r="L183" s="2"/>
    </row>
    <row r="186" spans="1:12">
      <c r="A186">
        <f>A158+1</f>
        <v>20020014</v>
      </c>
      <c r="B186" t="str">
        <f>_xlfn.XLOOKUP(A186,$A$1:$A$12,$B$1:$B$12)</f>
        <v>4450_1023004_8|2960_1023104_4|1480_1023204_2|740_1023304_2|370_1023404_2</v>
      </c>
      <c r="L186" t="str">
        <f>_xlfn.TEXTJOIN("|",TRUE,L187:L201)</f>
        <v>4450_1023001_24|2960_1023101_12|1480_1023201_6|740_1023301_6|370_1023401_6</v>
      </c>
    </row>
    <row r="187" customFormat="1" spans="1:12">
      <c r="B187" t="str" cm="1">
        <f t="array" ref="B187:B191">_xlfn.TEXTSPLIT(B186,,"|")</f>
        <v>4450_1023004_8</v>
      </c>
      <c r="C187" t="str" cm="1">
        <f t="array" ref="C187:E187">_xlfn.TEXTSPLIT(B187,"_",)</f>
        <v>4450</v>
      </c>
      <c r="D187" t="str">
        <v>1023004</v>
      </c>
      <c r="E187" t="str">
        <v>8</v>
      </c>
      <c r="F187">
        <f>_xlfn.XLOOKUP(VALUE(D187),Sheet2!$A$1:$A$25,Sheet2!$C$1:$C$25)*E187</f>
        <v>480</v>
      </c>
      <c r="G187">
        <f t="shared" ref="G187:G191" si="28">VALUE(D187)</f>
        <v>1023004</v>
      </c>
      <c r="H187">
        <f>_xlfn.XLOOKUP(G187,Sheet2!A:A,Sheet2!B:B)</f>
        <v>1023001</v>
      </c>
      <c r="I187">
        <f>_xlfn.XLOOKUP(VALUE(H187),Sheet2!$A$1:$A$25,Sheet2!$C$1:$C$25)</f>
        <v>20</v>
      </c>
      <c r="J187">
        <f t="shared" ref="J187:J191" si="29">ROUNDUP(IF(H187=G187,E187,F187/I187),2)</f>
        <v>24</v>
      </c>
      <c r="K187">
        <f t="shared" ref="K187:K191" si="30">ROUNDUP(IF(H187=G187,C187,C187),0)</f>
        <v>4450</v>
      </c>
      <c r="L187" s="2" t="str">
        <f t="shared" ref="L187:L191" si="31">_xlfn.TEXTJOIN("_",TRUE,K187,H187,J187)</f>
        <v>4450_1023001_24</v>
      </c>
    </row>
    <row r="188" customFormat="1" spans="1:12">
      <c r="B188" t="str">
        <v>2960_1023104_4</v>
      </c>
      <c r="C188" t="str" cm="1">
        <f t="array" ref="C188:E188">_xlfn.TEXTSPLIT(B188,"_",)</f>
        <v>2960</v>
      </c>
      <c r="D188" t="str">
        <v>1023104</v>
      </c>
      <c r="E188" t="str">
        <v>4</v>
      </c>
      <c r="F188">
        <f>_xlfn.XLOOKUP(VALUE(D188),Sheet2!$A$1:$A$25,Sheet2!$C$1:$C$25)*E188</f>
        <v>720</v>
      </c>
      <c r="G188">
        <f t="shared" si="28"/>
        <v>1023104</v>
      </c>
      <c r="H188">
        <f>_xlfn.XLOOKUP(G188,Sheet2!A:A,Sheet2!B:B)</f>
        <v>1023101</v>
      </c>
      <c r="I188">
        <f>_xlfn.XLOOKUP(VALUE(H188),Sheet2!$A$1:$A$25,Sheet2!$C$1:$C$25)</f>
        <v>60</v>
      </c>
      <c r="J188">
        <f t="shared" si="29"/>
        <v>12</v>
      </c>
      <c r="K188">
        <f t="shared" si="30"/>
        <v>2960</v>
      </c>
      <c r="L188" s="2" t="str">
        <f t="shared" si="31"/>
        <v>2960_1023101_12</v>
      </c>
    </row>
    <row r="189" customFormat="1" spans="1:12">
      <c r="B189" t="str">
        <v>1480_1023204_2</v>
      </c>
      <c r="C189" t="str" cm="1">
        <f t="array" ref="C189:E189">_xlfn.TEXTSPLIT(B189,"_",)</f>
        <v>1480</v>
      </c>
      <c r="D189" t="str">
        <v>1023204</v>
      </c>
      <c r="E189" t="str">
        <v>2</v>
      </c>
      <c r="F189">
        <f>_xlfn.XLOOKUP(VALUE(D189),Sheet2!$A$1:$A$25,Sheet2!$C$1:$C$25)*E189</f>
        <v>1440</v>
      </c>
      <c r="G189">
        <f t="shared" si="28"/>
        <v>1023204</v>
      </c>
      <c r="H189">
        <f>_xlfn.XLOOKUP(G189,Sheet2!A:A,Sheet2!B:B)</f>
        <v>1023201</v>
      </c>
      <c r="I189">
        <f>_xlfn.XLOOKUP(VALUE(H189),Sheet2!$A$1:$A$25,Sheet2!$C$1:$C$25)</f>
        <v>240</v>
      </c>
      <c r="J189">
        <f t="shared" si="29"/>
        <v>6</v>
      </c>
      <c r="K189">
        <f t="shared" si="30"/>
        <v>1480</v>
      </c>
      <c r="L189" s="2" t="str">
        <f t="shared" si="31"/>
        <v>1480_1023201_6</v>
      </c>
    </row>
    <row r="190" customFormat="1" spans="1:12">
      <c r="B190" t="str">
        <v>740_1023304_2</v>
      </c>
      <c r="C190" t="str" cm="1">
        <f t="array" ref="C190:E190">_xlfn.TEXTSPLIT(B190,"_",)</f>
        <v>740</v>
      </c>
      <c r="D190" t="str">
        <v>1023304</v>
      </c>
      <c r="E190" t="str">
        <v>2</v>
      </c>
      <c r="F190">
        <f>_xlfn.XLOOKUP(VALUE(D190),Sheet2!$A$1:$A$25,Sheet2!$C$1:$C$25)*E190</f>
        <v>2880</v>
      </c>
      <c r="G190">
        <f t="shared" si="28"/>
        <v>1023304</v>
      </c>
      <c r="H190">
        <f>_xlfn.XLOOKUP(G190,Sheet2!A:A,Sheet2!B:B)</f>
        <v>1023301</v>
      </c>
      <c r="I190">
        <f>_xlfn.XLOOKUP(VALUE(H190),Sheet2!$A$1:$A$25,Sheet2!$C$1:$C$25)</f>
        <v>480</v>
      </c>
      <c r="J190">
        <f t="shared" si="29"/>
        <v>6</v>
      </c>
      <c r="K190">
        <f t="shared" si="30"/>
        <v>740</v>
      </c>
      <c r="L190" s="2" t="str">
        <f t="shared" si="31"/>
        <v>740_1023301_6</v>
      </c>
    </row>
    <row r="191" customFormat="1" spans="1:12">
      <c r="B191" t="str">
        <v>370_1023404_2</v>
      </c>
      <c r="C191" t="str" cm="1">
        <f t="array" ref="C191:E191">_xlfn.TEXTSPLIT(B191,"_",)</f>
        <v>370</v>
      </c>
      <c r="D191" t="str">
        <v>1023404</v>
      </c>
      <c r="E191" t="str">
        <v>2</v>
      </c>
      <c r="F191">
        <f>_xlfn.XLOOKUP(VALUE(D191),Sheet2!$A$1:$A$25,Sheet2!$C$1:$C$25)*E191</f>
        <v>5760</v>
      </c>
      <c r="G191">
        <f t="shared" si="28"/>
        <v>1023404</v>
      </c>
      <c r="H191">
        <f>_xlfn.XLOOKUP(G191,Sheet2!A:A,Sheet2!B:B)</f>
        <v>1023401</v>
      </c>
      <c r="I191">
        <f>_xlfn.XLOOKUP(VALUE(H191),Sheet2!$A$1:$A$25,Sheet2!$C$1:$C$25)</f>
        <v>960</v>
      </c>
      <c r="J191">
        <f t="shared" si="29"/>
        <v>6</v>
      </c>
      <c r="K191">
        <f t="shared" si="30"/>
        <v>370</v>
      </c>
      <c r="L191" s="2" t="str">
        <f t="shared" si="31"/>
        <v>370_1023401_6</v>
      </c>
    </row>
    <row r="192" customFormat="1" spans="1:12">
      <c r="L192" s="2"/>
    </row>
    <row r="193" customFormat="1" spans="12:12">
      <c r="L193" s="2"/>
    </row>
    <row r="194" customFormat="1" spans="12:12">
      <c r="L194" s="2"/>
    </row>
    <row r="195" customFormat="1" spans="12:12">
      <c r="L195" s="2"/>
    </row>
    <row r="196" customFormat="1" spans="12:12">
      <c r="L196" s="2"/>
    </row>
    <row r="197" customFormat="1" spans="12:12">
      <c r="L197" s="2"/>
    </row>
    <row r="198" customFormat="1" spans="12:12">
      <c r="L198" s="2"/>
    </row>
    <row r="199" customFormat="1" spans="12:12">
      <c r="L199" s="2"/>
    </row>
    <row r="200" customFormat="1" spans="12:12">
      <c r="L200" s="2"/>
    </row>
    <row r="201" customFormat="1" spans="12:12">
      <c r="L201" s="2"/>
    </row>
    <row r="202" customFormat="1" spans="12:12">
      <c r="L202" s="2"/>
    </row>
    <row r="203" customFormat="1" spans="12:12">
      <c r="L203" s="2"/>
    </row>
    <row r="204" customFormat="1" spans="12:12">
      <c r="L204" s="2"/>
    </row>
    <row r="205" customFormat="1" spans="12:12">
      <c r="L205" s="2"/>
    </row>
    <row r="206" customFormat="1" spans="12:12">
      <c r="L206" s="2"/>
    </row>
    <row r="207" customFormat="1" spans="12:12">
      <c r="L207" s="2"/>
    </row>
    <row r="208" customFormat="1" spans="12:12">
      <c r="L208" s="2"/>
    </row>
    <row r="209" customFormat="1" spans="1:12">
      <c r="L209" s="2"/>
    </row>
    <row r="210" customFormat="1" spans="1:12">
      <c r="L210" s="2"/>
    </row>
    <row r="211" customFormat="1" spans="1:12">
      <c r="L211" s="2"/>
    </row>
    <row r="214" spans="1:12">
      <c r="A214">
        <f>A186+1</f>
        <v>20020015</v>
      </c>
      <c r="B214" t="str">
        <f>_xlfn.XLOOKUP(A214,$A$1:$A$12,$B$1:$B$12)</f>
        <v>4450_1023005_8|2960_1023105_4|1480_1023205_2|740_1023305_2|370_1023405_2</v>
      </c>
      <c r="L214" t="str">
        <f>_xlfn.TEXTJOIN("|",TRUE,L215:L229)</f>
        <v>4450_1023001_48|2960_1023101_24|1480_1023201_12|740_1023301_12|370_1023401_12</v>
      </c>
    </row>
    <row r="215" customFormat="1" spans="1:12">
      <c r="B215" t="str" cm="1">
        <f t="array" ref="B215:B219">_xlfn.TEXTSPLIT(B214,,"|")</f>
        <v>4450_1023005_8</v>
      </c>
      <c r="C215" t="str" cm="1">
        <f t="array" ref="C215:E215">_xlfn.TEXTSPLIT(B215,"_",)</f>
        <v>4450</v>
      </c>
      <c r="D215" t="str">
        <v>1023005</v>
      </c>
      <c r="E215" t="str">
        <v>8</v>
      </c>
      <c r="F215">
        <f>_xlfn.XLOOKUP(VALUE(D215),Sheet2!$A$1:$A$25,Sheet2!$C$1:$C$25)*E215</f>
        <v>960</v>
      </c>
      <c r="G215">
        <f t="shared" ref="G215:G219" si="32">VALUE(D215)</f>
        <v>1023005</v>
      </c>
      <c r="H215">
        <f>_xlfn.XLOOKUP(G215,Sheet2!A:A,Sheet2!B:B)</f>
        <v>1023001</v>
      </c>
      <c r="I215">
        <f>_xlfn.XLOOKUP(VALUE(H215),Sheet2!$A$1:$A$25,Sheet2!$C$1:$C$25)</f>
        <v>20</v>
      </c>
      <c r="J215">
        <f t="shared" ref="J215:J219" si="33">ROUNDUP(IF(H215=G215,E215,F215/I215),2)</f>
        <v>48</v>
      </c>
      <c r="K215">
        <f t="shared" ref="K215:K219" si="34">ROUNDUP(IF(H215=G215,C215,C215),0)</f>
        <v>4450</v>
      </c>
      <c r="L215" s="2" t="str">
        <f t="shared" ref="L215:L219" si="35">_xlfn.TEXTJOIN("_",TRUE,K215,H215,J215)</f>
        <v>4450_1023001_48</v>
      </c>
    </row>
    <row r="216" customFormat="1" spans="1:12">
      <c r="B216" t="str">
        <v>2960_1023105_4</v>
      </c>
      <c r="C216" t="str" cm="1">
        <f t="array" ref="C216:E216">_xlfn.TEXTSPLIT(B216,"_",)</f>
        <v>2960</v>
      </c>
      <c r="D216" t="str">
        <v>1023105</v>
      </c>
      <c r="E216" t="str">
        <v>4</v>
      </c>
      <c r="F216">
        <f>_xlfn.XLOOKUP(VALUE(D216),Sheet2!$A$1:$A$25,Sheet2!$C$1:$C$25)*E216</f>
        <v>1440</v>
      </c>
      <c r="G216">
        <f t="shared" si="32"/>
        <v>1023105</v>
      </c>
      <c r="H216">
        <f>_xlfn.XLOOKUP(G216,Sheet2!A:A,Sheet2!B:B)</f>
        <v>1023101</v>
      </c>
      <c r="I216">
        <f>_xlfn.XLOOKUP(VALUE(H216),Sheet2!$A$1:$A$25,Sheet2!$C$1:$C$25)</f>
        <v>60</v>
      </c>
      <c r="J216">
        <f t="shared" si="33"/>
        <v>24</v>
      </c>
      <c r="K216">
        <f t="shared" si="34"/>
        <v>2960</v>
      </c>
      <c r="L216" s="2" t="str">
        <f t="shared" si="35"/>
        <v>2960_1023101_24</v>
      </c>
    </row>
    <row r="217" customFormat="1" spans="1:12">
      <c r="B217" t="str">
        <v>1480_1023205_2</v>
      </c>
      <c r="C217" t="str" cm="1">
        <f t="array" ref="C217:E217">_xlfn.TEXTSPLIT(B217,"_",)</f>
        <v>1480</v>
      </c>
      <c r="D217" t="str">
        <v>1023205</v>
      </c>
      <c r="E217" t="str">
        <v>2</v>
      </c>
      <c r="F217">
        <f>_xlfn.XLOOKUP(VALUE(D217),Sheet2!$A$1:$A$25,Sheet2!$C$1:$C$25)*E217</f>
        <v>2880</v>
      </c>
      <c r="G217">
        <f t="shared" si="32"/>
        <v>1023205</v>
      </c>
      <c r="H217">
        <f>_xlfn.XLOOKUP(G217,Sheet2!A:A,Sheet2!B:B)</f>
        <v>1023201</v>
      </c>
      <c r="I217">
        <f>_xlfn.XLOOKUP(VALUE(H217),Sheet2!$A$1:$A$25,Sheet2!$C$1:$C$25)</f>
        <v>240</v>
      </c>
      <c r="J217">
        <f t="shared" si="33"/>
        <v>12</v>
      </c>
      <c r="K217">
        <f t="shared" si="34"/>
        <v>1480</v>
      </c>
      <c r="L217" s="2" t="str">
        <f t="shared" si="35"/>
        <v>1480_1023201_12</v>
      </c>
    </row>
    <row r="218" customFormat="1" spans="1:12">
      <c r="B218" t="str">
        <v>740_1023305_2</v>
      </c>
      <c r="C218" t="str" cm="1">
        <f t="array" ref="C218:E218">_xlfn.TEXTSPLIT(B218,"_",)</f>
        <v>740</v>
      </c>
      <c r="D218" t="str">
        <v>1023305</v>
      </c>
      <c r="E218" t="str">
        <v>2</v>
      </c>
      <c r="F218">
        <f>_xlfn.XLOOKUP(VALUE(D218),Sheet2!$A$1:$A$25,Sheet2!$C$1:$C$25)*E218</f>
        <v>5760</v>
      </c>
      <c r="G218">
        <f t="shared" si="32"/>
        <v>1023305</v>
      </c>
      <c r="H218">
        <f>_xlfn.XLOOKUP(G218,Sheet2!A:A,Sheet2!B:B)</f>
        <v>1023301</v>
      </c>
      <c r="I218">
        <f>_xlfn.XLOOKUP(VALUE(H218),Sheet2!$A$1:$A$25,Sheet2!$C$1:$C$25)</f>
        <v>480</v>
      </c>
      <c r="J218">
        <f t="shared" si="33"/>
        <v>12</v>
      </c>
      <c r="K218">
        <f t="shared" si="34"/>
        <v>740</v>
      </c>
      <c r="L218" s="2" t="str">
        <f t="shared" si="35"/>
        <v>740_1023301_12</v>
      </c>
    </row>
    <row r="219" customFormat="1" spans="1:12">
      <c r="B219" t="str">
        <v>370_1023405_2</v>
      </c>
      <c r="C219" t="str" cm="1">
        <f t="array" ref="C219:E219">_xlfn.TEXTSPLIT(B219,"_",)</f>
        <v>370</v>
      </c>
      <c r="D219" t="str">
        <v>1023405</v>
      </c>
      <c r="E219" t="str">
        <v>2</v>
      </c>
      <c r="F219">
        <f>_xlfn.XLOOKUP(VALUE(D219),Sheet2!$A$1:$A$25,Sheet2!$C$1:$C$25)*E219</f>
        <v>11520</v>
      </c>
      <c r="G219">
        <f t="shared" si="32"/>
        <v>1023405</v>
      </c>
      <c r="H219">
        <f>_xlfn.XLOOKUP(G219,Sheet2!A:A,Sheet2!B:B)</f>
        <v>1023401</v>
      </c>
      <c r="I219">
        <f>_xlfn.XLOOKUP(VALUE(H219),Sheet2!$A$1:$A$25,Sheet2!$C$1:$C$25)</f>
        <v>960</v>
      </c>
      <c r="J219">
        <f t="shared" si="33"/>
        <v>12</v>
      </c>
      <c r="K219">
        <f t="shared" si="34"/>
        <v>370</v>
      </c>
      <c r="L219" s="2" t="str">
        <f t="shared" si="35"/>
        <v>370_1023401_12</v>
      </c>
    </row>
    <row r="220" customFormat="1" spans="1:12">
      <c r="L220" s="2"/>
    </row>
    <row r="221" customFormat="1" spans="1:12">
      <c r="L221" s="2"/>
    </row>
    <row r="222" customFormat="1" spans="1:12">
      <c r="L222" s="2"/>
    </row>
    <row r="223" customFormat="1" spans="1:12">
      <c r="L223" s="2"/>
    </row>
    <row r="224" customFormat="1" spans="1:12">
      <c r="L224" s="2"/>
    </row>
    <row r="225" customFormat="1" spans="12:12">
      <c r="L225" s="2"/>
    </row>
    <row r="226" customFormat="1" spans="12:12">
      <c r="L226" s="2"/>
    </row>
    <row r="227" customFormat="1" spans="12:12">
      <c r="L227" s="2"/>
    </row>
    <row r="228" customFormat="1" spans="12:12">
      <c r="L228" s="2"/>
    </row>
    <row r="229" customFormat="1" spans="12:12">
      <c r="L229" s="2"/>
    </row>
    <row r="230" customFormat="1" spans="12:12">
      <c r="L230" s="2"/>
    </row>
    <row r="231" customFormat="1" spans="12:12">
      <c r="L231" s="2"/>
    </row>
    <row r="232" customFormat="1" spans="12:12">
      <c r="L232" s="2"/>
    </row>
    <row r="233" customFormat="1" spans="12:12">
      <c r="L233" s="2"/>
    </row>
    <row r="234" customFormat="1" spans="12:12">
      <c r="L234" s="2"/>
    </row>
    <row r="235" customFormat="1" spans="12:12">
      <c r="L235" s="2"/>
    </row>
    <row r="236" customFormat="1" spans="12:12">
      <c r="L236" s="2"/>
    </row>
    <row r="237" customFormat="1" spans="12:12">
      <c r="L237" s="2"/>
    </row>
    <row r="238" customFormat="1" spans="12:12">
      <c r="L238" s="2"/>
    </row>
    <row r="239" customFormat="1" spans="12:12">
      <c r="L239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D26" sqref="D26"/>
    </sheetView>
  </sheetViews>
  <sheetFormatPr defaultColWidth="9" defaultRowHeight="13.5" outlineLevelCol="2"/>
  <sheetData>
    <row r="1" spans="1:3">
      <c r="A1">
        <v>1023001</v>
      </c>
      <c r="B1">
        <f>A1</f>
        <v>1023001</v>
      </c>
      <c r="C1">
        <v>20</v>
      </c>
    </row>
    <row r="2" spans="1:3">
      <c r="A2">
        <v>1023002</v>
      </c>
      <c r="B2">
        <f>A1</f>
        <v>1023001</v>
      </c>
      <c r="C2">
        <v>30</v>
      </c>
    </row>
    <row r="3" spans="1:3">
      <c r="A3">
        <v>1023003</v>
      </c>
      <c r="B3">
        <f>A1</f>
        <v>1023001</v>
      </c>
      <c r="C3">
        <v>40</v>
      </c>
    </row>
    <row r="4" spans="1:3">
      <c r="A4">
        <v>1023004</v>
      </c>
      <c r="B4">
        <f>A1</f>
        <v>1023001</v>
      </c>
      <c r="C4">
        <v>60</v>
      </c>
    </row>
    <row r="5" spans="1:3">
      <c r="A5">
        <v>1023005</v>
      </c>
      <c r="B5">
        <f>A1</f>
        <v>1023001</v>
      </c>
      <c r="C5">
        <v>120</v>
      </c>
    </row>
    <row r="6" spans="1:3">
      <c r="A6">
        <v>1023101</v>
      </c>
      <c r="B6">
        <f>A6</f>
        <v>1023101</v>
      </c>
      <c r="C6">
        <v>60</v>
      </c>
    </row>
    <row r="7" spans="1:3">
      <c r="A7">
        <v>1023102</v>
      </c>
      <c r="B7">
        <f>A6</f>
        <v>1023101</v>
      </c>
      <c r="C7">
        <v>90</v>
      </c>
    </row>
    <row r="8" spans="1:3">
      <c r="A8">
        <v>1023103</v>
      </c>
      <c r="B8">
        <f>A6</f>
        <v>1023101</v>
      </c>
      <c r="C8">
        <v>120</v>
      </c>
    </row>
    <row r="9" spans="1:3">
      <c r="A9">
        <v>1023104</v>
      </c>
      <c r="B9">
        <f>A6</f>
        <v>1023101</v>
      </c>
      <c r="C9">
        <v>180</v>
      </c>
    </row>
    <row r="10" spans="1:3">
      <c r="A10">
        <v>1023105</v>
      </c>
      <c r="B10">
        <f>A6</f>
        <v>1023101</v>
      </c>
      <c r="C10">
        <v>360</v>
      </c>
    </row>
    <row r="11" spans="1:3">
      <c r="A11">
        <v>1023201</v>
      </c>
      <c r="B11">
        <f>A11</f>
        <v>1023201</v>
      </c>
      <c r="C11">
        <v>240</v>
      </c>
    </row>
    <row r="12" spans="1:3">
      <c r="A12">
        <v>1023202</v>
      </c>
      <c r="B12">
        <f>A11</f>
        <v>1023201</v>
      </c>
      <c r="C12">
        <v>360</v>
      </c>
    </row>
    <row r="13" spans="1:3">
      <c r="A13">
        <v>1023203</v>
      </c>
      <c r="B13">
        <f>A11</f>
        <v>1023201</v>
      </c>
      <c r="C13">
        <v>480</v>
      </c>
    </row>
    <row r="14" spans="1:3">
      <c r="A14">
        <v>1023204</v>
      </c>
      <c r="B14">
        <f>A11</f>
        <v>1023201</v>
      </c>
      <c r="C14">
        <v>720</v>
      </c>
    </row>
    <row r="15" spans="1:3">
      <c r="A15">
        <v>1023205</v>
      </c>
      <c r="B15">
        <f>A11</f>
        <v>1023201</v>
      </c>
      <c r="C15">
        <v>1440</v>
      </c>
    </row>
    <row r="16" spans="1:3">
      <c r="A16">
        <v>1023301</v>
      </c>
      <c r="B16">
        <f>A16</f>
        <v>1023301</v>
      </c>
      <c r="C16">
        <v>480</v>
      </c>
    </row>
    <row r="17" spans="1:3">
      <c r="A17">
        <v>1023302</v>
      </c>
      <c r="B17">
        <f>A16</f>
        <v>1023301</v>
      </c>
      <c r="C17">
        <v>720</v>
      </c>
    </row>
    <row r="18" spans="1:3">
      <c r="A18">
        <v>1023303</v>
      </c>
      <c r="B18">
        <f>A16</f>
        <v>1023301</v>
      </c>
      <c r="C18">
        <v>960</v>
      </c>
    </row>
    <row r="19" spans="1:3">
      <c r="A19">
        <v>1023304</v>
      </c>
      <c r="B19">
        <f>A16</f>
        <v>1023301</v>
      </c>
      <c r="C19">
        <v>1440</v>
      </c>
    </row>
    <row r="20" spans="1:3">
      <c r="A20">
        <v>1023305</v>
      </c>
      <c r="B20">
        <f>A16</f>
        <v>1023301</v>
      </c>
      <c r="C20">
        <v>2880</v>
      </c>
    </row>
    <row r="21" spans="1:3">
      <c r="A21">
        <v>1023401</v>
      </c>
      <c r="B21">
        <f>A21</f>
        <v>1023401</v>
      </c>
      <c r="C21">
        <v>960</v>
      </c>
    </row>
    <row r="22" spans="1:3">
      <c r="A22">
        <v>1023402</v>
      </c>
      <c r="B22">
        <f>A21</f>
        <v>1023401</v>
      </c>
      <c r="C22">
        <v>1440</v>
      </c>
    </row>
    <row r="23" spans="1:3">
      <c r="A23">
        <v>1023403</v>
      </c>
      <c r="B23">
        <f>A21</f>
        <v>1023401</v>
      </c>
      <c r="C23">
        <v>1920</v>
      </c>
    </row>
    <row r="24" spans="1:3">
      <c r="A24">
        <v>1023404</v>
      </c>
      <c r="B24">
        <f>A21</f>
        <v>1023401</v>
      </c>
      <c r="C24">
        <v>2880</v>
      </c>
    </row>
    <row r="25" spans="1:3">
      <c r="A25">
        <v>1023405</v>
      </c>
      <c r="B25">
        <f>A21</f>
        <v>1023401</v>
      </c>
      <c r="C25">
        <v>5760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dropDetailed</vt:lpstr>
      <vt:lpstr>Sheet1</vt:lpstr>
      <vt:lpstr>Sheet1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2025-12-11T10:34:11Z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5B5BD1A1E52947E79BB947656FA8FD2A_13</vt:lpwstr>
  </property>
  <property fmtid="{D5CDD505-2E9C-101B-9397-08002B2CF9AE}" pid="4" name="CalculationRule">
    <vt:i4>0</vt:i4>
  </property>
</Properties>
</file>