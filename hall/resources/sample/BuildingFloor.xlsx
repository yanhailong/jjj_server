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BuildingFloor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slot机台
2. 扑克牌桌
3. 幸运转盘
4. 吧台区
5. 休息区
6. 提款机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
条件类型_条件参数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从左至右排布，根据建筑空间大小确定位置
单层空间最大值为4</t>
        </r>
      </text>
    </comment>
  </commentList>
</comments>
</file>

<file path=xl/sharedStrings.xml><?xml version="1.0" encoding="utf-8"?>
<sst xmlns="http://schemas.openxmlformats.org/spreadsheetml/2006/main" count="127" uniqueCount="54">
  <si>
    <t>id</t>
  </si>
  <si>
    <t>赌场ID</t>
  </si>
  <si>
    <t>楼层ID</t>
  </si>
  <si>
    <t>楼层解锁条件</t>
  </si>
  <si>
    <t>楼层背景资源名称</t>
  </si>
  <si>
    <t>楼层建筑组成</t>
  </si>
  <si>
    <t>清扫时间(秒)</t>
  </si>
  <si>
    <t>int</t>
  </si>
  <si>
    <t>map&lt;int{_}int&gt;{;}</t>
  </si>
  <si>
    <t>string</t>
  </si>
  <si>
    <t>list&lt;int&gt;{_}</t>
  </si>
  <si>
    <t xml:space="preserve">int </t>
  </si>
  <si>
    <t>area</t>
  </si>
  <si>
    <t>type</t>
  </si>
  <si>
    <t>unlock</t>
  </si>
  <si>
    <t>background</t>
  </si>
  <si>
    <t>Architectural</t>
  </si>
  <si>
    <t>cleartime</t>
  </si>
  <si>
    <t>1_1</t>
  </si>
  <si>
    <t>wddc_lc_8.png</t>
  </si>
  <si>
    <t>大厅</t>
  </si>
  <si>
    <t>wddc_lc_5.png</t>
  </si>
  <si>
    <t>10500_10400</t>
  </si>
  <si>
    <t>吧台区</t>
  </si>
  <si>
    <t>休息区</t>
  </si>
  <si>
    <t>wddc_lc_6.png</t>
  </si>
  <si>
    <t>10600_10600</t>
  </si>
  <si>
    <t>提款机</t>
  </si>
  <si>
    <t>wddc_lc_3.png</t>
  </si>
  <si>
    <t>10100_10100_10100_10100</t>
  </si>
  <si>
    <t>slot机台</t>
  </si>
  <si>
    <t>wddc_lc_4.png</t>
  </si>
  <si>
    <t>10200_10200</t>
  </si>
  <si>
    <t>扑克牌桌</t>
  </si>
  <si>
    <t>wddc_lc_2.png</t>
  </si>
  <si>
    <t>幸运转盘</t>
  </si>
  <si>
    <t>1_10</t>
  </si>
  <si>
    <t>1_20</t>
  </si>
  <si>
    <t>1_30</t>
  </si>
  <si>
    <t>1_40</t>
  </si>
  <si>
    <t>1_50</t>
  </si>
  <si>
    <t>1_60</t>
  </si>
  <si>
    <t>1_70</t>
  </si>
  <si>
    <t>1_80</t>
  </si>
  <si>
    <t>1_90</t>
  </si>
  <si>
    <t>1_100</t>
  </si>
  <si>
    <t>1_110</t>
  </si>
  <si>
    <t>1_120</t>
  </si>
  <si>
    <t>1_130</t>
  </si>
  <si>
    <t>1_140</t>
  </si>
  <si>
    <t>1_150</t>
  </si>
  <si>
    <t>1_999</t>
  </si>
  <si>
    <t>DC_BG_006.png</t>
  </si>
  <si>
    <t>停机坪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</si>
</sst>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ildingFunc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Temp\BuildingFunctio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ildingFunction"/>
    </sheetNames>
    <sheetDataSet>
      <sheetData sheetId="0">
        <row r="1">
          <cell r="B1" t="str">
            <v>建筑类型</v>
          </cell>
          <cell r="C1" t="str">
            <v>#备注</v>
          </cell>
        </row>
        <row r="2">
          <cell r="B2" t="str">
            <v>int</v>
          </cell>
        </row>
        <row r="3">
          <cell r="B3" t="str">
            <v>typeID</v>
          </cell>
        </row>
        <row r="5">
          <cell r="B5">
            <v>1</v>
          </cell>
          <cell r="C5" t="str">
            <v>slot机台</v>
          </cell>
        </row>
        <row r="6">
          <cell r="B6">
            <v>1</v>
          </cell>
          <cell r="C6" t="str">
            <v>slot机台</v>
          </cell>
        </row>
        <row r="7">
          <cell r="B7">
            <v>1</v>
          </cell>
          <cell r="C7" t="str">
            <v>slot机台</v>
          </cell>
        </row>
        <row r="8">
          <cell r="B8">
            <v>1</v>
          </cell>
          <cell r="C8" t="str">
            <v>slot机台</v>
          </cell>
        </row>
        <row r="9">
          <cell r="B9">
            <v>1</v>
          </cell>
          <cell r="C9" t="str">
            <v>slot机台</v>
          </cell>
        </row>
        <row r="10">
          <cell r="B10">
            <v>1</v>
          </cell>
          <cell r="C10" t="str">
            <v>slot机台</v>
          </cell>
        </row>
        <row r="11">
          <cell r="B11">
            <v>1</v>
          </cell>
          <cell r="C11" t="str">
            <v>slot机台</v>
          </cell>
        </row>
        <row r="12">
          <cell r="B12">
            <v>1</v>
          </cell>
          <cell r="C12" t="str">
            <v>slot机台</v>
          </cell>
        </row>
        <row r="13">
          <cell r="B13">
            <v>1</v>
          </cell>
          <cell r="C13" t="str">
            <v>slot机台</v>
          </cell>
        </row>
        <row r="14">
          <cell r="B14">
            <v>1</v>
          </cell>
          <cell r="C14" t="str">
            <v>slot机台</v>
          </cell>
        </row>
        <row r="15">
          <cell r="B15">
            <v>1</v>
          </cell>
          <cell r="C15" t="str">
            <v>slot机台</v>
          </cell>
        </row>
        <row r="16">
          <cell r="B16">
            <v>1</v>
          </cell>
          <cell r="C16" t="str">
            <v>slot机台</v>
          </cell>
        </row>
        <row r="17">
          <cell r="B17">
            <v>1</v>
          </cell>
          <cell r="C17" t="str">
            <v>slot机台</v>
          </cell>
        </row>
        <row r="18">
          <cell r="B18">
            <v>1</v>
          </cell>
          <cell r="C18" t="str">
            <v>slot机台</v>
          </cell>
        </row>
        <row r="19">
          <cell r="B19">
            <v>1</v>
          </cell>
          <cell r="C19" t="str">
            <v>slot机台</v>
          </cell>
        </row>
        <row r="20">
          <cell r="B20">
            <v>1</v>
          </cell>
          <cell r="C20" t="str">
            <v>slot机台</v>
          </cell>
        </row>
        <row r="21">
          <cell r="B21">
            <v>1</v>
          </cell>
          <cell r="C21" t="str">
            <v>slot机台</v>
          </cell>
        </row>
        <row r="22">
          <cell r="B22">
            <v>1</v>
          </cell>
          <cell r="C22" t="str">
            <v>slot机台</v>
          </cell>
        </row>
        <row r="23">
          <cell r="B23">
            <v>1</v>
          </cell>
          <cell r="C23" t="str">
            <v>slot机台</v>
          </cell>
        </row>
        <row r="24">
          <cell r="B24">
            <v>1</v>
          </cell>
          <cell r="C24" t="str">
            <v>slot机台</v>
          </cell>
        </row>
        <row r="25">
          <cell r="B25">
            <v>1</v>
          </cell>
          <cell r="C25" t="str">
            <v>slot机台</v>
          </cell>
        </row>
        <row r="26">
          <cell r="B26">
            <v>2</v>
          </cell>
          <cell r="C26" t="str">
            <v>扑克牌桌</v>
          </cell>
        </row>
        <row r="27">
          <cell r="B27">
            <v>2</v>
          </cell>
          <cell r="C27" t="str">
            <v>扑克牌桌</v>
          </cell>
        </row>
        <row r="28">
          <cell r="B28">
            <v>2</v>
          </cell>
          <cell r="C28" t="str">
            <v>扑克牌桌</v>
          </cell>
        </row>
        <row r="29">
          <cell r="B29">
            <v>2</v>
          </cell>
          <cell r="C29" t="str">
            <v>扑克牌桌</v>
          </cell>
        </row>
        <row r="30">
          <cell r="B30">
            <v>2</v>
          </cell>
          <cell r="C30" t="str">
            <v>扑克牌桌</v>
          </cell>
        </row>
        <row r="31">
          <cell r="B31">
            <v>2</v>
          </cell>
          <cell r="C31" t="str">
            <v>扑克牌桌</v>
          </cell>
        </row>
        <row r="32">
          <cell r="B32">
            <v>2</v>
          </cell>
          <cell r="C32" t="str">
            <v>扑克牌桌</v>
          </cell>
        </row>
        <row r="33">
          <cell r="B33">
            <v>2</v>
          </cell>
          <cell r="C33" t="str">
            <v>扑克牌桌</v>
          </cell>
        </row>
        <row r="34">
          <cell r="B34">
            <v>2</v>
          </cell>
          <cell r="C34" t="str">
            <v>扑克牌桌</v>
          </cell>
        </row>
        <row r="35">
          <cell r="B35">
            <v>2</v>
          </cell>
          <cell r="C35" t="str">
            <v>扑克牌桌</v>
          </cell>
        </row>
        <row r="36">
          <cell r="B36">
            <v>2</v>
          </cell>
          <cell r="C36" t="str">
            <v>扑克牌桌</v>
          </cell>
        </row>
        <row r="37">
          <cell r="B37">
            <v>2</v>
          </cell>
          <cell r="C37" t="str">
            <v>扑克牌桌</v>
          </cell>
        </row>
        <row r="38">
          <cell r="B38">
            <v>2</v>
          </cell>
          <cell r="C38" t="str">
            <v>扑克牌桌</v>
          </cell>
        </row>
        <row r="39">
          <cell r="B39">
            <v>2</v>
          </cell>
          <cell r="C39" t="str">
            <v>扑克牌桌</v>
          </cell>
        </row>
        <row r="40">
          <cell r="B40">
            <v>2</v>
          </cell>
          <cell r="C40" t="str">
            <v>扑克牌桌</v>
          </cell>
        </row>
        <row r="41">
          <cell r="B41">
            <v>2</v>
          </cell>
          <cell r="C41" t="str">
            <v>扑克牌桌</v>
          </cell>
        </row>
        <row r="42">
          <cell r="B42">
            <v>2</v>
          </cell>
          <cell r="C42" t="str">
            <v>扑克牌桌</v>
          </cell>
        </row>
        <row r="43">
          <cell r="B43">
            <v>2</v>
          </cell>
          <cell r="C43" t="str">
            <v>扑克牌桌</v>
          </cell>
        </row>
        <row r="44">
          <cell r="B44">
            <v>2</v>
          </cell>
          <cell r="C44" t="str">
            <v>扑克牌桌</v>
          </cell>
        </row>
        <row r="45">
          <cell r="B45">
            <v>2</v>
          </cell>
          <cell r="C45" t="str">
            <v>扑克牌桌</v>
          </cell>
        </row>
        <row r="46">
          <cell r="B46">
            <v>2</v>
          </cell>
          <cell r="C46" t="str">
            <v>扑克牌桌</v>
          </cell>
        </row>
        <row r="47">
          <cell r="B47">
            <v>3</v>
          </cell>
          <cell r="C47" t="str">
            <v>幸运转盘</v>
          </cell>
        </row>
        <row r="48">
          <cell r="B48">
            <v>3</v>
          </cell>
          <cell r="C48" t="str">
            <v>幸运转盘</v>
          </cell>
        </row>
        <row r="49">
          <cell r="B49">
            <v>3</v>
          </cell>
          <cell r="C49" t="str">
            <v>幸运转盘</v>
          </cell>
        </row>
        <row r="50">
          <cell r="B50">
            <v>3</v>
          </cell>
          <cell r="C50" t="str">
            <v>幸运转盘</v>
          </cell>
        </row>
        <row r="51">
          <cell r="B51">
            <v>3</v>
          </cell>
          <cell r="C51" t="str">
            <v>幸运转盘</v>
          </cell>
        </row>
        <row r="52">
          <cell r="B52">
            <v>3</v>
          </cell>
          <cell r="C52" t="str">
            <v>幸运转盘</v>
          </cell>
        </row>
        <row r="53">
          <cell r="B53">
            <v>3</v>
          </cell>
          <cell r="C53" t="str">
            <v>幸运转盘</v>
          </cell>
        </row>
        <row r="54">
          <cell r="B54">
            <v>3</v>
          </cell>
          <cell r="C54" t="str">
            <v>幸运转盘</v>
          </cell>
        </row>
        <row r="55">
          <cell r="B55">
            <v>3</v>
          </cell>
          <cell r="C55" t="str">
            <v>幸运转盘</v>
          </cell>
        </row>
        <row r="56">
          <cell r="B56">
            <v>3</v>
          </cell>
          <cell r="C56" t="str">
            <v>幸运转盘</v>
          </cell>
        </row>
        <row r="57">
          <cell r="B57">
            <v>3</v>
          </cell>
          <cell r="C57" t="str">
            <v>幸运转盘</v>
          </cell>
        </row>
        <row r="58">
          <cell r="B58">
            <v>3</v>
          </cell>
          <cell r="C58" t="str">
            <v>幸运转盘</v>
          </cell>
        </row>
        <row r="59">
          <cell r="B59">
            <v>3</v>
          </cell>
          <cell r="C59" t="str">
            <v>幸运转盘</v>
          </cell>
        </row>
        <row r="60">
          <cell r="B60">
            <v>3</v>
          </cell>
          <cell r="C60" t="str">
            <v>幸运转盘</v>
          </cell>
        </row>
        <row r="61">
          <cell r="B61">
            <v>3</v>
          </cell>
          <cell r="C61" t="str">
            <v>幸运转盘</v>
          </cell>
        </row>
        <row r="62">
          <cell r="B62">
            <v>3</v>
          </cell>
          <cell r="C62" t="str">
            <v>幸运转盘</v>
          </cell>
        </row>
        <row r="63">
          <cell r="B63">
            <v>3</v>
          </cell>
          <cell r="C63" t="str">
            <v>幸运转盘</v>
          </cell>
        </row>
        <row r="64">
          <cell r="B64">
            <v>3</v>
          </cell>
          <cell r="C64" t="str">
            <v>幸运转盘</v>
          </cell>
        </row>
        <row r="65">
          <cell r="B65">
            <v>3</v>
          </cell>
          <cell r="C65" t="str">
            <v>幸运转盘</v>
          </cell>
        </row>
        <row r="66">
          <cell r="B66">
            <v>3</v>
          </cell>
          <cell r="C66" t="str">
            <v>幸运转盘</v>
          </cell>
        </row>
        <row r="67">
          <cell r="B67">
            <v>3</v>
          </cell>
          <cell r="C67" t="str">
            <v>幸运转盘</v>
          </cell>
        </row>
        <row r="68">
          <cell r="B68">
            <v>4</v>
          </cell>
          <cell r="C68" t="str">
            <v>吧台区</v>
          </cell>
        </row>
        <row r="69">
          <cell r="B69">
            <v>4</v>
          </cell>
          <cell r="C69" t="str">
            <v>吧台区</v>
          </cell>
        </row>
        <row r="70">
          <cell r="B70">
            <v>4</v>
          </cell>
          <cell r="C70" t="str">
            <v>吧台区</v>
          </cell>
        </row>
        <row r="71">
          <cell r="B71">
            <v>4</v>
          </cell>
          <cell r="C71" t="str">
            <v>吧台区</v>
          </cell>
        </row>
        <row r="72">
          <cell r="B72">
            <v>4</v>
          </cell>
          <cell r="C72" t="str">
            <v>吧台区</v>
          </cell>
        </row>
        <row r="73">
          <cell r="B73">
            <v>4</v>
          </cell>
          <cell r="C73" t="str">
            <v>吧台区</v>
          </cell>
        </row>
        <row r="74">
          <cell r="B74">
            <v>4</v>
          </cell>
          <cell r="C74" t="str">
            <v>吧台区</v>
          </cell>
        </row>
        <row r="75">
          <cell r="B75">
            <v>4</v>
          </cell>
          <cell r="C75" t="str">
            <v>吧台区</v>
          </cell>
        </row>
        <row r="76">
          <cell r="B76">
            <v>4</v>
          </cell>
          <cell r="C76" t="str">
            <v>吧台区</v>
          </cell>
        </row>
        <row r="77">
          <cell r="B77">
            <v>4</v>
          </cell>
          <cell r="C77" t="str">
            <v>吧台区</v>
          </cell>
        </row>
        <row r="78">
          <cell r="B78">
            <v>4</v>
          </cell>
          <cell r="C78" t="str">
            <v>吧台区</v>
          </cell>
        </row>
        <row r="79">
          <cell r="B79">
            <v>4</v>
          </cell>
          <cell r="C79" t="str">
            <v>吧台区</v>
          </cell>
        </row>
        <row r="80">
          <cell r="B80">
            <v>4</v>
          </cell>
          <cell r="C80" t="str">
            <v>吧台区</v>
          </cell>
        </row>
        <row r="81">
          <cell r="B81">
            <v>4</v>
          </cell>
          <cell r="C81" t="str">
            <v>吧台区</v>
          </cell>
        </row>
        <row r="82">
          <cell r="B82">
            <v>4</v>
          </cell>
          <cell r="C82" t="str">
            <v>吧台区</v>
          </cell>
        </row>
        <row r="83">
          <cell r="B83">
            <v>4</v>
          </cell>
          <cell r="C83" t="str">
            <v>吧台区</v>
          </cell>
        </row>
        <row r="84">
          <cell r="B84">
            <v>4</v>
          </cell>
          <cell r="C84" t="str">
            <v>吧台区</v>
          </cell>
        </row>
        <row r="85">
          <cell r="B85">
            <v>4</v>
          </cell>
          <cell r="C85" t="str">
            <v>吧台区</v>
          </cell>
        </row>
        <row r="86">
          <cell r="B86">
            <v>4</v>
          </cell>
          <cell r="C86" t="str">
            <v>吧台区</v>
          </cell>
        </row>
        <row r="87">
          <cell r="B87">
            <v>4</v>
          </cell>
          <cell r="C87" t="str">
            <v>吧台区</v>
          </cell>
        </row>
        <row r="88">
          <cell r="B88">
            <v>4</v>
          </cell>
          <cell r="C88" t="str">
            <v>吧台区</v>
          </cell>
        </row>
        <row r="89">
          <cell r="B89">
            <v>5</v>
          </cell>
          <cell r="C89" t="str">
            <v>休息区</v>
          </cell>
        </row>
        <row r="90">
          <cell r="B90">
            <v>5</v>
          </cell>
          <cell r="C90" t="str">
            <v>休息区</v>
          </cell>
        </row>
        <row r="91">
          <cell r="B91">
            <v>5</v>
          </cell>
          <cell r="C91" t="str">
            <v>休息区</v>
          </cell>
        </row>
        <row r="92">
          <cell r="B92">
            <v>5</v>
          </cell>
          <cell r="C92" t="str">
            <v>休息区</v>
          </cell>
        </row>
        <row r="93">
          <cell r="B93">
            <v>5</v>
          </cell>
          <cell r="C93" t="str">
            <v>休息区</v>
          </cell>
        </row>
        <row r="94">
          <cell r="B94">
            <v>5</v>
          </cell>
          <cell r="C94" t="str">
            <v>休息区</v>
          </cell>
        </row>
        <row r="95">
          <cell r="B95">
            <v>5</v>
          </cell>
          <cell r="C95" t="str">
            <v>休息区</v>
          </cell>
        </row>
        <row r="96">
          <cell r="B96">
            <v>5</v>
          </cell>
          <cell r="C96" t="str">
            <v>休息区</v>
          </cell>
        </row>
        <row r="97">
          <cell r="B97">
            <v>5</v>
          </cell>
          <cell r="C97" t="str">
            <v>休息区</v>
          </cell>
        </row>
        <row r="98">
          <cell r="B98">
            <v>5</v>
          </cell>
          <cell r="C98" t="str">
            <v>休息区</v>
          </cell>
        </row>
        <row r="99">
          <cell r="B99">
            <v>5</v>
          </cell>
          <cell r="C99" t="str">
            <v>休息区</v>
          </cell>
        </row>
        <row r="100">
          <cell r="B100">
            <v>5</v>
          </cell>
          <cell r="C100" t="str">
            <v>休息区</v>
          </cell>
        </row>
        <row r="101">
          <cell r="B101">
            <v>5</v>
          </cell>
          <cell r="C101" t="str">
            <v>休息区</v>
          </cell>
        </row>
        <row r="102">
          <cell r="B102">
            <v>5</v>
          </cell>
          <cell r="C102" t="str">
            <v>休息区</v>
          </cell>
        </row>
        <row r="103">
          <cell r="B103">
            <v>5</v>
          </cell>
          <cell r="C103" t="str">
            <v>休息区</v>
          </cell>
        </row>
        <row r="104">
          <cell r="B104">
            <v>5</v>
          </cell>
          <cell r="C104" t="str">
            <v>休息区</v>
          </cell>
        </row>
        <row r="105">
          <cell r="B105">
            <v>5</v>
          </cell>
          <cell r="C105" t="str">
            <v>休息区</v>
          </cell>
        </row>
        <row r="106">
          <cell r="B106">
            <v>5</v>
          </cell>
          <cell r="C106" t="str">
            <v>休息区</v>
          </cell>
        </row>
        <row r="107">
          <cell r="B107">
            <v>5</v>
          </cell>
          <cell r="C107" t="str">
            <v>休息区</v>
          </cell>
        </row>
        <row r="108">
          <cell r="B108">
            <v>5</v>
          </cell>
          <cell r="C108" t="str">
            <v>休息区</v>
          </cell>
        </row>
        <row r="109">
          <cell r="B109">
            <v>5</v>
          </cell>
          <cell r="C109" t="str">
            <v>休息区</v>
          </cell>
        </row>
        <row r="110">
          <cell r="B110">
            <v>6</v>
          </cell>
          <cell r="C110" t="str">
            <v>提款机</v>
          </cell>
        </row>
        <row r="111">
          <cell r="B111">
            <v>6</v>
          </cell>
          <cell r="C111" t="str">
            <v>提款机</v>
          </cell>
        </row>
        <row r="112">
          <cell r="B112">
            <v>6</v>
          </cell>
          <cell r="C112" t="str">
            <v>提款机</v>
          </cell>
        </row>
        <row r="113">
          <cell r="B113">
            <v>6</v>
          </cell>
          <cell r="C113" t="str">
            <v>提款机</v>
          </cell>
        </row>
        <row r="114">
          <cell r="B114">
            <v>6</v>
          </cell>
          <cell r="C114" t="str">
            <v>提款机</v>
          </cell>
        </row>
        <row r="115">
          <cell r="B115">
            <v>6</v>
          </cell>
          <cell r="C115" t="str">
            <v>提款机</v>
          </cell>
        </row>
        <row r="116">
          <cell r="B116">
            <v>6</v>
          </cell>
          <cell r="C116" t="str">
            <v>提款机</v>
          </cell>
        </row>
        <row r="117">
          <cell r="B117">
            <v>6</v>
          </cell>
          <cell r="C117" t="str">
            <v>提款机</v>
          </cell>
        </row>
        <row r="118">
          <cell r="B118">
            <v>6</v>
          </cell>
          <cell r="C118" t="str">
            <v>提款机</v>
          </cell>
        </row>
        <row r="119">
          <cell r="B119">
            <v>6</v>
          </cell>
          <cell r="C119" t="str">
            <v>提款机</v>
          </cell>
        </row>
        <row r="120">
          <cell r="B120">
            <v>6</v>
          </cell>
          <cell r="C120" t="str">
            <v>提款机</v>
          </cell>
        </row>
        <row r="121">
          <cell r="B121">
            <v>6</v>
          </cell>
          <cell r="C121" t="str">
            <v>提款机</v>
          </cell>
        </row>
        <row r="122">
          <cell r="B122">
            <v>6</v>
          </cell>
          <cell r="C122" t="str">
            <v>提款机</v>
          </cell>
        </row>
        <row r="123">
          <cell r="B123">
            <v>6</v>
          </cell>
          <cell r="C123" t="str">
            <v>提款机</v>
          </cell>
        </row>
        <row r="124">
          <cell r="B124">
            <v>6</v>
          </cell>
          <cell r="C124" t="str">
            <v>提款机</v>
          </cell>
        </row>
        <row r="125">
          <cell r="B125">
            <v>6</v>
          </cell>
          <cell r="C125" t="str">
            <v>提款机</v>
          </cell>
        </row>
        <row r="126">
          <cell r="B126">
            <v>6</v>
          </cell>
          <cell r="C126" t="str">
            <v>提款机</v>
          </cell>
        </row>
        <row r="127">
          <cell r="B127">
            <v>6</v>
          </cell>
          <cell r="C127" t="str">
            <v>提款机</v>
          </cell>
        </row>
        <row r="128">
          <cell r="B128">
            <v>6</v>
          </cell>
          <cell r="C128" t="str">
            <v>提款机</v>
          </cell>
        </row>
        <row r="129">
          <cell r="B129">
            <v>6</v>
          </cell>
          <cell r="C129" t="str">
            <v>提款机</v>
          </cell>
        </row>
        <row r="130">
          <cell r="B130">
            <v>6</v>
          </cell>
          <cell r="C130" t="str">
            <v>提款机</v>
          </cell>
        </row>
        <row r="131">
          <cell r="B131">
            <v>7</v>
          </cell>
          <cell r="C131" t="str">
            <v>停机坪</v>
          </cell>
        </row>
        <row r="132">
          <cell r="B132">
            <v>7</v>
          </cell>
          <cell r="C132" t="str">
            <v>停机坪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ildingFunction"/>
    </sheetNames>
    <sheetDataSet>
      <sheetData sheetId="0" refreshError="1">
        <row r="1">
          <cell r="B1" t="str">
            <v>建筑类型</v>
          </cell>
          <cell r="C1" t="str">
            <v>#备注</v>
          </cell>
        </row>
        <row r="2">
          <cell r="B2" t="str">
            <v>int</v>
          </cell>
        </row>
        <row r="3">
          <cell r="B3" t="str">
            <v>typeID</v>
          </cell>
        </row>
        <row r="5">
          <cell r="B5">
            <v>1</v>
          </cell>
          <cell r="C5" t="str">
            <v>slot机台</v>
          </cell>
        </row>
        <row r="6">
          <cell r="B6">
            <v>1</v>
          </cell>
          <cell r="C6" t="str">
            <v>slot机台</v>
          </cell>
        </row>
        <row r="7">
          <cell r="B7">
            <v>1</v>
          </cell>
          <cell r="C7" t="str">
            <v>slot机台</v>
          </cell>
        </row>
        <row r="8">
          <cell r="B8">
            <v>1</v>
          </cell>
          <cell r="C8" t="str">
            <v>slot机台</v>
          </cell>
        </row>
        <row r="9">
          <cell r="B9">
            <v>1</v>
          </cell>
          <cell r="C9" t="str">
            <v>slot机台</v>
          </cell>
        </row>
        <row r="10">
          <cell r="B10">
            <v>1</v>
          </cell>
          <cell r="C10" t="str">
            <v>slot机台</v>
          </cell>
        </row>
        <row r="11">
          <cell r="B11">
            <v>1</v>
          </cell>
          <cell r="C11" t="str">
            <v>slot机台</v>
          </cell>
        </row>
        <row r="12">
          <cell r="B12">
            <v>1</v>
          </cell>
          <cell r="C12" t="str">
            <v>slot机台</v>
          </cell>
        </row>
        <row r="13">
          <cell r="B13">
            <v>1</v>
          </cell>
          <cell r="C13" t="str">
            <v>slot机台</v>
          </cell>
        </row>
        <row r="14">
          <cell r="B14">
            <v>1</v>
          </cell>
          <cell r="C14" t="str">
            <v>slot机台</v>
          </cell>
        </row>
        <row r="15">
          <cell r="B15">
            <v>1</v>
          </cell>
          <cell r="C15" t="str">
            <v>slot机台</v>
          </cell>
        </row>
        <row r="16">
          <cell r="B16">
            <v>2</v>
          </cell>
          <cell r="C16" t="str">
            <v>扑克牌桌</v>
          </cell>
        </row>
        <row r="17">
          <cell r="B17">
            <v>2</v>
          </cell>
          <cell r="C17" t="str">
            <v>扑克牌桌</v>
          </cell>
        </row>
        <row r="18">
          <cell r="B18">
            <v>2</v>
          </cell>
          <cell r="C18" t="str">
            <v>扑克牌桌</v>
          </cell>
        </row>
        <row r="19">
          <cell r="B19">
            <v>2</v>
          </cell>
          <cell r="C19" t="str">
            <v>扑克牌桌</v>
          </cell>
        </row>
        <row r="20">
          <cell r="B20">
            <v>2</v>
          </cell>
          <cell r="C20" t="str">
            <v>扑克牌桌</v>
          </cell>
        </row>
        <row r="21">
          <cell r="B21">
            <v>2</v>
          </cell>
          <cell r="C21" t="str">
            <v>扑克牌桌</v>
          </cell>
        </row>
        <row r="22">
          <cell r="B22">
            <v>2</v>
          </cell>
          <cell r="C22" t="str">
            <v>扑克牌桌</v>
          </cell>
        </row>
        <row r="23">
          <cell r="B23">
            <v>2</v>
          </cell>
          <cell r="C23" t="str">
            <v>扑克牌桌</v>
          </cell>
        </row>
        <row r="24">
          <cell r="B24">
            <v>2</v>
          </cell>
          <cell r="C24" t="str">
            <v>扑克牌桌</v>
          </cell>
        </row>
        <row r="25">
          <cell r="B25">
            <v>2</v>
          </cell>
          <cell r="C25" t="str">
            <v>扑克牌桌</v>
          </cell>
        </row>
        <row r="26">
          <cell r="B26">
            <v>2</v>
          </cell>
          <cell r="C26" t="str">
            <v>扑克牌桌</v>
          </cell>
        </row>
        <row r="27">
          <cell r="B27">
            <v>3</v>
          </cell>
          <cell r="C27" t="str">
            <v>幸运转盘</v>
          </cell>
        </row>
        <row r="28">
          <cell r="B28">
            <v>3</v>
          </cell>
          <cell r="C28" t="str">
            <v>幸运转盘</v>
          </cell>
        </row>
        <row r="29">
          <cell r="B29">
            <v>3</v>
          </cell>
          <cell r="C29" t="str">
            <v>幸运转盘</v>
          </cell>
        </row>
        <row r="30">
          <cell r="B30">
            <v>3</v>
          </cell>
          <cell r="C30" t="str">
            <v>幸运转盘</v>
          </cell>
        </row>
        <row r="31">
          <cell r="B31">
            <v>3</v>
          </cell>
          <cell r="C31" t="str">
            <v>幸运转盘</v>
          </cell>
        </row>
        <row r="32">
          <cell r="B32">
            <v>3</v>
          </cell>
          <cell r="C32" t="str">
            <v>幸运转盘</v>
          </cell>
        </row>
        <row r="33">
          <cell r="B33">
            <v>3</v>
          </cell>
          <cell r="C33" t="str">
            <v>幸运转盘</v>
          </cell>
        </row>
        <row r="34">
          <cell r="B34">
            <v>3</v>
          </cell>
          <cell r="C34" t="str">
            <v>幸运转盘</v>
          </cell>
        </row>
        <row r="35">
          <cell r="B35">
            <v>3</v>
          </cell>
          <cell r="C35" t="str">
            <v>幸运转盘</v>
          </cell>
        </row>
        <row r="36">
          <cell r="B36">
            <v>3</v>
          </cell>
          <cell r="C36" t="str">
            <v>幸运转盘</v>
          </cell>
        </row>
        <row r="37">
          <cell r="B37">
            <v>3</v>
          </cell>
          <cell r="C37" t="str">
            <v>幸运转盘</v>
          </cell>
        </row>
        <row r="38">
          <cell r="B38">
            <v>4</v>
          </cell>
          <cell r="C38" t="str">
            <v>吧台区</v>
          </cell>
        </row>
        <row r="39">
          <cell r="B39">
            <v>4</v>
          </cell>
          <cell r="C39" t="str">
            <v>吧台区</v>
          </cell>
        </row>
        <row r="40">
          <cell r="B40">
            <v>4</v>
          </cell>
          <cell r="C40" t="str">
            <v>吧台区</v>
          </cell>
        </row>
        <row r="41">
          <cell r="B41">
            <v>4</v>
          </cell>
          <cell r="C41" t="str">
            <v>吧台区</v>
          </cell>
        </row>
        <row r="42">
          <cell r="B42">
            <v>4</v>
          </cell>
          <cell r="C42" t="str">
            <v>吧台区</v>
          </cell>
        </row>
        <row r="43">
          <cell r="B43">
            <v>4</v>
          </cell>
          <cell r="C43" t="str">
            <v>吧台区</v>
          </cell>
        </row>
        <row r="44">
          <cell r="B44">
            <v>4</v>
          </cell>
          <cell r="C44" t="str">
            <v>吧台区</v>
          </cell>
        </row>
        <row r="45">
          <cell r="B45">
            <v>4</v>
          </cell>
          <cell r="C45" t="str">
            <v>吧台区</v>
          </cell>
        </row>
        <row r="46">
          <cell r="B46">
            <v>4</v>
          </cell>
          <cell r="C46" t="str">
            <v>吧台区</v>
          </cell>
        </row>
        <row r="47">
          <cell r="B47">
            <v>4</v>
          </cell>
          <cell r="C47" t="str">
            <v>吧台区</v>
          </cell>
        </row>
        <row r="48">
          <cell r="B48">
            <v>4</v>
          </cell>
          <cell r="C48" t="str">
            <v>吧台区</v>
          </cell>
        </row>
        <row r="49">
          <cell r="B49">
            <v>5</v>
          </cell>
          <cell r="C49" t="str">
            <v>休息区</v>
          </cell>
        </row>
        <row r="50">
          <cell r="B50">
            <v>5</v>
          </cell>
          <cell r="C50" t="str">
            <v>休息区</v>
          </cell>
        </row>
        <row r="51">
          <cell r="B51">
            <v>5</v>
          </cell>
          <cell r="C51" t="str">
            <v>休息区</v>
          </cell>
        </row>
        <row r="52">
          <cell r="B52">
            <v>5</v>
          </cell>
          <cell r="C52" t="str">
            <v>休息区</v>
          </cell>
        </row>
        <row r="53">
          <cell r="B53">
            <v>5</v>
          </cell>
          <cell r="C53" t="str">
            <v>休息区</v>
          </cell>
        </row>
        <row r="54">
          <cell r="B54">
            <v>5</v>
          </cell>
          <cell r="C54" t="str">
            <v>休息区</v>
          </cell>
        </row>
        <row r="55">
          <cell r="B55">
            <v>5</v>
          </cell>
          <cell r="C55" t="str">
            <v>休息区</v>
          </cell>
        </row>
        <row r="56">
          <cell r="B56">
            <v>5</v>
          </cell>
          <cell r="C56" t="str">
            <v>休息区</v>
          </cell>
        </row>
        <row r="57">
          <cell r="B57">
            <v>5</v>
          </cell>
          <cell r="C57" t="str">
            <v>休息区</v>
          </cell>
        </row>
        <row r="58">
          <cell r="B58">
            <v>5</v>
          </cell>
          <cell r="C58" t="str">
            <v>休息区</v>
          </cell>
        </row>
        <row r="59">
          <cell r="B59">
            <v>5</v>
          </cell>
          <cell r="C59" t="str">
            <v>休息区</v>
          </cell>
        </row>
        <row r="60">
          <cell r="B60">
            <v>6</v>
          </cell>
          <cell r="C60" t="str">
            <v>提款机</v>
          </cell>
        </row>
        <row r="61">
          <cell r="B61">
            <v>6</v>
          </cell>
          <cell r="C61" t="str">
            <v>提款机</v>
          </cell>
        </row>
        <row r="62">
          <cell r="B62">
            <v>6</v>
          </cell>
          <cell r="C62" t="str">
            <v>提款机</v>
          </cell>
        </row>
        <row r="63">
          <cell r="B63">
            <v>6</v>
          </cell>
          <cell r="C63" t="str">
            <v>提款机</v>
          </cell>
        </row>
        <row r="64">
          <cell r="B64">
            <v>6</v>
          </cell>
          <cell r="C64" t="str">
            <v>提款机</v>
          </cell>
        </row>
        <row r="65">
          <cell r="B65">
            <v>6</v>
          </cell>
          <cell r="C65" t="str">
            <v>提款机</v>
          </cell>
        </row>
        <row r="66">
          <cell r="B66">
            <v>6</v>
          </cell>
          <cell r="C66" t="str">
            <v>提款机</v>
          </cell>
        </row>
        <row r="67">
          <cell r="B67">
            <v>6</v>
          </cell>
          <cell r="C67" t="str">
            <v>提款机</v>
          </cell>
        </row>
        <row r="68">
          <cell r="B68">
            <v>6</v>
          </cell>
          <cell r="C68" t="str">
            <v>提款机</v>
          </cell>
        </row>
        <row r="69">
          <cell r="B69">
            <v>6</v>
          </cell>
          <cell r="C69" t="str">
            <v>提款机</v>
          </cell>
        </row>
        <row r="70">
          <cell r="B70">
            <v>6</v>
          </cell>
          <cell r="C70" t="str">
            <v>提款机</v>
          </cell>
        </row>
        <row r="71">
          <cell r="B71">
            <v>7</v>
          </cell>
          <cell r="C71" t="str">
            <v>停机坪</v>
          </cell>
        </row>
        <row r="72">
          <cell r="B72">
            <v>7</v>
          </cell>
          <cell r="C72" t="str">
            <v>停机坪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tabSelected="1" workbookViewId="0">
      <pane xSplit="1" ySplit="4" topLeftCell="B5" activePane="bottomRight" state="frozenSplit"/>
      <selection/>
      <selection pane="topRight"/>
      <selection pane="bottomLeft"/>
      <selection pane="bottomRight" activeCell="O7" sqref="O7"/>
    </sheetView>
  </sheetViews>
  <sheetFormatPr defaultColWidth="9" defaultRowHeight="20" customHeight="1"/>
  <cols>
    <col min="1" max="1" width="6.375" customWidth="1"/>
    <col min="2" max="2" width="6.875" customWidth="1"/>
    <col min="3" max="3" width="7" customWidth="1"/>
    <col min="4" max="4" width="13" customWidth="1"/>
    <col min="5" max="5" width="17.125" customWidth="1"/>
    <col min="6" max="6" width="25.125" customWidth="1"/>
    <col min="7" max="7" width="3.625" customWidth="1"/>
    <col min="9" max="9" width="2.75" customWidth="1"/>
    <col min="11" max="11" width="2.875" customWidth="1"/>
    <col min="13" max="13" width="2.625" customWidth="1"/>
    <col min="15" max="15" width="10.125" customWidth="1"/>
    <col min="16" max="16" width="17.75" customWidth="1"/>
    <col min="17" max="17" width="20.25" customWidth="1"/>
  </cols>
  <sheetData>
    <row r="1" customHeight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O1" t="s">
        <v>6</v>
      </c>
    </row>
    <row r="2" customHeight="1" spans="1:16">
      <c r="A2" t="s">
        <v>7</v>
      </c>
      <c r="B2" t="s">
        <v>7</v>
      </c>
      <c r="C2" t="s">
        <v>7</v>
      </c>
      <c r="D2" s="1" t="s">
        <v>8</v>
      </c>
      <c r="E2" s="2" t="s">
        <v>9</v>
      </c>
      <c r="F2" s="2" t="s">
        <v>10</v>
      </c>
      <c r="O2" t="s">
        <v>11</v>
      </c>
      <c r="P2" s="2"/>
    </row>
    <row r="3" customHeight="1" spans="1:17">
      <c r="A3" t="s">
        <v>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O3" s="4" t="s">
        <v>17</v>
      </c>
      <c r="P3" s="4"/>
      <c r="Q3" s="4"/>
    </row>
    <row r="4" customHeight="1" spans="15:17">
      <c r="O4" s="4"/>
      <c r="P4" s="4"/>
      <c r="Q4" s="4"/>
    </row>
    <row r="5" customFormat="1" customHeight="1" spans="1:15">
      <c r="A5">
        <f>B5*1000+C5</f>
        <v>1000</v>
      </c>
      <c r="B5">
        <v>1</v>
      </c>
      <c r="C5">
        <v>0</v>
      </c>
      <c r="D5" t="s">
        <v>18</v>
      </c>
      <c r="E5" t="s">
        <v>19</v>
      </c>
      <c r="F5" s="3"/>
      <c r="G5" s="1"/>
      <c r="H5" s="1" t="s">
        <v>20</v>
      </c>
      <c r="I5" s="1"/>
      <c r="J5" s="1"/>
      <c r="K5" s="1"/>
      <c r="L5" s="1"/>
      <c r="M5" s="1"/>
      <c r="N5" s="1"/>
      <c r="O5">
        <v>5</v>
      </c>
    </row>
    <row r="6" customHeight="1" spans="1:15">
      <c r="A6">
        <f>B6*1000+C6</f>
        <v>1001</v>
      </c>
      <c r="B6">
        <v>1</v>
      </c>
      <c r="C6">
        <v>1</v>
      </c>
      <c r="D6" t="s">
        <v>18</v>
      </c>
      <c r="E6" t="s">
        <v>21</v>
      </c>
      <c r="F6" s="3" t="s">
        <v>22</v>
      </c>
      <c r="G6" s="1">
        <f>_xlfn.XLOOKUP(H6,[1]BuildingFunction!$C:$C,[1]BuildingFunction!$B:$B)</f>
        <v>4</v>
      </c>
      <c r="H6" s="1" t="s">
        <v>23</v>
      </c>
      <c r="I6" s="1">
        <f>_xlfn.XLOOKUP(J6,[1]BuildingFunction!$C:$C,[1]BuildingFunction!$B:$B)</f>
        <v>5</v>
      </c>
      <c r="J6" s="1" t="s">
        <v>24</v>
      </c>
      <c r="K6" s="1"/>
      <c r="L6" s="1"/>
      <c r="M6" s="1"/>
      <c r="N6" s="1"/>
      <c r="O6">
        <v>15</v>
      </c>
    </row>
    <row r="7" customHeight="1" spans="1:22">
      <c r="A7">
        <f t="shared" ref="A7:A12" si="0">B7*1000+C7</f>
        <v>1002</v>
      </c>
      <c r="B7">
        <v>1</v>
      </c>
      <c r="C7">
        <v>2</v>
      </c>
      <c r="D7" t="s">
        <v>18</v>
      </c>
      <c r="E7" t="s">
        <v>25</v>
      </c>
      <c r="F7" s="3" t="s">
        <v>26</v>
      </c>
      <c r="G7" s="1">
        <v>6</v>
      </c>
      <c r="H7" s="1" t="s">
        <v>27</v>
      </c>
      <c r="I7" s="1">
        <v>6</v>
      </c>
      <c r="J7" s="1" t="s">
        <v>27</v>
      </c>
      <c r="K7" s="1"/>
      <c r="L7" s="1"/>
      <c r="M7" s="1"/>
      <c r="N7" s="1"/>
      <c r="O7">
        <v>30</v>
      </c>
      <c r="V7" s="1"/>
    </row>
    <row r="8" customHeight="1" spans="1:15">
      <c r="A8">
        <f t="shared" si="0"/>
        <v>1003</v>
      </c>
      <c r="B8">
        <v>1</v>
      </c>
      <c r="C8">
        <v>3</v>
      </c>
      <c r="D8" t="s">
        <v>18</v>
      </c>
      <c r="E8" t="s">
        <v>28</v>
      </c>
      <c r="F8" s="3" t="s">
        <v>29</v>
      </c>
      <c r="G8" s="1">
        <f>_xlfn.XLOOKUP(H8,[1]BuildingFunction!$C:$C,[1]BuildingFunction!$B:$B)</f>
        <v>1</v>
      </c>
      <c r="H8" s="1" t="s">
        <v>30</v>
      </c>
      <c r="I8" s="1">
        <f>_xlfn.XLOOKUP(J8,[1]BuildingFunction!$C:$C,[1]BuildingFunction!$B:$B)</f>
        <v>1</v>
      </c>
      <c r="J8" s="1" t="s">
        <v>30</v>
      </c>
      <c r="K8" s="1">
        <f>_xlfn.XLOOKUP(L8,[1]BuildingFunction!$C:$C,[1]BuildingFunction!$B:$B)</f>
        <v>1</v>
      </c>
      <c r="L8" s="1" t="s">
        <v>30</v>
      </c>
      <c r="M8" s="1">
        <f>_xlfn.XLOOKUP(N8,[1]BuildingFunction!$C:$C,[1]BuildingFunction!$B:$B)</f>
        <v>1</v>
      </c>
      <c r="N8" s="1" t="s">
        <v>30</v>
      </c>
      <c r="O8">
        <v>60</v>
      </c>
    </row>
    <row r="9" customHeight="1" spans="1:17">
      <c r="A9">
        <f t="shared" si="0"/>
        <v>1004</v>
      </c>
      <c r="B9">
        <v>1</v>
      </c>
      <c r="C9">
        <v>4</v>
      </c>
      <c r="D9" t="s">
        <v>18</v>
      </c>
      <c r="E9" t="s">
        <v>31</v>
      </c>
      <c r="F9" s="3" t="s">
        <v>32</v>
      </c>
      <c r="G9" s="1">
        <f>_xlfn.XLOOKUP(H9,[1]BuildingFunction!$C:$C,[1]BuildingFunction!$B:$B)</f>
        <v>2</v>
      </c>
      <c r="H9" s="1" t="s">
        <v>33</v>
      </c>
      <c r="I9" s="1">
        <f>_xlfn.XLOOKUP(J9,[1]BuildingFunction!$C:$C,[1]BuildingFunction!$B:$B)</f>
        <v>2</v>
      </c>
      <c r="J9" s="1" t="s">
        <v>33</v>
      </c>
      <c r="K9" s="1"/>
      <c r="L9" s="1"/>
      <c r="M9" s="1"/>
      <c r="N9" s="1"/>
      <c r="O9">
        <v>120</v>
      </c>
      <c r="Q9" s="4"/>
    </row>
    <row r="10" customHeight="1" spans="1:17">
      <c r="A10">
        <f t="shared" si="0"/>
        <v>1005</v>
      </c>
      <c r="B10">
        <v>1</v>
      </c>
      <c r="C10">
        <v>5</v>
      </c>
      <c r="D10" t="s">
        <v>18</v>
      </c>
      <c r="E10" t="s">
        <v>34</v>
      </c>
      <c r="F10" s="3">
        <v>10300</v>
      </c>
      <c r="G10" s="1">
        <f>_xlfn.XLOOKUP(H10,[1]BuildingFunction!$C:$C,[1]BuildingFunction!$B:$B)</f>
        <v>3</v>
      </c>
      <c r="H10" s="1" t="s">
        <v>35</v>
      </c>
      <c r="I10" s="1"/>
      <c r="J10" s="1"/>
      <c r="K10" s="1"/>
      <c r="L10" s="1"/>
      <c r="M10" s="1"/>
      <c r="N10" s="1"/>
      <c r="O10">
        <v>180</v>
      </c>
      <c r="Q10" s="4"/>
    </row>
    <row r="11" customHeight="1" spans="1:17">
      <c r="A11">
        <f t="shared" si="0"/>
        <v>1006</v>
      </c>
      <c r="B11">
        <v>1</v>
      </c>
      <c r="C11">
        <v>6</v>
      </c>
      <c r="D11" t="s">
        <v>36</v>
      </c>
      <c r="E11" t="s">
        <v>28</v>
      </c>
      <c r="F11" s="3" t="s">
        <v>29</v>
      </c>
      <c r="G11" s="1">
        <f>_xlfn.XLOOKUP(H11,[1]BuildingFunction!$C:$C,[1]BuildingFunction!$B:$B)</f>
        <v>1</v>
      </c>
      <c r="H11" s="1" t="s">
        <v>30</v>
      </c>
      <c r="I11" s="1">
        <f>_xlfn.XLOOKUP(J11,[1]BuildingFunction!$C:$C,[1]BuildingFunction!$B:$B)</f>
        <v>1</v>
      </c>
      <c r="J11" s="1" t="s">
        <v>30</v>
      </c>
      <c r="K11" s="1">
        <f>_xlfn.XLOOKUP(L11,[1]BuildingFunction!$C:$C,[1]BuildingFunction!$B:$B)</f>
        <v>1</v>
      </c>
      <c r="L11" s="1" t="s">
        <v>30</v>
      </c>
      <c r="M11" s="1">
        <f>_xlfn.XLOOKUP(N11,[1]BuildingFunction!$C:$C,[1]BuildingFunction!$B:$B)</f>
        <v>1</v>
      </c>
      <c r="N11" s="1" t="s">
        <v>30</v>
      </c>
      <c r="O11">
        <v>300</v>
      </c>
      <c r="Q11" s="4"/>
    </row>
    <row r="12" customHeight="1" spans="1:17">
      <c r="A12">
        <f t="shared" si="0"/>
        <v>1007</v>
      </c>
      <c r="B12">
        <v>1</v>
      </c>
      <c r="C12">
        <v>7</v>
      </c>
      <c r="D12" t="s">
        <v>37</v>
      </c>
      <c r="E12" t="s">
        <v>31</v>
      </c>
      <c r="F12" s="3" t="s">
        <v>32</v>
      </c>
      <c r="G12" s="1">
        <f>_xlfn.XLOOKUP(H12,[1]BuildingFunction!$C:$C,[1]BuildingFunction!$B:$B)</f>
        <v>2</v>
      </c>
      <c r="H12" s="1" t="s">
        <v>33</v>
      </c>
      <c r="I12" s="1">
        <f>_xlfn.XLOOKUP(J12,[1]BuildingFunction!$C:$C,[1]BuildingFunction!$B:$B)</f>
        <v>2</v>
      </c>
      <c r="J12" s="1" t="s">
        <v>33</v>
      </c>
      <c r="K12" s="1"/>
      <c r="L12" s="1"/>
      <c r="M12" s="1"/>
      <c r="N12" s="1"/>
      <c r="O12">
        <v>600</v>
      </c>
      <c r="Q12" s="4"/>
    </row>
    <row r="13" customHeight="1" spans="1:17">
      <c r="A13">
        <f t="shared" ref="A13:A26" si="1">B13*1000+C13</f>
        <v>1008</v>
      </c>
      <c r="B13">
        <v>1</v>
      </c>
      <c r="C13">
        <v>8</v>
      </c>
      <c r="D13" t="s">
        <v>38</v>
      </c>
      <c r="E13" t="s">
        <v>34</v>
      </c>
      <c r="F13" s="3">
        <v>10300</v>
      </c>
      <c r="G13" s="1">
        <f>_xlfn.XLOOKUP(H13,[1]BuildingFunction!$C:$C,[1]BuildingFunction!$B:$B)</f>
        <v>3</v>
      </c>
      <c r="H13" s="1" t="s">
        <v>35</v>
      </c>
      <c r="I13" s="1"/>
      <c r="J13" s="1"/>
      <c r="K13" s="1"/>
      <c r="L13" s="1"/>
      <c r="M13" s="1"/>
      <c r="N13" s="1"/>
      <c r="O13">
        <v>900</v>
      </c>
      <c r="Q13" s="4"/>
    </row>
    <row r="14" customHeight="1" spans="1:17">
      <c r="A14">
        <f t="shared" si="1"/>
        <v>1009</v>
      </c>
      <c r="B14">
        <v>1</v>
      </c>
      <c r="C14">
        <v>9</v>
      </c>
      <c r="D14" t="s">
        <v>39</v>
      </c>
      <c r="E14" t="s">
        <v>28</v>
      </c>
      <c r="F14" s="3" t="s">
        <v>29</v>
      </c>
      <c r="G14" s="1">
        <f>_xlfn.XLOOKUP(H14,[1]BuildingFunction!$C:$C,[1]BuildingFunction!$B:$B)</f>
        <v>1</v>
      </c>
      <c r="H14" s="1" t="s">
        <v>30</v>
      </c>
      <c r="I14" s="1">
        <f>_xlfn.XLOOKUP(J14,[1]BuildingFunction!$C:$C,[1]BuildingFunction!$B:$B)</f>
        <v>1</v>
      </c>
      <c r="J14" s="1" t="s">
        <v>30</v>
      </c>
      <c r="K14" s="1">
        <f>_xlfn.XLOOKUP(L14,[1]BuildingFunction!$C:$C,[1]BuildingFunction!$B:$B)</f>
        <v>1</v>
      </c>
      <c r="L14" s="1" t="s">
        <v>30</v>
      </c>
      <c r="M14" s="1">
        <f>_xlfn.XLOOKUP(N14,[1]BuildingFunction!$C:$C,[1]BuildingFunction!$B:$B)</f>
        <v>1</v>
      </c>
      <c r="N14" s="1" t="s">
        <v>30</v>
      </c>
      <c r="O14" s="4">
        <v>1500</v>
      </c>
      <c r="Q14" s="4"/>
    </row>
    <row r="15" customHeight="1" spans="1:17">
      <c r="A15">
        <f t="shared" si="1"/>
        <v>1010</v>
      </c>
      <c r="B15">
        <v>1</v>
      </c>
      <c r="C15">
        <v>10</v>
      </c>
      <c r="D15" t="s">
        <v>40</v>
      </c>
      <c r="E15" t="s">
        <v>31</v>
      </c>
      <c r="F15" s="3" t="s">
        <v>32</v>
      </c>
      <c r="G15" s="1">
        <f>_xlfn.XLOOKUP(H15,[1]BuildingFunction!$C:$C,[1]BuildingFunction!$B:$B)</f>
        <v>2</v>
      </c>
      <c r="H15" s="1" t="s">
        <v>33</v>
      </c>
      <c r="I15" s="1">
        <f>_xlfn.XLOOKUP(J15,[1]BuildingFunction!$C:$C,[1]BuildingFunction!$B:$B)</f>
        <v>2</v>
      </c>
      <c r="J15" s="1" t="s">
        <v>33</v>
      </c>
      <c r="K15" s="1"/>
      <c r="L15" s="1"/>
      <c r="M15" s="1"/>
      <c r="N15" s="1"/>
      <c r="O15" s="4">
        <v>3600</v>
      </c>
      <c r="Q15" s="4"/>
    </row>
    <row r="16" customHeight="1" spans="1:17">
      <c r="A16">
        <f t="shared" si="1"/>
        <v>1011</v>
      </c>
      <c r="B16">
        <v>1</v>
      </c>
      <c r="C16">
        <v>11</v>
      </c>
      <c r="D16" t="s">
        <v>41</v>
      </c>
      <c r="E16" t="s">
        <v>34</v>
      </c>
      <c r="F16" s="3">
        <v>10300</v>
      </c>
      <c r="G16" s="1">
        <f>_xlfn.XLOOKUP(H16,[1]BuildingFunction!$C:$C,[1]BuildingFunction!$B:$B)</f>
        <v>3</v>
      </c>
      <c r="H16" s="1" t="s">
        <v>35</v>
      </c>
      <c r="I16" s="1"/>
      <c r="J16" s="1"/>
      <c r="K16" s="1"/>
      <c r="L16" s="1"/>
      <c r="M16" s="1"/>
      <c r="N16" s="1"/>
      <c r="O16" s="4">
        <v>4200</v>
      </c>
      <c r="Q16" s="4"/>
    </row>
    <row r="17" customHeight="1" spans="1:17">
      <c r="A17">
        <f t="shared" si="1"/>
        <v>1012</v>
      </c>
      <c r="B17">
        <v>1</v>
      </c>
      <c r="C17">
        <v>12</v>
      </c>
      <c r="D17" t="s">
        <v>42</v>
      </c>
      <c r="E17" t="s">
        <v>28</v>
      </c>
      <c r="F17" s="3" t="s">
        <v>29</v>
      </c>
      <c r="G17" s="1">
        <f>_xlfn.XLOOKUP(H17,[1]BuildingFunction!$C:$C,[1]BuildingFunction!$B:$B)</f>
        <v>1</v>
      </c>
      <c r="H17" s="1" t="s">
        <v>30</v>
      </c>
      <c r="I17" s="1">
        <f>_xlfn.XLOOKUP(J17,[1]BuildingFunction!$C:$C,[1]BuildingFunction!$B:$B)</f>
        <v>1</v>
      </c>
      <c r="J17" s="1" t="s">
        <v>30</v>
      </c>
      <c r="K17" s="1">
        <f>_xlfn.XLOOKUP(L17,[1]BuildingFunction!$C:$C,[1]BuildingFunction!$B:$B)</f>
        <v>1</v>
      </c>
      <c r="L17" s="1" t="s">
        <v>30</v>
      </c>
      <c r="M17" s="1">
        <f>_xlfn.XLOOKUP(N17,[1]BuildingFunction!$C:$C,[1]BuildingFunction!$B:$B)</f>
        <v>1</v>
      </c>
      <c r="N17" s="1" t="s">
        <v>30</v>
      </c>
      <c r="O17" s="4">
        <v>12000</v>
      </c>
      <c r="Q17" s="4"/>
    </row>
    <row r="18" customHeight="1" spans="1:17">
      <c r="A18">
        <f t="shared" si="1"/>
        <v>1013</v>
      </c>
      <c r="B18">
        <v>1</v>
      </c>
      <c r="C18">
        <v>13</v>
      </c>
      <c r="D18" t="s">
        <v>43</v>
      </c>
      <c r="E18" t="s">
        <v>31</v>
      </c>
      <c r="F18" s="3" t="s">
        <v>32</v>
      </c>
      <c r="G18" s="1">
        <f>_xlfn.XLOOKUP(H18,[1]BuildingFunction!$C:$C,[1]BuildingFunction!$B:$B)</f>
        <v>2</v>
      </c>
      <c r="H18" s="1" t="s">
        <v>33</v>
      </c>
      <c r="I18" s="1">
        <f>_xlfn.XLOOKUP(J18,[1]BuildingFunction!$C:$C,[1]BuildingFunction!$B:$B)</f>
        <v>2</v>
      </c>
      <c r="J18" s="1" t="s">
        <v>33</v>
      </c>
      <c r="K18" s="1"/>
      <c r="L18" s="1"/>
      <c r="M18" s="1"/>
      <c r="N18" s="1"/>
      <c r="O18" s="4">
        <v>13200</v>
      </c>
      <c r="Q18" s="4"/>
    </row>
    <row r="19" customHeight="1" spans="1:17">
      <c r="A19">
        <f t="shared" si="1"/>
        <v>1014</v>
      </c>
      <c r="B19">
        <v>1</v>
      </c>
      <c r="C19">
        <v>14</v>
      </c>
      <c r="D19" t="s">
        <v>44</v>
      </c>
      <c r="E19" t="s">
        <v>34</v>
      </c>
      <c r="F19" s="3">
        <v>10300</v>
      </c>
      <c r="G19" s="1">
        <f>_xlfn.XLOOKUP(H19,[1]BuildingFunction!$C:$C,[1]BuildingFunction!$B:$B)</f>
        <v>3</v>
      </c>
      <c r="H19" s="1" t="s">
        <v>35</v>
      </c>
      <c r="I19" s="1"/>
      <c r="J19" s="1"/>
      <c r="K19" s="1"/>
      <c r="L19" s="1"/>
      <c r="M19" s="1"/>
      <c r="N19" s="1"/>
      <c r="O19" s="4">
        <v>14400</v>
      </c>
      <c r="Q19" s="4"/>
    </row>
    <row r="20" customHeight="1" spans="1:17">
      <c r="A20">
        <f t="shared" si="1"/>
        <v>1015</v>
      </c>
      <c r="B20">
        <v>1</v>
      </c>
      <c r="C20">
        <v>15</v>
      </c>
      <c r="D20" t="s">
        <v>45</v>
      </c>
      <c r="E20" t="s">
        <v>28</v>
      </c>
      <c r="F20" s="3" t="s">
        <v>29</v>
      </c>
      <c r="G20" s="1">
        <f>_xlfn.XLOOKUP(H20,[1]BuildingFunction!$C:$C,[1]BuildingFunction!$B:$B)</f>
        <v>1</v>
      </c>
      <c r="H20" s="1" t="s">
        <v>30</v>
      </c>
      <c r="I20" s="1">
        <f>_xlfn.XLOOKUP(J20,[1]BuildingFunction!$C:$C,[1]BuildingFunction!$B:$B)</f>
        <v>1</v>
      </c>
      <c r="J20" s="1" t="s">
        <v>30</v>
      </c>
      <c r="K20" s="1">
        <f>_xlfn.XLOOKUP(L20,[1]BuildingFunction!$C:$C,[1]BuildingFunction!$B:$B)</f>
        <v>1</v>
      </c>
      <c r="L20" s="1" t="s">
        <v>30</v>
      </c>
      <c r="M20" s="1">
        <f>_xlfn.XLOOKUP(N20,[1]BuildingFunction!$C:$C,[1]BuildingFunction!$B:$B)</f>
        <v>1</v>
      </c>
      <c r="N20" s="1" t="s">
        <v>30</v>
      </c>
      <c r="O20" s="4">
        <v>33600</v>
      </c>
      <c r="Q20" s="4"/>
    </row>
    <row r="21" customHeight="1" spans="1:17">
      <c r="A21">
        <f t="shared" si="1"/>
        <v>1016</v>
      </c>
      <c r="B21">
        <v>1</v>
      </c>
      <c r="C21">
        <v>16</v>
      </c>
      <c r="D21" t="s">
        <v>46</v>
      </c>
      <c r="E21" t="s">
        <v>31</v>
      </c>
      <c r="F21" s="3" t="s">
        <v>32</v>
      </c>
      <c r="G21" s="1">
        <f>_xlfn.XLOOKUP(H21,[1]BuildingFunction!$C:$C,[1]BuildingFunction!$B:$B)</f>
        <v>2</v>
      </c>
      <c r="H21" s="1" t="s">
        <v>33</v>
      </c>
      <c r="I21" s="1">
        <f>_xlfn.XLOOKUP(J21,[1]BuildingFunction!$C:$C,[1]BuildingFunction!$B:$B)</f>
        <v>2</v>
      </c>
      <c r="J21" s="1" t="s">
        <v>33</v>
      </c>
      <c r="K21" s="1"/>
      <c r="L21" s="1"/>
      <c r="M21" s="1"/>
      <c r="N21" s="1"/>
      <c r="O21" s="4">
        <v>36000</v>
      </c>
      <c r="Q21" s="4"/>
    </row>
    <row r="22" customHeight="1" spans="1:17">
      <c r="A22">
        <f t="shared" si="1"/>
        <v>1017</v>
      </c>
      <c r="B22">
        <v>1</v>
      </c>
      <c r="C22">
        <v>17</v>
      </c>
      <c r="D22" t="s">
        <v>47</v>
      </c>
      <c r="E22" t="s">
        <v>34</v>
      </c>
      <c r="F22" s="3">
        <v>10300</v>
      </c>
      <c r="G22" s="1">
        <f>_xlfn.XLOOKUP(H22,[1]BuildingFunction!$C:$C,[1]BuildingFunction!$B:$B)</f>
        <v>3</v>
      </c>
      <c r="H22" s="1" t="s">
        <v>35</v>
      </c>
      <c r="I22" s="1"/>
      <c r="J22" s="1"/>
      <c r="K22" s="1"/>
      <c r="L22" s="1"/>
      <c r="M22" s="1"/>
      <c r="N22" s="1"/>
      <c r="O22" s="4">
        <v>38400</v>
      </c>
      <c r="Q22" s="4"/>
    </row>
    <row r="23" customHeight="1" spans="1:17">
      <c r="A23">
        <f t="shared" si="1"/>
        <v>1018</v>
      </c>
      <c r="B23">
        <v>1</v>
      </c>
      <c r="C23">
        <v>18</v>
      </c>
      <c r="D23" t="s">
        <v>48</v>
      </c>
      <c r="E23" t="s">
        <v>28</v>
      </c>
      <c r="F23" s="3" t="s">
        <v>29</v>
      </c>
      <c r="G23" s="1">
        <f>_xlfn.XLOOKUP(H23,[1]BuildingFunction!$C:$C,[1]BuildingFunction!$B:$B)</f>
        <v>1</v>
      </c>
      <c r="H23" s="1" t="s">
        <v>30</v>
      </c>
      <c r="I23" s="1">
        <f>_xlfn.XLOOKUP(J23,[1]BuildingFunction!$C:$C,[1]BuildingFunction!$B:$B)</f>
        <v>1</v>
      </c>
      <c r="J23" s="1" t="s">
        <v>30</v>
      </c>
      <c r="K23" s="1">
        <f>_xlfn.XLOOKUP(L23,[1]BuildingFunction!$C:$C,[1]BuildingFunction!$B:$B)</f>
        <v>1</v>
      </c>
      <c r="L23" s="1" t="s">
        <v>30</v>
      </c>
      <c r="M23" s="1">
        <f>_xlfn.XLOOKUP(N23,[1]BuildingFunction!$C:$C,[1]BuildingFunction!$B:$B)</f>
        <v>1</v>
      </c>
      <c r="N23" s="1" t="s">
        <v>30</v>
      </c>
      <c r="O23" s="4">
        <v>81600</v>
      </c>
      <c r="Q23" s="4"/>
    </row>
    <row r="24" customHeight="1" spans="1:17">
      <c r="A24">
        <f t="shared" si="1"/>
        <v>1019</v>
      </c>
      <c r="B24">
        <v>1</v>
      </c>
      <c r="C24">
        <v>19</v>
      </c>
      <c r="D24" t="s">
        <v>49</v>
      </c>
      <c r="E24" t="s">
        <v>31</v>
      </c>
      <c r="F24" s="3" t="s">
        <v>32</v>
      </c>
      <c r="G24" s="1">
        <f>_xlfn.XLOOKUP(H24,[1]BuildingFunction!$C:$C,[1]BuildingFunction!$B:$B)</f>
        <v>2</v>
      </c>
      <c r="H24" s="1" t="s">
        <v>33</v>
      </c>
      <c r="I24" s="1">
        <f>_xlfn.XLOOKUP(J24,[1]BuildingFunction!$C:$C,[1]BuildingFunction!$B:$B)</f>
        <v>2</v>
      </c>
      <c r="J24" s="1" t="s">
        <v>33</v>
      </c>
      <c r="K24" s="1"/>
      <c r="L24" s="1"/>
      <c r="M24" s="1"/>
      <c r="N24" s="1"/>
      <c r="O24" s="4">
        <v>86400</v>
      </c>
      <c r="Q24" s="4"/>
    </row>
    <row r="25" customHeight="1" spans="1:17">
      <c r="A25">
        <f t="shared" si="1"/>
        <v>1020</v>
      </c>
      <c r="B25">
        <v>1</v>
      </c>
      <c r="C25">
        <v>20</v>
      </c>
      <c r="D25" t="s">
        <v>50</v>
      </c>
      <c r="E25" t="s">
        <v>34</v>
      </c>
      <c r="F25" s="3">
        <v>10300</v>
      </c>
      <c r="G25" s="1">
        <f>_xlfn.XLOOKUP(H25,[1]BuildingFunction!$C:$C,[1]BuildingFunction!$B:$B)</f>
        <v>3</v>
      </c>
      <c r="H25" s="1" t="s">
        <v>35</v>
      </c>
      <c r="I25" s="1"/>
      <c r="J25" s="1"/>
      <c r="K25" s="1"/>
      <c r="L25" s="1"/>
      <c r="M25" s="1"/>
      <c r="N25" s="1"/>
      <c r="O25" s="4">
        <v>91200</v>
      </c>
      <c r="Q25" s="4"/>
    </row>
    <row r="26" customFormat="1" customHeight="1" spans="1:17">
      <c r="A26">
        <f t="shared" si="1"/>
        <v>1021</v>
      </c>
      <c r="B26">
        <v>1</v>
      </c>
      <c r="C26">
        <v>21</v>
      </c>
      <c r="D26" t="s">
        <v>51</v>
      </c>
      <c r="E26" t="s">
        <v>52</v>
      </c>
      <c r="F26" s="3">
        <v>10700</v>
      </c>
      <c r="G26" s="1">
        <f>_xlfn.XLOOKUP(H26,[2]BuildingFunction!$C:$C,[2]BuildingFunction!$B:$B)</f>
        <v>7</v>
      </c>
      <c r="H26" s="4" t="s">
        <v>53</v>
      </c>
      <c r="I26" s="1"/>
      <c r="O26" s="4">
        <v>91200</v>
      </c>
      <c r="Q26" s="4"/>
    </row>
    <row r="27" customHeight="1" spans="17:17">
      <c r="Q27" s="4"/>
    </row>
    <row r="28" customHeight="1" spans="17:17">
      <c r="Q28" s="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BuildingFloor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2025-08-15T07:06:00Z</dcterms:created>
  <dcterms:modified xsi:type="dcterms:W3CDTF">2025-10-20T10:30:38Z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9C00F75A9F754ECBAD9DB5A4E8C2C35E_12</vt:lpwstr>
  </property>
  <property fmtid="{D5CDD505-2E9C-101B-9397-08002B2CF9AE}" pid="3" name="KSOProductBuildVer">
    <vt:lpwstr>2052-12.1.0.22529</vt:lpwstr>
  </property>
</Properties>
</file>