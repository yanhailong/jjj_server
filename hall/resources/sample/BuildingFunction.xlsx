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uildingFunctio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slot机台
2. 扑克牌桌
3. 幸运转盘
4. 吧台区 休息区
5. 
6. 提款机
7. 停机平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产出间隔（分钟）_ 道具ID _ 道具数量 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填建筑类型ID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</t>
        </r>
      </text>
    </comment>
  </commentList>
</comments>
</file>

<file path=xl/sharedStrings.xml><?xml version="1.0" encoding="utf-8"?>
<sst xmlns="http://schemas.openxmlformats.org/spreadsheetml/2006/main" count="254" uniqueCount="102">
  <si>
    <t>id</t>
  </si>
  <si>
    <t>建筑类型</t>
  </si>
  <si>
    <t>#备注</t>
  </si>
  <si>
    <t>需要的空间大小</t>
  </si>
  <si>
    <t>建筑多语言ID</t>
  </si>
  <si>
    <t>可雇佣员工数量</t>
  </si>
  <si>
    <t>等级</t>
  </si>
  <si>
    <t>基础产出/分钟</t>
  </si>
  <si>
    <t>升下一级消耗道具ID</t>
  </si>
  <si>
    <t>升级受建筑类型等级限制</t>
  </si>
  <si>
    <t>升级条件</t>
  </si>
  <si>
    <t>下一级建筑ID</t>
  </si>
  <si>
    <t>升级耗时/秒</t>
  </si>
  <si>
    <t>基础存储数量</t>
  </si>
  <si>
    <t>建筑效果</t>
  </si>
  <si>
    <t>建筑多语言描述ID</t>
  </si>
  <si>
    <t>int</t>
  </si>
  <si>
    <t>list&lt;int&gt;{_}</t>
  </si>
  <si>
    <t>map&lt;int{_}long&gt;{;}</t>
  </si>
  <si>
    <t>map&lt;int{_}int&gt;{;}</t>
  </si>
  <si>
    <t>typeID</t>
  </si>
  <si>
    <t>spaceSize</t>
  </si>
  <si>
    <t>name</t>
  </si>
  <si>
    <t>numEmployees</t>
  </si>
  <si>
    <t>buldlevel</t>
  </si>
  <si>
    <t>output</t>
  </si>
  <si>
    <t>uplevel_itemid</t>
  </si>
  <si>
    <t>maxLevelType</t>
  </si>
  <si>
    <t>condition</t>
  </si>
  <si>
    <t>nextlevelID</t>
  </si>
  <si>
    <t>uptime</t>
  </si>
  <si>
    <t>savenum</t>
  </si>
  <si>
    <t>buffid</t>
  </si>
  <si>
    <t>describe</t>
  </si>
  <si>
    <t>slot机台</t>
  </si>
  <si>
    <t>1023001_1</t>
  </si>
  <si>
    <t>1_1</t>
  </si>
  <si>
    <t>1_1990000_100</t>
  </si>
  <si>
    <t>1023001_5</t>
  </si>
  <si>
    <t>1_10</t>
  </si>
  <si>
    <t>1_1990000_110</t>
  </si>
  <si>
    <t>1023001_10</t>
  </si>
  <si>
    <t>1_1990000_120</t>
  </si>
  <si>
    <t>1023001_20</t>
  </si>
  <si>
    <t>1_1990000_130</t>
  </si>
  <si>
    <t>1023001_50</t>
  </si>
  <si>
    <t>1_1990000_140</t>
  </si>
  <si>
    <t>1023001_100;1980000_1</t>
  </si>
  <si>
    <t>1_1990000_150</t>
  </si>
  <si>
    <t>1023001_200;1980000_10</t>
  </si>
  <si>
    <t>1_1990000_160</t>
  </si>
  <si>
    <t>1023001_500;1980000_20</t>
  </si>
  <si>
    <t>1_1990000_170</t>
  </si>
  <si>
    <t>1023001_1000;1980000_50</t>
  </si>
  <si>
    <t>1_1990000_180</t>
  </si>
  <si>
    <t>1023001_2000;1980000_100</t>
  </si>
  <si>
    <t>1_1990000_190</t>
  </si>
  <si>
    <t>扑克牌桌</t>
  </si>
  <si>
    <t>1023101_1</t>
  </si>
  <si>
    <t>1023101_5</t>
  </si>
  <si>
    <t>1023101_10</t>
  </si>
  <si>
    <t>1023101_20</t>
  </si>
  <si>
    <t>1023101_50</t>
  </si>
  <si>
    <t>1023101_100;1980000_1</t>
  </si>
  <si>
    <t>1023101_200;1980000_10</t>
  </si>
  <si>
    <t>1023101_500;1980000_20</t>
  </si>
  <si>
    <t>1023101_1000;1980000_50</t>
  </si>
  <si>
    <t>1023101_2000;1980000_100</t>
  </si>
  <si>
    <t>幸运转盘</t>
  </si>
  <si>
    <t>吧台区</t>
  </si>
  <si>
    <t>1023401_1</t>
  </si>
  <si>
    <t>1023401_10</t>
  </si>
  <si>
    <t>1023401_20</t>
  </si>
  <si>
    <t>1023401_50</t>
  </si>
  <si>
    <t>1023401_100;1980000_1</t>
  </si>
  <si>
    <t>1023401_200;1980000_10</t>
  </si>
  <si>
    <t>1023401_500;1980000_20</t>
  </si>
  <si>
    <t>1023401_1000;1980000_50</t>
  </si>
  <si>
    <t>1023401_2000;1980000_100</t>
  </si>
  <si>
    <t>休息区</t>
  </si>
  <si>
    <t>1023301_1</t>
  </si>
  <si>
    <t>1023301_5</t>
  </si>
  <si>
    <t>1023301_10</t>
  </si>
  <si>
    <t>1023301_20</t>
  </si>
  <si>
    <t>1023301_50</t>
  </si>
  <si>
    <t>1023301_100;1980000_1</t>
  </si>
  <si>
    <t>1023301_200;1980000_10</t>
  </si>
  <si>
    <t>1023301_500;1980000_20</t>
  </si>
  <si>
    <t>1023301_1000;1980000_50</t>
  </si>
  <si>
    <t>1023301_2000;1980000_100</t>
  </si>
  <si>
    <t>提款机</t>
  </si>
  <si>
    <t>1023201_1</t>
  </si>
  <si>
    <t>1023201_5</t>
  </si>
  <si>
    <t>1023201_10</t>
  </si>
  <si>
    <t>1023201_20</t>
  </si>
  <si>
    <t>1023201_50</t>
  </si>
  <si>
    <t>1023201_100;1980000_1</t>
  </si>
  <si>
    <t>1023201_200;1980000_10</t>
  </si>
  <si>
    <t>1023201_500;1980000_20</t>
  </si>
  <si>
    <t>1023201_1000;1980000_50</t>
  </si>
  <si>
    <t>1023201_2000;1980000_100</t>
  </si>
  <si>
    <t>停机坪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</si>
</sst>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 applyFill="1" applyAlignment="1">
      <alignment vertical="center"/>
    </xf>
    <xf numFmtId="49" fontId="1" fillId="0" borderId="0" xfId="0" applyNumberFormat="1" applyFont="1">
      <alignment vertical="center"/>
    </xf>
    <xf numFmtId="0" fontId="0" fillId="0" borderId="0" xfId="0" applyFont="1" applyFill="1" applyAlignment="1">
      <alignment horizontal="left" vertical="center"/>
    </xf>
    <xf numFmtId="0" fontId="1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2"/>
  <sheetViews>
    <sheetView tabSelected="1" zoomScale="85" zoomScaleNormal="85" workbookViewId="0">
      <pane xSplit="1" ySplit="3" topLeftCell="B19" activePane="bottomRight" state="frozenSplit"/>
      <selection/>
      <selection pane="topRight"/>
      <selection pane="bottomLeft"/>
      <selection pane="bottomRight" activeCell="N37" sqref="N37"/>
    </sheetView>
  </sheetViews>
  <sheetFormatPr defaultColWidth="9" defaultRowHeight="19" customHeight="1"/>
  <cols>
    <col min="1" max="1" width="9.625" style="1" customWidth="1"/>
    <col min="2" max="2" width="8.875" style="1" customWidth="1"/>
    <col min="3" max="3" width="9" style="1"/>
    <col min="4" max="4" width="15" style="1" customWidth="1"/>
    <col min="5" max="6" width="16.625" style="2" customWidth="1"/>
    <col min="7" max="7" width="9" style="1"/>
    <col min="8" max="8" width="13.875" style="1" customWidth="1"/>
    <col min="9" max="9" width="34" style="3" customWidth="1"/>
    <col min="10" max="10" width="15" style="3" customWidth="1"/>
    <col min="11" max="11" width="15.25" style="3" customWidth="1"/>
    <col min="12" max="12" width="12.875" style="3" customWidth="1"/>
    <col min="13" max="13" width="12.375" style="1" customWidth="1"/>
    <col min="14" max="14" width="13.25" style="1" customWidth="1"/>
    <col min="15" max="15" width="9" style="1"/>
    <col min="16" max="16" width="17" style="2" customWidth="1"/>
    <col min="17" max="16384" width="9" style="1"/>
  </cols>
  <sheetData>
    <row r="1" customHeight="1" spans="1:1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customHeight="1" spans="1:16">
      <c r="A2" s="1" t="s">
        <v>16</v>
      </c>
      <c r="B2" s="1" t="s">
        <v>16</v>
      </c>
      <c r="D2" s="2" t="s">
        <v>16</v>
      </c>
      <c r="E2" s="2" t="s">
        <v>16</v>
      </c>
      <c r="F2" s="2" t="s">
        <v>16</v>
      </c>
      <c r="G2" s="1" t="s">
        <v>16</v>
      </c>
      <c r="H2" s="4" t="s">
        <v>17</v>
      </c>
      <c r="I2" s="2" t="s">
        <v>18</v>
      </c>
      <c r="J2" s="1" t="s">
        <v>16</v>
      </c>
      <c r="K2" s="2" t="s">
        <v>19</v>
      </c>
      <c r="L2" s="1" t="s">
        <v>16</v>
      </c>
      <c r="M2" s="1" t="s">
        <v>16</v>
      </c>
      <c r="N2" s="1" t="s">
        <v>16</v>
      </c>
      <c r="O2" s="1" t="s">
        <v>16</v>
      </c>
      <c r="P2" s="2" t="s">
        <v>16</v>
      </c>
    </row>
    <row r="3" customHeight="1" spans="1:16">
      <c r="A3" s="1" t="s">
        <v>0</v>
      </c>
      <c r="B3" s="1" t="s">
        <v>20</v>
      </c>
      <c r="D3" s="1" t="s">
        <v>21</v>
      </c>
      <c r="E3" s="2" t="s">
        <v>22</v>
      </c>
      <c r="F3" s="2" t="s">
        <v>23</v>
      </c>
      <c r="G3" s="1" t="s">
        <v>24</v>
      </c>
      <c r="H3" s="1" t="s">
        <v>25</v>
      </c>
      <c r="I3" s="3" t="s">
        <v>26</v>
      </c>
      <c r="J3" s="3" t="s">
        <v>27</v>
      </c>
      <c r="K3" s="3" t="s">
        <v>28</v>
      </c>
      <c r="L3" s="3" t="s">
        <v>29</v>
      </c>
      <c r="M3" s="1" t="s">
        <v>30</v>
      </c>
      <c r="N3" s="1" t="s">
        <v>31</v>
      </c>
      <c r="O3" s="1" t="s">
        <v>32</v>
      </c>
      <c r="P3" s="2" t="s">
        <v>33</v>
      </c>
    </row>
    <row r="5" customHeight="1" spans="1:16">
      <c r="A5" s="1">
        <f t="shared" ref="A5:A10" si="0">10000+G5+B5*100</f>
        <v>10100</v>
      </c>
      <c r="B5" s="1">
        <v>1</v>
      </c>
      <c r="C5" s="1" t="s">
        <v>34</v>
      </c>
      <c r="D5" s="1">
        <v>1</v>
      </c>
      <c r="E5" s="2">
        <v>47027</v>
      </c>
      <c r="F5" s="2">
        <v>0</v>
      </c>
      <c r="G5" s="1">
        <v>0</v>
      </c>
      <c r="H5" s="2"/>
      <c r="I5" s="3" t="s">
        <v>35</v>
      </c>
      <c r="J5" s="1">
        <v>4</v>
      </c>
      <c r="K5" t="s">
        <v>36</v>
      </c>
      <c r="L5" s="5">
        <f>A6</f>
        <v>10101</v>
      </c>
      <c r="M5" s="1">
        <v>100</v>
      </c>
      <c r="N5" s="1">
        <v>0</v>
      </c>
      <c r="P5" s="2">
        <v>0</v>
      </c>
    </row>
    <row r="6" customHeight="1" spans="1:16">
      <c r="A6" s="1">
        <f t="shared" si="0"/>
        <v>10101</v>
      </c>
      <c r="B6" s="1">
        <v>1</v>
      </c>
      <c r="C6" s="1" t="s">
        <v>34</v>
      </c>
      <c r="D6" s="1">
        <v>1</v>
      </c>
      <c r="E6" s="2">
        <v>47027</v>
      </c>
      <c r="F6" s="2">
        <v>0</v>
      </c>
      <c r="G6" s="1">
        <v>1</v>
      </c>
      <c r="H6" s="2" t="s">
        <v>37</v>
      </c>
      <c r="I6" s="3" t="s">
        <v>38</v>
      </c>
      <c r="J6" s="1">
        <v>4</v>
      </c>
      <c r="K6" t="s">
        <v>39</v>
      </c>
      <c r="L6" s="5">
        <f t="shared" ref="L6:L14" si="1">A7</f>
        <v>10102</v>
      </c>
      <c r="M6" s="1">
        <v>300</v>
      </c>
      <c r="N6" s="1">
        <v>1000</v>
      </c>
      <c r="P6" s="2">
        <f t="shared" ref="P6:P15" si="2">400000+A6</f>
        <v>410101</v>
      </c>
    </row>
    <row r="7" customHeight="1" spans="1:16">
      <c r="A7" s="1">
        <f t="shared" si="0"/>
        <v>10102</v>
      </c>
      <c r="B7" s="1">
        <v>1</v>
      </c>
      <c r="C7" s="1" t="s">
        <v>34</v>
      </c>
      <c r="D7" s="1">
        <v>1</v>
      </c>
      <c r="E7" s="2">
        <v>47027</v>
      </c>
      <c r="F7" s="2">
        <v>0</v>
      </c>
      <c r="G7" s="1">
        <v>2</v>
      </c>
      <c r="H7" s="2" t="s">
        <v>40</v>
      </c>
      <c r="I7" s="3" t="s">
        <v>41</v>
      </c>
      <c r="J7" s="1">
        <v>4</v>
      </c>
      <c r="K7" t="s">
        <v>39</v>
      </c>
      <c r="L7" s="5">
        <f t="shared" si="1"/>
        <v>10103</v>
      </c>
      <c r="M7" s="1">
        <v>600</v>
      </c>
      <c r="N7" s="1">
        <v>1500</v>
      </c>
      <c r="P7" s="2">
        <f t="shared" si="2"/>
        <v>410102</v>
      </c>
    </row>
    <row r="8" customHeight="1" spans="1:16">
      <c r="A8" s="1">
        <f t="shared" si="0"/>
        <v>10103</v>
      </c>
      <c r="B8" s="1">
        <v>1</v>
      </c>
      <c r="C8" s="1" t="s">
        <v>34</v>
      </c>
      <c r="D8" s="1">
        <v>1</v>
      </c>
      <c r="E8" s="2">
        <v>47027</v>
      </c>
      <c r="F8" s="2">
        <v>0</v>
      </c>
      <c r="G8" s="1">
        <v>3</v>
      </c>
      <c r="H8" s="2" t="s">
        <v>42</v>
      </c>
      <c r="I8" s="3" t="s">
        <v>43</v>
      </c>
      <c r="J8" s="1">
        <v>4</v>
      </c>
      <c r="K8" t="s">
        <v>39</v>
      </c>
      <c r="L8" s="5">
        <f t="shared" si="1"/>
        <v>10104</v>
      </c>
      <c r="M8" s="1">
        <v>900</v>
      </c>
      <c r="N8" s="1">
        <v>2000</v>
      </c>
      <c r="P8" s="2">
        <f t="shared" si="2"/>
        <v>410103</v>
      </c>
    </row>
    <row r="9" customHeight="1" spans="1:16">
      <c r="A9" s="1">
        <f t="shared" si="0"/>
        <v>10104</v>
      </c>
      <c r="B9" s="1">
        <v>1</v>
      </c>
      <c r="C9" s="1" t="s">
        <v>34</v>
      </c>
      <c r="D9" s="1">
        <v>1</v>
      </c>
      <c r="E9" s="2">
        <v>47027</v>
      </c>
      <c r="F9" s="2">
        <v>0</v>
      </c>
      <c r="G9" s="1">
        <v>4</v>
      </c>
      <c r="H9" s="2" t="s">
        <v>44</v>
      </c>
      <c r="I9" s="3" t="s">
        <v>45</v>
      </c>
      <c r="J9" s="1">
        <v>4</v>
      </c>
      <c r="K9" t="s">
        <v>39</v>
      </c>
      <c r="L9" s="5">
        <f t="shared" si="1"/>
        <v>10105</v>
      </c>
      <c r="M9" s="1">
        <v>1200</v>
      </c>
      <c r="N9" s="1">
        <v>3500</v>
      </c>
      <c r="P9" s="2">
        <f t="shared" si="2"/>
        <v>410104</v>
      </c>
    </row>
    <row r="10" customHeight="1" spans="1:16">
      <c r="A10" s="1">
        <f t="shared" si="0"/>
        <v>10105</v>
      </c>
      <c r="B10" s="1">
        <v>1</v>
      </c>
      <c r="C10" s="1" t="s">
        <v>34</v>
      </c>
      <c r="D10" s="1">
        <v>1</v>
      </c>
      <c r="E10" s="2">
        <v>47027</v>
      </c>
      <c r="F10" s="2">
        <v>0</v>
      </c>
      <c r="G10" s="1">
        <v>5</v>
      </c>
      <c r="H10" s="2" t="s">
        <v>46</v>
      </c>
      <c r="I10" s="3" t="s">
        <v>47</v>
      </c>
      <c r="J10" s="1">
        <v>4</v>
      </c>
      <c r="K10" t="s">
        <v>39</v>
      </c>
      <c r="L10" s="5">
        <f t="shared" si="1"/>
        <v>10106</v>
      </c>
      <c r="M10" s="1">
        <v>1500</v>
      </c>
      <c r="N10" s="1">
        <v>4000</v>
      </c>
      <c r="P10" s="2">
        <f t="shared" si="2"/>
        <v>410105</v>
      </c>
    </row>
    <row r="11" customHeight="1" spans="1:16">
      <c r="A11" s="1">
        <f t="shared" ref="A11:A21" si="3">10000+G11+B11*100</f>
        <v>10106</v>
      </c>
      <c r="B11" s="1">
        <v>1</v>
      </c>
      <c r="C11" s="1" t="s">
        <v>34</v>
      </c>
      <c r="D11" s="1">
        <v>1</v>
      </c>
      <c r="E11" s="2">
        <v>47027</v>
      </c>
      <c r="F11" s="2">
        <v>0</v>
      </c>
      <c r="G11" s="1">
        <v>6</v>
      </c>
      <c r="H11" s="2" t="s">
        <v>48</v>
      </c>
      <c r="I11" s="3" t="s">
        <v>49</v>
      </c>
      <c r="J11" s="1">
        <v>4</v>
      </c>
      <c r="K11" t="s">
        <v>39</v>
      </c>
      <c r="L11" s="5">
        <f t="shared" si="1"/>
        <v>10107</v>
      </c>
      <c r="M11" s="1">
        <v>1800</v>
      </c>
      <c r="N11" s="1">
        <v>4500</v>
      </c>
      <c r="P11" s="2">
        <f t="shared" si="2"/>
        <v>410106</v>
      </c>
    </row>
    <row r="12" customHeight="1" spans="1:16">
      <c r="A12" s="1">
        <f t="shared" si="3"/>
        <v>10107</v>
      </c>
      <c r="B12" s="1">
        <v>1</v>
      </c>
      <c r="C12" s="1" t="s">
        <v>34</v>
      </c>
      <c r="D12" s="1">
        <v>1</v>
      </c>
      <c r="E12" s="2">
        <v>47027</v>
      </c>
      <c r="F12" s="2">
        <v>0</v>
      </c>
      <c r="G12" s="1">
        <v>7</v>
      </c>
      <c r="H12" s="2" t="s">
        <v>50</v>
      </c>
      <c r="I12" s="3" t="s">
        <v>51</v>
      </c>
      <c r="J12" s="1">
        <v>4</v>
      </c>
      <c r="K12" t="s">
        <v>39</v>
      </c>
      <c r="L12" s="5">
        <f t="shared" si="1"/>
        <v>10108</v>
      </c>
      <c r="M12" s="1">
        <v>2100</v>
      </c>
      <c r="N12" s="1">
        <v>5000</v>
      </c>
      <c r="P12" s="2">
        <f t="shared" si="2"/>
        <v>410107</v>
      </c>
    </row>
    <row r="13" customHeight="1" spans="1:16">
      <c r="A13" s="1">
        <f t="shared" si="3"/>
        <v>10108</v>
      </c>
      <c r="B13" s="1">
        <v>1</v>
      </c>
      <c r="C13" s="1" t="s">
        <v>34</v>
      </c>
      <c r="D13" s="1">
        <v>1</v>
      </c>
      <c r="E13" s="2">
        <v>47027</v>
      </c>
      <c r="F13" s="2">
        <v>0</v>
      </c>
      <c r="G13" s="1">
        <v>8</v>
      </c>
      <c r="H13" s="2" t="s">
        <v>52</v>
      </c>
      <c r="I13" s="3" t="s">
        <v>53</v>
      </c>
      <c r="J13" s="1">
        <v>4</v>
      </c>
      <c r="K13" t="s">
        <v>39</v>
      </c>
      <c r="L13" s="5">
        <f t="shared" si="1"/>
        <v>10109</v>
      </c>
      <c r="M13" s="1">
        <v>2400</v>
      </c>
      <c r="N13" s="1">
        <v>5500</v>
      </c>
      <c r="P13" s="2">
        <f t="shared" si="2"/>
        <v>410108</v>
      </c>
    </row>
    <row r="14" customHeight="1" spans="1:16">
      <c r="A14" s="1">
        <f t="shared" si="3"/>
        <v>10109</v>
      </c>
      <c r="B14" s="1">
        <v>1</v>
      </c>
      <c r="C14" s="1" t="s">
        <v>34</v>
      </c>
      <c r="D14" s="1">
        <v>1</v>
      </c>
      <c r="E14" s="2">
        <v>47027</v>
      </c>
      <c r="F14" s="2">
        <v>0</v>
      </c>
      <c r="G14" s="1">
        <v>9</v>
      </c>
      <c r="H14" s="2" t="s">
        <v>54</v>
      </c>
      <c r="I14" s="3" t="s">
        <v>55</v>
      </c>
      <c r="J14" s="1">
        <v>4</v>
      </c>
      <c r="K14" t="s">
        <v>39</v>
      </c>
      <c r="L14" s="5">
        <f t="shared" si="1"/>
        <v>10110</v>
      </c>
      <c r="M14" s="1">
        <v>2700</v>
      </c>
      <c r="N14" s="1">
        <v>6000</v>
      </c>
      <c r="P14" s="2">
        <f t="shared" si="2"/>
        <v>410109</v>
      </c>
    </row>
    <row r="15" customHeight="1" spans="1:16">
      <c r="A15" s="1">
        <f t="shared" si="3"/>
        <v>10110</v>
      </c>
      <c r="B15" s="1">
        <v>1</v>
      </c>
      <c r="C15" s="1" t="s">
        <v>34</v>
      </c>
      <c r="D15" s="1">
        <v>1</v>
      </c>
      <c r="E15" s="2">
        <v>47027</v>
      </c>
      <c r="F15" s="2">
        <v>0</v>
      </c>
      <c r="G15" s="1">
        <v>10</v>
      </c>
      <c r="H15" s="2" t="s">
        <v>56</v>
      </c>
      <c r="J15" s="1">
        <v>4</v>
      </c>
      <c r="K15"/>
      <c r="N15" s="1">
        <v>6500</v>
      </c>
      <c r="P15" s="2">
        <f t="shared" si="2"/>
        <v>410110</v>
      </c>
    </row>
    <row r="16" customHeight="1" spans="1:16">
      <c r="A16" s="1">
        <f t="shared" si="3"/>
        <v>10200</v>
      </c>
      <c r="B16" s="1">
        <v>2</v>
      </c>
      <c r="C16" s="1" t="s">
        <v>57</v>
      </c>
      <c r="D16" s="1">
        <v>2</v>
      </c>
      <c r="E16" s="2">
        <v>47028</v>
      </c>
      <c r="F16" s="2">
        <v>1</v>
      </c>
      <c r="G16" s="1">
        <v>0</v>
      </c>
      <c r="H16" s="2"/>
      <c r="I16" s="3" t="s">
        <v>58</v>
      </c>
      <c r="J16" s="1">
        <v>4</v>
      </c>
      <c r="K16" t="s">
        <v>36</v>
      </c>
      <c r="L16" s="5">
        <f t="shared" ref="L16:L25" si="4">A17</f>
        <v>10201</v>
      </c>
      <c r="M16" s="1">
        <v>100</v>
      </c>
      <c r="N16" s="1">
        <v>0</v>
      </c>
      <c r="P16" s="2">
        <v>0</v>
      </c>
    </row>
    <row r="17" customHeight="1" spans="1:16">
      <c r="A17" s="1">
        <f t="shared" si="3"/>
        <v>10201</v>
      </c>
      <c r="B17" s="1">
        <v>2</v>
      </c>
      <c r="C17" s="1" t="s">
        <v>57</v>
      </c>
      <c r="D17" s="1">
        <v>2</v>
      </c>
      <c r="E17" s="2">
        <v>47028</v>
      </c>
      <c r="F17" s="2">
        <v>1</v>
      </c>
      <c r="G17" s="1">
        <v>1</v>
      </c>
      <c r="H17" s="2" t="s">
        <v>37</v>
      </c>
      <c r="I17" s="3" t="s">
        <v>59</v>
      </c>
      <c r="J17" s="1">
        <v>4</v>
      </c>
      <c r="K17" t="s">
        <v>39</v>
      </c>
      <c r="L17" s="5">
        <f t="shared" si="4"/>
        <v>10202</v>
      </c>
      <c r="M17" s="1">
        <v>300</v>
      </c>
      <c r="N17" s="1">
        <v>1000</v>
      </c>
      <c r="P17" s="2">
        <f t="shared" ref="P17:P26" si="5">400000+A17</f>
        <v>410201</v>
      </c>
    </row>
    <row r="18" customHeight="1" spans="1:16">
      <c r="A18" s="1">
        <f t="shared" si="3"/>
        <v>10202</v>
      </c>
      <c r="B18" s="1">
        <v>2</v>
      </c>
      <c r="C18" s="1" t="s">
        <v>57</v>
      </c>
      <c r="D18" s="1">
        <v>2</v>
      </c>
      <c r="E18" s="2">
        <v>47028</v>
      </c>
      <c r="F18" s="2">
        <v>1</v>
      </c>
      <c r="G18" s="1">
        <v>2</v>
      </c>
      <c r="H18" s="2" t="s">
        <v>40</v>
      </c>
      <c r="I18" s="3" t="s">
        <v>60</v>
      </c>
      <c r="J18" s="1">
        <v>4</v>
      </c>
      <c r="K18" t="s">
        <v>39</v>
      </c>
      <c r="L18" s="5">
        <f t="shared" si="4"/>
        <v>10203</v>
      </c>
      <c r="M18" s="1">
        <v>600</v>
      </c>
      <c r="N18" s="1">
        <v>1500</v>
      </c>
      <c r="P18" s="2">
        <f t="shared" si="5"/>
        <v>410202</v>
      </c>
    </row>
    <row r="19" customHeight="1" spans="1:16">
      <c r="A19" s="1">
        <f t="shared" si="3"/>
        <v>10203</v>
      </c>
      <c r="B19" s="1">
        <v>2</v>
      </c>
      <c r="C19" s="1" t="s">
        <v>57</v>
      </c>
      <c r="D19" s="1">
        <v>2</v>
      </c>
      <c r="E19" s="2">
        <v>47028</v>
      </c>
      <c r="F19" s="2">
        <v>1</v>
      </c>
      <c r="G19" s="1">
        <v>3</v>
      </c>
      <c r="H19" s="2" t="s">
        <v>42</v>
      </c>
      <c r="I19" s="3" t="s">
        <v>61</v>
      </c>
      <c r="J19" s="1">
        <v>4</v>
      </c>
      <c r="K19" t="s">
        <v>39</v>
      </c>
      <c r="L19" s="5">
        <f t="shared" si="4"/>
        <v>10204</v>
      </c>
      <c r="M19" s="1">
        <v>900</v>
      </c>
      <c r="N19" s="1">
        <v>2000</v>
      </c>
      <c r="P19" s="2">
        <f t="shared" si="5"/>
        <v>410203</v>
      </c>
    </row>
    <row r="20" customHeight="1" spans="1:16">
      <c r="A20" s="1">
        <f t="shared" si="3"/>
        <v>10204</v>
      </c>
      <c r="B20" s="1">
        <v>2</v>
      </c>
      <c r="C20" s="1" t="s">
        <v>57</v>
      </c>
      <c r="D20" s="1">
        <v>2</v>
      </c>
      <c r="E20" s="2">
        <v>47028</v>
      </c>
      <c r="F20" s="2">
        <v>1</v>
      </c>
      <c r="G20" s="1">
        <v>4</v>
      </c>
      <c r="H20" s="2" t="s">
        <v>44</v>
      </c>
      <c r="I20" s="3" t="s">
        <v>62</v>
      </c>
      <c r="J20" s="1">
        <v>4</v>
      </c>
      <c r="K20" t="s">
        <v>39</v>
      </c>
      <c r="L20" s="5">
        <f t="shared" si="4"/>
        <v>10205</v>
      </c>
      <c r="M20" s="1">
        <v>1200</v>
      </c>
      <c r="N20" s="1">
        <v>3500</v>
      </c>
      <c r="P20" s="2">
        <f t="shared" si="5"/>
        <v>410204</v>
      </c>
    </row>
    <row r="21" customHeight="1" spans="1:16">
      <c r="A21" s="1">
        <f t="shared" si="3"/>
        <v>10205</v>
      </c>
      <c r="B21" s="1">
        <v>2</v>
      </c>
      <c r="C21" s="1" t="s">
        <v>57</v>
      </c>
      <c r="D21" s="1">
        <v>2</v>
      </c>
      <c r="E21" s="2">
        <v>47028</v>
      </c>
      <c r="F21" s="2">
        <v>1</v>
      </c>
      <c r="G21" s="1">
        <v>5</v>
      </c>
      <c r="H21" s="2" t="s">
        <v>46</v>
      </c>
      <c r="I21" s="3" t="s">
        <v>63</v>
      </c>
      <c r="J21" s="1">
        <v>4</v>
      </c>
      <c r="K21" t="s">
        <v>39</v>
      </c>
      <c r="L21" s="5">
        <f t="shared" si="4"/>
        <v>10206</v>
      </c>
      <c r="M21" s="1">
        <v>1500</v>
      </c>
      <c r="N21" s="1">
        <v>4000</v>
      </c>
      <c r="P21" s="2">
        <f t="shared" si="5"/>
        <v>410205</v>
      </c>
    </row>
    <row r="22" customHeight="1" spans="1:16">
      <c r="A22" s="1">
        <f t="shared" ref="A22:A27" si="6">10000+G22+B22*100</f>
        <v>10206</v>
      </c>
      <c r="B22" s="1">
        <v>2</v>
      </c>
      <c r="C22" s="1" t="s">
        <v>57</v>
      </c>
      <c r="D22" s="1">
        <v>2</v>
      </c>
      <c r="E22" s="2">
        <v>47028</v>
      </c>
      <c r="F22" s="2">
        <v>1</v>
      </c>
      <c r="G22" s="1">
        <v>6</v>
      </c>
      <c r="H22" s="2" t="s">
        <v>48</v>
      </c>
      <c r="I22" s="3" t="s">
        <v>64</v>
      </c>
      <c r="J22" s="1">
        <v>4</v>
      </c>
      <c r="K22" t="s">
        <v>39</v>
      </c>
      <c r="L22" s="5">
        <f t="shared" si="4"/>
        <v>10207</v>
      </c>
      <c r="M22" s="1">
        <v>1800</v>
      </c>
      <c r="N22" s="1">
        <v>4500</v>
      </c>
      <c r="P22" s="2">
        <f t="shared" si="5"/>
        <v>410206</v>
      </c>
    </row>
    <row r="23" customHeight="1" spans="1:16">
      <c r="A23" s="1">
        <f t="shared" si="6"/>
        <v>10207</v>
      </c>
      <c r="B23" s="1">
        <v>2</v>
      </c>
      <c r="C23" s="1" t="s">
        <v>57</v>
      </c>
      <c r="D23" s="1">
        <v>2</v>
      </c>
      <c r="E23" s="2">
        <v>47028</v>
      </c>
      <c r="F23" s="2">
        <v>1</v>
      </c>
      <c r="G23" s="1">
        <v>7</v>
      </c>
      <c r="H23" s="2" t="s">
        <v>50</v>
      </c>
      <c r="I23" s="3" t="s">
        <v>65</v>
      </c>
      <c r="J23" s="1">
        <v>4</v>
      </c>
      <c r="K23" t="s">
        <v>39</v>
      </c>
      <c r="L23" s="5">
        <f t="shared" si="4"/>
        <v>10208</v>
      </c>
      <c r="M23" s="1">
        <v>2100</v>
      </c>
      <c r="N23" s="1">
        <v>5000</v>
      </c>
      <c r="P23" s="2">
        <f t="shared" si="5"/>
        <v>410207</v>
      </c>
    </row>
    <row r="24" customHeight="1" spans="1:16">
      <c r="A24" s="1">
        <f t="shared" si="6"/>
        <v>10208</v>
      </c>
      <c r="B24" s="1">
        <v>2</v>
      </c>
      <c r="C24" s="1" t="s">
        <v>57</v>
      </c>
      <c r="D24" s="1">
        <v>2</v>
      </c>
      <c r="E24" s="2">
        <v>47028</v>
      </c>
      <c r="F24" s="2">
        <v>1</v>
      </c>
      <c r="G24" s="1">
        <v>8</v>
      </c>
      <c r="H24" s="2" t="s">
        <v>52</v>
      </c>
      <c r="I24" s="3" t="s">
        <v>66</v>
      </c>
      <c r="J24" s="1">
        <v>4</v>
      </c>
      <c r="K24" t="s">
        <v>39</v>
      </c>
      <c r="L24" s="5">
        <f t="shared" si="4"/>
        <v>10209</v>
      </c>
      <c r="M24" s="1">
        <v>2400</v>
      </c>
      <c r="N24" s="1">
        <v>5500</v>
      </c>
      <c r="P24" s="2">
        <f t="shared" si="5"/>
        <v>410208</v>
      </c>
    </row>
    <row r="25" customHeight="1" spans="1:16">
      <c r="A25" s="1">
        <f t="shared" si="6"/>
        <v>10209</v>
      </c>
      <c r="B25" s="1">
        <v>2</v>
      </c>
      <c r="C25" s="1" t="s">
        <v>57</v>
      </c>
      <c r="D25" s="1">
        <v>2</v>
      </c>
      <c r="E25" s="2">
        <v>47028</v>
      </c>
      <c r="F25" s="2">
        <v>1</v>
      </c>
      <c r="G25" s="1">
        <v>9</v>
      </c>
      <c r="H25" s="2" t="s">
        <v>54</v>
      </c>
      <c r="I25" s="3" t="s">
        <v>67</v>
      </c>
      <c r="J25" s="1">
        <v>4</v>
      </c>
      <c r="K25" t="s">
        <v>39</v>
      </c>
      <c r="L25" s="5">
        <f t="shared" si="4"/>
        <v>10210</v>
      </c>
      <c r="M25" s="1">
        <v>2700</v>
      </c>
      <c r="N25" s="1">
        <v>6000</v>
      </c>
      <c r="P25" s="2">
        <f t="shared" si="5"/>
        <v>410209</v>
      </c>
    </row>
    <row r="26" customHeight="1" spans="1:16">
      <c r="A26" s="1">
        <f t="shared" si="6"/>
        <v>10210</v>
      </c>
      <c r="B26" s="1">
        <v>2</v>
      </c>
      <c r="C26" s="1" t="s">
        <v>57</v>
      </c>
      <c r="D26" s="1">
        <v>2</v>
      </c>
      <c r="E26" s="2">
        <v>47028</v>
      </c>
      <c r="F26" s="2">
        <v>1</v>
      </c>
      <c r="G26" s="1">
        <v>10</v>
      </c>
      <c r="H26" s="2" t="s">
        <v>56</v>
      </c>
      <c r="J26" s="1">
        <v>4</v>
      </c>
      <c r="K26"/>
      <c r="N26" s="1">
        <v>6500</v>
      </c>
      <c r="P26" s="2">
        <f t="shared" si="5"/>
        <v>410210</v>
      </c>
    </row>
    <row r="27" customHeight="1" spans="1:16">
      <c r="A27" s="1">
        <f t="shared" si="6"/>
        <v>10300</v>
      </c>
      <c r="B27" s="1">
        <v>3</v>
      </c>
      <c r="C27" s="1" t="s">
        <v>68</v>
      </c>
      <c r="D27" s="1">
        <v>4</v>
      </c>
      <c r="E27" s="2">
        <v>47029</v>
      </c>
      <c r="F27" s="2">
        <v>1</v>
      </c>
      <c r="G27" s="1">
        <v>0</v>
      </c>
      <c r="H27" s="2"/>
      <c r="I27" s="3" t="s">
        <v>58</v>
      </c>
      <c r="J27" s="1">
        <v>4</v>
      </c>
      <c r="K27" t="s">
        <v>36</v>
      </c>
      <c r="L27" s="5">
        <f t="shared" ref="L27:L36" si="7">A28</f>
        <v>10301</v>
      </c>
      <c r="M27" s="1">
        <v>100</v>
      </c>
      <c r="N27" s="1">
        <v>0</v>
      </c>
      <c r="P27" s="2">
        <v>0</v>
      </c>
    </row>
    <row r="28" customHeight="1" spans="1:16">
      <c r="A28" s="1">
        <f t="shared" ref="A28:A43" si="8">10000+G28+B28*100</f>
        <v>10301</v>
      </c>
      <c r="B28" s="1">
        <v>3</v>
      </c>
      <c r="C28" s="1" t="s">
        <v>68</v>
      </c>
      <c r="D28" s="1">
        <v>4</v>
      </c>
      <c r="E28" s="2">
        <v>47029</v>
      </c>
      <c r="F28" s="2">
        <v>1</v>
      </c>
      <c r="G28" s="1">
        <v>1</v>
      </c>
      <c r="H28" s="2" t="s">
        <v>37</v>
      </c>
      <c r="I28" s="3" t="s">
        <v>59</v>
      </c>
      <c r="J28" s="1">
        <v>4</v>
      </c>
      <c r="K28" t="s">
        <v>39</v>
      </c>
      <c r="L28" s="5">
        <f t="shared" si="7"/>
        <v>10302</v>
      </c>
      <c r="M28" s="1">
        <v>300</v>
      </c>
      <c r="N28" s="1">
        <v>1000</v>
      </c>
      <c r="P28" s="2">
        <f t="shared" ref="P28:P47" si="9">400000+A28</f>
        <v>410301</v>
      </c>
    </row>
    <row r="29" customHeight="1" spans="1:16">
      <c r="A29" s="1">
        <f t="shared" si="8"/>
        <v>10302</v>
      </c>
      <c r="B29" s="1">
        <v>3</v>
      </c>
      <c r="C29" s="1" t="s">
        <v>68</v>
      </c>
      <c r="D29" s="1">
        <v>4</v>
      </c>
      <c r="E29" s="2">
        <v>47029</v>
      </c>
      <c r="F29" s="2">
        <v>1</v>
      </c>
      <c r="G29" s="1">
        <v>2</v>
      </c>
      <c r="H29" s="2" t="s">
        <v>40</v>
      </c>
      <c r="I29" s="3" t="s">
        <v>60</v>
      </c>
      <c r="J29" s="1">
        <v>4</v>
      </c>
      <c r="K29" t="s">
        <v>39</v>
      </c>
      <c r="L29" s="5">
        <f t="shared" si="7"/>
        <v>10303</v>
      </c>
      <c r="M29" s="1">
        <v>600</v>
      </c>
      <c r="N29" s="1">
        <v>1500</v>
      </c>
      <c r="P29" s="2">
        <f t="shared" si="9"/>
        <v>410302</v>
      </c>
    </row>
    <row r="30" customHeight="1" spans="1:16">
      <c r="A30" s="1">
        <f t="shared" si="8"/>
        <v>10303</v>
      </c>
      <c r="B30" s="1">
        <v>3</v>
      </c>
      <c r="C30" s="1" t="s">
        <v>68</v>
      </c>
      <c r="D30" s="1">
        <v>4</v>
      </c>
      <c r="E30" s="2">
        <v>47029</v>
      </c>
      <c r="F30" s="2">
        <v>1</v>
      </c>
      <c r="G30" s="1">
        <v>3</v>
      </c>
      <c r="H30" s="2" t="s">
        <v>42</v>
      </c>
      <c r="I30" s="3" t="s">
        <v>61</v>
      </c>
      <c r="J30" s="1">
        <v>4</v>
      </c>
      <c r="K30" t="s">
        <v>39</v>
      </c>
      <c r="L30" s="5">
        <f t="shared" si="7"/>
        <v>10304</v>
      </c>
      <c r="M30" s="1">
        <v>900</v>
      </c>
      <c r="N30" s="1">
        <v>2000</v>
      </c>
      <c r="P30" s="2">
        <f t="shared" si="9"/>
        <v>410303</v>
      </c>
    </row>
    <row r="31" customHeight="1" spans="1:16">
      <c r="A31" s="1">
        <f t="shared" si="8"/>
        <v>10304</v>
      </c>
      <c r="B31" s="1">
        <v>3</v>
      </c>
      <c r="C31" s="1" t="s">
        <v>68</v>
      </c>
      <c r="D31" s="1">
        <v>4</v>
      </c>
      <c r="E31" s="2">
        <v>47029</v>
      </c>
      <c r="F31" s="2">
        <v>1</v>
      </c>
      <c r="G31" s="1">
        <v>4</v>
      </c>
      <c r="H31" s="2" t="s">
        <v>44</v>
      </c>
      <c r="I31" s="3" t="s">
        <v>62</v>
      </c>
      <c r="J31" s="1">
        <v>4</v>
      </c>
      <c r="K31" t="s">
        <v>39</v>
      </c>
      <c r="L31" s="5">
        <f t="shared" si="7"/>
        <v>10305</v>
      </c>
      <c r="M31" s="1">
        <v>1200</v>
      </c>
      <c r="N31" s="1">
        <v>3500</v>
      </c>
      <c r="P31" s="2">
        <f t="shared" si="9"/>
        <v>410304</v>
      </c>
    </row>
    <row r="32" customHeight="1" spans="1:16">
      <c r="A32" s="1">
        <f t="shared" si="8"/>
        <v>10305</v>
      </c>
      <c r="B32" s="1">
        <v>3</v>
      </c>
      <c r="C32" s="1" t="s">
        <v>68</v>
      </c>
      <c r="D32" s="1">
        <v>4</v>
      </c>
      <c r="E32" s="2">
        <v>47029</v>
      </c>
      <c r="F32" s="2">
        <v>1</v>
      </c>
      <c r="G32" s="1">
        <v>5</v>
      </c>
      <c r="H32" s="2" t="s">
        <v>46</v>
      </c>
      <c r="I32" s="3" t="s">
        <v>63</v>
      </c>
      <c r="J32" s="1">
        <v>4</v>
      </c>
      <c r="K32" t="s">
        <v>39</v>
      </c>
      <c r="L32" s="5">
        <f t="shared" si="7"/>
        <v>10306</v>
      </c>
      <c r="M32" s="1">
        <v>1500</v>
      </c>
      <c r="N32" s="1">
        <v>4000</v>
      </c>
      <c r="P32" s="2">
        <f t="shared" si="9"/>
        <v>410305</v>
      </c>
    </row>
    <row r="33" customHeight="1" spans="1:16">
      <c r="A33" s="1">
        <f t="shared" si="8"/>
        <v>10306</v>
      </c>
      <c r="B33" s="1">
        <v>3</v>
      </c>
      <c r="C33" s="1" t="s">
        <v>68</v>
      </c>
      <c r="D33" s="1">
        <v>4</v>
      </c>
      <c r="E33" s="2">
        <v>47029</v>
      </c>
      <c r="F33" s="2">
        <v>1</v>
      </c>
      <c r="G33" s="1">
        <v>6</v>
      </c>
      <c r="H33" s="2" t="s">
        <v>48</v>
      </c>
      <c r="I33" s="3" t="s">
        <v>64</v>
      </c>
      <c r="J33" s="1">
        <v>4</v>
      </c>
      <c r="K33" t="s">
        <v>39</v>
      </c>
      <c r="L33" s="5">
        <f t="shared" si="7"/>
        <v>10307</v>
      </c>
      <c r="M33" s="1">
        <v>1800</v>
      </c>
      <c r="N33" s="1">
        <v>4500</v>
      </c>
      <c r="P33" s="2">
        <f t="shared" si="9"/>
        <v>410306</v>
      </c>
    </row>
    <row r="34" customHeight="1" spans="1:16">
      <c r="A34" s="1">
        <f t="shared" si="8"/>
        <v>10307</v>
      </c>
      <c r="B34" s="1">
        <v>3</v>
      </c>
      <c r="C34" s="1" t="s">
        <v>68</v>
      </c>
      <c r="D34" s="1">
        <v>4</v>
      </c>
      <c r="E34" s="2">
        <v>47029</v>
      </c>
      <c r="F34" s="2">
        <v>1</v>
      </c>
      <c r="G34" s="1">
        <v>7</v>
      </c>
      <c r="H34" s="2" t="s">
        <v>50</v>
      </c>
      <c r="I34" s="3" t="s">
        <v>65</v>
      </c>
      <c r="J34" s="1">
        <v>4</v>
      </c>
      <c r="K34" t="s">
        <v>39</v>
      </c>
      <c r="L34" s="5">
        <f t="shared" si="7"/>
        <v>10308</v>
      </c>
      <c r="M34" s="1">
        <v>2100</v>
      </c>
      <c r="N34" s="1">
        <v>5000</v>
      </c>
      <c r="P34" s="2">
        <f t="shared" si="9"/>
        <v>410307</v>
      </c>
    </row>
    <row r="35" customHeight="1" spans="1:16">
      <c r="A35" s="1">
        <f t="shared" si="8"/>
        <v>10308</v>
      </c>
      <c r="B35" s="1">
        <v>3</v>
      </c>
      <c r="C35" s="1" t="s">
        <v>68</v>
      </c>
      <c r="D35" s="1">
        <v>4</v>
      </c>
      <c r="E35" s="2">
        <v>47029</v>
      </c>
      <c r="F35" s="2">
        <v>1</v>
      </c>
      <c r="G35" s="1">
        <v>8</v>
      </c>
      <c r="H35" s="2" t="s">
        <v>52</v>
      </c>
      <c r="I35" s="3" t="s">
        <v>66</v>
      </c>
      <c r="J35" s="1">
        <v>4</v>
      </c>
      <c r="K35" t="s">
        <v>39</v>
      </c>
      <c r="L35" s="5">
        <f t="shared" si="7"/>
        <v>10309</v>
      </c>
      <c r="M35" s="1">
        <v>2400</v>
      </c>
      <c r="N35" s="1">
        <v>5500</v>
      </c>
      <c r="P35" s="2">
        <f t="shared" si="9"/>
        <v>410308</v>
      </c>
    </row>
    <row r="36" customHeight="1" spans="1:16">
      <c r="A36" s="1">
        <f t="shared" si="8"/>
        <v>10309</v>
      </c>
      <c r="B36" s="1">
        <v>3</v>
      </c>
      <c r="C36" s="1" t="s">
        <v>68</v>
      </c>
      <c r="D36" s="1">
        <v>4</v>
      </c>
      <c r="E36" s="2">
        <v>47029</v>
      </c>
      <c r="F36" s="2">
        <v>1</v>
      </c>
      <c r="G36" s="1">
        <v>9</v>
      </c>
      <c r="H36" s="2" t="s">
        <v>54</v>
      </c>
      <c r="I36" s="3" t="s">
        <v>67</v>
      </c>
      <c r="J36" s="1">
        <v>4</v>
      </c>
      <c r="K36" t="s">
        <v>39</v>
      </c>
      <c r="L36" s="5">
        <f t="shared" si="7"/>
        <v>10310</v>
      </c>
      <c r="M36" s="1">
        <v>2700</v>
      </c>
      <c r="N36" s="1">
        <v>6000</v>
      </c>
      <c r="P36" s="2">
        <f t="shared" si="9"/>
        <v>410309</v>
      </c>
    </row>
    <row r="37" customHeight="1" spans="1:16">
      <c r="A37" s="1">
        <f t="shared" si="8"/>
        <v>10310</v>
      </c>
      <c r="B37" s="1">
        <v>3</v>
      </c>
      <c r="C37" s="1" t="s">
        <v>68</v>
      </c>
      <c r="D37" s="1">
        <v>4</v>
      </c>
      <c r="E37" s="2">
        <v>47029</v>
      </c>
      <c r="F37" s="2">
        <v>1</v>
      </c>
      <c r="G37" s="1">
        <v>10</v>
      </c>
      <c r="H37" s="2" t="s">
        <v>56</v>
      </c>
      <c r="J37" s="1">
        <v>4</v>
      </c>
      <c r="K37"/>
      <c r="N37" s="1">
        <v>6500</v>
      </c>
      <c r="P37" s="2">
        <f t="shared" si="9"/>
        <v>410310</v>
      </c>
    </row>
    <row r="38" customHeight="1" spans="1:16">
      <c r="A38" s="1">
        <f t="shared" si="8"/>
        <v>10400</v>
      </c>
      <c r="B38" s="1">
        <v>4</v>
      </c>
      <c r="C38" s="1" t="s">
        <v>69</v>
      </c>
      <c r="D38" s="1">
        <v>2</v>
      </c>
      <c r="E38" s="2">
        <v>47043</v>
      </c>
      <c r="F38" s="2">
        <v>0</v>
      </c>
      <c r="G38" s="1">
        <v>0</v>
      </c>
      <c r="I38" s="3" t="s">
        <v>70</v>
      </c>
      <c r="J38" s="1"/>
      <c r="K38"/>
      <c r="L38" s="5">
        <f t="shared" ref="L38:L47" si="10">A39</f>
        <v>10401</v>
      </c>
      <c r="M38" s="1">
        <v>100</v>
      </c>
      <c r="N38" s="1">
        <v>0</v>
      </c>
      <c r="P38" s="2">
        <v>0</v>
      </c>
    </row>
    <row r="39" customHeight="1" spans="1:16">
      <c r="A39" s="1">
        <f t="shared" si="8"/>
        <v>10401</v>
      </c>
      <c r="B39" s="1">
        <v>4</v>
      </c>
      <c r="C39" s="1" t="s">
        <v>69</v>
      </c>
      <c r="D39" s="1">
        <v>2</v>
      </c>
      <c r="E39" s="2">
        <v>47043</v>
      </c>
      <c r="F39" s="2">
        <v>0</v>
      </c>
      <c r="G39" s="1">
        <v>1</v>
      </c>
      <c r="I39" s="3" t="s">
        <v>70</v>
      </c>
      <c r="J39" s="1"/>
      <c r="K39"/>
      <c r="L39" s="5">
        <f t="shared" si="10"/>
        <v>10402</v>
      </c>
      <c r="M39" s="1">
        <v>300</v>
      </c>
      <c r="P39" s="2">
        <f t="shared" ref="P39:P48" si="11">400000+A39</f>
        <v>410401</v>
      </c>
    </row>
    <row r="40" customHeight="1" spans="1:16">
      <c r="A40" s="1">
        <f t="shared" si="8"/>
        <v>10402</v>
      </c>
      <c r="B40" s="1">
        <v>4</v>
      </c>
      <c r="C40" s="1" t="s">
        <v>69</v>
      </c>
      <c r="D40" s="1">
        <v>2</v>
      </c>
      <c r="E40" s="2">
        <v>47043</v>
      </c>
      <c r="F40" s="2">
        <v>0</v>
      </c>
      <c r="G40" s="1">
        <v>2</v>
      </c>
      <c r="I40" s="3" t="s">
        <v>71</v>
      </c>
      <c r="J40" s="1"/>
      <c r="K40"/>
      <c r="L40" s="5">
        <f t="shared" si="10"/>
        <v>10403</v>
      </c>
      <c r="M40" s="1">
        <v>600</v>
      </c>
      <c r="P40" s="2">
        <f t="shared" si="11"/>
        <v>410402</v>
      </c>
    </row>
    <row r="41" customHeight="1" spans="1:16">
      <c r="A41" s="1">
        <f t="shared" si="8"/>
        <v>10403</v>
      </c>
      <c r="B41" s="1">
        <v>4</v>
      </c>
      <c r="C41" s="1" t="s">
        <v>69</v>
      </c>
      <c r="D41" s="1">
        <v>2</v>
      </c>
      <c r="E41" s="2">
        <v>47043</v>
      </c>
      <c r="F41" s="2">
        <v>0</v>
      </c>
      <c r="G41" s="1">
        <v>3</v>
      </c>
      <c r="I41" s="3" t="s">
        <v>72</v>
      </c>
      <c r="J41" s="1"/>
      <c r="K41"/>
      <c r="L41" s="5">
        <f t="shared" si="10"/>
        <v>10404</v>
      </c>
      <c r="M41" s="1">
        <v>900</v>
      </c>
      <c r="P41" s="2">
        <f t="shared" si="11"/>
        <v>410403</v>
      </c>
    </row>
    <row r="42" customHeight="1" spans="1:16">
      <c r="A42" s="1">
        <f t="shared" si="8"/>
        <v>10404</v>
      </c>
      <c r="B42" s="1">
        <v>4</v>
      </c>
      <c r="C42" s="1" t="s">
        <v>69</v>
      </c>
      <c r="D42" s="1">
        <v>2</v>
      </c>
      <c r="E42" s="2">
        <v>47043</v>
      </c>
      <c r="F42" s="2">
        <v>0</v>
      </c>
      <c r="G42" s="1">
        <v>4</v>
      </c>
      <c r="I42" s="3" t="s">
        <v>73</v>
      </c>
      <c r="J42" s="1"/>
      <c r="K42"/>
      <c r="L42" s="5">
        <f t="shared" si="10"/>
        <v>10405</v>
      </c>
      <c r="M42" s="1">
        <v>1200</v>
      </c>
      <c r="P42" s="2">
        <f t="shared" si="11"/>
        <v>410404</v>
      </c>
    </row>
    <row r="43" customHeight="1" spans="1:16">
      <c r="A43" s="1">
        <f t="shared" si="8"/>
        <v>10405</v>
      </c>
      <c r="B43" s="1">
        <v>4</v>
      </c>
      <c r="C43" s="1" t="s">
        <v>69</v>
      </c>
      <c r="D43" s="1">
        <v>2</v>
      </c>
      <c r="E43" s="2">
        <v>47043</v>
      </c>
      <c r="F43" s="2">
        <v>0</v>
      </c>
      <c r="G43" s="1">
        <v>5</v>
      </c>
      <c r="I43" s="3" t="s">
        <v>74</v>
      </c>
      <c r="J43" s="1"/>
      <c r="K43"/>
      <c r="L43" s="5">
        <f t="shared" si="10"/>
        <v>10406</v>
      </c>
      <c r="M43" s="1">
        <v>1500</v>
      </c>
      <c r="P43" s="2">
        <f t="shared" si="11"/>
        <v>410405</v>
      </c>
    </row>
    <row r="44" customHeight="1" spans="1:16">
      <c r="A44" s="1">
        <f t="shared" ref="A44:A54" si="12">10000+G44+B44*100</f>
        <v>10406</v>
      </c>
      <c r="B44" s="1">
        <v>4</v>
      </c>
      <c r="C44" s="1" t="s">
        <v>69</v>
      </c>
      <c r="D44" s="1">
        <v>2</v>
      </c>
      <c r="E44" s="2">
        <v>47043</v>
      </c>
      <c r="F44" s="2">
        <v>0</v>
      </c>
      <c r="G44" s="1">
        <v>6</v>
      </c>
      <c r="I44" s="3" t="s">
        <v>75</v>
      </c>
      <c r="J44" s="1"/>
      <c r="K44"/>
      <c r="L44" s="5">
        <f t="shared" si="10"/>
        <v>10407</v>
      </c>
      <c r="M44" s="1">
        <v>1800</v>
      </c>
      <c r="P44" s="2">
        <f t="shared" si="11"/>
        <v>410406</v>
      </c>
    </row>
    <row r="45" customHeight="1" spans="1:16">
      <c r="A45" s="1">
        <f t="shared" si="12"/>
        <v>10407</v>
      </c>
      <c r="B45" s="1">
        <v>4</v>
      </c>
      <c r="C45" s="1" t="s">
        <v>69</v>
      </c>
      <c r="D45" s="1">
        <v>2</v>
      </c>
      <c r="E45" s="2">
        <v>47043</v>
      </c>
      <c r="F45" s="2">
        <v>0</v>
      </c>
      <c r="G45" s="1">
        <v>7</v>
      </c>
      <c r="I45" s="3" t="s">
        <v>76</v>
      </c>
      <c r="J45" s="1"/>
      <c r="K45"/>
      <c r="L45" s="5">
        <f t="shared" si="10"/>
        <v>10408</v>
      </c>
      <c r="M45" s="1">
        <v>2100</v>
      </c>
      <c r="P45" s="2">
        <f t="shared" si="11"/>
        <v>410407</v>
      </c>
    </row>
    <row r="46" customHeight="1" spans="1:16">
      <c r="A46" s="1">
        <f t="shared" si="12"/>
        <v>10408</v>
      </c>
      <c r="B46" s="1">
        <v>4</v>
      </c>
      <c r="C46" s="1" t="s">
        <v>69</v>
      </c>
      <c r="D46" s="1">
        <v>2</v>
      </c>
      <c r="E46" s="2">
        <v>47043</v>
      </c>
      <c r="F46" s="2">
        <v>0</v>
      </c>
      <c r="G46" s="1">
        <v>8</v>
      </c>
      <c r="I46" s="3" t="s">
        <v>77</v>
      </c>
      <c r="J46" s="1"/>
      <c r="K46"/>
      <c r="L46" s="5">
        <f t="shared" si="10"/>
        <v>10409</v>
      </c>
      <c r="M46" s="1">
        <v>2400</v>
      </c>
      <c r="P46" s="2">
        <f t="shared" si="11"/>
        <v>410408</v>
      </c>
    </row>
    <row r="47" customHeight="1" spans="1:16">
      <c r="A47" s="1">
        <f t="shared" si="12"/>
        <v>10409</v>
      </c>
      <c r="B47" s="1">
        <v>4</v>
      </c>
      <c r="C47" s="1" t="s">
        <v>69</v>
      </c>
      <c r="D47" s="1">
        <v>2</v>
      </c>
      <c r="E47" s="2">
        <v>47043</v>
      </c>
      <c r="F47" s="2">
        <v>0</v>
      </c>
      <c r="G47" s="1">
        <v>9</v>
      </c>
      <c r="I47" s="3" t="s">
        <v>78</v>
      </c>
      <c r="J47" s="1"/>
      <c r="K47"/>
      <c r="L47" s="5">
        <f t="shared" si="10"/>
        <v>10410</v>
      </c>
      <c r="M47" s="1">
        <v>2700</v>
      </c>
      <c r="P47" s="2">
        <f t="shared" si="11"/>
        <v>410409</v>
      </c>
    </row>
    <row r="48" customHeight="1" spans="1:16">
      <c r="A48" s="1">
        <f t="shared" si="12"/>
        <v>10410</v>
      </c>
      <c r="B48" s="1">
        <v>4</v>
      </c>
      <c r="C48" s="1" t="s">
        <v>69</v>
      </c>
      <c r="D48" s="1">
        <v>2</v>
      </c>
      <c r="E48" s="2">
        <v>47043</v>
      </c>
      <c r="F48" s="2">
        <v>0</v>
      </c>
      <c r="G48" s="1">
        <v>10</v>
      </c>
      <c r="J48" s="1"/>
      <c r="K48"/>
      <c r="P48" s="2">
        <f t="shared" si="11"/>
        <v>410410</v>
      </c>
    </row>
    <row r="49" customHeight="1" spans="1:16">
      <c r="A49" s="1">
        <f t="shared" si="12"/>
        <v>10500</v>
      </c>
      <c r="B49" s="1">
        <v>5</v>
      </c>
      <c r="C49" s="1" t="s">
        <v>79</v>
      </c>
      <c r="D49" s="1">
        <v>2</v>
      </c>
      <c r="E49" s="2">
        <v>47044</v>
      </c>
      <c r="F49" s="2">
        <v>0</v>
      </c>
      <c r="G49" s="1">
        <v>0</v>
      </c>
      <c r="I49" s="3" t="s">
        <v>80</v>
      </c>
      <c r="J49" s="1">
        <v>4</v>
      </c>
      <c r="K49" t="s">
        <v>36</v>
      </c>
      <c r="L49" s="5">
        <f t="shared" ref="L49:L58" si="13">A50</f>
        <v>10501</v>
      </c>
      <c r="M49" s="1">
        <v>100</v>
      </c>
      <c r="N49" s="1">
        <v>0</v>
      </c>
      <c r="P49" s="2">
        <v>0</v>
      </c>
    </row>
    <row r="50" customHeight="1" spans="1:16">
      <c r="A50" s="1">
        <f t="shared" si="12"/>
        <v>10501</v>
      </c>
      <c r="B50" s="1">
        <v>5</v>
      </c>
      <c r="C50" s="1" t="s">
        <v>79</v>
      </c>
      <c r="D50" s="1">
        <v>2</v>
      </c>
      <c r="E50" s="2">
        <v>47044</v>
      </c>
      <c r="F50" s="2">
        <v>0</v>
      </c>
      <c r="G50" s="1">
        <v>1</v>
      </c>
      <c r="I50" s="3" t="s">
        <v>81</v>
      </c>
      <c r="J50" s="1">
        <v>4</v>
      </c>
      <c r="K50" t="s">
        <v>39</v>
      </c>
      <c r="L50" s="5">
        <f t="shared" si="13"/>
        <v>10502</v>
      </c>
      <c r="M50" s="1">
        <v>300</v>
      </c>
      <c r="O50" s="1">
        <v>22001</v>
      </c>
      <c r="P50" s="2">
        <f t="shared" ref="P50:P59" si="14">400000+A50</f>
        <v>410501</v>
      </c>
    </row>
    <row r="51" customHeight="1" spans="1:16">
      <c r="A51" s="1">
        <f t="shared" si="12"/>
        <v>10502</v>
      </c>
      <c r="B51" s="1">
        <v>5</v>
      </c>
      <c r="C51" s="1" t="s">
        <v>79</v>
      </c>
      <c r="D51" s="1">
        <v>2</v>
      </c>
      <c r="E51" s="2">
        <v>47044</v>
      </c>
      <c r="F51" s="2">
        <v>0</v>
      </c>
      <c r="G51" s="1">
        <v>2</v>
      </c>
      <c r="I51" s="3" t="s">
        <v>82</v>
      </c>
      <c r="J51" s="1">
        <v>4</v>
      </c>
      <c r="K51" t="s">
        <v>39</v>
      </c>
      <c r="L51" s="5">
        <f t="shared" si="13"/>
        <v>10503</v>
      </c>
      <c r="M51" s="1">
        <v>600</v>
      </c>
      <c r="O51" s="1">
        <v>22002</v>
      </c>
      <c r="P51" s="2">
        <f t="shared" si="14"/>
        <v>410502</v>
      </c>
    </row>
    <row r="52" customHeight="1" spans="1:16">
      <c r="A52" s="1">
        <f t="shared" si="12"/>
        <v>10503</v>
      </c>
      <c r="B52" s="1">
        <v>5</v>
      </c>
      <c r="C52" s="1" t="s">
        <v>79</v>
      </c>
      <c r="D52" s="1">
        <v>2</v>
      </c>
      <c r="E52" s="2">
        <v>47044</v>
      </c>
      <c r="F52" s="2">
        <v>0</v>
      </c>
      <c r="G52" s="1">
        <v>3</v>
      </c>
      <c r="I52" s="3" t="s">
        <v>83</v>
      </c>
      <c r="J52" s="1">
        <v>4</v>
      </c>
      <c r="K52" t="s">
        <v>39</v>
      </c>
      <c r="L52" s="5">
        <f t="shared" si="13"/>
        <v>10504</v>
      </c>
      <c r="M52" s="1">
        <v>900</v>
      </c>
      <c r="O52" s="1">
        <v>22003</v>
      </c>
      <c r="P52" s="2">
        <f t="shared" si="14"/>
        <v>410503</v>
      </c>
    </row>
    <row r="53" customHeight="1" spans="1:16">
      <c r="A53" s="1">
        <f t="shared" si="12"/>
        <v>10504</v>
      </c>
      <c r="B53" s="1">
        <v>5</v>
      </c>
      <c r="C53" s="1" t="s">
        <v>79</v>
      </c>
      <c r="D53" s="1">
        <v>2</v>
      </c>
      <c r="E53" s="2">
        <v>47044</v>
      </c>
      <c r="F53" s="2">
        <v>0</v>
      </c>
      <c r="G53" s="1">
        <v>4</v>
      </c>
      <c r="I53" s="3" t="s">
        <v>84</v>
      </c>
      <c r="J53" s="1">
        <v>4</v>
      </c>
      <c r="K53" t="s">
        <v>39</v>
      </c>
      <c r="L53" s="5">
        <f t="shared" si="13"/>
        <v>10505</v>
      </c>
      <c r="M53" s="1">
        <v>1200</v>
      </c>
      <c r="O53" s="1">
        <v>22004</v>
      </c>
      <c r="P53" s="2">
        <f t="shared" si="14"/>
        <v>410504</v>
      </c>
    </row>
    <row r="54" customHeight="1" spans="1:16">
      <c r="A54" s="1">
        <f t="shared" si="12"/>
        <v>10505</v>
      </c>
      <c r="B54" s="1">
        <v>5</v>
      </c>
      <c r="C54" s="1" t="s">
        <v>79</v>
      </c>
      <c r="D54" s="1">
        <v>2</v>
      </c>
      <c r="E54" s="2">
        <v>47044</v>
      </c>
      <c r="F54" s="2">
        <v>0</v>
      </c>
      <c r="G54" s="1">
        <v>5</v>
      </c>
      <c r="I54" s="3" t="s">
        <v>85</v>
      </c>
      <c r="J54" s="1">
        <v>4</v>
      </c>
      <c r="K54" t="s">
        <v>39</v>
      </c>
      <c r="L54" s="5">
        <f t="shared" si="13"/>
        <v>10506</v>
      </c>
      <c r="M54" s="1">
        <v>1500</v>
      </c>
      <c r="O54" s="1">
        <v>22005</v>
      </c>
      <c r="P54" s="2">
        <f t="shared" si="14"/>
        <v>410505</v>
      </c>
    </row>
    <row r="55" customHeight="1" spans="1:16">
      <c r="A55" s="1">
        <f t="shared" ref="A55:A60" si="15">10000+G55+B55*100</f>
        <v>10506</v>
      </c>
      <c r="B55" s="1">
        <v>5</v>
      </c>
      <c r="C55" s="1" t="s">
        <v>79</v>
      </c>
      <c r="D55" s="1">
        <v>2</v>
      </c>
      <c r="E55" s="2">
        <v>47044</v>
      </c>
      <c r="F55" s="2">
        <v>0</v>
      </c>
      <c r="G55" s="1">
        <v>6</v>
      </c>
      <c r="I55" s="3" t="s">
        <v>86</v>
      </c>
      <c r="J55" s="1">
        <v>4</v>
      </c>
      <c r="K55" t="s">
        <v>39</v>
      </c>
      <c r="L55" s="5">
        <f t="shared" si="13"/>
        <v>10507</v>
      </c>
      <c r="M55" s="1">
        <v>1800</v>
      </c>
      <c r="O55" s="1">
        <v>22006</v>
      </c>
      <c r="P55" s="2">
        <f t="shared" si="14"/>
        <v>410506</v>
      </c>
    </row>
    <row r="56" customHeight="1" spans="1:16">
      <c r="A56" s="1">
        <f t="shared" si="15"/>
        <v>10507</v>
      </c>
      <c r="B56" s="1">
        <v>5</v>
      </c>
      <c r="C56" s="1" t="s">
        <v>79</v>
      </c>
      <c r="D56" s="1">
        <v>2</v>
      </c>
      <c r="E56" s="2">
        <v>47044</v>
      </c>
      <c r="F56" s="2">
        <v>0</v>
      </c>
      <c r="G56" s="1">
        <v>7</v>
      </c>
      <c r="I56" s="3" t="s">
        <v>87</v>
      </c>
      <c r="J56" s="1">
        <v>4</v>
      </c>
      <c r="K56" t="s">
        <v>39</v>
      </c>
      <c r="L56" s="5">
        <f t="shared" si="13"/>
        <v>10508</v>
      </c>
      <c r="M56" s="1">
        <v>2100</v>
      </c>
      <c r="O56" s="1">
        <v>22007</v>
      </c>
      <c r="P56" s="2">
        <f t="shared" si="14"/>
        <v>410507</v>
      </c>
    </row>
    <row r="57" customHeight="1" spans="1:16">
      <c r="A57" s="1">
        <f t="shared" si="15"/>
        <v>10508</v>
      </c>
      <c r="B57" s="1">
        <v>5</v>
      </c>
      <c r="C57" s="1" t="s">
        <v>79</v>
      </c>
      <c r="D57" s="1">
        <v>2</v>
      </c>
      <c r="E57" s="2">
        <v>47044</v>
      </c>
      <c r="F57" s="2">
        <v>0</v>
      </c>
      <c r="G57" s="1">
        <v>8</v>
      </c>
      <c r="I57" s="3" t="s">
        <v>88</v>
      </c>
      <c r="J57" s="1">
        <v>4</v>
      </c>
      <c r="K57" t="s">
        <v>39</v>
      </c>
      <c r="L57" s="5">
        <f t="shared" si="13"/>
        <v>10509</v>
      </c>
      <c r="M57" s="1">
        <v>2400</v>
      </c>
      <c r="O57" s="1">
        <v>22008</v>
      </c>
      <c r="P57" s="2">
        <f t="shared" si="14"/>
        <v>410508</v>
      </c>
    </row>
    <row r="58" customHeight="1" spans="1:16">
      <c r="A58" s="1">
        <f t="shared" si="15"/>
        <v>10509</v>
      </c>
      <c r="B58" s="1">
        <v>5</v>
      </c>
      <c r="C58" s="1" t="s">
        <v>79</v>
      </c>
      <c r="D58" s="1">
        <v>2</v>
      </c>
      <c r="E58" s="2">
        <v>47044</v>
      </c>
      <c r="F58" s="2">
        <v>0</v>
      </c>
      <c r="G58" s="1">
        <v>9</v>
      </c>
      <c r="I58" s="3" t="s">
        <v>89</v>
      </c>
      <c r="J58" s="1">
        <v>4</v>
      </c>
      <c r="K58" t="s">
        <v>39</v>
      </c>
      <c r="L58" s="5">
        <f t="shared" si="13"/>
        <v>10510</v>
      </c>
      <c r="M58" s="1">
        <v>2700</v>
      </c>
      <c r="O58" s="1">
        <v>22009</v>
      </c>
      <c r="P58" s="2">
        <f t="shared" si="14"/>
        <v>410509</v>
      </c>
    </row>
    <row r="59" customHeight="1" spans="1:16">
      <c r="A59" s="1">
        <f t="shared" si="15"/>
        <v>10510</v>
      </c>
      <c r="B59" s="1">
        <v>5</v>
      </c>
      <c r="C59" s="1" t="s">
        <v>79</v>
      </c>
      <c r="D59" s="1">
        <v>2</v>
      </c>
      <c r="E59" s="2">
        <v>47044</v>
      </c>
      <c r="F59" s="2">
        <v>0</v>
      </c>
      <c r="G59" s="1">
        <v>10</v>
      </c>
      <c r="J59" s="1">
        <v>4</v>
      </c>
      <c r="K59"/>
      <c r="O59" s="1">
        <v>22010</v>
      </c>
      <c r="P59" s="2">
        <f t="shared" si="14"/>
        <v>410510</v>
      </c>
    </row>
    <row r="60" customHeight="1" spans="1:16">
      <c r="A60" s="1">
        <f t="shared" si="15"/>
        <v>10600</v>
      </c>
      <c r="B60" s="1">
        <v>6</v>
      </c>
      <c r="C60" s="1" t="s">
        <v>90</v>
      </c>
      <c r="D60" s="1">
        <v>4</v>
      </c>
      <c r="E60" s="2">
        <v>47045</v>
      </c>
      <c r="F60" s="2">
        <v>0</v>
      </c>
      <c r="G60" s="1">
        <v>0</v>
      </c>
      <c r="I60" s="3" t="s">
        <v>91</v>
      </c>
      <c r="J60" s="1">
        <v>4</v>
      </c>
      <c r="K60" t="s">
        <v>36</v>
      </c>
      <c r="L60" s="5">
        <f t="shared" ref="L60:L69" si="16">A61</f>
        <v>10601</v>
      </c>
      <c r="M60" s="1">
        <v>100</v>
      </c>
      <c r="N60" s="1">
        <v>0</v>
      </c>
      <c r="P60" s="2">
        <v>0</v>
      </c>
    </row>
    <row r="61" customHeight="1" spans="1:16">
      <c r="A61" s="1">
        <f t="shared" ref="A61:A72" si="17">10000+G61+B61*100</f>
        <v>10601</v>
      </c>
      <c r="B61" s="1">
        <v>6</v>
      </c>
      <c r="C61" s="1" t="s">
        <v>90</v>
      </c>
      <c r="D61" s="1">
        <v>4</v>
      </c>
      <c r="E61" s="2">
        <v>47045</v>
      </c>
      <c r="F61" s="2">
        <v>0</v>
      </c>
      <c r="G61" s="1">
        <v>1</v>
      </c>
      <c r="I61" s="3" t="s">
        <v>92</v>
      </c>
      <c r="J61" s="1">
        <v>4</v>
      </c>
      <c r="K61" t="s">
        <v>39</v>
      </c>
      <c r="L61" s="5">
        <f t="shared" si="16"/>
        <v>10602</v>
      </c>
      <c r="M61" s="1">
        <v>300</v>
      </c>
      <c r="O61" s="1">
        <v>11001</v>
      </c>
      <c r="P61" s="2">
        <f t="shared" ref="P61:P71" si="18">400000+A61</f>
        <v>410601</v>
      </c>
    </row>
    <row r="62" customHeight="1" spans="1:16">
      <c r="A62" s="1">
        <f t="shared" si="17"/>
        <v>10602</v>
      </c>
      <c r="B62" s="1">
        <v>6</v>
      </c>
      <c r="C62" s="1" t="s">
        <v>90</v>
      </c>
      <c r="D62" s="1">
        <v>4</v>
      </c>
      <c r="E62" s="2">
        <v>47045</v>
      </c>
      <c r="F62" s="2">
        <v>0</v>
      </c>
      <c r="G62" s="1">
        <v>2</v>
      </c>
      <c r="I62" s="3" t="s">
        <v>93</v>
      </c>
      <c r="J62" s="1">
        <v>4</v>
      </c>
      <c r="K62" t="s">
        <v>39</v>
      </c>
      <c r="L62" s="5">
        <f t="shared" si="16"/>
        <v>10603</v>
      </c>
      <c r="M62" s="1">
        <v>600</v>
      </c>
      <c r="O62" s="1">
        <v>11002</v>
      </c>
      <c r="P62" s="2">
        <f t="shared" si="18"/>
        <v>410602</v>
      </c>
    </row>
    <row r="63" customHeight="1" spans="1:16">
      <c r="A63" s="1">
        <f t="shared" si="17"/>
        <v>10603</v>
      </c>
      <c r="B63" s="1">
        <v>6</v>
      </c>
      <c r="C63" s="1" t="s">
        <v>90</v>
      </c>
      <c r="D63" s="1">
        <v>4</v>
      </c>
      <c r="E63" s="2">
        <v>47045</v>
      </c>
      <c r="F63" s="2">
        <v>0</v>
      </c>
      <c r="G63" s="1">
        <v>3</v>
      </c>
      <c r="I63" s="3" t="s">
        <v>94</v>
      </c>
      <c r="J63" s="1">
        <v>4</v>
      </c>
      <c r="K63" t="s">
        <v>39</v>
      </c>
      <c r="L63" s="5">
        <f t="shared" si="16"/>
        <v>10604</v>
      </c>
      <c r="M63" s="1">
        <v>900</v>
      </c>
      <c r="O63" s="1">
        <v>11003</v>
      </c>
      <c r="P63" s="2">
        <f t="shared" si="18"/>
        <v>410603</v>
      </c>
    </row>
    <row r="64" customHeight="1" spans="1:16">
      <c r="A64" s="1">
        <f t="shared" si="17"/>
        <v>10604</v>
      </c>
      <c r="B64" s="1">
        <v>6</v>
      </c>
      <c r="C64" s="1" t="s">
        <v>90</v>
      </c>
      <c r="D64" s="1">
        <v>4</v>
      </c>
      <c r="E64" s="2">
        <v>47045</v>
      </c>
      <c r="F64" s="2">
        <v>0</v>
      </c>
      <c r="G64" s="1">
        <v>4</v>
      </c>
      <c r="I64" s="3" t="s">
        <v>95</v>
      </c>
      <c r="J64" s="1">
        <v>4</v>
      </c>
      <c r="K64" t="s">
        <v>39</v>
      </c>
      <c r="L64" s="5">
        <f t="shared" si="16"/>
        <v>10605</v>
      </c>
      <c r="M64" s="1">
        <v>1200</v>
      </c>
      <c r="O64" s="1">
        <v>11004</v>
      </c>
      <c r="P64" s="2">
        <f t="shared" si="18"/>
        <v>410604</v>
      </c>
    </row>
    <row r="65" customHeight="1" spans="1:16">
      <c r="A65" s="1">
        <f t="shared" si="17"/>
        <v>10605</v>
      </c>
      <c r="B65" s="1">
        <v>6</v>
      </c>
      <c r="C65" s="1" t="s">
        <v>90</v>
      </c>
      <c r="D65" s="1">
        <v>4</v>
      </c>
      <c r="E65" s="2">
        <v>47045</v>
      </c>
      <c r="F65" s="2">
        <v>0</v>
      </c>
      <c r="G65" s="1">
        <v>5</v>
      </c>
      <c r="I65" s="3" t="s">
        <v>96</v>
      </c>
      <c r="J65" s="1">
        <v>4</v>
      </c>
      <c r="K65" t="s">
        <v>39</v>
      </c>
      <c r="L65" s="5">
        <f t="shared" si="16"/>
        <v>10606</v>
      </c>
      <c r="M65" s="1">
        <v>1500</v>
      </c>
      <c r="O65" s="1">
        <v>11005</v>
      </c>
      <c r="P65" s="2">
        <f t="shared" si="18"/>
        <v>410605</v>
      </c>
    </row>
    <row r="66" customHeight="1" spans="1:16">
      <c r="A66" s="1">
        <f t="shared" si="17"/>
        <v>10606</v>
      </c>
      <c r="B66" s="1">
        <v>6</v>
      </c>
      <c r="C66" s="1" t="s">
        <v>90</v>
      </c>
      <c r="D66" s="1">
        <v>4</v>
      </c>
      <c r="E66" s="2">
        <v>47045</v>
      </c>
      <c r="F66" s="2">
        <v>0</v>
      </c>
      <c r="G66" s="1">
        <v>6</v>
      </c>
      <c r="I66" s="3" t="s">
        <v>97</v>
      </c>
      <c r="J66" s="1">
        <v>4</v>
      </c>
      <c r="K66" t="s">
        <v>39</v>
      </c>
      <c r="L66" s="5">
        <f t="shared" si="16"/>
        <v>10607</v>
      </c>
      <c r="M66" s="1">
        <v>1800</v>
      </c>
      <c r="O66" s="1">
        <v>11006</v>
      </c>
      <c r="P66" s="2">
        <f t="shared" si="18"/>
        <v>410606</v>
      </c>
    </row>
    <row r="67" customHeight="1" spans="1:16">
      <c r="A67" s="1">
        <f t="shared" si="17"/>
        <v>10607</v>
      </c>
      <c r="B67" s="1">
        <v>6</v>
      </c>
      <c r="C67" s="1" t="s">
        <v>90</v>
      </c>
      <c r="D67" s="1">
        <v>4</v>
      </c>
      <c r="E67" s="2">
        <v>47045</v>
      </c>
      <c r="F67" s="2">
        <v>0</v>
      </c>
      <c r="G67" s="1">
        <v>7</v>
      </c>
      <c r="I67" s="3" t="s">
        <v>98</v>
      </c>
      <c r="J67" s="1">
        <v>4</v>
      </c>
      <c r="K67" t="s">
        <v>39</v>
      </c>
      <c r="L67" s="5">
        <f t="shared" si="16"/>
        <v>10608</v>
      </c>
      <c r="M67" s="1">
        <v>2100</v>
      </c>
      <c r="O67" s="1">
        <v>11007</v>
      </c>
      <c r="P67" s="2">
        <f t="shared" si="18"/>
        <v>410607</v>
      </c>
    </row>
    <row r="68" customHeight="1" spans="1:16">
      <c r="A68" s="1">
        <f t="shared" si="17"/>
        <v>10608</v>
      </c>
      <c r="B68" s="1">
        <v>6</v>
      </c>
      <c r="C68" s="1" t="s">
        <v>90</v>
      </c>
      <c r="D68" s="1">
        <v>4</v>
      </c>
      <c r="E68" s="2">
        <v>47045</v>
      </c>
      <c r="F68" s="2">
        <v>0</v>
      </c>
      <c r="G68" s="1">
        <v>8</v>
      </c>
      <c r="I68" s="3" t="s">
        <v>99</v>
      </c>
      <c r="J68" s="1">
        <v>4</v>
      </c>
      <c r="K68" t="s">
        <v>39</v>
      </c>
      <c r="L68" s="5">
        <f t="shared" si="16"/>
        <v>10609</v>
      </c>
      <c r="M68" s="1">
        <v>2400</v>
      </c>
      <c r="O68" s="1">
        <v>11008</v>
      </c>
      <c r="P68" s="2">
        <f t="shared" si="18"/>
        <v>410608</v>
      </c>
    </row>
    <row r="69" customHeight="1" spans="1:16">
      <c r="A69" s="1">
        <f t="shared" si="17"/>
        <v>10609</v>
      </c>
      <c r="B69" s="1">
        <v>6</v>
      </c>
      <c r="C69" s="1" t="s">
        <v>90</v>
      </c>
      <c r="D69" s="1">
        <v>4</v>
      </c>
      <c r="E69" s="2">
        <v>47045</v>
      </c>
      <c r="F69" s="2">
        <v>0</v>
      </c>
      <c r="G69" s="1">
        <v>9</v>
      </c>
      <c r="I69" s="3" t="s">
        <v>100</v>
      </c>
      <c r="J69" s="1">
        <v>4</v>
      </c>
      <c r="K69" t="s">
        <v>39</v>
      </c>
      <c r="L69" s="5">
        <f t="shared" si="16"/>
        <v>10610</v>
      </c>
      <c r="M69" s="1">
        <v>2700</v>
      </c>
      <c r="O69" s="1">
        <v>11009</v>
      </c>
      <c r="P69" s="2">
        <f t="shared" si="18"/>
        <v>410609</v>
      </c>
    </row>
    <row r="70" customHeight="1" spans="1:16">
      <c r="A70" s="1">
        <f t="shared" si="17"/>
        <v>10610</v>
      </c>
      <c r="B70" s="1">
        <v>6</v>
      </c>
      <c r="C70" s="1" t="s">
        <v>90</v>
      </c>
      <c r="D70" s="1">
        <v>4</v>
      </c>
      <c r="E70" s="2">
        <v>47045</v>
      </c>
      <c r="F70" s="2">
        <v>0</v>
      </c>
      <c r="G70" s="1">
        <v>10</v>
      </c>
      <c r="J70" s="1">
        <v>4</v>
      </c>
      <c r="K70"/>
      <c r="O70" s="1">
        <v>11010</v>
      </c>
      <c r="P70" s="2">
        <f t="shared" si="18"/>
        <v>410610</v>
      </c>
    </row>
    <row r="71" customHeight="1" spans="1:16">
      <c r="A71" s="1">
        <f t="shared" si="17"/>
        <v>10700</v>
      </c>
      <c r="B71" s="1">
        <v>7</v>
      </c>
      <c r="C71" s="1" t="s">
        <v>101</v>
      </c>
      <c r="D71" s="1">
        <v>4</v>
      </c>
      <c r="E71" s="2">
        <f>300000+A71</f>
        <v>310700</v>
      </c>
      <c r="F71" s="2">
        <v>0</v>
      </c>
      <c r="G71" s="1">
        <v>0</v>
      </c>
      <c r="J71" s="1">
        <v>4</v>
      </c>
      <c r="L71" s="5">
        <f>A72</f>
        <v>10701</v>
      </c>
      <c r="M71" s="1">
        <v>100</v>
      </c>
      <c r="N71" s="1">
        <v>0</v>
      </c>
      <c r="P71" s="2">
        <v>0</v>
      </c>
    </row>
    <row r="72" customHeight="1" spans="1:16">
      <c r="A72" s="1">
        <f t="shared" si="17"/>
        <v>10701</v>
      </c>
      <c r="B72" s="1">
        <v>7</v>
      </c>
      <c r="C72" s="1" t="s">
        <v>101</v>
      </c>
      <c r="D72" s="1">
        <v>4</v>
      </c>
      <c r="E72" s="2">
        <f>300000+A72</f>
        <v>310701</v>
      </c>
      <c r="F72" s="2">
        <v>0</v>
      </c>
      <c r="G72" s="1">
        <v>1</v>
      </c>
      <c r="J72" s="1">
        <v>4</v>
      </c>
      <c r="M72" s="1">
        <v>0</v>
      </c>
      <c r="P72" s="2">
        <f>400000+A72</f>
        <v>410701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2025-09-08T07:30:19Z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2052-12.1.0.22529</vt:lpwstr>
  </property>
</Properties>
</file>