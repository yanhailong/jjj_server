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uildingFunction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slot机台
2. 扑克牌桌
3. 幸运转盘
4. 吧台区 休息区
5. 
6. 提款机
7. 停机平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产出间隔（分钟）_ 道具ID _ 道具数量 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填建筑类型ID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condition表中类型_类型参数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<sst xmlns="http://schemas.openxmlformats.org/spreadsheetml/2006/main" count="597" uniqueCount="306">
  <si>
    <t>id</t>
  </si>
  <si>
    <t>建筑类型</t>
  </si>
  <si>
    <t>#备注</t>
  </si>
  <si>
    <t>需要的空间大小</t>
  </si>
  <si>
    <t>建筑多语言ID</t>
  </si>
  <si>
    <t>可雇佣员工数量</t>
  </si>
  <si>
    <t>等级</t>
  </si>
  <si>
    <t>基础产出/分钟</t>
  </si>
  <si>
    <t>升下一级消耗道具ID</t>
  </si>
  <si>
    <t>升级受建筑类型等级限制</t>
  </si>
  <si>
    <t>升级条件</t>
  </si>
  <si>
    <t>下一级建筑ID</t>
  </si>
  <si>
    <t>升级耗时/秒</t>
  </si>
  <si>
    <t>基础存储数量</t>
  </si>
  <si>
    <t>建筑效果</t>
  </si>
  <si>
    <t>建筑多语言描述ID</t>
  </si>
  <si>
    <t>int</t>
  </si>
  <si>
    <t>list&lt;int&gt;{_}</t>
  </si>
  <si>
    <t>map&lt;int{_}long&gt;{|}</t>
  </si>
  <si>
    <t>map&lt;int{_}int&gt;{;}</t>
  </si>
  <si>
    <t>typeID</t>
  </si>
  <si>
    <t>spaceSize</t>
  </si>
  <si>
    <t>name</t>
  </si>
  <si>
    <t>numEmployees</t>
  </si>
  <si>
    <t>buldlevel</t>
  </si>
  <si>
    <t>output</t>
  </si>
  <si>
    <t>uplevel_itemid</t>
  </si>
  <si>
    <t>maxLevelType</t>
  </si>
  <si>
    <t>condition</t>
  </si>
  <si>
    <t>nextlevelID</t>
  </si>
  <si>
    <t>uptime</t>
  </si>
  <si>
    <t>savenum</t>
  </si>
  <si>
    <t>buffid</t>
  </si>
  <si>
    <t>describe</t>
  </si>
  <si>
    <t>slot机台</t>
  </si>
  <si>
    <t>1023001_4</t>
  </si>
  <si>
    <t>1_1</t>
  </si>
  <si>
    <t>5_1990000_60</t>
  </si>
  <si>
    <t>1023001_8</t>
  </si>
  <si>
    <t>1_10</t>
  </si>
  <si>
    <t>5_1990000_140</t>
  </si>
  <si>
    <t>1023001_16</t>
  </si>
  <si>
    <t>5_1990000_220</t>
  </si>
  <si>
    <t>1023001_24</t>
  </si>
  <si>
    <t>5_1990000_310</t>
  </si>
  <si>
    <t>1023001_32</t>
  </si>
  <si>
    <t>1_20</t>
  </si>
  <si>
    <t>5_1990000_390</t>
  </si>
  <si>
    <t>1023001_40</t>
  </si>
  <si>
    <t>5_1990000_510</t>
  </si>
  <si>
    <t>1023001_10</t>
  </si>
  <si>
    <t>1_30</t>
  </si>
  <si>
    <t>5_1990000_630</t>
  </si>
  <si>
    <t>1023001_20</t>
  </si>
  <si>
    <t>5_1990000_740</t>
  </si>
  <si>
    <t>1023001_40|1980000_10</t>
  </si>
  <si>
    <t>1_40</t>
  </si>
  <si>
    <t>5_1990000_910</t>
  </si>
  <si>
    <t>1023001_58</t>
  </si>
  <si>
    <t>1_50</t>
  </si>
  <si>
    <t>5_1990000_1070</t>
  </si>
  <si>
    <t>1023001_14</t>
  </si>
  <si>
    <t>1_60</t>
  </si>
  <si>
    <t>5_1990000_1240</t>
  </si>
  <si>
    <t>1023001_26|1980000_10</t>
  </si>
  <si>
    <t>1_70</t>
  </si>
  <si>
    <t>5_1990000_1470</t>
  </si>
  <si>
    <t>1023001_52</t>
  </si>
  <si>
    <t>1_80</t>
  </si>
  <si>
    <t>5_1990000_1700</t>
  </si>
  <si>
    <t>1023001_78</t>
  </si>
  <si>
    <t>1_90</t>
  </si>
  <si>
    <t>5_1990000_1930</t>
  </si>
  <si>
    <t>1023001_24|1980000_30</t>
  </si>
  <si>
    <t>1_100</t>
  </si>
  <si>
    <t>5_1990000_2250</t>
  </si>
  <si>
    <t>1023001_48</t>
  </si>
  <si>
    <t>1_110</t>
  </si>
  <si>
    <t>5_1990000_2570</t>
  </si>
  <si>
    <t>1023001_96</t>
  </si>
  <si>
    <t>1_120</t>
  </si>
  <si>
    <t>5_1990000_2900</t>
  </si>
  <si>
    <t>1023001_36|1980000_70</t>
  </si>
  <si>
    <t>1_130</t>
  </si>
  <si>
    <t>5_1990000_3350</t>
  </si>
  <si>
    <t>1023001_72</t>
  </si>
  <si>
    <t>1_140</t>
  </si>
  <si>
    <t>5_1990000_3800</t>
  </si>
  <si>
    <t>1023001_142</t>
  </si>
  <si>
    <t>1_150</t>
  </si>
  <si>
    <t>5_1990000_4250</t>
  </si>
  <si>
    <t>扑克牌桌</t>
  </si>
  <si>
    <t>1023101_2</t>
  </si>
  <si>
    <t>5_1990000_120</t>
  </si>
  <si>
    <t>1023101_4</t>
  </si>
  <si>
    <t>5_1990000_280</t>
  </si>
  <si>
    <t>1023101_8</t>
  </si>
  <si>
    <t>5_1990000_440</t>
  </si>
  <si>
    <t>1023101_12</t>
  </si>
  <si>
    <t>5_1990000_620</t>
  </si>
  <si>
    <t>1023101_16</t>
  </si>
  <si>
    <t>5_1990000_780</t>
  </si>
  <si>
    <t>1023101_20</t>
  </si>
  <si>
    <t>5_1990000_1020</t>
  </si>
  <si>
    <t>1023101_6</t>
  </si>
  <si>
    <t>5_1990000_1260</t>
  </si>
  <si>
    <t>1023101_10</t>
  </si>
  <si>
    <t>5_1990000_1480</t>
  </si>
  <si>
    <t>1023101_20|1980000_10</t>
  </si>
  <si>
    <t>5_1990000_1820</t>
  </si>
  <si>
    <t>1023101_30</t>
  </si>
  <si>
    <t>5_1990000_2140</t>
  </si>
  <si>
    <t>5_1990000_2480</t>
  </si>
  <si>
    <t>1023101_14|1980000_20</t>
  </si>
  <si>
    <t>5_1990000_2940</t>
  </si>
  <si>
    <t>1023101_26</t>
  </si>
  <si>
    <t>5_1990000_3400</t>
  </si>
  <si>
    <t>1023101_40</t>
  </si>
  <si>
    <t>5_1990000_3860</t>
  </si>
  <si>
    <t>1023101_12|1980000_60</t>
  </si>
  <si>
    <t>5_1990000_4500</t>
  </si>
  <si>
    <t>1023101_24</t>
  </si>
  <si>
    <t>5_1990000_5140</t>
  </si>
  <si>
    <t>1023101_48</t>
  </si>
  <si>
    <t>5_1990000_5800</t>
  </si>
  <si>
    <t>1023101_18|1980000_140</t>
  </si>
  <si>
    <t>5_1990000_6700</t>
  </si>
  <si>
    <t>1023101_36</t>
  </si>
  <si>
    <t>5_1990000_7600</t>
  </si>
  <si>
    <t>1023101_72</t>
  </si>
  <si>
    <t>5_1990000_8500</t>
  </si>
  <si>
    <t>幸运转盘</t>
  </si>
  <si>
    <t>5_1990000_240</t>
  </si>
  <si>
    <t>5_1990000_560</t>
  </si>
  <si>
    <t>5_1990000_880</t>
  </si>
  <si>
    <t>5_1990000_1560</t>
  </si>
  <si>
    <t>5_1990000_2040</t>
  </si>
  <si>
    <t>5_1990000_2520</t>
  </si>
  <si>
    <t>5_1990000_2960</t>
  </si>
  <si>
    <t>1023101_10|1980000_10</t>
  </si>
  <si>
    <t>5_1990000_3640</t>
  </si>
  <si>
    <t>5_1990000_4280</t>
  </si>
  <si>
    <t>5_1990000_4960</t>
  </si>
  <si>
    <t>1023101_8|1980000_30</t>
  </si>
  <si>
    <t>5_1990000_5880</t>
  </si>
  <si>
    <t>1023101_14</t>
  </si>
  <si>
    <t>5_1990000_6800</t>
  </si>
  <si>
    <t>5_1990000_7720</t>
  </si>
  <si>
    <t>1023101_6|1980000_120</t>
  </si>
  <si>
    <t>5_1990000_9000</t>
  </si>
  <si>
    <t>5_1990000_10280</t>
  </si>
  <si>
    <t>5_1990000_11600</t>
  </si>
  <si>
    <t>1023101_10|1980000_280</t>
  </si>
  <si>
    <t>5_1990000_13400</t>
  </si>
  <si>
    <t>1023101_18</t>
  </si>
  <si>
    <t>5_1990000_15200</t>
  </si>
  <si>
    <t>5_1990000_17000</t>
  </si>
  <si>
    <t>吧台区</t>
  </si>
  <si>
    <t>1023401_4</t>
  </si>
  <si>
    <t>1023401_8</t>
  </si>
  <si>
    <t>1023401_16</t>
  </si>
  <si>
    <t>1023401_24</t>
  </si>
  <si>
    <t>1023401_32</t>
  </si>
  <si>
    <t>1023401_40</t>
  </si>
  <si>
    <t>1023401_10</t>
  </si>
  <si>
    <t>1023401_20</t>
  </si>
  <si>
    <t>1023401_40|1980000_10</t>
  </si>
  <si>
    <t>1023401_58</t>
  </si>
  <si>
    <t>1023401_14</t>
  </si>
  <si>
    <t>1023401_26|1980000_170</t>
  </si>
  <si>
    <t>1023401_52</t>
  </si>
  <si>
    <t>1023401_78</t>
  </si>
  <si>
    <t>1023401_24|1980000_690</t>
  </si>
  <si>
    <t>1023401_48</t>
  </si>
  <si>
    <t>1023401_96</t>
  </si>
  <si>
    <t>1023401_36|1980000_1680</t>
  </si>
  <si>
    <t>1023401_72</t>
  </si>
  <si>
    <t>1023401_142</t>
  </si>
  <si>
    <t>休息区</t>
  </si>
  <si>
    <t>1023301_8</t>
  </si>
  <si>
    <t>1023301_16</t>
  </si>
  <si>
    <t>1023301_32</t>
  </si>
  <si>
    <t>1023301_48</t>
  </si>
  <si>
    <t>1023301_64</t>
  </si>
  <si>
    <t>1023301_80</t>
  </si>
  <si>
    <t>1023301_20</t>
  </si>
  <si>
    <t>1023301_40</t>
  </si>
  <si>
    <t>1023301_78|1980000_10</t>
  </si>
  <si>
    <t>1023301_116</t>
  </si>
  <si>
    <t>1023301_26</t>
  </si>
  <si>
    <t>1023301_52|1980000_170</t>
  </si>
  <si>
    <t>1023301_102</t>
  </si>
  <si>
    <t>1023301_154</t>
  </si>
  <si>
    <t>1023301_48|1980000_690</t>
  </si>
  <si>
    <t>1023301_96</t>
  </si>
  <si>
    <t>1023301_190</t>
  </si>
  <si>
    <t>1023301_72|1980000_1680</t>
  </si>
  <si>
    <t>1023301_142</t>
  </si>
  <si>
    <t>1023301_284</t>
  </si>
  <si>
    <t>提款机</t>
  </si>
  <si>
    <t>1023201_6</t>
  </si>
  <si>
    <t>1023201_12</t>
  </si>
  <si>
    <t>1023201_24</t>
  </si>
  <si>
    <t>1023201_36</t>
  </si>
  <si>
    <t>1023201_48</t>
  </si>
  <si>
    <t>1023201_60</t>
  </si>
  <si>
    <t>1023201_16</t>
  </si>
  <si>
    <t>1023201_30</t>
  </si>
  <si>
    <t>1023201_58|1980000_10</t>
  </si>
  <si>
    <t>1023201_86</t>
  </si>
  <si>
    <t>1023201_20</t>
  </si>
  <si>
    <t>1023201_40|1980000_90</t>
  </si>
  <si>
    <t>1023201_78</t>
  </si>
  <si>
    <t>1023201_116</t>
  </si>
  <si>
    <t>1023201_36|1980000_350</t>
  </si>
  <si>
    <t>1023201_72</t>
  </si>
  <si>
    <t>1023201_142</t>
  </si>
  <si>
    <t>1023201_54|1980000_840</t>
  </si>
  <si>
    <t>1023201_108</t>
  </si>
  <si>
    <t>1023201_214</t>
  </si>
  <si>
    <t>停机坪</t>
  </si>
  <si>
    <t>map&lt;int{_}long&gt;{;}</t>
  </si>
  <si>
    <t>1023001_40;1980000_10</t>
  </si>
  <si>
    <t>1023002_8</t>
  </si>
  <si>
    <t>1023002_16</t>
  </si>
  <si>
    <t>1023002_32</t>
  </si>
  <si>
    <t>1023002_48;1980000_100</t>
  </si>
  <si>
    <t>1023003_8</t>
  </si>
  <si>
    <t>1023003_16</t>
  </si>
  <si>
    <t>1023003_32</t>
  </si>
  <si>
    <t>1023003_48;1980000_300</t>
  </si>
  <si>
    <t>1023004_12</t>
  </si>
  <si>
    <t>1023004_24</t>
  </si>
  <si>
    <t>1023004_48;1980000_600</t>
  </si>
  <si>
    <t>1023005_12</t>
  </si>
  <si>
    <t>1023005_24</t>
  </si>
  <si>
    <t>1023005_48</t>
  </si>
  <si>
    <t>1023101_20;1980000_10</t>
  </si>
  <si>
    <t>1023102_4</t>
  </si>
  <si>
    <t>1023102_8</t>
  </si>
  <si>
    <t>1023102_16</t>
  </si>
  <si>
    <t>1023102_24;1980000_100</t>
  </si>
  <si>
    <t>1023103_4</t>
  </si>
  <si>
    <t>1023103_8</t>
  </si>
  <si>
    <t>1023103_16</t>
  </si>
  <si>
    <t>1023103_24;1980000_300</t>
  </si>
  <si>
    <t>1023104_6</t>
  </si>
  <si>
    <t>1023104_12</t>
  </si>
  <si>
    <t>1023104_24;1980000_600</t>
  </si>
  <si>
    <t>1023105_6</t>
  </si>
  <si>
    <t>1023105_12</t>
  </si>
  <si>
    <t>1023105_24</t>
  </si>
  <si>
    <t>1023101_1</t>
  </si>
  <si>
    <t>1023101_10;1980000_10</t>
  </si>
  <si>
    <t>1023102_2</t>
  </si>
  <si>
    <t>1023102_12;1980000_100</t>
  </si>
  <si>
    <t>1023103_2</t>
  </si>
  <si>
    <t>1023103_12;1980000_300</t>
  </si>
  <si>
    <t>1023104_3</t>
  </si>
  <si>
    <t>1023104_12;1980000_600</t>
  </si>
  <si>
    <t>1023105_3</t>
  </si>
  <si>
    <t>1023401_40;1980000_10</t>
  </si>
  <si>
    <t>1023402_8</t>
  </si>
  <si>
    <t>1023402_16</t>
  </si>
  <si>
    <t>1023402_32</t>
  </si>
  <si>
    <t>1023402_48;1980000_100</t>
  </si>
  <si>
    <t>1023403_8</t>
  </si>
  <si>
    <t>1023403_16</t>
  </si>
  <si>
    <t>1023403_32</t>
  </si>
  <si>
    <t>1023403_48;1980000_300</t>
  </si>
  <si>
    <t>1023404_12</t>
  </si>
  <si>
    <t>1023404_24</t>
  </si>
  <si>
    <t>1023404_48;1980000_600</t>
  </si>
  <si>
    <t>1023405_12</t>
  </si>
  <si>
    <t>1023405_24</t>
  </si>
  <si>
    <t>1023405_48</t>
  </si>
  <si>
    <t>1023301_80;1980000_10</t>
  </si>
  <si>
    <t>1023302_16</t>
  </si>
  <si>
    <t>1023302_32</t>
  </si>
  <si>
    <t>1023302_64</t>
  </si>
  <si>
    <t>1023302_96;1980000_100</t>
  </si>
  <si>
    <t>1023303_16</t>
  </si>
  <si>
    <t>1023303_32</t>
  </si>
  <si>
    <t>1023303_64</t>
  </si>
  <si>
    <t>1023303_96;1980000_300</t>
  </si>
  <si>
    <t>1023304_24</t>
  </si>
  <si>
    <t>1023304_48</t>
  </si>
  <si>
    <t>1023304_96;1980000_600</t>
  </si>
  <si>
    <t>1023305_24</t>
  </si>
  <si>
    <t>1023305_48</t>
  </si>
  <si>
    <t>1023305_96</t>
  </si>
  <si>
    <t>1023201_60;1980000_10</t>
  </si>
  <si>
    <t>1023202_12</t>
  </si>
  <si>
    <t>1023202_24</t>
  </si>
  <si>
    <t>1023202_48</t>
  </si>
  <si>
    <t>1023202_72;1980000_100</t>
  </si>
  <si>
    <t>1023203_12</t>
  </si>
  <si>
    <t>1023203_24</t>
  </si>
  <si>
    <t>1023203_48</t>
  </si>
  <si>
    <t>1023203_72;1980000_300</t>
  </si>
  <si>
    <t>1023204_18</t>
  </si>
  <si>
    <t>1023204_36</t>
  </si>
  <si>
    <t>1023204_72;1980000_600</t>
  </si>
  <si>
    <t>1023205_18</t>
  </si>
  <si>
    <t>1023205_36</t>
  </si>
  <si>
    <t>1023205_72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</si>
</sst>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2"/>
  <sheetViews>
    <sheetView tabSelected="1" zoomScale="85" zoomScaleNormal="85" workbookViewId="0">
      <pane xSplit="1" ySplit="3" topLeftCell="B4" activePane="bottomRight" state="frozenSplit"/>
      <selection/>
      <selection pane="topRight"/>
      <selection pane="bottomLeft"/>
      <selection pane="bottomRight" activeCell="J12" sqref="J12"/>
    </sheetView>
  </sheetViews>
  <sheetFormatPr defaultColWidth="9" defaultRowHeight="19" customHeight="1"/>
  <cols>
    <col min="1" max="1" width="9.625" style="3" customWidth="1"/>
    <col min="2" max="2" width="8.875" style="3" customWidth="1"/>
    <col min="3" max="3" width="9" style="3"/>
    <col min="4" max="4" width="15" style="3" customWidth="1"/>
    <col min="5" max="6" width="16.625" style="2" customWidth="1"/>
    <col min="7" max="7" width="9" style="3"/>
    <col min="8" max="8" width="13.875" style="3" customWidth="1"/>
    <col min="9" max="9" width="34" style="1" customWidth="1"/>
    <col min="10" max="10" width="15" style="1" customWidth="1"/>
    <col min="11" max="11" width="15.25" style="1" customWidth="1"/>
    <col min="12" max="12" width="12.875" style="1" customWidth="1"/>
    <col min="13" max="13" width="12.375" style="3" customWidth="1"/>
    <col min="14" max="14" width="13.25" style="3" customWidth="1"/>
    <col min="15" max="15" width="9" style="3"/>
    <col min="16" max="16" width="17" style="2" customWidth="1"/>
    <col min="17" max="17" width="9" style="3"/>
    <col min="18" max="18" width="14.125" style="3"/>
    <col min="19" max="16384" width="9" style="3"/>
  </cols>
  <sheetData>
    <row r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customHeight="1" spans="1:16">
      <c r="A2" s="3" t="s">
        <v>16</v>
      </c>
      <c r="B2" s="3" t="s">
        <v>16</v>
      </c>
      <c r="D2" s="2" t="s">
        <v>16</v>
      </c>
      <c r="E2" s="2" t="s">
        <v>16</v>
      </c>
      <c r="F2" s="2" t="s">
        <v>16</v>
      </c>
      <c r="G2" s="3" t="s">
        <v>16</v>
      </c>
      <c r="H2" s="4" t="s">
        <v>17</v>
      </c>
      <c r="I2" s="2" t="s">
        <v>18</v>
      </c>
      <c r="J2" s="3" t="s">
        <v>16</v>
      </c>
      <c r="K2" s="2" t="s">
        <v>19</v>
      </c>
      <c r="L2" s="3" t="s">
        <v>16</v>
      </c>
      <c r="M2" s="3" t="s">
        <v>16</v>
      </c>
      <c r="N2" s="3" t="s">
        <v>16</v>
      </c>
      <c r="O2" s="3" t="s">
        <v>16</v>
      </c>
      <c r="P2" s="2" t="s">
        <v>16</v>
      </c>
    </row>
    <row r="3" customHeight="1" spans="1:16">
      <c r="A3" s="3" t="s">
        <v>0</v>
      </c>
      <c r="B3" s="3" t="s">
        <v>20</v>
      </c>
      <c r="D3" s="3" t="s">
        <v>21</v>
      </c>
      <c r="E3" s="2" t="s">
        <v>22</v>
      </c>
      <c r="F3" s="2" t="s">
        <v>23</v>
      </c>
      <c r="G3" s="3" t="s">
        <v>24</v>
      </c>
      <c r="H3" s="3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3" t="s">
        <v>30</v>
      </c>
      <c r="N3" s="3" t="s">
        <v>31</v>
      </c>
      <c r="O3" s="3" t="s">
        <v>32</v>
      </c>
      <c r="P3" s="2" t="s">
        <v>33</v>
      </c>
    </row>
    <row r="5" customHeight="1" spans="1:16">
      <c r="A5" s="3">
        <f t="shared" ref="A5:A15" si="0">10000+G5+B5*100</f>
        <v>10100</v>
      </c>
      <c r="B5" s="3">
        <v>1</v>
      </c>
      <c r="C5" s="3" t="s">
        <v>34</v>
      </c>
      <c r="D5" s="3">
        <v>1</v>
      </c>
      <c r="E5" s="2">
        <v>47027</v>
      </c>
      <c r="F5" s="2">
        <v>0</v>
      </c>
      <c r="G5" s="3">
        <v>0</v>
      </c>
      <c r="H5" s="2"/>
      <c r="I5" s="1" t="s">
        <v>35</v>
      </c>
      <c r="J5" s="3">
        <v>4</v>
      </c>
      <c r="K5" t="s">
        <v>36</v>
      </c>
      <c r="L5" s="5">
        <f>A6</f>
        <v>10101</v>
      </c>
      <c r="M5" s="3">
        <v>100</v>
      </c>
      <c r="N5" s="3">
        <v>0</v>
      </c>
      <c r="P5" s="2">
        <v>0</v>
      </c>
    </row>
    <row r="6" customHeight="1" spans="1:16">
      <c r="A6" s="3">
        <f t="shared" si="0"/>
        <v>10101</v>
      </c>
      <c r="B6" s="3">
        <v>1</v>
      </c>
      <c r="C6" s="3" t="s">
        <v>34</v>
      </c>
      <c r="D6" s="3">
        <v>1</v>
      </c>
      <c r="E6" s="2">
        <v>47027</v>
      </c>
      <c r="F6" s="2">
        <v>0</v>
      </c>
      <c r="G6" s="3">
        <v>1</v>
      </c>
      <c r="H6" s="2" t="s">
        <v>37</v>
      </c>
      <c r="I6" s="1" t="s">
        <v>38</v>
      </c>
      <c r="J6" s="3">
        <v>4</v>
      </c>
      <c r="K6" t="s">
        <v>39</v>
      </c>
      <c r="L6" s="5">
        <f t="shared" ref="L6:L14" si="1">A7</f>
        <v>10102</v>
      </c>
      <c r="M6" s="3">
        <v>300</v>
      </c>
      <c r="N6" s="3">
        <v>2880</v>
      </c>
      <c r="P6" s="2">
        <f t="shared" ref="P6:P15" si="2">400000+A6</f>
        <v>410101</v>
      </c>
    </row>
    <row r="7" customHeight="1" spans="1:16">
      <c r="A7" s="3">
        <f t="shared" si="0"/>
        <v>10102</v>
      </c>
      <c r="B7" s="3">
        <v>1</v>
      </c>
      <c r="C7" s="3" t="s">
        <v>34</v>
      </c>
      <c r="D7" s="3">
        <v>1</v>
      </c>
      <c r="E7" s="2">
        <v>47027</v>
      </c>
      <c r="F7" s="2">
        <v>0</v>
      </c>
      <c r="G7" s="3">
        <v>2</v>
      </c>
      <c r="H7" s="2" t="s">
        <v>40</v>
      </c>
      <c r="I7" s="1" t="s">
        <v>41</v>
      </c>
      <c r="J7" s="3">
        <v>4</v>
      </c>
      <c r="K7" t="s">
        <v>39</v>
      </c>
      <c r="L7" s="5">
        <f t="shared" si="1"/>
        <v>10103</v>
      </c>
      <c r="M7" s="3">
        <v>600</v>
      </c>
      <c r="N7" s="3">
        <v>6720</v>
      </c>
      <c r="P7" s="2">
        <f t="shared" si="2"/>
        <v>410102</v>
      </c>
    </row>
    <row r="8" customHeight="1" spans="1:16">
      <c r="A8" s="3">
        <f t="shared" si="0"/>
        <v>10103</v>
      </c>
      <c r="B8" s="3">
        <v>1</v>
      </c>
      <c r="C8" s="3" t="s">
        <v>34</v>
      </c>
      <c r="D8" s="3">
        <v>1</v>
      </c>
      <c r="E8" s="2">
        <v>47027</v>
      </c>
      <c r="F8" s="2">
        <v>0</v>
      </c>
      <c r="G8" s="3">
        <v>3</v>
      </c>
      <c r="H8" s="2" t="s">
        <v>42</v>
      </c>
      <c r="I8" s="1" t="s">
        <v>43</v>
      </c>
      <c r="J8" s="3">
        <v>4</v>
      </c>
      <c r="K8" t="s">
        <v>39</v>
      </c>
      <c r="L8" s="5">
        <f t="shared" si="1"/>
        <v>10104</v>
      </c>
      <c r="M8" s="3">
        <v>900</v>
      </c>
      <c r="N8" s="3">
        <v>10560</v>
      </c>
      <c r="P8" s="2">
        <f t="shared" si="2"/>
        <v>410103</v>
      </c>
    </row>
    <row r="9" customHeight="1" spans="1:16">
      <c r="A9" s="3">
        <f t="shared" si="0"/>
        <v>10104</v>
      </c>
      <c r="B9" s="3">
        <v>1</v>
      </c>
      <c r="C9" s="3" t="s">
        <v>34</v>
      </c>
      <c r="D9" s="3">
        <v>1</v>
      </c>
      <c r="E9" s="2">
        <v>47027</v>
      </c>
      <c r="F9" s="2">
        <v>0</v>
      </c>
      <c r="G9" s="3">
        <v>4</v>
      </c>
      <c r="H9" s="2" t="s">
        <v>44</v>
      </c>
      <c r="I9" s="1" t="s">
        <v>45</v>
      </c>
      <c r="J9" s="3">
        <v>4</v>
      </c>
      <c r="K9" t="s">
        <v>46</v>
      </c>
      <c r="L9" s="5">
        <f t="shared" si="1"/>
        <v>10105</v>
      </c>
      <c r="M9" s="3">
        <v>1200</v>
      </c>
      <c r="N9" s="3">
        <v>14880</v>
      </c>
      <c r="P9" s="2">
        <f t="shared" si="2"/>
        <v>410104</v>
      </c>
    </row>
    <row r="10" customHeight="1" spans="1:16">
      <c r="A10" s="3">
        <f t="shared" si="0"/>
        <v>10105</v>
      </c>
      <c r="B10" s="3">
        <v>1</v>
      </c>
      <c r="C10" s="3" t="s">
        <v>34</v>
      </c>
      <c r="D10" s="3">
        <v>1</v>
      </c>
      <c r="E10" s="2">
        <v>47027</v>
      </c>
      <c r="F10" s="2">
        <v>0</v>
      </c>
      <c r="G10" s="3">
        <v>5</v>
      </c>
      <c r="H10" s="2" t="s">
        <v>47</v>
      </c>
      <c r="I10" s="1" t="s">
        <v>48</v>
      </c>
      <c r="J10" s="3">
        <v>4</v>
      </c>
      <c r="K10" t="s">
        <v>46</v>
      </c>
      <c r="L10" s="5">
        <f t="shared" ref="L10:L24" si="3">A11</f>
        <v>10106</v>
      </c>
      <c r="M10" s="3">
        <v>1500</v>
      </c>
      <c r="N10" s="3">
        <v>18720</v>
      </c>
      <c r="P10" s="2">
        <f t="shared" si="2"/>
        <v>410105</v>
      </c>
    </row>
    <row r="11" customHeight="1" spans="1:16">
      <c r="A11" s="3">
        <f t="shared" si="0"/>
        <v>10106</v>
      </c>
      <c r="B11" s="3">
        <v>1</v>
      </c>
      <c r="C11" s="3" t="s">
        <v>34</v>
      </c>
      <c r="D11" s="3">
        <v>1</v>
      </c>
      <c r="E11" s="2">
        <v>47027</v>
      </c>
      <c r="F11" s="2">
        <v>0</v>
      </c>
      <c r="G11" s="3">
        <v>6</v>
      </c>
      <c r="H11" s="2" t="s">
        <v>49</v>
      </c>
      <c r="I11" s="1" t="s">
        <v>50</v>
      </c>
      <c r="J11" s="3">
        <v>4</v>
      </c>
      <c r="K11" t="s">
        <v>51</v>
      </c>
      <c r="L11" s="5">
        <f t="shared" si="3"/>
        <v>10107</v>
      </c>
      <c r="M11" s="3">
        <f>G11*600</f>
        <v>3600</v>
      </c>
      <c r="N11" s="3">
        <v>24480</v>
      </c>
      <c r="P11" s="2">
        <f t="shared" si="2"/>
        <v>410106</v>
      </c>
    </row>
    <row r="12" customHeight="1" spans="1:16">
      <c r="A12" s="3">
        <f t="shared" si="0"/>
        <v>10107</v>
      </c>
      <c r="B12" s="3">
        <v>1</v>
      </c>
      <c r="C12" s="3" t="s">
        <v>34</v>
      </c>
      <c r="D12" s="3">
        <v>1</v>
      </c>
      <c r="E12" s="2">
        <v>47027</v>
      </c>
      <c r="F12" s="2">
        <v>0</v>
      </c>
      <c r="G12" s="3">
        <v>7</v>
      </c>
      <c r="H12" s="2" t="s">
        <v>52</v>
      </c>
      <c r="I12" s="1" t="s">
        <v>53</v>
      </c>
      <c r="J12" s="3">
        <v>4</v>
      </c>
      <c r="K12" t="s">
        <v>51</v>
      </c>
      <c r="L12" s="5">
        <f t="shared" si="3"/>
        <v>10108</v>
      </c>
      <c r="M12" s="3">
        <f>G12*600</f>
        <v>4200</v>
      </c>
      <c r="N12" s="3">
        <v>30240</v>
      </c>
      <c r="P12" s="2">
        <f t="shared" si="2"/>
        <v>410107</v>
      </c>
    </row>
    <row r="13" customHeight="1" spans="1:16">
      <c r="A13" s="3">
        <f t="shared" si="0"/>
        <v>10108</v>
      </c>
      <c r="B13" s="3">
        <v>1</v>
      </c>
      <c r="C13" s="3" t="s">
        <v>34</v>
      </c>
      <c r="D13" s="3">
        <v>1</v>
      </c>
      <c r="E13" s="2">
        <v>47027</v>
      </c>
      <c r="F13" s="2">
        <v>0</v>
      </c>
      <c r="G13" s="3">
        <v>8</v>
      </c>
      <c r="H13" s="2" t="s">
        <v>54</v>
      </c>
      <c r="I13" s="1" t="s">
        <v>55</v>
      </c>
      <c r="J13" s="3">
        <v>4</v>
      </c>
      <c r="K13" t="s">
        <v>56</v>
      </c>
      <c r="L13" s="5">
        <f t="shared" si="3"/>
        <v>10109</v>
      </c>
      <c r="M13" s="3">
        <f>G13*600</f>
        <v>4800</v>
      </c>
      <c r="N13" s="3">
        <v>35520</v>
      </c>
      <c r="P13" s="2">
        <f t="shared" si="2"/>
        <v>410108</v>
      </c>
    </row>
    <row r="14" customHeight="1" spans="1:16">
      <c r="A14" s="3">
        <f t="shared" si="0"/>
        <v>10109</v>
      </c>
      <c r="B14" s="3">
        <v>1</v>
      </c>
      <c r="C14" s="3" t="s">
        <v>34</v>
      </c>
      <c r="D14" s="3">
        <v>1</v>
      </c>
      <c r="E14" s="2">
        <v>47027</v>
      </c>
      <c r="F14" s="2">
        <v>0</v>
      </c>
      <c r="G14" s="3">
        <v>9</v>
      </c>
      <c r="H14" s="2" t="s">
        <v>57</v>
      </c>
      <c r="I14" s="1" t="s">
        <v>58</v>
      </c>
      <c r="J14" s="3">
        <v>4</v>
      </c>
      <c r="K14" t="s">
        <v>59</v>
      </c>
      <c r="L14" s="5">
        <f t="shared" si="3"/>
        <v>10110</v>
      </c>
      <c r="M14" s="3">
        <f>G14*600</f>
        <v>5400</v>
      </c>
      <c r="N14" s="3">
        <v>43680</v>
      </c>
      <c r="P14" s="2">
        <f t="shared" si="2"/>
        <v>410109</v>
      </c>
    </row>
    <row r="15" customHeight="1" spans="1:16">
      <c r="A15" s="3">
        <f t="shared" si="0"/>
        <v>10110</v>
      </c>
      <c r="B15" s="3">
        <v>1</v>
      </c>
      <c r="C15" s="3" t="s">
        <v>34</v>
      </c>
      <c r="D15" s="3">
        <v>1</v>
      </c>
      <c r="E15" s="2">
        <v>47027</v>
      </c>
      <c r="F15" s="2">
        <v>0</v>
      </c>
      <c r="G15" s="3">
        <v>10</v>
      </c>
      <c r="H15" s="2" t="s">
        <v>60</v>
      </c>
      <c r="I15" s="1" t="s">
        <v>61</v>
      </c>
      <c r="J15" s="3">
        <v>4</v>
      </c>
      <c r="K15" t="s">
        <v>62</v>
      </c>
      <c r="L15" s="5">
        <f t="shared" si="3"/>
        <v>10111</v>
      </c>
      <c r="M15" s="3">
        <f>G15*1200</f>
        <v>12000</v>
      </c>
      <c r="N15" s="3">
        <v>51360</v>
      </c>
      <c r="P15" s="2">
        <f t="shared" si="2"/>
        <v>410110</v>
      </c>
    </row>
    <row r="16" customHeight="1" spans="1:16">
      <c r="A16" s="3">
        <f t="shared" ref="A16:A25" si="4">10000+G16+B16*100</f>
        <v>10111</v>
      </c>
      <c r="B16" s="3">
        <v>1</v>
      </c>
      <c r="C16" s="3" t="s">
        <v>34</v>
      </c>
      <c r="D16" s="3">
        <v>1</v>
      </c>
      <c r="E16" s="2">
        <v>47027</v>
      </c>
      <c r="F16" s="2">
        <v>0</v>
      </c>
      <c r="G16" s="3">
        <v>11</v>
      </c>
      <c r="H16" s="2" t="s">
        <v>63</v>
      </c>
      <c r="I16" s="1" t="s">
        <v>64</v>
      </c>
      <c r="J16" s="3">
        <v>4</v>
      </c>
      <c r="K16" t="s">
        <v>65</v>
      </c>
      <c r="L16" s="5">
        <f t="shared" si="3"/>
        <v>10112</v>
      </c>
      <c r="M16" s="3">
        <f>G16*1200</f>
        <v>13200</v>
      </c>
      <c r="N16" s="3">
        <v>59520</v>
      </c>
      <c r="P16" s="2">
        <f t="shared" ref="P16:P25" si="5">400000+A16</f>
        <v>410111</v>
      </c>
    </row>
    <row r="17" customHeight="1" spans="1:16">
      <c r="A17" s="3">
        <f t="shared" si="4"/>
        <v>10112</v>
      </c>
      <c r="B17" s="3">
        <v>1</v>
      </c>
      <c r="C17" s="3" t="s">
        <v>34</v>
      </c>
      <c r="D17" s="3">
        <v>1</v>
      </c>
      <c r="E17" s="2">
        <v>47027</v>
      </c>
      <c r="F17" s="2">
        <v>0</v>
      </c>
      <c r="G17" s="3">
        <v>12</v>
      </c>
      <c r="H17" s="2" t="s">
        <v>66</v>
      </c>
      <c r="I17" s="1" t="s">
        <v>67</v>
      </c>
      <c r="J17" s="3">
        <v>4</v>
      </c>
      <c r="K17" t="s">
        <v>68</v>
      </c>
      <c r="L17" s="5">
        <f t="shared" si="3"/>
        <v>10113</v>
      </c>
      <c r="M17" s="3">
        <f>G17*1200</f>
        <v>14400</v>
      </c>
      <c r="N17" s="3">
        <v>70560</v>
      </c>
      <c r="P17" s="2">
        <f t="shared" si="5"/>
        <v>410112</v>
      </c>
    </row>
    <row r="18" customHeight="1" spans="1:16">
      <c r="A18" s="3">
        <f t="shared" si="4"/>
        <v>10113</v>
      </c>
      <c r="B18" s="3">
        <v>1</v>
      </c>
      <c r="C18" s="3" t="s">
        <v>34</v>
      </c>
      <c r="D18" s="3">
        <v>1</v>
      </c>
      <c r="E18" s="2">
        <v>47027</v>
      </c>
      <c r="F18" s="2">
        <v>0</v>
      </c>
      <c r="G18" s="3">
        <v>13</v>
      </c>
      <c r="H18" s="2" t="s">
        <v>69</v>
      </c>
      <c r="I18" s="1" t="s">
        <v>70</v>
      </c>
      <c r="J18" s="3">
        <v>4</v>
      </c>
      <c r="K18" t="s">
        <v>71</v>
      </c>
      <c r="L18" s="5">
        <f t="shared" si="3"/>
        <v>10114</v>
      </c>
      <c r="M18" s="3">
        <f>G18*1200</f>
        <v>15600</v>
      </c>
      <c r="N18" s="3">
        <v>81600</v>
      </c>
      <c r="P18" s="2">
        <f t="shared" si="5"/>
        <v>410113</v>
      </c>
    </row>
    <row r="19" customHeight="1" spans="1:16">
      <c r="A19" s="3">
        <f t="shared" si="4"/>
        <v>10114</v>
      </c>
      <c r="B19" s="3">
        <v>1</v>
      </c>
      <c r="C19" s="3" t="s">
        <v>34</v>
      </c>
      <c r="D19" s="3">
        <v>1</v>
      </c>
      <c r="E19" s="2">
        <v>47027</v>
      </c>
      <c r="F19" s="2">
        <v>0</v>
      </c>
      <c r="G19" s="3">
        <v>14</v>
      </c>
      <c r="H19" s="2" t="s">
        <v>72</v>
      </c>
      <c r="I19" s="1" t="s">
        <v>73</v>
      </c>
      <c r="J19" s="3">
        <v>4</v>
      </c>
      <c r="K19" t="s">
        <v>74</v>
      </c>
      <c r="L19" s="5">
        <f t="shared" si="3"/>
        <v>10115</v>
      </c>
      <c r="M19" s="3">
        <f>G19*2400</f>
        <v>33600</v>
      </c>
      <c r="N19" s="3">
        <v>92640</v>
      </c>
      <c r="P19" s="2">
        <f t="shared" si="5"/>
        <v>410114</v>
      </c>
    </row>
    <row r="20" customHeight="1" spans="1:16">
      <c r="A20" s="3">
        <f t="shared" si="4"/>
        <v>10115</v>
      </c>
      <c r="B20" s="3">
        <v>1</v>
      </c>
      <c r="C20" s="3" t="s">
        <v>34</v>
      </c>
      <c r="D20" s="3">
        <v>1</v>
      </c>
      <c r="E20" s="2">
        <v>47027</v>
      </c>
      <c r="F20" s="2">
        <v>0</v>
      </c>
      <c r="G20" s="3">
        <v>15</v>
      </c>
      <c r="H20" s="2" t="s">
        <v>75</v>
      </c>
      <c r="I20" s="1" t="s">
        <v>76</v>
      </c>
      <c r="J20" s="3">
        <v>4</v>
      </c>
      <c r="K20" t="s">
        <v>77</v>
      </c>
      <c r="L20" s="5">
        <f t="shared" si="3"/>
        <v>10116</v>
      </c>
      <c r="M20" s="3">
        <f>G20*2400</f>
        <v>36000</v>
      </c>
      <c r="N20" s="3">
        <v>108000</v>
      </c>
      <c r="P20" s="2">
        <f t="shared" si="5"/>
        <v>410115</v>
      </c>
    </row>
    <row r="21" customHeight="1" spans="1:16">
      <c r="A21" s="3">
        <f t="shared" si="4"/>
        <v>10116</v>
      </c>
      <c r="B21" s="3">
        <v>1</v>
      </c>
      <c r="C21" s="3" t="s">
        <v>34</v>
      </c>
      <c r="D21" s="3">
        <v>1</v>
      </c>
      <c r="E21" s="2">
        <v>47027</v>
      </c>
      <c r="F21" s="2">
        <v>0</v>
      </c>
      <c r="G21" s="3">
        <v>16</v>
      </c>
      <c r="H21" s="2" t="s">
        <v>78</v>
      </c>
      <c r="I21" s="1" t="s">
        <v>79</v>
      </c>
      <c r="J21" s="3">
        <v>4</v>
      </c>
      <c r="K21" t="s">
        <v>80</v>
      </c>
      <c r="L21" s="5">
        <f t="shared" si="3"/>
        <v>10117</v>
      </c>
      <c r="M21" s="3">
        <f>G21*2400</f>
        <v>38400</v>
      </c>
      <c r="N21" s="3">
        <v>123360</v>
      </c>
      <c r="P21" s="2">
        <f t="shared" si="5"/>
        <v>410116</v>
      </c>
    </row>
    <row r="22" customHeight="1" spans="1:16">
      <c r="A22" s="3">
        <f t="shared" si="4"/>
        <v>10117</v>
      </c>
      <c r="B22" s="3">
        <v>1</v>
      </c>
      <c r="C22" s="3" t="s">
        <v>34</v>
      </c>
      <c r="D22" s="3">
        <v>1</v>
      </c>
      <c r="E22" s="2">
        <v>47027</v>
      </c>
      <c r="F22" s="2">
        <v>0</v>
      </c>
      <c r="G22" s="3">
        <v>17</v>
      </c>
      <c r="H22" s="2" t="s">
        <v>81</v>
      </c>
      <c r="I22" s="1" t="s">
        <v>82</v>
      </c>
      <c r="J22" s="3">
        <v>4</v>
      </c>
      <c r="K22" t="s">
        <v>83</v>
      </c>
      <c r="L22" s="5">
        <f t="shared" si="3"/>
        <v>10118</v>
      </c>
      <c r="M22" s="3">
        <f>G22*4800</f>
        <v>81600</v>
      </c>
      <c r="N22" s="3">
        <v>139200</v>
      </c>
      <c r="P22" s="2">
        <f t="shared" si="5"/>
        <v>410117</v>
      </c>
    </row>
    <row r="23" customHeight="1" spans="1:16">
      <c r="A23" s="3">
        <f t="shared" si="4"/>
        <v>10118</v>
      </c>
      <c r="B23" s="3">
        <v>1</v>
      </c>
      <c r="C23" s="3" t="s">
        <v>34</v>
      </c>
      <c r="D23" s="3">
        <v>1</v>
      </c>
      <c r="E23" s="2">
        <v>47027</v>
      </c>
      <c r="F23" s="2">
        <v>0</v>
      </c>
      <c r="G23" s="3">
        <v>18</v>
      </c>
      <c r="H23" s="2" t="s">
        <v>84</v>
      </c>
      <c r="I23" s="1" t="s">
        <v>85</v>
      </c>
      <c r="J23" s="3">
        <v>4</v>
      </c>
      <c r="K23" t="s">
        <v>86</v>
      </c>
      <c r="L23" s="5">
        <f t="shared" si="3"/>
        <v>10119</v>
      </c>
      <c r="M23" s="3">
        <f>G23*4800</f>
        <v>86400</v>
      </c>
      <c r="N23" s="3">
        <v>160800</v>
      </c>
      <c r="P23" s="2">
        <f t="shared" si="5"/>
        <v>410118</v>
      </c>
    </row>
    <row r="24" customHeight="1" spans="1:16">
      <c r="A24" s="3">
        <f t="shared" si="4"/>
        <v>10119</v>
      </c>
      <c r="B24" s="3">
        <v>1</v>
      </c>
      <c r="C24" s="3" t="s">
        <v>34</v>
      </c>
      <c r="D24" s="3">
        <v>1</v>
      </c>
      <c r="E24" s="2">
        <v>47027</v>
      </c>
      <c r="F24" s="2">
        <v>0</v>
      </c>
      <c r="G24" s="3">
        <v>19</v>
      </c>
      <c r="H24" s="2" t="s">
        <v>87</v>
      </c>
      <c r="I24" s="1" t="s">
        <v>88</v>
      </c>
      <c r="J24" s="3">
        <v>4</v>
      </c>
      <c r="K24" t="s">
        <v>89</v>
      </c>
      <c r="L24" s="5">
        <f t="shared" si="3"/>
        <v>10120</v>
      </c>
      <c r="M24" s="3">
        <f>G24*4800</f>
        <v>91200</v>
      </c>
      <c r="N24" s="3">
        <v>182400</v>
      </c>
      <c r="P24" s="2">
        <f t="shared" si="5"/>
        <v>410119</v>
      </c>
    </row>
    <row r="25" customHeight="1" spans="1:16">
      <c r="A25" s="3">
        <f t="shared" si="4"/>
        <v>10120</v>
      </c>
      <c r="B25" s="3">
        <v>1</v>
      </c>
      <c r="C25" s="3" t="s">
        <v>34</v>
      </c>
      <c r="D25" s="3">
        <v>1</v>
      </c>
      <c r="E25" s="2">
        <v>47027</v>
      </c>
      <c r="F25" s="2">
        <v>0</v>
      </c>
      <c r="G25" s="3">
        <v>20</v>
      </c>
      <c r="H25" s="2" t="s">
        <v>90</v>
      </c>
      <c r="J25" s="3">
        <v>4</v>
      </c>
      <c r="K25"/>
      <c r="N25" s="3">
        <v>204000</v>
      </c>
      <c r="P25" s="2">
        <f t="shared" si="5"/>
        <v>410120</v>
      </c>
    </row>
    <row r="26" customHeight="1" spans="1:16">
      <c r="A26" s="3">
        <f t="shared" ref="A26:A36" si="6">10000+G26+B26*100</f>
        <v>10200</v>
      </c>
      <c r="B26" s="3">
        <v>2</v>
      </c>
      <c r="C26" s="3" t="s">
        <v>91</v>
      </c>
      <c r="D26" s="3">
        <v>2</v>
      </c>
      <c r="E26" s="2">
        <v>47028</v>
      </c>
      <c r="F26" s="2">
        <v>1</v>
      </c>
      <c r="G26" s="3">
        <v>0</v>
      </c>
      <c r="H26" s="2"/>
      <c r="I26" s="1" t="s">
        <v>92</v>
      </c>
      <c r="J26" s="3">
        <v>4</v>
      </c>
      <c r="K26" t="s">
        <v>36</v>
      </c>
      <c r="L26" s="5">
        <f t="shared" ref="L26:L45" si="7">A27</f>
        <v>10201</v>
      </c>
      <c r="M26" s="3">
        <v>100</v>
      </c>
      <c r="N26" s="3">
        <v>0</v>
      </c>
      <c r="P26" s="2">
        <v>0</v>
      </c>
    </row>
    <row r="27" customHeight="1" spans="1:16">
      <c r="A27" s="3">
        <f t="shared" si="6"/>
        <v>10201</v>
      </c>
      <c r="B27" s="3">
        <v>2</v>
      </c>
      <c r="C27" s="3" t="s">
        <v>91</v>
      </c>
      <c r="D27" s="3">
        <v>2</v>
      </c>
      <c r="E27" s="2">
        <v>47028</v>
      </c>
      <c r="F27" s="2">
        <v>1</v>
      </c>
      <c r="G27" s="3">
        <v>1</v>
      </c>
      <c r="H27" s="2" t="s">
        <v>93</v>
      </c>
      <c r="I27" s="1" t="s">
        <v>94</v>
      </c>
      <c r="J27" s="3">
        <v>4</v>
      </c>
      <c r="K27" t="s">
        <v>39</v>
      </c>
      <c r="L27" s="5">
        <f t="shared" si="7"/>
        <v>10202</v>
      </c>
      <c r="M27" s="3">
        <v>300</v>
      </c>
      <c r="N27" s="3">
        <v>5760</v>
      </c>
      <c r="P27" s="2">
        <f t="shared" ref="P27:P36" si="8">400000+A27</f>
        <v>410201</v>
      </c>
    </row>
    <row r="28" customHeight="1" spans="1:16">
      <c r="A28" s="3">
        <f t="shared" si="6"/>
        <v>10202</v>
      </c>
      <c r="B28" s="3">
        <v>2</v>
      </c>
      <c r="C28" s="3" t="s">
        <v>91</v>
      </c>
      <c r="D28" s="3">
        <v>2</v>
      </c>
      <c r="E28" s="2">
        <v>47028</v>
      </c>
      <c r="F28" s="2">
        <v>1</v>
      </c>
      <c r="G28" s="3">
        <v>2</v>
      </c>
      <c r="H28" s="2" t="s">
        <v>95</v>
      </c>
      <c r="I28" s="1" t="s">
        <v>96</v>
      </c>
      <c r="J28" s="3">
        <v>4</v>
      </c>
      <c r="K28" t="s">
        <v>39</v>
      </c>
      <c r="L28" s="5">
        <f t="shared" si="7"/>
        <v>10203</v>
      </c>
      <c r="M28" s="3">
        <v>600</v>
      </c>
      <c r="N28" s="3">
        <v>13440</v>
      </c>
      <c r="P28" s="2">
        <f t="shared" si="8"/>
        <v>410202</v>
      </c>
    </row>
    <row r="29" customHeight="1" spans="1:16">
      <c r="A29" s="3">
        <f t="shared" si="6"/>
        <v>10203</v>
      </c>
      <c r="B29" s="3">
        <v>2</v>
      </c>
      <c r="C29" s="3" t="s">
        <v>91</v>
      </c>
      <c r="D29" s="3">
        <v>2</v>
      </c>
      <c r="E29" s="2">
        <v>47028</v>
      </c>
      <c r="F29" s="2">
        <v>1</v>
      </c>
      <c r="G29" s="3">
        <v>3</v>
      </c>
      <c r="H29" s="2" t="s">
        <v>97</v>
      </c>
      <c r="I29" s="1" t="s">
        <v>98</v>
      </c>
      <c r="J29" s="3">
        <v>4</v>
      </c>
      <c r="K29" t="s">
        <v>39</v>
      </c>
      <c r="L29" s="5">
        <f t="shared" si="7"/>
        <v>10204</v>
      </c>
      <c r="M29" s="3">
        <v>900</v>
      </c>
      <c r="N29" s="3">
        <v>21120</v>
      </c>
      <c r="P29" s="2">
        <f t="shared" si="8"/>
        <v>410203</v>
      </c>
    </row>
    <row r="30" customHeight="1" spans="1:16">
      <c r="A30" s="3">
        <f t="shared" si="6"/>
        <v>10204</v>
      </c>
      <c r="B30" s="3">
        <v>2</v>
      </c>
      <c r="C30" s="3" t="s">
        <v>91</v>
      </c>
      <c r="D30" s="3">
        <v>2</v>
      </c>
      <c r="E30" s="2">
        <v>47028</v>
      </c>
      <c r="F30" s="2">
        <v>1</v>
      </c>
      <c r="G30" s="3">
        <v>4</v>
      </c>
      <c r="H30" s="2" t="s">
        <v>99</v>
      </c>
      <c r="I30" s="1" t="s">
        <v>100</v>
      </c>
      <c r="J30" s="3">
        <v>4</v>
      </c>
      <c r="K30" t="s">
        <v>46</v>
      </c>
      <c r="L30" s="5">
        <f t="shared" si="7"/>
        <v>10205</v>
      </c>
      <c r="M30" s="3">
        <v>1200</v>
      </c>
      <c r="N30" s="3">
        <v>29760</v>
      </c>
      <c r="P30" s="2">
        <f t="shared" si="8"/>
        <v>410204</v>
      </c>
    </row>
    <row r="31" customHeight="1" spans="1:16">
      <c r="A31" s="3">
        <f t="shared" si="6"/>
        <v>10205</v>
      </c>
      <c r="B31" s="3">
        <v>2</v>
      </c>
      <c r="C31" s="3" t="s">
        <v>91</v>
      </c>
      <c r="D31" s="3">
        <v>2</v>
      </c>
      <c r="E31" s="2">
        <v>47028</v>
      </c>
      <c r="F31" s="2">
        <v>1</v>
      </c>
      <c r="G31" s="3">
        <v>5</v>
      </c>
      <c r="H31" s="2" t="s">
        <v>101</v>
      </c>
      <c r="I31" s="1" t="s">
        <v>102</v>
      </c>
      <c r="J31" s="3">
        <v>4</v>
      </c>
      <c r="K31" t="s">
        <v>46</v>
      </c>
      <c r="L31" s="5">
        <f t="shared" si="7"/>
        <v>10206</v>
      </c>
      <c r="M31" s="3">
        <v>1500</v>
      </c>
      <c r="N31" s="3">
        <v>37440</v>
      </c>
      <c r="P31" s="2">
        <f t="shared" si="8"/>
        <v>410205</v>
      </c>
    </row>
    <row r="32" customHeight="1" spans="1:16">
      <c r="A32" s="3">
        <f t="shared" si="6"/>
        <v>10206</v>
      </c>
      <c r="B32" s="3">
        <v>2</v>
      </c>
      <c r="C32" s="3" t="s">
        <v>91</v>
      </c>
      <c r="D32" s="3">
        <v>2</v>
      </c>
      <c r="E32" s="2">
        <v>47028</v>
      </c>
      <c r="F32" s="2">
        <v>1</v>
      </c>
      <c r="G32" s="3">
        <v>6</v>
      </c>
      <c r="H32" s="2" t="s">
        <v>103</v>
      </c>
      <c r="I32" s="1" t="s">
        <v>104</v>
      </c>
      <c r="J32" s="3">
        <v>4</v>
      </c>
      <c r="K32" t="s">
        <v>51</v>
      </c>
      <c r="L32" s="5">
        <f t="shared" si="7"/>
        <v>10207</v>
      </c>
      <c r="M32" s="3">
        <f t="shared" ref="M32:M35" si="9">G32*600</f>
        <v>3600</v>
      </c>
      <c r="N32" s="3">
        <v>48960</v>
      </c>
      <c r="P32" s="2">
        <f t="shared" si="8"/>
        <v>410206</v>
      </c>
    </row>
    <row r="33" customHeight="1" spans="1:16">
      <c r="A33" s="3">
        <f t="shared" si="6"/>
        <v>10207</v>
      </c>
      <c r="B33" s="3">
        <v>2</v>
      </c>
      <c r="C33" s="3" t="s">
        <v>91</v>
      </c>
      <c r="D33" s="3">
        <v>2</v>
      </c>
      <c r="E33" s="2">
        <v>47028</v>
      </c>
      <c r="F33" s="2">
        <v>1</v>
      </c>
      <c r="G33" s="3">
        <v>7</v>
      </c>
      <c r="H33" s="2" t="s">
        <v>105</v>
      </c>
      <c r="I33" s="1" t="s">
        <v>106</v>
      </c>
      <c r="J33" s="3">
        <v>4</v>
      </c>
      <c r="K33" t="s">
        <v>51</v>
      </c>
      <c r="L33" s="5">
        <f t="shared" si="7"/>
        <v>10208</v>
      </c>
      <c r="M33" s="3">
        <f t="shared" si="9"/>
        <v>4200</v>
      </c>
      <c r="N33" s="3">
        <v>60480</v>
      </c>
      <c r="P33" s="2">
        <f t="shared" si="8"/>
        <v>410207</v>
      </c>
    </row>
    <row r="34" customHeight="1" spans="1:16">
      <c r="A34" s="3">
        <f t="shared" si="6"/>
        <v>10208</v>
      </c>
      <c r="B34" s="3">
        <v>2</v>
      </c>
      <c r="C34" s="3" t="s">
        <v>91</v>
      </c>
      <c r="D34" s="3">
        <v>2</v>
      </c>
      <c r="E34" s="2">
        <v>47028</v>
      </c>
      <c r="F34" s="2">
        <v>1</v>
      </c>
      <c r="G34" s="3">
        <v>8</v>
      </c>
      <c r="H34" s="2" t="s">
        <v>107</v>
      </c>
      <c r="I34" s="1" t="s">
        <v>108</v>
      </c>
      <c r="J34" s="3">
        <v>4</v>
      </c>
      <c r="K34" t="s">
        <v>56</v>
      </c>
      <c r="L34" s="5">
        <f t="shared" si="7"/>
        <v>10209</v>
      </c>
      <c r="M34" s="3">
        <f t="shared" si="9"/>
        <v>4800</v>
      </c>
      <c r="N34" s="3">
        <v>71040</v>
      </c>
      <c r="P34" s="2">
        <f t="shared" si="8"/>
        <v>410208</v>
      </c>
    </row>
    <row r="35" customHeight="1" spans="1:16">
      <c r="A35" s="3">
        <f t="shared" si="6"/>
        <v>10209</v>
      </c>
      <c r="B35" s="3">
        <v>2</v>
      </c>
      <c r="C35" s="3" t="s">
        <v>91</v>
      </c>
      <c r="D35" s="3">
        <v>2</v>
      </c>
      <c r="E35" s="2">
        <v>47028</v>
      </c>
      <c r="F35" s="2">
        <v>1</v>
      </c>
      <c r="G35" s="3">
        <v>9</v>
      </c>
      <c r="H35" s="2" t="s">
        <v>109</v>
      </c>
      <c r="I35" s="1" t="s">
        <v>110</v>
      </c>
      <c r="J35" s="3">
        <v>4</v>
      </c>
      <c r="K35" t="s">
        <v>59</v>
      </c>
      <c r="L35" s="5">
        <f t="shared" si="7"/>
        <v>10210</v>
      </c>
      <c r="M35" s="3">
        <f t="shared" si="9"/>
        <v>5400</v>
      </c>
      <c r="N35" s="3">
        <v>87360</v>
      </c>
      <c r="P35" s="2">
        <f t="shared" si="8"/>
        <v>410209</v>
      </c>
    </row>
    <row r="36" customHeight="1" spans="1:16">
      <c r="A36" s="3">
        <f t="shared" si="6"/>
        <v>10210</v>
      </c>
      <c r="B36" s="3">
        <v>2</v>
      </c>
      <c r="C36" s="3" t="s">
        <v>91</v>
      </c>
      <c r="D36" s="3">
        <v>2</v>
      </c>
      <c r="E36" s="2">
        <v>47028</v>
      </c>
      <c r="F36" s="2">
        <v>1</v>
      </c>
      <c r="G36" s="3">
        <v>10</v>
      </c>
      <c r="H36" s="2" t="s">
        <v>111</v>
      </c>
      <c r="I36" s="1" t="s">
        <v>96</v>
      </c>
      <c r="J36" s="3">
        <v>4</v>
      </c>
      <c r="K36" t="s">
        <v>62</v>
      </c>
      <c r="L36" s="5">
        <f t="shared" si="7"/>
        <v>10211</v>
      </c>
      <c r="M36" s="3">
        <f t="shared" ref="M36:M39" si="10">G36*1200</f>
        <v>12000</v>
      </c>
      <c r="N36" s="3">
        <v>102720</v>
      </c>
      <c r="P36" s="2">
        <f t="shared" si="8"/>
        <v>410210</v>
      </c>
    </row>
    <row r="37" customHeight="1" spans="1:16">
      <c r="A37" s="3">
        <f t="shared" ref="A37:A47" si="11">10000+G37+B37*100</f>
        <v>10211</v>
      </c>
      <c r="B37" s="3">
        <v>2</v>
      </c>
      <c r="C37" s="3" t="s">
        <v>91</v>
      </c>
      <c r="D37" s="3">
        <v>2</v>
      </c>
      <c r="E37" s="2">
        <v>47028</v>
      </c>
      <c r="F37" s="2">
        <v>1</v>
      </c>
      <c r="G37" s="3">
        <v>11</v>
      </c>
      <c r="H37" s="2" t="s">
        <v>112</v>
      </c>
      <c r="I37" s="1" t="s">
        <v>113</v>
      </c>
      <c r="J37" s="3">
        <v>4</v>
      </c>
      <c r="K37" t="s">
        <v>65</v>
      </c>
      <c r="L37" s="5">
        <f t="shared" si="7"/>
        <v>10212</v>
      </c>
      <c r="M37" s="3">
        <f t="shared" si="10"/>
        <v>13200</v>
      </c>
      <c r="N37" s="3">
        <v>119040</v>
      </c>
      <c r="P37" s="2">
        <f t="shared" ref="P37:P46" si="12">400000+A37</f>
        <v>410211</v>
      </c>
    </row>
    <row r="38" customHeight="1" spans="1:16">
      <c r="A38" s="3">
        <f t="shared" si="11"/>
        <v>10212</v>
      </c>
      <c r="B38" s="3">
        <v>2</v>
      </c>
      <c r="C38" s="3" t="s">
        <v>91</v>
      </c>
      <c r="D38" s="3">
        <v>2</v>
      </c>
      <c r="E38" s="2">
        <v>47028</v>
      </c>
      <c r="F38" s="2">
        <v>1</v>
      </c>
      <c r="G38" s="3">
        <v>12</v>
      </c>
      <c r="H38" s="2" t="s">
        <v>114</v>
      </c>
      <c r="I38" s="1" t="s">
        <v>115</v>
      </c>
      <c r="J38" s="3">
        <v>4</v>
      </c>
      <c r="K38" t="s">
        <v>68</v>
      </c>
      <c r="L38" s="5">
        <f t="shared" si="7"/>
        <v>10213</v>
      </c>
      <c r="M38" s="3">
        <f t="shared" si="10"/>
        <v>14400</v>
      </c>
      <c r="N38" s="3">
        <v>141120</v>
      </c>
      <c r="P38" s="2">
        <f t="shared" si="12"/>
        <v>410212</v>
      </c>
    </row>
    <row r="39" customHeight="1" spans="1:16">
      <c r="A39" s="3">
        <f t="shared" si="11"/>
        <v>10213</v>
      </c>
      <c r="B39" s="3">
        <v>2</v>
      </c>
      <c r="C39" s="3" t="s">
        <v>91</v>
      </c>
      <c r="D39" s="3">
        <v>2</v>
      </c>
      <c r="E39" s="2">
        <v>47028</v>
      </c>
      <c r="F39" s="2">
        <v>1</v>
      </c>
      <c r="G39" s="3">
        <v>13</v>
      </c>
      <c r="H39" s="2" t="s">
        <v>116</v>
      </c>
      <c r="I39" s="1" t="s">
        <v>117</v>
      </c>
      <c r="J39" s="3">
        <v>4</v>
      </c>
      <c r="K39" t="s">
        <v>71</v>
      </c>
      <c r="L39" s="5">
        <f t="shared" si="7"/>
        <v>10214</v>
      </c>
      <c r="M39" s="3">
        <f t="shared" si="10"/>
        <v>15600</v>
      </c>
      <c r="N39" s="3">
        <v>163200</v>
      </c>
      <c r="P39" s="2">
        <f t="shared" si="12"/>
        <v>410213</v>
      </c>
    </row>
    <row r="40" customHeight="1" spans="1:16">
      <c r="A40" s="3">
        <f t="shared" si="11"/>
        <v>10214</v>
      </c>
      <c r="B40" s="3">
        <v>2</v>
      </c>
      <c r="C40" s="3" t="s">
        <v>91</v>
      </c>
      <c r="D40" s="3">
        <v>2</v>
      </c>
      <c r="E40" s="2">
        <v>47028</v>
      </c>
      <c r="F40" s="2">
        <v>1</v>
      </c>
      <c r="G40" s="3">
        <v>14</v>
      </c>
      <c r="H40" s="2" t="s">
        <v>118</v>
      </c>
      <c r="I40" s="1" t="s">
        <v>119</v>
      </c>
      <c r="J40" s="3">
        <v>4</v>
      </c>
      <c r="K40" t="s">
        <v>74</v>
      </c>
      <c r="L40" s="5">
        <f t="shared" si="7"/>
        <v>10215</v>
      </c>
      <c r="M40" s="3">
        <f t="shared" ref="M40:M42" si="13">G40*2400</f>
        <v>33600</v>
      </c>
      <c r="N40" s="3">
        <v>185280</v>
      </c>
      <c r="P40" s="2">
        <f t="shared" si="12"/>
        <v>410214</v>
      </c>
    </row>
    <row r="41" customHeight="1" spans="1:16">
      <c r="A41" s="3">
        <f t="shared" si="11"/>
        <v>10215</v>
      </c>
      <c r="B41" s="3">
        <v>2</v>
      </c>
      <c r="C41" s="3" t="s">
        <v>91</v>
      </c>
      <c r="D41" s="3">
        <v>2</v>
      </c>
      <c r="E41" s="2">
        <v>47028</v>
      </c>
      <c r="F41" s="2">
        <v>1</v>
      </c>
      <c r="G41" s="3">
        <v>15</v>
      </c>
      <c r="H41" s="2" t="s">
        <v>120</v>
      </c>
      <c r="I41" s="1" t="s">
        <v>121</v>
      </c>
      <c r="J41" s="3">
        <v>4</v>
      </c>
      <c r="K41" t="s">
        <v>77</v>
      </c>
      <c r="L41" s="5">
        <f t="shared" si="7"/>
        <v>10216</v>
      </c>
      <c r="M41" s="3">
        <f t="shared" si="13"/>
        <v>36000</v>
      </c>
      <c r="N41" s="3">
        <v>216000</v>
      </c>
      <c r="P41" s="2">
        <f t="shared" si="12"/>
        <v>410215</v>
      </c>
    </row>
    <row r="42" customHeight="1" spans="1:16">
      <c r="A42" s="3">
        <f t="shared" si="11"/>
        <v>10216</v>
      </c>
      <c r="B42" s="3">
        <v>2</v>
      </c>
      <c r="C42" s="3" t="s">
        <v>91</v>
      </c>
      <c r="D42" s="3">
        <v>2</v>
      </c>
      <c r="E42" s="2">
        <v>47028</v>
      </c>
      <c r="F42" s="2">
        <v>1</v>
      </c>
      <c r="G42" s="3">
        <v>16</v>
      </c>
      <c r="H42" s="2" t="s">
        <v>122</v>
      </c>
      <c r="I42" s="1" t="s">
        <v>123</v>
      </c>
      <c r="J42" s="3">
        <v>4</v>
      </c>
      <c r="K42" t="s">
        <v>80</v>
      </c>
      <c r="L42" s="5">
        <f t="shared" si="7"/>
        <v>10217</v>
      </c>
      <c r="M42" s="3">
        <f t="shared" si="13"/>
        <v>38400</v>
      </c>
      <c r="N42" s="3">
        <v>246720</v>
      </c>
      <c r="P42" s="2">
        <f t="shared" si="12"/>
        <v>410216</v>
      </c>
    </row>
    <row r="43" customHeight="1" spans="1:16">
      <c r="A43" s="3">
        <f t="shared" si="11"/>
        <v>10217</v>
      </c>
      <c r="B43" s="3">
        <v>2</v>
      </c>
      <c r="C43" s="3" t="s">
        <v>91</v>
      </c>
      <c r="D43" s="3">
        <v>2</v>
      </c>
      <c r="E43" s="2">
        <v>47028</v>
      </c>
      <c r="F43" s="2">
        <v>1</v>
      </c>
      <c r="G43" s="3">
        <v>17</v>
      </c>
      <c r="H43" s="2" t="s">
        <v>124</v>
      </c>
      <c r="I43" s="1" t="s">
        <v>125</v>
      </c>
      <c r="J43" s="3">
        <v>4</v>
      </c>
      <c r="K43" t="s">
        <v>83</v>
      </c>
      <c r="L43" s="5">
        <f t="shared" si="7"/>
        <v>10218</v>
      </c>
      <c r="M43" s="3">
        <f t="shared" ref="M43:M45" si="14">G43*4800</f>
        <v>81600</v>
      </c>
      <c r="N43" s="3">
        <v>278400</v>
      </c>
      <c r="P43" s="2">
        <f t="shared" si="12"/>
        <v>410217</v>
      </c>
    </row>
    <row r="44" customHeight="1" spans="1:16">
      <c r="A44" s="3">
        <f t="shared" si="11"/>
        <v>10218</v>
      </c>
      <c r="B44" s="3">
        <v>2</v>
      </c>
      <c r="C44" s="3" t="s">
        <v>91</v>
      </c>
      <c r="D44" s="3">
        <v>2</v>
      </c>
      <c r="E44" s="2">
        <v>47028</v>
      </c>
      <c r="F44" s="2">
        <v>1</v>
      </c>
      <c r="G44" s="3">
        <v>18</v>
      </c>
      <c r="H44" s="2" t="s">
        <v>126</v>
      </c>
      <c r="I44" s="1" t="s">
        <v>127</v>
      </c>
      <c r="J44" s="3">
        <v>4</v>
      </c>
      <c r="K44" t="s">
        <v>86</v>
      </c>
      <c r="L44" s="5">
        <f t="shared" si="7"/>
        <v>10219</v>
      </c>
      <c r="M44" s="3">
        <f t="shared" si="14"/>
        <v>86400</v>
      </c>
      <c r="N44" s="3">
        <v>321600</v>
      </c>
      <c r="P44" s="2">
        <f t="shared" si="12"/>
        <v>410218</v>
      </c>
    </row>
    <row r="45" customHeight="1" spans="1:16">
      <c r="A45" s="3">
        <f t="shared" si="11"/>
        <v>10219</v>
      </c>
      <c r="B45" s="3">
        <v>2</v>
      </c>
      <c r="C45" s="3" t="s">
        <v>91</v>
      </c>
      <c r="D45" s="3">
        <v>2</v>
      </c>
      <c r="E45" s="2">
        <v>47028</v>
      </c>
      <c r="F45" s="2">
        <v>1</v>
      </c>
      <c r="G45" s="3">
        <v>19</v>
      </c>
      <c r="H45" s="2" t="s">
        <v>128</v>
      </c>
      <c r="I45" s="1" t="s">
        <v>129</v>
      </c>
      <c r="J45" s="3">
        <v>4</v>
      </c>
      <c r="K45" t="s">
        <v>89</v>
      </c>
      <c r="L45" s="5">
        <f t="shared" si="7"/>
        <v>10220</v>
      </c>
      <c r="M45" s="3">
        <f t="shared" si="14"/>
        <v>91200</v>
      </c>
      <c r="N45" s="3">
        <v>364800</v>
      </c>
      <c r="P45" s="2">
        <f t="shared" si="12"/>
        <v>410219</v>
      </c>
    </row>
    <row r="46" customHeight="1" spans="1:16">
      <c r="A46" s="3">
        <f t="shared" si="11"/>
        <v>10220</v>
      </c>
      <c r="B46" s="3">
        <v>2</v>
      </c>
      <c r="C46" s="3" t="s">
        <v>91</v>
      </c>
      <c r="D46" s="3">
        <v>2</v>
      </c>
      <c r="E46" s="2">
        <v>47028</v>
      </c>
      <c r="F46" s="2">
        <v>1</v>
      </c>
      <c r="G46" s="3">
        <v>20</v>
      </c>
      <c r="H46" s="2" t="s">
        <v>130</v>
      </c>
      <c r="J46" s="3">
        <v>4</v>
      </c>
      <c r="K46"/>
      <c r="N46" s="3">
        <v>408000</v>
      </c>
      <c r="P46" s="2">
        <f t="shared" si="12"/>
        <v>410220</v>
      </c>
    </row>
    <row r="47" customHeight="1" spans="1:16">
      <c r="A47" s="3">
        <f t="shared" si="11"/>
        <v>10300</v>
      </c>
      <c r="B47" s="3">
        <v>3</v>
      </c>
      <c r="C47" s="3" t="s">
        <v>131</v>
      </c>
      <c r="D47" s="3">
        <v>4</v>
      </c>
      <c r="E47" s="2">
        <v>47029</v>
      </c>
      <c r="F47" s="2">
        <v>1</v>
      </c>
      <c r="G47" s="3">
        <v>0</v>
      </c>
      <c r="H47" s="2"/>
      <c r="I47" s="1" t="s">
        <v>92</v>
      </c>
      <c r="J47" s="3">
        <v>4</v>
      </c>
      <c r="K47" t="s">
        <v>36</v>
      </c>
      <c r="L47" s="5">
        <f t="shared" ref="L47:L66" si="15">A48</f>
        <v>10301</v>
      </c>
      <c r="M47" s="3">
        <v>100</v>
      </c>
      <c r="N47" s="3">
        <v>0</v>
      </c>
      <c r="P47" s="2">
        <v>0</v>
      </c>
    </row>
    <row r="48" customHeight="1" spans="1:16">
      <c r="A48" s="3">
        <f t="shared" ref="A48:A63" si="16">10000+G48+B48*100</f>
        <v>10301</v>
      </c>
      <c r="B48" s="3">
        <v>3</v>
      </c>
      <c r="C48" s="3" t="s">
        <v>131</v>
      </c>
      <c r="D48" s="3">
        <v>4</v>
      </c>
      <c r="E48" s="2">
        <v>47029</v>
      </c>
      <c r="F48" s="2">
        <v>1</v>
      </c>
      <c r="G48" s="3">
        <v>1</v>
      </c>
      <c r="H48" s="2" t="s">
        <v>132</v>
      </c>
      <c r="I48" s="1" t="s">
        <v>92</v>
      </c>
      <c r="J48" s="3">
        <v>4</v>
      </c>
      <c r="K48" t="s">
        <v>39</v>
      </c>
      <c r="L48" s="5">
        <f t="shared" si="15"/>
        <v>10302</v>
      </c>
      <c r="M48" s="3">
        <v>300</v>
      </c>
      <c r="N48" s="3">
        <v>11520</v>
      </c>
      <c r="P48" s="2">
        <f t="shared" ref="P48:P67" si="17">400000+A48</f>
        <v>410301</v>
      </c>
    </row>
    <row r="49" customHeight="1" spans="1:16">
      <c r="A49" s="3">
        <f t="shared" si="16"/>
        <v>10302</v>
      </c>
      <c r="B49" s="3">
        <v>3</v>
      </c>
      <c r="C49" s="3" t="s">
        <v>131</v>
      </c>
      <c r="D49" s="3">
        <v>4</v>
      </c>
      <c r="E49" s="2">
        <v>47029</v>
      </c>
      <c r="F49" s="2">
        <v>1</v>
      </c>
      <c r="G49" s="3">
        <v>2</v>
      </c>
      <c r="H49" s="2" t="s">
        <v>133</v>
      </c>
      <c r="I49" s="1" t="s">
        <v>94</v>
      </c>
      <c r="J49" s="3">
        <v>4</v>
      </c>
      <c r="K49" t="s">
        <v>39</v>
      </c>
      <c r="L49" s="5">
        <f t="shared" si="15"/>
        <v>10303</v>
      </c>
      <c r="M49" s="3">
        <v>600</v>
      </c>
      <c r="N49" s="3">
        <v>26880</v>
      </c>
      <c r="P49" s="2">
        <f t="shared" si="17"/>
        <v>410302</v>
      </c>
    </row>
    <row r="50" customHeight="1" spans="1:16">
      <c r="A50" s="3">
        <f t="shared" si="16"/>
        <v>10303</v>
      </c>
      <c r="B50" s="3">
        <v>3</v>
      </c>
      <c r="C50" s="3" t="s">
        <v>131</v>
      </c>
      <c r="D50" s="3">
        <v>4</v>
      </c>
      <c r="E50" s="2">
        <v>47029</v>
      </c>
      <c r="F50" s="2">
        <v>1</v>
      </c>
      <c r="G50" s="3">
        <v>3</v>
      </c>
      <c r="H50" s="2" t="s">
        <v>134</v>
      </c>
      <c r="I50" s="1" t="s">
        <v>104</v>
      </c>
      <c r="J50" s="3">
        <v>4</v>
      </c>
      <c r="K50" t="s">
        <v>39</v>
      </c>
      <c r="L50" s="5">
        <f t="shared" si="15"/>
        <v>10304</v>
      </c>
      <c r="M50" s="3">
        <v>900</v>
      </c>
      <c r="N50" s="3">
        <v>42240</v>
      </c>
      <c r="P50" s="2">
        <f t="shared" si="17"/>
        <v>410303</v>
      </c>
    </row>
    <row r="51" customHeight="1" spans="1:16">
      <c r="A51" s="3">
        <f t="shared" si="16"/>
        <v>10304</v>
      </c>
      <c r="B51" s="3">
        <v>3</v>
      </c>
      <c r="C51" s="3" t="s">
        <v>131</v>
      </c>
      <c r="D51" s="3">
        <v>4</v>
      </c>
      <c r="E51" s="2">
        <v>47029</v>
      </c>
      <c r="F51" s="2">
        <v>1</v>
      </c>
      <c r="G51" s="3">
        <v>4</v>
      </c>
      <c r="H51" s="2" t="s">
        <v>63</v>
      </c>
      <c r="I51" s="1" t="s">
        <v>96</v>
      </c>
      <c r="J51" s="3">
        <v>4</v>
      </c>
      <c r="K51" t="s">
        <v>46</v>
      </c>
      <c r="L51" s="5">
        <f t="shared" si="15"/>
        <v>10305</v>
      </c>
      <c r="M51" s="3">
        <v>1200</v>
      </c>
      <c r="N51" s="3">
        <v>59520</v>
      </c>
      <c r="P51" s="2">
        <f t="shared" si="17"/>
        <v>410304</v>
      </c>
    </row>
    <row r="52" customHeight="1" spans="1:16">
      <c r="A52" s="3">
        <f t="shared" si="16"/>
        <v>10305</v>
      </c>
      <c r="B52" s="3">
        <v>3</v>
      </c>
      <c r="C52" s="3" t="s">
        <v>131</v>
      </c>
      <c r="D52" s="3">
        <v>4</v>
      </c>
      <c r="E52" s="2">
        <v>47029</v>
      </c>
      <c r="F52" s="2">
        <v>1</v>
      </c>
      <c r="G52" s="3">
        <v>5</v>
      </c>
      <c r="H52" s="2" t="s">
        <v>135</v>
      </c>
      <c r="I52" s="1" t="s">
        <v>106</v>
      </c>
      <c r="J52" s="3">
        <v>4</v>
      </c>
      <c r="K52" t="s">
        <v>46</v>
      </c>
      <c r="L52" s="5">
        <f t="shared" si="15"/>
        <v>10306</v>
      </c>
      <c r="M52" s="3">
        <v>1500</v>
      </c>
      <c r="N52" s="3">
        <v>74880</v>
      </c>
      <c r="P52" s="2">
        <f t="shared" si="17"/>
        <v>410305</v>
      </c>
    </row>
    <row r="53" customHeight="1" spans="1:16">
      <c r="A53" s="3">
        <f t="shared" si="16"/>
        <v>10306</v>
      </c>
      <c r="B53" s="3">
        <v>3</v>
      </c>
      <c r="C53" s="3" t="s">
        <v>131</v>
      </c>
      <c r="D53" s="3">
        <v>4</v>
      </c>
      <c r="E53" s="2">
        <v>47029</v>
      </c>
      <c r="F53" s="2">
        <v>1</v>
      </c>
      <c r="G53" s="3">
        <v>6</v>
      </c>
      <c r="H53" s="2" t="s">
        <v>136</v>
      </c>
      <c r="I53" s="1" t="s">
        <v>94</v>
      </c>
      <c r="J53" s="3">
        <v>4</v>
      </c>
      <c r="K53" t="s">
        <v>51</v>
      </c>
      <c r="L53" s="5">
        <f t="shared" si="15"/>
        <v>10307</v>
      </c>
      <c r="M53" s="3">
        <f t="shared" ref="M53:M56" si="18">G53*600</f>
        <v>3600</v>
      </c>
      <c r="N53" s="3">
        <v>97920</v>
      </c>
      <c r="P53" s="2">
        <f t="shared" si="17"/>
        <v>410306</v>
      </c>
    </row>
    <row r="54" customHeight="1" spans="1:16">
      <c r="A54" s="3">
        <f t="shared" si="16"/>
        <v>10307</v>
      </c>
      <c r="B54" s="3">
        <v>3</v>
      </c>
      <c r="C54" s="3" t="s">
        <v>131</v>
      </c>
      <c r="D54" s="3">
        <v>4</v>
      </c>
      <c r="E54" s="2">
        <v>47029</v>
      </c>
      <c r="F54" s="2">
        <v>1</v>
      </c>
      <c r="G54" s="3">
        <v>7</v>
      </c>
      <c r="H54" s="2" t="s">
        <v>137</v>
      </c>
      <c r="I54" s="1" t="s">
        <v>104</v>
      </c>
      <c r="J54" s="3">
        <v>4</v>
      </c>
      <c r="K54" t="s">
        <v>51</v>
      </c>
      <c r="L54" s="5">
        <f t="shared" si="15"/>
        <v>10308</v>
      </c>
      <c r="M54" s="3">
        <f t="shared" si="18"/>
        <v>4200</v>
      </c>
      <c r="N54" s="3">
        <v>120960</v>
      </c>
      <c r="P54" s="2">
        <f t="shared" si="17"/>
        <v>410307</v>
      </c>
    </row>
    <row r="55" customHeight="1" spans="1:16">
      <c r="A55" s="3">
        <f t="shared" si="16"/>
        <v>10308</v>
      </c>
      <c r="B55" s="3">
        <v>3</v>
      </c>
      <c r="C55" s="3" t="s">
        <v>131</v>
      </c>
      <c r="D55" s="3">
        <v>4</v>
      </c>
      <c r="E55" s="2">
        <v>47029</v>
      </c>
      <c r="F55" s="2">
        <v>1</v>
      </c>
      <c r="G55" s="3">
        <v>8</v>
      </c>
      <c r="H55" s="2" t="s">
        <v>138</v>
      </c>
      <c r="I55" s="1" t="s">
        <v>139</v>
      </c>
      <c r="J55" s="3">
        <v>4</v>
      </c>
      <c r="K55" t="s">
        <v>56</v>
      </c>
      <c r="L55" s="5">
        <f t="shared" si="15"/>
        <v>10309</v>
      </c>
      <c r="M55" s="3">
        <f t="shared" si="18"/>
        <v>4800</v>
      </c>
      <c r="N55" s="3">
        <v>142080</v>
      </c>
      <c r="P55" s="2">
        <f t="shared" si="17"/>
        <v>410308</v>
      </c>
    </row>
    <row r="56" customHeight="1" spans="1:16">
      <c r="A56" s="3">
        <f t="shared" si="16"/>
        <v>10309</v>
      </c>
      <c r="B56" s="3">
        <v>3</v>
      </c>
      <c r="C56" s="3" t="s">
        <v>131</v>
      </c>
      <c r="D56" s="3">
        <v>4</v>
      </c>
      <c r="E56" s="2">
        <v>47029</v>
      </c>
      <c r="F56" s="2">
        <v>1</v>
      </c>
      <c r="G56" s="3">
        <v>9</v>
      </c>
      <c r="H56" s="2" t="s">
        <v>140</v>
      </c>
      <c r="I56" s="1" t="s">
        <v>100</v>
      </c>
      <c r="J56" s="3">
        <v>4</v>
      </c>
      <c r="K56" t="s">
        <v>59</v>
      </c>
      <c r="L56" s="5">
        <f t="shared" si="15"/>
        <v>10310</v>
      </c>
      <c r="M56" s="3">
        <f t="shared" si="18"/>
        <v>5400</v>
      </c>
      <c r="N56" s="3">
        <v>174720</v>
      </c>
      <c r="P56" s="2">
        <f t="shared" si="17"/>
        <v>410309</v>
      </c>
    </row>
    <row r="57" customHeight="1" spans="1:16">
      <c r="A57" s="3">
        <f t="shared" si="16"/>
        <v>10310</v>
      </c>
      <c r="B57" s="3">
        <v>3</v>
      </c>
      <c r="C57" s="3" t="s">
        <v>131</v>
      </c>
      <c r="D57" s="3">
        <v>4</v>
      </c>
      <c r="E57" s="2">
        <v>47029</v>
      </c>
      <c r="F57" s="2">
        <v>1</v>
      </c>
      <c r="G57" s="3">
        <v>10</v>
      </c>
      <c r="H57" s="2" t="s">
        <v>141</v>
      </c>
      <c r="I57" s="1" t="s">
        <v>94</v>
      </c>
      <c r="J57" s="3">
        <v>4</v>
      </c>
      <c r="K57" t="s">
        <v>62</v>
      </c>
      <c r="L57" s="5">
        <f t="shared" si="15"/>
        <v>10311</v>
      </c>
      <c r="M57" s="3">
        <f t="shared" ref="M57:M60" si="19">G57*1200</f>
        <v>12000</v>
      </c>
      <c r="N57" s="3">
        <v>205440</v>
      </c>
      <c r="P57" s="2">
        <f t="shared" si="17"/>
        <v>410310</v>
      </c>
    </row>
    <row r="58" customHeight="1" spans="1:16">
      <c r="A58" s="3">
        <f t="shared" ref="A58:A78" si="20">10000+G58+B58*100</f>
        <v>10311</v>
      </c>
      <c r="B58" s="3">
        <v>3</v>
      </c>
      <c r="C58" s="3" t="s">
        <v>131</v>
      </c>
      <c r="D58" s="3">
        <v>4</v>
      </c>
      <c r="E58" s="2">
        <v>47029</v>
      </c>
      <c r="F58" s="2">
        <v>1</v>
      </c>
      <c r="G58" s="3">
        <v>11</v>
      </c>
      <c r="H58" s="2" t="s">
        <v>142</v>
      </c>
      <c r="I58" s="1" t="s">
        <v>143</v>
      </c>
      <c r="J58" s="3">
        <v>4</v>
      </c>
      <c r="K58" t="s">
        <v>65</v>
      </c>
      <c r="L58" s="5">
        <f t="shared" si="15"/>
        <v>10312</v>
      </c>
      <c r="M58" s="3">
        <f t="shared" si="19"/>
        <v>13200</v>
      </c>
      <c r="N58" s="3">
        <v>238080</v>
      </c>
      <c r="P58" s="2">
        <f t="shared" ref="P58:P67" si="21">400000+A58</f>
        <v>410311</v>
      </c>
    </row>
    <row r="59" customHeight="1" spans="1:16">
      <c r="A59" s="3">
        <f t="shared" si="20"/>
        <v>10312</v>
      </c>
      <c r="B59" s="3">
        <v>3</v>
      </c>
      <c r="C59" s="3" t="s">
        <v>131</v>
      </c>
      <c r="D59" s="3">
        <v>4</v>
      </c>
      <c r="E59" s="2">
        <v>47029</v>
      </c>
      <c r="F59" s="2">
        <v>1</v>
      </c>
      <c r="G59" s="3">
        <v>12</v>
      </c>
      <c r="H59" s="2" t="s">
        <v>144</v>
      </c>
      <c r="I59" s="1" t="s">
        <v>145</v>
      </c>
      <c r="J59" s="3">
        <v>4</v>
      </c>
      <c r="K59" t="s">
        <v>68</v>
      </c>
      <c r="L59" s="5">
        <f t="shared" si="15"/>
        <v>10313</v>
      </c>
      <c r="M59" s="3">
        <f t="shared" si="19"/>
        <v>14400</v>
      </c>
      <c r="N59" s="3">
        <v>282240</v>
      </c>
      <c r="P59" s="2">
        <f t="shared" si="21"/>
        <v>410312</v>
      </c>
    </row>
    <row r="60" customHeight="1" spans="1:16">
      <c r="A60" s="3">
        <f t="shared" si="20"/>
        <v>10313</v>
      </c>
      <c r="B60" s="3">
        <v>3</v>
      </c>
      <c r="C60" s="3" t="s">
        <v>131</v>
      </c>
      <c r="D60" s="3">
        <v>4</v>
      </c>
      <c r="E60" s="2">
        <v>47029</v>
      </c>
      <c r="F60" s="2">
        <v>1</v>
      </c>
      <c r="G60" s="3">
        <v>13</v>
      </c>
      <c r="H60" s="2" t="s">
        <v>146</v>
      </c>
      <c r="I60" s="1" t="s">
        <v>102</v>
      </c>
      <c r="J60" s="3">
        <v>4</v>
      </c>
      <c r="K60" t="s">
        <v>71</v>
      </c>
      <c r="L60" s="5">
        <f t="shared" si="15"/>
        <v>10314</v>
      </c>
      <c r="M60" s="3">
        <f t="shared" si="19"/>
        <v>15600</v>
      </c>
      <c r="N60" s="3">
        <v>326400</v>
      </c>
      <c r="P60" s="2">
        <f t="shared" si="21"/>
        <v>410313</v>
      </c>
    </row>
    <row r="61" customHeight="1" spans="1:16">
      <c r="A61" s="3">
        <f t="shared" si="20"/>
        <v>10314</v>
      </c>
      <c r="B61" s="3">
        <v>3</v>
      </c>
      <c r="C61" s="3" t="s">
        <v>131</v>
      </c>
      <c r="D61" s="3">
        <v>4</v>
      </c>
      <c r="E61" s="2">
        <v>47029</v>
      </c>
      <c r="F61" s="2">
        <v>1</v>
      </c>
      <c r="G61" s="3">
        <v>14</v>
      </c>
      <c r="H61" s="2" t="s">
        <v>147</v>
      </c>
      <c r="I61" s="1" t="s">
        <v>148</v>
      </c>
      <c r="J61" s="3">
        <v>4</v>
      </c>
      <c r="K61" t="s">
        <v>74</v>
      </c>
      <c r="L61" s="5">
        <f t="shared" si="15"/>
        <v>10315</v>
      </c>
      <c r="M61" s="3">
        <f t="shared" ref="M61:M63" si="22">G61*2400</f>
        <v>33600</v>
      </c>
      <c r="N61" s="3">
        <v>370560</v>
      </c>
      <c r="P61" s="2">
        <f t="shared" si="21"/>
        <v>410314</v>
      </c>
    </row>
    <row r="62" customHeight="1" spans="1:16">
      <c r="A62" s="3">
        <f t="shared" si="20"/>
        <v>10315</v>
      </c>
      <c r="B62" s="3">
        <v>3</v>
      </c>
      <c r="C62" s="3" t="s">
        <v>131</v>
      </c>
      <c r="D62" s="3">
        <v>4</v>
      </c>
      <c r="E62" s="2">
        <v>47029</v>
      </c>
      <c r="F62" s="2">
        <v>1</v>
      </c>
      <c r="G62" s="3">
        <v>15</v>
      </c>
      <c r="H62" s="2" t="s">
        <v>149</v>
      </c>
      <c r="I62" s="1" t="s">
        <v>98</v>
      </c>
      <c r="J62" s="3">
        <v>4</v>
      </c>
      <c r="K62" t="s">
        <v>77</v>
      </c>
      <c r="L62" s="5">
        <f t="shared" si="15"/>
        <v>10316</v>
      </c>
      <c r="M62" s="3">
        <f t="shared" si="22"/>
        <v>36000</v>
      </c>
      <c r="N62" s="3">
        <v>432000</v>
      </c>
      <c r="P62" s="2">
        <f t="shared" si="21"/>
        <v>410315</v>
      </c>
    </row>
    <row r="63" customHeight="1" spans="1:16">
      <c r="A63" s="3">
        <f t="shared" si="20"/>
        <v>10316</v>
      </c>
      <c r="B63" s="3">
        <v>3</v>
      </c>
      <c r="C63" s="3" t="s">
        <v>131</v>
      </c>
      <c r="D63" s="3">
        <v>4</v>
      </c>
      <c r="E63" s="2">
        <v>47029</v>
      </c>
      <c r="F63" s="2">
        <v>1</v>
      </c>
      <c r="G63" s="3">
        <v>16</v>
      </c>
      <c r="H63" s="2" t="s">
        <v>150</v>
      </c>
      <c r="I63" s="1" t="s">
        <v>121</v>
      </c>
      <c r="J63" s="3">
        <v>4</v>
      </c>
      <c r="K63" t="s">
        <v>80</v>
      </c>
      <c r="L63" s="5">
        <f t="shared" si="15"/>
        <v>10317</v>
      </c>
      <c r="M63" s="3">
        <f t="shared" si="22"/>
        <v>38400</v>
      </c>
      <c r="N63" s="3">
        <v>493440</v>
      </c>
      <c r="P63" s="2">
        <f t="shared" si="21"/>
        <v>410316</v>
      </c>
    </row>
    <row r="64" customHeight="1" spans="1:16">
      <c r="A64" s="3">
        <f t="shared" si="20"/>
        <v>10317</v>
      </c>
      <c r="B64" s="3">
        <v>3</v>
      </c>
      <c r="C64" s="3" t="s">
        <v>131</v>
      </c>
      <c r="D64" s="3">
        <v>4</v>
      </c>
      <c r="E64" s="2">
        <v>47029</v>
      </c>
      <c r="F64" s="2">
        <v>1</v>
      </c>
      <c r="G64" s="3">
        <v>17</v>
      </c>
      <c r="H64" s="2" t="s">
        <v>151</v>
      </c>
      <c r="I64" s="1" t="s">
        <v>152</v>
      </c>
      <c r="J64" s="3">
        <v>4</v>
      </c>
      <c r="K64" t="s">
        <v>83</v>
      </c>
      <c r="L64" s="5">
        <f t="shared" si="15"/>
        <v>10318</v>
      </c>
      <c r="M64" s="3">
        <f t="shared" ref="M64:M66" si="23">G64*4800</f>
        <v>81600</v>
      </c>
      <c r="N64" s="3">
        <v>556800</v>
      </c>
      <c r="P64" s="2">
        <f t="shared" si="21"/>
        <v>410317</v>
      </c>
    </row>
    <row r="65" customHeight="1" spans="1:16">
      <c r="A65" s="3">
        <f t="shared" si="20"/>
        <v>10318</v>
      </c>
      <c r="B65" s="3">
        <v>3</v>
      </c>
      <c r="C65" s="3" t="s">
        <v>131</v>
      </c>
      <c r="D65" s="3">
        <v>4</v>
      </c>
      <c r="E65" s="2">
        <v>47029</v>
      </c>
      <c r="F65" s="2">
        <v>1</v>
      </c>
      <c r="G65" s="3">
        <v>18</v>
      </c>
      <c r="H65" s="2" t="s">
        <v>153</v>
      </c>
      <c r="I65" s="1" t="s">
        <v>154</v>
      </c>
      <c r="J65" s="3">
        <v>4</v>
      </c>
      <c r="K65" t="s">
        <v>86</v>
      </c>
      <c r="L65" s="5">
        <f t="shared" si="15"/>
        <v>10319</v>
      </c>
      <c r="M65" s="3">
        <f t="shared" si="23"/>
        <v>86400</v>
      </c>
      <c r="N65" s="3">
        <v>643200</v>
      </c>
      <c r="P65" s="2">
        <f t="shared" si="21"/>
        <v>410318</v>
      </c>
    </row>
    <row r="66" customHeight="1" spans="1:16">
      <c r="A66" s="3">
        <f t="shared" si="20"/>
        <v>10319</v>
      </c>
      <c r="B66" s="3">
        <v>3</v>
      </c>
      <c r="C66" s="3" t="s">
        <v>131</v>
      </c>
      <c r="D66" s="3">
        <v>4</v>
      </c>
      <c r="E66" s="2">
        <v>47029</v>
      </c>
      <c r="F66" s="2">
        <v>1</v>
      </c>
      <c r="G66" s="3">
        <v>19</v>
      </c>
      <c r="H66" s="2" t="s">
        <v>155</v>
      </c>
      <c r="I66" s="1" t="s">
        <v>127</v>
      </c>
      <c r="J66" s="3">
        <v>4</v>
      </c>
      <c r="K66" t="s">
        <v>89</v>
      </c>
      <c r="L66" s="5">
        <f t="shared" si="15"/>
        <v>10320</v>
      </c>
      <c r="M66" s="3">
        <f t="shared" si="23"/>
        <v>91200</v>
      </c>
      <c r="N66" s="3">
        <v>729600</v>
      </c>
      <c r="P66" s="2">
        <f t="shared" si="21"/>
        <v>410319</v>
      </c>
    </row>
    <row r="67" customHeight="1" spans="1:16">
      <c r="A67" s="3">
        <f t="shared" si="20"/>
        <v>10320</v>
      </c>
      <c r="B67" s="3">
        <v>3</v>
      </c>
      <c r="C67" s="3" t="s">
        <v>131</v>
      </c>
      <c r="D67" s="3">
        <v>4</v>
      </c>
      <c r="E67" s="2">
        <v>47029</v>
      </c>
      <c r="F67" s="2">
        <v>1</v>
      </c>
      <c r="G67" s="3">
        <v>20</v>
      </c>
      <c r="H67" s="2" t="s">
        <v>156</v>
      </c>
      <c r="J67" s="3">
        <v>4</v>
      </c>
      <c r="K67"/>
      <c r="N67" s="3">
        <v>816000</v>
      </c>
      <c r="P67" s="2">
        <f t="shared" si="21"/>
        <v>410320</v>
      </c>
    </row>
    <row r="68" customHeight="1" spans="1:16">
      <c r="A68" s="3">
        <f t="shared" si="20"/>
        <v>10400</v>
      </c>
      <c r="B68" s="3">
        <v>4</v>
      </c>
      <c r="C68" s="3" t="s">
        <v>157</v>
      </c>
      <c r="D68" s="3">
        <v>2</v>
      </c>
      <c r="E68" s="2">
        <v>47043</v>
      </c>
      <c r="F68" s="2">
        <v>0</v>
      </c>
      <c r="G68" s="3">
        <v>0</v>
      </c>
      <c r="I68" s="1" t="s">
        <v>158</v>
      </c>
      <c r="J68" s="3"/>
      <c r="K68" t="s">
        <v>36</v>
      </c>
      <c r="L68" s="5">
        <f t="shared" ref="L68:L87" si="24">A69</f>
        <v>10401</v>
      </c>
      <c r="M68" s="3">
        <v>100</v>
      </c>
      <c r="N68" s="3">
        <v>0</v>
      </c>
      <c r="P68" s="2">
        <v>0</v>
      </c>
    </row>
    <row r="69" customHeight="1" spans="1:16">
      <c r="A69" s="3">
        <f t="shared" si="20"/>
        <v>10401</v>
      </c>
      <c r="B69" s="3">
        <v>4</v>
      </c>
      <c r="C69" s="3" t="s">
        <v>157</v>
      </c>
      <c r="D69" s="3">
        <v>2</v>
      </c>
      <c r="E69" s="2">
        <v>47043</v>
      </c>
      <c r="F69" s="2">
        <v>0</v>
      </c>
      <c r="G69" s="3">
        <v>1</v>
      </c>
      <c r="I69" s="1" t="s">
        <v>159</v>
      </c>
      <c r="J69" s="3"/>
      <c r="K69" t="s">
        <v>39</v>
      </c>
      <c r="L69" s="5">
        <f t="shared" si="24"/>
        <v>10402</v>
      </c>
      <c r="M69" s="3">
        <v>300</v>
      </c>
      <c r="P69" s="2">
        <f t="shared" ref="P69:P78" si="25">400000+A69</f>
        <v>410401</v>
      </c>
    </row>
    <row r="70" customHeight="1" spans="1:16">
      <c r="A70" s="3">
        <f t="shared" si="20"/>
        <v>10402</v>
      </c>
      <c r="B70" s="3">
        <v>4</v>
      </c>
      <c r="C70" s="3" t="s">
        <v>157</v>
      </c>
      <c r="D70" s="3">
        <v>2</v>
      </c>
      <c r="E70" s="2">
        <v>47043</v>
      </c>
      <c r="F70" s="2">
        <v>0</v>
      </c>
      <c r="G70" s="3">
        <v>2</v>
      </c>
      <c r="I70" s="1" t="s">
        <v>160</v>
      </c>
      <c r="J70" s="3"/>
      <c r="K70" t="s">
        <v>39</v>
      </c>
      <c r="L70" s="5">
        <f t="shared" si="24"/>
        <v>10403</v>
      </c>
      <c r="M70" s="3">
        <v>600</v>
      </c>
      <c r="P70" s="2">
        <f t="shared" si="25"/>
        <v>410402</v>
      </c>
    </row>
    <row r="71" customHeight="1" spans="1:16">
      <c r="A71" s="3">
        <f t="shared" si="20"/>
        <v>10403</v>
      </c>
      <c r="B71" s="3">
        <v>4</v>
      </c>
      <c r="C71" s="3" t="s">
        <v>157</v>
      </c>
      <c r="D71" s="3">
        <v>2</v>
      </c>
      <c r="E71" s="2">
        <v>47043</v>
      </c>
      <c r="F71" s="2">
        <v>0</v>
      </c>
      <c r="G71" s="3">
        <v>3</v>
      </c>
      <c r="I71" s="1" t="s">
        <v>161</v>
      </c>
      <c r="J71" s="3"/>
      <c r="K71" t="s">
        <v>39</v>
      </c>
      <c r="L71" s="5">
        <f t="shared" si="24"/>
        <v>10404</v>
      </c>
      <c r="M71" s="3">
        <v>900</v>
      </c>
      <c r="P71" s="2">
        <f t="shared" si="25"/>
        <v>410403</v>
      </c>
    </row>
    <row r="72" customHeight="1" spans="1:16">
      <c r="A72" s="3">
        <f t="shared" si="20"/>
        <v>10404</v>
      </c>
      <c r="B72" s="3">
        <v>4</v>
      </c>
      <c r="C72" s="3" t="s">
        <v>157</v>
      </c>
      <c r="D72" s="3">
        <v>2</v>
      </c>
      <c r="E72" s="2">
        <v>47043</v>
      </c>
      <c r="F72" s="2">
        <v>0</v>
      </c>
      <c r="G72" s="3">
        <v>4</v>
      </c>
      <c r="I72" s="1" t="s">
        <v>162</v>
      </c>
      <c r="J72" s="3"/>
      <c r="K72" t="s">
        <v>46</v>
      </c>
      <c r="L72" s="5">
        <f t="shared" si="24"/>
        <v>10405</v>
      </c>
      <c r="M72" s="3">
        <v>1200</v>
      </c>
      <c r="P72" s="2">
        <f t="shared" si="25"/>
        <v>410404</v>
      </c>
    </row>
    <row r="73" customHeight="1" spans="1:16">
      <c r="A73" s="3">
        <f t="shared" si="20"/>
        <v>10405</v>
      </c>
      <c r="B73" s="3">
        <v>4</v>
      </c>
      <c r="C73" s="3" t="s">
        <v>157</v>
      </c>
      <c r="D73" s="3">
        <v>2</v>
      </c>
      <c r="E73" s="2">
        <v>47043</v>
      </c>
      <c r="F73" s="2">
        <v>0</v>
      </c>
      <c r="G73" s="3">
        <v>5</v>
      </c>
      <c r="I73" s="1" t="s">
        <v>163</v>
      </c>
      <c r="J73" s="3"/>
      <c r="K73" t="s">
        <v>46</v>
      </c>
      <c r="L73" s="5">
        <f t="shared" si="24"/>
        <v>10406</v>
      </c>
      <c r="M73" s="3">
        <v>1500</v>
      </c>
      <c r="P73" s="2">
        <f t="shared" si="25"/>
        <v>410405</v>
      </c>
    </row>
    <row r="74" customHeight="1" spans="1:16">
      <c r="A74" s="3">
        <f t="shared" si="20"/>
        <v>10406</v>
      </c>
      <c r="B74" s="3">
        <v>4</v>
      </c>
      <c r="C74" s="3" t="s">
        <v>157</v>
      </c>
      <c r="D74" s="3">
        <v>2</v>
      </c>
      <c r="E74" s="2">
        <v>47043</v>
      </c>
      <c r="F74" s="2">
        <v>0</v>
      </c>
      <c r="G74" s="3">
        <v>6</v>
      </c>
      <c r="I74" s="1" t="s">
        <v>164</v>
      </c>
      <c r="J74" s="3"/>
      <c r="K74" t="s">
        <v>51</v>
      </c>
      <c r="L74" s="5">
        <f t="shared" si="24"/>
        <v>10407</v>
      </c>
      <c r="M74" s="3">
        <f t="shared" ref="M74:M77" si="26">G74*600</f>
        <v>3600</v>
      </c>
      <c r="P74" s="2">
        <f t="shared" si="25"/>
        <v>410406</v>
      </c>
    </row>
    <row r="75" customHeight="1" spans="1:16">
      <c r="A75" s="3">
        <f t="shared" si="20"/>
        <v>10407</v>
      </c>
      <c r="B75" s="3">
        <v>4</v>
      </c>
      <c r="C75" s="3" t="s">
        <v>157</v>
      </c>
      <c r="D75" s="3">
        <v>2</v>
      </c>
      <c r="E75" s="2">
        <v>47043</v>
      </c>
      <c r="F75" s="2">
        <v>0</v>
      </c>
      <c r="G75" s="3">
        <v>7</v>
      </c>
      <c r="I75" s="1" t="s">
        <v>165</v>
      </c>
      <c r="J75" s="3"/>
      <c r="K75" t="s">
        <v>51</v>
      </c>
      <c r="L75" s="5">
        <f t="shared" si="24"/>
        <v>10408</v>
      </c>
      <c r="M75" s="3">
        <f t="shared" si="26"/>
        <v>4200</v>
      </c>
      <c r="P75" s="2">
        <f t="shared" si="25"/>
        <v>410407</v>
      </c>
    </row>
    <row r="76" customHeight="1" spans="1:16">
      <c r="A76" s="3">
        <f t="shared" si="20"/>
        <v>10408</v>
      </c>
      <c r="B76" s="3">
        <v>4</v>
      </c>
      <c r="C76" s="3" t="s">
        <v>157</v>
      </c>
      <c r="D76" s="3">
        <v>2</v>
      </c>
      <c r="E76" s="2">
        <v>47043</v>
      </c>
      <c r="F76" s="2">
        <v>0</v>
      </c>
      <c r="G76" s="3">
        <v>8</v>
      </c>
      <c r="I76" s="1" t="s">
        <v>166</v>
      </c>
      <c r="J76" s="3"/>
      <c r="K76" t="s">
        <v>56</v>
      </c>
      <c r="L76" s="5">
        <f t="shared" si="24"/>
        <v>10409</v>
      </c>
      <c r="M76" s="3">
        <f t="shared" si="26"/>
        <v>4800</v>
      </c>
      <c r="P76" s="2">
        <f t="shared" si="25"/>
        <v>410408</v>
      </c>
    </row>
    <row r="77" customHeight="1" spans="1:16">
      <c r="A77" s="3">
        <f t="shared" si="20"/>
        <v>10409</v>
      </c>
      <c r="B77" s="3">
        <v>4</v>
      </c>
      <c r="C77" s="3" t="s">
        <v>157</v>
      </c>
      <c r="D77" s="3">
        <v>2</v>
      </c>
      <c r="E77" s="2">
        <v>47043</v>
      </c>
      <c r="F77" s="2">
        <v>0</v>
      </c>
      <c r="G77" s="3">
        <v>9</v>
      </c>
      <c r="I77" s="1" t="s">
        <v>167</v>
      </c>
      <c r="J77" s="3"/>
      <c r="K77" t="s">
        <v>59</v>
      </c>
      <c r="L77" s="5">
        <f t="shared" si="24"/>
        <v>10410</v>
      </c>
      <c r="M77" s="3">
        <f t="shared" si="26"/>
        <v>5400</v>
      </c>
      <c r="P77" s="2">
        <f t="shared" si="25"/>
        <v>410409</v>
      </c>
    </row>
    <row r="78" customHeight="1" spans="1:16">
      <c r="A78" s="3">
        <f t="shared" si="20"/>
        <v>10410</v>
      </c>
      <c r="B78" s="3">
        <v>4</v>
      </c>
      <c r="C78" s="3" t="s">
        <v>157</v>
      </c>
      <c r="D78" s="3">
        <v>2</v>
      </c>
      <c r="E78" s="2">
        <v>47043</v>
      </c>
      <c r="F78" s="2">
        <v>0</v>
      </c>
      <c r="G78" s="3">
        <v>10</v>
      </c>
      <c r="I78" s="1" t="s">
        <v>168</v>
      </c>
      <c r="J78" s="3"/>
      <c r="K78" t="s">
        <v>62</v>
      </c>
      <c r="L78" s="5">
        <f t="shared" si="24"/>
        <v>10411</v>
      </c>
      <c r="M78" s="3">
        <f t="shared" ref="M78:M81" si="27">G78*1200</f>
        <v>12000</v>
      </c>
      <c r="P78" s="2">
        <f t="shared" si="25"/>
        <v>410410</v>
      </c>
    </row>
    <row r="79" customHeight="1" spans="1:16">
      <c r="A79" s="3">
        <f t="shared" ref="A79:A88" si="28">10000+G79+B79*100</f>
        <v>10411</v>
      </c>
      <c r="B79" s="3">
        <v>4</v>
      </c>
      <c r="C79" s="3" t="s">
        <v>157</v>
      </c>
      <c r="D79" s="3">
        <v>2</v>
      </c>
      <c r="E79" s="2">
        <v>47043</v>
      </c>
      <c r="F79" s="2">
        <v>0</v>
      </c>
      <c r="G79" s="3">
        <v>11</v>
      </c>
      <c r="I79" s="1" t="s">
        <v>169</v>
      </c>
      <c r="J79" s="3"/>
      <c r="K79" t="s">
        <v>65</v>
      </c>
      <c r="L79" s="5">
        <f t="shared" si="24"/>
        <v>10412</v>
      </c>
      <c r="M79" s="3">
        <f t="shared" si="27"/>
        <v>13200</v>
      </c>
      <c r="P79" s="2">
        <f t="shared" ref="P79:P88" si="29">400000+A79</f>
        <v>410411</v>
      </c>
    </row>
    <row r="80" customHeight="1" spans="1:16">
      <c r="A80" s="3">
        <f t="shared" si="28"/>
        <v>10412</v>
      </c>
      <c r="B80" s="3">
        <v>4</v>
      </c>
      <c r="C80" s="3" t="s">
        <v>157</v>
      </c>
      <c r="D80" s="3">
        <v>2</v>
      </c>
      <c r="E80" s="2">
        <v>47043</v>
      </c>
      <c r="F80" s="2">
        <v>0</v>
      </c>
      <c r="G80" s="3">
        <v>12</v>
      </c>
      <c r="I80" s="1" t="s">
        <v>170</v>
      </c>
      <c r="J80" s="3"/>
      <c r="K80" t="s">
        <v>68</v>
      </c>
      <c r="L80" s="5">
        <f t="shared" si="24"/>
        <v>10413</v>
      </c>
      <c r="M80" s="3">
        <f t="shared" si="27"/>
        <v>14400</v>
      </c>
      <c r="P80" s="2">
        <f t="shared" si="29"/>
        <v>410412</v>
      </c>
    </row>
    <row r="81" customHeight="1" spans="1:16">
      <c r="A81" s="3">
        <f t="shared" si="28"/>
        <v>10413</v>
      </c>
      <c r="B81" s="3">
        <v>4</v>
      </c>
      <c r="C81" s="3" t="s">
        <v>157</v>
      </c>
      <c r="D81" s="3">
        <v>2</v>
      </c>
      <c r="E81" s="2">
        <v>47043</v>
      </c>
      <c r="F81" s="2">
        <v>0</v>
      </c>
      <c r="G81" s="3">
        <v>13</v>
      </c>
      <c r="I81" s="1" t="s">
        <v>171</v>
      </c>
      <c r="J81" s="3"/>
      <c r="K81" t="s">
        <v>71</v>
      </c>
      <c r="L81" s="5">
        <f t="shared" si="24"/>
        <v>10414</v>
      </c>
      <c r="M81" s="3">
        <f t="shared" si="27"/>
        <v>15600</v>
      </c>
      <c r="P81" s="2">
        <f t="shared" si="29"/>
        <v>410413</v>
      </c>
    </row>
    <row r="82" customHeight="1" spans="1:16">
      <c r="A82" s="3">
        <f t="shared" si="28"/>
        <v>10414</v>
      </c>
      <c r="B82" s="3">
        <v>4</v>
      </c>
      <c r="C82" s="3" t="s">
        <v>157</v>
      </c>
      <c r="D82" s="3">
        <v>2</v>
      </c>
      <c r="E82" s="2">
        <v>47043</v>
      </c>
      <c r="F82" s="2">
        <v>0</v>
      </c>
      <c r="G82" s="3">
        <v>14</v>
      </c>
      <c r="I82" s="1" t="s">
        <v>172</v>
      </c>
      <c r="J82" s="3"/>
      <c r="K82" t="s">
        <v>74</v>
      </c>
      <c r="L82" s="5">
        <f t="shared" si="24"/>
        <v>10415</v>
      </c>
      <c r="M82" s="3">
        <f t="shared" ref="M82:M84" si="30">G82*2400</f>
        <v>33600</v>
      </c>
      <c r="P82" s="2">
        <f t="shared" si="29"/>
        <v>410414</v>
      </c>
    </row>
    <row r="83" customHeight="1" spans="1:16">
      <c r="A83" s="3">
        <f t="shared" si="28"/>
        <v>10415</v>
      </c>
      <c r="B83" s="3">
        <v>4</v>
      </c>
      <c r="C83" s="3" t="s">
        <v>157</v>
      </c>
      <c r="D83" s="3">
        <v>2</v>
      </c>
      <c r="E83" s="2">
        <v>47043</v>
      </c>
      <c r="F83" s="2">
        <v>0</v>
      </c>
      <c r="G83" s="3">
        <v>15</v>
      </c>
      <c r="I83" s="1" t="s">
        <v>173</v>
      </c>
      <c r="J83" s="3"/>
      <c r="K83" t="s">
        <v>77</v>
      </c>
      <c r="L83" s="5">
        <f t="shared" si="24"/>
        <v>10416</v>
      </c>
      <c r="M83" s="3">
        <f t="shared" si="30"/>
        <v>36000</v>
      </c>
      <c r="P83" s="2">
        <f t="shared" si="29"/>
        <v>410415</v>
      </c>
    </row>
    <row r="84" customHeight="1" spans="1:16">
      <c r="A84" s="3">
        <f t="shared" si="28"/>
        <v>10416</v>
      </c>
      <c r="B84" s="3">
        <v>4</v>
      </c>
      <c r="C84" s="3" t="s">
        <v>157</v>
      </c>
      <c r="D84" s="3">
        <v>2</v>
      </c>
      <c r="E84" s="2">
        <v>47043</v>
      </c>
      <c r="F84" s="2">
        <v>0</v>
      </c>
      <c r="G84" s="3">
        <v>16</v>
      </c>
      <c r="I84" s="1" t="s">
        <v>174</v>
      </c>
      <c r="J84" s="3"/>
      <c r="K84" t="s">
        <v>80</v>
      </c>
      <c r="L84" s="5">
        <f t="shared" si="24"/>
        <v>10417</v>
      </c>
      <c r="M84" s="3">
        <f t="shared" si="30"/>
        <v>38400</v>
      </c>
      <c r="P84" s="2">
        <f t="shared" si="29"/>
        <v>410416</v>
      </c>
    </row>
    <row r="85" customHeight="1" spans="1:16">
      <c r="A85" s="3">
        <f t="shared" si="28"/>
        <v>10417</v>
      </c>
      <c r="B85" s="3">
        <v>4</v>
      </c>
      <c r="C85" s="3" t="s">
        <v>157</v>
      </c>
      <c r="D85" s="3">
        <v>2</v>
      </c>
      <c r="E85" s="2">
        <v>47043</v>
      </c>
      <c r="F85" s="2">
        <v>0</v>
      </c>
      <c r="G85" s="3">
        <v>17</v>
      </c>
      <c r="I85" s="1" t="s">
        <v>175</v>
      </c>
      <c r="J85" s="3"/>
      <c r="K85" t="s">
        <v>83</v>
      </c>
      <c r="L85" s="5">
        <f t="shared" si="24"/>
        <v>10418</v>
      </c>
      <c r="M85" s="3">
        <f t="shared" ref="M85:M87" si="31">G85*4800</f>
        <v>81600</v>
      </c>
      <c r="P85" s="2">
        <f t="shared" si="29"/>
        <v>410417</v>
      </c>
    </row>
    <row r="86" customHeight="1" spans="1:16">
      <c r="A86" s="3">
        <f t="shared" si="28"/>
        <v>10418</v>
      </c>
      <c r="B86" s="3">
        <v>4</v>
      </c>
      <c r="C86" s="3" t="s">
        <v>157</v>
      </c>
      <c r="D86" s="3">
        <v>2</v>
      </c>
      <c r="E86" s="2">
        <v>47043</v>
      </c>
      <c r="F86" s="2">
        <v>0</v>
      </c>
      <c r="G86" s="3">
        <v>18</v>
      </c>
      <c r="I86" s="1" t="s">
        <v>176</v>
      </c>
      <c r="J86" s="3"/>
      <c r="K86" t="s">
        <v>86</v>
      </c>
      <c r="L86" s="5">
        <f t="shared" si="24"/>
        <v>10419</v>
      </c>
      <c r="M86" s="3">
        <f t="shared" si="31"/>
        <v>86400</v>
      </c>
      <c r="P86" s="2">
        <f t="shared" si="29"/>
        <v>410418</v>
      </c>
    </row>
    <row r="87" customHeight="1" spans="1:16">
      <c r="A87" s="3">
        <f t="shared" si="28"/>
        <v>10419</v>
      </c>
      <c r="B87" s="3">
        <v>4</v>
      </c>
      <c r="C87" s="3" t="s">
        <v>157</v>
      </c>
      <c r="D87" s="3">
        <v>2</v>
      </c>
      <c r="E87" s="2">
        <v>47043</v>
      </c>
      <c r="F87" s="2">
        <v>0</v>
      </c>
      <c r="G87" s="3">
        <v>19</v>
      </c>
      <c r="I87" s="1" t="s">
        <v>177</v>
      </c>
      <c r="J87" s="3"/>
      <c r="K87" t="s">
        <v>89</v>
      </c>
      <c r="L87" s="5">
        <f t="shared" si="24"/>
        <v>10420</v>
      </c>
      <c r="M87" s="3">
        <f t="shared" si="31"/>
        <v>91200</v>
      </c>
      <c r="P87" s="2">
        <f t="shared" si="29"/>
        <v>410419</v>
      </c>
    </row>
    <row r="88" customHeight="1" spans="1:16">
      <c r="A88" s="3">
        <f t="shared" si="28"/>
        <v>10420</v>
      </c>
      <c r="B88" s="3">
        <v>4</v>
      </c>
      <c r="C88" s="3" t="s">
        <v>157</v>
      </c>
      <c r="D88" s="3">
        <v>2</v>
      </c>
      <c r="E88" s="2">
        <v>47043</v>
      </c>
      <c r="F88" s="2">
        <v>0</v>
      </c>
      <c r="G88" s="3">
        <v>20</v>
      </c>
      <c r="J88" s="3"/>
      <c r="K88"/>
      <c r="P88" s="2">
        <f t="shared" si="29"/>
        <v>410420</v>
      </c>
    </row>
    <row r="89" customHeight="1" spans="1:16">
      <c r="A89" s="3">
        <f t="shared" ref="A89:A99" si="32">10000+G89+B89*100</f>
        <v>10500</v>
      </c>
      <c r="B89" s="3">
        <v>5</v>
      </c>
      <c r="C89" s="3" t="s">
        <v>178</v>
      </c>
      <c r="D89" s="3">
        <v>2</v>
      </c>
      <c r="E89" s="2">
        <v>47044</v>
      </c>
      <c r="F89" s="2">
        <v>0</v>
      </c>
      <c r="G89" s="3">
        <v>0</v>
      </c>
      <c r="I89" s="1" t="s">
        <v>179</v>
      </c>
      <c r="J89" s="3">
        <v>4</v>
      </c>
      <c r="K89" t="s">
        <v>36</v>
      </c>
      <c r="L89" s="5">
        <f t="shared" ref="L89:L108" si="33">A90</f>
        <v>10501</v>
      </c>
      <c r="M89" s="3">
        <v>100</v>
      </c>
      <c r="N89" s="3">
        <v>0</v>
      </c>
      <c r="P89" s="2">
        <v>0</v>
      </c>
    </row>
    <row r="90" customHeight="1" spans="1:16">
      <c r="A90" s="3">
        <f t="shared" si="32"/>
        <v>10501</v>
      </c>
      <c r="B90" s="3">
        <v>5</v>
      </c>
      <c r="C90" s="3" t="s">
        <v>178</v>
      </c>
      <c r="D90" s="3">
        <v>2</v>
      </c>
      <c r="E90" s="2">
        <v>47044</v>
      </c>
      <c r="F90" s="2">
        <v>0</v>
      </c>
      <c r="G90" s="3">
        <v>1</v>
      </c>
      <c r="I90" s="1" t="s">
        <v>180</v>
      </c>
      <c r="J90" s="3">
        <v>4</v>
      </c>
      <c r="K90" t="s">
        <v>39</v>
      </c>
      <c r="L90" s="5">
        <f t="shared" si="33"/>
        <v>10502</v>
      </c>
      <c r="M90" s="3">
        <v>300</v>
      </c>
      <c r="O90" s="3">
        <v>22001</v>
      </c>
      <c r="P90" s="2">
        <f t="shared" ref="P90:P99" si="34">400000+A90</f>
        <v>410501</v>
      </c>
    </row>
    <row r="91" customHeight="1" spans="1:16">
      <c r="A91" s="3">
        <f t="shared" si="32"/>
        <v>10502</v>
      </c>
      <c r="B91" s="3">
        <v>5</v>
      </c>
      <c r="C91" s="3" t="s">
        <v>178</v>
      </c>
      <c r="D91" s="3">
        <v>2</v>
      </c>
      <c r="E91" s="2">
        <v>47044</v>
      </c>
      <c r="F91" s="2">
        <v>0</v>
      </c>
      <c r="G91" s="3">
        <v>2</v>
      </c>
      <c r="I91" s="1" t="s">
        <v>181</v>
      </c>
      <c r="J91" s="3">
        <v>4</v>
      </c>
      <c r="K91" t="s">
        <v>39</v>
      </c>
      <c r="L91" s="5">
        <f t="shared" si="33"/>
        <v>10503</v>
      </c>
      <c r="M91" s="3">
        <v>600</v>
      </c>
      <c r="O91" s="3">
        <v>22002</v>
      </c>
      <c r="P91" s="2">
        <f t="shared" si="34"/>
        <v>410502</v>
      </c>
    </row>
    <row r="92" customHeight="1" spans="1:16">
      <c r="A92" s="3">
        <f t="shared" si="32"/>
        <v>10503</v>
      </c>
      <c r="B92" s="3">
        <v>5</v>
      </c>
      <c r="C92" s="3" t="s">
        <v>178</v>
      </c>
      <c r="D92" s="3">
        <v>2</v>
      </c>
      <c r="E92" s="2">
        <v>47044</v>
      </c>
      <c r="F92" s="2">
        <v>0</v>
      </c>
      <c r="G92" s="3">
        <v>3</v>
      </c>
      <c r="I92" s="1" t="s">
        <v>182</v>
      </c>
      <c r="J92" s="3">
        <v>4</v>
      </c>
      <c r="K92" t="s">
        <v>39</v>
      </c>
      <c r="L92" s="5">
        <f t="shared" si="33"/>
        <v>10504</v>
      </c>
      <c r="M92" s="3">
        <v>900</v>
      </c>
      <c r="O92" s="3">
        <v>22003</v>
      </c>
      <c r="P92" s="2">
        <f t="shared" si="34"/>
        <v>410503</v>
      </c>
    </row>
    <row r="93" customHeight="1" spans="1:16">
      <c r="A93" s="3">
        <f t="shared" si="32"/>
        <v>10504</v>
      </c>
      <c r="B93" s="3">
        <v>5</v>
      </c>
      <c r="C93" s="3" t="s">
        <v>178</v>
      </c>
      <c r="D93" s="3">
        <v>2</v>
      </c>
      <c r="E93" s="2">
        <v>47044</v>
      </c>
      <c r="F93" s="2">
        <v>0</v>
      </c>
      <c r="G93" s="3">
        <v>4</v>
      </c>
      <c r="I93" s="1" t="s">
        <v>183</v>
      </c>
      <c r="J93" s="3">
        <v>4</v>
      </c>
      <c r="K93" t="s">
        <v>46</v>
      </c>
      <c r="L93" s="5">
        <f t="shared" si="33"/>
        <v>10505</v>
      </c>
      <c r="M93" s="3">
        <v>1200</v>
      </c>
      <c r="O93" s="3">
        <v>22004</v>
      </c>
      <c r="P93" s="2">
        <f t="shared" si="34"/>
        <v>410504</v>
      </c>
    </row>
    <row r="94" customHeight="1" spans="1:16">
      <c r="A94" s="3">
        <f t="shared" si="32"/>
        <v>10505</v>
      </c>
      <c r="B94" s="3">
        <v>5</v>
      </c>
      <c r="C94" s="3" t="s">
        <v>178</v>
      </c>
      <c r="D94" s="3">
        <v>2</v>
      </c>
      <c r="E94" s="2">
        <v>47044</v>
      </c>
      <c r="F94" s="2">
        <v>0</v>
      </c>
      <c r="G94" s="3">
        <v>5</v>
      </c>
      <c r="I94" s="1" t="s">
        <v>184</v>
      </c>
      <c r="J94" s="3">
        <v>4</v>
      </c>
      <c r="K94" t="s">
        <v>46</v>
      </c>
      <c r="L94" s="5">
        <f t="shared" si="33"/>
        <v>10506</v>
      </c>
      <c r="M94" s="3">
        <v>1500</v>
      </c>
      <c r="O94" s="3">
        <v>22005</v>
      </c>
      <c r="P94" s="2">
        <f t="shared" si="34"/>
        <v>410505</v>
      </c>
    </row>
    <row r="95" customHeight="1" spans="1:16">
      <c r="A95" s="3">
        <f t="shared" si="32"/>
        <v>10506</v>
      </c>
      <c r="B95" s="3">
        <v>5</v>
      </c>
      <c r="C95" s="3" t="s">
        <v>178</v>
      </c>
      <c r="D95" s="3">
        <v>2</v>
      </c>
      <c r="E95" s="2">
        <v>47044</v>
      </c>
      <c r="F95" s="2">
        <v>0</v>
      </c>
      <c r="G95" s="3">
        <v>6</v>
      </c>
      <c r="I95" s="1" t="s">
        <v>185</v>
      </c>
      <c r="J95" s="3">
        <v>4</v>
      </c>
      <c r="K95" t="s">
        <v>51</v>
      </c>
      <c r="L95" s="5">
        <f t="shared" si="33"/>
        <v>10507</v>
      </c>
      <c r="M95" s="3">
        <f t="shared" ref="M95:M98" si="35">G95*600</f>
        <v>3600</v>
      </c>
      <c r="O95" s="3">
        <v>22006</v>
      </c>
      <c r="P95" s="2">
        <f t="shared" si="34"/>
        <v>410506</v>
      </c>
    </row>
    <row r="96" customHeight="1" spans="1:16">
      <c r="A96" s="3">
        <f t="shared" si="32"/>
        <v>10507</v>
      </c>
      <c r="B96" s="3">
        <v>5</v>
      </c>
      <c r="C96" s="3" t="s">
        <v>178</v>
      </c>
      <c r="D96" s="3">
        <v>2</v>
      </c>
      <c r="E96" s="2">
        <v>47044</v>
      </c>
      <c r="F96" s="2">
        <v>0</v>
      </c>
      <c r="G96" s="3">
        <v>7</v>
      </c>
      <c r="I96" s="1" t="s">
        <v>186</v>
      </c>
      <c r="J96" s="3">
        <v>4</v>
      </c>
      <c r="K96" t="s">
        <v>51</v>
      </c>
      <c r="L96" s="5">
        <f t="shared" si="33"/>
        <v>10508</v>
      </c>
      <c r="M96" s="3">
        <f t="shared" si="35"/>
        <v>4200</v>
      </c>
      <c r="O96" s="3">
        <v>22007</v>
      </c>
      <c r="P96" s="2">
        <f t="shared" si="34"/>
        <v>410507</v>
      </c>
    </row>
    <row r="97" customHeight="1" spans="1:16">
      <c r="A97" s="3">
        <f t="shared" si="32"/>
        <v>10508</v>
      </c>
      <c r="B97" s="3">
        <v>5</v>
      </c>
      <c r="C97" s="3" t="s">
        <v>178</v>
      </c>
      <c r="D97" s="3">
        <v>2</v>
      </c>
      <c r="E97" s="2">
        <v>47044</v>
      </c>
      <c r="F97" s="2">
        <v>0</v>
      </c>
      <c r="G97" s="3">
        <v>8</v>
      </c>
      <c r="I97" s="1" t="s">
        <v>187</v>
      </c>
      <c r="J97" s="3">
        <v>4</v>
      </c>
      <c r="K97" t="s">
        <v>56</v>
      </c>
      <c r="L97" s="5">
        <f t="shared" si="33"/>
        <v>10509</v>
      </c>
      <c r="M97" s="3">
        <f t="shared" si="35"/>
        <v>4800</v>
      </c>
      <c r="O97" s="3">
        <v>22008</v>
      </c>
      <c r="P97" s="2">
        <f t="shared" si="34"/>
        <v>410508</v>
      </c>
    </row>
    <row r="98" customHeight="1" spans="1:16">
      <c r="A98" s="3">
        <f t="shared" si="32"/>
        <v>10509</v>
      </c>
      <c r="B98" s="3">
        <v>5</v>
      </c>
      <c r="C98" s="3" t="s">
        <v>178</v>
      </c>
      <c r="D98" s="3">
        <v>2</v>
      </c>
      <c r="E98" s="2">
        <v>47044</v>
      </c>
      <c r="F98" s="2">
        <v>0</v>
      </c>
      <c r="G98" s="3">
        <v>9</v>
      </c>
      <c r="I98" s="1" t="s">
        <v>188</v>
      </c>
      <c r="J98" s="3">
        <v>4</v>
      </c>
      <c r="K98" t="s">
        <v>59</v>
      </c>
      <c r="L98" s="5">
        <f t="shared" si="33"/>
        <v>10510</v>
      </c>
      <c r="M98" s="3">
        <f t="shared" si="35"/>
        <v>5400</v>
      </c>
      <c r="O98" s="3">
        <v>22009</v>
      </c>
      <c r="P98" s="2">
        <f t="shared" si="34"/>
        <v>410509</v>
      </c>
    </row>
    <row r="99" customHeight="1" spans="1:16">
      <c r="A99" s="3">
        <f t="shared" si="32"/>
        <v>10510</v>
      </c>
      <c r="B99" s="3">
        <v>5</v>
      </c>
      <c r="C99" s="3" t="s">
        <v>178</v>
      </c>
      <c r="D99" s="3">
        <v>2</v>
      </c>
      <c r="E99" s="2">
        <v>47044</v>
      </c>
      <c r="F99" s="2">
        <v>0</v>
      </c>
      <c r="G99" s="3">
        <v>10</v>
      </c>
      <c r="I99" s="1" t="s">
        <v>189</v>
      </c>
      <c r="J99" s="3">
        <v>4</v>
      </c>
      <c r="K99" t="s">
        <v>62</v>
      </c>
      <c r="L99" s="5">
        <f t="shared" si="33"/>
        <v>10511</v>
      </c>
      <c r="M99" s="3">
        <f t="shared" ref="M99:M102" si="36">G99*1200</f>
        <v>12000</v>
      </c>
      <c r="O99" s="3">
        <v>22010</v>
      </c>
      <c r="P99" s="2">
        <f t="shared" si="34"/>
        <v>410510</v>
      </c>
    </row>
    <row r="100" customHeight="1" spans="1:16">
      <c r="A100" s="3">
        <f t="shared" ref="A100:A110" si="37">10000+G100+B100*100</f>
        <v>10511</v>
      </c>
      <c r="B100" s="3">
        <v>5</v>
      </c>
      <c r="C100" s="3" t="s">
        <v>178</v>
      </c>
      <c r="D100" s="3">
        <v>2</v>
      </c>
      <c r="E100" s="2">
        <v>47044</v>
      </c>
      <c r="F100" s="2">
        <v>0</v>
      </c>
      <c r="G100" s="3">
        <v>11</v>
      </c>
      <c r="I100" s="1" t="s">
        <v>190</v>
      </c>
      <c r="J100" s="3">
        <v>4</v>
      </c>
      <c r="K100" t="s">
        <v>65</v>
      </c>
      <c r="L100" s="5">
        <f t="shared" si="33"/>
        <v>10512</v>
      </c>
      <c r="M100" s="3">
        <f t="shared" si="36"/>
        <v>13200</v>
      </c>
      <c r="O100" s="3">
        <v>22011</v>
      </c>
      <c r="P100" s="2">
        <f t="shared" ref="P100:P109" si="38">400000+A100</f>
        <v>410511</v>
      </c>
    </row>
    <row r="101" customHeight="1" spans="1:16">
      <c r="A101" s="3">
        <f t="shared" si="37"/>
        <v>10512</v>
      </c>
      <c r="B101" s="3">
        <v>5</v>
      </c>
      <c r="C101" s="3" t="s">
        <v>178</v>
      </c>
      <c r="D101" s="3">
        <v>2</v>
      </c>
      <c r="E101" s="2">
        <v>47044</v>
      </c>
      <c r="F101" s="2">
        <v>0</v>
      </c>
      <c r="G101" s="3">
        <v>12</v>
      </c>
      <c r="I101" s="1" t="s">
        <v>191</v>
      </c>
      <c r="J101" s="3">
        <v>4</v>
      </c>
      <c r="K101" t="s">
        <v>68</v>
      </c>
      <c r="L101" s="5">
        <f t="shared" si="33"/>
        <v>10513</v>
      </c>
      <c r="M101" s="3">
        <f t="shared" si="36"/>
        <v>14400</v>
      </c>
      <c r="O101" s="3">
        <v>22012</v>
      </c>
      <c r="P101" s="2">
        <f t="shared" si="38"/>
        <v>410512</v>
      </c>
    </row>
    <row r="102" customHeight="1" spans="1:16">
      <c r="A102" s="3">
        <f t="shared" si="37"/>
        <v>10513</v>
      </c>
      <c r="B102" s="3">
        <v>5</v>
      </c>
      <c r="C102" s="3" t="s">
        <v>178</v>
      </c>
      <c r="D102" s="3">
        <v>2</v>
      </c>
      <c r="E102" s="2">
        <v>47044</v>
      </c>
      <c r="F102" s="2">
        <v>0</v>
      </c>
      <c r="G102" s="3">
        <v>13</v>
      </c>
      <c r="I102" s="1" t="s">
        <v>192</v>
      </c>
      <c r="J102" s="3">
        <v>4</v>
      </c>
      <c r="K102" t="s">
        <v>71</v>
      </c>
      <c r="L102" s="5">
        <f t="shared" si="33"/>
        <v>10514</v>
      </c>
      <c r="M102" s="3">
        <f t="shared" si="36"/>
        <v>15600</v>
      </c>
      <c r="O102" s="3">
        <v>22013</v>
      </c>
      <c r="P102" s="2">
        <f t="shared" si="38"/>
        <v>410513</v>
      </c>
    </row>
    <row r="103" customHeight="1" spans="1:16">
      <c r="A103" s="3">
        <f t="shared" si="37"/>
        <v>10514</v>
      </c>
      <c r="B103" s="3">
        <v>5</v>
      </c>
      <c r="C103" s="3" t="s">
        <v>178</v>
      </c>
      <c r="D103" s="3">
        <v>2</v>
      </c>
      <c r="E103" s="2">
        <v>47044</v>
      </c>
      <c r="F103" s="2">
        <v>0</v>
      </c>
      <c r="G103" s="3">
        <v>14</v>
      </c>
      <c r="I103" s="1" t="s">
        <v>193</v>
      </c>
      <c r="J103" s="3">
        <v>4</v>
      </c>
      <c r="K103" t="s">
        <v>74</v>
      </c>
      <c r="L103" s="5">
        <f t="shared" si="33"/>
        <v>10515</v>
      </c>
      <c r="M103" s="3">
        <f t="shared" ref="M103:M105" si="39">G103*2400</f>
        <v>33600</v>
      </c>
      <c r="O103" s="3">
        <v>22014</v>
      </c>
      <c r="P103" s="2">
        <f t="shared" si="38"/>
        <v>410514</v>
      </c>
    </row>
    <row r="104" customHeight="1" spans="1:16">
      <c r="A104" s="3">
        <f t="shared" si="37"/>
        <v>10515</v>
      </c>
      <c r="B104" s="3">
        <v>5</v>
      </c>
      <c r="C104" s="3" t="s">
        <v>178</v>
      </c>
      <c r="D104" s="3">
        <v>2</v>
      </c>
      <c r="E104" s="2">
        <v>47044</v>
      </c>
      <c r="F104" s="2">
        <v>0</v>
      </c>
      <c r="G104" s="3">
        <v>15</v>
      </c>
      <c r="I104" s="1" t="s">
        <v>194</v>
      </c>
      <c r="J104" s="3">
        <v>4</v>
      </c>
      <c r="K104" t="s">
        <v>77</v>
      </c>
      <c r="L104" s="5">
        <f t="shared" si="33"/>
        <v>10516</v>
      </c>
      <c r="M104" s="3">
        <f t="shared" si="39"/>
        <v>36000</v>
      </c>
      <c r="O104" s="3">
        <v>22015</v>
      </c>
      <c r="P104" s="2">
        <f t="shared" si="38"/>
        <v>410515</v>
      </c>
    </row>
    <row r="105" customHeight="1" spans="1:16">
      <c r="A105" s="3">
        <f t="shared" si="37"/>
        <v>10516</v>
      </c>
      <c r="B105" s="3">
        <v>5</v>
      </c>
      <c r="C105" s="3" t="s">
        <v>178</v>
      </c>
      <c r="D105" s="3">
        <v>2</v>
      </c>
      <c r="E105" s="2">
        <v>47044</v>
      </c>
      <c r="F105" s="2">
        <v>0</v>
      </c>
      <c r="G105" s="3">
        <v>16</v>
      </c>
      <c r="I105" s="1" t="s">
        <v>195</v>
      </c>
      <c r="J105" s="3">
        <v>4</v>
      </c>
      <c r="K105" t="s">
        <v>80</v>
      </c>
      <c r="L105" s="5">
        <f t="shared" si="33"/>
        <v>10517</v>
      </c>
      <c r="M105" s="3">
        <f t="shared" si="39"/>
        <v>38400</v>
      </c>
      <c r="O105" s="3">
        <v>22016</v>
      </c>
      <c r="P105" s="2">
        <f t="shared" si="38"/>
        <v>410516</v>
      </c>
    </row>
    <row r="106" customHeight="1" spans="1:16">
      <c r="A106" s="3">
        <f t="shared" si="37"/>
        <v>10517</v>
      </c>
      <c r="B106" s="3">
        <v>5</v>
      </c>
      <c r="C106" s="3" t="s">
        <v>178</v>
      </c>
      <c r="D106" s="3">
        <v>2</v>
      </c>
      <c r="E106" s="2">
        <v>47044</v>
      </c>
      <c r="F106" s="2">
        <v>0</v>
      </c>
      <c r="G106" s="3">
        <v>17</v>
      </c>
      <c r="I106" s="1" t="s">
        <v>196</v>
      </c>
      <c r="J106" s="3">
        <v>4</v>
      </c>
      <c r="K106" t="s">
        <v>83</v>
      </c>
      <c r="L106" s="5">
        <f t="shared" si="33"/>
        <v>10518</v>
      </c>
      <c r="M106" s="3">
        <f t="shared" ref="M106:M108" si="40">G106*4800</f>
        <v>81600</v>
      </c>
      <c r="O106" s="3">
        <v>22017</v>
      </c>
      <c r="P106" s="2">
        <f t="shared" si="38"/>
        <v>410517</v>
      </c>
    </row>
    <row r="107" customHeight="1" spans="1:16">
      <c r="A107" s="3">
        <f t="shared" si="37"/>
        <v>10518</v>
      </c>
      <c r="B107" s="3">
        <v>5</v>
      </c>
      <c r="C107" s="3" t="s">
        <v>178</v>
      </c>
      <c r="D107" s="3">
        <v>2</v>
      </c>
      <c r="E107" s="2">
        <v>47044</v>
      </c>
      <c r="F107" s="2">
        <v>0</v>
      </c>
      <c r="G107" s="3">
        <v>18</v>
      </c>
      <c r="I107" s="1" t="s">
        <v>197</v>
      </c>
      <c r="J107" s="3">
        <v>4</v>
      </c>
      <c r="K107" t="s">
        <v>86</v>
      </c>
      <c r="L107" s="5">
        <f t="shared" si="33"/>
        <v>10519</v>
      </c>
      <c r="M107" s="3">
        <f t="shared" si="40"/>
        <v>86400</v>
      </c>
      <c r="O107" s="3">
        <v>22018</v>
      </c>
      <c r="P107" s="2">
        <f t="shared" si="38"/>
        <v>410518</v>
      </c>
    </row>
    <row r="108" customHeight="1" spans="1:16">
      <c r="A108" s="3">
        <f t="shared" si="37"/>
        <v>10519</v>
      </c>
      <c r="B108" s="3">
        <v>5</v>
      </c>
      <c r="C108" s="3" t="s">
        <v>178</v>
      </c>
      <c r="D108" s="3">
        <v>2</v>
      </c>
      <c r="E108" s="2">
        <v>47044</v>
      </c>
      <c r="F108" s="2">
        <v>0</v>
      </c>
      <c r="G108" s="3">
        <v>19</v>
      </c>
      <c r="I108" s="1" t="s">
        <v>198</v>
      </c>
      <c r="J108" s="3">
        <v>4</v>
      </c>
      <c r="K108" t="s">
        <v>89</v>
      </c>
      <c r="L108" s="5">
        <f t="shared" si="33"/>
        <v>10520</v>
      </c>
      <c r="M108" s="3">
        <f t="shared" si="40"/>
        <v>91200</v>
      </c>
      <c r="O108" s="3">
        <v>22019</v>
      </c>
      <c r="P108" s="2">
        <f t="shared" si="38"/>
        <v>410519</v>
      </c>
    </row>
    <row r="109" customHeight="1" spans="1:16">
      <c r="A109" s="3">
        <f t="shared" si="37"/>
        <v>10520</v>
      </c>
      <c r="B109" s="3">
        <v>5</v>
      </c>
      <c r="C109" s="3" t="s">
        <v>178</v>
      </c>
      <c r="D109" s="3">
        <v>2</v>
      </c>
      <c r="E109" s="2">
        <v>47044</v>
      </c>
      <c r="F109" s="2">
        <v>0</v>
      </c>
      <c r="G109" s="3">
        <v>20</v>
      </c>
      <c r="J109" s="3">
        <v>4</v>
      </c>
      <c r="K109"/>
      <c r="O109" s="3">
        <v>22020</v>
      </c>
      <c r="P109" s="2">
        <f t="shared" si="38"/>
        <v>410520</v>
      </c>
    </row>
    <row r="110" customHeight="1" spans="1:16">
      <c r="A110" s="3">
        <f t="shared" si="37"/>
        <v>10600</v>
      </c>
      <c r="B110" s="3">
        <v>6</v>
      </c>
      <c r="C110" s="3" t="s">
        <v>199</v>
      </c>
      <c r="D110" s="3">
        <v>4</v>
      </c>
      <c r="E110" s="2">
        <v>47045</v>
      </c>
      <c r="F110" s="2">
        <v>0</v>
      </c>
      <c r="G110" s="3">
        <v>0</v>
      </c>
      <c r="I110" s="1" t="s">
        <v>200</v>
      </c>
      <c r="J110" s="3">
        <v>4</v>
      </c>
      <c r="K110" t="s">
        <v>36</v>
      </c>
      <c r="L110" s="5">
        <f t="shared" ref="L110:L129" si="41">A111</f>
        <v>10601</v>
      </c>
      <c r="M110" s="3">
        <v>100</v>
      </c>
      <c r="N110" s="3">
        <v>0</v>
      </c>
      <c r="P110" s="2">
        <v>0</v>
      </c>
    </row>
    <row r="111" customHeight="1" spans="1:16">
      <c r="A111" s="3">
        <f t="shared" ref="A111:A122" si="42">10000+G111+B111*100</f>
        <v>10601</v>
      </c>
      <c r="B111" s="3">
        <v>6</v>
      </c>
      <c r="C111" s="3" t="s">
        <v>199</v>
      </c>
      <c r="D111" s="3">
        <v>4</v>
      </c>
      <c r="E111" s="2">
        <v>47045</v>
      </c>
      <c r="F111" s="2">
        <v>0</v>
      </c>
      <c r="G111" s="3">
        <v>1</v>
      </c>
      <c r="I111" s="1" t="s">
        <v>201</v>
      </c>
      <c r="J111" s="3">
        <v>4</v>
      </c>
      <c r="K111" t="s">
        <v>39</v>
      </c>
      <c r="L111" s="5">
        <f t="shared" si="41"/>
        <v>10602</v>
      </c>
      <c r="M111" s="3">
        <v>300</v>
      </c>
      <c r="O111" s="3">
        <v>11001</v>
      </c>
      <c r="P111" s="2">
        <f t="shared" ref="P111:P121" si="43">400000+A111</f>
        <v>410601</v>
      </c>
    </row>
    <row r="112" customHeight="1" spans="1:16">
      <c r="A112" s="3">
        <f t="shared" si="42"/>
        <v>10602</v>
      </c>
      <c r="B112" s="3">
        <v>6</v>
      </c>
      <c r="C112" s="3" t="s">
        <v>199</v>
      </c>
      <c r="D112" s="3">
        <v>4</v>
      </c>
      <c r="E112" s="2">
        <v>47045</v>
      </c>
      <c r="F112" s="2">
        <v>0</v>
      </c>
      <c r="G112" s="3">
        <v>2</v>
      </c>
      <c r="I112" s="1" t="s">
        <v>202</v>
      </c>
      <c r="J112" s="3">
        <v>4</v>
      </c>
      <c r="K112" t="s">
        <v>39</v>
      </c>
      <c r="L112" s="5">
        <f t="shared" si="41"/>
        <v>10603</v>
      </c>
      <c r="M112" s="3">
        <v>600</v>
      </c>
      <c r="O112" s="3">
        <v>11002</v>
      </c>
      <c r="P112" s="2">
        <f t="shared" si="43"/>
        <v>410602</v>
      </c>
    </row>
    <row r="113" customHeight="1" spans="1:16">
      <c r="A113" s="3">
        <f t="shared" si="42"/>
        <v>10603</v>
      </c>
      <c r="B113" s="3">
        <v>6</v>
      </c>
      <c r="C113" s="3" t="s">
        <v>199</v>
      </c>
      <c r="D113" s="3">
        <v>4</v>
      </c>
      <c r="E113" s="2">
        <v>47045</v>
      </c>
      <c r="F113" s="2">
        <v>0</v>
      </c>
      <c r="G113" s="3">
        <v>3</v>
      </c>
      <c r="I113" s="1" t="s">
        <v>203</v>
      </c>
      <c r="J113" s="3">
        <v>4</v>
      </c>
      <c r="K113" t="s">
        <v>39</v>
      </c>
      <c r="L113" s="5">
        <f t="shared" si="41"/>
        <v>10604</v>
      </c>
      <c r="M113" s="3">
        <v>900</v>
      </c>
      <c r="O113" s="3">
        <v>11003</v>
      </c>
      <c r="P113" s="2">
        <f t="shared" si="43"/>
        <v>410603</v>
      </c>
    </row>
    <row r="114" customHeight="1" spans="1:16">
      <c r="A114" s="3">
        <f t="shared" si="42"/>
        <v>10604</v>
      </c>
      <c r="B114" s="3">
        <v>6</v>
      </c>
      <c r="C114" s="3" t="s">
        <v>199</v>
      </c>
      <c r="D114" s="3">
        <v>4</v>
      </c>
      <c r="E114" s="2">
        <v>47045</v>
      </c>
      <c r="F114" s="2">
        <v>0</v>
      </c>
      <c r="G114" s="3">
        <v>4</v>
      </c>
      <c r="I114" s="1" t="s">
        <v>204</v>
      </c>
      <c r="J114" s="3">
        <v>4</v>
      </c>
      <c r="K114" t="s">
        <v>46</v>
      </c>
      <c r="L114" s="5">
        <f t="shared" si="41"/>
        <v>10605</v>
      </c>
      <c r="M114" s="3">
        <v>1200</v>
      </c>
      <c r="O114" s="3">
        <v>11004</v>
      </c>
      <c r="P114" s="2">
        <f t="shared" si="43"/>
        <v>410604</v>
      </c>
    </row>
    <row r="115" customHeight="1" spans="1:16">
      <c r="A115" s="3">
        <f t="shared" si="42"/>
        <v>10605</v>
      </c>
      <c r="B115" s="3">
        <v>6</v>
      </c>
      <c r="C115" s="3" t="s">
        <v>199</v>
      </c>
      <c r="D115" s="3">
        <v>4</v>
      </c>
      <c r="E115" s="2">
        <v>47045</v>
      </c>
      <c r="F115" s="2">
        <v>0</v>
      </c>
      <c r="G115" s="3">
        <v>5</v>
      </c>
      <c r="I115" s="1" t="s">
        <v>205</v>
      </c>
      <c r="J115" s="3">
        <v>4</v>
      </c>
      <c r="K115" t="s">
        <v>46</v>
      </c>
      <c r="L115" s="5">
        <f t="shared" si="41"/>
        <v>10606</v>
      </c>
      <c r="M115" s="3">
        <v>1500</v>
      </c>
      <c r="O115" s="3">
        <v>11005</v>
      </c>
      <c r="P115" s="2">
        <f t="shared" si="43"/>
        <v>410605</v>
      </c>
    </row>
    <row r="116" customHeight="1" spans="1:16">
      <c r="A116" s="3">
        <f t="shared" si="42"/>
        <v>10606</v>
      </c>
      <c r="B116" s="3">
        <v>6</v>
      </c>
      <c r="C116" s="3" t="s">
        <v>199</v>
      </c>
      <c r="D116" s="3">
        <v>4</v>
      </c>
      <c r="E116" s="2">
        <v>47045</v>
      </c>
      <c r="F116" s="2">
        <v>0</v>
      </c>
      <c r="G116" s="3">
        <v>6</v>
      </c>
      <c r="I116" s="1" t="s">
        <v>206</v>
      </c>
      <c r="J116" s="3">
        <v>4</v>
      </c>
      <c r="K116" t="s">
        <v>51</v>
      </c>
      <c r="L116" s="5">
        <f t="shared" si="41"/>
        <v>10607</v>
      </c>
      <c r="M116" s="3">
        <f t="shared" ref="M116:M119" si="44">G116*600</f>
        <v>3600</v>
      </c>
      <c r="O116" s="3">
        <v>11006</v>
      </c>
      <c r="P116" s="2">
        <f t="shared" si="43"/>
        <v>410606</v>
      </c>
    </row>
    <row r="117" customHeight="1" spans="1:16">
      <c r="A117" s="3">
        <f t="shared" si="42"/>
        <v>10607</v>
      </c>
      <c r="B117" s="3">
        <v>6</v>
      </c>
      <c r="C117" s="3" t="s">
        <v>199</v>
      </c>
      <c r="D117" s="3">
        <v>4</v>
      </c>
      <c r="E117" s="2">
        <v>47045</v>
      </c>
      <c r="F117" s="2">
        <v>0</v>
      </c>
      <c r="G117" s="3">
        <v>7</v>
      </c>
      <c r="I117" s="1" t="s">
        <v>207</v>
      </c>
      <c r="J117" s="3">
        <v>4</v>
      </c>
      <c r="K117" t="s">
        <v>51</v>
      </c>
      <c r="L117" s="5">
        <f t="shared" si="41"/>
        <v>10608</v>
      </c>
      <c r="M117" s="3">
        <f t="shared" si="44"/>
        <v>4200</v>
      </c>
      <c r="O117" s="3">
        <v>11007</v>
      </c>
      <c r="P117" s="2">
        <f t="shared" si="43"/>
        <v>410607</v>
      </c>
    </row>
    <row r="118" customHeight="1" spans="1:16">
      <c r="A118" s="3">
        <f t="shared" si="42"/>
        <v>10608</v>
      </c>
      <c r="B118" s="3">
        <v>6</v>
      </c>
      <c r="C118" s="3" t="s">
        <v>199</v>
      </c>
      <c r="D118" s="3">
        <v>4</v>
      </c>
      <c r="E118" s="2">
        <v>47045</v>
      </c>
      <c r="F118" s="2">
        <v>0</v>
      </c>
      <c r="G118" s="3">
        <v>8</v>
      </c>
      <c r="I118" s="1" t="s">
        <v>208</v>
      </c>
      <c r="J118" s="3">
        <v>4</v>
      </c>
      <c r="K118" t="s">
        <v>56</v>
      </c>
      <c r="L118" s="5">
        <f t="shared" si="41"/>
        <v>10609</v>
      </c>
      <c r="M118" s="3">
        <f t="shared" si="44"/>
        <v>4800</v>
      </c>
      <c r="O118" s="3">
        <v>11008</v>
      </c>
      <c r="P118" s="2">
        <f t="shared" si="43"/>
        <v>410608</v>
      </c>
    </row>
    <row r="119" customHeight="1" spans="1:16">
      <c r="A119" s="3">
        <f t="shared" si="42"/>
        <v>10609</v>
      </c>
      <c r="B119" s="3">
        <v>6</v>
      </c>
      <c r="C119" s="3" t="s">
        <v>199</v>
      </c>
      <c r="D119" s="3">
        <v>4</v>
      </c>
      <c r="E119" s="2">
        <v>47045</v>
      </c>
      <c r="F119" s="2">
        <v>0</v>
      </c>
      <c r="G119" s="3">
        <v>9</v>
      </c>
      <c r="I119" s="1" t="s">
        <v>209</v>
      </c>
      <c r="J119" s="3">
        <v>4</v>
      </c>
      <c r="K119" t="s">
        <v>59</v>
      </c>
      <c r="L119" s="5">
        <f t="shared" si="41"/>
        <v>10610</v>
      </c>
      <c r="M119" s="3">
        <f t="shared" si="44"/>
        <v>5400</v>
      </c>
      <c r="O119" s="3">
        <v>11009</v>
      </c>
      <c r="P119" s="2">
        <f t="shared" si="43"/>
        <v>410609</v>
      </c>
    </row>
    <row r="120" customHeight="1" spans="1:16">
      <c r="A120" s="3">
        <f t="shared" si="42"/>
        <v>10610</v>
      </c>
      <c r="B120" s="3">
        <v>6</v>
      </c>
      <c r="C120" s="3" t="s">
        <v>199</v>
      </c>
      <c r="D120" s="3">
        <v>4</v>
      </c>
      <c r="E120" s="2">
        <v>47045</v>
      </c>
      <c r="F120" s="2">
        <v>0</v>
      </c>
      <c r="G120" s="3">
        <v>10</v>
      </c>
      <c r="I120" s="1" t="s">
        <v>210</v>
      </c>
      <c r="J120" s="3">
        <v>4</v>
      </c>
      <c r="K120" t="s">
        <v>62</v>
      </c>
      <c r="L120" s="5">
        <f t="shared" si="41"/>
        <v>10611</v>
      </c>
      <c r="M120" s="3">
        <f t="shared" ref="M120:M123" si="45">G120*1200</f>
        <v>12000</v>
      </c>
      <c r="O120" s="3">
        <v>11010</v>
      </c>
      <c r="P120" s="2">
        <f t="shared" si="43"/>
        <v>410610</v>
      </c>
    </row>
    <row r="121" customHeight="1" spans="1:16">
      <c r="A121" s="3">
        <f t="shared" ref="A121:A132" si="46">10000+G121+B121*100</f>
        <v>10611</v>
      </c>
      <c r="B121" s="3">
        <v>6</v>
      </c>
      <c r="C121" s="3" t="s">
        <v>199</v>
      </c>
      <c r="D121" s="3">
        <v>4</v>
      </c>
      <c r="E121" s="2">
        <v>47045</v>
      </c>
      <c r="F121" s="2">
        <v>0</v>
      </c>
      <c r="G121" s="3">
        <v>11</v>
      </c>
      <c r="I121" s="1" t="s">
        <v>211</v>
      </c>
      <c r="J121" s="3">
        <v>4</v>
      </c>
      <c r="K121" t="s">
        <v>65</v>
      </c>
      <c r="L121" s="5">
        <f t="shared" si="41"/>
        <v>10612</v>
      </c>
      <c r="M121" s="3">
        <f t="shared" si="45"/>
        <v>13200</v>
      </c>
      <c r="O121" s="3">
        <v>11011</v>
      </c>
      <c r="P121" s="2">
        <f t="shared" ref="P121:P130" si="47">400000+A121</f>
        <v>410611</v>
      </c>
    </row>
    <row r="122" customHeight="1" spans="1:16">
      <c r="A122" s="3">
        <f t="shared" si="46"/>
        <v>10612</v>
      </c>
      <c r="B122" s="3">
        <v>6</v>
      </c>
      <c r="C122" s="3" t="s">
        <v>199</v>
      </c>
      <c r="D122" s="3">
        <v>4</v>
      </c>
      <c r="E122" s="2">
        <v>47045</v>
      </c>
      <c r="F122" s="2">
        <v>0</v>
      </c>
      <c r="G122" s="3">
        <v>12</v>
      </c>
      <c r="I122" s="1" t="s">
        <v>212</v>
      </c>
      <c r="J122" s="3">
        <v>4</v>
      </c>
      <c r="K122" t="s">
        <v>68</v>
      </c>
      <c r="L122" s="5">
        <f t="shared" si="41"/>
        <v>10613</v>
      </c>
      <c r="M122" s="3">
        <f t="shared" si="45"/>
        <v>14400</v>
      </c>
      <c r="O122" s="3">
        <v>11012</v>
      </c>
      <c r="P122" s="2">
        <f t="shared" si="47"/>
        <v>410612</v>
      </c>
    </row>
    <row r="123" customHeight="1" spans="1:16">
      <c r="A123" s="3">
        <f t="shared" si="46"/>
        <v>10613</v>
      </c>
      <c r="B123" s="3">
        <v>6</v>
      </c>
      <c r="C123" s="3" t="s">
        <v>199</v>
      </c>
      <c r="D123" s="3">
        <v>4</v>
      </c>
      <c r="E123" s="2">
        <v>47045</v>
      </c>
      <c r="F123" s="2">
        <v>0</v>
      </c>
      <c r="G123" s="3">
        <v>13</v>
      </c>
      <c r="I123" s="1" t="s">
        <v>213</v>
      </c>
      <c r="J123" s="3">
        <v>4</v>
      </c>
      <c r="K123" t="s">
        <v>71</v>
      </c>
      <c r="L123" s="5">
        <f t="shared" si="41"/>
        <v>10614</v>
      </c>
      <c r="M123" s="3">
        <f t="shared" si="45"/>
        <v>15600</v>
      </c>
      <c r="O123" s="3">
        <v>11013</v>
      </c>
      <c r="P123" s="2">
        <f t="shared" si="47"/>
        <v>410613</v>
      </c>
    </row>
    <row r="124" customHeight="1" spans="1:16">
      <c r="A124" s="3">
        <f t="shared" si="46"/>
        <v>10614</v>
      </c>
      <c r="B124" s="3">
        <v>6</v>
      </c>
      <c r="C124" s="3" t="s">
        <v>199</v>
      </c>
      <c r="D124" s="3">
        <v>4</v>
      </c>
      <c r="E124" s="2">
        <v>47045</v>
      </c>
      <c r="F124" s="2">
        <v>0</v>
      </c>
      <c r="G124" s="3">
        <v>14</v>
      </c>
      <c r="I124" s="1" t="s">
        <v>214</v>
      </c>
      <c r="J124" s="3">
        <v>4</v>
      </c>
      <c r="K124" t="s">
        <v>74</v>
      </c>
      <c r="L124" s="5">
        <f t="shared" si="41"/>
        <v>10615</v>
      </c>
      <c r="M124" s="3">
        <f t="shared" ref="M124:M126" si="48">G124*2400</f>
        <v>33600</v>
      </c>
      <c r="O124" s="3">
        <v>11014</v>
      </c>
      <c r="P124" s="2">
        <f t="shared" si="47"/>
        <v>410614</v>
      </c>
    </row>
    <row r="125" customHeight="1" spans="1:16">
      <c r="A125" s="3">
        <f t="shared" si="46"/>
        <v>10615</v>
      </c>
      <c r="B125" s="3">
        <v>6</v>
      </c>
      <c r="C125" s="3" t="s">
        <v>199</v>
      </c>
      <c r="D125" s="3">
        <v>4</v>
      </c>
      <c r="E125" s="2">
        <v>47045</v>
      </c>
      <c r="F125" s="2">
        <v>0</v>
      </c>
      <c r="G125" s="3">
        <v>15</v>
      </c>
      <c r="I125" s="1" t="s">
        <v>215</v>
      </c>
      <c r="J125" s="3">
        <v>4</v>
      </c>
      <c r="K125" t="s">
        <v>77</v>
      </c>
      <c r="L125" s="5">
        <f t="shared" si="41"/>
        <v>10616</v>
      </c>
      <c r="M125" s="3">
        <f t="shared" si="48"/>
        <v>36000</v>
      </c>
      <c r="O125" s="3">
        <v>11015</v>
      </c>
      <c r="P125" s="2">
        <f t="shared" si="47"/>
        <v>410615</v>
      </c>
    </row>
    <row r="126" customHeight="1" spans="1:16">
      <c r="A126" s="3">
        <f t="shared" si="46"/>
        <v>10616</v>
      </c>
      <c r="B126" s="3">
        <v>6</v>
      </c>
      <c r="C126" s="3" t="s">
        <v>199</v>
      </c>
      <c r="D126" s="3">
        <v>4</v>
      </c>
      <c r="E126" s="2">
        <v>47045</v>
      </c>
      <c r="F126" s="2">
        <v>0</v>
      </c>
      <c r="G126" s="3">
        <v>16</v>
      </c>
      <c r="I126" s="1" t="s">
        <v>216</v>
      </c>
      <c r="J126" s="3">
        <v>4</v>
      </c>
      <c r="K126" t="s">
        <v>80</v>
      </c>
      <c r="L126" s="5">
        <f t="shared" si="41"/>
        <v>10617</v>
      </c>
      <c r="M126" s="3">
        <f t="shared" si="48"/>
        <v>38400</v>
      </c>
      <c r="O126" s="3">
        <v>11016</v>
      </c>
      <c r="P126" s="2">
        <f t="shared" si="47"/>
        <v>410616</v>
      </c>
    </row>
    <row r="127" customHeight="1" spans="1:16">
      <c r="A127" s="3">
        <f t="shared" si="46"/>
        <v>10617</v>
      </c>
      <c r="B127" s="3">
        <v>6</v>
      </c>
      <c r="C127" s="3" t="s">
        <v>199</v>
      </c>
      <c r="D127" s="3">
        <v>4</v>
      </c>
      <c r="E127" s="2">
        <v>47045</v>
      </c>
      <c r="F127" s="2">
        <v>0</v>
      </c>
      <c r="G127" s="3">
        <v>17</v>
      </c>
      <c r="I127" s="1" t="s">
        <v>217</v>
      </c>
      <c r="J127" s="3">
        <v>4</v>
      </c>
      <c r="K127" t="s">
        <v>83</v>
      </c>
      <c r="L127" s="5">
        <f t="shared" si="41"/>
        <v>10618</v>
      </c>
      <c r="M127" s="3">
        <f t="shared" ref="M127:M129" si="49">G127*4800</f>
        <v>81600</v>
      </c>
      <c r="O127" s="3">
        <v>11017</v>
      </c>
      <c r="P127" s="2">
        <f t="shared" si="47"/>
        <v>410617</v>
      </c>
    </row>
    <row r="128" customHeight="1" spans="1:16">
      <c r="A128" s="3">
        <f t="shared" si="46"/>
        <v>10618</v>
      </c>
      <c r="B128" s="3">
        <v>6</v>
      </c>
      <c r="C128" s="3" t="s">
        <v>199</v>
      </c>
      <c r="D128" s="3">
        <v>4</v>
      </c>
      <c r="E128" s="2">
        <v>47045</v>
      </c>
      <c r="F128" s="2">
        <v>0</v>
      </c>
      <c r="G128" s="3">
        <v>18</v>
      </c>
      <c r="I128" s="1" t="s">
        <v>218</v>
      </c>
      <c r="J128" s="3">
        <v>4</v>
      </c>
      <c r="K128" t="s">
        <v>86</v>
      </c>
      <c r="L128" s="5">
        <f t="shared" si="41"/>
        <v>10619</v>
      </c>
      <c r="M128" s="3">
        <f t="shared" si="49"/>
        <v>86400</v>
      </c>
      <c r="O128" s="3">
        <v>11018</v>
      </c>
      <c r="P128" s="2">
        <f t="shared" si="47"/>
        <v>410618</v>
      </c>
    </row>
    <row r="129" customHeight="1" spans="1:16">
      <c r="A129" s="3">
        <f t="shared" si="46"/>
        <v>10619</v>
      </c>
      <c r="B129" s="3">
        <v>6</v>
      </c>
      <c r="C129" s="3" t="s">
        <v>199</v>
      </c>
      <c r="D129" s="3">
        <v>4</v>
      </c>
      <c r="E129" s="2">
        <v>47045</v>
      </c>
      <c r="F129" s="2">
        <v>0</v>
      </c>
      <c r="G129" s="3">
        <v>19</v>
      </c>
      <c r="I129" s="1" t="s">
        <v>219</v>
      </c>
      <c r="J129" s="3">
        <v>4</v>
      </c>
      <c r="K129" t="s">
        <v>89</v>
      </c>
      <c r="L129" s="5">
        <f t="shared" si="41"/>
        <v>10620</v>
      </c>
      <c r="M129" s="3">
        <f t="shared" si="49"/>
        <v>91200</v>
      </c>
      <c r="O129" s="3">
        <v>11019</v>
      </c>
      <c r="P129" s="2">
        <f t="shared" si="47"/>
        <v>410619</v>
      </c>
    </row>
    <row r="130" customHeight="1" spans="1:16">
      <c r="A130" s="3">
        <f t="shared" si="46"/>
        <v>10620</v>
      </c>
      <c r="B130" s="3">
        <v>6</v>
      </c>
      <c r="C130" s="3" t="s">
        <v>199</v>
      </c>
      <c r="D130" s="3">
        <v>4</v>
      </c>
      <c r="E130" s="2">
        <v>47045</v>
      </c>
      <c r="F130" s="2">
        <v>0</v>
      </c>
      <c r="G130" s="3">
        <v>20</v>
      </c>
      <c r="J130" s="3">
        <v>4</v>
      </c>
      <c r="K130"/>
      <c r="O130" s="3">
        <v>11020</v>
      </c>
      <c r="P130" s="2">
        <f t="shared" si="47"/>
        <v>410620</v>
      </c>
    </row>
    <row r="131" customHeight="1" spans="1:16">
      <c r="A131" s="3">
        <f t="shared" si="46"/>
        <v>10700</v>
      </c>
      <c r="B131" s="3">
        <v>7</v>
      </c>
      <c r="C131" s="3" t="s">
        <v>220</v>
      </c>
      <c r="D131" s="3">
        <v>4</v>
      </c>
      <c r="E131" s="2">
        <f>300000+A131</f>
        <v>310700</v>
      </c>
      <c r="F131" s="2">
        <v>0</v>
      </c>
      <c r="G131" s="3">
        <v>0</v>
      </c>
      <c r="J131" s="3">
        <v>4</v>
      </c>
      <c r="L131" s="5">
        <f>A132</f>
        <v>10701</v>
      </c>
      <c r="M131" s="3">
        <v>100</v>
      </c>
      <c r="N131" s="3">
        <v>0</v>
      </c>
      <c r="P131" s="2">
        <v>0</v>
      </c>
    </row>
    <row r="132" customHeight="1" spans="1:16">
      <c r="A132" s="3">
        <f t="shared" si="46"/>
        <v>10701</v>
      </c>
      <c r="B132" s="3">
        <v>7</v>
      </c>
      <c r="C132" s="3" t="s">
        <v>220</v>
      </c>
      <c r="D132" s="3">
        <v>4</v>
      </c>
      <c r="E132" s="2">
        <f>300000+A132</f>
        <v>310701</v>
      </c>
      <c r="F132" s="2">
        <v>0</v>
      </c>
      <c r="G132" s="3">
        <v>1</v>
      </c>
      <c r="J132" s="3">
        <v>4</v>
      </c>
      <c r="M132" s="3">
        <v>0</v>
      </c>
      <c r="P132" s="2">
        <f>400000+A132</f>
        <v>410701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"/>
  <sheetViews>
    <sheetView workbookViewId="0">
      <selection activeCell="L113" sqref="L113"/>
    </sheetView>
  </sheetViews>
  <sheetFormatPr defaultColWidth="9" defaultRowHeight="16.5"/>
  <cols>
    <col min="1" max="1" width="34" style="1" customWidth="1"/>
    <col min="2" max="2" width="11.25" customWidth="1"/>
    <col min="3" max="3" width="12.375" customWidth="1"/>
    <col min="9" max="9" width="12.625"/>
    <col min="12" max="12" width="12.375" customWidth="1"/>
  </cols>
  <sheetData>
    <row r="1" spans="1:16">
      <c r="A1" s="1" t="s">
        <v>8</v>
      </c>
    </row>
    <row r="2" ht="14.25" spans="1:16">
      <c r="A2" s="2" t="s">
        <v>221</v>
      </c>
    </row>
    <row r="3" spans="1:16">
      <c r="A3" s="1" t="s">
        <v>26</v>
      </c>
    </row>
    <row r="5" spans="1:16">
      <c r="A5" s="1" t="s">
        <v>35</v>
      </c>
      <c r="B5" t="str" cm="1">
        <f t="array" ref="B5">_xlfn.TEXTSPLIT(A5,";")</f>
        <v>1023001_4</v>
      </c>
      <c r="D5" t="str" cm="1">
        <f t="array" ref="D5:E5">_xlfn.TEXTSPLIT(B5,"_")</f>
        <v>1023001</v>
      </c>
      <c r="E5" t="str">
        <v>4</v>
      </c>
      <c r="F5" t="str" cm="1">
        <f t="array" ref="F5">IFERROR(_xlfn.TEXTSPLIT(C5,"_",,TRUE),"")</f>
        <v/>
      </c>
      <c r="H5">
        <f>_xlfn.XLOOKUP(VALUE(D5),$O$5:$O$29,$P$5:$P$29)*E5</f>
        <v>80</v>
      </c>
      <c r="I5">
        <f>H5/K5</f>
        <v>4</v>
      </c>
      <c r="J5">
        <f>VALUE(D5)</f>
        <v>1023001</v>
      </c>
      <c r="K5">
        <f>_xlfn.XLOOKUP(VALUE(J5),$O$5:$O$29,$P$5:$P$29)</f>
        <v>20</v>
      </c>
      <c r="L5" t="str">
        <f>_xlfn.TEXTJOIN("_",TRUE,J5,I5)</f>
        <v>1023001_4</v>
      </c>
      <c r="M5" t="str">
        <f>_xlfn.TEXTJOIN("|",TRUE,L5,C5)</f>
        <v>1023001_4</v>
      </c>
      <c r="O5">
        <v>1023001</v>
      </c>
      <c r="P5">
        <v>20</v>
      </c>
    </row>
    <row r="6" spans="1:16">
      <c r="A6" s="1" t="s">
        <v>38</v>
      </c>
      <c r="B6" t="str" cm="1">
        <f t="array" ref="B6">_xlfn.TEXTSPLIT(A6,";")</f>
        <v>1023001_8</v>
      </c>
      <c r="D6" t="str" cm="1">
        <f t="array" ref="D6:E6">_xlfn.TEXTSPLIT(B6,"_")</f>
        <v>1023001</v>
      </c>
      <c r="E6" t="str">
        <v>8</v>
      </c>
      <c r="F6" t="str" cm="1">
        <f t="array" ref="F6">IFERROR(_xlfn.TEXTSPLIT(C6,"_",,TRUE),"")</f>
        <v/>
      </c>
      <c r="H6">
        <f t="shared" ref="H6:H24" si="0">_xlfn.XLOOKUP(VALUE(D6),$O$5:$O$29,$P$5:$P$29)*E6</f>
        <v>160</v>
      </c>
      <c r="I6">
        <f>H6/K5</f>
        <v>8</v>
      </c>
      <c r="J6">
        <f>J5</f>
        <v>1023001</v>
      </c>
      <c r="L6" t="str">
        <f t="shared" ref="L6:L24" si="1">_xlfn.TEXTJOIN("_",TRUE,J6,I6)</f>
        <v>1023001_8</v>
      </c>
      <c r="M6" t="str">
        <f t="shared" ref="M6:M24" si="2">_xlfn.TEXTJOIN("|",TRUE,L6,C6)</f>
        <v>1023001_8</v>
      </c>
      <c r="O6">
        <v>1023002</v>
      </c>
      <c r="P6">
        <v>30</v>
      </c>
    </row>
    <row r="7" spans="1:16">
      <c r="A7" s="1" t="s">
        <v>41</v>
      </c>
      <c r="B7" t="str" cm="1">
        <f t="array" ref="B7">_xlfn.TEXTSPLIT(A7,";")</f>
        <v>1023001_16</v>
      </c>
      <c r="D7" t="str" cm="1">
        <f t="array" ref="D7:E7">_xlfn.TEXTSPLIT(B7,"_")</f>
        <v>1023001</v>
      </c>
      <c r="E7" t="str">
        <v>16</v>
      </c>
      <c r="F7" t="str" cm="1">
        <f t="array" ref="F7">IFERROR(_xlfn.TEXTSPLIT(C7,"_",,TRUE),"")</f>
        <v/>
      </c>
      <c r="H7">
        <f t="shared" si="0"/>
        <v>320</v>
      </c>
      <c r="I7">
        <f>H7/K5</f>
        <v>16</v>
      </c>
      <c r="J7">
        <f t="shared" ref="J7:J24" si="3">J6</f>
        <v>1023001</v>
      </c>
      <c r="L7" t="str">
        <f t="shared" si="1"/>
        <v>1023001_16</v>
      </c>
      <c r="M7" t="str">
        <f t="shared" si="2"/>
        <v>1023001_16</v>
      </c>
      <c r="O7">
        <v>1023003</v>
      </c>
      <c r="P7">
        <v>40</v>
      </c>
    </row>
    <row r="8" spans="1:16">
      <c r="A8" s="1" t="s">
        <v>43</v>
      </c>
      <c r="B8" t="str" cm="1">
        <f t="array" ref="B8">_xlfn.TEXTSPLIT(A8,";")</f>
        <v>1023001_24</v>
      </c>
      <c r="D8" t="str" cm="1">
        <f t="array" ref="D8:E8">_xlfn.TEXTSPLIT(B8,"_")</f>
        <v>1023001</v>
      </c>
      <c r="E8" t="str">
        <v>24</v>
      </c>
      <c r="F8" t="str" cm="1">
        <f t="array" ref="F8">IFERROR(_xlfn.TEXTSPLIT(C8,"_",,TRUE),"")</f>
        <v/>
      </c>
      <c r="H8">
        <f t="shared" si="0"/>
        <v>480</v>
      </c>
      <c r="I8">
        <f>H8/K5</f>
        <v>24</v>
      </c>
      <c r="J8">
        <f t="shared" si="3"/>
        <v>1023001</v>
      </c>
      <c r="L8" t="str">
        <f t="shared" si="1"/>
        <v>1023001_24</v>
      </c>
      <c r="M8" t="str">
        <f t="shared" si="2"/>
        <v>1023001_24</v>
      </c>
      <c r="O8">
        <v>1023004</v>
      </c>
      <c r="P8">
        <v>60</v>
      </c>
    </row>
    <row r="9" spans="1:16">
      <c r="A9" s="1" t="s">
        <v>45</v>
      </c>
      <c r="B9" t="str" cm="1">
        <f t="array" ref="B9">_xlfn.TEXTSPLIT(A9,";")</f>
        <v>1023001_32</v>
      </c>
      <c r="D9" t="str" cm="1">
        <f t="array" ref="D9:E9">_xlfn.TEXTSPLIT(B9,"_")</f>
        <v>1023001</v>
      </c>
      <c r="E9" t="str">
        <v>32</v>
      </c>
      <c r="F9" t="str" cm="1">
        <f t="array" ref="F9">IFERROR(_xlfn.TEXTSPLIT(C9,"_",,TRUE),"")</f>
        <v/>
      </c>
      <c r="H9">
        <f t="shared" si="0"/>
        <v>640</v>
      </c>
      <c r="I9">
        <f>H9/K5</f>
        <v>32</v>
      </c>
      <c r="J9">
        <f t="shared" si="3"/>
        <v>1023001</v>
      </c>
      <c r="L9" t="str">
        <f t="shared" si="1"/>
        <v>1023001_32</v>
      </c>
      <c r="M9" t="str">
        <f t="shared" si="2"/>
        <v>1023001_32</v>
      </c>
      <c r="O9">
        <v>1023005</v>
      </c>
      <c r="P9">
        <v>120</v>
      </c>
    </row>
    <row r="10" spans="1:16">
      <c r="A10" s="1" t="s">
        <v>222</v>
      </c>
      <c r="B10" t="str" cm="1">
        <f t="array" ref="B10:C10">_xlfn.TEXTSPLIT(A10,";")</f>
        <v>1023001_40</v>
      </c>
      <c r="C10" t="str">
        <v>1980000_10</v>
      </c>
      <c r="D10" t="str" cm="1">
        <f t="array" ref="D10:E10">_xlfn.TEXTSPLIT(B10,"_")</f>
        <v>1023001</v>
      </c>
      <c r="E10" t="str">
        <v>40</v>
      </c>
      <c r="F10" t="str" cm="1">
        <f t="array" ref="F10:G10">IFERROR(_xlfn.TEXTSPLIT(C10,"_",,TRUE),"")</f>
        <v>1980000</v>
      </c>
      <c r="G10" t="str">
        <v>10</v>
      </c>
      <c r="H10">
        <f t="shared" si="0"/>
        <v>800</v>
      </c>
      <c r="I10">
        <f>H10/K5</f>
        <v>40</v>
      </c>
      <c r="J10">
        <f t="shared" si="3"/>
        <v>1023001</v>
      </c>
      <c r="L10" t="str">
        <f t="shared" si="1"/>
        <v>1023001_40</v>
      </c>
      <c r="M10" t="str">
        <f t="shared" si="2"/>
        <v>1023001_40|1980000_10</v>
      </c>
      <c r="O10">
        <v>1023101</v>
      </c>
      <c r="P10">
        <v>60</v>
      </c>
    </row>
    <row r="11" spans="1:16">
      <c r="A11" s="1" t="s">
        <v>223</v>
      </c>
      <c r="B11" t="str" cm="1">
        <f t="array" ref="B11">_xlfn.TEXTSPLIT(A11,";")</f>
        <v>1023002_8</v>
      </c>
      <c r="D11" t="str" cm="1">
        <f t="array" ref="D11:E11">_xlfn.TEXTSPLIT(B11,"_")</f>
        <v>1023002</v>
      </c>
      <c r="E11" t="str">
        <v>8</v>
      </c>
      <c r="F11" t="str" cm="1">
        <f t="array" ref="F11">IFERROR(_xlfn.TEXTSPLIT(C11,"_",,TRUE),"")</f>
        <v/>
      </c>
      <c r="H11">
        <f t="shared" si="0"/>
        <v>240</v>
      </c>
      <c r="I11">
        <f>H11/K5</f>
        <v>12</v>
      </c>
      <c r="J11">
        <f t="shared" si="3"/>
        <v>1023001</v>
      </c>
      <c r="L11" t="str">
        <f t="shared" si="1"/>
        <v>1023001_12</v>
      </c>
      <c r="M11" t="str">
        <f t="shared" si="2"/>
        <v>1023001_12</v>
      </c>
      <c r="O11">
        <v>1023102</v>
      </c>
      <c r="P11">
        <v>90</v>
      </c>
    </row>
    <row r="12" spans="1:16">
      <c r="A12" s="1" t="s">
        <v>224</v>
      </c>
      <c r="B12" t="str" cm="1">
        <f t="array" ref="B12">_xlfn.TEXTSPLIT(A12,";")</f>
        <v>1023002_16</v>
      </c>
      <c r="D12" t="str" cm="1">
        <f t="array" ref="D12:E12">_xlfn.TEXTSPLIT(B12,"_")</f>
        <v>1023002</v>
      </c>
      <c r="E12" t="str">
        <v>16</v>
      </c>
      <c r="F12" t="str" cm="1">
        <f t="array" ref="F12">IFERROR(_xlfn.TEXTSPLIT(C12,"_",,TRUE),"")</f>
        <v/>
      </c>
      <c r="H12">
        <f t="shared" si="0"/>
        <v>480</v>
      </c>
      <c r="I12">
        <f>H12/K5</f>
        <v>24</v>
      </c>
      <c r="J12">
        <f t="shared" si="3"/>
        <v>1023001</v>
      </c>
      <c r="L12" t="str">
        <f t="shared" si="1"/>
        <v>1023001_24</v>
      </c>
      <c r="M12" t="str">
        <f t="shared" si="2"/>
        <v>1023001_24</v>
      </c>
      <c r="O12">
        <v>1023103</v>
      </c>
      <c r="P12">
        <v>120</v>
      </c>
    </row>
    <row r="13" spans="1:16">
      <c r="A13" s="1" t="s">
        <v>225</v>
      </c>
      <c r="B13" t="str" cm="1">
        <f t="array" ref="B13">_xlfn.TEXTSPLIT(A13,";")</f>
        <v>1023002_32</v>
      </c>
      <c r="D13" t="str" cm="1">
        <f t="array" ref="D13:E13">_xlfn.TEXTSPLIT(B13,"_")</f>
        <v>1023002</v>
      </c>
      <c r="E13" t="str">
        <v>32</v>
      </c>
      <c r="F13" t="str" cm="1">
        <f t="array" ref="F13">IFERROR(_xlfn.TEXTSPLIT(C13,"_",,TRUE),"")</f>
        <v/>
      </c>
      <c r="H13">
        <f t="shared" si="0"/>
        <v>960</v>
      </c>
      <c r="I13">
        <f>H13/K5</f>
        <v>48</v>
      </c>
      <c r="J13">
        <f t="shared" si="3"/>
        <v>1023001</v>
      </c>
      <c r="L13" t="str">
        <f t="shared" si="1"/>
        <v>1023001_48</v>
      </c>
      <c r="M13" t="str">
        <f t="shared" si="2"/>
        <v>1023001_48</v>
      </c>
      <c r="O13">
        <v>1023104</v>
      </c>
      <c r="P13">
        <v>180</v>
      </c>
    </row>
    <row r="14" spans="1:16">
      <c r="A14" s="1" t="s">
        <v>226</v>
      </c>
      <c r="B14" t="str" cm="1">
        <f t="array" ref="B14:C14">_xlfn.TEXTSPLIT(A14,";")</f>
        <v>1023002_48</v>
      </c>
      <c r="C14" t="str">
        <v>1980000_100</v>
      </c>
      <c r="D14" t="str" cm="1">
        <f t="array" ref="D14:E14">_xlfn.TEXTSPLIT(B14,"_")</f>
        <v>1023002</v>
      </c>
      <c r="E14" t="str">
        <v>48</v>
      </c>
      <c r="F14" t="str" cm="1">
        <f t="array" ref="F14:G14">IFERROR(_xlfn.TEXTSPLIT(C14,"_",,TRUE),"")</f>
        <v>1980000</v>
      </c>
      <c r="G14" t="str">
        <v>100</v>
      </c>
      <c r="H14">
        <f t="shared" si="0"/>
        <v>1440</v>
      </c>
      <c r="I14">
        <f>H14/K5</f>
        <v>72</v>
      </c>
      <c r="J14">
        <f t="shared" si="3"/>
        <v>1023001</v>
      </c>
      <c r="L14" t="str">
        <f t="shared" si="1"/>
        <v>1023001_72</v>
      </c>
      <c r="M14" t="str">
        <f t="shared" si="2"/>
        <v>1023001_72|1980000_100</v>
      </c>
      <c r="O14">
        <v>1023105</v>
      </c>
      <c r="P14">
        <v>360</v>
      </c>
    </row>
    <row r="15" spans="1:16">
      <c r="A15" s="1" t="s">
        <v>227</v>
      </c>
      <c r="B15" t="str" cm="1">
        <f t="array" ref="B15">_xlfn.TEXTSPLIT(A15,";")</f>
        <v>1023003_8</v>
      </c>
      <c r="D15" t="str" cm="1">
        <f t="array" ref="D15:E15">_xlfn.TEXTSPLIT(B15,"_")</f>
        <v>1023003</v>
      </c>
      <c r="E15" t="str">
        <v>8</v>
      </c>
      <c r="F15" t="str" cm="1">
        <f t="array" ref="F15">IFERROR(_xlfn.TEXTSPLIT(C15,"_",,TRUE),"")</f>
        <v/>
      </c>
      <c r="H15">
        <f t="shared" si="0"/>
        <v>320</v>
      </c>
      <c r="I15">
        <f>H15/K5</f>
        <v>16</v>
      </c>
      <c r="J15">
        <f t="shared" si="3"/>
        <v>1023001</v>
      </c>
      <c r="L15" t="str">
        <f t="shared" si="1"/>
        <v>1023001_16</v>
      </c>
      <c r="M15" t="str">
        <f t="shared" si="2"/>
        <v>1023001_16</v>
      </c>
      <c r="O15">
        <v>1023201</v>
      </c>
      <c r="P15">
        <v>240</v>
      </c>
    </row>
    <row r="16" spans="1:16">
      <c r="A16" s="1" t="s">
        <v>228</v>
      </c>
      <c r="B16" t="str" cm="1">
        <f t="array" ref="B16">_xlfn.TEXTSPLIT(A16,";")</f>
        <v>1023003_16</v>
      </c>
      <c r="D16" t="str" cm="1">
        <f t="array" ref="D16:E16">_xlfn.TEXTSPLIT(B16,"_")</f>
        <v>1023003</v>
      </c>
      <c r="E16" t="str">
        <v>16</v>
      </c>
      <c r="F16" t="str" cm="1">
        <f t="array" ref="F16">IFERROR(_xlfn.TEXTSPLIT(C16,"_",,TRUE),"")</f>
        <v/>
      </c>
      <c r="H16">
        <f t="shared" si="0"/>
        <v>640</v>
      </c>
      <c r="I16">
        <f>H16/K5</f>
        <v>32</v>
      </c>
      <c r="J16">
        <f t="shared" si="3"/>
        <v>1023001</v>
      </c>
      <c r="L16" t="str">
        <f t="shared" si="1"/>
        <v>1023001_32</v>
      </c>
      <c r="M16" t="str">
        <f t="shared" si="2"/>
        <v>1023001_32</v>
      </c>
      <c r="O16">
        <v>1023202</v>
      </c>
      <c r="P16">
        <v>360</v>
      </c>
    </row>
    <row r="17" spans="1:16">
      <c r="A17" s="1" t="s">
        <v>229</v>
      </c>
      <c r="B17" t="str" cm="1">
        <f t="array" ref="B17">_xlfn.TEXTSPLIT(A17,";")</f>
        <v>1023003_32</v>
      </c>
      <c r="D17" t="str" cm="1">
        <f t="array" ref="D17:E17">_xlfn.TEXTSPLIT(B17,"_")</f>
        <v>1023003</v>
      </c>
      <c r="E17" t="str">
        <v>32</v>
      </c>
      <c r="F17" t="str" cm="1">
        <f t="array" ref="F17">IFERROR(_xlfn.TEXTSPLIT(C17,"_",,TRUE),"")</f>
        <v/>
      </c>
      <c r="H17">
        <f t="shared" si="0"/>
        <v>1280</v>
      </c>
      <c r="I17">
        <f>H17/K5</f>
        <v>64</v>
      </c>
      <c r="J17">
        <f t="shared" si="3"/>
        <v>1023001</v>
      </c>
      <c r="L17" t="str">
        <f t="shared" si="1"/>
        <v>1023001_64</v>
      </c>
      <c r="M17" t="str">
        <f t="shared" si="2"/>
        <v>1023001_64</v>
      </c>
      <c r="O17">
        <v>1023203</v>
      </c>
      <c r="P17">
        <v>480</v>
      </c>
    </row>
    <row r="18" spans="1:16">
      <c r="A18" s="1" t="s">
        <v>230</v>
      </c>
      <c r="B18" t="str" cm="1">
        <f t="array" ref="B18:C18">_xlfn.TEXTSPLIT(A18,";")</f>
        <v>1023003_48</v>
      </c>
      <c r="C18" t="str">
        <v>1980000_300</v>
      </c>
      <c r="D18" t="str" cm="1">
        <f t="array" ref="D18:E18">_xlfn.TEXTSPLIT(B18,"_")</f>
        <v>1023003</v>
      </c>
      <c r="E18" t="str">
        <v>48</v>
      </c>
      <c r="F18" t="str" cm="1">
        <f t="array" ref="F18:G18">IFERROR(_xlfn.TEXTSPLIT(C18,"_",,TRUE),"")</f>
        <v>1980000</v>
      </c>
      <c r="G18" t="str">
        <v>300</v>
      </c>
      <c r="H18">
        <f t="shared" si="0"/>
        <v>1920</v>
      </c>
      <c r="I18">
        <f>H18/K5</f>
        <v>96</v>
      </c>
      <c r="J18">
        <f t="shared" si="3"/>
        <v>1023001</v>
      </c>
      <c r="L18" t="str">
        <f t="shared" si="1"/>
        <v>1023001_96</v>
      </c>
      <c r="M18" t="str">
        <f t="shared" si="2"/>
        <v>1023001_96|1980000_300</v>
      </c>
      <c r="O18">
        <v>1023204</v>
      </c>
      <c r="P18">
        <v>720</v>
      </c>
    </row>
    <row r="19" spans="1:16">
      <c r="A19" s="1" t="s">
        <v>231</v>
      </c>
      <c r="B19" t="str" cm="1">
        <f t="array" ref="B19">_xlfn.TEXTSPLIT(A19,";")</f>
        <v>1023004_12</v>
      </c>
      <c r="D19" t="str" cm="1">
        <f t="array" ref="D19:E19">_xlfn.TEXTSPLIT(B19,"_")</f>
        <v>1023004</v>
      </c>
      <c r="E19" t="str">
        <v>12</v>
      </c>
      <c r="F19" t="str" cm="1">
        <f t="array" ref="F19">IFERROR(_xlfn.TEXTSPLIT(C19,"_",,TRUE),"")</f>
        <v/>
      </c>
      <c r="H19">
        <f t="shared" si="0"/>
        <v>720</v>
      </c>
      <c r="I19">
        <f>H19/K5</f>
        <v>36</v>
      </c>
      <c r="J19">
        <f t="shared" si="3"/>
        <v>1023001</v>
      </c>
      <c r="L19" t="str">
        <f t="shared" si="1"/>
        <v>1023001_36</v>
      </c>
      <c r="M19" t="str">
        <f t="shared" si="2"/>
        <v>1023001_36</v>
      </c>
      <c r="O19">
        <v>1023205</v>
      </c>
      <c r="P19">
        <v>1440</v>
      </c>
    </row>
    <row r="20" spans="1:16">
      <c r="A20" s="1" t="s">
        <v>232</v>
      </c>
      <c r="B20" t="str" cm="1">
        <f t="array" ref="B20">_xlfn.TEXTSPLIT(A20,";")</f>
        <v>1023004_24</v>
      </c>
      <c r="D20" t="str" cm="1">
        <f t="array" ref="D20:E20">_xlfn.TEXTSPLIT(B20,"_")</f>
        <v>1023004</v>
      </c>
      <c r="E20" t="str">
        <v>24</v>
      </c>
      <c r="F20" t="str" cm="1">
        <f t="array" ref="F20">IFERROR(_xlfn.TEXTSPLIT(C20,"_",,TRUE),"")</f>
        <v/>
      </c>
      <c r="H20">
        <f t="shared" si="0"/>
        <v>1440</v>
      </c>
      <c r="I20">
        <f>H20/K5</f>
        <v>72</v>
      </c>
      <c r="J20">
        <f t="shared" si="3"/>
        <v>1023001</v>
      </c>
      <c r="L20" t="str">
        <f t="shared" si="1"/>
        <v>1023001_72</v>
      </c>
      <c r="M20" t="str">
        <f t="shared" si="2"/>
        <v>1023001_72</v>
      </c>
      <c r="O20">
        <v>1023301</v>
      </c>
      <c r="P20">
        <v>480</v>
      </c>
    </row>
    <row r="21" spans="1:16">
      <c r="A21" s="1" t="s">
        <v>233</v>
      </c>
      <c r="B21" t="str" cm="1">
        <f t="array" ref="B21:C21">_xlfn.TEXTSPLIT(A21,";")</f>
        <v>1023004_48</v>
      </c>
      <c r="C21" t="str">
        <v>1980000_600</v>
      </c>
      <c r="D21" t="str" cm="1">
        <f t="array" ref="D21:E21">_xlfn.TEXTSPLIT(B21,"_")</f>
        <v>1023004</v>
      </c>
      <c r="E21" t="str">
        <v>48</v>
      </c>
      <c r="F21" t="str" cm="1">
        <f t="array" ref="F21:G21">IFERROR(_xlfn.TEXTSPLIT(C21,"_",,TRUE),"")</f>
        <v>1980000</v>
      </c>
      <c r="G21" t="str">
        <v>600</v>
      </c>
      <c r="H21">
        <f t="shared" si="0"/>
        <v>2880</v>
      </c>
      <c r="I21">
        <f>H21/K5</f>
        <v>144</v>
      </c>
      <c r="J21">
        <f t="shared" si="3"/>
        <v>1023001</v>
      </c>
      <c r="L21" t="str">
        <f t="shared" si="1"/>
        <v>1023001_144</v>
      </c>
      <c r="M21" t="str">
        <f t="shared" si="2"/>
        <v>1023001_144|1980000_600</v>
      </c>
      <c r="O21">
        <v>1023302</v>
      </c>
      <c r="P21">
        <v>720</v>
      </c>
    </row>
    <row r="22" spans="1:16">
      <c r="A22" s="1" t="s">
        <v>234</v>
      </c>
      <c r="B22" t="str" cm="1">
        <f t="array" ref="B22">_xlfn.TEXTSPLIT(A22,";")</f>
        <v>1023005_12</v>
      </c>
      <c r="D22" t="str" cm="1">
        <f t="array" ref="D22:E22">_xlfn.TEXTSPLIT(B22,"_")</f>
        <v>1023005</v>
      </c>
      <c r="E22" t="str">
        <v>12</v>
      </c>
      <c r="F22" t="str" cm="1">
        <f t="array" ref="F22">IFERROR(_xlfn.TEXTSPLIT(C22,"_",,TRUE),"")</f>
        <v/>
      </c>
      <c r="H22">
        <f t="shared" si="0"/>
        <v>1440</v>
      </c>
      <c r="I22">
        <f>H22/K5</f>
        <v>72</v>
      </c>
      <c r="J22">
        <f t="shared" si="3"/>
        <v>1023001</v>
      </c>
      <c r="L22" t="str">
        <f t="shared" si="1"/>
        <v>1023001_72</v>
      </c>
      <c r="M22" t="str">
        <f t="shared" si="2"/>
        <v>1023001_72</v>
      </c>
      <c r="O22">
        <v>1023303</v>
      </c>
      <c r="P22">
        <v>960</v>
      </c>
    </row>
    <row r="23" spans="1:16">
      <c r="A23" s="1" t="s">
        <v>235</v>
      </c>
      <c r="B23" t="str" cm="1">
        <f t="array" ref="B23">_xlfn.TEXTSPLIT(A23,";")</f>
        <v>1023005_24</v>
      </c>
      <c r="D23" t="str" cm="1">
        <f t="array" ref="D23:E23">_xlfn.TEXTSPLIT(B23,"_")</f>
        <v>1023005</v>
      </c>
      <c r="E23" t="str">
        <v>24</v>
      </c>
      <c r="F23" t="str" cm="1">
        <f t="array" ref="F23">IFERROR(_xlfn.TEXTSPLIT(C23,"_",,TRUE),"")</f>
        <v/>
      </c>
      <c r="H23">
        <f t="shared" si="0"/>
        <v>2880</v>
      </c>
      <c r="I23">
        <f>H23/K5</f>
        <v>144</v>
      </c>
      <c r="J23">
        <f t="shared" si="3"/>
        <v>1023001</v>
      </c>
      <c r="L23" t="str">
        <f t="shared" si="1"/>
        <v>1023001_144</v>
      </c>
      <c r="M23" t="str">
        <f t="shared" si="2"/>
        <v>1023001_144</v>
      </c>
      <c r="O23">
        <v>1023304</v>
      </c>
      <c r="P23">
        <v>1440</v>
      </c>
    </row>
    <row r="24" spans="1:16">
      <c r="A24" s="1" t="s">
        <v>236</v>
      </c>
      <c r="B24" t="str" cm="1">
        <f t="array" ref="B24">_xlfn.TEXTSPLIT(A24,";")</f>
        <v>1023005_48</v>
      </c>
      <c r="D24" t="str" cm="1">
        <f t="array" ref="D24:E24">_xlfn.TEXTSPLIT(B24,"_")</f>
        <v>1023005</v>
      </c>
      <c r="E24" t="str">
        <v>48</v>
      </c>
      <c r="F24" t="str" cm="1">
        <f t="array" ref="F24">IFERROR(_xlfn.TEXTSPLIT(C24,"_",,TRUE),"")</f>
        <v/>
      </c>
      <c r="H24">
        <f t="shared" si="0"/>
        <v>5760</v>
      </c>
      <c r="I24">
        <f>H24/K5</f>
        <v>288</v>
      </c>
      <c r="J24">
        <f t="shared" si="3"/>
        <v>1023001</v>
      </c>
      <c r="L24" t="str">
        <f t="shared" si="1"/>
        <v>1023001_288</v>
      </c>
      <c r="M24" t="str">
        <f t="shared" si="2"/>
        <v>1023001_288</v>
      </c>
      <c r="O24">
        <v>1023305</v>
      </c>
      <c r="P24">
        <v>2880</v>
      </c>
    </row>
    <row r="25" spans="1:16">
      <c r="O25">
        <v>1023401</v>
      </c>
      <c r="P25">
        <v>960</v>
      </c>
    </row>
    <row r="26" spans="1:16">
      <c r="A26" s="1" t="s">
        <v>92</v>
      </c>
      <c r="B26" t="str" cm="1">
        <f t="array" ref="B26">_xlfn.TEXTSPLIT(A26,";")</f>
        <v>1023101_2</v>
      </c>
      <c r="D26" t="str" cm="1">
        <f t="array" ref="D26:E26">_xlfn.TEXTSPLIT(B26,"_")</f>
        <v>1023101</v>
      </c>
      <c r="E26" t="str">
        <v>2</v>
      </c>
      <c r="F26" t="str" cm="1">
        <f t="array" ref="F26">IFERROR(_xlfn.TEXTSPLIT(C26,"_",,TRUE),"")</f>
        <v/>
      </c>
      <c r="H26">
        <f t="shared" ref="H26:H45" si="4">_xlfn.XLOOKUP(VALUE(D26),$O$5:$O$29,$P$5:$P$29)*E26</f>
        <v>120</v>
      </c>
      <c r="I26">
        <f>H26/K26</f>
        <v>2</v>
      </c>
      <c r="J26">
        <f>VALUE(D26)</f>
        <v>1023101</v>
      </c>
      <c r="K26">
        <f>_xlfn.XLOOKUP(VALUE(J26),$O$5:$O$29,$P$5:$P$29)</f>
        <v>60</v>
      </c>
      <c r="L26" t="str">
        <f t="shared" ref="L26:L45" si="5">_xlfn.TEXTJOIN("_",TRUE,J26,I26)</f>
        <v>1023101_2</v>
      </c>
      <c r="M26" t="str">
        <f t="shared" ref="M26:M45" si="6">_xlfn.TEXTJOIN("|",TRUE,L26,C26)</f>
        <v>1023101_2</v>
      </c>
      <c r="O26">
        <v>1023402</v>
      </c>
      <c r="P26">
        <v>1440</v>
      </c>
    </row>
    <row r="27" spans="1:16">
      <c r="A27" s="1" t="s">
        <v>94</v>
      </c>
      <c r="B27" t="str" cm="1">
        <f t="array" ref="B27">_xlfn.TEXTSPLIT(A27,";")</f>
        <v>1023101_4</v>
      </c>
      <c r="D27" t="str" cm="1">
        <f t="array" ref="D27:E27">_xlfn.TEXTSPLIT(B27,"_")</f>
        <v>1023101</v>
      </c>
      <c r="E27" t="str">
        <v>4</v>
      </c>
      <c r="F27" t="str" cm="1">
        <f t="array" ref="F27">IFERROR(_xlfn.TEXTSPLIT(C27,"_",,TRUE),"")</f>
        <v/>
      </c>
      <c r="H27">
        <f t="shared" si="4"/>
        <v>240</v>
      </c>
      <c r="I27">
        <f>H27/K26</f>
        <v>4</v>
      </c>
      <c r="J27">
        <f>J26</f>
        <v>1023101</v>
      </c>
      <c r="L27" t="str">
        <f t="shared" si="5"/>
        <v>1023101_4</v>
      </c>
      <c r="M27" t="str">
        <f t="shared" si="6"/>
        <v>1023101_4</v>
      </c>
      <c r="O27">
        <v>1023403</v>
      </c>
      <c r="P27">
        <v>1920</v>
      </c>
    </row>
    <row r="28" spans="1:16">
      <c r="A28" s="1" t="s">
        <v>96</v>
      </c>
      <c r="B28" t="str" cm="1">
        <f t="array" ref="B28">_xlfn.TEXTSPLIT(A28,";")</f>
        <v>1023101_8</v>
      </c>
      <c r="D28" t="str" cm="1">
        <f t="array" ref="D28:E28">_xlfn.TEXTSPLIT(B28,"_")</f>
        <v>1023101</v>
      </c>
      <c r="E28" t="str">
        <v>8</v>
      </c>
      <c r="F28" t="str" cm="1">
        <f t="array" ref="F28">IFERROR(_xlfn.TEXTSPLIT(C28,"_",,TRUE),"")</f>
        <v/>
      </c>
      <c r="H28">
        <f t="shared" si="4"/>
        <v>480</v>
      </c>
      <c r="I28">
        <f>H28/K26</f>
        <v>8</v>
      </c>
      <c r="J28">
        <f t="shared" ref="J28:J45" si="7">J27</f>
        <v>1023101</v>
      </c>
      <c r="L28" t="str">
        <f t="shared" si="5"/>
        <v>1023101_8</v>
      </c>
      <c r="M28" t="str">
        <f t="shared" si="6"/>
        <v>1023101_8</v>
      </c>
      <c r="O28">
        <v>1023404</v>
      </c>
      <c r="P28">
        <v>2880</v>
      </c>
    </row>
    <row r="29" spans="1:16">
      <c r="A29" s="1" t="s">
        <v>98</v>
      </c>
      <c r="B29" t="str" cm="1">
        <f t="array" ref="B29">_xlfn.TEXTSPLIT(A29,";")</f>
        <v>1023101_12</v>
      </c>
      <c r="D29" t="str" cm="1">
        <f t="array" ref="D29:E29">_xlfn.TEXTSPLIT(B29,"_")</f>
        <v>1023101</v>
      </c>
      <c r="E29" t="str">
        <v>12</v>
      </c>
      <c r="F29" t="str" cm="1">
        <f t="array" ref="F29">IFERROR(_xlfn.TEXTSPLIT(C29,"_",,TRUE),"")</f>
        <v/>
      </c>
      <c r="H29">
        <f t="shared" si="4"/>
        <v>720</v>
      </c>
      <c r="I29">
        <f>H29/K26</f>
        <v>12</v>
      </c>
      <c r="J29">
        <f t="shared" si="7"/>
        <v>1023101</v>
      </c>
      <c r="L29" t="str">
        <f t="shared" si="5"/>
        <v>1023101_12</v>
      </c>
      <c r="M29" t="str">
        <f t="shared" si="6"/>
        <v>1023101_12</v>
      </c>
      <c r="O29">
        <v>1023405</v>
      </c>
      <c r="P29">
        <v>5760</v>
      </c>
    </row>
    <row r="30" spans="1:16">
      <c r="A30" s="1" t="s">
        <v>100</v>
      </c>
      <c r="B30" t="str" cm="1">
        <f t="array" ref="B30">_xlfn.TEXTSPLIT(A30,";")</f>
        <v>1023101_16</v>
      </c>
      <c r="D30" t="str" cm="1">
        <f t="array" ref="D30:E30">_xlfn.TEXTSPLIT(B30,"_")</f>
        <v>1023101</v>
      </c>
      <c r="E30" t="str">
        <v>16</v>
      </c>
      <c r="F30" t="str" cm="1">
        <f t="array" ref="F30">IFERROR(_xlfn.TEXTSPLIT(C30,"_",,TRUE),"")</f>
        <v/>
      </c>
      <c r="H30">
        <f t="shared" si="4"/>
        <v>960</v>
      </c>
      <c r="I30">
        <f>H30/K26</f>
        <v>16</v>
      </c>
      <c r="J30">
        <f t="shared" si="7"/>
        <v>1023101</v>
      </c>
      <c r="L30" t="str">
        <f t="shared" si="5"/>
        <v>1023101_16</v>
      </c>
      <c r="M30" t="str">
        <f t="shared" si="6"/>
        <v>1023101_16</v>
      </c>
    </row>
    <row r="31" spans="1:16">
      <c r="A31" s="1" t="s">
        <v>237</v>
      </c>
      <c r="B31" t="str" cm="1">
        <f t="array" ref="B31:C31">_xlfn.TEXTSPLIT(A31,";")</f>
        <v>1023101_20</v>
      </c>
      <c r="C31" t="str">
        <v>1980000_10</v>
      </c>
      <c r="D31" t="str" cm="1">
        <f t="array" ref="D31:E31">_xlfn.TEXTSPLIT(B31,"_")</f>
        <v>1023101</v>
      </c>
      <c r="E31" t="str">
        <v>20</v>
      </c>
      <c r="F31" t="str" cm="1">
        <f t="array" ref="F31:G31">IFERROR(_xlfn.TEXTSPLIT(C31,"_",,TRUE),"")</f>
        <v>1980000</v>
      </c>
      <c r="G31" t="str">
        <v>10</v>
      </c>
      <c r="H31">
        <f t="shared" si="4"/>
        <v>1200</v>
      </c>
      <c r="I31">
        <f>H31/K26</f>
        <v>20</v>
      </c>
      <c r="J31">
        <f t="shared" si="7"/>
        <v>1023101</v>
      </c>
      <c r="L31" t="str">
        <f t="shared" si="5"/>
        <v>1023101_20</v>
      </c>
      <c r="M31" t="str">
        <f t="shared" si="6"/>
        <v>1023101_20|1980000_10</v>
      </c>
    </row>
    <row r="32" spans="1:16">
      <c r="A32" s="1" t="s">
        <v>238</v>
      </c>
      <c r="B32" t="str" cm="1">
        <f t="array" ref="B32">_xlfn.TEXTSPLIT(A32,";")</f>
        <v>1023102_4</v>
      </c>
      <c r="D32" t="str" cm="1">
        <f t="array" ref="D32:E32">_xlfn.TEXTSPLIT(B32,"_")</f>
        <v>1023102</v>
      </c>
      <c r="E32" t="str">
        <v>4</v>
      </c>
      <c r="F32" t="str" cm="1">
        <f t="array" ref="F32">IFERROR(_xlfn.TEXTSPLIT(C32,"_",,TRUE),"")</f>
        <v/>
      </c>
      <c r="H32">
        <f t="shared" si="4"/>
        <v>360</v>
      </c>
      <c r="I32">
        <f>H32/K26</f>
        <v>6</v>
      </c>
      <c r="J32">
        <f t="shared" si="7"/>
        <v>1023101</v>
      </c>
      <c r="L32" t="str">
        <f t="shared" si="5"/>
        <v>1023101_6</v>
      </c>
      <c r="M32" t="str">
        <f t="shared" si="6"/>
        <v>1023101_6</v>
      </c>
    </row>
    <row r="33" spans="1:13">
      <c r="A33" s="1" t="s">
        <v>239</v>
      </c>
      <c r="B33" t="str" cm="1">
        <f t="array" ref="B33">_xlfn.TEXTSPLIT(A33,";")</f>
        <v>1023102_8</v>
      </c>
      <c r="D33" t="str" cm="1">
        <f t="array" ref="D33:E33">_xlfn.TEXTSPLIT(B33,"_")</f>
        <v>1023102</v>
      </c>
      <c r="E33" t="str">
        <v>8</v>
      </c>
      <c r="F33" t="str" cm="1">
        <f t="array" ref="F33">IFERROR(_xlfn.TEXTSPLIT(C33,"_",,TRUE),"")</f>
        <v/>
      </c>
      <c r="H33">
        <f t="shared" si="4"/>
        <v>720</v>
      </c>
      <c r="I33">
        <f>H33/K26</f>
        <v>12</v>
      </c>
      <c r="J33">
        <f t="shared" si="7"/>
        <v>1023101</v>
      </c>
      <c r="L33" t="str">
        <f t="shared" si="5"/>
        <v>1023101_12</v>
      </c>
      <c r="M33" t="str">
        <f t="shared" si="6"/>
        <v>1023101_12</v>
      </c>
    </row>
    <row r="34" spans="1:13">
      <c r="A34" s="1" t="s">
        <v>240</v>
      </c>
      <c r="B34" t="str" cm="1">
        <f t="array" ref="B34">_xlfn.TEXTSPLIT(A34,";")</f>
        <v>1023102_16</v>
      </c>
      <c r="D34" t="str" cm="1">
        <f t="array" ref="D34:E34">_xlfn.TEXTSPLIT(B34,"_")</f>
        <v>1023102</v>
      </c>
      <c r="E34" t="str">
        <v>16</v>
      </c>
      <c r="F34" t="str" cm="1">
        <f t="array" ref="F34">IFERROR(_xlfn.TEXTSPLIT(C34,"_",,TRUE),"")</f>
        <v/>
      </c>
      <c r="H34">
        <f t="shared" si="4"/>
        <v>1440</v>
      </c>
      <c r="I34">
        <f>H34/K26</f>
        <v>24</v>
      </c>
      <c r="J34">
        <f t="shared" si="7"/>
        <v>1023101</v>
      </c>
      <c r="L34" t="str">
        <f t="shared" si="5"/>
        <v>1023101_24</v>
      </c>
      <c r="M34" t="str">
        <f t="shared" si="6"/>
        <v>1023101_24</v>
      </c>
    </row>
    <row r="35" spans="1:13">
      <c r="A35" s="1" t="s">
        <v>241</v>
      </c>
      <c r="B35" t="str" cm="1">
        <f t="array" ref="B35:C35">_xlfn.TEXTSPLIT(A35,";")</f>
        <v>1023102_24</v>
      </c>
      <c r="C35" t="str">
        <v>1980000_100</v>
      </c>
      <c r="D35" t="str" cm="1">
        <f t="array" ref="D35:E35">_xlfn.TEXTSPLIT(B35,"_")</f>
        <v>1023102</v>
      </c>
      <c r="E35" t="str">
        <v>24</v>
      </c>
      <c r="F35" t="str" cm="1">
        <f t="array" ref="F35:G35">IFERROR(_xlfn.TEXTSPLIT(C35,"_",,TRUE),"")</f>
        <v>1980000</v>
      </c>
      <c r="G35" t="str">
        <v>100</v>
      </c>
      <c r="H35">
        <f t="shared" si="4"/>
        <v>2160</v>
      </c>
      <c r="I35">
        <f>H35/K26</f>
        <v>36</v>
      </c>
      <c r="J35">
        <f t="shared" si="7"/>
        <v>1023101</v>
      </c>
      <c r="L35" t="str">
        <f t="shared" si="5"/>
        <v>1023101_36</v>
      </c>
      <c r="M35" t="str">
        <f t="shared" si="6"/>
        <v>1023101_36|1980000_100</v>
      </c>
    </row>
    <row r="36" spans="1:13">
      <c r="A36" s="1" t="s">
        <v>242</v>
      </c>
      <c r="B36" t="str" cm="1">
        <f t="array" ref="B36">_xlfn.TEXTSPLIT(A36,";")</f>
        <v>1023103_4</v>
      </c>
      <c r="D36" t="str" cm="1">
        <f t="array" ref="D36:E36">_xlfn.TEXTSPLIT(B36,"_")</f>
        <v>1023103</v>
      </c>
      <c r="E36" t="str">
        <v>4</v>
      </c>
      <c r="F36" t="str" cm="1">
        <f t="array" ref="F36">IFERROR(_xlfn.TEXTSPLIT(C36,"_",,TRUE),"")</f>
        <v/>
      </c>
      <c r="H36">
        <f t="shared" si="4"/>
        <v>480</v>
      </c>
      <c r="I36">
        <f>H36/K26</f>
        <v>8</v>
      </c>
      <c r="J36">
        <f t="shared" si="7"/>
        <v>1023101</v>
      </c>
      <c r="L36" t="str">
        <f t="shared" si="5"/>
        <v>1023101_8</v>
      </c>
      <c r="M36" t="str">
        <f t="shared" si="6"/>
        <v>1023101_8</v>
      </c>
    </row>
    <row r="37" spans="1:13">
      <c r="A37" s="1" t="s">
        <v>243</v>
      </c>
      <c r="B37" t="str" cm="1">
        <f t="array" ref="B37">_xlfn.TEXTSPLIT(A37,";")</f>
        <v>1023103_8</v>
      </c>
      <c r="D37" t="str" cm="1">
        <f t="array" ref="D37:E37">_xlfn.TEXTSPLIT(B37,"_")</f>
        <v>1023103</v>
      </c>
      <c r="E37" t="str">
        <v>8</v>
      </c>
      <c r="F37" t="str" cm="1">
        <f t="array" ref="F37">IFERROR(_xlfn.TEXTSPLIT(C37,"_",,TRUE),"")</f>
        <v/>
      </c>
      <c r="H37">
        <f t="shared" si="4"/>
        <v>960</v>
      </c>
      <c r="I37">
        <f>H37/K26</f>
        <v>16</v>
      </c>
      <c r="J37">
        <f t="shared" si="7"/>
        <v>1023101</v>
      </c>
      <c r="L37" t="str">
        <f t="shared" si="5"/>
        <v>1023101_16</v>
      </c>
      <c r="M37" t="str">
        <f t="shared" si="6"/>
        <v>1023101_16</v>
      </c>
    </row>
    <row r="38" spans="1:13">
      <c r="A38" s="1" t="s">
        <v>244</v>
      </c>
      <c r="B38" t="str" cm="1">
        <f t="array" ref="B38">_xlfn.TEXTSPLIT(A38,";")</f>
        <v>1023103_16</v>
      </c>
      <c r="D38" t="str" cm="1">
        <f t="array" ref="D38:E38">_xlfn.TEXTSPLIT(B38,"_")</f>
        <v>1023103</v>
      </c>
      <c r="E38" t="str">
        <v>16</v>
      </c>
      <c r="F38" t="str" cm="1">
        <f t="array" ref="F38">IFERROR(_xlfn.TEXTSPLIT(C38,"_",,TRUE),"")</f>
        <v/>
      </c>
      <c r="H38">
        <f t="shared" si="4"/>
        <v>1920</v>
      </c>
      <c r="I38">
        <f>H38/K26</f>
        <v>32</v>
      </c>
      <c r="J38">
        <f t="shared" si="7"/>
        <v>1023101</v>
      </c>
      <c r="L38" t="str">
        <f t="shared" si="5"/>
        <v>1023101_32</v>
      </c>
      <c r="M38" t="str">
        <f t="shared" si="6"/>
        <v>1023101_32</v>
      </c>
    </row>
    <row r="39" spans="1:13">
      <c r="A39" s="1" t="s">
        <v>245</v>
      </c>
      <c r="B39" t="str" cm="1">
        <f t="array" ref="B39:C39">_xlfn.TEXTSPLIT(A39,";")</f>
        <v>1023103_24</v>
      </c>
      <c r="C39" t="str">
        <v>1980000_300</v>
      </c>
      <c r="D39" t="str" cm="1">
        <f t="array" ref="D39:E39">_xlfn.TEXTSPLIT(B39,"_")</f>
        <v>1023103</v>
      </c>
      <c r="E39" t="str">
        <v>24</v>
      </c>
      <c r="F39" t="str" cm="1">
        <f t="array" ref="F39:G39">IFERROR(_xlfn.TEXTSPLIT(C39,"_",,TRUE),"")</f>
        <v>1980000</v>
      </c>
      <c r="G39" t="str">
        <v>300</v>
      </c>
      <c r="H39">
        <f t="shared" si="4"/>
        <v>2880</v>
      </c>
      <c r="I39">
        <f>H39/K26</f>
        <v>48</v>
      </c>
      <c r="J39">
        <f t="shared" si="7"/>
        <v>1023101</v>
      </c>
      <c r="L39" t="str">
        <f t="shared" si="5"/>
        <v>1023101_48</v>
      </c>
      <c r="M39" t="str">
        <f t="shared" si="6"/>
        <v>1023101_48|1980000_300</v>
      </c>
    </row>
    <row r="40" spans="1:13">
      <c r="A40" s="1" t="s">
        <v>246</v>
      </c>
      <c r="B40" t="str" cm="1">
        <f t="array" ref="B40">_xlfn.TEXTSPLIT(A40,";")</f>
        <v>1023104_6</v>
      </c>
      <c r="D40" t="str" cm="1">
        <f t="array" ref="D40:E40">_xlfn.TEXTSPLIT(B40,"_")</f>
        <v>1023104</v>
      </c>
      <c r="E40" t="str">
        <v>6</v>
      </c>
      <c r="F40" t="str" cm="1">
        <f t="array" ref="F40">IFERROR(_xlfn.TEXTSPLIT(C40,"_",,TRUE),"")</f>
        <v/>
      </c>
      <c r="H40">
        <f t="shared" si="4"/>
        <v>1080</v>
      </c>
      <c r="I40">
        <f>H40/K26</f>
        <v>18</v>
      </c>
      <c r="J40">
        <f t="shared" si="7"/>
        <v>1023101</v>
      </c>
      <c r="L40" t="str">
        <f t="shared" si="5"/>
        <v>1023101_18</v>
      </c>
      <c r="M40" t="str">
        <f t="shared" si="6"/>
        <v>1023101_18</v>
      </c>
    </row>
    <row r="41" spans="1:13">
      <c r="A41" s="1" t="s">
        <v>247</v>
      </c>
      <c r="B41" t="str" cm="1">
        <f t="array" ref="B41">_xlfn.TEXTSPLIT(A41,";")</f>
        <v>1023104_12</v>
      </c>
      <c r="D41" t="str" cm="1">
        <f t="array" ref="D41:E41">_xlfn.TEXTSPLIT(B41,"_")</f>
        <v>1023104</v>
      </c>
      <c r="E41" t="str">
        <v>12</v>
      </c>
      <c r="F41" t="str" cm="1">
        <f t="array" ref="F41">IFERROR(_xlfn.TEXTSPLIT(C41,"_",,TRUE),"")</f>
        <v/>
      </c>
      <c r="H41">
        <f t="shared" si="4"/>
        <v>2160</v>
      </c>
      <c r="I41">
        <f>H41/K26</f>
        <v>36</v>
      </c>
      <c r="J41">
        <f t="shared" si="7"/>
        <v>1023101</v>
      </c>
      <c r="L41" t="str">
        <f t="shared" si="5"/>
        <v>1023101_36</v>
      </c>
      <c r="M41" t="str">
        <f t="shared" si="6"/>
        <v>1023101_36</v>
      </c>
    </row>
    <row r="42" spans="1:13">
      <c r="A42" s="1" t="s">
        <v>248</v>
      </c>
      <c r="B42" t="str" cm="1">
        <f t="array" ref="B42:C42">_xlfn.TEXTSPLIT(A42,";")</f>
        <v>1023104_24</v>
      </c>
      <c r="C42" t="str">
        <v>1980000_600</v>
      </c>
      <c r="D42" t="str" cm="1">
        <f t="array" ref="D42:E42">_xlfn.TEXTSPLIT(B42,"_")</f>
        <v>1023104</v>
      </c>
      <c r="E42" t="str">
        <v>24</v>
      </c>
      <c r="F42" t="str" cm="1">
        <f t="array" ref="F42:G42">IFERROR(_xlfn.TEXTSPLIT(C42,"_",,TRUE),"")</f>
        <v>1980000</v>
      </c>
      <c r="G42" t="str">
        <v>600</v>
      </c>
      <c r="H42">
        <f t="shared" si="4"/>
        <v>4320</v>
      </c>
      <c r="I42">
        <f>H42/K26</f>
        <v>72</v>
      </c>
      <c r="J42">
        <f t="shared" si="7"/>
        <v>1023101</v>
      </c>
      <c r="L42" t="str">
        <f t="shared" si="5"/>
        <v>1023101_72</v>
      </c>
      <c r="M42" t="str">
        <f t="shared" si="6"/>
        <v>1023101_72|1980000_600</v>
      </c>
    </row>
    <row r="43" spans="1:13">
      <c r="A43" s="1" t="s">
        <v>249</v>
      </c>
      <c r="B43" t="str" cm="1">
        <f t="array" ref="B43">_xlfn.TEXTSPLIT(A43,";")</f>
        <v>1023105_6</v>
      </c>
      <c r="D43" t="str" cm="1">
        <f t="array" ref="D43:E43">_xlfn.TEXTSPLIT(B43,"_")</f>
        <v>1023105</v>
      </c>
      <c r="E43" t="str">
        <v>6</v>
      </c>
      <c r="F43" t="str" cm="1">
        <f t="array" ref="F43">IFERROR(_xlfn.TEXTSPLIT(C43,"_",,TRUE),"")</f>
        <v/>
      </c>
      <c r="H43">
        <f t="shared" si="4"/>
        <v>2160</v>
      </c>
      <c r="I43">
        <f>H43/K26</f>
        <v>36</v>
      </c>
      <c r="J43">
        <f t="shared" si="7"/>
        <v>1023101</v>
      </c>
      <c r="L43" t="str">
        <f t="shared" si="5"/>
        <v>1023101_36</v>
      </c>
      <c r="M43" t="str">
        <f t="shared" si="6"/>
        <v>1023101_36</v>
      </c>
    </row>
    <row r="44" spans="1:13">
      <c r="A44" s="1" t="s">
        <v>250</v>
      </c>
      <c r="B44" t="str" cm="1">
        <f t="array" ref="B44">_xlfn.TEXTSPLIT(A44,";")</f>
        <v>1023105_12</v>
      </c>
      <c r="D44" t="str" cm="1">
        <f t="array" ref="D44:E44">_xlfn.TEXTSPLIT(B44,"_")</f>
        <v>1023105</v>
      </c>
      <c r="E44" t="str">
        <v>12</v>
      </c>
      <c r="F44" t="str" cm="1">
        <f t="array" ref="F44">IFERROR(_xlfn.TEXTSPLIT(C44,"_",,TRUE),"")</f>
        <v/>
      </c>
      <c r="H44">
        <f t="shared" si="4"/>
        <v>4320</v>
      </c>
      <c r="I44">
        <f>H44/K26</f>
        <v>72</v>
      </c>
      <c r="J44">
        <f t="shared" si="7"/>
        <v>1023101</v>
      </c>
      <c r="L44" t="str">
        <f t="shared" si="5"/>
        <v>1023101_72</v>
      </c>
      <c r="M44" t="str">
        <f t="shared" si="6"/>
        <v>1023101_72</v>
      </c>
    </row>
    <row r="45" spans="1:13">
      <c r="A45" s="1" t="s">
        <v>251</v>
      </c>
      <c r="B45" t="str" cm="1">
        <f t="array" ref="B45">_xlfn.TEXTSPLIT(A45,";")</f>
        <v>1023105_24</v>
      </c>
      <c r="D45" t="str" cm="1">
        <f t="array" ref="D45:E45">_xlfn.TEXTSPLIT(B45,"_")</f>
        <v>1023105</v>
      </c>
      <c r="E45" t="str">
        <v>24</v>
      </c>
      <c r="F45" t="str" cm="1">
        <f t="array" ref="F45">IFERROR(_xlfn.TEXTSPLIT(C45,"_",,TRUE),"")</f>
        <v/>
      </c>
      <c r="H45">
        <f t="shared" si="4"/>
        <v>8640</v>
      </c>
      <c r="I45">
        <f>H45/K26</f>
        <v>144</v>
      </c>
      <c r="J45">
        <f t="shared" si="7"/>
        <v>1023101</v>
      </c>
      <c r="L45" t="str">
        <f t="shared" si="5"/>
        <v>1023101_144</v>
      </c>
      <c r="M45" t="str">
        <f t="shared" si="6"/>
        <v>1023101_144</v>
      </c>
    </row>
    <row r="47" spans="1:13">
      <c r="A47" s="1" t="s">
        <v>252</v>
      </c>
      <c r="B47" t="str" cm="1">
        <f t="array" ref="B47">_xlfn.TEXTSPLIT(A47,";")</f>
        <v>1023101_1</v>
      </c>
      <c r="D47" t="str" cm="1">
        <f t="array" ref="D47:E47">_xlfn.TEXTSPLIT(B47,"_")</f>
        <v>1023101</v>
      </c>
      <c r="E47" t="str">
        <v>1</v>
      </c>
      <c r="F47" t="str" cm="1">
        <f t="array" ref="F47">IFERROR(_xlfn.TEXTSPLIT(C47,"_",,TRUE),"")</f>
        <v/>
      </c>
      <c r="H47">
        <f t="shared" ref="H47:H66" si="8">_xlfn.XLOOKUP(VALUE(D47),$O$5:$O$29,$P$5:$P$29)*E47</f>
        <v>60</v>
      </c>
      <c r="I47">
        <f>H47/K47</f>
        <v>1</v>
      </c>
      <c r="J47">
        <f>VALUE(D47)</f>
        <v>1023101</v>
      </c>
      <c r="K47">
        <f>_xlfn.XLOOKUP(VALUE(J47),$O$5:$O$29,$P$5:$P$29)</f>
        <v>60</v>
      </c>
      <c r="L47" t="str">
        <f t="shared" ref="L47:L66" si="9">_xlfn.TEXTJOIN("_",TRUE,J47,I47)</f>
        <v>1023101_1</v>
      </c>
      <c r="M47" t="str">
        <f t="shared" ref="M47:M66" si="10">_xlfn.TEXTJOIN("|",TRUE,L47,C47)</f>
        <v>1023101_1</v>
      </c>
    </row>
    <row r="48" spans="1:13">
      <c r="A48" s="1" t="s">
        <v>92</v>
      </c>
      <c r="B48" t="str" cm="1">
        <f t="array" ref="B48">_xlfn.TEXTSPLIT(A48,";")</f>
        <v>1023101_2</v>
      </c>
      <c r="D48" t="str" cm="1">
        <f t="array" ref="D48:E48">_xlfn.TEXTSPLIT(B48,"_")</f>
        <v>1023101</v>
      </c>
      <c r="E48" t="str">
        <v>2</v>
      </c>
      <c r="F48" t="str" cm="1">
        <f t="array" ref="F48">IFERROR(_xlfn.TEXTSPLIT(C48,"_",,TRUE),"")</f>
        <v/>
      </c>
      <c r="H48">
        <f t="shared" si="8"/>
        <v>120</v>
      </c>
      <c r="I48">
        <f>H48/K47</f>
        <v>2</v>
      </c>
      <c r="J48">
        <f t="shared" ref="J48:J66" si="11">J47</f>
        <v>1023101</v>
      </c>
      <c r="L48" t="str">
        <f t="shared" si="9"/>
        <v>1023101_2</v>
      </c>
      <c r="M48" t="str">
        <f t="shared" si="10"/>
        <v>1023101_2</v>
      </c>
    </row>
    <row r="49" spans="1:13">
      <c r="A49" s="1" t="s">
        <v>94</v>
      </c>
      <c r="B49" t="str" cm="1">
        <f t="array" ref="B49">_xlfn.TEXTSPLIT(A49,";")</f>
        <v>1023101_4</v>
      </c>
      <c r="D49" t="str" cm="1">
        <f t="array" ref="D49:E49">_xlfn.TEXTSPLIT(B49,"_")</f>
        <v>1023101</v>
      </c>
      <c r="E49" t="str">
        <v>4</v>
      </c>
      <c r="F49" t="str" cm="1">
        <f t="array" ref="F49">IFERROR(_xlfn.TEXTSPLIT(C49,"_",,TRUE),"")</f>
        <v/>
      </c>
      <c r="H49">
        <f t="shared" si="8"/>
        <v>240</v>
      </c>
      <c r="I49">
        <f>H49/K47</f>
        <v>4</v>
      </c>
      <c r="J49">
        <f t="shared" si="11"/>
        <v>1023101</v>
      </c>
      <c r="L49" t="str">
        <f t="shared" si="9"/>
        <v>1023101_4</v>
      </c>
      <c r="M49" t="str">
        <f t="shared" si="10"/>
        <v>1023101_4</v>
      </c>
    </row>
    <row r="50" spans="1:13">
      <c r="A50" s="1" t="s">
        <v>104</v>
      </c>
      <c r="B50" t="str" cm="1">
        <f t="array" ref="B50">_xlfn.TEXTSPLIT(A50,";")</f>
        <v>1023101_6</v>
      </c>
      <c r="D50" t="str" cm="1">
        <f t="array" ref="D50:E50">_xlfn.TEXTSPLIT(B50,"_")</f>
        <v>1023101</v>
      </c>
      <c r="E50" t="str">
        <v>6</v>
      </c>
      <c r="F50" t="str" cm="1">
        <f t="array" ref="F50">IFERROR(_xlfn.TEXTSPLIT(C50,"_",,TRUE),"")</f>
        <v/>
      </c>
      <c r="H50">
        <f t="shared" si="8"/>
        <v>360</v>
      </c>
      <c r="I50">
        <f>H50/K47</f>
        <v>6</v>
      </c>
      <c r="J50">
        <f t="shared" si="11"/>
        <v>1023101</v>
      </c>
      <c r="L50" t="str">
        <f t="shared" si="9"/>
        <v>1023101_6</v>
      </c>
      <c r="M50" t="str">
        <f t="shared" si="10"/>
        <v>1023101_6</v>
      </c>
    </row>
    <row r="51" spans="1:13">
      <c r="A51" s="1" t="s">
        <v>96</v>
      </c>
      <c r="B51" t="str" cm="1">
        <f t="array" ref="B51">_xlfn.TEXTSPLIT(A51,";")</f>
        <v>1023101_8</v>
      </c>
      <c r="D51" t="str" cm="1">
        <f t="array" ref="D51:E51">_xlfn.TEXTSPLIT(B51,"_")</f>
        <v>1023101</v>
      </c>
      <c r="E51" t="str">
        <v>8</v>
      </c>
      <c r="F51" t="str" cm="1">
        <f t="array" ref="F51">IFERROR(_xlfn.TEXTSPLIT(C51,"_",,TRUE),"")</f>
        <v/>
      </c>
      <c r="H51">
        <f t="shared" si="8"/>
        <v>480</v>
      </c>
      <c r="I51">
        <f>H51/K47</f>
        <v>8</v>
      </c>
      <c r="J51">
        <f t="shared" si="11"/>
        <v>1023101</v>
      </c>
      <c r="L51" t="str">
        <f t="shared" si="9"/>
        <v>1023101_8</v>
      </c>
      <c r="M51" t="str">
        <f t="shared" si="10"/>
        <v>1023101_8</v>
      </c>
    </row>
    <row r="52" spans="1:13">
      <c r="A52" s="1" t="s">
        <v>253</v>
      </c>
      <c r="B52" t="str" cm="1">
        <f t="array" ref="B52:C52">_xlfn.TEXTSPLIT(A52,";")</f>
        <v>1023101_10</v>
      </c>
      <c r="C52" t="str">
        <v>1980000_10</v>
      </c>
      <c r="D52" t="str" cm="1">
        <f t="array" ref="D52:E52">_xlfn.TEXTSPLIT(B52,"_")</f>
        <v>1023101</v>
      </c>
      <c r="E52" t="str">
        <v>10</v>
      </c>
      <c r="F52" t="str" cm="1">
        <f t="array" ref="F52:G52">IFERROR(_xlfn.TEXTSPLIT(C52,"_",,TRUE),"")</f>
        <v>1980000</v>
      </c>
      <c r="G52" t="str">
        <v>10</v>
      </c>
      <c r="H52">
        <f t="shared" si="8"/>
        <v>600</v>
      </c>
      <c r="I52">
        <f>H52/K47</f>
        <v>10</v>
      </c>
      <c r="J52">
        <f t="shared" si="11"/>
        <v>1023101</v>
      </c>
      <c r="L52" t="str">
        <f t="shared" si="9"/>
        <v>1023101_10</v>
      </c>
      <c r="M52" t="str">
        <f t="shared" si="10"/>
        <v>1023101_10|1980000_10</v>
      </c>
    </row>
    <row r="53" spans="1:13">
      <c r="A53" s="1" t="s">
        <v>254</v>
      </c>
      <c r="B53" t="str" cm="1">
        <f t="array" ref="B53">_xlfn.TEXTSPLIT(A53,";")</f>
        <v>1023102_2</v>
      </c>
      <c r="D53" t="str" cm="1">
        <f t="array" ref="D53:E53">_xlfn.TEXTSPLIT(B53,"_")</f>
        <v>1023102</v>
      </c>
      <c r="E53" t="str">
        <v>2</v>
      </c>
      <c r="F53" t="str" cm="1">
        <f t="array" ref="F53">IFERROR(_xlfn.TEXTSPLIT(C53,"_",,TRUE),"")</f>
        <v/>
      </c>
      <c r="H53">
        <f t="shared" si="8"/>
        <v>180</v>
      </c>
      <c r="I53">
        <f>H53/K47</f>
        <v>3</v>
      </c>
      <c r="J53">
        <f t="shared" si="11"/>
        <v>1023101</v>
      </c>
      <c r="L53" t="str">
        <f t="shared" si="9"/>
        <v>1023101_3</v>
      </c>
      <c r="M53" t="str">
        <f t="shared" si="10"/>
        <v>1023101_3</v>
      </c>
    </row>
    <row r="54" spans="1:13">
      <c r="A54" s="1" t="s">
        <v>238</v>
      </c>
      <c r="B54" t="str" cm="1">
        <f t="array" ref="B54">_xlfn.TEXTSPLIT(A54,";")</f>
        <v>1023102_4</v>
      </c>
      <c r="D54" t="str" cm="1">
        <f t="array" ref="D54:E54">_xlfn.TEXTSPLIT(B54,"_")</f>
        <v>1023102</v>
      </c>
      <c r="E54" t="str">
        <v>4</v>
      </c>
      <c r="F54" t="str" cm="1">
        <f t="array" ref="F54">IFERROR(_xlfn.TEXTSPLIT(C54,"_",,TRUE),"")</f>
        <v/>
      </c>
      <c r="H54">
        <f t="shared" si="8"/>
        <v>360</v>
      </c>
      <c r="I54">
        <f>H54/K47</f>
        <v>6</v>
      </c>
      <c r="J54">
        <f t="shared" si="11"/>
        <v>1023101</v>
      </c>
      <c r="L54" t="str">
        <f t="shared" si="9"/>
        <v>1023101_6</v>
      </c>
      <c r="M54" t="str">
        <f t="shared" si="10"/>
        <v>1023101_6</v>
      </c>
    </row>
    <row r="55" spans="1:13">
      <c r="A55" s="1" t="s">
        <v>239</v>
      </c>
      <c r="B55" t="str" cm="1">
        <f t="array" ref="B55">_xlfn.TEXTSPLIT(A55,";")</f>
        <v>1023102_8</v>
      </c>
      <c r="D55" t="str" cm="1">
        <f t="array" ref="D55:E55">_xlfn.TEXTSPLIT(B55,"_")</f>
        <v>1023102</v>
      </c>
      <c r="E55" t="str">
        <v>8</v>
      </c>
      <c r="F55" t="str" cm="1">
        <f t="array" ref="F55">IFERROR(_xlfn.TEXTSPLIT(C55,"_",,TRUE),"")</f>
        <v/>
      </c>
      <c r="H55">
        <f t="shared" si="8"/>
        <v>720</v>
      </c>
      <c r="I55">
        <f>H55/K47</f>
        <v>12</v>
      </c>
      <c r="J55">
        <f t="shared" si="11"/>
        <v>1023101</v>
      </c>
      <c r="L55" t="str">
        <f t="shared" si="9"/>
        <v>1023101_12</v>
      </c>
      <c r="M55" t="str">
        <f t="shared" si="10"/>
        <v>1023101_12</v>
      </c>
    </row>
    <row r="56" spans="1:13">
      <c r="A56" s="1" t="s">
        <v>255</v>
      </c>
      <c r="B56" t="str" cm="1">
        <f t="array" ref="B56:C56">_xlfn.TEXTSPLIT(A56,";")</f>
        <v>1023102_12</v>
      </c>
      <c r="C56" t="str">
        <v>1980000_100</v>
      </c>
      <c r="D56" t="str" cm="1">
        <f t="array" ref="D56:E56">_xlfn.TEXTSPLIT(B56,"_")</f>
        <v>1023102</v>
      </c>
      <c r="E56" t="str">
        <v>12</v>
      </c>
      <c r="F56" t="str" cm="1">
        <f t="array" ref="F56:G56">IFERROR(_xlfn.TEXTSPLIT(C56,"_",,TRUE),"")</f>
        <v>1980000</v>
      </c>
      <c r="G56" t="str">
        <v>100</v>
      </c>
      <c r="H56">
        <f t="shared" si="8"/>
        <v>1080</v>
      </c>
      <c r="I56">
        <f>H56/K47</f>
        <v>18</v>
      </c>
      <c r="J56">
        <f t="shared" si="11"/>
        <v>1023101</v>
      </c>
      <c r="L56" t="str">
        <f t="shared" si="9"/>
        <v>1023101_18</v>
      </c>
      <c r="M56" t="str">
        <f t="shared" si="10"/>
        <v>1023101_18|1980000_100</v>
      </c>
    </row>
    <row r="57" spans="1:13">
      <c r="A57" s="1" t="s">
        <v>256</v>
      </c>
      <c r="B57" t="str" cm="1">
        <f t="array" ref="B57">_xlfn.TEXTSPLIT(A57,";")</f>
        <v>1023103_2</v>
      </c>
      <c r="D57" t="str" cm="1">
        <f t="array" ref="D57:E57">_xlfn.TEXTSPLIT(B57,"_")</f>
        <v>1023103</v>
      </c>
      <c r="E57" t="str">
        <v>2</v>
      </c>
      <c r="F57" t="str" cm="1">
        <f t="array" ref="F57">IFERROR(_xlfn.TEXTSPLIT(C57,"_",,TRUE),"")</f>
        <v/>
      </c>
      <c r="H57">
        <f t="shared" si="8"/>
        <v>240</v>
      </c>
      <c r="I57">
        <f>H57/K47</f>
        <v>4</v>
      </c>
      <c r="J57">
        <f t="shared" si="11"/>
        <v>1023101</v>
      </c>
      <c r="L57" t="str">
        <f t="shared" si="9"/>
        <v>1023101_4</v>
      </c>
      <c r="M57" t="str">
        <f t="shared" si="10"/>
        <v>1023101_4</v>
      </c>
    </row>
    <row r="58" spans="1:13">
      <c r="A58" s="1" t="s">
        <v>242</v>
      </c>
      <c r="B58" t="str" cm="1">
        <f t="array" ref="B58">_xlfn.TEXTSPLIT(A58,";")</f>
        <v>1023103_4</v>
      </c>
      <c r="D58" t="str" cm="1">
        <f t="array" ref="D58:E58">_xlfn.TEXTSPLIT(B58,"_")</f>
        <v>1023103</v>
      </c>
      <c r="E58" t="str">
        <v>4</v>
      </c>
      <c r="F58" t="str" cm="1">
        <f t="array" ref="F58">IFERROR(_xlfn.TEXTSPLIT(C58,"_",,TRUE),"")</f>
        <v/>
      </c>
      <c r="H58">
        <f t="shared" si="8"/>
        <v>480</v>
      </c>
      <c r="I58">
        <f>H58/K47</f>
        <v>8</v>
      </c>
      <c r="J58">
        <f t="shared" si="11"/>
        <v>1023101</v>
      </c>
      <c r="L58" t="str">
        <f t="shared" si="9"/>
        <v>1023101_8</v>
      </c>
      <c r="M58" t="str">
        <f t="shared" si="10"/>
        <v>1023101_8</v>
      </c>
    </row>
    <row r="59" spans="1:13">
      <c r="A59" s="1" t="s">
        <v>243</v>
      </c>
      <c r="B59" t="str" cm="1">
        <f t="array" ref="B59">_xlfn.TEXTSPLIT(A59,";")</f>
        <v>1023103_8</v>
      </c>
      <c r="D59" t="str" cm="1">
        <f t="array" ref="D59:E59">_xlfn.TEXTSPLIT(B59,"_")</f>
        <v>1023103</v>
      </c>
      <c r="E59" t="str">
        <v>8</v>
      </c>
      <c r="F59" t="str" cm="1">
        <f t="array" ref="F59">IFERROR(_xlfn.TEXTSPLIT(C59,"_",,TRUE),"")</f>
        <v/>
      </c>
      <c r="H59">
        <f t="shared" si="8"/>
        <v>960</v>
      </c>
      <c r="I59">
        <f>H59/K47</f>
        <v>16</v>
      </c>
      <c r="J59">
        <f t="shared" si="11"/>
        <v>1023101</v>
      </c>
      <c r="L59" t="str">
        <f t="shared" si="9"/>
        <v>1023101_16</v>
      </c>
      <c r="M59" t="str">
        <f t="shared" si="10"/>
        <v>1023101_16</v>
      </c>
    </row>
    <row r="60" spans="1:13">
      <c r="A60" s="1" t="s">
        <v>257</v>
      </c>
      <c r="B60" t="str" cm="1">
        <f t="array" ref="B60:C60">_xlfn.TEXTSPLIT(A60,";")</f>
        <v>1023103_12</v>
      </c>
      <c r="C60" t="str">
        <v>1980000_300</v>
      </c>
      <c r="D60" t="str" cm="1">
        <f t="array" ref="D60:E60">_xlfn.TEXTSPLIT(B60,"_")</f>
        <v>1023103</v>
      </c>
      <c r="E60" t="str">
        <v>12</v>
      </c>
      <c r="F60" t="str" cm="1">
        <f t="array" ref="F60:G60">IFERROR(_xlfn.TEXTSPLIT(C60,"_",,TRUE),"")</f>
        <v>1980000</v>
      </c>
      <c r="G60" t="str">
        <v>300</v>
      </c>
      <c r="H60">
        <f t="shared" si="8"/>
        <v>1440</v>
      </c>
      <c r="I60">
        <f>H60/K47</f>
        <v>24</v>
      </c>
      <c r="J60">
        <f t="shared" si="11"/>
        <v>1023101</v>
      </c>
      <c r="L60" t="str">
        <f t="shared" si="9"/>
        <v>1023101_24</v>
      </c>
      <c r="M60" t="str">
        <f t="shared" si="10"/>
        <v>1023101_24|1980000_300</v>
      </c>
    </row>
    <row r="61" spans="1:13">
      <c r="A61" s="1" t="s">
        <v>258</v>
      </c>
      <c r="B61" t="str" cm="1">
        <f t="array" ref="B61">_xlfn.TEXTSPLIT(A61,";")</f>
        <v>1023104_3</v>
      </c>
      <c r="D61" t="str" cm="1">
        <f t="array" ref="D61:E61">_xlfn.TEXTSPLIT(B61,"_")</f>
        <v>1023104</v>
      </c>
      <c r="E61" t="str">
        <v>3</v>
      </c>
      <c r="F61" t="str" cm="1">
        <f t="array" ref="F61">IFERROR(_xlfn.TEXTSPLIT(C61,"_",,TRUE),"")</f>
        <v/>
      </c>
      <c r="H61">
        <f t="shared" si="8"/>
        <v>540</v>
      </c>
      <c r="I61">
        <f>H61/K47</f>
        <v>9</v>
      </c>
      <c r="J61">
        <f t="shared" si="11"/>
        <v>1023101</v>
      </c>
      <c r="L61" t="str">
        <f t="shared" si="9"/>
        <v>1023101_9</v>
      </c>
      <c r="M61" t="str">
        <f t="shared" si="10"/>
        <v>1023101_9</v>
      </c>
    </row>
    <row r="62" spans="1:13">
      <c r="A62" s="1" t="s">
        <v>246</v>
      </c>
      <c r="B62" t="str" cm="1">
        <f t="array" ref="B62">_xlfn.TEXTSPLIT(A62,";")</f>
        <v>1023104_6</v>
      </c>
      <c r="D62" t="str" cm="1">
        <f t="array" ref="D62:E62">_xlfn.TEXTSPLIT(B62,"_")</f>
        <v>1023104</v>
      </c>
      <c r="E62" t="str">
        <v>6</v>
      </c>
      <c r="F62" t="str" cm="1">
        <f t="array" ref="F62">IFERROR(_xlfn.TEXTSPLIT(C62,"_",,TRUE),"")</f>
        <v/>
      </c>
      <c r="H62">
        <f t="shared" si="8"/>
        <v>1080</v>
      </c>
      <c r="I62">
        <f>H62/K47</f>
        <v>18</v>
      </c>
      <c r="J62">
        <f t="shared" si="11"/>
        <v>1023101</v>
      </c>
      <c r="L62" t="str">
        <f t="shared" si="9"/>
        <v>1023101_18</v>
      </c>
      <c r="M62" t="str">
        <f t="shared" si="10"/>
        <v>1023101_18</v>
      </c>
    </row>
    <row r="63" spans="1:13">
      <c r="A63" s="1" t="s">
        <v>259</v>
      </c>
      <c r="B63" t="str" cm="1">
        <f t="array" ref="B63:C63">_xlfn.TEXTSPLIT(A63,";")</f>
        <v>1023104_12</v>
      </c>
      <c r="C63" t="str">
        <v>1980000_600</v>
      </c>
      <c r="D63" t="str" cm="1">
        <f t="array" ref="D63:E63">_xlfn.TEXTSPLIT(B63,"_")</f>
        <v>1023104</v>
      </c>
      <c r="E63" t="str">
        <v>12</v>
      </c>
      <c r="F63" t="str" cm="1">
        <f t="array" ref="F63:G63">IFERROR(_xlfn.TEXTSPLIT(C63,"_",,TRUE),"")</f>
        <v>1980000</v>
      </c>
      <c r="G63" t="str">
        <v>600</v>
      </c>
      <c r="H63">
        <f t="shared" si="8"/>
        <v>2160</v>
      </c>
      <c r="I63">
        <f>H63/K47</f>
        <v>36</v>
      </c>
      <c r="J63">
        <f t="shared" si="11"/>
        <v>1023101</v>
      </c>
      <c r="L63" t="str">
        <f t="shared" si="9"/>
        <v>1023101_36</v>
      </c>
      <c r="M63" t="str">
        <f t="shared" si="10"/>
        <v>1023101_36|1980000_600</v>
      </c>
    </row>
    <row r="64" spans="1:13">
      <c r="A64" s="1" t="s">
        <v>260</v>
      </c>
      <c r="B64" t="str" cm="1">
        <f t="array" ref="B64">_xlfn.TEXTSPLIT(A64,";")</f>
        <v>1023105_3</v>
      </c>
      <c r="D64" t="str" cm="1">
        <f t="array" ref="D64:E64">_xlfn.TEXTSPLIT(B64,"_")</f>
        <v>1023105</v>
      </c>
      <c r="E64" t="str">
        <v>3</v>
      </c>
      <c r="F64" t="str" cm="1">
        <f t="array" ref="F64">IFERROR(_xlfn.TEXTSPLIT(C64,"_",,TRUE),"")</f>
        <v/>
      </c>
      <c r="H64">
        <f t="shared" si="8"/>
        <v>1080</v>
      </c>
      <c r="I64">
        <f>H64/K47</f>
        <v>18</v>
      </c>
      <c r="J64">
        <f t="shared" si="11"/>
        <v>1023101</v>
      </c>
      <c r="L64" t="str">
        <f t="shared" si="9"/>
        <v>1023101_18</v>
      </c>
      <c r="M64" t="str">
        <f t="shared" si="10"/>
        <v>1023101_18</v>
      </c>
    </row>
    <row r="65" spans="1:13">
      <c r="A65" s="1" t="s">
        <v>249</v>
      </c>
      <c r="B65" t="str" cm="1">
        <f t="array" ref="B65">_xlfn.TEXTSPLIT(A65,";")</f>
        <v>1023105_6</v>
      </c>
      <c r="D65" t="str" cm="1">
        <f t="array" ref="D65:E65">_xlfn.TEXTSPLIT(B65,"_")</f>
        <v>1023105</v>
      </c>
      <c r="E65" t="str">
        <v>6</v>
      </c>
      <c r="F65" t="str" cm="1">
        <f t="array" ref="F65">IFERROR(_xlfn.TEXTSPLIT(C65,"_",,TRUE),"")</f>
        <v/>
      </c>
      <c r="H65">
        <f t="shared" si="8"/>
        <v>2160</v>
      </c>
      <c r="I65">
        <f>H65/K47</f>
        <v>36</v>
      </c>
      <c r="J65">
        <f t="shared" si="11"/>
        <v>1023101</v>
      </c>
      <c r="L65" t="str">
        <f t="shared" si="9"/>
        <v>1023101_36</v>
      </c>
      <c r="M65" t="str">
        <f t="shared" si="10"/>
        <v>1023101_36</v>
      </c>
    </row>
    <row r="66" spans="1:13">
      <c r="A66" s="1" t="s">
        <v>250</v>
      </c>
      <c r="B66" t="str" cm="1">
        <f t="array" ref="B66">_xlfn.TEXTSPLIT(A66,";")</f>
        <v>1023105_12</v>
      </c>
      <c r="D66" t="str" cm="1">
        <f t="array" ref="D66:E66">_xlfn.TEXTSPLIT(B66,"_")</f>
        <v>1023105</v>
      </c>
      <c r="E66" t="str">
        <v>12</v>
      </c>
      <c r="F66" t="str" cm="1">
        <f t="array" ref="F66">IFERROR(_xlfn.TEXTSPLIT(C66,"_",,TRUE),"")</f>
        <v/>
      </c>
      <c r="H66">
        <f t="shared" si="8"/>
        <v>4320</v>
      </c>
      <c r="I66">
        <f>H66/K47</f>
        <v>72</v>
      </c>
      <c r="J66">
        <f t="shared" si="11"/>
        <v>1023101</v>
      </c>
      <c r="L66" t="str">
        <f t="shared" si="9"/>
        <v>1023101_72</v>
      </c>
      <c r="M66" t="str">
        <f t="shared" si="10"/>
        <v>1023101_72</v>
      </c>
    </row>
    <row r="68" spans="1:13">
      <c r="A68" s="1" t="s">
        <v>158</v>
      </c>
      <c r="B68" t="str" cm="1">
        <f t="array" ref="B68">_xlfn.TEXTSPLIT(A68,";")</f>
        <v>1023401_4</v>
      </c>
      <c r="D68" t="str" cm="1">
        <f t="array" ref="D68:E68">_xlfn.TEXTSPLIT(B68,"_")</f>
        <v>1023401</v>
      </c>
      <c r="E68" t="str">
        <v>4</v>
      </c>
      <c r="F68" t="str" cm="1">
        <f t="array" ref="F68">IFERROR(_xlfn.TEXTSPLIT(C68,"_",,TRUE),"")</f>
        <v/>
      </c>
      <c r="H68">
        <f t="shared" ref="H68:H87" si="12">_xlfn.XLOOKUP(VALUE(D68),$O$5:$O$29,$P$5:$P$29)*E68</f>
        <v>3840</v>
      </c>
      <c r="I68">
        <f>H68/K68</f>
        <v>4</v>
      </c>
      <c r="J68">
        <f>VALUE(D68)</f>
        <v>1023401</v>
      </c>
      <c r="K68">
        <f>_xlfn.XLOOKUP(VALUE(J68),$O$5:$O$29,$P$5:$P$29)</f>
        <v>960</v>
      </c>
      <c r="L68" t="str">
        <f t="shared" ref="L68:L87" si="13">_xlfn.TEXTJOIN("_",TRUE,J68,I68)</f>
        <v>1023401_4</v>
      </c>
      <c r="M68" t="str">
        <f t="shared" ref="M68:M87" si="14">_xlfn.TEXTJOIN("|",TRUE,L68,C68)</f>
        <v>1023401_4</v>
      </c>
    </row>
    <row r="69" spans="1:13">
      <c r="A69" s="1" t="s">
        <v>159</v>
      </c>
      <c r="B69" t="str" cm="1">
        <f t="array" ref="B69">_xlfn.TEXTSPLIT(A69,";")</f>
        <v>1023401_8</v>
      </c>
      <c r="D69" t="str" cm="1">
        <f t="array" ref="D69:E69">_xlfn.TEXTSPLIT(B69,"_")</f>
        <v>1023401</v>
      </c>
      <c r="E69" t="str">
        <v>8</v>
      </c>
      <c r="F69" t="str" cm="1">
        <f t="array" ref="F69">IFERROR(_xlfn.TEXTSPLIT(C69,"_",,TRUE),"")</f>
        <v/>
      </c>
      <c r="H69">
        <f t="shared" si="12"/>
        <v>7680</v>
      </c>
      <c r="I69">
        <f>H69/K68</f>
        <v>8</v>
      </c>
      <c r="J69">
        <f t="shared" ref="J69:J87" si="15">J68</f>
        <v>1023401</v>
      </c>
      <c r="L69" t="str">
        <f t="shared" si="13"/>
        <v>1023401_8</v>
      </c>
      <c r="M69" t="str">
        <f t="shared" si="14"/>
        <v>1023401_8</v>
      </c>
    </row>
    <row r="70" spans="1:13">
      <c r="A70" s="1" t="s">
        <v>160</v>
      </c>
      <c r="B70" t="str" cm="1">
        <f t="array" ref="B70">_xlfn.TEXTSPLIT(A70,";")</f>
        <v>1023401_16</v>
      </c>
      <c r="D70" t="str" cm="1">
        <f t="array" ref="D70:E70">_xlfn.TEXTSPLIT(B70,"_")</f>
        <v>1023401</v>
      </c>
      <c r="E70" t="str">
        <v>16</v>
      </c>
      <c r="F70" t="str" cm="1">
        <f t="array" ref="F70">IFERROR(_xlfn.TEXTSPLIT(C70,"_",,TRUE),"")</f>
        <v/>
      </c>
      <c r="H70">
        <f t="shared" si="12"/>
        <v>15360</v>
      </c>
      <c r="I70">
        <f>H70/K68</f>
        <v>16</v>
      </c>
      <c r="J70">
        <f t="shared" si="15"/>
        <v>1023401</v>
      </c>
      <c r="L70" t="str">
        <f t="shared" si="13"/>
        <v>1023401_16</v>
      </c>
      <c r="M70" t="str">
        <f t="shared" si="14"/>
        <v>1023401_16</v>
      </c>
    </row>
    <row r="71" spans="1:13">
      <c r="A71" s="1" t="s">
        <v>161</v>
      </c>
      <c r="B71" t="str" cm="1">
        <f t="array" ref="B71">_xlfn.TEXTSPLIT(A71,";")</f>
        <v>1023401_24</v>
      </c>
      <c r="D71" t="str" cm="1">
        <f t="array" ref="D71:E71">_xlfn.TEXTSPLIT(B71,"_")</f>
        <v>1023401</v>
      </c>
      <c r="E71" t="str">
        <v>24</v>
      </c>
      <c r="F71" t="str" cm="1">
        <f t="array" ref="F71">IFERROR(_xlfn.TEXTSPLIT(C71,"_",,TRUE),"")</f>
        <v/>
      </c>
      <c r="H71">
        <f t="shared" si="12"/>
        <v>23040</v>
      </c>
      <c r="I71">
        <f>H71/K68</f>
        <v>24</v>
      </c>
      <c r="J71">
        <f t="shared" si="15"/>
        <v>1023401</v>
      </c>
      <c r="L71" t="str">
        <f t="shared" si="13"/>
        <v>1023401_24</v>
      </c>
      <c r="M71" t="str">
        <f t="shared" si="14"/>
        <v>1023401_24</v>
      </c>
    </row>
    <row r="72" spans="1:13">
      <c r="A72" s="1" t="s">
        <v>162</v>
      </c>
      <c r="B72" t="str" cm="1">
        <f t="array" ref="B72">_xlfn.TEXTSPLIT(A72,";")</f>
        <v>1023401_32</v>
      </c>
      <c r="D72" t="str" cm="1">
        <f t="array" ref="D72:E72">_xlfn.TEXTSPLIT(B72,"_")</f>
        <v>1023401</v>
      </c>
      <c r="E72" t="str">
        <v>32</v>
      </c>
      <c r="F72" t="str" cm="1">
        <f t="array" ref="F72">IFERROR(_xlfn.TEXTSPLIT(C72,"_",,TRUE),"")</f>
        <v/>
      </c>
      <c r="H72">
        <f t="shared" si="12"/>
        <v>30720</v>
      </c>
      <c r="I72">
        <f>H72/K68</f>
        <v>32</v>
      </c>
      <c r="J72">
        <f t="shared" si="15"/>
        <v>1023401</v>
      </c>
      <c r="L72" t="str">
        <f t="shared" si="13"/>
        <v>1023401_32</v>
      </c>
      <c r="M72" t="str">
        <f t="shared" si="14"/>
        <v>1023401_32</v>
      </c>
    </row>
    <row r="73" spans="1:13">
      <c r="A73" s="1" t="s">
        <v>261</v>
      </c>
      <c r="B73" t="str" cm="1">
        <f t="array" ref="B73:C73">_xlfn.TEXTSPLIT(A73,";")</f>
        <v>1023401_40</v>
      </c>
      <c r="C73" t="str">
        <v>1980000_10</v>
      </c>
      <c r="D73" t="str" cm="1">
        <f t="array" ref="D73:E73">_xlfn.TEXTSPLIT(B73,"_")</f>
        <v>1023401</v>
      </c>
      <c r="E73" t="str">
        <v>40</v>
      </c>
      <c r="F73" t="str" cm="1">
        <f t="array" ref="F73:G73">IFERROR(_xlfn.TEXTSPLIT(C73,"_",,TRUE),"")</f>
        <v>1980000</v>
      </c>
      <c r="G73" t="str">
        <v>10</v>
      </c>
      <c r="H73">
        <f t="shared" si="12"/>
        <v>38400</v>
      </c>
      <c r="I73">
        <f>H73/K68</f>
        <v>40</v>
      </c>
      <c r="J73">
        <f t="shared" si="15"/>
        <v>1023401</v>
      </c>
      <c r="L73" t="str">
        <f t="shared" si="13"/>
        <v>1023401_40</v>
      </c>
      <c r="M73" t="str">
        <f t="shared" si="14"/>
        <v>1023401_40|1980000_10</v>
      </c>
    </row>
    <row r="74" spans="1:13">
      <c r="A74" s="1" t="s">
        <v>262</v>
      </c>
      <c r="B74" t="str" cm="1">
        <f t="array" ref="B74">_xlfn.TEXTSPLIT(A74,";")</f>
        <v>1023402_8</v>
      </c>
      <c r="D74" t="str" cm="1">
        <f t="array" ref="D74:E74">_xlfn.TEXTSPLIT(B74,"_")</f>
        <v>1023402</v>
      </c>
      <c r="E74" t="str">
        <v>8</v>
      </c>
      <c r="F74" t="str" cm="1">
        <f t="array" ref="F74">IFERROR(_xlfn.TEXTSPLIT(C74,"_",,TRUE),"")</f>
        <v/>
      </c>
      <c r="H74">
        <f t="shared" si="12"/>
        <v>11520</v>
      </c>
      <c r="I74">
        <f>H74/K68</f>
        <v>12</v>
      </c>
      <c r="J74">
        <f t="shared" si="15"/>
        <v>1023401</v>
      </c>
      <c r="L74" t="str">
        <f t="shared" si="13"/>
        <v>1023401_12</v>
      </c>
      <c r="M74" t="str">
        <f t="shared" si="14"/>
        <v>1023401_12</v>
      </c>
    </row>
    <row r="75" spans="1:13">
      <c r="A75" s="1" t="s">
        <v>263</v>
      </c>
      <c r="B75" t="str" cm="1">
        <f t="array" ref="B75">_xlfn.TEXTSPLIT(A75,";")</f>
        <v>1023402_16</v>
      </c>
      <c r="D75" t="str" cm="1">
        <f t="array" ref="D75:E75">_xlfn.TEXTSPLIT(B75,"_")</f>
        <v>1023402</v>
      </c>
      <c r="E75" t="str">
        <v>16</v>
      </c>
      <c r="F75" t="str" cm="1">
        <f t="array" ref="F75">IFERROR(_xlfn.TEXTSPLIT(C75,"_",,TRUE),"")</f>
        <v/>
      </c>
      <c r="H75">
        <f t="shared" si="12"/>
        <v>23040</v>
      </c>
      <c r="I75">
        <f>H75/K68</f>
        <v>24</v>
      </c>
      <c r="J75">
        <f t="shared" si="15"/>
        <v>1023401</v>
      </c>
      <c r="L75" t="str">
        <f t="shared" si="13"/>
        <v>1023401_24</v>
      </c>
      <c r="M75" t="str">
        <f t="shared" si="14"/>
        <v>1023401_24</v>
      </c>
    </row>
    <row r="76" spans="1:13">
      <c r="A76" s="1" t="s">
        <v>264</v>
      </c>
      <c r="B76" t="str" cm="1">
        <f t="array" ref="B76">_xlfn.TEXTSPLIT(A76,";")</f>
        <v>1023402_32</v>
      </c>
      <c r="D76" t="str" cm="1">
        <f t="array" ref="D76:E76">_xlfn.TEXTSPLIT(B76,"_")</f>
        <v>1023402</v>
      </c>
      <c r="E76" t="str">
        <v>32</v>
      </c>
      <c r="F76" t="str" cm="1">
        <f t="array" ref="F76">IFERROR(_xlfn.TEXTSPLIT(C76,"_",,TRUE),"")</f>
        <v/>
      </c>
      <c r="H76">
        <f t="shared" si="12"/>
        <v>46080</v>
      </c>
      <c r="I76">
        <f>H76/K68</f>
        <v>48</v>
      </c>
      <c r="J76">
        <f t="shared" si="15"/>
        <v>1023401</v>
      </c>
      <c r="L76" t="str">
        <f t="shared" si="13"/>
        <v>1023401_48</v>
      </c>
      <c r="M76" t="str">
        <f t="shared" si="14"/>
        <v>1023401_48</v>
      </c>
    </row>
    <row r="77" spans="1:13">
      <c r="A77" s="1" t="s">
        <v>265</v>
      </c>
      <c r="B77" t="str" cm="1">
        <f t="array" ref="B77:C77">_xlfn.TEXTSPLIT(A77,";")</f>
        <v>1023402_48</v>
      </c>
      <c r="C77" t="str">
        <v>1980000_100</v>
      </c>
      <c r="D77" t="str" cm="1">
        <f t="array" ref="D77:E77">_xlfn.TEXTSPLIT(B77,"_")</f>
        <v>1023402</v>
      </c>
      <c r="E77" t="str">
        <v>48</v>
      </c>
      <c r="F77" t="str" cm="1">
        <f t="array" ref="F77:G77">IFERROR(_xlfn.TEXTSPLIT(C77,"_",,TRUE),"")</f>
        <v>1980000</v>
      </c>
      <c r="G77" t="str">
        <v>100</v>
      </c>
      <c r="H77">
        <f t="shared" si="12"/>
        <v>69120</v>
      </c>
      <c r="I77">
        <f>H77/K68</f>
        <v>72</v>
      </c>
      <c r="J77">
        <f t="shared" si="15"/>
        <v>1023401</v>
      </c>
      <c r="L77" t="str">
        <f t="shared" si="13"/>
        <v>1023401_72</v>
      </c>
      <c r="M77" t="str">
        <f t="shared" si="14"/>
        <v>1023401_72|1980000_100</v>
      </c>
    </row>
    <row r="78" spans="1:13">
      <c r="A78" s="1" t="s">
        <v>266</v>
      </c>
      <c r="B78" t="str" cm="1">
        <f t="array" ref="B78">_xlfn.TEXTSPLIT(A78,";")</f>
        <v>1023403_8</v>
      </c>
      <c r="D78" t="str" cm="1">
        <f t="array" ref="D78:E78">_xlfn.TEXTSPLIT(B78,"_")</f>
        <v>1023403</v>
      </c>
      <c r="E78" t="str">
        <v>8</v>
      </c>
      <c r="F78" t="str" cm="1">
        <f t="array" ref="F78">IFERROR(_xlfn.TEXTSPLIT(C78,"_",,TRUE),"")</f>
        <v/>
      </c>
      <c r="H78">
        <f t="shared" si="12"/>
        <v>15360</v>
      </c>
      <c r="I78">
        <f>H78/K68</f>
        <v>16</v>
      </c>
      <c r="J78">
        <f t="shared" si="15"/>
        <v>1023401</v>
      </c>
      <c r="L78" t="str">
        <f t="shared" si="13"/>
        <v>1023401_16</v>
      </c>
      <c r="M78" t="str">
        <f t="shared" si="14"/>
        <v>1023401_16</v>
      </c>
    </row>
    <row r="79" spans="1:13">
      <c r="A79" s="1" t="s">
        <v>267</v>
      </c>
      <c r="B79" t="str" cm="1">
        <f t="array" ref="B79">_xlfn.TEXTSPLIT(A79,";")</f>
        <v>1023403_16</v>
      </c>
      <c r="D79" t="str" cm="1">
        <f t="array" ref="D79:E79">_xlfn.TEXTSPLIT(B79,"_")</f>
        <v>1023403</v>
      </c>
      <c r="E79" t="str">
        <v>16</v>
      </c>
      <c r="F79" t="str" cm="1">
        <f t="array" ref="F79">IFERROR(_xlfn.TEXTSPLIT(C79,"_",,TRUE),"")</f>
        <v/>
      </c>
      <c r="H79">
        <f t="shared" si="12"/>
        <v>30720</v>
      </c>
      <c r="I79">
        <f>H79/K68</f>
        <v>32</v>
      </c>
      <c r="J79">
        <f t="shared" si="15"/>
        <v>1023401</v>
      </c>
      <c r="L79" t="str">
        <f t="shared" si="13"/>
        <v>1023401_32</v>
      </c>
      <c r="M79" t="str">
        <f t="shared" si="14"/>
        <v>1023401_32</v>
      </c>
    </row>
    <row r="80" spans="1:13">
      <c r="A80" s="1" t="s">
        <v>268</v>
      </c>
      <c r="B80" t="str" cm="1">
        <f t="array" ref="B80">_xlfn.TEXTSPLIT(A80,";")</f>
        <v>1023403_32</v>
      </c>
      <c r="D80" t="str" cm="1">
        <f t="array" ref="D80:E80">_xlfn.TEXTSPLIT(B80,"_")</f>
        <v>1023403</v>
      </c>
      <c r="E80" t="str">
        <v>32</v>
      </c>
      <c r="F80" t="str" cm="1">
        <f t="array" ref="F80">IFERROR(_xlfn.TEXTSPLIT(C80,"_",,TRUE),"")</f>
        <v/>
      </c>
      <c r="H80">
        <f t="shared" si="12"/>
        <v>61440</v>
      </c>
      <c r="I80">
        <f>H80/K68</f>
        <v>64</v>
      </c>
      <c r="J80">
        <f t="shared" si="15"/>
        <v>1023401</v>
      </c>
      <c r="L80" t="str">
        <f t="shared" si="13"/>
        <v>1023401_64</v>
      </c>
      <c r="M80" t="str">
        <f t="shared" si="14"/>
        <v>1023401_64</v>
      </c>
    </row>
    <row r="81" spans="1:13">
      <c r="A81" s="1" t="s">
        <v>269</v>
      </c>
      <c r="B81" t="str" cm="1">
        <f t="array" ref="B81:C81">_xlfn.TEXTSPLIT(A81,";")</f>
        <v>1023403_48</v>
      </c>
      <c r="C81" t="str">
        <v>1980000_300</v>
      </c>
      <c r="D81" t="str" cm="1">
        <f t="array" ref="D81:E81">_xlfn.TEXTSPLIT(B81,"_")</f>
        <v>1023403</v>
      </c>
      <c r="E81" t="str">
        <v>48</v>
      </c>
      <c r="F81" t="str" cm="1">
        <f t="array" ref="F81:G81">IFERROR(_xlfn.TEXTSPLIT(C81,"_",,TRUE),"")</f>
        <v>1980000</v>
      </c>
      <c r="G81" t="str">
        <v>300</v>
      </c>
      <c r="H81">
        <f t="shared" si="12"/>
        <v>92160</v>
      </c>
      <c r="I81">
        <f>H81/K68</f>
        <v>96</v>
      </c>
      <c r="J81">
        <f t="shared" si="15"/>
        <v>1023401</v>
      </c>
      <c r="L81" t="str">
        <f t="shared" si="13"/>
        <v>1023401_96</v>
      </c>
      <c r="M81" t="str">
        <f t="shared" si="14"/>
        <v>1023401_96|1980000_300</v>
      </c>
    </row>
    <row r="82" spans="1:13">
      <c r="A82" s="1" t="s">
        <v>270</v>
      </c>
      <c r="B82" t="str" cm="1">
        <f t="array" ref="B82">_xlfn.TEXTSPLIT(A82,";")</f>
        <v>1023404_12</v>
      </c>
      <c r="D82" t="str" cm="1">
        <f t="array" ref="D82:E82">_xlfn.TEXTSPLIT(B82,"_")</f>
        <v>1023404</v>
      </c>
      <c r="E82" t="str">
        <v>12</v>
      </c>
      <c r="F82" t="str" cm="1">
        <f t="array" ref="F82">IFERROR(_xlfn.TEXTSPLIT(C82,"_",,TRUE),"")</f>
        <v/>
      </c>
      <c r="H82">
        <f t="shared" si="12"/>
        <v>34560</v>
      </c>
      <c r="I82">
        <f>H82/K68</f>
        <v>36</v>
      </c>
      <c r="J82">
        <f t="shared" si="15"/>
        <v>1023401</v>
      </c>
      <c r="L82" t="str">
        <f t="shared" si="13"/>
        <v>1023401_36</v>
      </c>
      <c r="M82" t="str">
        <f t="shared" si="14"/>
        <v>1023401_36</v>
      </c>
    </row>
    <row r="83" spans="1:13">
      <c r="A83" s="1" t="s">
        <v>271</v>
      </c>
      <c r="B83" t="str" cm="1">
        <f t="array" ref="B83">_xlfn.TEXTSPLIT(A83,";")</f>
        <v>1023404_24</v>
      </c>
      <c r="D83" t="str" cm="1">
        <f t="array" ref="D83:E83">_xlfn.TEXTSPLIT(B83,"_")</f>
        <v>1023404</v>
      </c>
      <c r="E83" t="str">
        <v>24</v>
      </c>
      <c r="F83" t="str" cm="1">
        <f t="array" ref="F83">IFERROR(_xlfn.TEXTSPLIT(C83,"_",,TRUE),"")</f>
        <v/>
      </c>
      <c r="H83">
        <f t="shared" si="12"/>
        <v>69120</v>
      </c>
      <c r="I83">
        <f>H83/K68</f>
        <v>72</v>
      </c>
      <c r="J83">
        <f t="shared" si="15"/>
        <v>1023401</v>
      </c>
      <c r="L83" t="str">
        <f t="shared" si="13"/>
        <v>1023401_72</v>
      </c>
      <c r="M83" t="str">
        <f t="shared" si="14"/>
        <v>1023401_72</v>
      </c>
    </row>
    <row r="84" spans="1:13">
      <c r="A84" s="1" t="s">
        <v>272</v>
      </c>
      <c r="B84" t="str" cm="1">
        <f t="array" ref="B84:C84">_xlfn.TEXTSPLIT(A84,";")</f>
        <v>1023404_48</v>
      </c>
      <c r="C84" t="str">
        <v>1980000_600</v>
      </c>
      <c r="D84" t="str" cm="1">
        <f t="array" ref="D84:E84">_xlfn.TEXTSPLIT(B84,"_")</f>
        <v>1023404</v>
      </c>
      <c r="E84" t="str">
        <v>48</v>
      </c>
      <c r="F84" t="str" cm="1">
        <f t="array" ref="F84:G84">IFERROR(_xlfn.TEXTSPLIT(C84,"_",,TRUE),"")</f>
        <v>1980000</v>
      </c>
      <c r="G84" t="str">
        <v>600</v>
      </c>
      <c r="H84">
        <f t="shared" si="12"/>
        <v>138240</v>
      </c>
      <c r="I84">
        <f>H84/K68</f>
        <v>144</v>
      </c>
      <c r="J84">
        <f t="shared" si="15"/>
        <v>1023401</v>
      </c>
      <c r="L84" t="str">
        <f t="shared" si="13"/>
        <v>1023401_144</v>
      </c>
      <c r="M84" t="str">
        <f t="shared" si="14"/>
        <v>1023401_144|1980000_600</v>
      </c>
    </row>
    <row r="85" spans="1:13">
      <c r="A85" s="1" t="s">
        <v>273</v>
      </c>
      <c r="B85" t="str" cm="1">
        <f t="array" ref="B85">_xlfn.TEXTSPLIT(A85,";")</f>
        <v>1023405_12</v>
      </c>
      <c r="D85" t="str" cm="1">
        <f t="array" ref="D85:E85">_xlfn.TEXTSPLIT(B85,"_")</f>
        <v>1023405</v>
      </c>
      <c r="E85" t="str">
        <v>12</v>
      </c>
      <c r="F85" t="str" cm="1">
        <f t="array" ref="F85">IFERROR(_xlfn.TEXTSPLIT(C85,"_",,TRUE),"")</f>
        <v/>
      </c>
      <c r="H85">
        <f t="shared" si="12"/>
        <v>69120</v>
      </c>
      <c r="I85">
        <f>H85/K68</f>
        <v>72</v>
      </c>
      <c r="J85">
        <f t="shared" si="15"/>
        <v>1023401</v>
      </c>
      <c r="L85" t="str">
        <f t="shared" si="13"/>
        <v>1023401_72</v>
      </c>
      <c r="M85" t="str">
        <f t="shared" si="14"/>
        <v>1023401_72</v>
      </c>
    </row>
    <row r="86" spans="1:13">
      <c r="A86" s="1" t="s">
        <v>274</v>
      </c>
      <c r="B86" t="str" cm="1">
        <f t="array" ref="B86">_xlfn.TEXTSPLIT(A86,";")</f>
        <v>1023405_24</v>
      </c>
      <c r="D86" t="str" cm="1">
        <f t="array" ref="D86:E86">_xlfn.TEXTSPLIT(B86,"_")</f>
        <v>1023405</v>
      </c>
      <c r="E86" t="str">
        <v>24</v>
      </c>
      <c r="F86" t="str" cm="1">
        <f t="array" ref="F86">IFERROR(_xlfn.TEXTSPLIT(C86,"_",,TRUE),"")</f>
        <v/>
      </c>
      <c r="H86">
        <f t="shared" si="12"/>
        <v>138240</v>
      </c>
      <c r="I86">
        <f>H86/K68</f>
        <v>144</v>
      </c>
      <c r="J86">
        <f t="shared" si="15"/>
        <v>1023401</v>
      </c>
      <c r="L86" t="str">
        <f t="shared" si="13"/>
        <v>1023401_144</v>
      </c>
      <c r="M86" t="str">
        <f t="shared" si="14"/>
        <v>1023401_144</v>
      </c>
    </row>
    <row r="87" spans="1:13">
      <c r="A87" s="1" t="s">
        <v>275</v>
      </c>
      <c r="B87" t="str" cm="1">
        <f t="array" ref="B87">_xlfn.TEXTSPLIT(A87,";")</f>
        <v>1023405_48</v>
      </c>
      <c r="D87" t="str" cm="1">
        <f t="array" ref="D87:E87">_xlfn.TEXTSPLIT(B87,"_")</f>
        <v>1023405</v>
      </c>
      <c r="E87" t="str">
        <v>48</v>
      </c>
      <c r="F87" t="str" cm="1">
        <f t="array" ref="F87">IFERROR(_xlfn.TEXTSPLIT(C87,"_",,TRUE),"")</f>
        <v/>
      </c>
      <c r="H87">
        <f t="shared" si="12"/>
        <v>276480</v>
      </c>
      <c r="I87">
        <f>H87/K68</f>
        <v>288</v>
      </c>
      <c r="J87">
        <f t="shared" si="15"/>
        <v>1023401</v>
      </c>
      <c r="L87" t="str">
        <f t="shared" si="13"/>
        <v>1023401_288</v>
      </c>
      <c r="M87" t="str">
        <f t="shared" si="14"/>
        <v>1023401_288</v>
      </c>
    </row>
    <row r="89" spans="1:13">
      <c r="A89" s="1" t="s">
        <v>179</v>
      </c>
      <c r="B89" t="str" cm="1">
        <f t="array" ref="B89">_xlfn.TEXTSPLIT(A89,";")</f>
        <v>1023301_8</v>
      </c>
      <c r="D89" t="str" cm="1">
        <f t="array" ref="D89:E89">_xlfn.TEXTSPLIT(B89,"_")</f>
        <v>1023301</v>
      </c>
      <c r="E89" t="str">
        <v>8</v>
      </c>
      <c r="F89" t="str" cm="1">
        <f t="array" ref="F89">IFERROR(_xlfn.TEXTSPLIT(C89,"_",,TRUE),"")</f>
        <v/>
      </c>
      <c r="H89">
        <f t="shared" ref="H89:H108" si="16">_xlfn.XLOOKUP(VALUE(D89),$O$5:$O$29,$P$5:$P$29)*E89</f>
        <v>3840</v>
      </c>
      <c r="I89">
        <f>H89/K89</f>
        <v>8</v>
      </c>
      <c r="J89">
        <f>VALUE(D89)</f>
        <v>1023301</v>
      </c>
      <c r="K89">
        <f>_xlfn.XLOOKUP(VALUE(J89),$O$5:$O$29,$P$5:$P$29)</f>
        <v>480</v>
      </c>
      <c r="L89" t="str">
        <f t="shared" ref="L89:L108" si="17">_xlfn.TEXTJOIN("_",TRUE,J89,I89)</f>
        <v>1023301_8</v>
      </c>
      <c r="M89" t="str">
        <f t="shared" ref="M89:M108" si="18">_xlfn.TEXTJOIN("|",TRUE,L89,C89)</f>
        <v>1023301_8</v>
      </c>
    </row>
    <row r="90" spans="1:13">
      <c r="A90" s="1" t="s">
        <v>180</v>
      </c>
      <c r="B90" t="str" cm="1">
        <f t="array" ref="B90">_xlfn.TEXTSPLIT(A90,";")</f>
        <v>1023301_16</v>
      </c>
      <c r="D90" t="str" cm="1">
        <f t="array" ref="D90:E90">_xlfn.TEXTSPLIT(B90,"_")</f>
        <v>1023301</v>
      </c>
      <c r="E90" t="str">
        <v>16</v>
      </c>
      <c r="F90" t="str" cm="1">
        <f t="array" ref="F90">IFERROR(_xlfn.TEXTSPLIT(C90,"_",,TRUE),"")</f>
        <v/>
      </c>
      <c r="H90">
        <f t="shared" si="16"/>
        <v>7680</v>
      </c>
      <c r="I90">
        <f>H90/K89</f>
        <v>16</v>
      </c>
      <c r="J90">
        <f t="shared" ref="J90:J108" si="19">J89</f>
        <v>1023301</v>
      </c>
      <c r="L90" t="str">
        <f t="shared" si="17"/>
        <v>1023301_16</v>
      </c>
      <c r="M90" t="str">
        <f t="shared" si="18"/>
        <v>1023301_16</v>
      </c>
    </row>
    <row r="91" spans="1:13">
      <c r="A91" s="1" t="s">
        <v>181</v>
      </c>
      <c r="B91" t="str" cm="1">
        <f t="array" ref="B91">_xlfn.TEXTSPLIT(A91,";")</f>
        <v>1023301_32</v>
      </c>
      <c r="D91" t="str" cm="1">
        <f t="array" ref="D91:E91">_xlfn.TEXTSPLIT(B91,"_")</f>
        <v>1023301</v>
      </c>
      <c r="E91" t="str">
        <v>32</v>
      </c>
      <c r="F91" t="str" cm="1">
        <f t="array" ref="F91">IFERROR(_xlfn.TEXTSPLIT(C91,"_",,TRUE),"")</f>
        <v/>
      </c>
      <c r="H91">
        <f t="shared" si="16"/>
        <v>15360</v>
      </c>
      <c r="I91">
        <f>H91/K89</f>
        <v>32</v>
      </c>
      <c r="J91">
        <f t="shared" si="19"/>
        <v>1023301</v>
      </c>
      <c r="L91" t="str">
        <f t="shared" si="17"/>
        <v>1023301_32</v>
      </c>
      <c r="M91" t="str">
        <f t="shared" si="18"/>
        <v>1023301_32</v>
      </c>
    </row>
    <row r="92" spans="1:13">
      <c r="A92" s="1" t="s">
        <v>182</v>
      </c>
      <c r="B92" t="str" cm="1">
        <f t="array" ref="B92">_xlfn.TEXTSPLIT(A92,";")</f>
        <v>1023301_48</v>
      </c>
      <c r="D92" t="str" cm="1">
        <f t="array" ref="D92:E92">_xlfn.TEXTSPLIT(B92,"_")</f>
        <v>1023301</v>
      </c>
      <c r="E92" t="str">
        <v>48</v>
      </c>
      <c r="F92" t="str" cm="1">
        <f t="array" ref="F92">IFERROR(_xlfn.TEXTSPLIT(C92,"_",,TRUE),"")</f>
        <v/>
      </c>
      <c r="H92">
        <f t="shared" si="16"/>
        <v>23040</v>
      </c>
      <c r="I92">
        <f>H92/K89</f>
        <v>48</v>
      </c>
      <c r="J92">
        <f t="shared" si="19"/>
        <v>1023301</v>
      </c>
      <c r="L92" t="str">
        <f t="shared" si="17"/>
        <v>1023301_48</v>
      </c>
      <c r="M92" t="str">
        <f t="shared" si="18"/>
        <v>1023301_48</v>
      </c>
    </row>
    <row r="93" spans="1:13">
      <c r="A93" s="1" t="s">
        <v>183</v>
      </c>
      <c r="B93" t="str" cm="1">
        <f t="array" ref="B93">_xlfn.TEXTSPLIT(A93,";")</f>
        <v>1023301_64</v>
      </c>
      <c r="D93" t="str" cm="1">
        <f t="array" ref="D93:E93">_xlfn.TEXTSPLIT(B93,"_")</f>
        <v>1023301</v>
      </c>
      <c r="E93" t="str">
        <v>64</v>
      </c>
      <c r="F93" t="str" cm="1">
        <f t="array" ref="F93">IFERROR(_xlfn.TEXTSPLIT(C93,"_",,TRUE),"")</f>
        <v/>
      </c>
      <c r="H93">
        <f t="shared" si="16"/>
        <v>30720</v>
      </c>
      <c r="I93">
        <f>H93/K89</f>
        <v>64</v>
      </c>
      <c r="J93">
        <f t="shared" si="19"/>
        <v>1023301</v>
      </c>
      <c r="L93" t="str">
        <f t="shared" si="17"/>
        <v>1023301_64</v>
      </c>
      <c r="M93" t="str">
        <f t="shared" si="18"/>
        <v>1023301_64</v>
      </c>
    </row>
    <row r="94" spans="1:13">
      <c r="A94" s="1" t="s">
        <v>276</v>
      </c>
      <c r="B94" t="str" cm="1">
        <f t="array" ref="B94:C94">_xlfn.TEXTSPLIT(A94,";")</f>
        <v>1023301_80</v>
      </c>
      <c r="C94" t="str">
        <v>1980000_10</v>
      </c>
      <c r="D94" t="str" cm="1">
        <f t="array" ref="D94:E94">_xlfn.TEXTSPLIT(B94,"_")</f>
        <v>1023301</v>
      </c>
      <c r="E94" t="str">
        <v>80</v>
      </c>
      <c r="F94" t="str" cm="1">
        <f t="array" ref="F94:G94">IFERROR(_xlfn.TEXTSPLIT(C94,"_",,TRUE),"")</f>
        <v>1980000</v>
      </c>
      <c r="G94" t="str">
        <v>10</v>
      </c>
      <c r="H94">
        <f t="shared" si="16"/>
        <v>38400</v>
      </c>
      <c r="I94">
        <f>H94/K89</f>
        <v>80</v>
      </c>
      <c r="J94">
        <f t="shared" si="19"/>
        <v>1023301</v>
      </c>
      <c r="L94" t="str">
        <f t="shared" si="17"/>
        <v>1023301_80</v>
      </c>
      <c r="M94" t="str">
        <f t="shared" si="18"/>
        <v>1023301_80|1980000_10</v>
      </c>
    </row>
    <row r="95" spans="1:13">
      <c r="A95" s="1" t="s">
        <v>277</v>
      </c>
      <c r="B95" t="str" cm="1">
        <f t="array" ref="B95">_xlfn.TEXTSPLIT(A95,";")</f>
        <v>1023302_16</v>
      </c>
      <c r="D95" t="str" cm="1">
        <f t="array" ref="D95:E95">_xlfn.TEXTSPLIT(B95,"_")</f>
        <v>1023302</v>
      </c>
      <c r="E95" t="str">
        <v>16</v>
      </c>
      <c r="F95" t="str" cm="1">
        <f t="array" ref="F95">IFERROR(_xlfn.TEXTSPLIT(C95,"_",,TRUE),"")</f>
        <v/>
      </c>
      <c r="H95">
        <f t="shared" si="16"/>
        <v>11520</v>
      </c>
      <c r="I95">
        <f>H95/K89</f>
        <v>24</v>
      </c>
      <c r="J95">
        <f t="shared" si="19"/>
        <v>1023301</v>
      </c>
      <c r="L95" t="str">
        <f t="shared" si="17"/>
        <v>1023301_24</v>
      </c>
      <c r="M95" t="str">
        <f t="shared" si="18"/>
        <v>1023301_24</v>
      </c>
    </row>
    <row r="96" spans="1:13">
      <c r="A96" s="1" t="s">
        <v>278</v>
      </c>
      <c r="B96" t="str" cm="1">
        <f t="array" ref="B96">_xlfn.TEXTSPLIT(A96,";")</f>
        <v>1023302_32</v>
      </c>
      <c r="D96" t="str" cm="1">
        <f t="array" ref="D96:E96">_xlfn.TEXTSPLIT(B96,"_")</f>
        <v>1023302</v>
      </c>
      <c r="E96" t="str">
        <v>32</v>
      </c>
      <c r="F96" t="str" cm="1">
        <f t="array" ref="F96">IFERROR(_xlfn.TEXTSPLIT(C96,"_",,TRUE),"")</f>
        <v/>
      </c>
      <c r="H96">
        <f t="shared" si="16"/>
        <v>23040</v>
      </c>
      <c r="I96">
        <f>H96/K89</f>
        <v>48</v>
      </c>
      <c r="J96">
        <f t="shared" si="19"/>
        <v>1023301</v>
      </c>
      <c r="L96" t="str">
        <f t="shared" si="17"/>
        <v>1023301_48</v>
      </c>
      <c r="M96" t="str">
        <f t="shared" si="18"/>
        <v>1023301_48</v>
      </c>
    </row>
    <row r="97" spans="1:13">
      <c r="A97" s="1" t="s">
        <v>279</v>
      </c>
      <c r="B97" t="str" cm="1">
        <f t="array" ref="B97">_xlfn.TEXTSPLIT(A97,";")</f>
        <v>1023302_64</v>
      </c>
      <c r="D97" t="str" cm="1">
        <f t="array" ref="D97:E97">_xlfn.TEXTSPLIT(B97,"_")</f>
        <v>1023302</v>
      </c>
      <c r="E97" t="str">
        <v>64</v>
      </c>
      <c r="F97" t="str" cm="1">
        <f t="array" ref="F97">IFERROR(_xlfn.TEXTSPLIT(C97,"_",,TRUE),"")</f>
        <v/>
      </c>
      <c r="H97">
        <f t="shared" si="16"/>
        <v>46080</v>
      </c>
      <c r="I97">
        <f>H97/K89</f>
        <v>96</v>
      </c>
      <c r="J97">
        <f t="shared" si="19"/>
        <v>1023301</v>
      </c>
      <c r="L97" t="str">
        <f t="shared" si="17"/>
        <v>1023301_96</v>
      </c>
      <c r="M97" t="str">
        <f t="shared" si="18"/>
        <v>1023301_96</v>
      </c>
    </row>
    <row r="98" spans="1:13">
      <c r="A98" s="1" t="s">
        <v>280</v>
      </c>
      <c r="B98" t="str" cm="1">
        <f t="array" ref="B98:C98">_xlfn.TEXTSPLIT(A98,";")</f>
        <v>1023302_96</v>
      </c>
      <c r="C98" t="str">
        <v>1980000_100</v>
      </c>
      <c r="D98" t="str" cm="1">
        <f t="array" ref="D98:E98">_xlfn.TEXTSPLIT(B98,"_")</f>
        <v>1023302</v>
      </c>
      <c r="E98" t="str">
        <v>96</v>
      </c>
      <c r="F98" t="str" cm="1">
        <f t="array" ref="F98:G98">IFERROR(_xlfn.TEXTSPLIT(C98,"_",,TRUE),"")</f>
        <v>1980000</v>
      </c>
      <c r="G98" t="str">
        <v>100</v>
      </c>
      <c r="H98">
        <f t="shared" si="16"/>
        <v>69120</v>
      </c>
      <c r="I98">
        <f>H98/K89</f>
        <v>144</v>
      </c>
      <c r="J98">
        <f t="shared" si="19"/>
        <v>1023301</v>
      </c>
      <c r="L98" t="str">
        <f t="shared" si="17"/>
        <v>1023301_144</v>
      </c>
      <c r="M98" t="str">
        <f t="shared" si="18"/>
        <v>1023301_144|1980000_100</v>
      </c>
    </row>
    <row r="99" spans="1:13">
      <c r="A99" s="1" t="s">
        <v>281</v>
      </c>
      <c r="B99" t="str" cm="1">
        <f t="array" ref="B99">_xlfn.TEXTSPLIT(A99,";")</f>
        <v>1023303_16</v>
      </c>
      <c r="D99" t="str" cm="1">
        <f t="array" ref="D99:E99">_xlfn.TEXTSPLIT(B99,"_")</f>
        <v>1023303</v>
      </c>
      <c r="E99" t="str">
        <v>16</v>
      </c>
      <c r="F99" t="str" cm="1">
        <f t="array" ref="F99">IFERROR(_xlfn.TEXTSPLIT(C99,"_",,TRUE),"")</f>
        <v/>
      </c>
      <c r="H99">
        <f t="shared" si="16"/>
        <v>15360</v>
      </c>
      <c r="I99">
        <f>H99/K89</f>
        <v>32</v>
      </c>
      <c r="J99">
        <f t="shared" si="19"/>
        <v>1023301</v>
      </c>
      <c r="L99" t="str">
        <f t="shared" si="17"/>
        <v>1023301_32</v>
      </c>
      <c r="M99" t="str">
        <f t="shared" si="18"/>
        <v>1023301_32</v>
      </c>
    </row>
    <row r="100" spans="1:13">
      <c r="A100" s="1" t="s">
        <v>282</v>
      </c>
      <c r="B100" t="str" cm="1">
        <f t="array" ref="B100">_xlfn.TEXTSPLIT(A100,";")</f>
        <v>1023303_32</v>
      </c>
      <c r="D100" t="str" cm="1">
        <f t="array" ref="D100:E100">_xlfn.TEXTSPLIT(B100,"_")</f>
        <v>1023303</v>
      </c>
      <c r="E100" t="str">
        <v>32</v>
      </c>
      <c r="F100" t="str" cm="1">
        <f t="array" ref="F100">IFERROR(_xlfn.TEXTSPLIT(C100,"_",,TRUE),"")</f>
        <v/>
      </c>
      <c r="H100">
        <f t="shared" si="16"/>
        <v>30720</v>
      </c>
      <c r="I100">
        <f>H100/K89</f>
        <v>64</v>
      </c>
      <c r="J100">
        <f t="shared" si="19"/>
        <v>1023301</v>
      </c>
      <c r="L100" t="str">
        <f t="shared" si="17"/>
        <v>1023301_64</v>
      </c>
      <c r="M100" t="str">
        <f t="shared" si="18"/>
        <v>1023301_64</v>
      </c>
    </row>
    <row r="101" spans="1:13">
      <c r="A101" s="1" t="s">
        <v>283</v>
      </c>
      <c r="B101" t="str" cm="1">
        <f t="array" ref="B101">_xlfn.TEXTSPLIT(A101,";")</f>
        <v>1023303_64</v>
      </c>
      <c r="D101" t="str" cm="1">
        <f t="array" ref="D101:E101">_xlfn.TEXTSPLIT(B101,"_")</f>
        <v>1023303</v>
      </c>
      <c r="E101" t="str">
        <v>64</v>
      </c>
      <c r="F101" t="str" cm="1">
        <f t="array" ref="F101">IFERROR(_xlfn.TEXTSPLIT(C101,"_",,TRUE),"")</f>
        <v/>
      </c>
      <c r="H101">
        <f t="shared" si="16"/>
        <v>61440</v>
      </c>
      <c r="I101">
        <f>H101/K89</f>
        <v>128</v>
      </c>
      <c r="J101">
        <f t="shared" si="19"/>
        <v>1023301</v>
      </c>
      <c r="L101" t="str">
        <f t="shared" si="17"/>
        <v>1023301_128</v>
      </c>
      <c r="M101" t="str">
        <f t="shared" si="18"/>
        <v>1023301_128</v>
      </c>
    </row>
    <row r="102" spans="1:13">
      <c r="A102" s="1" t="s">
        <v>284</v>
      </c>
      <c r="B102" t="str" cm="1">
        <f t="array" ref="B102:C102">_xlfn.TEXTSPLIT(A102,";")</f>
        <v>1023303_96</v>
      </c>
      <c r="C102" t="str">
        <v>1980000_300</v>
      </c>
      <c r="D102" t="str" cm="1">
        <f t="array" ref="D102:E102">_xlfn.TEXTSPLIT(B102,"_")</f>
        <v>1023303</v>
      </c>
      <c r="E102" t="str">
        <v>96</v>
      </c>
      <c r="F102" t="str" cm="1">
        <f t="array" ref="F102:G102">IFERROR(_xlfn.TEXTSPLIT(C102,"_",,TRUE),"")</f>
        <v>1980000</v>
      </c>
      <c r="G102" t="str">
        <v>300</v>
      </c>
      <c r="H102">
        <f t="shared" si="16"/>
        <v>92160</v>
      </c>
      <c r="I102">
        <f>H102/K89</f>
        <v>192</v>
      </c>
      <c r="J102">
        <f t="shared" si="19"/>
        <v>1023301</v>
      </c>
      <c r="L102" t="str">
        <f t="shared" si="17"/>
        <v>1023301_192</v>
      </c>
      <c r="M102" t="str">
        <f t="shared" si="18"/>
        <v>1023301_192|1980000_300</v>
      </c>
    </row>
    <row r="103" spans="1:13">
      <c r="A103" s="1" t="s">
        <v>285</v>
      </c>
      <c r="B103" t="str" cm="1">
        <f t="array" ref="B103">_xlfn.TEXTSPLIT(A103,";")</f>
        <v>1023304_24</v>
      </c>
      <c r="D103" t="str" cm="1">
        <f t="array" ref="D103:E103">_xlfn.TEXTSPLIT(B103,"_")</f>
        <v>1023304</v>
      </c>
      <c r="E103" t="str">
        <v>24</v>
      </c>
      <c r="F103" t="str" cm="1">
        <f t="array" ref="F103">IFERROR(_xlfn.TEXTSPLIT(C103,"_",,TRUE),"")</f>
        <v/>
      </c>
      <c r="H103">
        <f t="shared" si="16"/>
        <v>34560</v>
      </c>
      <c r="I103">
        <f>H103/K89</f>
        <v>72</v>
      </c>
      <c r="J103">
        <f t="shared" si="19"/>
        <v>1023301</v>
      </c>
      <c r="L103" t="str">
        <f t="shared" si="17"/>
        <v>1023301_72</v>
      </c>
      <c r="M103" t="str">
        <f t="shared" si="18"/>
        <v>1023301_72</v>
      </c>
    </row>
    <row r="104" spans="1:13">
      <c r="A104" s="1" t="s">
        <v>286</v>
      </c>
      <c r="B104" t="str" cm="1">
        <f t="array" ref="B104">_xlfn.TEXTSPLIT(A104,";")</f>
        <v>1023304_48</v>
      </c>
      <c r="D104" t="str" cm="1">
        <f t="array" ref="D104:E104">_xlfn.TEXTSPLIT(B104,"_")</f>
        <v>1023304</v>
      </c>
      <c r="E104" t="str">
        <v>48</v>
      </c>
      <c r="F104" t="str" cm="1">
        <f t="array" ref="F104">IFERROR(_xlfn.TEXTSPLIT(C104,"_",,TRUE),"")</f>
        <v/>
      </c>
      <c r="H104">
        <f t="shared" si="16"/>
        <v>69120</v>
      </c>
      <c r="I104">
        <f>H104/K89</f>
        <v>144</v>
      </c>
      <c r="J104">
        <f t="shared" si="19"/>
        <v>1023301</v>
      </c>
      <c r="L104" t="str">
        <f t="shared" si="17"/>
        <v>1023301_144</v>
      </c>
      <c r="M104" t="str">
        <f t="shared" si="18"/>
        <v>1023301_144</v>
      </c>
    </row>
    <row r="105" spans="1:13">
      <c r="A105" s="1" t="s">
        <v>287</v>
      </c>
      <c r="B105" t="str" cm="1">
        <f t="array" ref="B105:C105">_xlfn.TEXTSPLIT(A105,";")</f>
        <v>1023304_96</v>
      </c>
      <c r="C105" t="str">
        <v>1980000_600</v>
      </c>
      <c r="D105" t="str" cm="1">
        <f t="array" ref="D105:E105">_xlfn.TEXTSPLIT(B105,"_")</f>
        <v>1023304</v>
      </c>
      <c r="E105" t="str">
        <v>96</v>
      </c>
      <c r="F105" t="str" cm="1">
        <f t="array" ref="F105:G105">IFERROR(_xlfn.TEXTSPLIT(C105,"_",,TRUE),"")</f>
        <v>1980000</v>
      </c>
      <c r="G105" t="str">
        <v>600</v>
      </c>
      <c r="H105">
        <f t="shared" si="16"/>
        <v>138240</v>
      </c>
      <c r="I105">
        <f>H105/K89</f>
        <v>288</v>
      </c>
      <c r="J105">
        <f t="shared" si="19"/>
        <v>1023301</v>
      </c>
      <c r="L105" t="str">
        <f t="shared" si="17"/>
        <v>1023301_288</v>
      </c>
      <c r="M105" t="str">
        <f t="shared" si="18"/>
        <v>1023301_288|1980000_600</v>
      </c>
    </row>
    <row r="106" spans="1:13">
      <c r="A106" s="1" t="s">
        <v>288</v>
      </c>
      <c r="B106" t="str" cm="1">
        <f t="array" ref="B106">_xlfn.TEXTSPLIT(A106,";")</f>
        <v>1023305_24</v>
      </c>
      <c r="D106" t="str" cm="1">
        <f t="array" ref="D106:E106">_xlfn.TEXTSPLIT(B106,"_")</f>
        <v>1023305</v>
      </c>
      <c r="E106" t="str">
        <v>24</v>
      </c>
      <c r="F106" t="str" cm="1">
        <f t="array" ref="F106">IFERROR(_xlfn.TEXTSPLIT(C106,"_",,TRUE),"")</f>
        <v/>
      </c>
      <c r="H106">
        <f t="shared" si="16"/>
        <v>69120</v>
      </c>
      <c r="I106">
        <f>H106/K89</f>
        <v>144</v>
      </c>
      <c r="J106">
        <f t="shared" si="19"/>
        <v>1023301</v>
      </c>
      <c r="L106" t="str">
        <f t="shared" si="17"/>
        <v>1023301_144</v>
      </c>
      <c r="M106" t="str">
        <f t="shared" si="18"/>
        <v>1023301_144</v>
      </c>
    </row>
    <row r="107" spans="1:13">
      <c r="A107" s="1" t="s">
        <v>289</v>
      </c>
      <c r="B107" t="str" cm="1">
        <f t="array" ref="B107">_xlfn.TEXTSPLIT(A107,";")</f>
        <v>1023305_48</v>
      </c>
      <c r="D107" t="str" cm="1">
        <f t="array" ref="D107:E107">_xlfn.TEXTSPLIT(B107,"_")</f>
        <v>1023305</v>
      </c>
      <c r="E107" t="str">
        <v>48</v>
      </c>
      <c r="F107" t="str" cm="1">
        <f t="array" ref="F107">IFERROR(_xlfn.TEXTSPLIT(C107,"_",,TRUE),"")</f>
        <v/>
      </c>
      <c r="H107">
        <f t="shared" si="16"/>
        <v>138240</v>
      </c>
      <c r="I107">
        <f>H107/K89</f>
        <v>288</v>
      </c>
      <c r="J107">
        <f t="shared" si="19"/>
        <v>1023301</v>
      </c>
      <c r="L107" t="str">
        <f t="shared" si="17"/>
        <v>1023301_288</v>
      </c>
      <c r="M107" t="str">
        <f t="shared" si="18"/>
        <v>1023301_288</v>
      </c>
    </row>
    <row r="108" spans="1:13">
      <c r="A108" s="1" t="s">
        <v>290</v>
      </c>
      <c r="B108" t="str" cm="1">
        <f t="array" ref="B108">_xlfn.TEXTSPLIT(A108,";")</f>
        <v>1023305_96</v>
      </c>
      <c r="D108" t="str" cm="1">
        <f t="array" ref="D108:E108">_xlfn.TEXTSPLIT(B108,"_")</f>
        <v>1023305</v>
      </c>
      <c r="E108" t="str">
        <v>96</v>
      </c>
      <c r="F108" t="str" cm="1">
        <f t="array" ref="F108">IFERROR(_xlfn.TEXTSPLIT(C108,"_",,TRUE),"")</f>
        <v/>
      </c>
      <c r="H108">
        <f t="shared" si="16"/>
        <v>276480</v>
      </c>
      <c r="I108">
        <f>H108/K89</f>
        <v>576</v>
      </c>
      <c r="J108">
        <f t="shared" si="19"/>
        <v>1023301</v>
      </c>
      <c r="L108" t="str">
        <f t="shared" si="17"/>
        <v>1023301_576</v>
      </c>
      <c r="M108" t="str">
        <f t="shared" si="18"/>
        <v>1023301_576</v>
      </c>
    </row>
    <row r="110" spans="1:13">
      <c r="A110" s="1" t="s">
        <v>200</v>
      </c>
      <c r="B110" t="str" cm="1">
        <f t="array" ref="B110">_xlfn.TEXTSPLIT(A110,";")</f>
        <v>1023201_6</v>
      </c>
      <c r="D110" t="str" cm="1">
        <f t="array" ref="D110:E110">_xlfn.TEXTSPLIT(B110,"_")</f>
        <v>1023201</v>
      </c>
      <c r="E110" t="str">
        <v>6</v>
      </c>
      <c r="F110" t="str" cm="1">
        <f t="array" ref="F110">IFERROR(_xlfn.TEXTSPLIT(C110,"_",,TRUE),"")</f>
        <v/>
      </c>
      <c r="H110">
        <f t="shared" ref="H110:H129" si="20">_xlfn.XLOOKUP(VALUE(D110),$O$5:$O$29,$P$5:$P$29)*E110</f>
        <v>1440</v>
      </c>
      <c r="I110">
        <f>H110/K110</f>
        <v>6</v>
      </c>
      <c r="J110">
        <f>VALUE(D110)</f>
        <v>1023201</v>
      </c>
      <c r="K110">
        <f>_xlfn.XLOOKUP(VALUE(J110),$O$5:$O$29,$P$5:$P$29)</f>
        <v>240</v>
      </c>
      <c r="L110" t="str">
        <f t="shared" ref="L110:L129" si="21">_xlfn.TEXTJOIN("_",TRUE,J110,I110)</f>
        <v>1023201_6</v>
      </c>
      <c r="M110" t="str">
        <f t="shared" ref="M110:M129" si="22">_xlfn.TEXTJOIN("|",TRUE,L110,C110)</f>
        <v>1023201_6</v>
      </c>
    </row>
    <row r="111" spans="1:13">
      <c r="A111" s="1" t="s">
        <v>201</v>
      </c>
      <c r="B111" t="str" cm="1">
        <f t="array" ref="B111">_xlfn.TEXTSPLIT(A111,";")</f>
        <v>1023201_12</v>
      </c>
      <c r="D111" t="str" cm="1">
        <f t="array" ref="D111:E111">_xlfn.TEXTSPLIT(B111,"_")</f>
        <v>1023201</v>
      </c>
      <c r="E111" t="str">
        <v>12</v>
      </c>
      <c r="F111" t="str" cm="1">
        <f t="array" ref="F111">IFERROR(_xlfn.TEXTSPLIT(C111,"_",,TRUE),"")</f>
        <v/>
      </c>
      <c r="H111">
        <f t="shared" si="20"/>
        <v>2880</v>
      </c>
      <c r="I111">
        <f>H111/K110</f>
        <v>12</v>
      </c>
      <c r="J111">
        <f t="shared" ref="J111:J129" si="23">J110</f>
        <v>1023201</v>
      </c>
      <c r="L111" t="str">
        <f t="shared" si="21"/>
        <v>1023201_12</v>
      </c>
      <c r="M111" t="str">
        <f t="shared" si="22"/>
        <v>1023201_12</v>
      </c>
    </row>
    <row r="112" spans="1:13">
      <c r="A112" s="1" t="s">
        <v>202</v>
      </c>
      <c r="B112" t="str" cm="1">
        <f t="array" ref="B112">_xlfn.TEXTSPLIT(A112,";")</f>
        <v>1023201_24</v>
      </c>
      <c r="D112" t="str" cm="1">
        <f t="array" ref="D112:E112">_xlfn.TEXTSPLIT(B112,"_")</f>
        <v>1023201</v>
      </c>
      <c r="E112" t="str">
        <v>24</v>
      </c>
      <c r="F112" t="str" cm="1">
        <f t="array" ref="F112">IFERROR(_xlfn.TEXTSPLIT(C112,"_",,TRUE),"")</f>
        <v/>
      </c>
      <c r="H112">
        <f t="shared" si="20"/>
        <v>5760</v>
      </c>
      <c r="I112">
        <f>H112/K110</f>
        <v>24</v>
      </c>
      <c r="J112">
        <f t="shared" si="23"/>
        <v>1023201</v>
      </c>
      <c r="L112" t="str">
        <f t="shared" si="21"/>
        <v>1023201_24</v>
      </c>
      <c r="M112" t="str">
        <f t="shared" si="22"/>
        <v>1023201_24</v>
      </c>
    </row>
    <row r="113" spans="1:13">
      <c r="A113" s="1" t="s">
        <v>203</v>
      </c>
      <c r="B113" t="str" cm="1">
        <f t="array" ref="B113">_xlfn.TEXTSPLIT(A113,";")</f>
        <v>1023201_36</v>
      </c>
      <c r="D113" t="str" cm="1">
        <f t="array" ref="D113:E113">_xlfn.TEXTSPLIT(B113,"_")</f>
        <v>1023201</v>
      </c>
      <c r="E113" t="str">
        <v>36</v>
      </c>
      <c r="F113" t="str" cm="1">
        <f t="array" ref="F113">IFERROR(_xlfn.TEXTSPLIT(C113,"_",,TRUE),"")</f>
        <v/>
      </c>
      <c r="H113">
        <f t="shared" si="20"/>
        <v>8640</v>
      </c>
      <c r="I113">
        <f>H113/K110</f>
        <v>36</v>
      </c>
      <c r="J113">
        <f t="shared" si="23"/>
        <v>1023201</v>
      </c>
      <c r="L113" t="str">
        <f t="shared" si="21"/>
        <v>1023201_36</v>
      </c>
      <c r="M113" t="str">
        <f t="shared" si="22"/>
        <v>1023201_36</v>
      </c>
    </row>
    <row r="114" spans="1:13">
      <c r="A114" s="1" t="s">
        <v>204</v>
      </c>
      <c r="B114" t="str" cm="1">
        <f t="array" ref="B114">_xlfn.TEXTSPLIT(A114,";")</f>
        <v>1023201_48</v>
      </c>
      <c r="D114" t="str" cm="1">
        <f t="array" ref="D114:E114">_xlfn.TEXTSPLIT(B114,"_")</f>
        <v>1023201</v>
      </c>
      <c r="E114" t="str">
        <v>48</v>
      </c>
      <c r="F114" t="str" cm="1">
        <f t="array" ref="F114">IFERROR(_xlfn.TEXTSPLIT(C114,"_",,TRUE),"")</f>
        <v/>
      </c>
      <c r="H114">
        <f t="shared" si="20"/>
        <v>11520</v>
      </c>
      <c r="I114">
        <f>H114/K110</f>
        <v>48</v>
      </c>
      <c r="J114">
        <f t="shared" si="23"/>
        <v>1023201</v>
      </c>
      <c r="L114" t="str">
        <f t="shared" si="21"/>
        <v>1023201_48</v>
      </c>
      <c r="M114" t="str">
        <f t="shared" si="22"/>
        <v>1023201_48</v>
      </c>
    </row>
    <row r="115" spans="1:13">
      <c r="A115" s="1" t="s">
        <v>291</v>
      </c>
      <c r="B115" t="str" cm="1">
        <f t="array" ref="B115:C115">_xlfn.TEXTSPLIT(A115,";")</f>
        <v>1023201_60</v>
      </c>
      <c r="C115" t="str">
        <v>1980000_10</v>
      </c>
      <c r="D115" t="str" cm="1">
        <f t="array" ref="D115:E115">_xlfn.TEXTSPLIT(B115,"_")</f>
        <v>1023201</v>
      </c>
      <c r="E115" t="str">
        <v>60</v>
      </c>
      <c r="F115" t="str" cm="1">
        <f t="array" ref="F115:G115">IFERROR(_xlfn.TEXTSPLIT(C115,"_",,TRUE),"")</f>
        <v>1980000</v>
      </c>
      <c r="G115" t="str">
        <v>10</v>
      </c>
      <c r="H115">
        <f t="shared" si="20"/>
        <v>14400</v>
      </c>
      <c r="I115">
        <f>H115/K110</f>
        <v>60</v>
      </c>
      <c r="J115">
        <f t="shared" si="23"/>
        <v>1023201</v>
      </c>
      <c r="L115" t="str">
        <f t="shared" si="21"/>
        <v>1023201_60</v>
      </c>
      <c r="M115" t="str">
        <f t="shared" si="22"/>
        <v>1023201_60|1980000_10</v>
      </c>
    </row>
    <row r="116" spans="1:13">
      <c r="A116" s="1" t="s">
        <v>292</v>
      </c>
      <c r="B116" t="str" cm="1">
        <f t="array" ref="B116">_xlfn.TEXTSPLIT(A116,";")</f>
        <v>1023202_12</v>
      </c>
      <c r="D116" t="str" cm="1">
        <f t="array" ref="D116:E116">_xlfn.TEXTSPLIT(B116,"_")</f>
        <v>1023202</v>
      </c>
      <c r="E116" t="str">
        <v>12</v>
      </c>
      <c r="F116" t="str" cm="1">
        <f t="array" ref="F116">IFERROR(_xlfn.TEXTSPLIT(C116,"_",,TRUE),"")</f>
        <v/>
      </c>
      <c r="H116">
        <f t="shared" si="20"/>
        <v>4320</v>
      </c>
      <c r="I116">
        <f>H116/K110</f>
        <v>18</v>
      </c>
      <c r="J116">
        <f t="shared" si="23"/>
        <v>1023201</v>
      </c>
      <c r="L116" t="str">
        <f t="shared" si="21"/>
        <v>1023201_18</v>
      </c>
      <c r="M116" t="str">
        <f t="shared" si="22"/>
        <v>1023201_18</v>
      </c>
    </row>
    <row r="117" spans="1:13">
      <c r="A117" s="1" t="s">
        <v>293</v>
      </c>
      <c r="B117" t="str" cm="1">
        <f t="array" ref="B117">_xlfn.TEXTSPLIT(A117,";")</f>
        <v>1023202_24</v>
      </c>
      <c r="D117" t="str" cm="1">
        <f t="array" ref="D117:E117">_xlfn.TEXTSPLIT(B117,"_")</f>
        <v>1023202</v>
      </c>
      <c r="E117" t="str">
        <v>24</v>
      </c>
      <c r="F117" t="str" cm="1">
        <f t="array" ref="F117">IFERROR(_xlfn.TEXTSPLIT(C117,"_",,TRUE),"")</f>
        <v/>
      </c>
      <c r="H117">
        <f t="shared" si="20"/>
        <v>8640</v>
      </c>
      <c r="I117">
        <f>H117/K110</f>
        <v>36</v>
      </c>
      <c r="J117">
        <f t="shared" si="23"/>
        <v>1023201</v>
      </c>
      <c r="L117" t="str">
        <f t="shared" si="21"/>
        <v>1023201_36</v>
      </c>
      <c r="M117" t="str">
        <f t="shared" si="22"/>
        <v>1023201_36</v>
      </c>
    </row>
    <row r="118" spans="1:13">
      <c r="A118" s="1" t="s">
        <v>294</v>
      </c>
      <c r="B118" t="str" cm="1">
        <f t="array" ref="B118">_xlfn.TEXTSPLIT(A118,";")</f>
        <v>1023202_48</v>
      </c>
      <c r="D118" t="str" cm="1">
        <f t="array" ref="D118:E118">_xlfn.TEXTSPLIT(B118,"_")</f>
        <v>1023202</v>
      </c>
      <c r="E118" t="str">
        <v>48</v>
      </c>
      <c r="F118" t="str" cm="1">
        <f t="array" ref="F118">IFERROR(_xlfn.TEXTSPLIT(C118,"_",,TRUE),"")</f>
        <v/>
      </c>
      <c r="H118">
        <f t="shared" si="20"/>
        <v>17280</v>
      </c>
      <c r="I118">
        <f>H118/K110</f>
        <v>72</v>
      </c>
      <c r="J118">
        <f t="shared" si="23"/>
        <v>1023201</v>
      </c>
      <c r="L118" t="str">
        <f t="shared" si="21"/>
        <v>1023201_72</v>
      </c>
      <c r="M118" t="str">
        <f t="shared" si="22"/>
        <v>1023201_72</v>
      </c>
    </row>
    <row r="119" spans="1:13">
      <c r="A119" s="1" t="s">
        <v>295</v>
      </c>
      <c r="B119" t="str" cm="1">
        <f t="array" ref="B119:C119">_xlfn.TEXTSPLIT(A119,";")</f>
        <v>1023202_72</v>
      </c>
      <c r="C119" t="str">
        <v>1980000_100</v>
      </c>
      <c r="D119" t="str" cm="1">
        <f t="array" ref="D119:E119">_xlfn.TEXTSPLIT(B119,"_")</f>
        <v>1023202</v>
      </c>
      <c r="E119" t="str">
        <v>72</v>
      </c>
      <c r="F119" t="str" cm="1">
        <f t="array" ref="F119:G119">IFERROR(_xlfn.TEXTSPLIT(C119,"_",,TRUE),"")</f>
        <v>1980000</v>
      </c>
      <c r="G119" t="str">
        <v>100</v>
      </c>
      <c r="H119">
        <f t="shared" si="20"/>
        <v>25920</v>
      </c>
      <c r="I119">
        <f>H119/K110</f>
        <v>108</v>
      </c>
      <c r="J119">
        <f t="shared" si="23"/>
        <v>1023201</v>
      </c>
      <c r="L119" t="str">
        <f t="shared" si="21"/>
        <v>1023201_108</v>
      </c>
      <c r="M119" t="str">
        <f t="shared" si="22"/>
        <v>1023201_108|1980000_100</v>
      </c>
    </row>
    <row r="120" spans="1:13">
      <c r="A120" s="1" t="s">
        <v>296</v>
      </c>
      <c r="B120" t="str" cm="1">
        <f t="array" ref="B120">_xlfn.TEXTSPLIT(A120,";")</f>
        <v>1023203_12</v>
      </c>
      <c r="D120" t="str" cm="1">
        <f t="array" ref="D120:E120">_xlfn.TEXTSPLIT(B120,"_")</f>
        <v>1023203</v>
      </c>
      <c r="E120" t="str">
        <v>12</v>
      </c>
      <c r="F120" t="str" cm="1">
        <f t="array" ref="F120">IFERROR(_xlfn.TEXTSPLIT(C120,"_",,TRUE),"")</f>
        <v/>
      </c>
      <c r="H120">
        <f t="shared" si="20"/>
        <v>5760</v>
      </c>
      <c r="I120">
        <f>H120/K110</f>
        <v>24</v>
      </c>
      <c r="J120">
        <f t="shared" si="23"/>
        <v>1023201</v>
      </c>
      <c r="L120" t="str">
        <f t="shared" si="21"/>
        <v>1023201_24</v>
      </c>
      <c r="M120" t="str">
        <f t="shared" si="22"/>
        <v>1023201_24</v>
      </c>
    </row>
    <row r="121" spans="1:13">
      <c r="A121" s="1" t="s">
        <v>297</v>
      </c>
      <c r="B121" t="str" cm="1">
        <f t="array" ref="B121">_xlfn.TEXTSPLIT(A121,";")</f>
        <v>1023203_24</v>
      </c>
      <c r="D121" t="str" cm="1">
        <f t="array" ref="D121:E121">_xlfn.TEXTSPLIT(B121,"_")</f>
        <v>1023203</v>
      </c>
      <c r="E121" t="str">
        <v>24</v>
      </c>
      <c r="F121" t="str" cm="1">
        <f t="array" ref="F121">IFERROR(_xlfn.TEXTSPLIT(C121,"_",,TRUE),"")</f>
        <v/>
      </c>
      <c r="H121">
        <f t="shared" si="20"/>
        <v>11520</v>
      </c>
      <c r="I121">
        <f>H121/K110</f>
        <v>48</v>
      </c>
      <c r="J121">
        <f t="shared" si="23"/>
        <v>1023201</v>
      </c>
      <c r="L121" t="str">
        <f t="shared" si="21"/>
        <v>1023201_48</v>
      </c>
      <c r="M121" t="str">
        <f t="shared" si="22"/>
        <v>1023201_48</v>
      </c>
    </row>
    <row r="122" spans="1:13">
      <c r="A122" s="1" t="s">
        <v>298</v>
      </c>
      <c r="B122" t="str" cm="1">
        <f t="array" ref="B122">_xlfn.TEXTSPLIT(A122,";")</f>
        <v>1023203_48</v>
      </c>
      <c r="D122" t="str" cm="1">
        <f t="array" ref="D122:E122">_xlfn.TEXTSPLIT(B122,"_")</f>
        <v>1023203</v>
      </c>
      <c r="E122" t="str">
        <v>48</v>
      </c>
      <c r="F122" t="str" cm="1">
        <f t="array" ref="F122">IFERROR(_xlfn.TEXTSPLIT(C122,"_",,TRUE),"")</f>
        <v/>
      </c>
      <c r="H122">
        <f t="shared" si="20"/>
        <v>23040</v>
      </c>
      <c r="I122">
        <f>H122/K110</f>
        <v>96</v>
      </c>
      <c r="J122">
        <f t="shared" si="23"/>
        <v>1023201</v>
      </c>
      <c r="L122" t="str">
        <f t="shared" si="21"/>
        <v>1023201_96</v>
      </c>
      <c r="M122" t="str">
        <f t="shared" si="22"/>
        <v>1023201_96</v>
      </c>
    </row>
    <row r="123" spans="1:13">
      <c r="A123" s="1" t="s">
        <v>299</v>
      </c>
      <c r="B123" t="str" cm="1">
        <f t="array" ref="B123:C123">_xlfn.TEXTSPLIT(A123,";")</f>
        <v>1023203_72</v>
      </c>
      <c r="C123" t="str">
        <v>1980000_300</v>
      </c>
      <c r="D123" t="str" cm="1">
        <f t="array" ref="D123:E123">_xlfn.TEXTSPLIT(B123,"_")</f>
        <v>1023203</v>
      </c>
      <c r="E123" t="str">
        <v>72</v>
      </c>
      <c r="F123" t="str" cm="1">
        <f t="array" ref="F123:G123">IFERROR(_xlfn.TEXTSPLIT(C123,"_",,TRUE),"")</f>
        <v>1980000</v>
      </c>
      <c r="G123" t="str">
        <v>300</v>
      </c>
      <c r="H123">
        <f t="shared" si="20"/>
        <v>34560</v>
      </c>
      <c r="I123">
        <f>H123/K110</f>
        <v>144</v>
      </c>
      <c r="J123">
        <f t="shared" si="23"/>
        <v>1023201</v>
      </c>
      <c r="L123" t="str">
        <f t="shared" si="21"/>
        <v>1023201_144</v>
      </c>
      <c r="M123" t="str">
        <f t="shared" si="22"/>
        <v>1023201_144|1980000_300</v>
      </c>
    </row>
    <row r="124" spans="1:13">
      <c r="A124" s="1" t="s">
        <v>300</v>
      </c>
      <c r="B124" t="str" cm="1">
        <f t="array" ref="B124">_xlfn.TEXTSPLIT(A124,";")</f>
        <v>1023204_18</v>
      </c>
      <c r="D124" t="str" cm="1">
        <f t="array" ref="D124:E124">_xlfn.TEXTSPLIT(B124,"_")</f>
        <v>1023204</v>
      </c>
      <c r="E124" t="str">
        <v>18</v>
      </c>
      <c r="F124" t="str" cm="1">
        <f t="array" ref="F124">IFERROR(_xlfn.TEXTSPLIT(C124,"_",,TRUE),"")</f>
        <v/>
      </c>
      <c r="H124">
        <f t="shared" si="20"/>
        <v>12960</v>
      </c>
      <c r="I124">
        <f>H124/K110</f>
        <v>54</v>
      </c>
      <c r="J124">
        <f t="shared" si="23"/>
        <v>1023201</v>
      </c>
      <c r="L124" t="str">
        <f t="shared" si="21"/>
        <v>1023201_54</v>
      </c>
      <c r="M124" t="str">
        <f t="shared" si="22"/>
        <v>1023201_54</v>
      </c>
    </row>
    <row r="125" spans="1:13">
      <c r="A125" s="1" t="s">
        <v>301</v>
      </c>
      <c r="B125" t="str" cm="1">
        <f t="array" ref="B125">_xlfn.TEXTSPLIT(A125,";")</f>
        <v>1023204_36</v>
      </c>
      <c r="D125" t="str" cm="1">
        <f t="array" ref="D125:E125">_xlfn.TEXTSPLIT(B125,"_")</f>
        <v>1023204</v>
      </c>
      <c r="E125" t="str">
        <v>36</v>
      </c>
      <c r="F125" t="str" cm="1">
        <f t="array" ref="F125">IFERROR(_xlfn.TEXTSPLIT(C125,"_",,TRUE),"")</f>
        <v/>
      </c>
      <c r="H125">
        <f t="shared" si="20"/>
        <v>25920</v>
      </c>
      <c r="I125">
        <f>H125/K110</f>
        <v>108</v>
      </c>
      <c r="J125">
        <f t="shared" si="23"/>
        <v>1023201</v>
      </c>
      <c r="L125" t="str">
        <f t="shared" si="21"/>
        <v>1023201_108</v>
      </c>
      <c r="M125" t="str">
        <f t="shared" si="22"/>
        <v>1023201_108</v>
      </c>
    </row>
    <row r="126" spans="1:13">
      <c r="A126" s="1" t="s">
        <v>302</v>
      </c>
      <c r="B126" t="str" cm="1">
        <f t="array" ref="B126:C126">_xlfn.TEXTSPLIT(A126,";")</f>
        <v>1023204_72</v>
      </c>
      <c r="C126" t="str">
        <v>1980000_600</v>
      </c>
      <c r="D126" t="str" cm="1">
        <f t="array" ref="D126:E126">_xlfn.TEXTSPLIT(B126,"_")</f>
        <v>1023204</v>
      </c>
      <c r="E126" t="str">
        <v>72</v>
      </c>
      <c r="F126" t="str" cm="1">
        <f t="array" ref="F126:G126">IFERROR(_xlfn.TEXTSPLIT(C126,"_",,TRUE),"")</f>
        <v>1980000</v>
      </c>
      <c r="G126" t="str">
        <v>600</v>
      </c>
      <c r="H126">
        <f t="shared" si="20"/>
        <v>51840</v>
      </c>
      <c r="I126">
        <f>H126/K110</f>
        <v>216</v>
      </c>
      <c r="J126">
        <f t="shared" si="23"/>
        <v>1023201</v>
      </c>
      <c r="L126" t="str">
        <f t="shared" si="21"/>
        <v>1023201_216</v>
      </c>
      <c r="M126" t="str">
        <f t="shared" si="22"/>
        <v>1023201_216|1980000_600</v>
      </c>
    </row>
    <row r="127" spans="1:13">
      <c r="A127" s="1" t="s">
        <v>303</v>
      </c>
      <c r="B127" t="str" cm="1">
        <f t="array" ref="B127">_xlfn.TEXTSPLIT(A127,";")</f>
        <v>1023205_18</v>
      </c>
      <c r="D127" t="str" cm="1">
        <f t="array" ref="D127:E127">_xlfn.TEXTSPLIT(B127,"_")</f>
        <v>1023205</v>
      </c>
      <c r="E127" t="str">
        <v>18</v>
      </c>
      <c r="F127" t="str" cm="1">
        <f t="array" ref="F127">IFERROR(_xlfn.TEXTSPLIT(C127,"_",,TRUE),"")</f>
        <v/>
      </c>
      <c r="H127">
        <f t="shared" si="20"/>
        <v>25920</v>
      </c>
      <c r="I127">
        <f>H127/K110</f>
        <v>108</v>
      </c>
      <c r="J127">
        <f t="shared" si="23"/>
        <v>1023201</v>
      </c>
      <c r="L127" t="str">
        <f t="shared" si="21"/>
        <v>1023201_108</v>
      </c>
      <c r="M127" t="str">
        <f t="shared" si="22"/>
        <v>1023201_108</v>
      </c>
    </row>
    <row r="128" spans="1:13">
      <c r="A128" s="1" t="s">
        <v>304</v>
      </c>
      <c r="B128" t="str" cm="1">
        <f t="array" ref="B128">_xlfn.TEXTSPLIT(A128,";")</f>
        <v>1023205_36</v>
      </c>
      <c r="D128" t="str" cm="1">
        <f t="array" ref="D128:E128">_xlfn.TEXTSPLIT(B128,"_")</f>
        <v>1023205</v>
      </c>
      <c r="E128" t="str">
        <v>36</v>
      </c>
      <c r="F128" t="str" cm="1">
        <f t="array" ref="F128">IFERROR(_xlfn.TEXTSPLIT(C128,"_",,TRUE),"")</f>
        <v/>
      </c>
      <c r="H128">
        <f t="shared" si="20"/>
        <v>51840</v>
      </c>
      <c r="I128">
        <f>H128/K110</f>
        <v>216</v>
      </c>
      <c r="J128">
        <f t="shared" si="23"/>
        <v>1023201</v>
      </c>
      <c r="L128" t="str">
        <f t="shared" si="21"/>
        <v>1023201_216</v>
      </c>
      <c r="M128" t="str">
        <f t="shared" si="22"/>
        <v>1023201_216</v>
      </c>
    </row>
    <row r="129" spans="1:13">
      <c r="A129" s="1" t="s">
        <v>305</v>
      </c>
      <c r="B129" t="str" cm="1">
        <f t="array" ref="B129">_xlfn.TEXTSPLIT(A129,";")</f>
        <v>1023205_72</v>
      </c>
      <c r="D129" t="str" cm="1">
        <f t="array" ref="D129:E129">_xlfn.TEXTSPLIT(B129,"_")</f>
        <v>1023205</v>
      </c>
      <c r="E129" t="str">
        <v>72</v>
      </c>
      <c r="F129" t="str" cm="1">
        <f t="array" ref="F129">IFERROR(_xlfn.TEXTSPLIT(C129,"_",,TRUE),"")</f>
        <v/>
      </c>
      <c r="H129">
        <f t="shared" si="20"/>
        <v>103680</v>
      </c>
      <c r="I129">
        <f>H129/K110</f>
        <v>432</v>
      </c>
      <c r="J129">
        <f t="shared" si="23"/>
        <v>1023201</v>
      </c>
      <c r="L129" t="str">
        <f t="shared" si="21"/>
        <v>1023201_432</v>
      </c>
      <c r="M129" t="str">
        <f t="shared" si="22"/>
        <v>1023201_432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BuildingFunction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2025-08-15T07:06:00Z</dcterms:created>
  <dcterms:modified xsi:type="dcterms:W3CDTF">2025-11-14T13:27:27Z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9C00F75A9F754ECBAD9DB5A4E8C2C35E_12</vt:lpwstr>
  </property>
  <property fmtid="{D5CDD505-2E9C-101B-9397-08002B2CF9AE}" pid="3" name="KSOProductBuildVer">
    <vt:lpwstr>2052-12.1.0.23542</vt:lpwstr>
  </property>
</Properties>
</file>