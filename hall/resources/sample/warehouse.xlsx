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192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<sst xmlns="http://schemas.openxmlformats.org/spreadsheetml/2006/main" count="524" uniqueCount="84">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</sst>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0" borderId="5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5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5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0" xfId="0" applyFill="1"/>
    <xf numFmtId="0" fontId="1" fillId="8" borderId="0" xfId="0" applyNumberFormat="1" applyFont="1" applyFill="1" applyBorder="1" applyAlignment="1" applyProtection="1">
      <alignment horizontal="center"/>
      <protection locked="0"/>
    </xf>
    <xf numFmtId="0" fontId="0" fillId="7" borderId="0" xfId="0" applyNumberFormat="1" applyFill="1" applyAlignment="1">
      <alignment horizontal="left" vertical="center"/>
    </xf>
    <xf numFmtId="0" fontId="1" fillId="7" borderId="0" xfId="0" applyFont="1" applyFill="1" applyAlignment="1">
      <alignment horizont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  <xf numFmtId="0" fontId="0" fillId="7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4"/>
  <sheetViews>
    <sheetView tabSelected="1" zoomScale="85" zoomScaleNormal="85" workbookViewId="0">
      <pane ySplit="4" topLeftCell="A84" activePane="bottomLeft" state="frozen"/>
      <selection/>
      <selection pane="bottomLeft" activeCell="L97" sqref="L97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24.11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5" t="s">
        <v>6</v>
      </c>
      <c r="J1" s="5" t="s">
        <v>7</v>
      </c>
      <c r="K1" s="5" t="s">
        <v>8</v>
      </c>
      <c r="L1" s="1" t="s">
        <v>9</v>
      </c>
      <c r="M1" s="1" t="s">
        <v>10</v>
      </c>
      <c r="N1" t="s">
        <v>11</v>
      </c>
      <c r="O1" s="6" t="s">
        <v>12</v>
      </c>
    </row>
    <row r="2" spans="1:15">
      <c r="A2" s="7" t="s">
        <v>13</v>
      </c>
      <c r="B2" s="8" t="s">
        <v>13</v>
      </c>
      <c r="C2" s="8" t="s">
        <v>13</v>
      </c>
      <c r="D2" s="8"/>
      <c r="E2" s="9" t="s">
        <v>13</v>
      </c>
      <c r="F2" s="10" t="s">
        <v>14</v>
      </c>
      <c r="G2" s="8"/>
      <c r="H2" s="11" t="s">
        <v>13</v>
      </c>
      <c r="I2" s="11" t="s">
        <v>13</v>
      </c>
      <c r="J2" s="11" t="s">
        <v>13</v>
      </c>
      <c r="K2" s="11" t="s">
        <v>13</v>
      </c>
      <c r="L2" s="1" t="s">
        <v>14</v>
      </c>
      <c r="M2" s="1" t="s">
        <v>15</v>
      </c>
      <c r="N2" s="11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1" t="s">
        <v>21</v>
      </c>
      <c r="I3" s="11" t="s">
        <v>22</v>
      </c>
      <c r="J3" s="11" t="s">
        <v>23</v>
      </c>
      <c r="K3" s="11" t="s">
        <v>24</v>
      </c>
      <c r="L3" s="1" t="s">
        <v>25</v>
      </c>
      <c r="M3" s="1" t="s">
        <v>26</v>
      </c>
      <c r="N3" s="11" t="s">
        <v>27</v>
      </c>
      <c r="O3" s="2" t="s">
        <v>28</v>
      </c>
    </row>
    <row r="4" ht="14.25" spans="1:15">
      <c r="F4" s="1" t="s">
        <v>29</v>
      </c>
      <c r="O4" s="1"/>
    </row>
    <row r="5" spans="1:15">
      <c r="A5" s="1">
        <f t="shared" ref="A5:A10" si="0">B5*10+H5</f>
        <v>1001001</v>
      </c>
      <c r="B5" s="12">
        <v>100100</v>
      </c>
      <c r="C5" s="12">
        <v>1</v>
      </c>
      <c r="D5" s="12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5" t="s">
        <v>34</v>
      </c>
      <c r="N5">
        <v>5000</v>
      </c>
      <c r="O5" s="15">
        <v>1990000</v>
      </c>
    </row>
    <row r="6" spans="1:15">
      <c r="A6" s="1">
        <f t="shared" si="0"/>
        <v>1001002</v>
      </c>
      <c r="B6" s="12">
        <v>100100</v>
      </c>
      <c r="C6" s="12">
        <v>1</v>
      </c>
      <c r="D6" s="12" t="str">
        <f t="shared" ref="D6:D10" si="1">D5</f>
        <v>金礦大亨</v>
      </c>
      <c r="E6" s="13">
        <v>100100026</v>
      </c>
      <c r="F6" s="13" t="s">
        <v>31</v>
      </c>
      <c r="G6" s="1" t="s">
        <v>35</v>
      </c>
      <c r="H6" s="1">
        <v>2</v>
      </c>
      <c r="I6" s="1">
        <v>500000</v>
      </c>
      <c r="J6" s="1">
        <v>-1</v>
      </c>
      <c r="K6" s="1">
        <v>0</v>
      </c>
      <c r="L6" s="1" t="s">
        <v>33</v>
      </c>
      <c r="M6" s="25" t="s">
        <v>34</v>
      </c>
      <c r="N6">
        <v>500000</v>
      </c>
      <c r="O6" s="15">
        <v>1990000</v>
      </c>
    </row>
    <row r="7" spans="1:15">
      <c r="A7" s="1">
        <f t="shared" si="0"/>
        <v>1001003</v>
      </c>
      <c r="B7" s="12">
        <v>100100</v>
      </c>
      <c r="C7" s="12">
        <v>1</v>
      </c>
      <c r="D7" s="12" t="str">
        <f t="shared" si="1"/>
        <v>金礦大亨</v>
      </c>
      <c r="E7" s="13">
        <v>100100026</v>
      </c>
      <c r="F7" s="13" t="s">
        <v>31</v>
      </c>
      <c r="G7" s="1" t="s">
        <v>36</v>
      </c>
      <c r="H7" s="1">
        <v>3</v>
      </c>
      <c r="I7" s="1">
        <v>50000000</v>
      </c>
      <c r="J7" s="1">
        <v>-1</v>
      </c>
      <c r="K7" s="1">
        <v>0</v>
      </c>
      <c r="L7" s="1" t="s">
        <v>33</v>
      </c>
      <c r="M7" s="25" t="s">
        <v>34</v>
      </c>
      <c r="N7">
        <v>50000000</v>
      </c>
      <c r="O7" s="15">
        <v>1990000</v>
      </c>
    </row>
    <row r="8" spans="1:15">
      <c r="A8" s="1">
        <f t="shared" si="0"/>
        <v>1003001</v>
      </c>
      <c r="B8" s="12">
        <v>100300</v>
      </c>
      <c r="C8" s="12">
        <v>1</v>
      </c>
      <c r="D8" s="12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5" t="s">
        <v>34</v>
      </c>
      <c r="N8">
        <v>5000</v>
      </c>
      <c r="O8" s="15">
        <v>1990000</v>
      </c>
    </row>
    <row r="9" spans="1:15">
      <c r="A9" s="1">
        <f t="shared" si="0"/>
        <v>1003002</v>
      </c>
      <c r="B9" s="12">
        <v>100300</v>
      </c>
      <c r="C9" s="12">
        <v>1</v>
      </c>
      <c r="D9" s="12" t="str">
        <f t="shared" si="1"/>
        <v>超级明星</v>
      </c>
      <c r="E9" s="13">
        <v>100300001</v>
      </c>
      <c r="F9" s="13" t="str">
        <f>F8</f>
        <v>SuperStar</v>
      </c>
      <c r="G9" s="1" t="s">
        <v>35</v>
      </c>
      <c r="H9" s="1">
        <v>2</v>
      </c>
      <c r="I9" s="1">
        <v>500000</v>
      </c>
      <c r="J9" s="1">
        <v>-1</v>
      </c>
      <c r="K9" s="1">
        <v>0</v>
      </c>
      <c r="L9" s="1" t="s">
        <v>33</v>
      </c>
      <c r="M9" s="25" t="s">
        <v>34</v>
      </c>
      <c r="N9">
        <v>500000</v>
      </c>
      <c r="O9" s="15">
        <v>1990000</v>
      </c>
    </row>
    <row r="10" spans="1:15">
      <c r="A10" s="1">
        <f t="shared" si="0"/>
        <v>1003003</v>
      </c>
      <c r="B10" s="12">
        <v>100300</v>
      </c>
      <c r="C10" s="12">
        <v>1</v>
      </c>
      <c r="D10" s="12" t="str">
        <f t="shared" si="1"/>
        <v>超级明星</v>
      </c>
      <c r="E10" s="13">
        <v>100300001</v>
      </c>
      <c r="F10" s="13" t="str">
        <f>F9</f>
        <v>SuperStar</v>
      </c>
      <c r="G10" s="1" t="s">
        <v>36</v>
      </c>
      <c r="H10" s="1">
        <v>3</v>
      </c>
      <c r="I10" s="1">
        <v>50000000</v>
      </c>
      <c r="J10" s="1">
        <v>-1</v>
      </c>
      <c r="K10" s="1">
        <v>0</v>
      </c>
      <c r="L10" s="1" t="s">
        <v>33</v>
      </c>
      <c r="M10" s="25" t="s">
        <v>34</v>
      </c>
      <c r="N10">
        <v>50000000</v>
      </c>
      <c r="O10" s="15">
        <v>1990000</v>
      </c>
    </row>
    <row r="11" spans="1:15">
      <c r="A11" s="1">
        <f t="shared" ref="A11:A22" si="2">B11*10+H11</f>
        <v>1007001</v>
      </c>
      <c r="B11" s="12">
        <v>100700</v>
      </c>
      <c r="C11" s="12">
        <v>1</v>
      </c>
      <c r="D11" s="12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5" t="s">
        <v>34</v>
      </c>
      <c r="N11">
        <v>5000</v>
      </c>
      <c r="O11" s="15">
        <v>1990000</v>
      </c>
    </row>
    <row r="12" spans="1:15">
      <c r="A12" s="1">
        <f t="shared" si="2"/>
        <v>1007002</v>
      </c>
      <c r="B12" s="12">
        <v>100700</v>
      </c>
      <c r="C12" s="12">
        <v>1</v>
      </c>
      <c r="D12" s="12" t="str">
        <f>D11</f>
        <v>麻将胡了</v>
      </c>
      <c r="E12" s="13">
        <v>100700001</v>
      </c>
      <c r="F12" s="13" t="str">
        <f>F11</f>
        <v>MahjongWays</v>
      </c>
      <c r="G12" s="1" t="s">
        <v>35</v>
      </c>
      <c r="H12" s="1">
        <v>2</v>
      </c>
      <c r="I12" s="1">
        <v>500000</v>
      </c>
      <c r="J12" s="1">
        <v>-1</v>
      </c>
      <c r="K12" s="1">
        <v>0</v>
      </c>
      <c r="L12" s="1" t="s">
        <v>33</v>
      </c>
      <c r="M12" s="25" t="s">
        <v>34</v>
      </c>
      <c r="N12">
        <v>500000</v>
      </c>
      <c r="O12" s="15">
        <v>1990000</v>
      </c>
    </row>
    <row r="13" spans="1:15">
      <c r="A13" s="1">
        <f t="shared" si="2"/>
        <v>1007003</v>
      </c>
      <c r="B13" s="12">
        <v>100700</v>
      </c>
      <c r="C13" s="12">
        <v>1</v>
      </c>
      <c r="D13" s="12" t="str">
        <f>D12</f>
        <v>麻将胡了</v>
      </c>
      <c r="E13" s="13">
        <v>100700001</v>
      </c>
      <c r="F13" s="13" t="str">
        <f>F12</f>
        <v>MahjongWays</v>
      </c>
      <c r="G13" s="1" t="s">
        <v>36</v>
      </c>
      <c r="H13" s="1">
        <v>3</v>
      </c>
      <c r="I13" s="1">
        <v>50000000</v>
      </c>
      <c r="J13" s="1">
        <v>-1</v>
      </c>
      <c r="K13" s="1">
        <v>0</v>
      </c>
      <c r="L13" s="1" t="s">
        <v>33</v>
      </c>
      <c r="M13" s="25" t="s">
        <v>34</v>
      </c>
      <c r="N13">
        <v>50000000</v>
      </c>
      <c r="O13" s="15">
        <v>1990000</v>
      </c>
    </row>
    <row r="14" spans="1:15">
      <c r="A14" s="1">
        <f t="shared" si="2"/>
        <v>1012001</v>
      </c>
      <c r="B14" s="12">
        <v>101200</v>
      </c>
      <c r="C14" s="12">
        <v>1</v>
      </c>
      <c r="D14" s="12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5" t="s">
        <v>34</v>
      </c>
      <c r="N14">
        <v>5000</v>
      </c>
      <c r="O14" s="15">
        <v>1990000</v>
      </c>
    </row>
    <row r="15" spans="1:15">
      <c r="A15" s="1">
        <f t="shared" si="2"/>
        <v>1012002</v>
      </c>
      <c r="B15" s="12">
        <v>101200</v>
      </c>
      <c r="C15" s="12">
        <v>1</v>
      </c>
      <c r="D15" s="12" t="str">
        <f>D14</f>
        <v>财神</v>
      </c>
      <c r="E15" s="13">
        <v>101200001</v>
      </c>
      <c r="F15" s="13" t="str">
        <f>F14</f>
        <v>Godofwealth</v>
      </c>
      <c r="G15" s="1" t="s">
        <v>35</v>
      </c>
      <c r="H15" s="1">
        <v>2</v>
      </c>
      <c r="I15" s="1">
        <v>500000</v>
      </c>
      <c r="J15" s="1">
        <v>-1</v>
      </c>
      <c r="K15" s="1">
        <v>0</v>
      </c>
      <c r="L15" s="1" t="s">
        <v>33</v>
      </c>
      <c r="M15" s="25" t="s">
        <v>34</v>
      </c>
      <c r="N15">
        <v>500000</v>
      </c>
      <c r="O15" s="15">
        <v>1990000</v>
      </c>
    </row>
    <row r="16" spans="1:15">
      <c r="A16" s="1">
        <f t="shared" si="2"/>
        <v>1012003</v>
      </c>
      <c r="B16" s="12">
        <v>101200</v>
      </c>
      <c r="C16" s="12">
        <v>1</v>
      </c>
      <c r="D16" s="12" t="str">
        <f t="shared" ref="D16:D22" si="3">D15</f>
        <v>财神</v>
      </c>
      <c r="E16" s="13">
        <v>101200001</v>
      </c>
      <c r="F16" s="13" t="str">
        <f>F15</f>
        <v>Godofwealth</v>
      </c>
      <c r="G16" s="1" t="s">
        <v>36</v>
      </c>
      <c r="H16" s="1">
        <v>3</v>
      </c>
      <c r="I16" s="1">
        <v>50000000</v>
      </c>
      <c r="J16" s="1">
        <v>-1</v>
      </c>
      <c r="K16" s="1">
        <v>0</v>
      </c>
      <c r="L16" s="1" t="s">
        <v>33</v>
      </c>
      <c r="M16" s="25" t="s">
        <v>34</v>
      </c>
      <c r="N16">
        <v>50000000</v>
      </c>
      <c r="O16" s="15">
        <v>1990000</v>
      </c>
    </row>
    <row r="17" spans="1:15">
      <c r="A17" s="1">
        <f t="shared" si="2"/>
        <v>1014001</v>
      </c>
      <c r="B17" s="12">
        <v>101400</v>
      </c>
      <c r="C17" s="12">
        <v>1</v>
      </c>
      <c r="D17" s="12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5" t="s">
        <v>34</v>
      </c>
      <c r="N17">
        <v>5000</v>
      </c>
      <c r="O17" s="15">
        <v>1990000</v>
      </c>
    </row>
    <row r="18" spans="1:15">
      <c r="A18" s="1">
        <f t="shared" si="2"/>
        <v>1014002</v>
      </c>
      <c r="B18" s="12">
        <v>101400</v>
      </c>
      <c r="C18" s="12">
        <v>1</v>
      </c>
      <c r="D18" s="12" t="str">
        <f t="shared" si="3"/>
        <v>埃及艳后</v>
      </c>
      <c r="E18" s="13">
        <v>101400001</v>
      </c>
      <c r="F18" s="13" t="str">
        <f>F17</f>
        <v>Cleopatra</v>
      </c>
      <c r="G18" s="1" t="s">
        <v>35</v>
      </c>
      <c r="H18" s="1">
        <v>2</v>
      </c>
      <c r="I18" s="1">
        <v>500000</v>
      </c>
      <c r="J18" s="1">
        <v>-1</v>
      </c>
      <c r="K18" s="1">
        <v>0</v>
      </c>
      <c r="L18" s="1" t="s">
        <v>33</v>
      </c>
      <c r="M18" s="25" t="s">
        <v>34</v>
      </c>
      <c r="N18">
        <v>500000</v>
      </c>
      <c r="O18" s="15">
        <v>1990000</v>
      </c>
    </row>
    <row r="19" spans="1:15">
      <c r="A19" s="1">
        <f t="shared" si="2"/>
        <v>1014003</v>
      </c>
      <c r="B19" s="12">
        <v>101400</v>
      </c>
      <c r="C19" s="12">
        <v>1</v>
      </c>
      <c r="D19" s="12" t="str">
        <f t="shared" si="3"/>
        <v>埃及艳后</v>
      </c>
      <c r="E19" s="13">
        <v>101400001</v>
      </c>
      <c r="F19" s="13" t="str">
        <f>F18</f>
        <v>Cleopatra</v>
      </c>
      <c r="G19" s="1" t="s">
        <v>36</v>
      </c>
      <c r="H19" s="1">
        <v>3</v>
      </c>
      <c r="I19" s="1">
        <v>50000000</v>
      </c>
      <c r="J19" s="1">
        <v>-1</v>
      </c>
      <c r="K19" s="1">
        <v>0</v>
      </c>
      <c r="L19" s="1" t="s">
        <v>33</v>
      </c>
      <c r="M19" s="25" t="s">
        <v>34</v>
      </c>
      <c r="N19">
        <v>50000000</v>
      </c>
      <c r="O19" s="15">
        <v>1990000</v>
      </c>
    </row>
    <row r="20" spans="1:15">
      <c r="A20" s="1">
        <f t="shared" si="2"/>
        <v>1024001</v>
      </c>
      <c r="B20" s="12">
        <v>102400</v>
      </c>
      <c r="C20" s="12">
        <v>1</v>
      </c>
      <c r="D20" s="12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5" t="s">
        <v>34</v>
      </c>
      <c r="N20">
        <v>5000</v>
      </c>
      <c r="O20" s="15">
        <v>1990000</v>
      </c>
    </row>
    <row r="21" spans="1:15">
      <c r="A21" s="1">
        <f t="shared" si="2"/>
        <v>1024002</v>
      </c>
      <c r="B21" s="12">
        <v>102400</v>
      </c>
      <c r="C21" s="12">
        <v>1</v>
      </c>
      <c r="D21" s="12" t="str">
        <f t="shared" si="3"/>
        <v>财富银行</v>
      </c>
      <c r="E21" s="13">
        <v>102400026</v>
      </c>
      <c r="F21" s="13" t="s">
        <v>46</v>
      </c>
      <c r="G21" s="1" t="s">
        <v>35</v>
      </c>
      <c r="H21" s="1">
        <v>2</v>
      </c>
      <c r="I21" s="1">
        <v>500000</v>
      </c>
      <c r="J21" s="1">
        <v>-1</v>
      </c>
      <c r="K21" s="1">
        <v>0</v>
      </c>
      <c r="L21" s="1" t="s">
        <v>33</v>
      </c>
      <c r="M21" s="25" t="s">
        <v>34</v>
      </c>
      <c r="N21">
        <v>500000</v>
      </c>
      <c r="O21" s="15">
        <v>1990000</v>
      </c>
    </row>
    <row r="22" spans="1:15">
      <c r="A22" s="1">
        <f t="shared" si="2"/>
        <v>1024003</v>
      </c>
      <c r="B22" s="12">
        <v>102400</v>
      </c>
      <c r="C22" s="12">
        <v>1</v>
      </c>
      <c r="D22" s="12" t="str">
        <f t="shared" si="3"/>
        <v>财富银行</v>
      </c>
      <c r="E22" s="13">
        <v>102400026</v>
      </c>
      <c r="F22" s="13" t="s">
        <v>46</v>
      </c>
      <c r="G22" s="1" t="s">
        <v>36</v>
      </c>
      <c r="H22" s="1">
        <v>3</v>
      </c>
      <c r="I22" s="1">
        <v>50000000</v>
      </c>
      <c r="J22" s="1">
        <v>-1</v>
      </c>
      <c r="K22" s="1">
        <v>0</v>
      </c>
      <c r="L22" s="1" t="s">
        <v>33</v>
      </c>
      <c r="M22" s="25" t="s">
        <v>34</v>
      </c>
      <c r="N22">
        <v>50000000</v>
      </c>
      <c r="O22" s="15">
        <v>1990000</v>
      </c>
    </row>
    <row r="23" spans="1:15">
      <c r="A23" s="1">
        <f t="shared" ref="A23:A31" si="4">B23*10+H23</f>
        <v>1022001</v>
      </c>
      <c r="B23" s="12">
        <v>102200</v>
      </c>
      <c r="C23" s="12">
        <v>1</v>
      </c>
      <c r="D23" s="12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5" t="s">
        <v>34</v>
      </c>
      <c r="N23">
        <v>5000</v>
      </c>
      <c r="O23" s="15">
        <v>1990000</v>
      </c>
    </row>
    <row r="24" spans="1:15">
      <c r="A24" s="1">
        <f t="shared" si="4"/>
        <v>1022002</v>
      </c>
      <c r="B24" s="12">
        <v>102200</v>
      </c>
      <c r="C24" s="12">
        <v>1</v>
      </c>
      <c r="D24" s="12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1">
        <v>500000</v>
      </c>
      <c r="J24" s="1">
        <v>-1</v>
      </c>
      <c r="K24" s="1">
        <v>0</v>
      </c>
      <c r="L24" s="1" t="s">
        <v>33</v>
      </c>
      <c r="M24" s="25" t="s">
        <v>34</v>
      </c>
      <c r="N24">
        <v>500000</v>
      </c>
      <c r="O24" s="15">
        <v>1990000</v>
      </c>
    </row>
    <row r="25" spans="1:15">
      <c r="A25" s="1">
        <f t="shared" si="4"/>
        <v>1022003</v>
      </c>
      <c r="B25" s="12">
        <v>102200</v>
      </c>
      <c r="C25" s="12">
        <v>1</v>
      </c>
      <c r="D25" s="12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1">
        <v>50000000</v>
      </c>
      <c r="J25" s="1">
        <v>-1</v>
      </c>
      <c r="K25" s="1">
        <v>0</v>
      </c>
      <c r="L25" s="1" t="s">
        <v>33</v>
      </c>
      <c r="M25" s="25" t="s">
        <v>34</v>
      </c>
      <c r="N25">
        <v>50000000</v>
      </c>
      <c r="O25" s="15">
        <v>1990000</v>
      </c>
    </row>
    <row r="26" spans="1:15">
      <c r="A26" s="1">
        <f t="shared" si="4"/>
        <v>1017001</v>
      </c>
      <c r="B26" s="12">
        <v>101700</v>
      </c>
      <c r="C26" s="12">
        <v>1</v>
      </c>
      <c r="D26" s="12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5" t="s">
        <v>34</v>
      </c>
      <c r="N26">
        <v>5000</v>
      </c>
      <c r="O26" s="15">
        <v>1990000</v>
      </c>
    </row>
    <row r="27" spans="1:15">
      <c r="A27" s="1">
        <f t="shared" si="4"/>
        <v>1017002</v>
      </c>
      <c r="B27" s="12">
        <v>101700</v>
      </c>
      <c r="C27" s="12">
        <v>1</v>
      </c>
      <c r="D27" s="12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1">
        <v>500000</v>
      </c>
      <c r="J27" s="1">
        <v>-1</v>
      </c>
      <c r="K27" s="1">
        <v>0</v>
      </c>
      <c r="L27" s="1" t="s">
        <v>33</v>
      </c>
      <c r="M27" s="25" t="s">
        <v>34</v>
      </c>
      <c r="N27">
        <v>500000</v>
      </c>
      <c r="O27" s="15">
        <v>1990000</v>
      </c>
    </row>
    <row r="28" spans="1:15">
      <c r="A28" s="1">
        <f t="shared" si="4"/>
        <v>1017003</v>
      </c>
      <c r="B28" s="12">
        <v>101700</v>
      </c>
      <c r="C28" s="12">
        <v>1</v>
      </c>
      <c r="D28" s="12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1">
        <v>50000000</v>
      </c>
      <c r="J28" s="1">
        <v>-1</v>
      </c>
      <c r="K28" s="1">
        <v>0</v>
      </c>
      <c r="L28" s="1" t="s">
        <v>33</v>
      </c>
      <c r="M28" s="25" t="s">
        <v>34</v>
      </c>
      <c r="N28">
        <v>50000000</v>
      </c>
      <c r="O28" s="15">
        <v>1990000</v>
      </c>
    </row>
    <row r="29" spans="1:15">
      <c r="A29" s="1">
        <f t="shared" si="4"/>
        <v>1021001</v>
      </c>
      <c r="B29" s="12">
        <v>102100</v>
      </c>
      <c r="C29" s="12">
        <v>1</v>
      </c>
      <c r="D29" s="12" t="s">
        <v>51</v>
      </c>
      <c r="E29" s="13">
        <v>102100001</v>
      </c>
      <c r="F29" s="13"/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5" t="s">
        <v>34</v>
      </c>
      <c r="N29">
        <v>5000</v>
      </c>
      <c r="O29" s="15">
        <v>1990000</v>
      </c>
    </row>
    <row r="30" spans="1:15">
      <c r="A30" s="1">
        <f t="shared" si="4"/>
        <v>1021002</v>
      </c>
      <c r="B30" s="12">
        <v>102100</v>
      </c>
      <c r="C30" s="12">
        <v>1</v>
      </c>
      <c r="D30" s="12" t="s">
        <v>51</v>
      </c>
      <c r="E30" s="13">
        <v>102100001</v>
      </c>
      <c r="F30" s="13"/>
      <c r="G30" s="1" t="s">
        <v>35</v>
      </c>
      <c r="H30" s="1">
        <v>2</v>
      </c>
      <c r="I30" s="1">
        <v>500000</v>
      </c>
      <c r="J30" s="1">
        <v>-1</v>
      </c>
      <c r="K30" s="1">
        <v>0</v>
      </c>
      <c r="L30" s="1" t="s">
        <v>33</v>
      </c>
      <c r="M30" s="25" t="s">
        <v>34</v>
      </c>
      <c r="N30">
        <v>500000</v>
      </c>
      <c r="O30" s="15">
        <v>1990000</v>
      </c>
    </row>
    <row r="31" spans="1:15">
      <c r="A31" s="1">
        <f t="shared" si="4"/>
        <v>1021003</v>
      </c>
      <c r="B31" s="12">
        <v>102100</v>
      </c>
      <c r="C31" s="12">
        <v>1</v>
      </c>
      <c r="D31" s="12" t="s">
        <v>51</v>
      </c>
      <c r="E31" s="13">
        <v>102100001</v>
      </c>
      <c r="F31" s="13"/>
      <c r="G31" s="1" t="s">
        <v>36</v>
      </c>
      <c r="H31" s="1">
        <v>3</v>
      </c>
      <c r="I31" s="1">
        <v>50000000</v>
      </c>
      <c r="J31" s="1">
        <v>-1</v>
      </c>
      <c r="K31" s="1">
        <v>0</v>
      </c>
      <c r="L31" s="1" t="s">
        <v>33</v>
      </c>
      <c r="M31" s="25" t="s">
        <v>34</v>
      </c>
      <c r="N31">
        <v>50000000</v>
      </c>
      <c r="O31" s="15">
        <v>1990000</v>
      </c>
    </row>
    <row r="32" spans="1:15">
      <c r="A32" s="1">
        <f t="shared" ref="A32:A78" si="5">B32*10+H32</f>
        <v>2001001</v>
      </c>
      <c r="B32" s="12">
        <v>200100</v>
      </c>
      <c r="C32" s="12">
        <v>2</v>
      </c>
      <c r="D32" s="12" t="s">
        <v>52</v>
      </c>
      <c r="E32" s="13">
        <v>200100038</v>
      </c>
      <c r="F32" s="13" t="s">
        <v>53</v>
      </c>
      <c r="G32" s="1" t="s">
        <v>32</v>
      </c>
      <c r="H32" s="1">
        <v>1</v>
      </c>
      <c r="I32" s="1">
        <v>0</v>
      </c>
      <c r="J32" s="1">
        <v>-1</v>
      </c>
      <c r="K32" s="1">
        <v>0</v>
      </c>
      <c r="L32" s="1" t="s">
        <v>33</v>
      </c>
      <c r="M32" s="25" t="s">
        <v>34</v>
      </c>
      <c r="N32">
        <v>5000</v>
      </c>
      <c r="O32" s="15">
        <v>1990000</v>
      </c>
    </row>
    <row r="33" spans="1:19">
      <c r="A33" s="1">
        <f t="shared" si="5"/>
        <v>2001002</v>
      </c>
      <c r="B33" s="12">
        <v>200100</v>
      </c>
      <c r="C33" s="12">
        <v>2</v>
      </c>
      <c r="D33" s="12" t="str">
        <f>D32</f>
        <v>紅黑大戰</v>
      </c>
      <c r="E33" s="13">
        <v>200100038</v>
      </c>
      <c r="F33" s="13" t="s">
        <v>53</v>
      </c>
      <c r="G33" s="1" t="s">
        <v>35</v>
      </c>
      <c r="H33" s="1">
        <v>2</v>
      </c>
      <c r="I33" s="1">
        <v>500000</v>
      </c>
      <c r="J33" s="1">
        <v>-1</v>
      </c>
      <c r="K33" s="1">
        <v>0</v>
      </c>
      <c r="L33" s="1" t="s">
        <v>33</v>
      </c>
      <c r="M33" s="25" t="s">
        <v>34</v>
      </c>
      <c r="N33">
        <v>500000</v>
      </c>
      <c r="O33" s="15">
        <v>1990000</v>
      </c>
    </row>
    <row r="34" spans="1:19">
      <c r="A34" s="1">
        <f t="shared" si="5"/>
        <v>2001003</v>
      </c>
      <c r="B34" s="12">
        <v>200100</v>
      </c>
      <c r="C34" s="12">
        <v>2</v>
      </c>
      <c r="D34" s="12" t="str">
        <f>D33</f>
        <v>紅黑大戰</v>
      </c>
      <c r="E34" s="13">
        <v>200100038</v>
      </c>
      <c r="F34" s="13" t="s">
        <v>53</v>
      </c>
      <c r="G34" s="1" t="s">
        <v>36</v>
      </c>
      <c r="H34" s="1">
        <v>3</v>
      </c>
      <c r="I34" s="1">
        <v>50000000</v>
      </c>
      <c r="J34" s="1">
        <v>-1</v>
      </c>
      <c r="K34" s="1">
        <v>0</v>
      </c>
      <c r="L34" s="1" t="s">
        <v>33</v>
      </c>
      <c r="M34" s="25" t="s">
        <v>34</v>
      </c>
      <c r="N34">
        <v>50000000</v>
      </c>
      <c r="O34" s="15">
        <v>1990000</v>
      </c>
      <c r="Q34"/>
    </row>
    <row r="35" spans="1:19">
      <c r="A35" s="1">
        <f t="shared" si="5"/>
        <v>2001011</v>
      </c>
      <c r="B35" s="12">
        <v>200101</v>
      </c>
      <c r="C35" s="12">
        <v>2</v>
      </c>
      <c r="D35" s="12" t="s">
        <v>54</v>
      </c>
      <c r="E35" s="13">
        <v>200101001</v>
      </c>
      <c r="F35" s="13" t="s">
        <v>55</v>
      </c>
      <c r="G35" s="1" t="s">
        <v>32</v>
      </c>
      <c r="H35" s="1">
        <v>1</v>
      </c>
      <c r="I35" s="1">
        <v>0</v>
      </c>
      <c r="J35" s="1">
        <v>-1</v>
      </c>
      <c r="K35" s="1">
        <v>0</v>
      </c>
      <c r="L35" s="1" t="s">
        <v>33</v>
      </c>
      <c r="M35" s="25" t="s">
        <v>34</v>
      </c>
      <c r="N35">
        <v>5000</v>
      </c>
      <c r="O35" s="15">
        <v>1990000</v>
      </c>
    </row>
    <row r="36" s="1" customFormat="1" spans="1:19">
      <c r="A36" s="1">
        <f t="shared" si="5"/>
        <v>2001012</v>
      </c>
      <c r="B36" s="12">
        <v>200101</v>
      </c>
      <c r="C36" s="12">
        <v>2</v>
      </c>
      <c r="D36" s="12" t="str">
        <f t="shared" ref="D36:D40" si="6">D35</f>
        <v>龍虎鬥</v>
      </c>
      <c r="E36" s="13">
        <v>200101001</v>
      </c>
      <c r="F36" s="13" t="s">
        <v>55</v>
      </c>
      <c r="G36" s="1" t="s">
        <v>35</v>
      </c>
      <c r="H36" s="1">
        <v>2</v>
      </c>
      <c r="I36" s="1">
        <v>500000</v>
      </c>
      <c r="J36" s="1">
        <v>-1</v>
      </c>
      <c r="K36" s="1">
        <v>0</v>
      </c>
      <c r="L36" s="1" t="s">
        <v>33</v>
      </c>
      <c r="M36" s="25" t="s">
        <v>34</v>
      </c>
      <c r="N36">
        <v>500000</v>
      </c>
      <c r="O36" s="15">
        <v>1990000</v>
      </c>
      <c r="S36" s="3"/>
    </row>
    <row r="37" s="1" customFormat="1" spans="1:19">
      <c r="A37" s="1">
        <f t="shared" si="5"/>
        <v>2001013</v>
      </c>
      <c r="B37" s="12">
        <v>200101</v>
      </c>
      <c r="C37" s="12">
        <v>2</v>
      </c>
      <c r="D37" s="12" t="str">
        <f t="shared" si="6"/>
        <v>龍虎鬥</v>
      </c>
      <c r="E37" s="13">
        <v>200101001</v>
      </c>
      <c r="F37" s="13" t="s">
        <v>55</v>
      </c>
      <c r="G37" s="1" t="s">
        <v>36</v>
      </c>
      <c r="H37" s="1">
        <v>3</v>
      </c>
      <c r="I37" s="1">
        <v>50000000</v>
      </c>
      <c r="J37" s="1">
        <v>-1</v>
      </c>
      <c r="K37" s="1">
        <v>0</v>
      </c>
      <c r="L37" s="1" t="s">
        <v>33</v>
      </c>
      <c r="M37" s="25" t="s">
        <v>34</v>
      </c>
      <c r="N37">
        <v>50000000</v>
      </c>
      <c r="O37" s="15">
        <v>1990000</v>
      </c>
      <c r="S37" s="3"/>
    </row>
    <row r="38" spans="1:19">
      <c r="A38" s="1">
        <f t="shared" si="5"/>
        <v>2003001</v>
      </c>
      <c r="B38" s="12">
        <v>200300</v>
      </c>
      <c r="C38" s="12">
        <v>2</v>
      </c>
      <c r="D38" s="12" t="s">
        <v>56</v>
      </c>
      <c r="E38" s="13">
        <v>200300001</v>
      </c>
      <c r="F38" s="13" t="s">
        <v>57</v>
      </c>
      <c r="G38" s="1" t="s">
        <v>32</v>
      </c>
      <c r="H38" s="1">
        <v>1</v>
      </c>
      <c r="I38" s="1">
        <v>0</v>
      </c>
      <c r="J38" s="1">
        <v>-1</v>
      </c>
      <c r="K38" s="1">
        <v>0</v>
      </c>
      <c r="L38" s="1" t="s">
        <v>33</v>
      </c>
      <c r="M38" s="25" t="s">
        <v>34</v>
      </c>
      <c r="N38">
        <v>5000</v>
      </c>
      <c r="O38" s="15">
        <v>1990000</v>
      </c>
    </row>
    <row r="39" s="1" customFormat="1" spans="1:19">
      <c r="A39" s="1">
        <f t="shared" si="5"/>
        <v>2003002</v>
      </c>
      <c r="B39" s="12">
        <v>200300</v>
      </c>
      <c r="C39" s="12">
        <v>2</v>
      </c>
      <c r="D39" s="12" t="str">
        <f t="shared" si="6"/>
        <v>飛禽走獸</v>
      </c>
      <c r="E39" s="13">
        <v>200300001</v>
      </c>
      <c r="F39" s="13" t="s">
        <v>57</v>
      </c>
      <c r="G39" s="1" t="s">
        <v>35</v>
      </c>
      <c r="H39" s="1">
        <v>2</v>
      </c>
      <c r="I39" s="1">
        <v>500000</v>
      </c>
      <c r="J39" s="1">
        <v>-1</v>
      </c>
      <c r="K39" s="1">
        <v>0</v>
      </c>
      <c r="L39" s="1" t="s">
        <v>33</v>
      </c>
      <c r="M39" s="25" t="s">
        <v>34</v>
      </c>
      <c r="N39">
        <v>500000</v>
      </c>
      <c r="O39" s="15">
        <v>1990000</v>
      </c>
      <c r="Q39" s="3"/>
      <c r="R39" s="12"/>
      <c r="S39" s="3"/>
    </row>
    <row r="40" s="1" customFormat="1" spans="1:19">
      <c r="A40" s="1">
        <f t="shared" si="5"/>
        <v>2003003</v>
      </c>
      <c r="B40" s="12">
        <v>200300</v>
      </c>
      <c r="C40" s="12">
        <v>2</v>
      </c>
      <c r="D40" s="12" t="str">
        <f t="shared" si="6"/>
        <v>飛禽走獸</v>
      </c>
      <c r="E40" s="13">
        <v>200300001</v>
      </c>
      <c r="F40" s="13" t="s">
        <v>57</v>
      </c>
      <c r="G40" s="1" t="s">
        <v>36</v>
      </c>
      <c r="H40" s="1">
        <v>3</v>
      </c>
      <c r="I40" s="1">
        <v>50000000</v>
      </c>
      <c r="J40" s="1">
        <v>-1</v>
      </c>
      <c r="K40" s="1">
        <v>0</v>
      </c>
      <c r="L40" s="1" t="s">
        <v>33</v>
      </c>
      <c r="M40" s="25" t="s">
        <v>34</v>
      </c>
      <c r="N40">
        <v>50000000</v>
      </c>
      <c r="O40" s="15">
        <v>1990000</v>
      </c>
      <c r="Q40" s="3"/>
      <c r="R40" s="16"/>
      <c r="S40" s="16"/>
    </row>
    <row r="41" spans="1:19">
      <c r="A41" s="1">
        <f t="shared" si="5"/>
        <v>2004001</v>
      </c>
      <c r="B41" s="12">
        <v>200400</v>
      </c>
      <c r="C41" s="12">
        <v>2</v>
      </c>
      <c r="D41" s="16" t="s">
        <v>58</v>
      </c>
      <c r="E41" s="13">
        <v>200400009</v>
      </c>
      <c r="F41" s="13" t="s">
        <v>59</v>
      </c>
      <c r="G41" s="1" t="s">
        <v>32</v>
      </c>
      <c r="H41" s="1">
        <v>1</v>
      </c>
      <c r="I41" s="1">
        <v>0</v>
      </c>
      <c r="J41" s="1">
        <v>-1</v>
      </c>
      <c r="K41" s="1">
        <v>0</v>
      </c>
      <c r="L41" s="1" t="s">
        <v>33</v>
      </c>
      <c r="M41" s="25" t="s">
        <v>34</v>
      </c>
      <c r="N41">
        <v>5000</v>
      </c>
      <c r="O41" s="15">
        <v>1990000</v>
      </c>
      <c r="Q41" s="3"/>
      <c r="R41" s="16"/>
      <c r="S41" s="16"/>
    </row>
    <row r="42" s="1" customFormat="1" spans="1:19">
      <c r="A42" s="1">
        <f t="shared" si="5"/>
        <v>2004002</v>
      </c>
      <c r="B42" s="12">
        <v>200400</v>
      </c>
      <c r="C42" s="12">
        <v>2</v>
      </c>
      <c r="D42" s="16" t="s">
        <v>58</v>
      </c>
      <c r="E42" s="13">
        <v>200400009</v>
      </c>
      <c r="F42" s="13" t="s">
        <v>59</v>
      </c>
      <c r="G42" s="1" t="s">
        <v>35</v>
      </c>
      <c r="H42" s="1">
        <v>2</v>
      </c>
      <c r="I42" s="1">
        <v>500000</v>
      </c>
      <c r="J42" s="1">
        <v>-1</v>
      </c>
      <c r="K42" s="1">
        <v>0</v>
      </c>
      <c r="L42" s="1" t="s">
        <v>33</v>
      </c>
      <c r="M42" s="25" t="s">
        <v>34</v>
      </c>
      <c r="N42">
        <v>500000</v>
      </c>
      <c r="O42" s="15">
        <v>1990000</v>
      </c>
      <c r="Q42" s="3"/>
      <c r="R42" s="16"/>
      <c r="S42" s="16"/>
    </row>
    <row r="43" s="1" customFormat="1" spans="1:19">
      <c r="A43" s="1">
        <f t="shared" si="5"/>
        <v>2004003</v>
      </c>
      <c r="B43" s="12">
        <v>200400</v>
      </c>
      <c r="C43" s="12">
        <v>2</v>
      </c>
      <c r="D43" s="16" t="s">
        <v>58</v>
      </c>
      <c r="E43" s="13">
        <v>200400009</v>
      </c>
      <c r="F43" s="13" t="s">
        <v>59</v>
      </c>
      <c r="G43" s="1" t="s">
        <v>36</v>
      </c>
      <c r="H43" s="1">
        <v>3</v>
      </c>
      <c r="I43" s="1">
        <v>50000000</v>
      </c>
      <c r="J43" s="1">
        <v>-1</v>
      </c>
      <c r="K43" s="1">
        <v>0</v>
      </c>
      <c r="L43" s="1" t="s">
        <v>33</v>
      </c>
      <c r="M43" s="25" t="s">
        <v>34</v>
      </c>
      <c r="N43">
        <v>50000000</v>
      </c>
      <c r="O43" s="15">
        <v>1990000</v>
      </c>
      <c r="Q43" s="3"/>
      <c r="R43" s="16"/>
      <c r="S43" s="16"/>
    </row>
    <row r="44" spans="1:19">
      <c r="A44" s="1">
        <f t="shared" si="5"/>
        <v>2005001</v>
      </c>
      <c r="B44" s="12">
        <v>200500</v>
      </c>
      <c r="C44" s="12">
        <v>2</v>
      </c>
      <c r="D44" s="12" t="s">
        <v>60</v>
      </c>
      <c r="E44" s="13">
        <v>200500025</v>
      </c>
      <c r="F44" s="13" t="s">
        <v>61</v>
      </c>
      <c r="G44" s="1" t="s">
        <v>32</v>
      </c>
      <c r="H44" s="1">
        <v>1</v>
      </c>
      <c r="I44" s="1">
        <v>0</v>
      </c>
      <c r="J44" s="1">
        <v>-1</v>
      </c>
      <c r="K44" s="1">
        <v>0</v>
      </c>
      <c r="L44" s="1" t="s">
        <v>33</v>
      </c>
      <c r="M44" s="25" t="s">
        <v>62</v>
      </c>
      <c r="N44">
        <v>5000</v>
      </c>
      <c r="O44" s="15">
        <v>1990000</v>
      </c>
      <c r="Q44" s="3"/>
      <c r="R44" s="16"/>
      <c r="S44" s="16"/>
    </row>
    <row r="45" spans="1:19">
      <c r="A45" s="1">
        <f t="shared" si="5"/>
        <v>2005002</v>
      </c>
      <c r="B45" s="12">
        <v>200500</v>
      </c>
      <c r="C45" s="12">
        <v>2</v>
      </c>
      <c r="D45" s="12" t="s">
        <v>60</v>
      </c>
      <c r="E45" s="13">
        <v>200500025</v>
      </c>
      <c r="F45" s="13" t="s">
        <v>61</v>
      </c>
      <c r="G45" s="1" t="s">
        <v>35</v>
      </c>
      <c r="H45" s="1">
        <v>2</v>
      </c>
      <c r="I45" s="1">
        <v>500000</v>
      </c>
      <c r="J45" s="1">
        <v>-1</v>
      </c>
      <c r="K45" s="1">
        <v>0</v>
      </c>
      <c r="L45" s="1" t="s">
        <v>33</v>
      </c>
      <c r="M45" s="25" t="s">
        <v>62</v>
      </c>
      <c r="N45">
        <v>500000</v>
      </c>
      <c r="O45" s="15">
        <v>1990000</v>
      </c>
      <c r="Q45" s="3"/>
      <c r="R45" s="16"/>
      <c r="S45" s="16"/>
    </row>
    <row r="46" spans="1:19">
      <c r="A46" s="1">
        <f t="shared" si="5"/>
        <v>2005003</v>
      </c>
      <c r="B46" s="12">
        <v>200500</v>
      </c>
      <c r="C46" s="12">
        <v>2</v>
      </c>
      <c r="D46" s="12" t="s">
        <v>60</v>
      </c>
      <c r="E46" s="13">
        <v>200500025</v>
      </c>
      <c r="F46" s="13" t="s">
        <v>61</v>
      </c>
      <c r="G46" s="1" t="s">
        <v>36</v>
      </c>
      <c r="H46" s="1">
        <v>3</v>
      </c>
      <c r="I46" s="1">
        <v>50000000</v>
      </c>
      <c r="J46" s="1">
        <v>-1</v>
      </c>
      <c r="K46" s="1">
        <v>0</v>
      </c>
      <c r="L46" s="1" t="s">
        <v>33</v>
      </c>
      <c r="M46" s="25" t="s">
        <v>62</v>
      </c>
      <c r="N46">
        <v>50000000</v>
      </c>
      <c r="O46" s="15">
        <v>1990000</v>
      </c>
      <c r="Q46" s="3"/>
      <c r="R46" s="16"/>
      <c r="S46" s="16"/>
    </row>
    <row r="47" spans="1:19">
      <c r="A47" s="1">
        <f t="shared" si="5"/>
        <v>2006001</v>
      </c>
      <c r="B47" s="12">
        <v>200600</v>
      </c>
      <c r="C47" s="12">
        <v>2</v>
      </c>
      <c r="D47" s="13" t="s">
        <v>63</v>
      </c>
      <c r="E47" s="13">
        <v>200600001</v>
      </c>
      <c r="F47" s="13" t="s">
        <v>64</v>
      </c>
      <c r="G47" s="1" t="s">
        <v>32</v>
      </c>
      <c r="H47" s="1">
        <v>1</v>
      </c>
      <c r="I47" s="1">
        <v>0</v>
      </c>
      <c r="J47" s="1">
        <v>-1</v>
      </c>
      <c r="K47" s="1">
        <v>0</v>
      </c>
      <c r="L47" s="1" t="s">
        <v>33</v>
      </c>
      <c r="M47" s="25" t="s">
        <v>34</v>
      </c>
      <c r="N47">
        <v>5000</v>
      </c>
      <c r="O47" s="15">
        <v>1990000</v>
      </c>
      <c r="Q47" s="3"/>
      <c r="R47" s="16"/>
      <c r="S47" s="16"/>
    </row>
    <row r="48" s="1" customFormat="1" spans="1:19">
      <c r="A48" s="1">
        <f t="shared" si="5"/>
        <v>2006002</v>
      </c>
      <c r="B48" s="12">
        <v>200600</v>
      </c>
      <c r="C48" s="12">
        <v>2</v>
      </c>
      <c r="D48" s="13" t="s">
        <v>63</v>
      </c>
      <c r="E48" s="13">
        <v>200600001</v>
      </c>
      <c r="F48" s="13" t="s">
        <v>64</v>
      </c>
      <c r="G48" s="1" t="s">
        <v>35</v>
      </c>
      <c r="H48" s="1">
        <v>2</v>
      </c>
      <c r="I48" s="1">
        <v>500000</v>
      </c>
      <c r="J48" s="1">
        <v>-1</v>
      </c>
      <c r="K48" s="1">
        <v>0</v>
      </c>
      <c r="L48" s="1" t="s">
        <v>33</v>
      </c>
      <c r="M48" s="25" t="s">
        <v>34</v>
      </c>
      <c r="N48">
        <v>500000</v>
      </c>
      <c r="O48" s="15">
        <v>1990000</v>
      </c>
      <c r="Q48" s="3"/>
      <c r="R48" s="16"/>
      <c r="S48" s="16"/>
    </row>
    <row r="49" s="1" customFormat="1" spans="1:19">
      <c r="A49" s="1">
        <f t="shared" si="5"/>
        <v>2006003</v>
      </c>
      <c r="B49" s="12">
        <v>200600</v>
      </c>
      <c r="C49" s="12">
        <v>2</v>
      </c>
      <c r="D49" s="13" t="s">
        <v>63</v>
      </c>
      <c r="E49" s="13">
        <v>200600001</v>
      </c>
      <c r="F49" s="13" t="s">
        <v>64</v>
      </c>
      <c r="G49" s="1" t="s">
        <v>36</v>
      </c>
      <c r="H49" s="1">
        <v>3</v>
      </c>
      <c r="I49" s="1">
        <v>50000000</v>
      </c>
      <c r="J49" s="1">
        <v>-1</v>
      </c>
      <c r="K49" s="1">
        <v>0</v>
      </c>
      <c r="L49" s="1" t="s">
        <v>33</v>
      </c>
      <c r="M49" s="25" t="s">
        <v>34</v>
      </c>
      <c r="N49">
        <v>50000000</v>
      </c>
      <c r="O49" s="15">
        <v>1990000</v>
      </c>
      <c r="Q49" s="3"/>
      <c r="R49"/>
      <c r="S49" s="16"/>
    </row>
    <row r="50" spans="1:19">
      <c r="A50" s="1">
        <f t="shared" si="5"/>
        <v>2007001</v>
      </c>
      <c r="B50" s="12">
        <v>200700</v>
      </c>
      <c r="C50" s="12">
        <v>2</v>
      </c>
      <c r="D50" s="12" t="s">
        <v>65</v>
      </c>
      <c r="E50" s="13">
        <v>200700001</v>
      </c>
      <c r="F50" s="13" t="s">
        <v>66</v>
      </c>
      <c r="G50" s="1" t="s">
        <v>32</v>
      </c>
      <c r="H50" s="1">
        <v>1</v>
      </c>
      <c r="I50" s="1">
        <v>0</v>
      </c>
      <c r="J50" s="1">
        <v>-1</v>
      </c>
      <c r="K50" s="1">
        <v>0</v>
      </c>
      <c r="L50" s="1" t="s">
        <v>33</v>
      </c>
      <c r="M50" s="25" t="s">
        <v>34</v>
      </c>
      <c r="N50">
        <v>5000</v>
      </c>
      <c r="O50" s="15">
        <v>1990000</v>
      </c>
      <c r="Q50" s="3"/>
      <c r="R50" s="16"/>
      <c r="S50" s="16"/>
    </row>
    <row r="51" s="1" customFormat="1" spans="1:19">
      <c r="A51" s="1">
        <f t="shared" si="5"/>
        <v>2007002</v>
      </c>
      <c r="B51" s="12">
        <v>200700</v>
      </c>
      <c r="C51" s="12">
        <v>2</v>
      </c>
      <c r="D51" s="12" t="str">
        <f t="shared" ref="D48:D52" si="7">D50</f>
        <v>越南色碟</v>
      </c>
      <c r="E51" s="13">
        <v>200700001</v>
      </c>
      <c r="F51" s="13" t="s">
        <v>66</v>
      </c>
      <c r="G51" s="1" t="s">
        <v>35</v>
      </c>
      <c r="H51" s="1">
        <v>2</v>
      </c>
      <c r="I51" s="1">
        <v>500000</v>
      </c>
      <c r="J51" s="1">
        <v>-1</v>
      </c>
      <c r="K51" s="1">
        <v>0</v>
      </c>
      <c r="L51" s="1" t="s">
        <v>33</v>
      </c>
      <c r="M51" s="25" t="s">
        <v>34</v>
      </c>
      <c r="N51">
        <v>500000</v>
      </c>
      <c r="O51" s="15">
        <v>1990000</v>
      </c>
      <c r="Q51" s="3"/>
      <c r="R51" s="16"/>
      <c r="S51" s="16"/>
    </row>
    <row r="52" s="1" customFormat="1" spans="1:19">
      <c r="A52" s="1">
        <f t="shared" si="5"/>
        <v>2007003</v>
      </c>
      <c r="B52" s="12">
        <v>200700</v>
      </c>
      <c r="C52" s="12">
        <v>2</v>
      </c>
      <c r="D52" s="12" t="str">
        <f t="shared" si="7"/>
        <v>越南色碟</v>
      </c>
      <c r="E52" s="13">
        <v>200700001</v>
      </c>
      <c r="F52" s="13" t="s">
        <v>66</v>
      </c>
      <c r="G52" s="1" t="s">
        <v>36</v>
      </c>
      <c r="H52" s="1">
        <v>3</v>
      </c>
      <c r="I52" s="1">
        <v>50000000</v>
      </c>
      <c r="J52" s="1">
        <v>-1</v>
      </c>
      <c r="K52" s="1">
        <v>0</v>
      </c>
      <c r="L52" s="1" t="s">
        <v>33</v>
      </c>
      <c r="M52" s="25" t="s">
        <v>34</v>
      </c>
      <c r="N52">
        <v>50000000</v>
      </c>
      <c r="O52" s="15">
        <v>1990000</v>
      </c>
      <c r="S52" s="3"/>
    </row>
    <row r="53" s="1" customFormat="1" spans="1:19">
      <c r="A53" s="1">
        <f t="shared" si="5"/>
        <v>2008001</v>
      </c>
      <c r="B53" s="12">
        <v>200800</v>
      </c>
      <c r="C53" s="12">
        <v>2</v>
      </c>
      <c r="D53" s="13" t="s">
        <v>67</v>
      </c>
      <c r="E53" s="13">
        <v>200800001</v>
      </c>
      <c r="F53" s="13" t="s">
        <v>68</v>
      </c>
      <c r="G53" s="1" t="s">
        <v>32</v>
      </c>
      <c r="H53" s="1">
        <v>1</v>
      </c>
      <c r="I53" s="1">
        <v>0</v>
      </c>
      <c r="J53" s="1">
        <v>-1</v>
      </c>
      <c r="K53" s="1">
        <v>0</v>
      </c>
      <c r="L53" s="1" t="s">
        <v>33</v>
      </c>
      <c r="M53" s="25" t="s">
        <v>34</v>
      </c>
      <c r="N53">
        <v>5000</v>
      </c>
      <c r="O53" s="15">
        <v>1990000</v>
      </c>
      <c r="S53" s="3"/>
    </row>
    <row r="54" s="1" customFormat="1" spans="1:19">
      <c r="A54" s="1">
        <f t="shared" si="5"/>
        <v>2008002</v>
      </c>
      <c r="B54" s="12">
        <v>200800</v>
      </c>
      <c r="C54" s="12">
        <v>2</v>
      </c>
      <c r="D54" s="13" t="s">
        <v>67</v>
      </c>
      <c r="E54" s="13">
        <v>200800001</v>
      </c>
      <c r="F54" s="13" t="s">
        <v>68</v>
      </c>
      <c r="G54" s="1" t="s">
        <v>35</v>
      </c>
      <c r="H54" s="1">
        <v>2</v>
      </c>
      <c r="I54" s="1">
        <v>500000</v>
      </c>
      <c r="J54" s="1">
        <v>-1</v>
      </c>
      <c r="K54" s="1">
        <v>0</v>
      </c>
      <c r="L54" s="1" t="s">
        <v>33</v>
      </c>
      <c r="M54" s="25" t="s">
        <v>34</v>
      </c>
      <c r="N54">
        <v>500000</v>
      </c>
      <c r="O54" s="15">
        <v>1990000</v>
      </c>
      <c r="S54" s="3"/>
    </row>
    <row r="55" s="1" customFormat="1" spans="1:19">
      <c r="A55" s="1">
        <f t="shared" si="5"/>
        <v>2008003</v>
      </c>
      <c r="B55" s="12">
        <v>200800</v>
      </c>
      <c r="C55" s="12">
        <v>2</v>
      </c>
      <c r="D55" s="13" t="s">
        <v>67</v>
      </c>
      <c r="E55" s="13">
        <v>200800001</v>
      </c>
      <c r="F55" s="13" t="s">
        <v>68</v>
      </c>
      <c r="G55" s="1" t="s">
        <v>36</v>
      </c>
      <c r="H55" s="1">
        <v>3</v>
      </c>
      <c r="I55" s="1">
        <v>50000000</v>
      </c>
      <c r="J55" s="1">
        <v>-1</v>
      </c>
      <c r="K55" s="1">
        <v>0</v>
      </c>
      <c r="L55" s="1" t="s">
        <v>33</v>
      </c>
      <c r="M55" s="25" t="s">
        <v>34</v>
      </c>
      <c r="N55">
        <v>50000000</v>
      </c>
      <c r="O55" s="15">
        <v>1990000</v>
      </c>
      <c r="S55" s="3"/>
    </row>
    <row r="56" spans="1:19">
      <c r="A56" s="1">
        <f t="shared" si="5"/>
        <v>2009001</v>
      </c>
      <c r="B56" s="17">
        <v>200900</v>
      </c>
      <c r="C56" s="12">
        <v>2</v>
      </c>
      <c r="D56" s="17" t="s">
        <v>69</v>
      </c>
      <c r="E56" s="13">
        <v>200900001</v>
      </c>
      <c r="F56" s="13" t="s">
        <v>70</v>
      </c>
      <c r="G56" s="1" t="s">
        <v>32</v>
      </c>
      <c r="H56" s="1">
        <v>1</v>
      </c>
      <c r="I56" s="1">
        <v>0</v>
      </c>
      <c r="J56" s="1">
        <v>-1</v>
      </c>
      <c r="K56" s="1">
        <v>0</v>
      </c>
      <c r="L56" s="1" t="s">
        <v>33</v>
      </c>
      <c r="M56" s="25" t="s">
        <v>34</v>
      </c>
      <c r="N56">
        <v>5000</v>
      </c>
      <c r="O56" s="15">
        <v>1990000</v>
      </c>
    </row>
    <row r="57" spans="1:19">
      <c r="A57" s="1">
        <f t="shared" si="5"/>
        <v>2009002</v>
      </c>
      <c r="B57" s="12">
        <v>200900</v>
      </c>
      <c r="C57" s="12">
        <v>2</v>
      </c>
      <c r="D57" s="12" t="str">
        <f>D56</f>
        <v>魚蝦蟹</v>
      </c>
      <c r="E57" s="13">
        <v>200900001</v>
      </c>
      <c r="F57" s="13" t="s">
        <v>70</v>
      </c>
      <c r="G57" s="1" t="s">
        <v>35</v>
      </c>
      <c r="H57" s="1">
        <v>2</v>
      </c>
      <c r="I57" s="1">
        <v>500000</v>
      </c>
      <c r="J57" s="1">
        <v>-1</v>
      </c>
      <c r="K57" s="1">
        <v>0</v>
      </c>
      <c r="L57" s="1" t="s">
        <v>33</v>
      </c>
      <c r="M57" s="25" t="s">
        <v>34</v>
      </c>
      <c r="N57">
        <v>500000</v>
      </c>
      <c r="O57" s="15">
        <v>1990000</v>
      </c>
    </row>
    <row r="58" spans="1:19">
      <c r="A58" s="1">
        <f t="shared" si="5"/>
        <v>2009003</v>
      </c>
      <c r="B58" s="12">
        <v>200900</v>
      </c>
      <c r="C58" s="12">
        <v>2</v>
      </c>
      <c r="D58" s="12" t="str">
        <f>D57</f>
        <v>魚蝦蟹</v>
      </c>
      <c r="E58" s="13">
        <v>200900001</v>
      </c>
      <c r="F58" s="13" t="s">
        <v>70</v>
      </c>
      <c r="G58" s="1" t="s">
        <v>36</v>
      </c>
      <c r="H58" s="1">
        <v>3</v>
      </c>
      <c r="I58" s="1">
        <v>50000000</v>
      </c>
      <c r="J58" s="1">
        <v>-1</v>
      </c>
      <c r="K58" s="1">
        <v>0</v>
      </c>
      <c r="L58" s="1" t="s">
        <v>33</v>
      </c>
      <c r="M58" s="25" t="s">
        <v>34</v>
      </c>
      <c r="N58">
        <v>50000000</v>
      </c>
      <c r="O58" s="15">
        <v>1990000</v>
      </c>
    </row>
    <row r="59" spans="1:19">
      <c r="A59" s="1">
        <f t="shared" si="5"/>
        <v>2010001</v>
      </c>
      <c r="B59" s="12">
        <v>201000</v>
      </c>
      <c r="C59" s="12">
        <v>2</v>
      </c>
      <c r="D59" s="12" t="s">
        <v>71</v>
      </c>
      <c r="E59" s="13">
        <v>101000006</v>
      </c>
      <c r="F59" s="13"/>
      <c r="G59" s="1" t="s">
        <v>32</v>
      </c>
      <c r="H59" s="1">
        <v>1</v>
      </c>
      <c r="I59" s="1">
        <v>0</v>
      </c>
      <c r="J59" s="1">
        <v>-1</v>
      </c>
      <c r="K59" s="1">
        <v>0</v>
      </c>
      <c r="L59" s="1" t="s">
        <v>33</v>
      </c>
      <c r="M59" s="25" t="s">
        <v>34</v>
      </c>
      <c r="N59">
        <v>5000</v>
      </c>
      <c r="O59" s="15">
        <v>1990000</v>
      </c>
    </row>
    <row r="60" spans="1:19">
      <c r="A60" s="1">
        <f t="shared" si="5"/>
        <v>2010002</v>
      </c>
      <c r="B60" s="12">
        <v>201000</v>
      </c>
      <c r="C60" s="12">
        <v>2</v>
      </c>
      <c r="D60" s="12" t="s">
        <v>71</v>
      </c>
      <c r="E60" s="13">
        <v>101000006</v>
      </c>
      <c r="F60" s="13"/>
      <c r="G60" s="1" t="s">
        <v>35</v>
      </c>
      <c r="H60" s="1">
        <v>2</v>
      </c>
      <c r="I60" s="1">
        <v>500000</v>
      </c>
      <c r="J60" s="1">
        <v>-1</v>
      </c>
      <c r="K60" s="1">
        <v>0</v>
      </c>
      <c r="L60" s="1" t="s">
        <v>33</v>
      </c>
      <c r="M60" s="25" t="s">
        <v>34</v>
      </c>
      <c r="N60">
        <v>500000</v>
      </c>
      <c r="O60" s="15">
        <v>1990000</v>
      </c>
    </row>
    <row r="61" spans="1:19">
      <c r="A61" s="1">
        <f t="shared" si="5"/>
        <v>2010003</v>
      </c>
      <c r="B61" s="12">
        <v>201000</v>
      </c>
      <c r="C61" s="12">
        <v>2</v>
      </c>
      <c r="D61" s="12" t="s">
        <v>71</v>
      </c>
      <c r="E61" s="13">
        <v>101000006</v>
      </c>
      <c r="F61" s="13"/>
      <c r="G61" s="1" t="s">
        <v>36</v>
      </c>
      <c r="H61" s="1">
        <v>3</v>
      </c>
      <c r="I61" s="1">
        <v>50000000</v>
      </c>
      <c r="J61" s="1">
        <v>-1</v>
      </c>
      <c r="K61" s="1">
        <v>0</v>
      </c>
      <c r="L61" s="1" t="s">
        <v>33</v>
      </c>
      <c r="M61" s="25" t="s">
        <v>34</v>
      </c>
      <c r="N61">
        <v>50000000</v>
      </c>
      <c r="O61" s="15">
        <v>1990000</v>
      </c>
    </row>
    <row r="62" spans="1:19">
      <c r="A62" s="1">
        <f t="shared" si="5"/>
        <v>3001001</v>
      </c>
      <c r="B62" s="12">
        <v>300100</v>
      </c>
      <c r="C62" s="12">
        <v>3</v>
      </c>
      <c r="D62" s="12" t="s">
        <v>72</v>
      </c>
      <c r="E62" s="13">
        <v>300100001</v>
      </c>
      <c r="F62" s="13" t="s">
        <v>73</v>
      </c>
      <c r="G62" s="1" t="s">
        <v>32</v>
      </c>
      <c r="H62" s="1">
        <v>1</v>
      </c>
      <c r="I62" s="1">
        <v>0</v>
      </c>
      <c r="J62" s="1">
        <v>-1</v>
      </c>
      <c r="K62" s="1">
        <v>0</v>
      </c>
      <c r="L62" s="26" t="s">
        <v>74</v>
      </c>
      <c r="M62" s="26" t="s">
        <v>75</v>
      </c>
      <c r="N62">
        <v>5000</v>
      </c>
      <c r="O62" s="15">
        <v>1990000</v>
      </c>
    </row>
    <row r="63" s="1" customFormat="1" spans="1:19">
      <c r="A63" s="1">
        <f t="shared" si="5"/>
        <v>3001002</v>
      </c>
      <c r="B63" s="12">
        <v>300100</v>
      </c>
      <c r="C63" s="12">
        <v>3</v>
      </c>
      <c r="D63" s="12" t="s">
        <v>72</v>
      </c>
      <c r="E63" s="13">
        <v>300100001</v>
      </c>
      <c r="F63" s="13" t="s">
        <v>73</v>
      </c>
      <c r="G63" s="1" t="s">
        <v>35</v>
      </c>
      <c r="H63" s="1">
        <v>2</v>
      </c>
      <c r="I63" s="1">
        <v>500000</v>
      </c>
      <c r="J63" s="1">
        <v>-1</v>
      </c>
      <c r="K63" s="1">
        <v>0</v>
      </c>
      <c r="L63" s="26" t="s">
        <v>74</v>
      </c>
      <c r="M63" s="26" t="s">
        <v>75</v>
      </c>
      <c r="N63">
        <v>500000</v>
      </c>
      <c r="O63" s="15">
        <v>1990000</v>
      </c>
      <c r="S63" s="3"/>
    </row>
    <row r="64" s="1" customFormat="1" spans="1:19">
      <c r="A64" s="1">
        <f t="shared" si="5"/>
        <v>3001003</v>
      </c>
      <c r="B64" s="12">
        <v>300100</v>
      </c>
      <c r="C64" s="12">
        <v>3</v>
      </c>
      <c r="D64" s="12" t="s">
        <v>72</v>
      </c>
      <c r="E64" s="13">
        <v>300100001</v>
      </c>
      <c r="F64" s="13" t="s">
        <v>73</v>
      </c>
      <c r="G64" s="1" t="s">
        <v>36</v>
      </c>
      <c r="H64" s="1">
        <v>3</v>
      </c>
      <c r="I64" s="1">
        <v>50000000</v>
      </c>
      <c r="J64" s="1">
        <v>-1</v>
      </c>
      <c r="K64" s="1">
        <v>0</v>
      </c>
      <c r="L64" s="26" t="s">
        <v>74</v>
      </c>
      <c r="M64" s="26" t="s">
        <v>75</v>
      </c>
      <c r="N64">
        <v>50000000</v>
      </c>
      <c r="O64" s="15">
        <v>1990000</v>
      </c>
      <c r="S64" s="3"/>
    </row>
    <row r="65" s="1" customFormat="1" spans="1:19">
      <c r="A65" s="1">
        <f t="shared" si="5"/>
        <v>3002001</v>
      </c>
      <c r="B65" s="12">
        <v>300200</v>
      </c>
      <c r="C65" s="12">
        <v>3</v>
      </c>
      <c r="D65" s="12" t="s">
        <v>76</v>
      </c>
      <c r="E65" s="13">
        <v>300200006</v>
      </c>
      <c r="F65" s="13" t="s">
        <v>77</v>
      </c>
      <c r="G65" s="1" t="s">
        <v>32</v>
      </c>
      <c r="H65" s="1">
        <v>1</v>
      </c>
      <c r="I65" s="1">
        <v>2000</v>
      </c>
      <c r="J65" s="1">
        <v>-1</v>
      </c>
      <c r="K65" s="1">
        <v>0</v>
      </c>
      <c r="L65" s="26" t="s">
        <v>78</v>
      </c>
      <c r="M65" s="26" t="s">
        <v>75</v>
      </c>
      <c r="N65">
        <v>5000</v>
      </c>
      <c r="O65" s="15">
        <v>1990000</v>
      </c>
      <c r="S65" s="3"/>
    </row>
    <row r="66" s="1" customFormat="1" spans="1:19">
      <c r="A66" s="1">
        <f t="shared" si="5"/>
        <v>3002002</v>
      </c>
      <c r="B66" s="12">
        <v>300200</v>
      </c>
      <c r="C66" s="12">
        <v>3</v>
      </c>
      <c r="D66" s="12" t="s">
        <v>76</v>
      </c>
      <c r="E66" s="13">
        <v>300200006</v>
      </c>
      <c r="F66" s="13" t="s">
        <v>77</v>
      </c>
      <c r="G66" s="1" t="s">
        <v>35</v>
      </c>
      <c r="H66" s="1">
        <v>2</v>
      </c>
      <c r="I66" s="1">
        <v>500000</v>
      </c>
      <c r="J66" s="1">
        <v>-1</v>
      </c>
      <c r="K66" s="1">
        <v>0</v>
      </c>
      <c r="L66" s="26" t="s">
        <v>78</v>
      </c>
      <c r="M66" s="26" t="s">
        <v>75</v>
      </c>
      <c r="N66">
        <v>500000</v>
      </c>
      <c r="O66" s="15">
        <v>1990000</v>
      </c>
      <c r="S66" s="3"/>
    </row>
    <row r="67" s="1" customFormat="1" spans="1:19">
      <c r="A67" s="1">
        <f t="shared" si="5"/>
        <v>3002003</v>
      </c>
      <c r="B67" s="12">
        <v>300200</v>
      </c>
      <c r="C67" s="12">
        <v>3</v>
      </c>
      <c r="D67" s="12" t="s">
        <v>76</v>
      </c>
      <c r="E67" s="13">
        <v>300200006</v>
      </c>
      <c r="F67" s="13" t="s">
        <v>77</v>
      </c>
      <c r="G67" s="1" t="s">
        <v>36</v>
      </c>
      <c r="H67" s="1">
        <v>3</v>
      </c>
      <c r="I67" s="1">
        <v>50000000</v>
      </c>
      <c r="J67" s="1">
        <v>-1</v>
      </c>
      <c r="K67" s="1">
        <v>0</v>
      </c>
      <c r="L67" s="26" t="s">
        <v>78</v>
      </c>
      <c r="M67" s="26" t="s">
        <v>75</v>
      </c>
      <c r="N67">
        <v>50000000</v>
      </c>
      <c r="O67" s="15">
        <v>1990000</v>
      </c>
      <c r="S67" s="3"/>
    </row>
    <row r="68" s="1" customFormat="1" spans="1:19">
      <c r="A68" s="1">
        <f t="shared" ref="A68:A74" si="8">B68*100+H68</f>
        <v>20010010</v>
      </c>
      <c r="B68" s="18">
        <v>200100</v>
      </c>
      <c r="C68" s="18">
        <v>2</v>
      </c>
      <c r="D68" s="18" t="s">
        <v>52</v>
      </c>
      <c r="E68" s="18">
        <v>200100038</v>
      </c>
      <c r="F68" s="18" t="s">
        <v>53</v>
      </c>
      <c r="G68" s="19" t="s">
        <v>79</v>
      </c>
      <c r="H68" s="19">
        <v>10</v>
      </c>
      <c r="I68" s="19">
        <v>0</v>
      </c>
      <c r="J68" s="19">
        <v>-1</v>
      </c>
      <c r="K68" s="20">
        <v>0</v>
      </c>
      <c r="L68" s="19" t="s">
        <v>80</v>
      </c>
      <c r="M68" s="19">
        <v>0</v>
      </c>
      <c r="N68" s="21">
        <v>200</v>
      </c>
      <c r="O68" s="22">
        <v>1980000</v>
      </c>
      <c r="S68" s="3"/>
    </row>
    <row r="69" s="1" customFormat="1" spans="1:19">
      <c r="A69" s="1">
        <f t="shared" si="8"/>
        <v>20010011</v>
      </c>
      <c r="B69" s="18">
        <v>200100</v>
      </c>
      <c r="C69" s="18">
        <v>2</v>
      </c>
      <c r="D69" s="18" t="s">
        <v>52</v>
      </c>
      <c r="E69" s="18">
        <v>200100038</v>
      </c>
      <c r="F69" s="18" t="s">
        <v>53</v>
      </c>
      <c r="G69" s="19" t="s">
        <v>81</v>
      </c>
      <c r="H69" s="19">
        <v>11</v>
      </c>
      <c r="I69" s="19">
        <v>0</v>
      </c>
      <c r="J69" s="19">
        <v>-1</v>
      </c>
      <c r="K69" s="20">
        <v>0</v>
      </c>
      <c r="L69" s="19" t="s">
        <v>80</v>
      </c>
      <c r="M69" s="19">
        <v>0</v>
      </c>
      <c r="N69" s="21">
        <v>5000</v>
      </c>
      <c r="O69" s="22">
        <v>1980000</v>
      </c>
      <c r="S69" s="3"/>
    </row>
    <row r="70" s="1" customFormat="1" spans="1:19">
      <c r="A70" s="1">
        <f t="shared" si="8"/>
        <v>20010012</v>
      </c>
      <c r="B70" s="18">
        <v>200100</v>
      </c>
      <c r="C70" s="18">
        <v>2</v>
      </c>
      <c r="D70" s="18" t="s">
        <v>52</v>
      </c>
      <c r="E70" s="18">
        <v>200100038</v>
      </c>
      <c r="F70" s="18" t="s">
        <v>53</v>
      </c>
      <c r="G70" s="19" t="s">
        <v>82</v>
      </c>
      <c r="H70" s="19">
        <v>12</v>
      </c>
      <c r="I70" s="19">
        <v>0</v>
      </c>
      <c r="J70" s="19">
        <v>-1</v>
      </c>
      <c r="K70" s="20">
        <v>0</v>
      </c>
      <c r="L70" s="19" t="s">
        <v>80</v>
      </c>
      <c r="M70" s="19">
        <v>0</v>
      </c>
      <c r="N70" s="21">
        <v>100000</v>
      </c>
      <c r="O70" s="22">
        <v>1980000</v>
      </c>
      <c r="S70" s="3"/>
    </row>
    <row r="71" s="1" customFormat="1" spans="1:19">
      <c r="A71" s="1">
        <f t="shared" si="8"/>
        <v>20010110</v>
      </c>
      <c r="B71" s="18">
        <v>200101</v>
      </c>
      <c r="C71" s="18">
        <v>2</v>
      </c>
      <c r="D71" s="18" t="s">
        <v>54</v>
      </c>
      <c r="E71" s="18">
        <v>200101001</v>
      </c>
      <c r="F71" s="18" t="s">
        <v>55</v>
      </c>
      <c r="G71" s="19" t="s">
        <v>79</v>
      </c>
      <c r="H71" s="19">
        <v>10</v>
      </c>
      <c r="I71" s="19">
        <v>0</v>
      </c>
      <c r="J71" s="19">
        <v>-1</v>
      </c>
      <c r="K71" s="20">
        <v>0</v>
      </c>
      <c r="L71" s="19" t="s">
        <v>80</v>
      </c>
      <c r="M71" s="19">
        <v>0</v>
      </c>
      <c r="N71" s="21">
        <v>200</v>
      </c>
      <c r="O71" s="22">
        <v>1980000</v>
      </c>
      <c r="S71" s="3"/>
    </row>
    <row r="72" s="1" customFormat="1" spans="1:19">
      <c r="A72" s="1">
        <f t="shared" si="8"/>
        <v>20010111</v>
      </c>
      <c r="B72" s="18">
        <v>200101</v>
      </c>
      <c r="C72" s="18">
        <v>2</v>
      </c>
      <c r="D72" s="18" t="s">
        <v>54</v>
      </c>
      <c r="E72" s="18">
        <v>200101001</v>
      </c>
      <c r="F72" s="18" t="s">
        <v>55</v>
      </c>
      <c r="G72" s="19" t="s">
        <v>81</v>
      </c>
      <c r="H72" s="19">
        <v>11</v>
      </c>
      <c r="I72" s="19">
        <v>0</v>
      </c>
      <c r="J72" s="19">
        <v>-1</v>
      </c>
      <c r="K72" s="20">
        <v>0</v>
      </c>
      <c r="L72" s="19" t="s">
        <v>80</v>
      </c>
      <c r="M72" s="19">
        <v>0</v>
      </c>
      <c r="N72" s="21">
        <v>5000</v>
      </c>
      <c r="O72" s="22">
        <v>1980000</v>
      </c>
      <c r="S72" s="3"/>
    </row>
    <row r="73" s="1" customFormat="1" spans="1:19">
      <c r="A73" s="1">
        <f t="shared" si="8"/>
        <v>20010112</v>
      </c>
      <c r="B73" s="18">
        <v>200101</v>
      </c>
      <c r="C73" s="18">
        <v>2</v>
      </c>
      <c r="D73" s="18" t="s">
        <v>54</v>
      </c>
      <c r="E73" s="18">
        <v>200101001</v>
      </c>
      <c r="F73" s="18" t="s">
        <v>55</v>
      </c>
      <c r="G73" s="19" t="s">
        <v>82</v>
      </c>
      <c r="H73" s="19">
        <v>12</v>
      </c>
      <c r="I73" s="19">
        <v>0</v>
      </c>
      <c r="J73" s="19">
        <v>-1</v>
      </c>
      <c r="K73" s="20">
        <v>0</v>
      </c>
      <c r="L73" s="19" t="s">
        <v>80</v>
      </c>
      <c r="M73" s="19">
        <v>0</v>
      </c>
      <c r="N73" s="21">
        <v>100000</v>
      </c>
      <c r="O73" s="22">
        <v>1980000</v>
      </c>
      <c r="S73" s="3"/>
    </row>
    <row r="74" s="1" customFormat="1" spans="1:19">
      <c r="A74" s="1">
        <f t="shared" si="8"/>
        <v>20030010</v>
      </c>
      <c r="B74" s="18">
        <v>200300</v>
      </c>
      <c r="C74" s="18">
        <v>2</v>
      </c>
      <c r="D74" s="18" t="s">
        <v>56</v>
      </c>
      <c r="E74" s="18">
        <v>200300001</v>
      </c>
      <c r="F74" s="18" t="s">
        <v>57</v>
      </c>
      <c r="G74" s="19" t="s">
        <v>79</v>
      </c>
      <c r="H74" s="19">
        <v>10</v>
      </c>
      <c r="I74" s="19">
        <v>0</v>
      </c>
      <c r="J74" s="19">
        <v>-1</v>
      </c>
      <c r="K74" s="20">
        <v>0</v>
      </c>
      <c r="L74" s="19" t="s">
        <v>80</v>
      </c>
      <c r="M74" s="19">
        <v>0</v>
      </c>
      <c r="N74" s="21">
        <v>200</v>
      </c>
      <c r="O74" s="22">
        <v>1980000</v>
      </c>
      <c r="S74" s="3"/>
    </row>
    <row r="75" s="1" customFormat="1" spans="1:19">
      <c r="A75" s="1">
        <f t="shared" ref="A75:A83" si="9">B75*100+H75</f>
        <v>20030011</v>
      </c>
      <c r="B75" s="18">
        <v>200300</v>
      </c>
      <c r="C75" s="18">
        <v>2</v>
      </c>
      <c r="D75" s="18" t="s">
        <v>56</v>
      </c>
      <c r="E75" s="18">
        <v>200300001</v>
      </c>
      <c r="F75" s="18" t="s">
        <v>57</v>
      </c>
      <c r="G75" s="19" t="s">
        <v>81</v>
      </c>
      <c r="H75" s="19">
        <v>11</v>
      </c>
      <c r="I75" s="19">
        <v>0</v>
      </c>
      <c r="J75" s="19">
        <v>-1</v>
      </c>
      <c r="K75" s="20">
        <v>0</v>
      </c>
      <c r="L75" s="19" t="s">
        <v>80</v>
      </c>
      <c r="M75" s="19">
        <v>0</v>
      </c>
      <c r="N75" s="21">
        <v>5000</v>
      </c>
      <c r="O75" s="22">
        <v>1980000</v>
      </c>
      <c r="S75" s="3"/>
    </row>
    <row r="76" s="1" customFormat="1" spans="1:19">
      <c r="A76" s="1">
        <f t="shared" si="9"/>
        <v>20030012</v>
      </c>
      <c r="B76" s="18">
        <v>200300</v>
      </c>
      <c r="C76" s="18">
        <v>2</v>
      </c>
      <c r="D76" s="18" t="s">
        <v>56</v>
      </c>
      <c r="E76" s="18">
        <v>200300001</v>
      </c>
      <c r="F76" s="18" t="s">
        <v>57</v>
      </c>
      <c r="G76" s="19" t="s">
        <v>82</v>
      </c>
      <c r="H76" s="19">
        <v>12</v>
      </c>
      <c r="I76" s="19">
        <v>0</v>
      </c>
      <c r="J76" s="19">
        <v>-1</v>
      </c>
      <c r="K76" s="20">
        <v>0</v>
      </c>
      <c r="L76" s="19" t="s">
        <v>80</v>
      </c>
      <c r="M76" s="19">
        <v>0</v>
      </c>
      <c r="N76" s="21">
        <v>100000</v>
      </c>
      <c r="O76" s="22">
        <v>1980000</v>
      </c>
      <c r="S76" s="3"/>
    </row>
    <row r="77" s="1" customFormat="1" spans="1:19">
      <c r="A77" s="1">
        <f t="shared" si="9"/>
        <v>20040010</v>
      </c>
      <c r="B77" s="18">
        <v>200400</v>
      </c>
      <c r="C77" s="18">
        <v>2</v>
      </c>
      <c r="D77" s="23" t="s">
        <v>58</v>
      </c>
      <c r="E77" s="18">
        <v>200400009</v>
      </c>
      <c r="F77" s="18" t="s">
        <v>59</v>
      </c>
      <c r="G77" s="19" t="s">
        <v>79</v>
      </c>
      <c r="H77" s="19">
        <v>10</v>
      </c>
      <c r="I77" s="19">
        <v>0</v>
      </c>
      <c r="J77" s="19">
        <v>-1</v>
      </c>
      <c r="K77" s="20">
        <v>0</v>
      </c>
      <c r="L77" s="19" t="s">
        <v>80</v>
      </c>
      <c r="M77" s="19">
        <v>0</v>
      </c>
      <c r="N77" s="21">
        <v>200</v>
      </c>
      <c r="O77" s="22">
        <v>1980000</v>
      </c>
      <c r="S77" s="3"/>
    </row>
    <row r="78" s="1" customFormat="1" spans="1:19">
      <c r="A78" s="1">
        <f t="shared" si="9"/>
        <v>20040011</v>
      </c>
      <c r="B78" s="18">
        <v>200400</v>
      </c>
      <c r="C78" s="18">
        <v>2</v>
      </c>
      <c r="D78" s="23" t="s">
        <v>58</v>
      </c>
      <c r="E78" s="18">
        <v>200400009</v>
      </c>
      <c r="F78" s="18" t="s">
        <v>59</v>
      </c>
      <c r="G78" s="19" t="s">
        <v>81</v>
      </c>
      <c r="H78" s="19">
        <v>11</v>
      </c>
      <c r="I78" s="19">
        <v>0</v>
      </c>
      <c r="J78" s="19">
        <v>-1</v>
      </c>
      <c r="K78" s="20">
        <v>0</v>
      </c>
      <c r="L78" s="19" t="s">
        <v>80</v>
      </c>
      <c r="M78" s="19">
        <v>0</v>
      </c>
      <c r="N78" s="21">
        <v>5000</v>
      </c>
      <c r="O78" s="22">
        <v>1980000</v>
      </c>
      <c r="S78" s="3"/>
    </row>
    <row r="79" s="1" customFormat="1" spans="1:19">
      <c r="A79" s="1">
        <f t="shared" si="9"/>
        <v>20040012</v>
      </c>
      <c r="B79" s="18">
        <v>200400</v>
      </c>
      <c r="C79" s="18">
        <v>2</v>
      </c>
      <c r="D79" s="23" t="s">
        <v>58</v>
      </c>
      <c r="E79" s="18">
        <v>200400009</v>
      </c>
      <c r="F79" s="18" t="s">
        <v>59</v>
      </c>
      <c r="G79" s="19" t="s">
        <v>82</v>
      </c>
      <c r="H79" s="19">
        <v>12</v>
      </c>
      <c r="I79" s="19">
        <v>0</v>
      </c>
      <c r="J79" s="19">
        <v>-1</v>
      </c>
      <c r="K79" s="20">
        <v>0</v>
      </c>
      <c r="L79" s="19" t="s">
        <v>80</v>
      </c>
      <c r="M79" s="19">
        <v>0</v>
      </c>
      <c r="N79" s="21">
        <v>100000</v>
      </c>
      <c r="O79" s="22">
        <v>1980000</v>
      </c>
      <c r="S79" s="3"/>
    </row>
    <row r="80" s="1" customFormat="1" spans="1:19">
      <c r="A80" s="1">
        <f t="shared" si="9"/>
        <v>20050010</v>
      </c>
      <c r="B80" s="18">
        <v>200500</v>
      </c>
      <c r="C80" s="18">
        <v>2</v>
      </c>
      <c r="D80" s="18" t="s">
        <v>60</v>
      </c>
      <c r="E80" s="18">
        <v>200500025</v>
      </c>
      <c r="F80" s="18" t="s">
        <v>61</v>
      </c>
      <c r="G80" s="19" t="s">
        <v>79</v>
      </c>
      <c r="H80" s="19">
        <v>10</v>
      </c>
      <c r="I80" s="19">
        <v>0</v>
      </c>
      <c r="J80" s="19">
        <v>-1</v>
      </c>
      <c r="K80" s="20">
        <v>0</v>
      </c>
      <c r="L80" s="19" t="s">
        <v>80</v>
      </c>
      <c r="M80" s="19">
        <v>0</v>
      </c>
      <c r="N80" s="21">
        <v>200</v>
      </c>
      <c r="O80" s="22">
        <v>1980000</v>
      </c>
      <c r="S80" s="3"/>
    </row>
    <row r="81" s="1" customFormat="1" spans="1:19">
      <c r="A81" s="1">
        <f t="shared" si="9"/>
        <v>20050011</v>
      </c>
      <c r="B81" s="18">
        <v>200500</v>
      </c>
      <c r="C81" s="18">
        <v>2</v>
      </c>
      <c r="D81" s="18" t="s">
        <v>60</v>
      </c>
      <c r="E81" s="18">
        <v>200500025</v>
      </c>
      <c r="F81" s="18" t="s">
        <v>61</v>
      </c>
      <c r="G81" s="19" t="s">
        <v>81</v>
      </c>
      <c r="H81" s="19">
        <v>11</v>
      </c>
      <c r="I81" s="19">
        <v>0</v>
      </c>
      <c r="J81" s="19">
        <v>-1</v>
      </c>
      <c r="K81" s="20">
        <v>0</v>
      </c>
      <c r="L81" s="19" t="s">
        <v>80</v>
      </c>
      <c r="M81" s="19">
        <v>0</v>
      </c>
      <c r="N81" s="21">
        <v>5000</v>
      </c>
      <c r="O81" s="22">
        <v>1980000</v>
      </c>
      <c r="S81" s="3"/>
    </row>
    <row r="82" s="1" customFormat="1" spans="1:19">
      <c r="A82" s="1">
        <f t="shared" si="9"/>
        <v>20050012</v>
      </c>
      <c r="B82" s="18">
        <v>200500</v>
      </c>
      <c r="C82" s="18">
        <v>2</v>
      </c>
      <c r="D82" s="18" t="s">
        <v>60</v>
      </c>
      <c r="E82" s="18">
        <v>200500025</v>
      </c>
      <c r="F82" s="18" t="s">
        <v>61</v>
      </c>
      <c r="G82" s="19" t="s">
        <v>82</v>
      </c>
      <c r="H82" s="19">
        <v>12</v>
      </c>
      <c r="I82" s="19">
        <v>0</v>
      </c>
      <c r="J82" s="19">
        <v>-1</v>
      </c>
      <c r="K82" s="20">
        <v>0</v>
      </c>
      <c r="L82" s="19" t="s">
        <v>80</v>
      </c>
      <c r="M82" s="19">
        <v>0</v>
      </c>
      <c r="N82" s="21">
        <v>100000</v>
      </c>
      <c r="O82" s="22">
        <v>1980000</v>
      </c>
      <c r="S82" s="3"/>
    </row>
    <row r="83" spans="1:19">
      <c r="A83" s="1">
        <f t="shared" si="9"/>
        <v>20060010</v>
      </c>
      <c r="B83" s="18">
        <v>200600</v>
      </c>
      <c r="C83" s="18">
        <v>2</v>
      </c>
      <c r="D83" s="18" t="s">
        <v>63</v>
      </c>
      <c r="E83" s="18">
        <v>200600001</v>
      </c>
      <c r="F83" s="18" t="s">
        <v>64</v>
      </c>
      <c r="G83" s="19" t="s">
        <v>79</v>
      </c>
      <c r="H83" s="19">
        <v>10</v>
      </c>
      <c r="I83" s="19">
        <v>0</v>
      </c>
      <c r="J83" s="19">
        <v>-1</v>
      </c>
      <c r="K83" s="20">
        <v>0</v>
      </c>
      <c r="L83" s="19" t="s">
        <v>80</v>
      </c>
      <c r="M83" s="19">
        <v>0</v>
      </c>
      <c r="N83" s="21">
        <v>200</v>
      </c>
      <c r="O83" s="22">
        <v>1980000</v>
      </c>
    </row>
    <row r="84" spans="1:19">
      <c r="A84" s="1">
        <f t="shared" ref="A84:A98" si="10">B84*100+H84</f>
        <v>20060011</v>
      </c>
      <c r="B84" s="18">
        <v>200600</v>
      </c>
      <c r="C84" s="18">
        <v>2</v>
      </c>
      <c r="D84" s="18" t="s">
        <v>63</v>
      </c>
      <c r="E84" s="18">
        <v>200600001</v>
      </c>
      <c r="F84" s="18" t="s">
        <v>64</v>
      </c>
      <c r="G84" s="19" t="s">
        <v>81</v>
      </c>
      <c r="H84" s="19">
        <v>11</v>
      </c>
      <c r="I84" s="19">
        <v>0</v>
      </c>
      <c r="J84" s="19">
        <v>-1</v>
      </c>
      <c r="K84" s="20">
        <v>0</v>
      </c>
      <c r="L84" s="19" t="s">
        <v>80</v>
      </c>
      <c r="M84" s="19">
        <v>0</v>
      </c>
      <c r="N84" s="21">
        <v>5000</v>
      </c>
      <c r="O84" s="22">
        <v>1980000</v>
      </c>
    </row>
    <row r="85" spans="1:19">
      <c r="A85" s="1">
        <f t="shared" si="10"/>
        <v>20060012</v>
      </c>
      <c r="B85" s="18">
        <v>200600</v>
      </c>
      <c r="C85" s="18">
        <v>2</v>
      </c>
      <c r="D85" s="18" t="s">
        <v>63</v>
      </c>
      <c r="E85" s="18">
        <v>200600001</v>
      </c>
      <c r="F85" s="18" t="s">
        <v>64</v>
      </c>
      <c r="G85" s="19" t="s">
        <v>82</v>
      </c>
      <c r="H85" s="19">
        <v>12</v>
      </c>
      <c r="I85" s="19">
        <v>0</v>
      </c>
      <c r="J85" s="19">
        <v>-1</v>
      </c>
      <c r="K85" s="20">
        <v>0</v>
      </c>
      <c r="L85" s="19" t="s">
        <v>80</v>
      </c>
      <c r="M85" s="19">
        <v>0</v>
      </c>
      <c r="N85" s="21">
        <v>100000</v>
      </c>
      <c r="O85" s="22">
        <v>1980000</v>
      </c>
    </row>
    <row r="86" spans="1:19">
      <c r="A86" s="1">
        <f t="shared" si="10"/>
        <v>20070010</v>
      </c>
      <c r="B86" s="18">
        <v>200700</v>
      </c>
      <c r="C86" s="18">
        <v>2</v>
      </c>
      <c r="D86" s="24" t="s">
        <v>65</v>
      </c>
      <c r="E86" s="18">
        <v>200700001</v>
      </c>
      <c r="F86" s="18" t="s">
        <v>66</v>
      </c>
      <c r="G86" s="19" t="s">
        <v>79</v>
      </c>
      <c r="H86" s="19">
        <v>10</v>
      </c>
      <c r="I86" s="19">
        <v>0</v>
      </c>
      <c r="J86" s="19">
        <v>-1</v>
      </c>
      <c r="K86" s="20">
        <v>0</v>
      </c>
      <c r="L86" s="19" t="s">
        <v>80</v>
      </c>
      <c r="M86" s="19">
        <v>0</v>
      </c>
      <c r="N86" s="21">
        <v>200</v>
      </c>
      <c r="O86" s="22">
        <v>1980000</v>
      </c>
    </row>
    <row r="87" spans="1:19">
      <c r="A87" s="1">
        <f t="shared" si="10"/>
        <v>20070011</v>
      </c>
      <c r="B87" s="18">
        <v>200700</v>
      </c>
      <c r="C87" s="18">
        <v>2</v>
      </c>
      <c r="D87" s="24" t="str">
        <f>D86</f>
        <v>越南色碟</v>
      </c>
      <c r="E87" s="18">
        <v>200700001</v>
      </c>
      <c r="F87" s="18" t="s">
        <v>66</v>
      </c>
      <c r="G87" s="19" t="s">
        <v>81</v>
      </c>
      <c r="H87" s="19">
        <v>11</v>
      </c>
      <c r="I87" s="19">
        <v>0</v>
      </c>
      <c r="J87" s="19">
        <v>-1</v>
      </c>
      <c r="K87" s="20">
        <v>0</v>
      </c>
      <c r="L87" s="19" t="s">
        <v>80</v>
      </c>
      <c r="M87" s="19">
        <v>0</v>
      </c>
      <c r="N87" s="21">
        <v>5000</v>
      </c>
      <c r="O87" s="22">
        <v>1980000</v>
      </c>
    </row>
    <row r="88" spans="1:19">
      <c r="A88" s="1">
        <f t="shared" si="10"/>
        <v>20070012</v>
      </c>
      <c r="B88" s="18">
        <v>200700</v>
      </c>
      <c r="C88" s="18">
        <v>2</v>
      </c>
      <c r="D88" s="24" t="str">
        <f>D87</f>
        <v>越南色碟</v>
      </c>
      <c r="E88" s="18">
        <v>200700001</v>
      </c>
      <c r="F88" s="18" t="s">
        <v>66</v>
      </c>
      <c r="G88" s="19" t="s">
        <v>82</v>
      </c>
      <c r="H88" s="19">
        <v>12</v>
      </c>
      <c r="I88" s="19">
        <v>0</v>
      </c>
      <c r="J88" s="19">
        <v>-1</v>
      </c>
      <c r="K88" s="20">
        <v>0</v>
      </c>
      <c r="L88" s="19" t="s">
        <v>80</v>
      </c>
      <c r="M88" s="19">
        <v>0</v>
      </c>
      <c r="N88" s="21">
        <v>100000</v>
      </c>
      <c r="O88" s="22">
        <v>1980000</v>
      </c>
    </row>
    <row r="89" spans="1:19">
      <c r="A89" s="1">
        <f t="shared" si="10"/>
        <v>20080010</v>
      </c>
      <c r="B89" s="18">
        <v>200800</v>
      </c>
      <c r="C89" s="18">
        <v>2</v>
      </c>
      <c r="D89" s="18" t="s">
        <v>67</v>
      </c>
      <c r="E89" s="18">
        <v>200800001</v>
      </c>
      <c r="F89" s="18" t="s">
        <v>68</v>
      </c>
      <c r="G89" s="19" t="s">
        <v>79</v>
      </c>
      <c r="H89" s="19">
        <v>10</v>
      </c>
      <c r="I89" s="19">
        <v>0</v>
      </c>
      <c r="J89" s="19">
        <v>-1</v>
      </c>
      <c r="K89" s="20">
        <v>0</v>
      </c>
      <c r="L89" s="19" t="s">
        <v>80</v>
      </c>
      <c r="M89" s="19">
        <v>0</v>
      </c>
      <c r="N89" s="21">
        <v>200</v>
      </c>
      <c r="O89" s="22">
        <v>1980000</v>
      </c>
    </row>
    <row r="90" spans="1:19">
      <c r="A90" s="1">
        <f t="shared" si="10"/>
        <v>20080011</v>
      </c>
      <c r="B90" s="18">
        <v>200800</v>
      </c>
      <c r="C90" s="18">
        <v>2</v>
      </c>
      <c r="D90" s="18" t="s">
        <v>67</v>
      </c>
      <c r="E90" s="18">
        <v>200800001</v>
      </c>
      <c r="F90" s="18" t="s">
        <v>68</v>
      </c>
      <c r="G90" s="19" t="s">
        <v>81</v>
      </c>
      <c r="H90" s="19">
        <v>11</v>
      </c>
      <c r="I90" s="19">
        <v>0</v>
      </c>
      <c r="J90" s="19">
        <v>-1</v>
      </c>
      <c r="K90" s="20">
        <v>0</v>
      </c>
      <c r="L90" s="19" t="s">
        <v>80</v>
      </c>
      <c r="M90" s="19">
        <v>0</v>
      </c>
      <c r="N90" s="21">
        <v>5000</v>
      </c>
      <c r="O90" s="22">
        <v>1980000</v>
      </c>
    </row>
    <row r="91" spans="1:19">
      <c r="A91" s="1">
        <f t="shared" si="10"/>
        <v>20080012</v>
      </c>
      <c r="B91" s="18">
        <v>200800</v>
      </c>
      <c r="C91" s="18">
        <v>2</v>
      </c>
      <c r="D91" s="18" t="s">
        <v>67</v>
      </c>
      <c r="E91" s="18">
        <v>200800001</v>
      </c>
      <c r="F91" s="18" t="s">
        <v>68</v>
      </c>
      <c r="G91" s="19" t="s">
        <v>82</v>
      </c>
      <c r="H91" s="19">
        <v>12</v>
      </c>
      <c r="I91" s="19">
        <v>0</v>
      </c>
      <c r="J91" s="19">
        <v>-1</v>
      </c>
      <c r="K91" s="20">
        <v>0</v>
      </c>
      <c r="L91" s="19" t="s">
        <v>80</v>
      </c>
      <c r="M91" s="19">
        <v>0</v>
      </c>
      <c r="N91" s="21">
        <v>100000</v>
      </c>
      <c r="O91" s="22">
        <v>1980000</v>
      </c>
    </row>
    <row r="92" spans="1:19">
      <c r="A92" s="1">
        <f t="shared" si="10"/>
        <v>20090010</v>
      </c>
      <c r="B92" s="18">
        <v>200900</v>
      </c>
      <c r="C92" s="18">
        <v>2</v>
      </c>
      <c r="D92" s="18" t="s">
        <v>69</v>
      </c>
      <c r="E92" s="18">
        <v>200900001</v>
      </c>
      <c r="F92" s="18" t="s">
        <v>70</v>
      </c>
      <c r="G92" s="19" t="s">
        <v>79</v>
      </c>
      <c r="H92" s="19">
        <v>10</v>
      </c>
      <c r="I92" s="19">
        <v>0</v>
      </c>
      <c r="J92" s="19">
        <v>-1</v>
      </c>
      <c r="K92" s="20">
        <v>0</v>
      </c>
      <c r="L92" s="19" t="s">
        <v>80</v>
      </c>
      <c r="M92" s="19">
        <v>0</v>
      </c>
      <c r="N92" s="21">
        <v>200</v>
      </c>
      <c r="O92" s="22">
        <v>1980000</v>
      </c>
    </row>
    <row r="93" spans="1:19">
      <c r="A93" s="1">
        <f t="shared" si="10"/>
        <v>20090011</v>
      </c>
      <c r="B93" s="18">
        <v>200900</v>
      </c>
      <c r="C93" s="18">
        <v>2</v>
      </c>
      <c r="D93" s="18" t="s">
        <v>69</v>
      </c>
      <c r="E93" s="18">
        <v>200900001</v>
      </c>
      <c r="F93" s="18" t="s">
        <v>70</v>
      </c>
      <c r="G93" s="19" t="s">
        <v>81</v>
      </c>
      <c r="H93" s="19">
        <v>11</v>
      </c>
      <c r="I93" s="19">
        <v>0</v>
      </c>
      <c r="J93" s="19">
        <v>-1</v>
      </c>
      <c r="K93" s="20">
        <v>0</v>
      </c>
      <c r="L93" s="19" t="s">
        <v>80</v>
      </c>
      <c r="M93" s="19">
        <v>0</v>
      </c>
      <c r="N93" s="21">
        <v>5000</v>
      </c>
      <c r="O93" s="22">
        <v>1980000</v>
      </c>
    </row>
    <row r="94" spans="1:19">
      <c r="A94" s="1">
        <f t="shared" si="10"/>
        <v>20090012</v>
      </c>
      <c r="B94" s="18">
        <v>200900</v>
      </c>
      <c r="C94" s="18">
        <v>2</v>
      </c>
      <c r="D94" s="18" t="s">
        <v>69</v>
      </c>
      <c r="E94" s="18">
        <v>200900001</v>
      </c>
      <c r="F94" s="18" t="s">
        <v>70</v>
      </c>
      <c r="G94" s="19" t="s">
        <v>82</v>
      </c>
      <c r="H94" s="19">
        <v>12</v>
      </c>
      <c r="I94" s="19">
        <v>0</v>
      </c>
      <c r="J94" s="19">
        <v>-1</v>
      </c>
      <c r="K94" s="20">
        <v>0</v>
      </c>
      <c r="L94" s="19" t="s">
        <v>80</v>
      </c>
      <c r="M94" s="19">
        <v>0</v>
      </c>
      <c r="N94" s="21">
        <v>100000</v>
      </c>
      <c r="O94" s="22">
        <v>1980000</v>
      </c>
    </row>
    <row r="95" s="1" customFormat="1" spans="1:19">
      <c r="A95" s="1">
        <f t="shared" si="10"/>
        <v>30020010</v>
      </c>
      <c r="B95" s="24">
        <v>300200</v>
      </c>
      <c r="C95" s="24">
        <v>3</v>
      </c>
      <c r="D95" s="24" t="s">
        <v>76</v>
      </c>
      <c r="E95" s="18">
        <v>300200006</v>
      </c>
      <c r="F95" s="18" t="s">
        <v>77</v>
      </c>
      <c r="G95" s="19" t="s">
        <v>79</v>
      </c>
      <c r="H95" s="19">
        <v>10</v>
      </c>
      <c r="I95" s="19">
        <v>0</v>
      </c>
      <c r="J95" s="20">
        <v>-1</v>
      </c>
      <c r="K95" s="20">
        <v>0</v>
      </c>
      <c r="L95" s="27" t="s">
        <v>83</v>
      </c>
      <c r="M95" s="19">
        <v>0</v>
      </c>
      <c r="N95" s="21">
        <v>200</v>
      </c>
      <c r="O95" s="22">
        <v>1980000</v>
      </c>
      <c r="S95" s="3"/>
    </row>
    <row r="96" s="1" customFormat="1" spans="1:19">
      <c r="A96" s="1">
        <f t="shared" si="10"/>
        <v>30020011</v>
      </c>
      <c r="B96" s="24">
        <v>300200</v>
      </c>
      <c r="C96" s="24">
        <v>3</v>
      </c>
      <c r="D96" s="24" t="s">
        <v>76</v>
      </c>
      <c r="E96" s="18">
        <v>300200006</v>
      </c>
      <c r="F96" s="18" t="s">
        <v>77</v>
      </c>
      <c r="G96" s="19" t="s">
        <v>81</v>
      </c>
      <c r="H96" s="19">
        <v>11</v>
      </c>
      <c r="I96" s="19">
        <v>0</v>
      </c>
      <c r="J96" s="20">
        <v>-1</v>
      </c>
      <c r="K96" s="20">
        <v>0</v>
      </c>
      <c r="L96" s="27" t="s">
        <v>83</v>
      </c>
      <c r="M96" s="19">
        <v>0</v>
      </c>
      <c r="N96" s="21">
        <v>5000</v>
      </c>
      <c r="O96" s="22">
        <v>1980000</v>
      </c>
      <c r="S96" s="3"/>
    </row>
    <row r="97" s="1" customFormat="1" spans="1:19">
      <c r="A97" s="1">
        <f t="shared" si="10"/>
        <v>30020012</v>
      </c>
      <c r="B97" s="24">
        <v>300200</v>
      </c>
      <c r="C97" s="24">
        <v>3</v>
      </c>
      <c r="D97" s="24" t="s">
        <v>76</v>
      </c>
      <c r="E97" s="18">
        <v>300200006</v>
      </c>
      <c r="F97" s="18" t="s">
        <v>77</v>
      </c>
      <c r="G97" s="19" t="s">
        <v>82</v>
      </c>
      <c r="H97" s="19">
        <v>12</v>
      </c>
      <c r="I97" s="19">
        <v>0</v>
      </c>
      <c r="J97" s="20">
        <v>-1</v>
      </c>
      <c r="K97" s="20">
        <v>0</v>
      </c>
      <c r="L97" s="27" t="s">
        <v>83</v>
      </c>
      <c r="M97" s="19">
        <v>0</v>
      </c>
      <c r="N97" s="21">
        <v>100000</v>
      </c>
      <c r="O97" s="22">
        <v>1980000</v>
      </c>
      <c r="S97" s="3"/>
    </row>
    <row r="98" spans="1:19">
      <c r="A98" s="1">
        <f t="shared" ref="A98:A124" si="11">B98*10+H98</f>
        <v>1001010</v>
      </c>
      <c r="B98" s="24">
        <v>100100</v>
      </c>
      <c r="C98" s="24">
        <v>1</v>
      </c>
      <c r="D98" s="24" t="s">
        <v>30</v>
      </c>
      <c r="E98" s="18">
        <v>100100026</v>
      </c>
      <c r="F98" s="18" t="s">
        <v>31</v>
      </c>
      <c r="G98" s="19" t="s">
        <v>79</v>
      </c>
      <c r="H98" s="19">
        <v>10</v>
      </c>
      <c r="I98" s="19">
        <v>0</v>
      </c>
      <c r="J98" s="20">
        <v>-1</v>
      </c>
      <c r="K98" s="20">
        <v>0</v>
      </c>
      <c r="L98" s="20" t="s">
        <v>80</v>
      </c>
      <c r="M98" s="19">
        <v>0</v>
      </c>
      <c r="N98" s="21">
        <v>50</v>
      </c>
      <c r="O98" s="22">
        <v>1980000</v>
      </c>
    </row>
    <row r="99" spans="1:19">
      <c r="A99" s="1">
        <f t="shared" si="11"/>
        <v>1001011</v>
      </c>
      <c r="B99" s="24">
        <v>100100</v>
      </c>
      <c r="C99" s="24">
        <v>1</v>
      </c>
      <c r="D99" s="24" t="str">
        <f t="shared" ref="D99:D103" si="12">D98</f>
        <v>金礦大亨</v>
      </c>
      <c r="E99" s="18">
        <v>100100026</v>
      </c>
      <c r="F99" s="18" t="s">
        <v>31</v>
      </c>
      <c r="G99" s="19" t="s">
        <v>81</v>
      </c>
      <c r="H99" s="19">
        <v>11</v>
      </c>
      <c r="I99" s="19">
        <v>0</v>
      </c>
      <c r="J99" s="20">
        <v>-1</v>
      </c>
      <c r="K99" s="20">
        <v>0</v>
      </c>
      <c r="L99" s="20" t="s">
        <v>80</v>
      </c>
      <c r="M99" s="19">
        <v>0</v>
      </c>
      <c r="N99" s="21">
        <v>500</v>
      </c>
      <c r="O99" s="22">
        <v>1980000</v>
      </c>
    </row>
    <row r="100" spans="1:19">
      <c r="A100" s="1">
        <f t="shared" si="11"/>
        <v>1001012</v>
      </c>
      <c r="B100" s="24">
        <v>100100</v>
      </c>
      <c r="C100" s="24">
        <v>1</v>
      </c>
      <c r="D100" s="24" t="str">
        <f t="shared" si="12"/>
        <v>金礦大亨</v>
      </c>
      <c r="E100" s="18">
        <v>100100026</v>
      </c>
      <c r="F100" s="18" t="s">
        <v>31</v>
      </c>
      <c r="G100" s="19" t="s">
        <v>82</v>
      </c>
      <c r="H100" s="19">
        <v>12</v>
      </c>
      <c r="I100" s="19">
        <v>0</v>
      </c>
      <c r="J100" s="20">
        <v>-1</v>
      </c>
      <c r="K100" s="20">
        <v>0</v>
      </c>
      <c r="L100" s="20" t="s">
        <v>80</v>
      </c>
      <c r="M100" s="19">
        <v>0</v>
      </c>
      <c r="N100" s="21">
        <v>5000</v>
      </c>
      <c r="O100" s="22">
        <v>1980000</v>
      </c>
    </row>
    <row r="101" spans="1:19">
      <c r="A101" s="1">
        <f t="shared" si="11"/>
        <v>1003010</v>
      </c>
      <c r="B101" s="24">
        <v>100300</v>
      </c>
      <c r="C101" s="24">
        <v>1</v>
      </c>
      <c r="D101" s="24" t="s">
        <v>37</v>
      </c>
      <c r="E101" s="18">
        <v>100300001</v>
      </c>
      <c r="F101" s="18" t="s">
        <v>38</v>
      </c>
      <c r="G101" s="19" t="s">
        <v>79</v>
      </c>
      <c r="H101" s="19">
        <v>10</v>
      </c>
      <c r="I101" s="19">
        <v>0</v>
      </c>
      <c r="J101" s="20">
        <v>-1</v>
      </c>
      <c r="K101" s="20">
        <v>0</v>
      </c>
      <c r="L101" s="20" t="s">
        <v>80</v>
      </c>
      <c r="M101" s="19">
        <v>0</v>
      </c>
      <c r="N101" s="21">
        <v>50</v>
      </c>
      <c r="O101" s="22">
        <v>1980000</v>
      </c>
    </row>
    <row r="102" spans="1:19">
      <c r="A102" s="1">
        <f t="shared" si="11"/>
        <v>1003011</v>
      </c>
      <c r="B102" s="24">
        <v>100300</v>
      </c>
      <c r="C102" s="24">
        <v>1</v>
      </c>
      <c r="D102" s="24" t="str">
        <f t="shared" si="12"/>
        <v>超级明星</v>
      </c>
      <c r="E102" s="18">
        <v>100300001</v>
      </c>
      <c r="F102" s="18" t="str">
        <f t="shared" ref="F102:F106" si="13">F101</f>
        <v>SuperStar</v>
      </c>
      <c r="G102" s="19" t="s">
        <v>81</v>
      </c>
      <c r="H102" s="19">
        <v>11</v>
      </c>
      <c r="I102" s="19">
        <v>0</v>
      </c>
      <c r="J102" s="20">
        <v>-1</v>
      </c>
      <c r="K102" s="20">
        <v>0</v>
      </c>
      <c r="L102" s="20" t="s">
        <v>80</v>
      </c>
      <c r="M102" s="19">
        <v>0</v>
      </c>
      <c r="N102" s="21">
        <v>500</v>
      </c>
      <c r="O102" s="22">
        <v>1980000</v>
      </c>
    </row>
    <row r="103" spans="1:19">
      <c r="A103" s="1">
        <f t="shared" si="11"/>
        <v>1003012</v>
      </c>
      <c r="B103" s="24">
        <v>100300</v>
      </c>
      <c r="C103" s="24">
        <v>1</v>
      </c>
      <c r="D103" s="24" t="str">
        <f t="shared" si="12"/>
        <v>超级明星</v>
      </c>
      <c r="E103" s="18">
        <v>100300001</v>
      </c>
      <c r="F103" s="18" t="str">
        <f t="shared" si="13"/>
        <v>SuperStar</v>
      </c>
      <c r="G103" s="19" t="s">
        <v>82</v>
      </c>
      <c r="H103" s="19">
        <v>12</v>
      </c>
      <c r="I103" s="19">
        <v>0</v>
      </c>
      <c r="J103" s="20">
        <v>-1</v>
      </c>
      <c r="K103" s="20">
        <v>0</v>
      </c>
      <c r="L103" s="20" t="s">
        <v>80</v>
      </c>
      <c r="M103" s="19">
        <v>0</v>
      </c>
      <c r="N103" s="21">
        <v>5000</v>
      </c>
      <c r="O103" s="22">
        <v>1980000</v>
      </c>
    </row>
    <row r="104" spans="1:19">
      <c r="A104" s="1">
        <f t="shared" si="11"/>
        <v>1007010</v>
      </c>
      <c r="B104" s="24">
        <v>100700</v>
      </c>
      <c r="C104" s="24">
        <v>1</v>
      </c>
      <c r="D104" s="24" t="s">
        <v>39</v>
      </c>
      <c r="E104" s="18">
        <v>100700001</v>
      </c>
      <c r="F104" s="18" t="s">
        <v>40</v>
      </c>
      <c r="G104" s="19" t="s">
        <v>79</v>
      </c>
      <c r="H104" s="19">
        <v>10</v>
      </c>
      <c r="I104" s="19">
        <v>0</v>
      </c>
      <c r="J104" s="20">
        <v>-1</v>
      </c>
      <c r="K104" s="20">
        <v>0</v>
      </c>
      <c r="L104" s="20" t="s">
        <v>80</v>
      </c>
      <c r="M104" s="19">
        <v>0</v>
      </c>
      <c r="N104" s="21">
        <v>50</v>
      </c>
      <c r="O104" s="22">
        <v>1980000</v>
      </c>
    </row>
    <row r="105" spans="1:19">
      <c r="A105" s="1">
        <f t="shared" si="11"/>
        <v>1007011</v>
      </c>
      <c r="B105" s="24">
        <v>100700</v>
      </c>
      <c r="C105" s="24">
        <v>1</v>
      </c>
      <c r="D105" s="24" t="str">
        <f t="shared" ref="D105:D109" si="14">D104</f>
        <v>麻将胡了</v>
      </c>
      <c r="E105" s="18">
        <v>100700001</v>
      </c>
      <c r="F105" s="18" t="str">
        <f t="shared" si="13"/>
        <v>MahjongWays</v>
      </c>
      <c r="G105" s="19" t="s">
        <v>81</v>
      </c>
      <c r="H105" s="19">
        <v>11</v>
      </c>
      <c r="I105" s="19">
        <v>0</v>
      </c>
      <c r="J105" s="20">
        <v>-1</v>
      </c>
      <c r="K105" s="20">
        <v>0</v>
      </c>
      <c r="L105" s="20" t="s">
        <v>80</v>
      </c>
      <c r="M105" s="19">
        <v>0</v>
      </c>
      <c r="N105" s="21">
        <v>500</v>
      </c>
      <c r="O105" s="22">
        <v>1980000</v>
      </c>
    </row>
    <row r="106" spans="1:19">
      <c r="A106" s="1">
        <f t="shared" si="11"/>
        <v>1007012</v>
      </c>
      <c r="B106" s="24">
        <v>100700</v>
      </c>
      <c r="C106" s="24">
        <v>1</v>
      </c>
      <c r="D106" s="24" t="str">
        <f t="shared" si="14"/>
        <v>麻将胡了</v>
      </c>
      <c r="E106" s="18">
        <v>100700001</v>
      </c>
      <c r="F106" s="18" t="str">
        <f t="shared" si="13"/>
        <v>MahjongWays</v>
      </c>
      <c r="G106" s="19" t="s">
        <v>82</v>
      </c>
      <c r="H106" s="19">
        <v>12</v>
      </c>
      <c r="I106" s="19">
        <v>0</v>
      </c>
      <c r="J106" s="20">
        <v>-1</v>
      </c>
      <c r="K106" s="20">
        <v>0</v>
      </c>
      <c r="L106" s="20" t="s">
        <v>80</v>
      </c>
      <c r="M106" s="19">
        <v>0</v>
      </c>
      <c r="N106" s="21">
        <v>5000</v>
      </c>
      <c r="O106" s="22">
        <v>1980000</v>
      </c>
    </row>
    <row r="107" spans="1:19">
      <c r="A107" s="1">
        <f t="shared" si="11"/>
        <v>1012010</v>
      </c>
      <c r="B107" s="24">
        <v>101200</v>
      </c>
      <c r="C107" s="24">
        <v>1</v>
      </c>
      <c r="D107" s="24" t="s">
        <v>41</v>
      </c>
      <c r="E107" s="18">
        <v>101200001</v>
      </c>
      <c r="F107" s="18" t="s">
        <v>42</v>
      </c>
      <c r="G107" s="19" t="s">
        <v>79</v>
      </c>
      <c r="H107" s="19">
        <v>10</v>
      </c>
      <c r="I107" s="19">
        <v>0</v>
      </c>
      <c r="J107" s="20">
        <v>-1</v>
      </c>
      <c r="K107" s="20">
        <v>0</v>
      </c>
      <c r="L107" s="20" t="s">
        <v>80</v>
      </c>
      <c r="M107" s="19">
        <v>0</v>
      </c>
      <c r="N107" s="21">
        <v>50</v>
      </c>
      <c r="O107" s="22">
        <v>1980000</v>
      </c>
    </row>
    <row r="108" spans="1:19">
      <c r="A108" s="1">
        <f t="shared" si="11"/>
        <v>1012011</v>
      </c>
      <c r="B108" s="24">
        <v>101200</v>
      </c>
      <c r="C108" s="24">
        <v>1</v>
      </c>
      <c r="D108" s="24" t="str">
        <f t="shared" si="14"/>
        <v>财神</v>
      </c>
      <c r="E108" s="18">
        <v>101200001</v>
      </c>
      <c r="F108" s="18" t="str">
        <f t="shared" ref="F108:F112" si="15">F107</f>
        <v>Godofwealth</v>
      </c>
      <c r="G108" s="19" t="s">
        <v>81</v>
      </c>
      <c r="H108" s="19">
        <v>11</v>
      </c>
      <c r="I108" s="19">
        <v>0</v>
      </c>
      <c r="J108" s="20">
        <v>-1</v>
      </c>
      <c r="K108" s="20">
        <v>0</v>
      </c>
      <c r="L108" s="20" t="s">
        <v>80</v>
      </c>
      <c r="M108" s="19">
        <v>0</v>
      </c>
      <c r="N108" s="21">
        <v>500</v>
      </c>
      <c r="O108" s="22">
        <v>1980000</v>
      </c>
    </row>
    <row r="109" spans="1:19">
      <c r="A109" s="1">
        <f t="shared" si="11"/>
        <v>1012012</v>
      </c>
      <c r="B109" s="24">
        <v>101200</v>
      </c>
      <c r="C109" s="24">
        <v>1</v>
      </c>
      <c r="D109" s="24" t="str">
        <f t="shared" si="14"/>
        <v>财神</v>
      </c>
      <c r="E109" s="18">
        <v>101200001</v>
      </c>
      <c r="F109" s="18" t="str">
        <f t="shared" si="15"/>
        <v>Godofwealth</v>
      </c>
      <c r="G109" s="19" t="s">
        <v>82</v>
      </c>
      <c r="H109" s="19">
        <v>12</v>
      </c>
      <c r="I109" s="19">
        <v>0</v>
      </c>
      <c r="J109" s="20">
        <v>-1</v>
      </c>
      <c r="K109" s="20">
        <v>0</v>
      </c>
      <c r="L109" s="20" t="s">
        <v>80</v>
      </c>
      <c r="M109" s="19">
        <v>0</v>
      </c>
      <c r="N109" s="21">
        <v>5000</v>
      </c>
      <c r="O109" s="22">
        <v>1980000</v>
      </c>
    </row>
    <row r="110" spans="1:19">
      <c r="A110" s="1">
        <f t="shared" si="11"/>
        <v>1014010</v>
      </c>
      <c r="B110" s="24">
        <v>101400</v>
      </c>
      <c r="C110" s="24">
        <v>1</v>
      </c>
      <c r="D110" s="24" t="s">
        <v>43</v>
      </c>
      <c r="E110" s="18">
        <v>101400001</v>
      </c>
      <c r="F110" s="18" t="s">
        <v>44</v>
      </c>
      <c r="G110" s="19" t="s">
        <v>79</v>
      </c>
      <c r="H110" s="19">
        <v>10</v>
      </c>
      <c r="I110" s="19">
        <v>0</v>
      </c>
      <c r="J110" s="20">
        <v>-1</v>
      </c>
      <c r="K110" s="20">
        <v>0</v>
      </c>
      <c r="L110" s="20" t="s">
        <v>80</v>
      </c>
      <c r="M110" s="19">
        <v>0</v>
      </c>
      <c r="N110" s="21">
        <v>50</v>
      </c>
      <c r="O110" s="22">
        <v>1980000</v>
      </c>
    </row>
    <row r="111" spans="1:19">
      <c r="A111" s="1">
        <f t="shared" si="11"/>
        <v>1014011</v>
      </c>
      <c r="B111" s="24">
        <v>101400</v>
      </c>
      <c r="C111" s="24">
        <v>1</v>
      </c>
      <c r="D111" s="24" t="str">
        <f t="shared" ref="D111:D115" si="16">D110</f>
        <v>埃及艳后</v>
      </c>
      <c r="E111" s="18">
        <v>101400001</v>
      </c>
      <c r="F111" s="18" t="str">
        <f t="shared" si="15"/>
        <v>Cleopatra</v>
      </c>
      <c r="G111" s="19" t="s">
        <v>81</v>
      </c>
      <c r="H111" s="19">
        <v>11</v>
      </c>
      <c r="I111" s="19">
        <v>0</v>
      </c>
      <c r="J111" s="20">
        <v>-1</v>
      </c>
      <c r="K111" s="20">
        <v>0</v>
      </c>
      <c r="L111" s="20" t="s">
        <v>80</v>
      </c>
      <c r="M111" s="19">
        <v>0</v>
      </c>
      <c r="N111" s="21">
        <v>500</v>
      </c>
      <c r="O111" s="22">
        <v>1980000</v>
      </c>
    </row>
    <row r="112" spans="1:19">
      <c r="A112" s="1">
        <f t="shared" si="11"/>
        <v>1014012</v>
      </c>
      <c r="B112" s="24">
        <v>101400</v>
      </c>
      <c r="C112" s="24">
        <v>1</v>
      </c>
      <c r="D112" s="24" t="str">
        <f t="shared" si="16"/>
        <v>埃及艳后</v>
      </c>
      <c r="E112" s="18">
        <v>101400001</v>
      </c>
      <c r="F112" s="18" t="str">
        <f t="shared" si="15"/>
        <v>Cleopatra</v>
      </c>
      <c r="G112" s="19" t="s">
        <v>82</v>
      </c>
      <c r="H112" s="19">
        <v>12</v>
      </c>
      <c r="I112" s="19">
        <v>0</v>
      </c>
      <c r="J112" s="20">
        <v>-1</v>
      </c>
      <c r="K112" s="20">
        <v>0</v>
      </c>
      <c r="L112" s="20" t="s">
        <v>80</v>
      </c>
      <c r="M112" s="19">
        <v>0</v>
      </c>
      <c r="N112" s="21">
        <v>5000</v>
      </c>
      <c r="O112" s="22">
        <v>1980000</v>
      </c>
    </row>
    <row r="113" spans="1:15">
      <c r="A113" s="1">
        <f t="shared" si="11"/>
        <v>1024010</v>
      </c>
      <c r="B113" s="24">
        <v>102400</v>
      </c>
      <c r="C113" s="24">
        <v>1</v>
      </c>
      <c r="D113" s="24" t="s">
        <v>45</v>
      </c>
      <c r="E113" s="18">
        <v>102400026</v>
      </c>
      <c r="F113" s="18" t="s">
        <v>46</v>
      </c>
      <c r="G113" s="19" t="s">
        <v>79</v>
      </c>
      <c r="H113" s="19">
        <v>10</v>
      </c>
      <c r="I113" s="19">
        <v>0</v>
      </c>
      <c r="J113" s="20">
        <v>-1</v>
      </c>
      <c r="K113" s="20">
        <v>0</v>
      </c>
      <c r="L113" s="20" t="s">
        <v>80</v>
      </c>
      <c r="M113" s="19">
        <v>0</v>
      </c>
      <c r="N113" s="21">
        <v>50</v>
      </c>
      <c r="O113" s="22">
        <v>1980000</v>
      </c>
    </row>
    <row r="114" spans="1:15">
      <c r="A114" s="1">
        <f t="shared" si="11"/>
        <v>1024011</v>
      </c>
      <c r="B114" s="24">
        <v>102400</v>
      </c>
      <c r="C114" s="24">
        <v>1</v>
      </c>
      <c r="D114" s="24" t="str">
        <f t="shared" si="16"/>
        <v>财富银行</v>
      </c>
      <c r="E114" s="18">
        <v>102400026</v>
      </c>
      <c r="F114" s="18" t="s">
        <v>46</v>
      </c>
      <c r="G114" s="19" t="s">
        <v>81</v>
      </c>
      <c r="H114" s="19">
        <v>11</v>
      </c>
      <c r="I114" s="19">
        <v>0</v>
      </c>
      <c r="J114" s="20">
        <v>-1</v>
      </c>
      <c r="K114" s="20">
        <v>0</v>
      </c>
      <c r="L114" s="20" t="s">
        <v>80</v>
      </c>
      <c r="M114" s="19">
        <v>0</v>
      </c>
      <c r="N114" s="21">
        <v>500</v>
      </c>
      <c r="O114" s="22">
        <v>1980000</v>
      </c>
    </row>
    <row r="115" spans="1:15">
      <c r="A115" s="1">
        <f t="shared" si="11"/>
        <v>1024012</v>
      </c>
      <c r="B115" s="24">
        <v>102400</v>
      </c>
      <c r="C115" s="24">
        <v>1</v>
      </c>
      <c r="D115" s="24" t="str">
        <f t="shared" si="16"/>
        <v>财富银行</v>
      </c>
      <c r="E115" s="18">
        <v>102400026</v>
      </c>
      <c r="F115" s="18" t="s">
        <v>46</v>
      </c>
      <c r="G115" s="19" t="s">
        <v>82</v>
      </c>
      <c r="H115" s="19">
        <v>12</v>
      </c>
      <c r="I115" s="19">
        <v>0</v>
      </c>
      <c r="J115" s="20">
        <v>-1</v>
      </c>
      <c r="K115" s="20">
        <v>0</v>
      </c>
      <c r="L115" s="20" t="s">
        <v>80</v>
      </c>
      <c r="M115" s="19">
        <v>0</v>
      </c>
      <c r="N115" s="21">
        <v>5000</v>
      </c>
      <c r="O115" s="22">
        <v>1980000</v>
      </c>
    </row>
    <row r="116" spans="1:15">
      <c r="A116" s="1">
        <f t="shared" si="11"/>
        <v>1022010</v>
      </c>
      <c r="B116" s="24">
        <v>102200</v>
      </c>
      <c r="C116" s="24">
        <v>1</v>
      </c>
      <c r="D116" s="24" t="s">
        <v>47</v>
      </c>
      <c r="E116" s="18">
        <v>102200001</v>
      </c>
      <c r="F116" s="18" t="s">
        <v>48</v>
      </c>
      <c r="G116" s="19" t="s">
        <v>79</v>
      </c>
      <c r="H116" s="19">
        <v>10</v>
      </c>
      <c r="I116" s="19">
        <v>0</v>
      </c>
      <c r="J116" s="20">
        <v>-1</v>
      </c>
      <c r="K116" s="20">
        <v>0</v>
      </c>
      <c r="L116" s="20" t="s">
        <v>80</v>
      </c>
      <c r="M116" s="19">
        <v>0</v>
      </c>
      <c r="N116" s="21">
        <v>50</v>
      </c>
      <c r="O116" s="22">
        <v>1980000</v>
      </c>
    </row>
    <row r="117" spans="1:15">
      <c r="A117" s="1">
        <f t="shared" si="11"/>
        <v>1022011</v>
      </c>
      <c r="B117" s="24">
        <v>102200</v>
      </c>
      <c r="C117" s="24">
        <v>1</v>
      </c>
      <c r="D117" s="24" t="s">
        <v>47</v>
      </c>
      <c r="E117" s="18">
        <v>102200001</v>
      </c>
      <c r="F117" s="18" t="s">
        <v>48</v>
      </c>
      <c r="G117" s="19" t="s">
        <v>81</v>
      </c>
      <c r="H117" s="19">
        <v>11</v>
      </c>
      <c r="I117" s="19">
        <v>0</v>
      </c>
      <c r="J117" s="20">
        <v>-1</v>
      </c>
      <c r="K117" s="20">
        <v>0</v>
      </c>
      <c r="L117" s="20" t="s">
        <v>80</v>
      </c>
      <c r="M117" s="19">
        <v>0</v>
      </c>
      <c r="N117" s="21">
        <v>500</v>
      </c>
      <c r="O117" s="22">
        <v>1980000</v>
      </c>
    </row>
    <row r="118" spans="1:15">
      <c r="A118" s="1">
        <f t="shared" si="11"/>
        <v>1022012</v>
      </c>
      <c r="B118" s="24">
        <v>102200</v>
      </c>
      <c r="C118" s="24">
        <v>1</v>
      </c>
      <c r="D118" s="24" t="s">
        <v>47</v>
      </c>
      <c r="E118" s="18">
        <v>102200001</v>
      </c>
      <c r="F118" s="18" t="s">
        <v>48</v>
      </c>
      <c r="G118" s="19" t="s">
        <v>82</v>
      </c>
      <c r="H118" s="19">
        <v>12</v>
      </c>
      <c r="I118" s="19">
        <v>0</v>
      </c>
      <c r="J118" s="20">
        <v>-1</v>
      </c>
      <c r="K118" s="20">
        <v>0</v>
      </c>
      <c r="L118" s="20" t="s">
        <v>80</v>
      </c>
      <c r="M118" s="19">
        <v>0</v>
      </c>
      <c r="N118" s="21">
        <v>5000</v>
      </c>
      <c r="O118" s="22">
        <v>1980000</v>
      </c>
    </row>
    <row r="119" spans="1:15">
      <c r="A119" s="1">
        <f t="shared" si="11"/>
        <v>1017010</v>
      </c>
      <c r="B119" s="24">
        <v>101700</v>
      </c>
      <c r="C119" s="24">
        <v>1</v>
      </c>
      <c r="D119" s="24" t="s">
        <v>49</v>
      </c>
      <c r="E119" s="18">
        <v>101700001</v>
      </c>
      <c r="F119" s="18" t="s">
        <v>50</v>
      </c>
      <c r="G119" s="19" t="s">
        <v>79</v>
      </c>
      <c r="H119" s="19">
        <v>10</v>
      </c>
      <c r="I119" s="19">
        <v>0</v>
      </c>
      <c r="J119" s="20">
        <v>-1</v>
      </c>
      <c r="K119" s="20">
        <v>0</v>
      </c>
      <c r="L119" s="20" t="s">
        <v>80</v>
      </c>
      <c r="M119" s="19">
        <v>0</v>
      </c>
      <c r="N119" s="21">
        <v>50</v>
      </c>
      <c r="O119" s="22">
        <v>1980000</v>
      </c>
    </row>
    <row r="120" spans="1:15">
      <c r="A120" s="1">
        <f t="shared" si="11"/>
        <v>1017011</v>
      </c>
      <c r="B120" s="24">
        <v>101700</v>
      </c>
      <c r="C120" s="24">
        <v>1</v>
      </c>
      <c r="D120" s="24" t="s">
        <v>49</v>
      </c>
      <c r="E120" s="18">
        <v>101700001</v>
      </c>
      <c r="F120" s="18" t="s">
        <v>50</v>
      </c>
      <c r="G120" s="19" t="s">
        <v>81</v>
      </c>
      <c r="H120" s="19">
        <v>11</v>
      </c>
      <c r="I120" s="19">
        <v>0</v>
      </c>
      <c r="J120" s="20">
        <v>-1</v>
      </c>
      <c r="K120" s="20">
        <v>0</v>
      </c>
      <c r="L120" s="20" t="s">
        <v>80</v>
      </c>
      <c r="M120" s="19">
        <v>0</v>
      </c>
      <c r="N120" s="21">
        <v>500</v>
      </c>
      <c r="O120" s="22">
        <v>1980000</v>
      </c>
    </row>
    <row r="121" spans="1:15">
      <c r="A121" s="1">
        <f t="shared" si="11"/>
        <v>1017012</v>
      </c>
      <c r="B121" s="24">
        <v>101700</v>
      </c>
      <c r="C121" s="24">
        <v>1</v>
      </c>
      <c r="D121" s="24" t="s">
        <v>49</v>
      </c>
      <c r="E121" s="18">
        <v>101700001</v>
      </c>
      <c r="F121" s="18" t="s">
        <v>50</v>
      </c>
      <c r="G121" s="19" t="s">
        <v>82</v>
      </c>
      <c r="H121" s="19">
        <v>12</v>
      </c>
      <c r="I121" s="19">
        <v>0</v>
      </c>
      <c r="J121" s="20">
        <v>-1</v>
      </c>
      <c r="K121" s="20">
        <v>0</v>
      </c>
      <c r="L121" s="20" t="s">
        <v>80</v>
      </c>
      <c r="M121" s="19">
        <v>0</v>
      </c>
      <c r="N121" s="21">
        <v>5000</v>
      </c>
      <c r="O121" s="22">
        <v>1980000</v>
      </c>
    </row>
    <row r="122" spans="1:15">
      <c r="A122" s="1">
        <f t="shared" si="11"/>
        <v>1021010</v>
      </c>
      <c r="B122" s="24">
        <v>102100</v>
      </c>
      <c r="C122" s="24">
        <v>1</v>
      </c>
      <c r="D122" s="24" t="s">
        <v>51</v>
      </c>
      <c r="E122" s="18">
        <v>102100001</v>
      </c>
      <c r="F122" s="18"/>
      <c r="G122" s="19" t="s">
        <v>79</v>
      </c>
      <c r="H122" s="19">
        <v>10</v>
      </c>
      <c r="I122" s="19">
        <v>0</v>
      </c>
      <c r="J122" s="20">
        <v>-1</v>
      </c>
      <c r="K122" s="20">
        <v>0</v>
      </c>
      <c r="L122" s="20" t="s">
        <v>80</v>
      </c>
      <c r="M122" s="19">
        <v>0</v>
      </c>
      <c r="N122" s="21">
        <v>50</v>
      </c>
      <c r="O122" s="22">
        <v>1980000</v>
      </c>
    </row>
    <row r="123" spans="1:15">
      <c r="A123" s="1">
        <f t="shared" si="11"/>
        <v>1021011</v>
      </c>
      <c r="B123" s="24">
        <v>102100</v>
      </c>
      <c r="C123" s="24">
        <v>1</v>
      </c>
      <c r="D123" s="24" t="s">
        <v>51</v>
      </c>
      <c r="E123" s="18">
        <v>102100001</v>
      </c>
      <c r="F123" s="18"/>
      <c r="G123" s="19" t="s">
        <v>81</v>
      </c>
      <c r="H123" s="19">
        <v>11</v>
      </c>
      <c r="I123" s="19">
        <v>0</v>
      </c>
      <c r="J123" s="20">
        <v>-1</v>
      </c>
      <c r="K123" s="20">
        <v>0</v>
      </c>
      <c r="L123" s="20" t="s">
        <v>80</v>
      </c>
      <c r="M123" s="19">
        <v>0</v>
      </c>
      <c r="N123" s="21">
        <v>500</v>
      </c>
      <c r="O123" s="22">
        <v>1980000</v>
      </c>
    </row>
    <row r="124" spans="1:15">
      <c r="A124" s="1">
        <f t="shared" si="11"/>
        <v>1021012</v>
      </c>
      <c r="B124" s="24">
        <v>102100</v>
      </c>
      <c r="C124" s="24">
        <v>1</v>
      </c>
      <c r="D124" s="24" t="s">
        <v>51</v>
      </c>
      <c r="E124" s="18">
        <v>102100001</v>
      </c>
      <c r="F124" s="18"/>
      <c r="G124" s="19" t="s">
        <v>82</v>
      </c>
      <c r="H124" s="19">
        <v>12</v>
      </c>
      <c r="I124" s="19">
        <v>0</v>
      </c>
      <c r="J124" s="20">
        <v>-1</v>
      </c>
      <c r="K124" s="20">
        <v>0</v>
      </c>
      <c r="L124" s="20" t="s">
        <v>80</v>
      </c>
      <c r="M124" s="19">
        <v>0</v>
      </c>
      <c r="N124" s="21">
        <v>5000</v>
      </c>
      <c r="O124" s="22">
        <v>1980000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2025-12-10T10:25:55Z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