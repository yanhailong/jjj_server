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<sst xmlns="http://schemas.openxmlformats.org/spreadsheetml/2006/main" count="1339" uniqueCount="117">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</sst>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83"/>
  <sheetViews>
    <sheetView tabSelected="1" zoomScale="85" zoomScaleNormal="85" workbookViewId="0">
      <pane ySplit="4" topLeftCell="A152" activePane="bottomLeft" state="frozen"/>
      <selection/>
      <selection pane="bottomLeft" activeCell="Q170" sqref="Q170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>N98*52</f>
        <v>5200</v>
      </c>
      <c r="J98" s="1">
        <v>-1</v>
      </c>
      <c r="K98" s="1">
        <v>0</v>
      </c>
      <c r="L98" s="3" t="s">
        <v>103</v>
      </c>
      <c r="M98" s="28" t="s">
        <v>97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>N99*52</f>
        <v>52000</v>
      </c>
      <c r="J99" s="1">
        <v>-1</v>
      </c>
      <c r="K99" s="1">
        <v>0</v>
      </c>
      <c r="L99" s="3" t="s">
        <v>103</v>
      </c>
      <c r="M99" s="28" t="s">
        <v>97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>N100*52</f>
        <v>520000</v>
      </c>
      <c r="J100" s="1">
        <v>-1</v>
      </c>
      <c r="K100" s="1">
        <v>0</v>
      </c>
      <c r="L100" s="3" t="s">
        <v>103</v>
      </c>
      <c r="M100" s="28" t="s">
        <v>97</v>
      </c>
      <c r="N100" s="23">
        <v>10000</v>
      </c>
      <c r="O100" s="15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104</v>
      </c>
      <c r="E101" s="13">
        <v>201200001</v>
      </c>
      <c r="F101" s="22" t="s">
        <v>105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8" t="s">
        <v>85</v>
      </c>
      <c r="N101">
        <v>1000</v>
      </c>
      <c r="O101" s="15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104</v>
      </c>
      <c r="E102" s="13">
        <v>201200001</v>
      </c>
      <c r="F102" s="22" t="s">
        <v>105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8" t="s">
        <v>85</v>
      </c>
      <c r="N102">
        <v>10000</v>
      </c>
      <c r="O102" s="15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104</v>
      </c>
      <c r="E103" s="13">
        <v>201200001</v>
      </c>
      <c r="F103" s="22" t="s">
        <v>105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8" t="s">
        <v>85</v>
      </c>
      <c r="N103">
        <v>100000</v>
      </c>
      <c r="O103" s="15">
        <v>1990000</v>
      </c>
    </row>
    <row r="104" spans="1:15">
      <c r="A104" s="1">
        <v>20010010</v>
      </c>
      <c r="B104" s="16">
        <v>200100</v>
      </c>
      <c r="C104" s="16">
        <v>2</v>
      </c>
      <c r="D104" s="16" t="s">
        <v>75</v>
      </c>
      <c r="E104" s="16">
        <v>200100038</v>
      </c>
      <c r="F104" s="16" t="s">
        <v>76</v>
      </c>
      <c r="G104" s="17" t="s">
        <v>106</v>
      </c>
      <c r="H104" s="17">
        <v>10</v>
      </c>
      <c r="I104" s="24">
        <v>0</v>
      </c>
      <c r="J104" s="17">
        <v>-1</v>
      </c>
      <c r="K104" s="17">
        <v>0</v>
      </c>
      <c r="L104" s="25" t="s">
        <v>107</v>
      </c>
      <c r="M104" s="17">
        <v>0</v>
      </c>
      <c r="N104">
        <v>1000</v>
      </c>
      <c r="O104" s="26">
        <v>1980000</v>
      </c>
    </row>
    <row r="105" spans="1:15">
      <c r="A105" s="1">
        <v>20010011</v>
      </c>
      <c r="B105" s="16">
        <v>200100</v>
      </c>
      <c r="C105" s="16">
        <v>2</v>
      </c>
      <c r="D105" s="16" t="s">
        <v>75</v>
      </c>
      <c r="E105" s="16">
        <v>200100038</v>
      </c>
      <c r="F105" s="16" t="s">
        <v>76</v>
      </c>
      <c r="G105" s="17" t="s">
        <v>108</v>
      </c>
      <c r="H105" s="17">
        <v>11</v>
      </c>
      <c r="I105" s="24">
        <v>0</v>
      </c>
      <c r="J105" s="17">
        <v>-1</v>
      </c>
      <c r="K105" s="17">
        <v>0</v>
      </c>
      <c r="L105" s="25" t="s">
        <v>107</v>
      </c>
      <c r="M105" s="17">
        <v>0</v>
      </c>
      <c r="N105">
        <v>10000</v>
      </c>
      <c r="O105" s="26">
        <v>1980000</v>
      </c>
    </row>
    <row r="106" spans="1:15">
      <c r="A106" s="1">
        <v>20010012</v>
      </c>
      <c r="B106" s="16">
        <v>200100</v>
      </c>
      <c r="C106" s="16">
        <v>2</v>
      </c>
      <c r="D106" s="16" t="s">
        <v>75</v>
      </c>
      <c r="E106" s="16">
        <v>200100038</v>
      </c>
      <c r="F106" s="16" t="s">
        <v>76</v>
      </c>
      <c r="G106" s="17" t="s">
        <v>109</v>
      </c>
      <c r="H106" s="17">
        <v>12</v>
      </c>
      <c r="I106" s="24">
        <v>0</v>
      </c>
      <c r="J106" s="17">
        <v>-1</v>
      </c>
      <c r="K106" s="17">
        <v>0</v>
      </c>
      <c r="L106" s="25" t="s">
        <v>107</v>
      </c>
      <c r="M106" s="17">
        <v>0</v>
      </c>
      <c r="N106">
        <v>100000</v>
      </c>
      <c r="O106" s="26">
        <v>1980000</v>
      </c>
    </row>
    <row r="107" spans="1:15">
      <c r="A107" s="1">
        <v>20010110</v>
      </c>
      <c r="B107" s="16">
        <v>200101</v>
      </c>
      <c r="C107" s="16">
        <v>2</v>
      </c>
      <c r="D107" s="16" t="s">
        <v>77</v>
      </c>
      <c r="E107" s="16">
        <v>200101001</v>
      </c>
      <c r="F107" s="16" t="s">
        <v>78</v>
      </c>
      <c r="G107" s="17" t="s">
        <v>106</v>
      </c>
      <c r="H107" s="17">
        <v>10</v>
      </c>
      <c r="I107" s="24">
        <v>0</v>
      </c>
      <c r="J107" s="17">
        <v>-1</v>
      </c>
      <c r="K107" s="17">
        <v>0</v>
      </c>
      <c r="L107" s="25" t="s">
        <v>107</v>
      </c>
      <c r="M107" s="17">
        <v>0</v>
      </c>
      <c r="N107">
        <v>1000</v>
      </c>
      <c r="O107" s="26">
        <v>1980000</v>
      </c>
    </row>
    <row r="108" spans="1:15">
      <c r="A108" s="1">
        <v>20010111</v>
      </c>
      <c r="B108" s="16">
        <v>200101</v>
      </c>
      <c r="C108" s="16">
        <v>2</v>
      </c>
      <c r="D108" s="16" t="s">
        <v>77</v>
      </c>
      <c r="E108" s="16">
        <v>200101001</v>
      </c>
      <c r="F108" s="16" t="s">
        <v>78</v>
      </c>
      <c r="G108" s="17" t="s">
        <v>108</v>
      </c>
      <c r="H108" s="17">
        <v>11</v>
      </c>
      <c r="I108" s="24">
        <v>0</v>
      </c>
      <c r="J108" s="17">
        <v>-1</v>
      </c>
      <c r="K108" s="17">
        <v>0</v>
      </c>
      <c r="L108" s="25" t="s">
        <v>107</v>
      </c>
      <c r="M108" s="17">
        <v>0</v>
      </c>
      <c r="N108">
        <v>10000</v>
      </c>
      <c r="O108" s="26">
        <v>1980000</v>
      </c>
    </row>
    <row r="109" spans="1:15">
      <c r="A109" s="1">
        <v>20010112</v>
      </c>
      <c r="B109" s="16">
        <v>200101</v>
      </c>
      <c r="C109" s="16">
        <v>2</v>
      </c>
      <c r="D109" s="16" t="s">
        <v>77</v>
      </c>
      <c r="E109" s="16">
        <v>200101001</v>
      </c>
      <c r="F109" s="16" t="s">
        <v>78</v>
      </c>
      <c r="G109" s="17" t="s">
        <v>109</v>
      </c>
      <c r="H109" s="17">
        <v>12</v>
      </c>
      <c r="I109" s="24">
        <v>0</v>
      </c>
      <c r="J109" s="17">
        <v>-1</v>
      </c>
      <c r="K109" s="17">
        <v>0</v>
      </c>
      <c r="L109" s="25" t="s">
        <v>107</v>
      </c>
      <c r="M109" s="17">
        <v>0</v>
      </c>
      <c r="N109">
        <v>100000</v>
      </c>
      <c r="O109" s="26">
        <v>1980000</v>
      </c>
    </row>
    <row r="110" spans="1:15">
      <c r="A110" s="1">
        <v>20030010</v>
      </c>
      <c r="B110" s="16">
        <v>200300</v>
      </c>
      <c r="C110" s="16">
        <v>2</v>
      </c>
      <c r="D110" s="16" t="s">
        <v>79</v>
      </c>
      <c r="E110" s="16">
        <v>200300001</v>
      </c>
      <c r="F110" s="16" t="s">
        <v>80</v>
      </c>
      <c r="G110" s="17" t="s">
        <v>106</v>
      </c>
      <c r="H110" s="17">
        <v>10</v>
      </c>
      <c r="I110" s="24">
        <v>0</v>
      </c>
      <c r="J110" s="17">
        <v>-1</v>
      </c>
      <c r="K110" s="17">
        <v>0</v>
      </c>
      <c r="L110" s="25" t="s">
        <v>107</v>
      </c>
      <c r="M110" s="17">
        <v>0</v>
      </c>
      <c r="N110">
        <v>1000</v>
      </c>
      <c r="O110" s="26">
        <v>1980000</v>
      </c>
    </row>
    <row r="111" spans="1:15">
      <c r="A111" s="1">
        <v>20030011</v>
      </c>
      <c r="B111" s="16">
        <v>200300</v>
      </c>
      <c r="C111" s="16">
        <v>2</v>
      </c>
      <c r="D111" s="16" t="s">
        <v>79</v>
      </c>
      <c r="E111" s="16">
        <v>200300001</v>
      </c>
      <c r="F111" s="16" t="s">
        <v>80</v>
      </c>
      <c r="G111" s="17" t="s">
        <v>108</v>
      </c>
      <c r="H111" s="17">
        <v>11</v>
      </c>
      <c r="I111" s="24">
        <v>0</v>
      </c>
      <c r="J111" s="17">
        <v>-1</v>
      </c>
      <c r="K111" s="17">
        <v>0</v>
      </c>
      <c r="L111" s="25" t="s">
        <v>107</v>
      </c>
      <c r="M111" s="17">
        <v>0</v>
      </c>
      <c r="N111">
        <v>10000</v>
      </c>
      <c r="O111" s="26">
        <v>1980000</v>
      </c>
    </row>
    <row r="112" spans="1:15">
      <c r="A112" s="1">
        <v>20030012</v>
      </c>
      <c r="B112" s="16">
        <v>200300</v>
      </c>
      <c r="C112" s="16">
        <v>2</v>
      </c>
      <c r="D112" s="16" t="s">
        <v>79</v>
      </c>
      <c r="E112" s="16">
        <v>200300001</v>
      </c>
      <c r="F112" s="16" t="s">
        <v>80</v>
      </c>
      <c r="G112" s="17" t="s">
        <v>109</v>
      </c>
      <c r="H112" s="17">
        <v>12</v>
      </c>
      <c r="I112" s="24">
        <v>0</v>
      </c>
      <c r="J112" s="17">
        <v>-1</v>
      </c>
      <c r="K112" s="17">
        <v>0</v>
      </c>
      <c r="L112" s="25" t="s">
        <v>107</v>
      </c>
      <c r="M112" s="17">
        <v>0</v>
      </c>
      <c r="N112">
        <v>100000</v>
      </c>
      <c r="O112" s="26">
        <v>1980000</v>
      </c>
    </row>
    <row r="113" spans="1:15">
      <c r="A113" s="1">
        <v>20040010</v>
      </c>
      <c r="B113" s="16">
        <v>200400</v>
      </c>
      <c r="C113" s="16">
        <v>2</v>
      </c>
      <c r="D113" s="24" t="s">
        <v>81</v>
      </c>
      <c r="E113" s="16">
        <v>200400009</v>
      </c>
      <c r="F113" s="16" t="s">
        <v>82</v>
      </c>
      <c r="G113" s="17" t="s">
        <v>106</v>
      </c>
      <c r="H113" s="17">
        <v>10</v>
      </c>
      <c r="I113" s="24">
        <v>0</v>
      </c>
      <c r="J113" s="17">
        <v>-1</v>
      </c>
      <c r="K113" s="17">
        <v>0</v>
      </c>
      <c r="L113" s="25" t="s">
        <v>107</v>
      </c>
      <c r="M113" s="17">
        <v>0</v>
      </c>
      <c r="N113">
        <v>1000</v>
      </c>
      <c r="O113" s="26">
        <v>1980000</v>
      </c>
    </row>
    <row r="114" spans="1:15">
      <c r="A114" s="1">
        <v>20040011</v>
      </c>
      <c r="B114" s="16">
        <v>200400</v>
      </c>
      <c r="C114" s="16">
        <v>2</v>
      </c>
      <c r="D114" s="24" t="s">
        <v>81</v>
      </c>
      <c r="E114" s="16">
        <v>200400009</v>
      </c>
      <c r="F114" s="16" t="s">
        <v>82</v>
      </c>
      <c r="G114" s="17" t="s">
        <v>108</v>
      </c>
      <c r="H114" s="17">
        <v>11</v>
      </c>
      <c r="I114" s="24">
        <v>0</v>
      </c>
      <c r="J114" s="17">
        <v>-1</v>
      </c>
      <c r="K114" s="17">
        <v>0</v>
      </c>
      <c r="L114" s="25" t="s">
        <v>107</v>
      </c>
      <c r="M114" s="17">
        <v>0</v>
      </c>
      <c r="N114">
        <v>10000</v>
      </c>
      <c r="O114" s="26">
        <v>1980000</v>
      </c>
    </row>
    <row r="115" spans="1:15">
      <c r="A115" s="1">
        <v>20040012</v>
      </c>
      <c r="B115" s="16">
        <v>200400</v>
      </c>
      <c r="C115" s="16">
        <v>2</v>
      </c>
      <c r="D115" s="24" t="s">
        <v>81</v>
      </c>
      <c r="E115" s="16">
        <v>200400009</v>
      </c>
      <c r="F115" s="16" t="s">
        <v>82</v>
      </c>
      <c r="G115" s="17" t="s">
        <v>109</v>
      </c>
      <c r="H115" s="17">
        <v>12</v>
      </c>
      <c r="I115" s="24">
        <v>0</v>
      </c>
      <c r="J115" s="17">
        <v>-1</v>
      </c>
      <c r="K115" s="17">
        <v>0</v>
      </c>
      <c r="L115" s="25" t="s">
        <v>107</v>
      </c>
      <c r="M115" s="17">
        <v>0</v>
      </c>
      <c r="N115">
        <v>100000</v>
      </c>
      <c r="O115" s="26">
        <v>1980000</v>
      </c>
    </row>
    <row r="116" spans="1:15">
      <c r="A116" s="1">
        <v>20050010</v>
      </c>
      <c r="B116" s="16">
        <v>200500</v>
      </c>
      <c r="C116" s="16">
        <v>2</v>
      </c>
      <c r="D116" s="16" t="s">
        <v>83</v>
      </c>
      <c r="E116" s="16">
        <v>200500025</v>
      </c>
      <c r="F116" s="16" t="s">
        <v>84</v>
      </c>
      <c r="G116" s="17" t="s">
        <v>106</v>
      </c>
      <c r="H116" s="17">
        <v>10</v>
      </c>
      <c r="I116" s="24">
        <v>0</v>
      </c>
      <c r="J116" s="17">
        <v>-1</v>
      </c>
      <c r="K116" s="17">
        <v>0</v>
      </c>
      <c r="L116" s="25" t="s">
        <v>107</v>
      </c>
      <c r="M116" s="17">
        <v>0</v>
      </c>
      <c r="N116">
        <v>1000</v>
      </c>
      <c r="O116" s="26">
        <v>1980000</v>
      </c>
    </row>
    <row r="117" spans="1:15">
      <c r="A117" s="1">
        <v>20050011</v>
      </c>
      <c r="B117" s="16">
        <v>200500</v>
      </c>
      <c r="C117" s="16">
        <v>2</v>
      </c>
      <c r="D117" s="16" t="s">
        <v>83</v>
      </c>
      <c r="E117" s="16">
        <v>200500025</v>
      </c>
      <c r="F117" s="16" t="s">
        <v>84</v>
      </c>
      <c r="G117" s="17" t="s">
        <v>108</v>
      </c>
      <c r="H117" s="17">
        <v>11</v>
      </c>
      <c r="I117" s="24">
        <v>0</v>
      </c>
      <c r="J117" s="17">
        <v>-1</v>
      </c>
      <c r="K117" s="17">
        <v>0</v>
      </c>
      <c r="L117" s="25" t="s">
        <v>107</v>
      </c>
      <c r="M117" s="17">
        <v>0</v>
      </c>
      <c r="N117">
        <v>10000</v>
      </c>
      <c r="O117" s="26">
        <v>1980000</v>
      </c>
    </row>
    <row r="118" spans="1:15">
      <c r="A118" s="1">
        <v>20050012</v>
      </c>
      <c r="B118" s="16">
        <v>200500</v>
      </c>
      <c r="C118" s="16">
        <v>2</v>
      </c>
      <c r="D118" s="16" t="s">
        <v>83</v>
      </c>
      <c r="E118" s="16">
        <v>200500025</v>
      </c>
      <c r="F118" s="16" t="s">
        <v>84</v>
      </c>
      <c r="G118" s="17" t="s">
        <v>109</v>
      </c>
      <c r="H118" s="17">
        <v>12</v>
      </c>
      <c r="I118" s="24">
        <v>0</v>
      </c>
      <c r="J118" s="17">
        <v>-1</v>
      </c>
      <c r="K118" s="17">
        <v>0</v>
      </c>
      <c r="L118" s="25" t="s">
        <v>107</v>
      </c>
      <c r="M118" s="17">
        <v>0</v>
      </c>
      <c r="N118">
        <v>100000</v>
      </c>
      <c r="O118" s="26">
        <v>1980000</v>
      </c>
    </row>
    <row r="119" spans="1:15">
      <c r="A119" s="1">
        <v>20060010</v>
      </c>
      <c r="B119" s="16">
        <v>200600</v>
      </c>
      <c r="C119" s="16">
        <v>2</v>
      </c>
      <c r="D119" s="16" t="s">
        <v>86</v>
      </c>
      <c r="E119" s="16">
        <v>200600001</v>
      </c>
      <c r="F119" s="16" t="s">
        <v>87</v>
      </c>
      <c r="G119" s="17" t="s">
        <v>106</v>
      </c>
      <c r="H119" s="17">
        <v>10</v>
      </c>
      <c r="I119" s="24">
        <v>0</v>
      </c>
      <c r="J119" s="17">
        <v>-1</v>
      </c>
      <c r="K119" s="17">
        <v>0</v>
      </c>
      <c r="L119" s="25" t="s">
        <v>107</v>
      </c>
      <c r="M119" s="17">
        <v>0</v>
      </c>
      <c r="N119">
        <v>1000</v>
      </c>
      <c r="O119" s="26">
        <v>1980000</v>
      </c>
    </row>
    <row r="120" spans="1:15">
      <c r="A120" s="1">
        <v>20060011</v>
      </c>
      <c r="B120" s="16">
        <v>200600</v>
      </c>
      <c r="C120" s="16">
        <v>2</v>
      </c>
      <c r="D120" s="16" t="s">
        <v>86</v>
      </c>
      <c r="E120" s="16">
        <v>200600001</v>
      </c>
      <c r="F120" s="16" t="s">
        <v>87</v>
      </c>
      <c r="G120" s="17" t="s">
        <v>108</v>
      </c>
      <c r="H120" s="17">
        <v>11</v>
      </c>
      <c r="I120" s="24">
        <v>0</v>
      </c>
      <c r="J120" s="17">
        <v>-1</v>
      </c>
      <c r="K120" s="17">
        <v>0</v>
      </c>
      <c r="L120" s="25" t="s">
        <v>107</v>
      </c>
      <c r="M120" s="17">
        <v>0</v>
      </c>
      <c r="N120">
        <v>10000</v>
      </c>
      <c r="O120" s="26">
        <v>1980000</v>
      </c>
    </row>
    <row r="121" spans="1:15">
      <c r="A121" s="1">
        <v>20060012</v>
      </c>
      <c r="B121" s="16">
        <v>200600</v>
      </c>
      <c r="C121" s="16">
        <v>2</v>
      </c>
      <c r="D121" s="16" t="s">
        <v>86</v>
      </c>
      <c r="E121" s="16">
        <v>200600001</v>
      </c>
      <c r="F121" s="16" t="s">
        <v>87</v>
      </c>
      <c r="G121" s="17" t="s">
        <v>109</v>
      </c>
      <c r="H121" s="17">
        <v>12</v>
      </c>
      <c r="I121" s="24">
        <v>0</v>
      </c>
      <c r="J121" s="17">
        <v>-1</v>
      </c>
      <c r="K121" s="17">
        <v>0</v>
      </c>
      <c r="L121" s="25" t="s">
        <v>107</v>
      </c>
      <c r="M121" s="17">
        <v>0</v>
      </c>
      <c r="N121">
        <v>100000</v>
      </c>
      <c r="O121" s="26">
        <v>1980000</v>
      </c>
    </row>
    <row r="122" spans="1:15">
      <c r="A122" s="1">
        <v>20070010</v>
      </c>
      <c r="B122" s="16">
        <v>200700</v>
      </c>
      <c r="C122" s="16">
        <v>2</v>
      </c>
      <c r="D122" s="16" t="s">
        <v>88</v>
      </c>
      <c r="E122" s="16">
        <v>200700001</v>
      </c>
      <c r="F122" s="16" t="s">
        <v>89</v>
      </c>
      <c r="G122" s="17" t="s">
        <v>106</v>
      </c>
      <c r="H122" s="17">
        <v>10</v>
      </c>
      <c r="I122" s="24">
        <v>0</v>
      </c>
      <c r="J122" s="17">
        <v>-1</v>
      </c>
      <c r="K122" s="17">
        <v>0</v>
      </c>
      <c r="L122" s="25" t="s">
        <v>107</v>
      </c>
      <c r="M122" s="17">
        <v>0</v>
      </c>
      <c r="N122">
        <v>1000</v>
      </c>
      <c r="O122" s="26">
        <v>1980000</v>
      </c>
    </row>
    <row r="123" spans="1:15">
      <c r="A123" s="1">
        <v>20070011</v>
      </c>
      <c r="B123" s="16">
        <v>200700</v>
      </c>
      <c r="C123" s="16">
        <v>2</v>
      </c>
      <c r="D123" s="16" t="s">
        <v>88</v>
      </c>
      <c r="E123" s="16">
        <v>200700001</v>
      </c>
      <c r="F123" s="16" t="s">
        <v>89</v>
      </c>
      <c r="G123" s="17" t="s">
        <v>108</v>
      </c>
      <c r="H123" s="17">
        <v>11</v>
      </c>
      <c r="I123" s="24">
        <v>0</v>
      </c>
      <c r="J123" s="17">
        <v>-1</v>
      </c>
      <c r="K123" s="17">
        <v>0</v>
      </c>
      <c r="L123" s="25" t="s">
        <v>107</v>
      </c>
      <c r="M123" s="17">
        <v>0</v>
      </c>
      <c r="N123">
        <v>10000</v>
      </c>
      <c r="O123" s="26">
        <v>1980000</v>
      </c>
    </row>
    <row r="124" spans="1:15">
      <c r="A124" s="1">
        <v>20070012</v>
      </c>
      <c r="B124" s="16">
        <v>200700</v>
      </c>
      <c r="C124" s="16">
        <v>2</v>
      </c>
      <c r="D124" s="16" t="s">
        <v>88</v>
      </c>
      <c r="E124" s="16">
        <v>200700001</v>
      </c>
      <c r="F124" s="16" t="s">
        <v>89</v>
      </c>
      <c r="G124" s="17" t="s">
        <v>109</v>
      </c>
      <c r="H124" s="17">
        <v>12</v>
      </c>
      <c r="I124" s="24">
        <v>0</v>
      </c>
      <c r="J124" s="17">
        <v>-1</v>
      </c>
      <c r="K124" s="17">
        <v>0</v>
      </c>
      <c r="L124" s="25" t="s">
        <v>107</v>
      </c>
      <c r="M124" s="17">
        <v>0</v>
      </c>
      <c r="N124">
        <v>100000</v>
      </c>
      <c r="O124" s="26">
        <v>1980000</v>
      </c>
    </row>
    <row r="125" spans="1:15">
      <c r="A125" s="1">
        <v>20080010</v>
      </c>
      <c r="B125" s="16">
        <v>200800</v>
      </c>
      <c r="C125" s="16">
        <v>2</v>
      </c>
      <c r="D125" s="16" t="s">
        <v>90</v>
      </c>
      <c r="E125" s="16">
        <v>200800001</v>
      </c>
      <c r="F125" s="16" t="s">
        <v>91</v>
      </c>
      <c r="G125" s="17" t="s">
        <v>106</v>
      </c>
      <c r="H125" s="17">
        <v>10</v>
      </c>
      <c r="I125" s="24">
        <v>0</v>
      </c>
      <c r="J125" s="17">
        <v>-1</v>
      </c>
      <c r="K125" s="17">
        <v>0</v>
      </c>
      <c r="L125" s="25" t="s">
        <v>107</v>
      </c>
      <c r="M125" s="17">
        <v>0</v>
      </c>
      <c r="N125">
        <v>1000</v>
      </c>
      <c r="O125" s="26">
        <v>1980000</v>
      </c>
    </row>
    <row r="126" spans="1:15">
      <c r="A126" s="1">
        <v>20080011</v>
      </c>
      <c r="B126" s="16">
        <v>200800</v>
      </c>
      <c r="C126" s="16">
        <v>2</v>
      </c>
      <c r="D126" s="16" t="s">
        <v>90</v>
      </c>
      <c r="E126" s="16">
        <v>200800001</v>
      </c>
      <c r="F126" s="16" t="s">
        <v>91</v>
      </c>
      <c r="G126" s="17" t="s">
        <v>108</v>
      </c>
      <c r="H126" s="17">
        <v>11</v>
      </c>
      <c r="I126" s="24">
        <v>0</v>
      </c>
      <c r="J126" s="17">
        <v>-1</v>
      </c>
      <c r="K126" s="17">
        <v>0</v>
      </c>
      <c r="L126" s="25" t="s">
        <v>107</v>
      </c>
      <c r="M126" s="17">
        <v>0</v>
      </c>
      <c r="N126">
        <v>10000</v>
      </c>
      <c r="O126" s="26">
        <v>1980000</v>
      </c>
    </row>
    <row r="127" spans="1:15">
      <c r="A127" s="1">
        <v>20080012</v>
      </c>
      <c r="B127" s="16">
        <v>200800</v>
      </c>
      <c r="C127" s="16">
        <v>2</v>
      </c>
      <c r="D127" s="16" t="s">
        <v>90</v>
      </c>
      <c r="E127" s="16">
        <v>200800001</v>
      </c>
      <c r="F127" s="16" t="s">
        <v>91</v>
      </c>
      <c r="G127" s="17" t="s">
        <v>109</v>
      </c>
      <c r="H127" s="17">
        <v>12</v>
      </c>
      <c r="I127" s="24">
        <v>0</v>
      </c>
      <c r="J127" s="17">
        <v>-1</v>
      </c>
      <c r="K127" s="17">
        <v>0</v>
      </c>
      <c r="L127" s="25" t="s">
        <v>107</v>
      </c>
      <c r="M127" s="17">
        <v>0</v>
      </c>
      <c r="N127">
        <v>100000</v>
      </c>
      <c r="O127" s="26">
        <v>1980000</v>
      </c>
    </row>
    <row r="128" spans="1:15">
      <c r="A128" s="1">
        <v>20090010</v>
      </c>
      <c r="B128" s="16">
        <v>200900</v>
      </c>
      <c r="C128" s="16">
        <v>2</v>
      </c>
      <c r="D128" s="16" t="s">
        <v>92</v>
      </c>
      <c r="E128" s="16">
        <v>200900001</v>
      </c>
      <c r="F128" s="16" t="s">
        <v>93</v>
      </c>
      <c r="G128" s="17" t="s">
        <v>106</v>
      </c>
      <c r="H128" s="17">
        <v>10</v>
      </c>
      <c r="I128" s="24">
        <v>0</v>
      </c>
      <c r="J128" s="17">
        <v>-1</v>
      </c>
      <c r="K128" s="17">
        <v>0</v>
      </c>
      <c r="L128" s="25" t="s">
        <v>107</v>
      </c>
      <c r="M128" s="17">
        <v>0</v>
      </c>
      <c r="N128">
        <v>1000</v>
      </c>
      <c r="O128" s="26">
        <v>1980000</v>
      </c>
    </row>
    <row r="129" spans="1:15">
      <c r="A129" s="1">
        <v>20090011</v>
      </c>
      <c r="B129" s="16">
        <v>200900</v>
      </c>
      <c r="C129" s="16">
        <v>2</v>
      </c>
      <c r="D129" s="16" t="s">
        <v>92</v>
      </c>
      <c r="E129" s="16">
        <v>200900001</v>
      </c>
      <c r="F129" s="16" t="s">
        <v>93</v>
      </c>
      <c r="G129" s="17" t="s">
        <v>108</v>
      </c>
      <c r="H129" s="17">
        <v>11</v>
      </c>
      <c r="I129" s="24">
        <v>0</v>
      </c>
      <c r="J129" s="17">
        <v>-1</v>
      </c>
      <c r="K129" s="17">
        <v>0</v>
      </c>
      <c r="L129" s="25" t="s">
        <v>107</v>
      </c>
      <c r="M129" s="17">
        <v>0</v>
      </c>
      <c r="N129">
        <v>10000</v>
      </c>
      <c r="O129" s="26">
        <v>1980000</v>
      </c>
    </row>
    <row r="130" spans="1:15">
      <c r="A130" s="1">
        <v>20090012</v>
      </c>
      <c r="B130" s="16">
        <v>200900</v>
      </c>
      <c r="C130" s="16">
        <v>2</v>
      </c>
      <c r="D130" s="16" t="s">
        <v>92</v>
      </c>
      <c r="E130" s="16">
        <v>200900001</v>
      </c>
      <c r="F130" s="16" t="s">
        <v>93</v>
      </c>
      <c r="G130" s="17" t="s">
        <v>109</v>
      </c>
      <c r="H130" s="17">
        <v>12</v>
      </c>
      <c r="I130" s="24">
        <v>0</v>
      </c>
      <c r="J130" s="17">
        <v>-1</v>
      </c>
      <c r="K130" s="17">
        <v>0</v>
      </c>
      <c r="L130" s="25" t="s">
        <v>107</v>
      </c>
      <c r="M130" s="17">
        <v>0</v>
      </c>
      <c r="N130">
        <v>100000</v>
      </c>
      <c r="O130" s="26">
        <v>1980000</v>
      </c>
    </row>
    <row r="131" spans="1:15">
      <c r="A131" s="1">
        <v>30020010</v>
      </c>
      <c r="B131" s="16">
        <v>300200</v>
      </c>
      <c r="C131" s="16">
        <v>3</v>
      </c>
      <c r="D131" s="16" t="s">
        <v>98</v>
      </c>
      <c r="E131" s="16">
        <v>300200006</v>
      </c>
      <c r="F131" s="16" t="s">
        <v>99</v>
      </c>
      <c r="G131" s="17" t="s">
        <v>106</v>
      </c>
      <c r="H131" s="17">
        <v>10</v>
      </c>
      <c r="I131" s="24">
        <v>0</v>
      </c>
      <c r="J131" s="17">
        <v>-1</v>
      </c>
      <c r="K131" s="17">
        <v>0</v>
      </c>
      <c r="L131" s="3" t="s">
        <v>110</v>
      </c>
      <c r="M131" s="17">
        <v>0</v>
      </c>
      <c r="N131" s="21">
        <v>1000</v>
      </c>
      <c r="O131" s="26">
        <v>1980000</v>
      </c>
    </row>
    <row r="132" spans="1:15">
      <c r="A132" s="1">
        <v>30020011</v>
      </c>
      <c r="B132" s="16">
        <v>300200</v>
      </c>
      <c r="C132" s="16">
        <v>3</v>
      </c>
      <c r="D132" s="16" t="s">
        <v>98</v>
      </c>
      <c r="E132" s="16">
        <v>300200006</v>
      </c>
      <c r="F132" s="16" t="s">
        <v>99</v>
      </c>
      <c r="G132" s="17" t="s">
        <v>108</v>
      </c>
      <c r="H132" s="17">
        <v>11</v>
      </c>
      <c r="I132" s="24">
        <v>0</v>
      </c>
      <c r="J132" s="17">
        <v>-1</v>
      </c>
      <c r="K132" s="17">
        <v>0</v>
      </c>
      <c r="L132" s="3" t="s">
        <v>110</v>
      </c>
      <c r="M132" s="17">
        <v>0</v>
      </c>
      <c r="N132" s="21">
        <v>10000</v>
      </c>
      <c r="O132" s="26">
        <v>1980000</v>
      </c>
    </row>
    <row r="133" spans="1:15">
      <c r="A133" s="1">
        <v>30020012</v>
      </c>
      <c r="B133" s="16">
        <v>300200</v>
      </c>
      <c r="C133" s="16">
        <v>3</v>
      </c>
      <c r="D133" s="16" t="s">
        <v>98</v>
      </c>
      <c r="E133" s="16">
        <v>300200006</v>
      </c>
      <c r="F133" s="16" t="s">
        <v>99</v>
      </c>
      <c r="G133" s="17" t="s">
        <v>109</v>
      </c>
      <c r="H133" s="17">
        <v>12</v>
      </c>
      <c r="I133" s="24">
        <v>0</v>
      </c>
      <c r="J133" s="17">
        <v>-1</v>
      </c>
      <c r="K133" s="17">
        <v>0</v>
      </c>
      <c r="L133" s="3" t="s">
        <v>110</v>
      </c>
      <c r="M133" s="17">
        <v>0</v>
      </c>
      <c r="N133" s="21">
        <v>100000</v>
      </c>
      <c r="O133" s="26">
        <v>1980000</v>
      </c>
    </row>
    <row r="134" spans="1:15">
      <c r="A134" s="1">
        <f>B134*100+H134</f>
        <v>10010010</v>
      </c>
      <c r="B134" s="16">
        <v>100100</v>
      </c>
      <c r="C134" s="16">
        <v>1</v>
      </c>
      <c r="D134" s="16" t="s">
        <v>30</v>
      </c>
      <c r="E134" s="16">
        <v>100100026</v>
      </c>
      <c r="F134" s="16" t="s">
        <v>31</v>
      </c>
      <c r="G134" s="17" t="s">
        <v>106</v>
      </c>
      <c r="H134" s="17">
        <v>10</v>
      </c>
      <c r="I134" s="24">
        <v>0</v>
      </c>
      <c r="J134" s="17">
        <v>-1</v>
      </c>
      <c r="K134" s="17">
        <v>0</v>
      </c>
      <c r="L134" s="25" t="s">
        <v>107</v>
      </c>
      <c r="M134" s="17">
        <v>0</v>
      </c>
      <c r="N134">
        <v>1000</v>
      </c>
      <c r="O134" s="26">
        <v>1980000</v>
      </c>
    </row>
    <row r="135" spans="1:15">
      <c r="A135" s="1">
        <f>B135*100+H135</f>
        <v>10010011</v>
      </c>
      <c r="B135" s="16">
        <v>100100</v>
      </c>
      <c r="C135" s="16">
        <v>1</v>
      </c>
      <c r="D135" s="16" t="str">
        <f t="shared" ref="D135:D139" si="1">D134</f>
        <v>金礦大亨</v>
      </c>
      <c r="E135" s="16">
        <v>100100026</v>
      </c>
      <c r="F135" s="16" t="s">
        <v>31</v>
      </c>
      <c r="G135" s="17" t="s">
        <v>108</v>
      </c>
      <c r="H135" s="17">
        <v>11</v>
      </c>
      <c r="I135" s="24">
        <v>0</v>
      </c>
      <c r="J135" s="17">
        <v>-1</v>
      </c>
      <c r="K135" s="17">
        <v>0</v>
      </c>
      <c r="L135" s="25" t="s">
        <v>107</v>
      </c>
      <c r="M135" s="17">
        <v>0</v>
      </c>
      <c r="N135">
        <v>10000</v>
      </c>
      <c r="O135" s="26">
        <v>1980000</v>
      </c>
    </row>
    <row r="136" spans="1:15">
      <c r="A136" s="1">
        <f>B136*100+H136</f>
        <v>10010012</v>
      </c>
      <c r="B136" s="16">
        <v>100100</v>
      </c>
      <c r="C136" s="16">
        <v>1</v>
      </c>
      <c r="D136" s="16" t="str">
        <f t="shared" si="1"/>
        <v>金礦大亨</v>
      </c>
      <c r="E136" s="16">
        <v>100100026</v>
      </c>
      <c r="F136" s="16" t="s">
        <v>31</v>
      </c>
      <c r="G136" s="17" t="s">
        <v>109</v>
      </c>
      <c r="H136" s="17">
        <v>12</v>
      </c>
      <c r="I136" s="24">
        <v>0</v>
      </c>
      <c r="J136" s="17">
        <v>-1</v>
      </c>
      <c r="K136" s="17">
        <v>0</v>
      </c>
      <c r="L136" s="25" t="s">
        <v>107</v>
      </c>
      <c r="M136" s="17">
        <v>0</v>
      </c>
      <c r="N136">
        <v>100000</v>
      </c>
      <c r="O136" s="26">
        <v>1980000</v>
      </c>
    </row>
    <row r="137" spans="1:15">
      <c r="A137" s="1">
        <f t="shared" ref="A137:A178" si="2">B137*100+H137</f>
        <v>10030010</v>
      </c>
      <c r="B137" s="16">
        <v>100300</v>
      </c>
      <c r="C137" s="16">
        <v>1</v>
      </c>
      <c r="D137" s="16" t="s">
        <v>37</v>
      </c>
      <c r="E137" s="16">
        <v>100300001</v>
      </c>
      <c r="F137" s="16" t="s">
        <v>38</v>
      </c>
      <c r="G137" s="17" t="s">
        <v>106</v>
      </c>
      <c r="H137" s="17">
        <v>10</v>
      </c>
      <c r="I137" s="24">
        <v>0</v>
      </c>
      <c r="J137" s="17">
        <v>-1</v>
      </c>
      <c r="K137" s="17">
        <v>0</v>
      </c>
      <c r="L137" s="25" t="s">
        <v>107</v>
      </c>
      <c r="M137" s="17">
        <v>0</v>
      </c>
      <c r="N137">
        <v>1000</v>
      </c>
      <c r="O137" s="26">
        <v>1980000</v>
      </c>
    </row>
    <row r="138" spans="1:15">
      <c r="A138" s="1">
        <f t="shared" si="2"/>
        <v>10030011</v>
      </c>
      <c r="B138" s="16">
        <v>100300</v>
      </c>
      <c r="C138" s="16">
        <v>1</v>
      </c>
      <c r="D138" s="16" t="str">
        <f t="shared" si="1"/>
        <v>超级明星</v>
      </c>
      <c r="E138" s="16">
        <v>100300001</v>
      </c>
      <c r="F138" s="16" t="str">
        <f t="shared" ref="F138:F142" si="3">F137</f>
        <v>SuperStar</v>
      </c>
      <c r="G138" s="17" t="s">
        <v>108</v>
      </c>
      <c r="H138" s="17">
        <v>11</v>
      </c>
      <c r="I138" s="24">
        <v>0</v>
      </c>
      <c r="J138" s="17">
        <v>-1</v>
      </c>
      <c r="K138" s="17">
        <v>0</v>
      </c>
      <c r="L138" s="25" t="s">
        <v>107</v>
      </c>
      <c r="M138" s="17">
        <v>0</v>
      </c>
      <c r="N138">
        <v>10000</v>
      </c>
      <c r="O138" s="26">
        <v>1980000</v>
      </c>
    </row>
    <row r="139" spans="1:15">
      <c r="A139" s="1">
        <f t="shared" si="2"/>
        <v>10030012</v>
      </c>
      <c r="B139" s="16">
        <v>100300</v>
      </c>
      <c r="C139" s="16">
        <v>1</v>
      </c>
      <c r="D139" s="16" t="str">
        <f t="shared" si="1"/>
        <v>超级明星</v>
      </c>
      <c r="E139" s="16">
        <v>100300001</v>
      </c>
      <c r="F139" s="16" t="str">
        <f t="shared" si="3"/>
        <v>SuperStar</v>
      </c>
      <c r="G139" s="17" t="s">
        <v>109</v>
      </c>
      <c r="H139" s="17">
        <v>12</v>
      </c>
      <c r="I139" s="24">
        <v>0</v>
      </c>
      <c r="J139" s="17">
        <v>-1</v>
      </c>
      <c r="K139" s="17">
        <v>0</v>
      </c>
      <c r="L139" s="25" t="s">
        <v>107</v>
      </c>
      <c r="M139" s="17">
        <v>0</v>
      </c>
      <c r="N139">
        <v>100000</v>
      </c>
      <c r="O139" s="26">
        <v>1980000</v>
      </c>
    </row>
    <row r="140" spans="1:15">
      <c r="A140" s="1">
        <f t="shared" si="2"/>
        <v>10070010</v>
      </c>
      <c r="B140" s="16">
        <v>100700</v>
      </c>
      <c r="C140" s="16">
        <v>1</v>
      </c>
      <c r="D140" s="16" t="s">
        <v>39</v>
      </c>
      <c r="E140" s="16">
        <v>100700001</v>
      </c>
      <c r="F140" s="16" t="s">
        <v>40</v>
      </c>
      <c r="G140" s="17" t="s">
        <v>106</v>
      </c>
      <c r="H140" s="17">
        <v>10</v>
      </c>
      <c r="I140" s="24">
        <v>0</v>
      </c>
      <c r="J140" s="17">
        <v>-1</v>
      </c>
      <c r="K140" s="17">
        <v>0</v>
      </c>
      <c r="L140" s="25" t="s">
        <v>107</v>
      </c>
      <c r="M140" s="17">
        <v>0</v>
      </c>
      <c r="N140">
        <v>1000</v>
      </c>
      <c r="O140" s="26">
        <v>1980000</v>
      </c>
    </row>
    <row r="141" spans="1:15">
      <c r="A141" s="1">
        <f t="shared" si="2"/>
        <v>10070011</v>
      </c>
      <c r="B141" s="16">
        <v>100700</v>
      </c>
      <c r="C141" s="16">
        <v>1</v>
      </c>
      <c r="D141" s="16" t="str">
        <f t="shared" ref="D141:D145" si="4">D140</f>
        <v>麻将胡了</v>
      </c>
      <c r="E141" s="16">
        <v>100700001</v>
      </c>
      <c r="F141" s="16" t="str">
        <f t="shared" si="3"/>
        <v>MahjongWays</v>
      </c>
      <c r="G141" s="17" t="s">
        <v>108</v>
      </c>
      <c r="H141" s="17">
        <v>11</v>
      </c>
      <c r="I141" s="24">
        <v>0</v>
      </c>
      <c r="J141" s="17">
        <v>-1</v>
      </c>
      <c r="K141" s="17">
        <v>0</v>
      </c>
      <c r="L141" s="25" t="s">
        <v>107</v>
      </c>
      <c r="M141" s="17">
        <v>0</v>
      </c>
      <c r="N141">
        <v>10000</v>
      </c>
      <c r="O141" s="26">
        <v>1980000</v>
      </c>
    </row>
    <row r="142" spans="1:15">
      <c r="A142" s="1">
        <f t="shared" si="2"/>
        <v>10070012</v>
      </c>
      <c r="B142" s="16">
        <v>100700</v>
      </c>
      <c r="C142" s="16">
        <v>1</v>
      </c>
      <c r="D142" s="16" t="str">
        <f t="shared" si="4"/>
        <v>麻将胡了</v>
      </c>
      <c r="E142" s="16">
        <v>100700001</v>
      </c>
      <c r="F142" s="16" t="str">
        <f t="shared" si="3"/>
        <v>MahjongWays</v>
      </c>
      <c r="G142" s="17" t="s">
        <v>109</v>
      </c>
      <c r="H142" s="17">
        <v>12</v>
      </c>
      <c r="I142" s="24">
        <v>0</v>
      </c>
      <c r="J142" s="17">
        <v>-1</v>
      </c>
      <c r="K142" s="17">
        <v>0</v>
      </c>
      <c r="L142" s="25" t="s">
        <v>107</v>
      </c>
      <c r="M142" s="17">
        <v>0</v>
      </c>
      <c r="N142">
        <v>100000</v>
      </c>
      <c r="O142" s="26">
        <v>1980000</v>
      </c>
    </row>
    <row r="143" spans="1:15">
      <c r="A143" s="1">
        <f t="shared" si="2"/>
        <v>10120010</v>
      </c>
      <c r="B143" s="16">
        <v>101200</v>
      </c>
      <c r="C143" s="16">
        <v>1</v>
      </c>
      <c r="D143" s="16" t="s">
        <v>41</v>
      </c>
      <c r="E143" s="16">
        <v>101200001</v>
      </c>
      <c r="F143" s="16" t="s">
        <v>42</v>
      </c>
      <c r="G143" s="17" t="s">
        <v>106</v>
      </c>
      <c r="H143" s="17">
        <v>10</v>
      </c>
      <c r="I143" s="24">
        <v>0</v>
      </c>
      <c r="J143" s="17">
        <v>-1</v>
      </c>
      <c r="K143" s="17">
        <v>0</v>
      </c>
      <c r="L143" s="25" t="s">
        <v>107</v>
      </c>
      <c r="M143" s="17">
        <v>0</v>
      </c>
      <c r="N143">
        <v>1000</v>
      </c>
      <c r="O143" s="26">
        <v>1980000</v>
      </c>
    </row>
    <row r="144" spans="1:15">
      <c r="A144" s="1">
        <f t="shared" si="2"/>
        <v>10120011</v>
      </c>
      <c r="B144" s="16">
        <v>101200</v>
      </c>
      <c r="C144" s="16">
        <v>1</v>
      </c>
      <c r="D144" s="16" t="str">
        <f t="shared" si="4"/>
        <v>财神</v>
      </c>
      <c r="E144" s="16">
        <v>101200001</v>
      </c>
      <c r="F144" s="16" t="str">
        <f t="shared" ref="F144:F148" si="5">F143</f>
        <v>Godofwealth</v>
      </c>
      <c r="G144" s="17" t="s">
        <v>108</v>
      </c>
      <c r="H144" s="17">
        <v>11</v>
      </c>
      <c r="I144" s="24">
        <v>0</v>
      </c>
      <c r="J144" s="17">
        <v>-1</v>
      </c>
      <c r="K144" s="17">
        <v>0</v>
      </c>
      <c r="L144" s="25" t="s">
        <v>107</v>
      </c>
      <c r="M144" s="17">
        <v>0</v>
      </c>
      <c r="N144">
        <v>10000</v>
      </c>
      <c r="O144" s="26">
        <v>1980000</v>
      </c>
    </row>
    <row r="145" spans="1:15">
      <c r="A145" s="1">
        <f t="shared" si="2"/>
        <v>10120012</v>
      </c>
      <c r="B145" s="16">
        <v>101200</v>
      </c>
      <c r="C145" s="16">
        <v>1</v>
      </c>
      <c r="D145" s="16" t="str">
        <f t="shared" si="4"/>
        <v>财神</v>
      </c>
      <c r="E145" s="16">
        <v>101200001</v>
      </c>
      <c r="F145" s="16" t="str">
        <f t="shared" si="5"/>
        <v>Godofwealth</v>
      </c>
      <c r="G145" s="17" t="s">
        <v>109</v>
      </c>
      <c r="H145" s="17">
        <v>12</v>
      </c>
      <c r="I145" s="24">
        <v>0</v>
      </c>
      <c r="J145" s="17">
        <v>-1</v>
      </c>
      <c r="K145" s="17">
        <v>0</v>
      </c>
      <c r="L145" s="25" t="s">
        <v>107</v>
      </c>
      <c r="M145" s="17">
        <v>0</v>
      </c>
      <c r="N145">
        <v>100000</v>
      </c>
      <c r="O145" s="26">
        <v>1980000</v>
      </c>
    </row>
    <row r="146" spans="1:15">
      <c r="A146" s="1">
        <f t="shared" si="2"/>
        <v>10140010</v>
      </c>
      <c r="B146" s="16">
        <v>101400</v>
      </c>
      <c r="C146" s="16">
        <v>1</v>
      </c>
      <c r="D146" s="16" t="s">
        <v>43</v>
      </c>
      <c r="E146" s="16">
        <v>101400001</v>
      </c>
      <c r="F146" s="16" t="s">
        <v>44</v>
      </c>
      <c r="G146" s="17" t="s">
        <v>106</v>
      </c>
      <c r="H146" s="17">
        <v>10</v>
      </c>
      <c r="I146" s="24">
        <v>0</v>
      </c>
      <c r="J146" s="17">
        <v>-1</v>
      </c>
      <c r="K146" s="17">
        <v>0</v>
      </c>
      <c r="L146" s="25" t="s">
        <v>107</v>
      </c>
      <c r="M146" s="17">
        <v>0</v>
      </c>
      <c r="N146">
        <v>1000</v>
      </c>
      <c r="O146" s="26">
        <v>1980000</v>
      </c>
    </row>
    <row r="147" spans="1:15">
      <c r="A147" s="1">
        <f t="shared" si="2"/>
        <v>10140011</v>
      </c>
      <c r="B147" s="16">
        <v>101400</v>
      </c>
      <c r="C147" s="16">
        <v>1</v>
      </c>
      <c r="D147" s="16" t="str">
        <f t="shared" ref="D147:D151" si="6">D146</f>
        <v>埃及艳后</v>
      </c>
      <c r="E147" s="16">
        <v>101400001</v>
      </c>
      <c r="F147" s="16" t="str">
        <f t="shared" si="5"/>
        <v>Cleopatra</v>
      </c>
      <c r="G147" s="17" t="s">
        <v>108</v>
      </c>
      <c r="H147" s="17">
        <v>11</v>
      </c>
      <c r="I147" s="24">
        <v>0</v>
      </c>
      <c r="J147" s="17">
        <v>-1</v>
      </c>
      <c r="K147" s="17">
        <v>0</v>
      </c>
      <c r="L147" s="25" t="s">
        <v>107</v>
      </c>
      <c r="M147" s="17">
        <v>0</v>
      </c>
      <c r="N147">
        <v>10000</v>
      </c>
      <c r="O147" s="26">
        <v>1980000</v>
      </c>
    </row>
    <row r="148" spans="1:15">
      <c r="A148" s="1">
        <f t="shared" si="2"/>
        <v>10140012</v>
      </c>
      <c r="B148" s="16">
        <v>101400</v>
      </c>
      <c r="C148" s="16">
        <v>1</v>
      </c>
      <c r="D148" s="16" t="str">
        <f t="shared" si="6"/>
        <v>埃及艳后</v>
      </c>
      <c r="E148" s="16">
        <v>101400001</v>
      </c>
      <c r="F148" s="16" t="str">
        <f t="shared" si="5"/>
        <v>Cleopatra</v>
      </c>
      <c r="G148" s="17" t="s">
        <v>109</v>
      </c>
      <c r="H148" s="17">
        <v>12</v>
      </c>
      <c r="I148" s="24">
        <v>0</v>
      </c>
      <c r="J148" s="17">
        <v>-1</v>
      </c>
      <c r="K148" s="17">
        <v>0</v>
      </c>
      <c r="L148" s="25" t="s">
        <v>107</v>
      </c>
      <c r="M148" s="17">
        <v>0</v>
      </c>
      <c r="N148">
        <v>100000</v>
      </c>
      <c r="O148" s="26">
        <v>1980000</v>
      </c>
    </row>
    <row r="149" spans="1:15">
      <c r="A149" s="1">
        <f t="shared" si="2"/>
        <v>10240010</v>
      </c>
      <c r="B149" s="16">
        <v>102400</v>
      </c>
      <c r="C149" s="16">
        <v>1</v>
      </c>
      <c r="D149" s="16" t="s">
        <v>45</v>
      </c>
      <c r="E149" s="16">
        <v>102400026</v>
      </c>
      <c r="F149" s="16" t="s">
        <v>46</v>
      </c>
      <c r="G149" s="17" t="s">
        <v>106</v>
      </c>
      <c r="H149" s="17">
        <v>10</v>
      </c>
      <c r="I149" s="24">
        <v>0</v>
      </c>
      <c r="J149" s="17">
        <v>-1</v>
      </c>
      <c r="K149" s="17">
        <v>0</v>
      </c>
      <c r="L149" s="25" t="s">
        <v>107</v>
      </c>
      <c r="M149" s="17">
        <v>0</v>
      </c>
      <c r="N149">
        <v>1000</v>
      </c>
      <c r="O149" s="26">
        <v>1980000</v>
      </c>
    </row>
    <row r="150" spans="1:15">
      <c r="A150" s="1">
        <f t="shared" si="2"/>
        <v>10240011</v>
      </c>
      <c r="B150" s="16">
        <v>102400</v>
      </c>
      <c r="C150" s="16">
        <v>1</v>
      </c>
      <c r="D150" s="16" t="str">
        <f t="shared" si="6"/>
        <v>财富银行</v>
      </c>
      <c r="E150" s="16">
        <v>102400026</v>
      </c>
      <c r="F150" s="16" t="s">
        <v>46</v>
      </c>
      <c r="G150" s="17" t="s">
        <v>108</v>
      </c>
      <c r="H150" s="17">
        <v>11</v>
      </c>
      <c r="I150" s="24">
        <v>0</v>
      </c>
      <c r="J150" s="17">
        <v>-1</v>
      </c>
      <c r="K150" s="17">
        <v>0</v>
      </c>
      <c r="L150" s="25" t="s">
        <v>107</v>
      </c>
      <c r="M150" s="17">
        <v>0</v>
      </c>
      <c r="N150">
        <v>10000</v>
      </c>
      <c r="O150" s="26">
        <v>1980000</v>
      </c>
    </row>
    <row r="151" spans="1:15">
      <c r="A151" s="1">
        <f t="shared" si="2"/>
        <v>10240012</v>
      </c>
      <c r="B151" s="16">
        <v>102400</v>
      </c>
      <c r="C151" s="16">
        <v>1</v>
      </c>
      <c r="D151" s="16" t="str">
        <f t="shared" si="6"/>
        <v>财富银行</v>
      </c>
      <c r="E151" s="16">
        <v>102400026</v>
      </c>
      <c r="F151" s="16" t="s">
        <v>46</v>
      </c>
      <c r="G151" s="17" t="s">
        <v>109</v>
      </c>
      <c r="H151" s="17">
        <v>12</v>
      </c>
      <c r="I151" s="24">
        <v>0</v>
      </c>
      <c r="J151" s="17">
        <v>-1</v>
      </c>
      <c r="K151" s="17">
        <v>0</v>
      </c>
      <c r="L151" s="25" t="s">
        <v>107</v>
      </c>
      <c r="M151" s="17">
        <v>0</v>
      </c>
      <c r="N151">
        <v>100000</v>
      </c>
      <c r="O151" s="26">
        <v>1980000</v>
      </c>
    </row>
    <row r="152" spans="1:15">
      <c r="A152" s="1">
        <f t="shared" si="2"/>
        <v>10220010</v>
      </c>
      <c r="B152" s="16">
        <v>102200</v>
      </c>
      <c r="C152" s="16">
        <v>1</v>
      </c>
      <c r="D152" s="16" t="s">
        <v>47</v>
      </c>
      <c r="E152" s="16">
        <v>102200001</v>
      </c>
      <c r="F152" s="16" t="s">
        <v>48</v>
      </c>
      <c r="G152" s="17" t="s">
        <v>106</v>
      </c>
      <c r="H152" s="17">
        <v>10</v>
      </c>
      <c r="I152" s="24">
        <v>0</v>
      </c>
      <c r="J152" s="17">
        <v>-1</v>
      </c>
      <c r="K152" s="17">
        <v>0</v>
      </c>
      <c r="L152" s="25" t="s">
        <v>107</v>
      </c>
      <c r="M152" s="17">
        <v>0</v>
      </c>
      <c r="N152">
        <v>1000</v>
      </c>
      <c r="O152" s="26">
        <v>1980000</v>
      </c>
    </row>
    <row r="153" spans="1:15">
      <c r="A153" s="1">
        <f t="shared" si="2"/>
        <v>10220011</v>
      </c>
      <c r="B153" s="16">
        <v>102200</v>
      </c>
      <c r="C153" s="16">
        <v>1</v>
      </c>
      <c r="D153" s="16" t="s">
        <v>47</v>
      </c>
      <c r="E153" s="16">
        <v>102200001</v>
      </c>
      <c r="F153" s="16" t="s">
        <v>48</v>
      </c>
      <c r="G153" s="17" t="s">
        <v>108</v>
      </c>
      <c r="H153" s="17">
        <v>11</v>
      </c>
      <c r="I153" s="24">
        <v>0</v>
      </c>
      <c r="J153" s="17">
        <v>-1</v>
      </c>
      <c r="K153" s="17">
        <v>0</v>
      </c>
      <c r="L153" s="25" t="s">
        <v>107</v>
      </c>
      <c r="M153" s="17">
        <v>0</v>
      </c>
      <c r="N153">
        <v>10000</v>
      </c>
      <c r="O153" s="26">
        <v>1980000</v>
      </c>
    </row>
    <row r="154" spans="1:15">
      <c r="A154" s="1">
        <f t="shared" si="2"/>
        <v>10220012</v>
      </c>
      <c r="B154" s="16">
        <v>102200</v>
      </c>
      <c r="C154" s="16">
        <v>1</v>
      </c>
      <c r="D154" s="16" t="s">
        <v>47</v>
      </c>
      <c r="E154" s="16">
        <v>102200001</v>
      </c>
      <c r="F154" s="16" t="s">
        <v>48</v>
      </c>
      <c r="G154" s="17" t="s">
        <v>109</v>
      </c>
      <c r="H154" s="17">
        <v>12</v>
      </c>
      <c r="I154" s="24">
        <v>0</v>
      </c>
      <c r="J154" s="17">
        <v>-1</v>
      </c>
      <c r="K154" s="17">
        <v>0</v>
      </c>
      <c r="L154" s="25" t="s">
        <v>107</v>
      </c>
      <c r="M154" s="17">
        <v>0</v>
      </c>
      <c r="N154">
        <v>100000</v>
      </c>
      <c r="O154" s="26">
        <v>1980000</v>
      </c>
    </row>
    <row r="155" spans="1:15">
      <c r="A155" s="1">
        <f t="shared" si="2"/>
        <v>10170010</v>
      </c>
      <c r="B155" s="16">
        <v>101700</v>
      </c>
      <c r="C155" s="16">
        <v>1</v>
      </c>
      <c r="D155" s="16" t="s">
        <v>49</v>
      </c>
      <c r="E155" s="16">
        <v>101700001</v>
      </c>
      <c r="F155" s="16" t="s">
        <v>50</v>
      </c>
      <c r="G155" s="17" t="s">
        <v>106</v>
      </c>
      <c r="H155" s="17">
        <v>10</v>
      </c>
      <c r="I155" s="24">
        <v>0</v>
      </c>
      <c r="J155" s="17">
        <v>-1</v>
      </c>
      <c r="K155" s="17">
        <v>0</v>
      </c>
      <c r="L155" s="25" t="s">
        <v>107</v>
      </c>
      <c r="M155" s="17">
        <v>0</v>
      </c>
      <c r="N155">
        <v>1000</v>
      </c>
      <c r="O155" s="26">
        <v>1980000</v>
      </c>
    </row>
    <row r="156" spans="1:15">
      <c r="A156" s="1">
        <f t="shared" si="2"/>
        <v>10170011</v>
      </c>
      <c r="B156" s="16">
        <v>101700</v>
      </c>
      <c r="C156" s="16">
        <v>1</v>
      </c>
      <c r="D156" s="16" t="s">
        <v>49</v>
      </c>
      <c r="E156" s="16">
        <v>101700001</v>
      </c>
      <c r="F156" s="16" t="s">
        <v>50</v>
      </c>
      <c r="G156" s="17" t="s">
        <v>108</v>
      </c>
      <c r="H156" s="17">
        <v>11</v>
      </c>
      <c r="I156" s="24">
        <v>0</v>
      </c>
      <c r="J156" s="17">
        <v>-1</v>
      </c>
      <c r="K156" s="17">
        <v>0</v>
      </c>
      <c r="L156" s="25" t="s">
        <v>107</v>
      </c>
      <c r="M156" s="17">
        <v>0</v>
      </c>
      <c r="N156">
        <v>10000</v>
      </c>
      <c r="O156" s="26">
        <v>1980000</v>
      </c>
    </row>
    <row r="157" spans="1:15">
      <c r="A157" s="1">
        <f t="shared" si="2"/>
        <v>10170012</v>
      </c>
      <c r="B157" s="16">
        <v>101700</v>
      </c>
      <c r="C157" s="16">
        <v>1</v>
      </c>
      <c r="D157" s="16" t="s">
        <v>49</v>
      </c>
      <c r="E157" s="16">
        <v>101700001</v>
      </c>
      <c r="F157" s="16" t="s">
        <v>50</v>
      </c>
      <c r="G157" s="17" t="s">
        <v>109</v>
      </c>
      <c r="H157" s="17">
        <v>12</v>
      </c>
      <c r="I157" s="24">
        <v>0</v>
      </c>
      <c r="J157" s="17">
        <v>-1</v>
      </c>
      <c r="K157" s="17">
        <v>0</v>
      </c>
      <c r="L157" s="25" t="s">
        <v>107</v>
      </c>
      <c r="M157" s="17">
        <v>0</v>
      </c>
      <c r="N157">
        <v>100000</v>
      </c>
      <c r="O157" s="26">
        <v>1980000</v>
      </c>
    </row>
    <row r="158" spans="1:15">
      <c r="A158" s="1">
        <f t="shared" si="2"/>
        <v>10210010</v>
      </c>
      <c r="B158" s="16">
        <v>102100</v>
      </c>
      <c r="C158" s="16">
        <v>1</v>
      </c>
      <c r="D158" s="16" t="s">
        <v>51</v>
      </c>
      <c r="E158" s="16">
        <v>102100001</v>
      </c>
      <c r="F158" s="16" t="s">
        <v>52</v>
      </c>
      <c r="G158" s="17" t="s">
        <v>106</v>
      </c>
      <c r="H158" s="17">
        <v>10</v>
      </c>
      <c r="I158" s="24">
        <v>0</v>
      </c>
      <c r="J158" s="17">
        <v>-1</v>
      </c>
      <c r="K158" s="17">
        <v>0</v>
      </c>
      <c r="L158" s="25" t="s">
        <v>107</v>
      </c>
      <c r="M158" s="17">
        <v>0</v>
      </c>
      <c r="N158">
        <v>1000</v>
      </c>
      <c r="O158" s="26">
        <v>1980000</v>
      </c>
    </row>
    <row r="159" spans="1:15">
      <c r="A159" s="1">
        <f t="shared" si="2"/>
        <v>10210011</v>
      </c>
      <c r="B159" s="16">
        <v>102100</v>
      </c>
      <c r="C159" s="16">
        <v>1</v>
      </c>
      <c r="D159" s="16" t="s">
        <v>51</v>
      </c>
      <c r="E159" s="16">
        <v>102100001</v>
      </c>
      <c r="F159" s="16" t="s">
        <v>52</v>
      </c>
      <c r="G159" s="17" t="s">
        <v>108</v>
      </c>
      <c r="H159" s="17">
        <v>11</v>
      </c>
      <c r="I159" s="24">
        <v>0</v>
      </c>
      <c r="J159" s="17">
        <v>-1</v>
      </c>
      <c r="K159" s="17">
        <v>0</v>
      </c>
      <c r="L159" s="25" t="s">
        <v>107</v>
      </c>
      <c r="M159" s="17">
        <v>0</v>
      </c>
      <c r="N159">
        <v>10000</v>
      </c>
      <c r="O159" s="26">
        <v>1980000</v>
      </c>
    </row>
    <row r="160" spans="1:15">
      <c r="A160" s="1">
        <f t="shared" si="2"/>
        <v>10210012</v>
      </c>
      <c r="B160" s="16">
        <v>102100</v>
      </c>
      <c r="C160" s="16">
        <v>1</v>
      </c>
      <c r="D160" s="16" t="s">
        <v>51</v>
      </c>
      <c r="E160" s="16">
        <v>102100001</v>
      </c>
      <c r="F160" s="16" t="s">
        <v>52</v>
      </c>
      <c r="G160" s="17" t="s">
        <v>109</v>
      </c>
      <c r="H160" s="17">
        <v>12</v>
      </c>
      <c r="I160" s="24">
        <v>0</v>
      </c>
      <c r="J160" s="17">
        <v>-1</v>
      </c>
      <c r="K160" s="17">
        <v>0</v>
      </c>
      <c r="L160" s="25" t="s">
        <v>107</v>
      </c>
      <c r="M160" s="17">
        <v>0</v>
      </c>
      <c r="N160">
        <v>100000</v>
      </c>
      <c r="O160" s="26">
        <v>1980000</v>
      </c>
    </row>
    <row r="161" spans="1:15">
      <c r="A161" s="1">
        <f t="shared" si="2"/>
        <v>10180010</v>
      </c>
      <c r="B161" s="16">
        <v>101800</v>
      </c>
      <c r="C161" s="16">
        <v>1</v>
      </c>
      <c r="D161" s="16" t="s">
        <v>53</v>
      </c>
      <c r="E161" s="16">
        <v>101800001</v>
      </c>
      <c r="F161" s="16" t="s">
        <v>54</v>
      </c>
      <c r="G161" s="17" t="s">
        <v>106</v>
      </c>
      <c r="H161" s="17">
        <v>10</v>
      </c>
      <c r="I161" s="24">
        <v>0</v>
      </c>
      <c r="J161" s="17">
        <v>-1</v>
      </c>
      <c r="K161" s="17">
        <v>0</v>
      </c>
      <c r="L161" s="25" t="s">
        <v>107</v>
      </c>
      <c r="M161" s="17">
        <v>0</v>
      </c>
      <c r="N161">
        <v>1000</v>
      </c>
      <c r="O161" s="26">
        <v>1980000</v>
      </c>
    </row>
    <row r="162" spans="1:15">
      <c r="A162" s="1">
        <f t="shared" si="2"/>
        <v>10180011</v>
      </c>
      <c r="B162" s="16">
        <v>101800</v>
      </c>
      <c r="C162" s="16">
        <v>1</v>
      </c>
      <c r="D162" s="16" t="s">
        <v>53</v>
      </c>
      <c r="E162" s="16">
        <v>101800001</v>
      </c>
      <c r="F162" s="16" t="s">
        <v>54</v>
      </c>
      <c r="G162" s="17" t="s">
        <v>108</v>
      </c>
      <c r="H162" s="17">
        <v>11</v>
      </c>
      <c r="I162" s="24">
        <v>0</v>
      </c>
      <c r="J162" s="17">
        <v>-1</v>
      </c>
      <c r="K162" s="17">
        <v>0</v>
      </c>
      <c r="L162" s="25" t="s">
        <v>107</v>
      </c>
      <c r="M162" s="17">
        <v>0</v>
      </c>
      <c r="N162">
        <v>10000</v>
      </c>
      <c r="O162" s="26">
        <v>1980000</v>
      </c>
    </row>
    <row r="163" spans="1:15">
      <c r="A163" s="1">
        <f t="shared" si="2"/>
        <v>10180012</v>
      </c>
      <c r="B163" s="16">
        <v>101800</v>
      </c>
      <c r="C163" s="16">
        <v>1</v>
      </c>
      <c r="D163" s="16" t="s">
        <v>53</v>
      </c>
      <c r="E163" s="16">
        <v>101800001</v>
      </c>
      <c r="F163" s="16" t="s">
        <v>54</v>
      </c>
      <c r="G163" s="17" t="s">
        <v>109</v>
      </c>
      <c r="H163" s="17">
        <v>12</v>
      </c>
      <c r="I163" s="24">
        <v>0</v>
      </c>
      <c r="J163" s="17">
        <v>-1</v>
      </c>
      <c r="K163" s="17">
        <v>0</v>
      </c>
      <c r="L163" s="25" t="s">
        <v>107</v>
      </c>
      <c r="M163" s="17">
        <v>0</v>
      </c>
      <c r="N163">
        <v>100000</v>
      </c>
      <c r="O163" s="26">
        <v>1980000</v>
      </c>
    </row>
    <row r="164" spans="1:15">
      <c r="A164" s="1">
        <f t="shared" si="2"/>
        <v>10250010</v>
      </c>
      <c r="B164" s="16">
        <v>102500</v>
      </c>
      <c r="C164" s="16">
        <v>1</v>
      </c>
      <c r="D164" s="16" t="s">
        <v>55</v>
      </c>
      <c r="E164" s="16">
        <v>102500001</v>
      </c>
      <c r="F164" s="16" t="s">
        <v>56</v>
      </c>
      <c r="G164" s="17" t="s">
        <v>106</v>
      </c>
      <c r="H164" s="17">
        <v>10</v>
      </c>
      <c r="I164" s="24">
        <v>0</v>
      </c>
      <c r="J164" s="17">
        <v>-1</v>
      </c>
      <c r="K164" s="17">
        <v>0</v>
      </c>
      <c r="L164" s="25" t="s">
        <v>107</v>
      </c>
      <c r="M164" s="17">
        <v>0</v>
      </c>
      <c r="N164">
        <v>1000</v>
      </c>
      <c r="O164" s="26">
        <v>1980000</v>
      </c>
    </row>
    <row r="165" spans="1:15">
      <c r="A165" s="1">
        <f t="shared" si="2"/>
        <v>10250011</v>
      </c>
      <c r="B165" s="16">
        <v>102500</v>
      </c>
      <c r="C165" s="16">
        <v>1</v>
      </c>
      <c r="D165" s="16" t="s">
        <v>55</v>
      </c>
      <c r="E165" s="16">
        <v>102500001</v>
      </c>
      <c r="F165" s="16" t="s">
        <v>56</v>
      </c>
      <c r="G165" s="17" t="s">
        <v>108</v>
      </c>
      <c r="H165" s="17">
        <v>11</v>
      </c>
      <c r="I165" s="24">
        <v>0</v>
      </c>
      <c r="J165" s="17">
        <v>-1</v>
      </c>
      <c r="K165" s="17">
        <v>0</v>
      </c>
      <c r="L165" s="25" t="s">
        <v>107</v>
      </c>
      <c r="M165" s="17">
        <v>0</v>
      </c>
      <c r="N165">
        <v>10000</v>
      </c>
      <c r="O165" s="26">
        <v>1980000</v>
      </c>
    </row>
    <row r="166" spans="1:15">
      <c r="A166" s="1">
        <f t="shared" si="2"/>
        <v>10250012</v>
      </c>
      <c r="B166" s="16">
        <v>102500</v>
      </c>
      <c r="C166" s="16">
        <v>1</v>
      </c>
      <c r="D166" s="16" t="s">
        <v>55</v>
      </c>
      <c r="E166" s="16">
        <v>102500001</v>
      </c>
      <c r="F166" s="16" t="s">
        <v>56</v>
      </c>
      <c r="G166" s="17" t="s">
        <v>109</v>
      </c>
      <c r="H166" s="17">
        <v>12</v>
      </c>
      <c r="I166" s="24">
        <v>0</v>
      </c>
      <c r="J166" s="17">
        <v>-1</v>
      </c>
      <c r="K166" s="17">
        <v>0</v>
      </c>
      <c r="L166" s="25" t="s">
        <v>107</v>
      </c>
      <c r="M166" s="17">
        <v>0</v>
      </c>
      <c r="N166">
        <v>100000</v>
      </c>
      <c r="O166" s="26">
        <v>1980000</v>
      </c>
    </row>
    <row r="167" spans="1:15">
      <c r="A167" s="1">
        <f t="shared" si="2"/>
        <v>10230010</v>
      </c>
      <c r="B167" s="16">
        <v>102300</v>
      </c>
      <c r="C167" s="16">
        <v>1</v>
      </c>
      <c r="D167" s="16" t="s">
        <v>57</v>
      </c>
      <c r="E167" s="16">
        <v>102300001</v>
      </c>
      <c r="F167" s="16" t="s">
        <v>58</v>
      </c>
      <c r="G167" s="17" t="s">
        <v>106</v>
      </c>
      <c r="H167" s="17">
        <v>10</v>
      </c>
      <c r="I167" s="24">
        <v>0</v>
      </c>
      <c r="J167" s="17">
        <v>-1</v>
      </c>
      <c r="K167" s="17">
        <v>0</v>
      </c>
      <c r="L167" s="25" t="s">
        <v>107</v>
      </c>
      <c r="M167" s="17">
        <v>0</v>
      </c>
      <c r="N167">
        <v>1000</v>
      </c>
      <c r="O167" s="26">
        <v>1980000</v>
      </c>
    </row>
    <row r="168" spans="1:15">
      <c r="A168" s="1">
        <f t="shared" si="2"/>
        <v>10230011</v>
      </c>
      <c r="B168" s="16">
        <v>102300</v>
      </c>
      <c r="C168" s="16">
        <v>1</v>
      </c>
      <c r="D168" s="16" t="s">
        <v>57</v>
      </c>
      <c r="E168" s="16">
        <v>102300001</v>
      </c>
      <c r="F168" s="16" t="s">
        <v>58</v>
      </c>
      <c r="G168" s="17" t="s">
        <v>108</v>
      </c>
      <c r="H168" s="17">
        <v>11</v>
      </c>
      <c r="I168" s="24">
        <v>0</v>
      </c>
      <c r="J168" s="17">
        <v>-1</v>
      </c>
      <c r="K168" s="17">
        <v>0</v>
      </c>
      <c r="L168" s="25" t="s">
        <v>107</v>
      </c>
      <c r="M168" s="17">
        <v>0</v>
      </c>
      <c r="N168">
        <v>10000</v>
      </c>
      <c r="O168" s="26">
        <v>1980000</v>
      </c>
    </row>
    <row r="169" spans="1:15">
      <c r="A169" s="1">
        <f t="shared" si="2"/>
        <v>10230012</v>
      </c>
      <c r="B169" s="16">
        <v>102300</v>
      </c>
      <c r="C169" s="16">
        <v>1</v>
      </c>
      <c r="D169" s="16" t="s">
        <v>57</v>
      </c>
      <c r="E169" s="16">
        <v>102300001</v>
      </c>
      <c r="F169" s="16" t="s">
        <v>58</v>
      </c>
      <c r="G169" s="17" t="s">
        <v>109</v>
      </c>
      <c r="H169" s="17">
        <v>12</v>
      </c>
      <c r="I169" s="24">
        <v>0</v>
      </c>
      <c r="J169" s="17">
        <v>-1</v>
      </c>
      <c r="K169" s="17">
        <v>0</v>
      </c>
      <c r="L169" s="25" t="s">
        <v>107</v>
      </c>
      <c r="M169" s="17">
        <v>0</v>
      </c>
      <c r="N169">
        <v>100000</v>
      </c>
      <c r="O169" s="26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7" t="s">
        <v>106</v>
      </c>
      <c r="H170" s="1">
        <v>10</v>
      </c>
      <c r="I170" s="2">
        <v>0</v>
      </c>
      <c r="J170" s="17">
        <v>-1</v>
      </c>
      <c r="K170" s="17">
        <v>0</v>
      </c>
      <c r="L170" s="25" t="s">
        <v>107</v>
      </c>
      <c r="M170" s="17">
        <v>0</v>
      </c>
      <c r="N170">
        <v>1000</v>
      </c>
      <c r="O170" s="26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7" t="s">
        <v>108</v>
      </c>
      <c r="H171" s="1">
        <v>11</v>
      </c>
      <c r="I171" s="2">
        <v>0</v>
      </c>
      <c r="J171" s="17">
        <v>-1</v>
      </c>
      <c r="K171" s="17">
        <v>0</v>
      </c>
      <c r="L171" s="25" t="s">
        <v>107</v>
      </c>
      <c r="M171" s="17">
        <v>0</v>
      </c>
      <c r="N171">
        <v>10000</v>
      </c>
      <c r="O171" s="26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7" t="s">
        <v>109</v>
      </c>
      <c r="H172" s="1">
        <v>12</v>
      </c>
      <c r="I172" s="2">
        <v>0</v>
      </c>
      <c r="J172" s="17">
        <v>-1</v>
      </c>
      <c r="K172" s="17">
        <v>0</v>
      </c>
      <c r="L172" s="25" t="s">
        <v>107</v>
      </c>
      <c r="M172" s="17">
        <v>0</v>
      </c>
      <c r="N172">
        <v>100000</v>
      </c>
      <c r="O172" s="26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7" t="s">
        <v>106</v>
      </c>
      <c r="H173" s="1">
        <v>10</v>
      </c>
      <c r="I173" s="2">
        <v>0</v>
      </c>
      <c r="J173" s="17">
        <v>-1</v>
      </c>
      <c r="K173" s="17">
        <v>0</v>
      </c>
      <c r="L173" s="25" t="s">
        <v>107</v>
      </c>
      <c r="M173" s="17">
        <v>0</v>
      </c>
      <c r="N173">
        <v>1000</v>
      </c>
      <c r="O173" s="26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7" t="s">
        <v>108</v>
      </c>
      <c r="H174" s="1">
        <v>11</v>
      </c>
      <c r="I174" s="2">
        <v>0</v>
      </c>
      <c r="J174" s="17">
        <v>-1</v>
      </c>
      <c r="K174" s="17">
        <v>0</v>
      </c>
      <c r="L174" s="25" t="s">
        <v>107</v>
      </c>
      <c r="M174" s="17">
        <v>0</v>
      </c>
      <c r="N174">
        <v>10000</v>
      </c>
      <c r="O174" s="26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7" t="s">
        <v>109</v>
      </c>
      <c r="H175" s="1">
        <v>12</v>
      </c>
      <c r="I175" s="2">
        <v>0</v>
      </c>
      <c r="J175" s="17">
        <v>-1</v>
      </c>
      <c r="K175" s="17">
        <v>0</v>
      </c>
      <c r="L175" s="25" t="s">
        <v>107</v>
      </c>
      <c r="M175" s="17">
        <v>0</v>
      </c>
      <c r="N175">
        <v>100000</v>
      </c>
      <c r="O175" s="26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7" t="s">
        <v>106</v>
      </c>
      <c r="H176" s="1">
        <v>10</v>
      </c>
      <c r="I176" s="2">
        <v>0</v>
      </c>
      <c r="J176" s="17">
        <v>-1</v>
      </c>
      <c r="K176" s="1">
        <v>0</v>
      </c>
      <c r="L176" s="25" t="s">
        <v>107</v>
      </c>
      <c r="M176" s="17">
        <v>0</v>
      </c>
      <c r="N176">
        <v>1000</v>
      </c>
      <c r="O176" s="26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7" t="s">
        <v>108</v>
      </c>
      <c r="H177" s="1">
        <v>11</v>
      </c>
      <c r="I177" s="2">
        <v>0</v>
      </c>
      <c r="J177" s="17">
        <v>-1</v>
      </c>
      <c r="K177" s="1">
        <v>0</v>
      </c>
      <c r="L177" s="25" t="s">
        <v>107</v>
      </c>
      <c r="M177" s="17">
        <v>0</v>
      </c>
      <c r="N177">
        <v>10000</v>
      </c>
      <c r="O177" s="26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7" t="s">
        <v>109</v>
      </c>
      <c r="H178" s="1">
        <v>12</v>
      </c>
      <c r="I178" s="2">
        <v>0</v>
      </c>
      <c r="J178" s="17">
        <v>-1</v>
      </c>
      <c r="K178" s="1">
        <v>0</v>
      </c>
      <c r="L178" s="25" t="s">
        <v>107</v>
      </c>
      <c r="M178" s="17">
        <v>0</v>
      </c>
      <c r="N178">
        <v>100000</v>
      </c>
      <c r="O178" s="26">
        <v>1980000</v>
      </c>
    </row>
    <row r="179" spans="1:15">
      <c r="A179" s="1">
        <v>30040010</v>
      </c>
      <c r="B179" s="4">
        <v>300400</v>
      </c>
      <c r="C179" s="4">
        <v>3</v>
      </c>
      <c r="D179" s="4" t="s">
        <v>101</v>
      </c>
      <c r="E179" s="13">
        <v>300400023</v>
      </c>
      <c r="F179" s="13" t="s">
        <v>102</v>
      </c>
      <c r="G179" s="17" t="s">
        <v>106</v>
      </c>
      <c r="H179" s="1">
        <v>10</v>
      </c>
      <c r="I179" s="23">
        <f t="shared" ref="I179:I181" si="7">N179*52</f>
        <v>5200</v>
      </c>
      <c r="J179" s="1">
        <v>-1</v>
      </c>
      <c r="K179" s="1">
        <v>0</v>
      </c>
      <c r="L179" s="3" t="s">
        <v>111</v>
      </c>
      <c r="M179" s="17">
        <v>0</v>
      </c>
      <c r="N179" s="23">
        <v>100</v>
      </c>
      <c r="O179" s="26">
        <v>1980000</v>
      </c>
    </row>
    <row r="180" spans="1:15">
      <c r="A180" s="1">
        <v>30040011</v>
      </c>
      <c r="B180" s="4">
        <v>300400</v>
      </c>
      <c r="C180" s="4">
        <v>3</v>
      </c>
      <c r="D180" s="4" t="s">
        <v>101</v>
      </c>
      <c r="E180" s="13">
        <v>300400023</v>
      </c>
      <c r="F180" s="13" t="s">
        <v>102</v>
      </c>
      <c r="G180" s="17" t="s">
        <v>108</v>
      </c>
      <c r="H180" s="1">
        <v>11</v>
      </c>
      <c r="I180" s="23">
        <f t="shared" si="7"/>
        <v>52000</v>
      </c>
      <c r="J180" s="1">
        <v>-1</v>
      </c>
      <c r="K180" s="1">
        <v>0</v>
      </c>
      <c r="L180" s="3" t="s">
        <v>111</v>
      </c>
      <c r="M180" s="17">
        <v>0</v>
      </c>
      <c r="N180" s="23">
        <v>1000</v>
      </c>
      <c r="O180" s="26">
        <v>1980000</v>
      </c>
    </row>
    <row r="181" spans="1:15">
      <c r="A181" s="1">
        <v>30040012</v>
      </c>
      <c r="B181" s="4">
        <v>300400</v>
      </c>
      <c r="C181" s="4">
        <v>3</v>
      </c>
      <c r="D181" s="4" t="s">
        <v>101</v>
      </c>
      <c r="E181" s="13">
        <v>300400023</v>
      </c>
      <c r="F181" s="13" t="s">
        <v>102</v>
      </c>
      <c r="G181" s="17" t="s">
        <v>109</v>
      </c>
      <c r="H181" s="1">
        <v>12</v>
      </c>
      <c r="I181" s="23">
        <f t="shared" si="7"/>
        <v>520000</v>
      </c>
      <c r="J181" s="1">
        <v>-1</v>
      </c>
      <c r="K181" s="1">
        <v>0</v>
      </c>
      <c r="L181" s="3" t="s">
        <v>111</v>
      </c>
      <c r="M181" s="17">
        <v>0</v>
      </c>
      <c r="N181" s="23">
        <v>10000</v>
      </c>
      <c r="O181" s="26">
        <v>1980000</v>
      </c>
    </row>
    <row r="182" spans="1:15">
      <c r="A182" s="1">
        <v>10010021</v>
      </c>
      <c r="B182" s="4">
        <v>100100</v>
      </c>
      <c r="C182" s="4">
        <v>1</v>
      </c>
      <c r="D182" s="4" t="s">
        <v>30</v>
      </c>
      <c r="E182" s="13">
        <v>100100026</v>
      </c>
      <c r="F182" s="13" t="s">
        <v>31</v>
      </c>
      <c r="G182" s="27" t="s">
        <v>112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8" t="s">
        <v>34</v>
      </c>
      <c r="N182">
        <v>1000</v>
      </c>
      <c r="O182" s="15">
        <v>1990000</v>
      </c>
    </row>
    <row r="183" spans="1:15">
      <c r="A183" s="1">
        <v>10010022</v>
      </c>
      <c r="B183" s="4">
        <v>100100</v>
      </c>
      <c r="C183" s="4">
        <v>1</v>
      </c>
      <c r="D183" s="4" t="s">
        <v>30</v>
      </c>
      <c r="E183" s="13">
        <v>100100026</v>
      </c>
      <c r="F183" s="13" t="s">
        <v>31</v>
      </c>
      <c r="G183" s="27" t="s">
        <v>113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8" t="s">
        <v>34</v>
      </c>
      <c r="N183">
        <v>10000</v>
      </c>
      <c r="O183" s="15">
        <v>1990000</v>
      </c>
    </row>
    <row r="184" spans="1:15">
      <c r="A184" s="1">
        <v>10010023</v>
      </c>
      <c r="B184" s="4">
        <v>100100</v>
      </c>
      <c r="C184" s="4">
        <v>1</v>
      </c>
      <c r="D184" s="4" t="s">
        <v>30</v>
      </c>
      <c r="E184" s="13">
        <v>100100026</v>
      </c>
      <c r="F184" s="13" t="s">
        <v>31</v>
      </c>
      <c r="G184" s="27" t="s">
        <v>114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8" t="s">
        <v>34</v>
      </c>
      <c r="N184">
        <v>100000</v>
      </c>
      <c r="O184" s="15">
        <v>1990000</v>
      </c>
    </row>
    <row r="185" spans="1:15">
      <c r="A185" s="1">
        <v>10030021</v>
      </c>
      <c r="B185" s="4">
        <v>100300</v>
      </c>
      <c r="C185" s="4">
        <v>1</v>
      </c>
      <c r="D185" s="4" t="s">
        <v>37</v>
      </c>
      <c r="E185" s="13">
        <v>100300001</v>
      </c>
      <c r="F185" s="13" t="s">
        <v>38</v>
      </c>
      <c r="G185" s="27" t="s">
        <v>112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10030022</v>
      </c>
      <c r="B186" s="4">
        <v>100300</v>
      </c>
      <c r="C186" s="4">
        <v>1</v>
      </c>
      <c r="D186" s="4" t="s">
        <v>37</v>
      </c>
      <c r="E186" s="13">
        <v>100300001</v>
      </c>
      <c r="F186" s="13" t="s">
        <v>38</v>
      </c>
      <c r="G186" s="27" t="s">
        <v>113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10030023</v>
      </c>
      <c r="B187" s="4">
        <v>100300</v>
      </c>
      <c r="C187" s="4">
        <v>1</v>
      </c>
      <c r="D187" s="4" t="s">
        <v>37</v>
      </c>
      <c r="E187" s="13">
        <v>100300001</v>
      </c>
      <c r="F187" s="13" t="s">
        <v>38</v>
      </c>
      <c r="G187" s="27" t="s">
        <v>114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10070021</v>
      </c>
      <c r="B188" s="4">
        <v>100700</v>
      </c>
      <c r="C188" s="4">
        <v>1</v>
      </c>
      <c r="D188" s="4" t="s">
        <v>39</v>
      </c>
      <c r="E188" s="13">
        <v>100700001</v>
      </c>
      <c r="F188" s="13" t="s">
        <v>40</v>
      </c>
      <c r="G188" s="27" t="s">
        <v>112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10070022</v>
      </c>
      <c r="B189" s="4">
        <v>100700</v>
      </c>
      <c r="C189" s="4">
        <v>1</v>
      </c>
      <c r="D189" s="4" t="s">
        <v>39</v>
      </c>
      <c r="E189" s="13">
        <v>100700001</v>
      </c>
      <c r="F189" s="13" t="s">
        <v>40</v>
      </c>
      <c r="G189" s="27" t="s">
        <v>113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10070023</v>
      </c>
      <c r="B190" s="4">
        <v>100700</v>
      </c>
      <c r="C190" s="4">
        <v>1</v>
      </c>
      <c r="D190" s="4" t="s">
        <v>39</v>
      </c>
      <c r="E190" s="13">
        <v>100700001</v>
      </c>
      <c r="F190" s="13" t="s">
        <v>40</v>
      </c>
      <c r="G190" s="27" t="s">
        <v>114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10120021</v>
      </c>
      <c r="B191" s="4">
        <v>101200</v>
      </c>
      <c r="C191" s="4">
        <v>1</v>
      </c>
      <c r="D191" s="4" t="s">
        <v>41</v>
      </c>
      <c r="E191" s="13">
        <v>101200001</v>
      </c>
      <c r="F191" s="13" t="s">
        <v>42</v>
      </c>
      <c r="G191" s="27" t="s">
        <v>112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120</v>
      </c>
      <c r="O191" s="15">
        <v>1990000</v>
      </c>
    </row>
    <row r="192" spans="1:15">
      <c r="A192" s="1">
        <v>10120022</v>
      </c>
      <c r="B192" s="4">
        <v>101200</v>
      </c>
      <c r="C192" s="4">
        <v>1</v>
      </c>
      <c r="D192" s="4" t="s">
        <v>41</v>
      </c>
      <c r="E192" s="13">
        <v>101200001</v>
      </c>
      <c r="F192" s="13" t="s">
        <v>42</v>
      </c>
      <c r="G192" s="27" t="s">
        <v>113</v>
      </c>
      <c r="H192" s="1">
        <v>22</v>
      </c>
      <c r="I192" s="2">
        <v>15000</v>
      </c>
      <c r="J192" s="1">
        <v>-1</v>
      </c>
      <c r="K192" s="1">
        <v>0</v>
      </c>
      <c r="L192" s="3" t="s">
        <v>33</v>
      </c>
      <c r="M192" s="28" t="s">
        <v>34</v>
      </c>
      <c r="N192">
        <v>15000</v>
      </c>
      <c r="O192" s="15">
        <v>1990000</v>
      </c>
    </row>
    <row r="193" spans="1:15">
      <c r="A193" s="1">
        <v>10120023</v>
      </c>
      <c r="B193" s="4">
        <v>101200</v>
      </c>
      <c r="C193" s="4">
        <v>1</v>
      </c>
      <c r="D193" s="4" t="s">
        <v>41</v>
      </c>
      <c r="E193" s="13">
        <v>101200001</v>
      </c>
      <c r="F193" s="13" t="s">
        <v>42</v>
      </c>
      <c r="G193" s="27" t="s">
        <v>114</v>
      </c>
      <c r="H193" s="1">
        <v>23</v>
      </c>
      <c r="I193" s="2">
        <v>150000</v>
      </c>
      <c r="J193" s="1">
        <v>-1</v>
      </c>
      <c r="K193" s="1">
        <v>0</v>
      </c>
      <c r="L193" s="3" t="s">
        <v>33</v>
      </c>
      <c r="M193" s="28" t="s">
        <v>34</v>
      </c>
      <c r="N193">
        <v>150000</v>
      </c>
      <c r="O193" s="15">
        <v>1990000</v>
      </c>
    </row>
    <row r="194" spans="1:15">
      <c r="A194" s="1">
        <v>10140021</v>
      </c>
      <c r="B194" s="4">
        <v>101400</v>
      </c>
      <c r="C194" s="4">
        <v>1</v>
      </c>
      <c r="D194" s="4" t="s">
        <v>43</v>
      </c>
      <c r="E194" s="13">
        <v>101400001</v>
      </c>
      <c r="F194" s="13" t="s">
        <v>44</v>
      </c>
      <c r="G194" s="27" t="s">
        <v>112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1000</v>
      </c>
      <c r="O194" s="15">
        <v>1990000</v>
      </c>
    </row>
    <row r="195" spans="1:15">
      <c r="A195" s="1">
        <v>10140022</v>
      </c>
      <c r="B195" s="4">
        <v>101400</v>
      </c>
      <c r="C195" s="4">
        <v>1</v>
      </c>
      <c r="D195" s="4" t="s">
        <v>43</v>
      </c>
      <c r="E195" s="13">
        <v>101400001</v>
      </c>
      <c r="F195" s="13" t="s">
        <v>44</v>
      </c>
      <c r="G195" s="27" t="s">
        <v>113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8" t="s">
        <v>34</v>
      </c>
      <c r="N195">
        <v>10000</v>
      </c>
      <c r="O195" s="15">
        <v>1990000</v>
      </c>
    </row>
    <row r="196" spans="1:15">
      <c r="A196" s="1">
        <v>10140023</v>
      </c>
      <c r="B196" s="4">
        <v>101400</v>
      </c>
      <c r="C196" s="4">
        <v>1</v>
      </c>
      <c r="D196" s="4" t="s">
        <v>43</v>
      </c>
      <c r="E196" s="13">
        <v>101400001</v>
      </c>
      <c r="F196" s="13" t="s">
        <v>44</v>
      </c>
      <c r="G196" s="27" t="s">
        <v>114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8" t="s">
        <v>34</v>
      </c>
      <c r="N196">
        <v>100000</v>
      </c>
      <c r="O196" s="15">
        <v>1990000</v>
      </c>
    </row>
    <row r="197" spans="1:15">
      <c r="A197" s="1">
        <v>10240021</v>
      </c>
      <c r="B197" s="4">
        <v>102400</v>
      </c>
      <c r="C197" s="4">
        <v>1</v>
      </c>
      <c r="D197" s="4" t="s">
        <v>45</v>
      </c>
      <c r="E197" s="13">
        <v>102400026</v>
      </c>
      <c r="F197" s="13" t="s">
        <v>46</v>
      </c>
      <c r="G197" s="27" t="s">
        <v>112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</v>
      </c>
      <c r="O197" s="15">
        <v>1990000</v>
      </c>
    </row>
    <row r="198" spans="1:15">
      <c r="A198" s="1">
        <v>10240022</v>
      </c>
      <c r="B198" s="4">
        <v>102400</v>
      </c>
      <c r="C198" s="4">
        <v>1</v>
      </c>
      <c r="D198" s="4" t="s">
        <v>45</v>
      </c>
      <c r="E198" s="13">
        <v>102400026</v>
      </c>
      <c r="F198" s="13" t="s">
        <v>46</v>
      </c>
      <c r="G198" s="27" t="s">
        <v>113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10240023</v>
      </c>
      <c r="B199" s="4">
        <v>102400</v>
      </c>
      <c r="C199" s="4">
        <v>1</v>
      </c>
      <c r="D199" s="4" t="s">
        <v>45</v>
      </c>
      <c r="E199" s="13">
        <v>102400026</v>
      </c>
      <c r="F199" s="13" t="s">
        <v>46</v>
      </c>
      <c r="G199" s="27" t="s">
        <v>114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10220021</v>
      </c>
      <c r="B200" s="4">
        <v>102200</v>
      </c>
      <c r="C200" s="4">
        <v>1</v>
      </c>
      <c r="D200" s="4" t="s">
        <v>47</v>
      </c>
      <c r="E200" s="13">
        <v>102200001</v>
      </c>
      <c r="F200" s="13" t="s">
        <v>48</v>
      </c>
      <c r="G200" s="27" t="s">
        <v>112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1250</v>
      </c>
      <c r="O200" s="15">
        <v>1990000</v>
      </c>
    </row>
    <row r="201" spans="1:15">
      <c r="A201" s="1">
        <v>10220022</v>
      </c>
      <c r="B201" s="4">
        <v>102200</v>
      </c>
      <c r="C201" s="4">
        <v>1</v>
      </c>
      <c r="D201" s="4" t="s">
        <v>47</v>
      </c>
      <c r="E201" s="13">
        <v>102200001</v>
      </c>
      <c r="F201" s="13" t="s">
        <v>48</v>
      </c>
      <c r="G201" s="27" t="s">
        <v>113</v>
      </c>
      <c r="H201" s="1">
        <v>22</v>
      </c>
      <c r="I201" s="2">
        <v>12500</v>
      </c>
      <c r="J201" s="1">
        <v>-1</v>
      </c>
      <c r="K201" s="1">
        <v>0</v>
      </c>
      <c r="L201" s="3" t="s">
        <v>33</v>
      </c>
      <c r="M201" s="28" t="s">
        <v>34</v>
      </c>
      <c r="N201">
        <v>12500</v>
      </c>
      <c r="O201" s="15">
        <v>1990000</v>
      </c>
    </row>
    <row r="202" spans="1:15">
      <c r="A202" s="1">
        <v>10220023</v>
      </c>
      <c r="B202" s="4">
        <v>102200</v>
      </c>
      <c r="C202" s="4">
        <v>1</v>
      </c>
      <c r="D202" s="4" t="s">
        <v>47</v>
      </c>
      <c r="E202" s="13">
        <v>102200001</v>
      </c>
      <c r="F202" s="13" t="s">
        <v>48</v>
      </c>
      <c r="G202" s="27" t="s">
        <v>114</v>
      </c>
      <c r="H202" s="1">
        <v>23</v>
      </c>
      <c r="I202" s="2">
        <v>125000</v>
      </c>
      <c r="J202" s="1">
        <v>-1</v>
      </c>
      <c r="K202" s="1">
        <v>0</v>
      </c>
      <c r="L202" s="3" t="s">
        <v>33</v>
      </c>
      <c r="M202" s="28" t="s">
        <v>34</v>
      </c>
      <c r="N202">
        <v>125000</v>
      </c>
      <c r="O202" s="15">
        <v>1990000</v>
      </c>
    </row>
    <row r="203" spans="1:15">
      <c r="A203" s="1">
        <v>10170021</v>
      </c>
      <c r="B203" s="4">
        <v>101700</v>
      </c>
      <c r="C203" s="4">
        <v>1</v>
      </c>
      <c r="D203" s="4" t="s">
        <v>49</v>
      </c>
      <c r="E203" s="13">
        <v>101700001</v>
      </c>
      <c r="F203" s="13" t="s">
        <v>50</v>
      </c>
      <c r="G203" s="27" t="s">
        <v>112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1000</v>
      </c>
      <c r="O203" s="15">
        <v>1990000</v>
      </c>
    </row>
    <row r="204" spans="1:15">
      <c r="A204" s="1">
        <v>10170022</v>
      </c>
      <c r="B204" s="4">
        <v>101700</v>
      </c>
      <c r="C204" s="4">
        <v>1</v>
      </c>
      <c r="D204" s="4" t="s">
        <v>49</v>
      </c>
      <c r="E204" s="13">
        <v>101700001</v>
      </c>
      <c r="F204" s="13" t="s">
        <v>50</v>
      </c>
      <c r="G204" s="27" t="s">
        <v>113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8" t="s">
        <v>34</v>
      </c>
      <c r="N204">
        <v>10000</v>
      </c>
      <c r="O204" s="15">
        <v>1990000</v>
      </c>
    </row>
    <row r="205" spans="1:15">
      <c r="A205" s="1">
        <v>10170023</v>
      </c>
      <c r="B205" s="4">
        <v>101700</v>
      </c>
      <c r="C205" s="4">
        <v>1</v>
      </c>
      <c r="D205" s="4" t="s">
        <v>49</v>
      </c>
      <c r="E205" s="13">
        <v>101700001</v>
      </c>
      <c r="F205" s="13" t="s">
        <v>50</v>
      </c>
      <c r="G205" s="27" t="s">
        <v>114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8" t="s">
        <v>34</v>
      </c>
      <c r="N205">
        <v>100000</v>
      </c>
      <c r="O205" s="15">
        <v>1990000</v>
      </c>
    </row>
    <row r="206" spans="1:15">
      <c r="A206" s="1">
        <v>10210021</v>
      </c>
      <c r="B206" s="4">
        <v>102100</v>
      </c>
      <c r="C206" s="4">
        <v>1</v>
      </c>
      <c r="D206" s="4" t="s">
        <v>51</v>
      </c>
      <c r="E206" s="13">
        <v>102100001</v>
      </c>
      <c r="F206" s="16" t="s">
        <v>52</v>
      </c>
      <c r="G206" s="27" t="s">
        <v>112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10210022</v>
      </c>
      <c r="B207" s="4">
        <v>102100</v>
      </c>
      <c r="C207" s="4">
        <v>1</v>
      </c>
      <c r="D207" s="4" t="s">
        <v>51</v>
      </c>
      <c r="E207" s="13">
        <v>102100001</v>
      </c>
      <c r="F207" s="16" t="s">
        <v>52</v>
      </c>
      <c r="G207" s="27" t="s">
        <v>113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10210023</v>
      </c>
      <c r="B208" s="4">
        <v>102100</v>
      </c>
      <c r="C208" s="4">
        <v>1</v>
      </c>
      <c r="D208" s="4" t="s">
        <v>51</v>
      </c>
      <c r="E208" s="13">
        <v>102100001</v>
      </c>
      <c r="F208" s="16" t="s">
        <v>52</v>
      </c>
      <c r="G208" s="27" t="s">
        <v>114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f>B209*100+H209</f>
        <v>10180021</v>
      </c>
      <c r="B209" s="16">
        <v>101800</v>
      </c>
      <c r="C209" s="16">
        <v>1</v>
      </c>
      <c r="D209" s="16" t="s">
        <v>53</v>
      </c>
      <c r="E209" s="16">
        <v>101800001</v>
      </c>
      <c r="F209" s="16" t="s">
        <v>54</v>
      </c>
      <c r="G209" s="27" t="s">
        <v>112</v>
      </c>
      <c r="H209" s="1">
        <v>21</v>
      </c>
      <c r="I209" s="2">
        <v>0</v>
      </c>
      <c r="J209" s="17">
        <v>-1</v>
      </c>
      <c r="K209" s="17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f t="shared" ref="A210:A217" si="8">B210*100+H210</f>
        <v>10180022</v>
      </c>
      <c r="B210" s="16">
        <v>101800</v>
      </c>
      <c r="C210" s="16">
        <v>1</v>
      </c>
      <c r="D210" s="16" t="s">
        <v>53</v>
      </c>
      <c r="E210" s="16">
        <v>101800001</v>
      </c>
      <c r="F210" s="16" t="s">
        <v>54</v>
      </c>
      <c r="G210" s="27" t="s">
        <v>113</v>
      </c>
      <c r="H210" s="1">
        <v>22</v>
      </c>
      <c r="I210" s="2">
        <v>10000</v>
      </c>
      <c r="J210" s="17">
        <v>-1</v>
      </c>
      <c r="K210" s="17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f t="shared" si="8"/>
        <v>10180023</v>
      </c>
      <c r="B211" s="16">
        <v>101800</v>
      </c>
      <c r="C211" s="16">
        <v>1</v>
      </c>
      <c r="D211" s="16" t="s">
        <v>53</v>
      </c>
      <c r="E211" s="16">
        <v>101800001</v>
      </c>
      <c r="F211" s="16" t="s">
        <v>54</v>
      </c>
      <c r="G211" s="27" t="s">
        <v>114</v>
      </c>
      <c r="H211" s="1">
        <v>23</v>
      </c>
      <c r="I211" s="2">
        <v>100000</v>
      </c>
      <c r="J211" s="17">
        <v>-1</v>
      </c>
      <c r="K211" s="17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 t="shared" si="8"/>
        <v>10250021</v>
      </c>
      <c r="B212" s="16">
        <v>102500</v>
      </c>
      <c r="C212" s="16">
        <v>1</v>
      </c>
      <c r="D212" s="16" t="s">
        <v>55</v>
      </c>
      <c r="E212" s="16">
        <v>102500001</v>
      </c>
      <c r="F212" s="16" t="s">
        <v>56</v>
      </c>
      <c r="G212" s="27" t="s">
        <v>112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si="8"/>
        <v>10250022</v>
      </c>
      <c r="B213" s="16">
        <v>102500</v>
      </c>
      <c r="C213" s="16">
        <v>1</v>
      </c>
      <c r="D213" s="16" t="s">
        <v>55</v>
      </c>
      <c r="E213" s="16">
        <v>102500001</v>
      </c>
      <c r="F213" s="16" t="s">
        <v>56</v>
      </c>
      <c r="G213" s="27" t="s">
        <v>113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8"/>
        <v>10250023</v>
      </c>
      <c r="B214" s="16">
        <v>102500</v>
      </c>
      <c r="C214" s="16">
        <v>1</v>
      </c>
      <c r="D214" s="16" t="s">
        <v>55</v>
      </c>
      <c r="E214" s="16">
        <v>102500001</v>
      </c>
      <c r="F214" s="16" t="s">
        <v>56</v>
      </c>
      <c r="G214" s="27" t="s">
        <v>114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8"/>
        <v>10230021</v>
      </c>
      <c r="B215" s="4">
        <v>102300</v>
      </c>
      <c r="C215" s="4">
        <v>1</v>
      </c>
      <c r="D215" s="4" t="s">
        <v>57</v>
      </c>
      <c r="E215" s="13">
        <v>102300001</v>
      </c>
      <c r="F215" s="13" t="s">
        <v>58</v>
      </c>
      <c r="G215" s="27" t="s">
        <v>112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8"/>
        <v>10230022</v>
      </c>
      <c r="B216" s="4">
        <v>102300</v>
      </c>
      <c r="C216" s="4">
        <v>1</v>
      </c>
      <c r="D216" s="4" t="s">
        <v>57</v>
      </c>
      <c r="E216" s="13">
        <v>102300001</v>
      </c>
      <c r="F216" s="13" t="s">
        <v>58</v>
      </c>
      <c r="G216" s="27" t="s">
        <v>113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8"/>
        <v>10230023</v>
      </c>
      <c r="B217" s="4">
        <v>102300</v>
      </c>
      <c r="C217" s="4">
        <v>1</v>
      </c>
      <c r="D217" s="4" t="s">
        <v>57</v>
      </c>
      <c r="E217" s="13">
        <v>102300001</v>
      </c>
      <c r="F217" s="13" t="s">
        <v>58</v>
      </c>
      <c r="G217" s="27" t="s">
        <v>114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v>10340021</v>
      </c>
      <c r="B218" s="4">
        <v>103400</v>
      </c>
      <c r="C218" s="4">
        <v>1</v>
      </c>
      <c r="D218" s="4" t="s">
        <v>59</v>
      </c>
      <c r="E218" s="13">
        <v>103000001</v>
      </c>
      <c r="F218" s="18" t="s">
        <v>60</v>
      </c>
      <c r="G218" s="27" t="s">
        <v>112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</v>
      </c>
      <c r="O218" s="15">
        <v>1990000</v>
      </c>
    </row>
    <row r="219" spans="1:15">
      <c r="A219" s="1">
        <v>10340022</v>
      </c>
      <c r="B219" s="4">
        <v>103400</v>
      </c>
      <c r="C219" s="4">
        <v>1</v>
      </c>
      <c r="D219" s="4" t="s">
        <v>59</v>
      </c>
      <c r="E219" s="13">
        <v>103000001</v>
      </c>
      <c r="F219" s="18" t="s">
        <v>60</v>
      </c>
      <c r="G219" s="27" t="s">
        <v>113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v>10340023</v>
      </c>
      <c r="B220" s="4">
        <v>103400</v>
      </c>
      <c r="C220" s="4">
        <v>1</v>
      </c>
      <c r="D220" s="4" t="s">
        <v>59</v>
      </c>
      <c r="E220" s="13">
        <v>103000001</v>
      </c>
      <c r="F220" s="18" t="s">
        <v>60</v>
      </c>
      <c r="G220" s="27" t="s">
        <v>114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f>B221*100+H221</f>
        <v>10350021</v>
      </c>
      <c r="B221" s="4">
        <v>103500</v>
      </c>
      <c r="C221" s="4">
        <v>1</v>
      </c>
      <c r="D221" s="4" t="s">
        <v>61</v>
      </c>
      <c r="E221" s="13">
        <v>102900001</v>
      </c>
      <c r="F221" s="13" t="s">
        <v>62</v>
      </c>
      <c r="G221" s="27" t="s">
        <v>112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1000</v>
      </c>
      <c r="O221" s="15">
        <v>1990000</v>
      </c>
    </row>
    <row r="222" spans="1:15">
      <c r="A222" s="1">
        <f t="shared" ref="A222:A223" si="9">B222*100+H222</f>
        <v>10350022</v>
      </c>
      <c r="B222" s="4">
        <v>103500</v>
      </c>
      <c r="C222" s="4">
        <v>1</v>
      </c>
      <c r="D222" s="4" t="s">
        <v>61</v>
      </c>
      <c r="E222" s="13">
        <v>102900001</v>
      </c>
      <c r="F222" s="13" t="s">
        <v>62</v>
      </c>
      <c r="G222" s="27" t="s">
        <v>113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f t="shared" si="9"/>
        <v>10350023</v>
      </c>
      <c r="B223" s="4">
        <v>103500</v>
      </c>
      <c r="C223" s="4">
        <v>1</v>
      </c>
      <c r="D223" s="4" t="s">
        <v>61</v>
      </c>
      <c r="E223" s="13">
        <v>102900001</v>
      </c>
      <c r="F223" s="13" t="s">
        <v>62</v>
      </c>
      <c r="G223" s="27" t="s">
        <v>114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v>10350121</v>
      </c>
      <c r="B224" s="4">
        <v>103501</v>
      </c>
      <c r="C224" s="4">
        <v>1</v>
      </c>
      <c r="D224" s="4" t="s">
        <v>63</v>
      </c>
      <c r="E224" s="13">
        <v>103501001</v>
      </c>
      <c r="F224" s="13" t="s">
        <v>64</v>
      </c>
      <c r="G224" s="27" t="s">
        <v>112</v>
      </c>
      <c r="H224" s="1">
        <v>21</v>
      </c>
      <c r="I224" s="2">
        <v>0</v>
      </c>
      <c r="J224" s="17">
        <v>-1</v>
      </c>
      <c r="K224" s="1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v>10350122</v>
      </c>
      <c r="B225" s="4">
        <v>103501</v>
      </c>
      <c r="C225" s="4">
        <v>1</v>
      </c>
      <c r="D225" s="4" t="s">
        <v>63</v>
      </c>
      <c r="E225" s="13">
        <v>103501001</v>
      </c>
      <c r="F225" s="13" t="s">
        <v>64</v>
      </c>
      <c r="G225" s="27" t="s">
        <v>113</v>
      </c>
      <c r="H225" s="1">
        <v>22</v>
      </c>
      <c r="I225" s="2">
        <v>10000</v>
      </c>
      <c r="J225" s="17">
        <v>-1</v>
      </c>
      <c r="K225" s="1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v>10350123</v>
      </c>
      <c r="B226" s="4">
        <v>103501</v>
      </c>
      <c r="C226" s="4">
        <v>1</v>
      </c>
      <c r="D226" s="4" t="s">
        <v>63</v>
      </c>
      <c r="E226" s="13">
        <v>103501001</v>
      </c>
      <c r="F226" s="13" t="s">
        <v>64</v>
      </c>
      <c r="G226" s="27" t="s">
        <v>114</v>
      </c>
      <c r="H226" s="1">
        <v>23</v>
      </c>
      <c r="I226" s="2">
        <v>100000</v>
      </c>
      <c r="J226" s="17">
        <v>-1</v>
      </c>
      <c r="K226" s="1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10200021</v>
      </c>
      <c r="B227" s="4">
        <v>102000</v>
      </c>
      <c r="C227" s="4">
        <v>1</v>
      </c>
      <c r="D227" s="4" t="s">
        <v>65</v>
      </c>
      <c r="E227" s="13">
        <v>102000001</v>
      </c>
      <c r="F227" s="13" t="s">
        <v>66</v>
      </c>
      <c r="G227" s="27" t="s">
        <v>112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1125</v>
      </c>
      <c r="O227" s="15">
        <v>1990000</v>
      </c>
    </row>
    <row r="228" spans="1:15">
      <c r="A228" s="1">
        <v>10200022</v>
      </c>
      <c r="B228" s="4">
        <v>102000</v>
      </c>
      <c r="C228" s="4">
        <v>1</v>
      </c>
      <c r="D228" s="4" t="s">
        <v>65</v>
      </c>
      <c r="E228" s="13">
        <v>102000001</v>
      </c>
      <c r="F228" s="13" t="s">
        <v>66</v>
      </c>
      <c r="G228" s="27" t="s">
        <v>113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11250</v>
      </c>
      <c r="O228" s="15">
        <v>1990000</v>
      </c>
    </row>
    <row r="229" spans="1:15">
      <c r="A229" s="1">
        <v>10200023</v>
      </c>
      <c r="B229" s="4">
        <v>102000</v>
      </c>
      <c r="C229" s="4">
        <v>1</v>
      </c>
      <c r="D229" s="4" t="s">
        <v>65</v>
      </c>
      <c r="E229" s="13">
        <v>102000001</v>
      </c>
      <c r="F229" s="13" t="s">
        <v>66</v>
      </c>
      <c r="G229" s="27" t="s">
        <v>114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112500</v>
      </c>
      <c r="O229" s="15">
        <v>1990000</v>
      </c>
    </row>
    <row r="230" spans="1:15">
      <c r="A230" s="1">
        <f>B230*100+H230</f>
        <v>10360021</v>
      </c>
      <c r="B230" s="4">
        <v>103600</v>
      </c>
      <c r="C230" s="4">
        <v>1</v>
      </c>
      <c r="D230" s="4" t="s">
        <v>67</v>
      </c>
      <c r="E230" s="13">
        <v>103600001</v>
      </c>
      <c r="F230" s="13" t="s">
        <v>68</v>
      </c>
      <c r="G230" s="27" t="s">
        <v>112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1000</v>
      </c>
      <c r="O230" s="15">
        <v>1990000</v>
      </c>
    </row>
    <row r="231" spans="1:15">
      <c r="A231" s="1">
        <f t="shared" ref="A231:A232" si="10">B231*100+H231</f>
        <v>10360022</v>
      </c>
      <c r="B231" s="4">
        <v>103600</v>
      </c>
      <c r="C231" s="4">
        <v>1</v>
      </c>
      <c r="D231" s="4" t="s">
        <v>67</v>
      </c>
      <c r="E231" s="13">
        <v>103600001</v>
      </c>
      <c r="F231" s="13" t="s">
        <v>68</v>
      </c>
      <c r="G231" s="27" t="s">
        <v>113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10000</v>
      </c>
      <c r="O231" s="15">
        <v>1990000</v>
      </c>
    </row>
    <row r="232" spans="1:15">
      <c r="A232" s="1">
        <f t="shared" si="10"/>
        <v>10360023</v>
      </c>
      <c r="B232" s="4">
        <v>103600</v>
      </c>
      <c r="C232" s="4">
        <v>1</v>
      </c>
      <c r="D232" s="4" t="s">
        <v>67</v>
      </c>
      <c r="E232" s="13">
        <v>103600001</v>
      </c>
      <c r="F232" s="13" t="s">
        <v>68</v>
      </c>
      <c r="G232" s="27" t="s">
        <v>114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100000</v>
      </c>
      <c r="O232" s="15">
        <v>1990000</v>
      </c>
    </row>
    <row r="233" spans="1:15">
      <c r="A233" s="1">
        <v>10340121</v>
      </c>
      <c r="B233" s="4">
        <v>103401</v>
      </c>
      <c r="C233" s="4">
        <v>1</v>
      </c>
      <c r="D233" s="4" t="s">
        <v>69</v>
      </c>
      <c r="E233" s="13">
        <v>103400001</v>
      </c>
      <c r="F233" s="13" t="s">
        <v>70</v>
      </c>
      <c r="G233" s="27" t="s">
        <v>112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v>10340122</v>
      </c>
      <c r="B234" s="4">
        <v>103401</v>
      </c>
      <c r="C234" s="4">
        <v>1</v>
      </c>
      <c r="D234" s="4" t="s">
        <v>69</v>
      </c>
      <c r="E234" s="13">
        <v>103400001</v>
      </c>
      <c r="F234" s="13" t="s">
        <v>70</v>
      </c>
      <c r="G234" s="27" t="s">
        <v>113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v>10340123</v>
      </c>
      <c r="B235" s="4">
        <v>103401</v>
      </c>
      <c r="C235" s="4">
        <v>1</v>
      </c>
      <c r="D235" s="4" t="s">
        <v>69</v>
      </c>
      <c r="E235" s="13">
        <v>103400001</v>
      </c>
      <c r="F235" s="13" t="s">
        <v>70</v>
      </c>
      <c r="G235" s="27" t="s">
        <v>114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10380021</v>
      </c>
      <c r="B236" s="4">
        <v>103800</v>
      </c>
      <c r="C236" s="4">
        <v>1</v>
      </c>
      <c r="D236" s="4" t="s">
        <v>71</v>
      </c>
      <c r="E236" s="13">
        <v>103800001</v>
      </c>
      <c r="F236" s="13" t="s">
        <v>72</v>
      </c>
      <c r="G236" s="27" t="s">
        <v>112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2000</v>
      </c>
      <c r="O236" s="15">
        <v>1990000</v>
      </c>
    </row>
    <row r="237" spans="1:15">
      <c r="A237" s="1">
        <v>10380022</v>
      </c>
      <c r="B237" s="4">
        <v>103800</v>
      </c>
      <c r="C237" s="4">
        <v>1</v>
      </c>
      <c r="D237" s="4" t="s">
        <v>71</v>
      </c>
      <c r="E237" s="13">
        <v>103800001</v>
      </c>
      <c r="F237" s="13" t="s">
        <v>72</v>
      </c>
      <c r="G237" s="27" t="s">
        <v>113</v>
      </c>
      <c r="H237" s="1">
        <v>22</v>
      </c>
      <c r="I237" s="2">
        <v>20000</v>
      </c>
      <c r="J237" s="17">
        <v>-1</v>
      </c>
      <c r="K237" s="1">
        <v>0</v>
      </c>
      <c r="L237" s="3" t="s">
        <v>33</v>
      </c>
      <c r="M237" s="28" t="s">
        <v>34</v>
      </c>
      <c r="N237">
        <v>20000</v>
      </c>
      <c r="O237" s="15">
        <v>1990000</v>
      </c>
    </row>
    <row r="238" spans="1:15">
      <c r="A238" s="1">
        <v>10380023</v>
      </c>
      <c r="B238" s="4">
        <v>103800</v>
      </c>
      <c r="C238" s="4">
        <v>1</v>
      </c>
      <c r="D238" s="4" t="s">
        <v>71</v>
      </c>
      <c r="E238" s="13">
        <v>103800001</v>
      </c>
      <c r="F238" s="13" t="s">
        <v>72</v>
      </c>
      <c r="G238" s="27" t="s">
        <v>114</v>
      </c>
      <c r="H238" s="1">
        <v>23</v>
      </c>
      <c r="I238" s="2">
        <v>200000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200000</v>
      </c>
      <c r="O238" s="15">
        <v>1990000</v>
      </c>
    </row>
    <row r="239" spans="1:15">
      <c r="A239" s="1">
        <v>10400021</v>
      </c>
      <c r="B239" s="4">
        <v>104000</v>
      </c>
      <c r="C239" s="4">
        <v>1</v>
      </c>
      <c r="D239" s="4" t="s">
        <v>73</v>
      </c>
      <c r="E239" s="13">
        <v>104000001</v>
      </c>
      <c r="F239" s="19" t="s">
        <v>74</v>
      </c>
      <c r="G239" s="27" t="s">
        <v>112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1000</v>
      </c>
      <c r="O239" s="15">
        <v>1990000</v>
      </c>
    </row>
    <row r="240" spans="1:15">
      <c r="A240" s="1">
        <v>10400022</v>
      </c>
      <c r="B240" s="4">
        <v>104000</v>
      </c>
      <c r="C240" s="4">
        <v>1</v>
      </c>
      <c r="D240" s="4" t="s">
        <v>73</v>
      </c>
      <c r="E240" s="13">
        <v>104000001</v>
      </c>
      <c r="F240" s="19" t="s">
        <v>74</v>
      </c>
      <c r="G240" s="27" t="s">
        <v>113</v>
      </c>
      <c r="H240" s="1">
        <v>22</v>
      </c>
      <c r="I240" s="2">
        <v>10000</v>
      </c>
      <c r="J240" s="17">
        <v>-1</v>
      </c>
      <c r="K240" s="1">
        <v>0</v>
      </c>
      <c r="L240" s="3" t="s">
        <v>33</v>
      </c>
      <c r="M240" s="28" t="s">
        <v>34</v>
      </c>
      <c r="N240">
        <v>10000</v>
      </c>
      <c r="O240" s="15">
        <v>1990000</v>
      </c>
    </row>
    <row r="241" spans="1:19">
      <c r="A241" s="1">
        <v>10400023</v>
      </c>
      <c r="B241" s="4">
        <v>104000</v>
      </c>
      <c r="C241" s="4">
        <v>1</v>
      </c>
      <c r="D241" s="4" t="s">
        <v>73</v>
      </c>
      <c r="E241" s="13">
        <v>104000001</v>
      </c>
      <c r="F241" s="19" t="s">
        <v>74</v>
      </c>
      <c r="G241" s="27" t="s">
        <v>114</v>
      </c>
      <c r="H241" s="1">
        <v>23</v>
      </c>
      <c r="I241" s="2">
        <v>100000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100000</v>
      </c>
      <c r="O241" s="15">
        <v>1990000</v>
      </c>
    </row>
    <row r="242" spans="1:19">
      <c r="A242" s="1">
        <v>20010021</v>
      </c>
      <c r="B242" s="4">
        <v>200100</v>
      </c>
      <c r="C242" s="4">
        <v>2</v>
      </c>
      <c r="D242" s="4" t="s">
        <v>75</v>
      </c>
      <c r="E242" s="13">
        <v>200100038</v>
      </c>
      <c r="F242" s="13" t="s">
        <v>76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20010022</v>
      </c>
      <c r="B243" s="4">
        <v>200100</v>
      </c>
      <c r="C243" s="4">
        <v>2</v>
      </c>
      <c r="D243" s="4" t="s">
        <v>75</v>
      </c>
      <c r="E243" s="13">
        <v>200100038</v>
      </c>
      <c r="F243" s="13" t="s">
        <v>76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20010023</v>
      </c>
      <c r="B244" s="4">
        <v>200100</v>
      </c>
      <c r="C244" s="4">
        <v>2</v>
      </c>
      <c r="D244" s="4" t="s">
        <v>75</v>
      </c>
      <c r="E244" s="13">
        <v>200100038</v>
      </c>
      <c r="F244" s="13" t="s">
        <v>76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  <c r="Q244"/>
    </row>
    <row r="245" spans="1:19">
      <c r="A245" s="1">
        <v>20010121</v>
      </c>
      <c r="B245" s="4">
        <v>200101</v>
      </c>
      <c r="C245" s="4">
        <v>2</v>
      </c>
      <c r="D245" s="4" t="s">
        <v>77</v>
      </c>
      <c r="E245" s="13">
        <v>200101001</v>
      </c>
      <c r="F245" s="13" t="s">
        <v>78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20010122</v>
      </c>
      <c r="B246" s="4">
        <v>200101</v>
      </c>
      <c r="C246" s="4">
        <v>2</v>
      </c>
      <c r="D246" s="4" t="s">
        <v>77</v>
      </c>
      <c r="E246" s="13">
        <v>200101001</v>
      </c>
      <c r="F246" s="13" t="s">
        <v>78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  <c r="S246" s="1"/>
    </row>
    <row r="247" spans="1:19">
      <c r="A247" s="1">
        <v>20010123</v>
      </c>
      <c r="B247" s="4">
        <v>200101</v>
      </c>
      <c r="C247" s="4">
        <v>2</v>
      </c>
      <c r="D247" s="4" t="s">
        <v>77</v>
      </c>
      <c r="E247" s="13">
        <v>200101001</v>
      </c>
      <c r="F247" s="13" t="s">
        <v>78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S247" s="1"/>
    </row>
    <row r="248" spans="1:19">
      <c r="A248" s="1">
        <v>20030021</v>
      </c>
      <c r="B248" s="4">
        <v>200300</v>
      </c>
      <c r="C248" s="4">
        <v>2</v>
      </c>
      <c r="D248" s="4" t="s">
        <v>79</v>
      </c>
      <c r="E248" s="13">
        <v>200300001</v>
      </c>
      <c r="F248" s="13" t="s">
        <v>80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20030022</v>
      </c>
      <c r="B249" s="4">
        <v>200300</v>
      </c>
      <c r="C249" s="4">
        <v>2</v>
      </c>
      <c r="D249" s="4" t="s">
        <v>79</v>
      </c>
      <c r="E249" s="13">
        <v>200300001</v>
      </c>
      <c r="F249" s="13" t="s">
        <v>80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Q249" s="2"/>
      <c r="R249" s="4"/>
    </row>
    <row r="250" spans="1:19">
      <c r="A250" s="1">
        <v>20030023</v>
      </c>
      <c r="B250" s="4">
        <v>200300</v>
      </c>
      <c r="C250" s="4">
        <v>2</v>
      </c>
      <c r="D250" s="4" t="s">
        <v>79</v>
      </c>
      <c r="E250" s="13">
        <v>200300001</v>
      </c>
      <c r="F250" s="13" t="s">
        <v>80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Q250" s="2"/>
      <c r="R250" s="2"/>
    </row>
    <row r="251" spans="1:19">
      <c r="A251" s="1">
        <v>20040021</v>
      </c>
      <c r="B251" s="4">
        <v>200400</v>
      </c>
      <c r="C251" s="4">
        <v>2</v>
      </c>
      <c r="D251" s="2" t="s">
        <v>81</v>
      </c>
      <c r="E251" s="13">
        <v>200400009</v>
      </c>
      <c r="F251" s="13" t="s">
        <v>82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  <c r="Q251" s="2"/>
      <c r="R251" s="2"/>
    </row>
    <row r="252" spans="1:19">
      <c r="A252" s="1">
        <v>20040022</v>
      </c>
      <c r="B252" s="4">
        <v>200400</v>
      </c>
      <c r="C252" s="4">
        <v>2</v>
      </c>
      <c r="D252" s="2" t="s">
        <v>81</v>
      </c>
      <c r="E252" s="13">
        <v>200400009</v>
      </c>
      <c r="F252" s="13" t="s">
        <v>82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2"/>
    </row>
    <row r="253" spans="1:19">
      <c r="A253" s="1">
        <v>20040023</v>
      </c>
      <c r="B253" s="4">
        <v>200400</v>
      </c>
      <c r="C253" s="4">
        <v>2</v>
      </c>
      <c r="D253" s="2" t="s">
        <v>81</v>
      </c>
      <c r="E253" s="13">
        <v>200400009</v>
      </c>
      <c r="F253" s="13" t="s">
        <v>82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20050021</v>
      </c>
      <c r="B254" s="4">
        <v>200500</v>
      </c>
      <c r="C254" s="4">
        <v>2</v>
      </c>
      <c r="D254" s="4" t="s">
        <v>83</v>
      </c>
      <c r="E254" s="13">
        <v>200500025</v>
      </c>
      <c r="F254" s="13" t="s">
        <v>84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85</v>
      </c>
      <c r="N254">
        <v>1000</v>
      </c>
      <c r="O254" s="15">
        <v>1990000</v>
      </c>
      <c r="Q254" s="2"/>
      <c r="R254" s="2"/>
    </row>
    <row r="255" spans="1:19">
      <c r="A255" s="1">
        <v>20050022</v>
      </c>
      <c r="B255" s="4">
        <v>200500</v>
      </c>
      <c r="C255" s="4">
        <v>2</v>
      </c>
      <c r="D255" s="4" t="s">
        <v>83</v>
      </c>
      <c r="E255" s="13">
        <v>200500025</v>
      </c>
      <c r="F255" s="13" t="s">
        <v>84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85</v>
      </c>
      <c r="N255">
        <v>10000</v>
      </c>
      <c r="O255" s="15">
        <v>1990000</v>
      </c>
      <c r="Q255" s="2"/>
      <c r="R255" s="2"/>
    </row>
    <row r="256" spans="1:19">
      <c r="A256" s="1">
        <v>20050023</v>
      </c>
      <c r="B256" s="4">
        <v>200500</v>
      </c>
      <c r="C256" s="4">
        <v>2</v>
      </c>
      <c r="D256" s="4" t="s">
        <v>83</v>
      </c>
      <c r="E256" s="13">
        <v>200500025</v>
      </c>
      <c r="F256" s="13" t="s">
        <v>84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85</v>
      </c>
      <c r="N256">
        <v>100000</v>
      </c>
      <c r="O256" s="15">
        <v>1990000</v>
      </c>
      <c r="Q256" s="2"/>
      <c r="R256" s="2"/>
    </row>
    <row r="257" spans="1:18">
      <c r="A257" s="1">
        <v>20060021</v>
      </c>
      <c r="B257" s="4">
        <v>200600</v>
      </c>
      <c r="C257" s="4">
        <v>2</v>
      </c>
      <c r="D257" s="13" t="s">
        <v>86</v>
      </c>
      <c r="E257" s="13">
        <v>200600001</v>
      </c>
      <c r="F257" s="13" t="s">
        <v>87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34</v>
      </c>
      <c r="N257">
        <v>1000</v>
      </c>
      <c r="O257" s="15">
        <v>1990000</v>
      </c>
      <c r="Q257" s="2"/>
      <c r="R257" s="2"/>
    </row>
    <row r="258" spans="1:18">
      <c r="A258" s="1">
        <v>20060022</v>
      </c>
      <c r="B258" s="4">
        <v>200600</v>
      </c>
      <c r="C258" s="4">
        <v>2</v>
      </c>
      <c r="D258" s="13" t="s">
        <v>86</v>
      </c>
      <c r="E258" s="13">
        <v>200600001</v>
      </c>
      <c r="F258" s="13" t="s">
        <v>87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34</v>
      </c>
      <c r="N258">
        <v>10000</v>
      </c>
      <c r="O258" s="15">
        <v>1990000</v>
      </c>
      <c r="Q258" s="2"/>
      <c r="R258" s="2"/>
    </row>
    <row r="259" spans="1:18">
      <c r="A259" s="1">
        <v>20060023</v>
      </c>
      <c r="B259" s="4">
        <v>200600</v>
      </c>
      <c r="C259" s="4">
        <v>2</v>
      </c>
      <c r="D259" s="13" t="s">
        <v>86</v>
      </c>
      <c r="E259" s="13">
        <v>200600001</v>
      </c>
      <c r="F259" s="13" t="s">
        <v>87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34</v>
      </c>
      <c r="N259">
        <v>100000</v>
      </c>
      <c r="O259" s="15">
        <v>1990000</v>
      </c>
      <c r="Q259" s="2"/>
      <c r="R259"/>
    </row>
    <row r="260" spans="1:18">
      <c r="A260" s="1">
        <v>20070021</v>
      </c>
      <c r="B260" s="4">
        <v>200700</v>
      </c>
      <c r="C260" s="4">
        <v>2</v>
      </c>
      <c r="D260" s="4" t="s">
        <v>88</v>
      </c>
      <c r="E260" s="13">
        <v>200700001</v>
      </c>
      <c r="F260" s="13" t="s">
        <v>89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20070022</v>
      </c>
      <c r="B261" s="4">
        <v>200700</v>
      </c>
      <c r="C261" s="4">
        <v>2</v>
      </c>
      <c r="D261" s="4" t="s">
        <v>88</v>
      </c>
      <c r="E261" s="13">
        <v>200700001</v>
      </c>
      <c r="F261" s="13" t="s">
        <v>89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20070023</v>
      </c>
      <c r="B262" s="4">
        <v>200700</v>
      </c>
      <c r="C262" s="4">
        <v>2</v>
      </c>
      <c r="D262" s="4" t="s">
        <v>88</v>
      </c>
      <c r="E262" s="13">
        <v>200700001</v>
      </c>
      <c r="F262" s="13" t="s">
        <v>89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</row>
    <row r="263" spans="1:18">
      <c r="A263" s="1">
        <v>20080021</v>
      </c>
      <c r="B263" s="4">
        <v>200800</v>
      </c>
      <c r="C263" s="4">
        <v>2</v>
      </c>
      <c r="D263" s="13" t="s">
        <v>90</v>
      </c>
      <c r="E263" s="13">
        <v>200800001</v>
      </c>
      <c r="F263" s="13" t="s">
        <v>91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</row>
    <row r="264" spans="1:18">
      <c r="A264" s="1">
        <v>20080022</v>
      </c>
      <c r="B264" s="4">
        <v>200800</v>
      </c>
      <c r="C264" s="4">
        <v>2</v>
      </c>
      <c r="D264" s="13" t="s">
        <v>90</v>
      </c>
      <c r="E264" s="13">
        <v>200800001</v>
      </c>
      <c r="F264" s="13" t="s">
        <v>91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</row>
    <row r="265" spans="1:18">
      <c r="A265" s="1">
        <v>20080023</v>
      </c>
      <c r="B265" s="4">
        <v>200800</v>
      </c>
      <c r="C265" s="4">
        <v>2</v>
      </c>
      <c r="D265" s="13" t="s">
        <v>90</v>
      </c>
      <c r="E265" s="13">
        <v>200800001</v>
      </c>
      <c r="F265" s="13" t="s">
        <v>91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20090021</v>
      </c>
      <c r="B266" s="20">
        <v>200900</v>
      </c>
      <c r="C266" s="4">
        <v>2</v>
      </c>
      <c r="D266" s="20" t="s">
        <v>92</v>
      </c>
      <c r="E266" s="13">
        <v>200900001</v>
      </c>
      <c r="F266" s="13" t="s">
        <v>93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20090022</v>
      </c>
      <c r="B267" s="4">
        <v>200900</v>
      </c>
      <c r="C267" s="4">
        <v>2</v>
      </c>
      <c r="D267" s="4" t="s">
        <v>92</v>
      </c>
      <c r="E267" s="13">
        <v>200900001</v>
      </c>
      <c r="F267" s="13" t="s">
        <v>93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20090023</v>
      </c>
      <c r="B268" s="4">
        <v>200900</v>
      </c>
      <c r="C268" s="4">
        <v>2</v>
      </c>
      <c r="D268" s="4" t="s">
        <v>92</v>
      </c>
      <c r="E268" s="13">
        <v>200900001</v>
      </c>
      <c r="F268" s="13" t="s">
        <v>93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30010021</v>
      </c>
      <c r="B269" s="4">
        <v>300100</v>
      </c>
      <c r="C269" s="4">
        <v>3</v>
      </c>
      <c r="D269" s="4" t="s">
        <v>94</v>
      </c>
      <c r="E269" s="13">
        <v>300100001</v>
      </c>
      <c r="F269" s="13" t="s">
        <v>95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96</v>
      </c>
      <c r="M269" s="28" t="s">
        <v>97</v>
      </c>
      <c r="N269">
        <v>1000</v>
      </c>
      <c r="O269" s="15">
        <v>1990000</v>
      </c>
    </row>
    <row r="270" spans="1:18">
      <c r="A270" s="1">
        <v>30010022</v>
      </c>
      <c r="B270" s="4">
        <v>300100</v>
      </c>
      <c r="C270" s="4">
        <v>3</v>
      </c>
      <c r="D270" s="4" t="s">
        <v>94</v>
      </c>
      <c r="E270" s="13">
        <v>300100001</v>
      </c>
      <c r="F270" s="13" t="s">
        <v>95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96</v>
      </c>
      <c r="M270" s="28" t="s">
        <v>97</v>
      </c>
      <c r="N270">
        <v>10000</v>
      </c>
      <c r="O270" s="15">
        <v>1990000</v>
      </c>
    </row>
    <row r="271" spans="1:18">
      <c r="A271" s="1">
        <v>30010023</v>
      </c>
      <c r="B271" s="4">
        <v>300100</v>
      </c>
      <c r="C271" s="4">
        <v>3</v>
      </c>
      <c r="D271" s="4" t="s">
        <v>94</v>
      </c>
      <c r="E271" s="13">
        <v>300100001</v>
      </c>
      <c r="F271" s="13" t="s">
        <v>95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96</v>
      </c>
      <c r="M271" s="28" t="s">
        <v>97</v>
      </c>
      <c r="N271">
        <v>100000</v>
      </c>
      <c r="O271" s="15">
        <v>1990000</v>
      </c>
    </row>
    <row r="272" spans="1:18">
      <c r="A272" s="1">
        <v>30020021</v>
      </c>
      <c r="B272" s="4">
        <v>300200</v>
      </c>
      <c r="C272" s="4">
        <v>3</v>
      </c>
      <c r="D272" s="4" t="s">
        <v>98</v>
      </c>
      <c r="E272" s="13">
        <v>300200006</v>
      </c>
      <c r="F272" s="13" t="s">
        <v>99</v>
      </c>
      <c r="G272" s="1" t="s">
        <v>32</v>
      </c>
      <c r="H272" s="1">
        <v>21</v>
      </c>
      <c r="I272" s="2">
        <v>1000</v>
      </c>
      <c r="J272" s="1">
        <v>-1</v>
      </c>
      <c r="K272" s="1">
        <v>0</v>
      </c>
      <c r="L272" s="3" t="s">
        <v>100</v>
      </c>
      <c r="M272" s="28" t="s">
        <v>97</v>
      </c>
      <c r="N272" s="21">
        <v>1000</v>
      </c>
      <c r="O272" s="15">
        <v>1990000</v>
      </c>
    </row>
    <row r="273" spans="1:15">
      <c r="A273" s="1">
        <v>30020022</v>
      </c>
      <c r="B273" s="4">
        <v>300200</v>
      </c>
      <c r="C273" s="4">
        <v>3</v>
      </c>
      <c r="D273" s="4" t="s">
        <v>98</v>
      </c>
      <c r="E273" s="13">
        <v>300200006</v>
      </c>
      <c r="F273" s="13" t="s">
        <v>99</v>
      </c>
      <c r="G273" s="1" t="s">
        <v>35</v>
      </c>
      <c r="H273" s="1">
        <v>22</v>
      </c>
      <c r="I273" s="2">
        <v>10000</v>
      </c>
      <c r="J273" s="1">
        <v>-1</v>
      </c>
      <c r="K273" s="1">
        <v>0</v>
      </c>
      <c r="L273" s="3" t="s">
        <v>100</v>
      </c>
      <c r="M273" s="28" t="s">
        <v>97</v>
      </c>
      <c r="N273" s="21">
        <v>10000</v>
      </c>
      <c r="O273" s="15">
        <v>1990000</v>
      </c>
    </row>
    <row r="274" spans="1:15">
      <c r="A274" s="1">
        <v>30020023</v>
      </c>
      <c r="B274" s="4">
        <v>300200</v>
      </c>
      <c r="C274" s="4">
        <v>3</v>
      </c>
      <c r="D274" s="4" t="s">
        <v>98</v>
      </c>
      <c r="E274" s="13">
        <v>300200006</v>
      </c>
      <c r="F274" s="13" t="s">
        <v>99</v>
      </c>
      <c r="G274" s="1" t="s">
        <v>36</v>
      </c>
      <c r="H274" s="1">
        <v>23</v>
      </c>
      <c r="I274" s="2">
        <v>100000</v>
      </c>
      <c r="J274" s="1">
        <v>-1</v>
      </c>
      <c r="K274" s="1">
        <v>0</v>
      </c>
      <c r="L274" s="3" t="s">
        <v>100</v>
      </c>
      <c r="M274" s="28" t="s">
        <v>97</v>
      </c>
      <c r="N274" s="21">
        <v>100000</v>
      </c>
      <c r="O274" s="15">
        <v>1990000</v>
      </c>
    </row>
    <row r="275" spans="1:15">
      <c r="A275" s="1">
        <v>30040021</v>
      </c>
      <c r="B275" s="4">
        <v>300400</v>
      </c>
      <c r="C275" s="1">
        <v>3</v>
      </c>
      <c r="D275" s="4" t="s">
        <v>101</v>
      </c>
      <c r="E275" s="13">
        <v>300400023</v>
      </c>
      <c r="F275" s="22" t="s">
        <v>102</v>
      </c>
      <c r="G275" s="1" t="s">
        <v>32</v>
      </c>
      <c r="H275" s="1">
        <v>21</v>
      </c>
      <c r="I275" s="23">
        <f>N275*52</f>
        <v>5200</v>
      </c>
      <c r="J275" s="1">
        <v>-1</v>
      </c>
      <c r="K275" s="1">
        <v>0</v>
      </c>
      <c r="L275" s="3" t="s">
        <v>103</v>
      </c>
      <c r="M275" s="28" t="s">
        <v>97</v>
      </c>
      <c r="N275" s="23">
        <v>100</v>
      </c>
      <c r="O275" s="15">
        <v>1990000</v>
      </c>
    </row>
    <row r="276" spans="1:15">
      <c r="A276" s="1">
        <v>30040022</v>
      </c>
      <c r="B276" s="4">
        <v>300400</v>
      </c>
      <c r="C276" s="4">
        <v>3</v>
      </c>
      <c r="D276" s="4" t="s">
        <v>101</v>
      </c>
      <c r="E276" s="13">
        <v>300400023</v>
      </c>
      <c r="F276" s="22" t="s">
        <v>102</v>
      </c>
      <c r="G276" s="1" t="s">
        <v>35</v>
      </c>
      <c r="H276" s="1">
        <v>22</v>
      </c>
      <c r="I276" s="23">
        <f t="shared" ref="I276:I283" si="11">N276*52</f>
        <v>52000</v>
      </c>
      <c r="J276" s="1">
        <v>-1</v>
      </c>
      <c r="K276" s="1">
        <v>0</v>
      </c>
      <c r="L276" s="3" t="s">
        <v>103</v>
      </c>
      <c r="M276" s="28" t="s">
        <v>97</v>
      </c>
      <c r="N276" s="23">
        <v>1000</v>
      </c>
      <c r="O276" s="15">
        <v>1990000</v>
      </c>
    </row>
    <row r="277" spans="1:15">
      <c r="A277" s="1">
        <v>30040023</v>
      </c>
      <c r="B277" s="4">
        <v>300400</v>
      </c>
      <c r="C277" s="4">
        <v>3</v>
      </c>
      <c r="D277" s="4" t="s">
        <v>101</v>
      </c>
      <c r="E277" s="13">
        <v>300400023</v>
      </c>
      <c r="F277" s="22" t="s">
        <v>102</v>
      </c>
      <c r="G277" s="1" t="s">
        <v>36</v>
      </c>
      <c r="H277" s="1">
        <v>23</v>
      </c>
      <c r="I277" s="23">
        <f t="shared" si="11"/>
        <v>520000</v>
      </c>
      <c r="J277" s="1">
        <v>-1</v>
      </c>
      <c r="K277" s="1">
        <v>0</v>
      </c>
      <c r="L277" s="3" t="s">
        <v>103</v>
      </c>
      <c r="M277" s="28" t="s">
        <v>97</v>
      </c>
      <c r="N277" s="23">
        <v>10000</v>
      </c>
      <c r="O277" s="15">
        <v>1990000</v>
      </c>
    </row>
    <row r="278" spans="1:15">
      <c r="A278" s="1">
        <v>20120021</v>
      </c>
      <c r="B278" s="4">
        <v>201200</v>
      </c>
      <c r="C278" s="4">
        <v>2</v>
      </c>
      <c r="D278" s="4" t="s">
        <v>104</v>
      </c>
      <c r="E278" s="13">
        <v>201200001</v>
      </c>
      <c r="F278" s="22" t="s">
        <v>105</v>
      </c>
      <c r="G278" s="1" t="s">
        <v>32</v>
      </c>
      <c r="H278" s="1">
        <v>21</v>
      </c>
      <c r="I278" s="2">
        <v>0</v>
      </c>
      <c r="J278" s="1">
        <v>-1</v>
      </c>
      <c r="K278" s="1">
        <v>0</v>
      </c>
      <c r="L278" s="3" t="s">
        <v>33</v>
      </c>
      <c r="M278" s="28" t="s">
        <v>85</v>
      </c>
      <c r="N278">
        <v>1000</v>
      </c>
      <c r="O278" s="15">
        <v>1990000</v>
      </c>
    </row>
    <row r="279" spans="1:15">
      <c r="A279" s="1">
        <v>20120022</v>
      </c>
      <c r="B279" s="4">
        <v>201200</v>
      </c>
      <c r="C279" s="4">
        <v>2</v>
      </c>
      <c r="D279" s="4" t="s">
        <v>104</v>
      </c>
      <c r="E279" s="13">
        <v>201200001</v>
      </c>
      <c r="F279" s="22" t="s">
        <v>105</v>
      </c>
      <c r="G279" s="1" t="s">
        <v>35</v>
      </c>
      <c r="H279" s="1">
        <v>22</v>
      </c>
      <c r="I279" s="2">
        <v>10000</v>
      </c>
      <c r="J279" s="1">
        <v>-1</v>
      </c>
      <c r="K279" s="1">
        <v>0</v>
      </c>
      <c r="L279" s="3" t="s">
        <v>33</v>
      </c>
      <c r="M279" s="28" t="s">
        <v>85</v>
      </c>
      <c r="N279">
        <v>10000</v>
      </c>
      <c r="O279" s="15">
        <v>1990000</v>
      </c>
    </row>
    <row r="280" spans="1:15">
      <c r="A280" s="1">
        <v>20120023</v>
      </c>
      <c r="B280" s="4">
        <v>201200</v>
      </c>
      <c r="C280" s="4">
        <v>2</v>
      </c>
      <c r="D280" s="4" t="s">
        <v>104</v>
      </c>
      <c r="E280" s="13">
        <v>201200001</v>
      </c>
      <c r="F280" s="22" t="s">
        <v>105</v>
      </c>
      <c r="G280" s="1" t="s">
        <v>36</v>
      </c>
      <c r="H280" s="1">
        <v>23</v>
      </c>
      <c r="I280" s="2">
        <v>100000</v>
      </c>
      <c r="J280" s="1">
        <v>-1</v>
      </c>
      <c r="K280" s="1">
        <v>0</v>
      </c>
      <c r="L280" s="3" t="s">
        <v>33</v>
      </c>
      <c r="M280" s="28" t="s">
        <v>85</v>
      </c>
      <c r="N280">
        <v>100000</v>
      </c>
      <c r="O280" s="15">
        <v>1990000</v>
      </c>
    </row>
    <row r="281" spans="1:15">
      <c r="A281" s="1">
        <v>30040231</v>
      </c>
      <c r="B281" s="4">
        <v>300402</v>
      </c>
      <c r="C281" s="1">
        <v>3</v>
      </c>
      <c r="D281" s="4" t="s">
        <v>115</v>
      </c>
      <c r="E281" s="13">
        <v>300402001</v>
      </c>
      <c r="F281" s="22" t="s">
        <v>116</v>
      </c>
      <c r="G281" s="1" t="s">
        <v>32</v>
      </c>
      <c r="H281" s="1">
        <v>31</v>
      </c>
      <c r="I281" s="23">
        <f t="shared" si="11"/>
        <v>5200</v>
      </c>
      <c r="J281" s="1">
        <v>-1</v>
      </c>
      <c r="K281" s="1">
        <v>0</v>
      </c>
      <c r="L281" s="3" t="s">
        <v>103</v>
      </c>
      <c r="M281" s="28" t="s">
        <v>97</v>
      </c>
      <c r="N281" s="23">
        <v>100</v>
      </c>
      <c r="O281" s="15">
        <v>1970000</v>
      </c>
    </row>
    <row r="282" spans="1:15">
      <c r="A282" s="1">
        <v>30040232</v>
      </c>
      <c r="B282" s="4">
        <v>300402</v>
      </c>
      <c r="C282" s="4">
        <v>3</v>
      </c>
      <c r="D282" s="4" t="s">
        <v>115</v>
      </c>
      <c r="E282" s="13">
        <v>300402001</v>
      </c>
      <c r="F282" s="22" t="s">
        <v>116</v>
      </c>
      <c r="G282" s="1" t="s">
        <v>35</v>
      </c>
      <c r="H282" s="1">
        <v>32</v>
      </c>
      <c r="I282" s="23">
        <f t="shared" si="11"/>
        <v>52000</v>
      </c>
      <c r="J282" s="1">
        <v>-1</v>
      </c>
      <c r="K282" s="1">
        <v>0</v>
      </c>
      <c r="L282" s="3" t="s">
        <v>103</v>
      </c>
      <c r="M282" s="28" t="s">
        <v>97</v>
      </c>
      <c r="N282" s="23">
        <v>1000</v>
      </c>
      <c r="O282" s="15">
        <v>1970000</v>
      </c>
    </row>
    <row r="283" spans="1:15">
      <c r="A283" s="1">
        <v>30040233</v>
      </c>
      <c r="B283" s="4">
        <v>300402</v>
      </c>
      <c r="C283" s="4">
        <v>3</v>
      </c>
      <c r="D283" s="4" t="s">
        <v>115</v>
      </c>
      <c r="E283" s="13">
        <v>300402001</v>
      </c>
      <c r="F283" s="22" t="s">
        <v>116</v>
      </c>
      <c r="G283" s="1" t="s">
        <v>36</v>
      </c>
      <c r="H283" s="1">
        <v>33</v>
      </c>
      <c r="I283" s="23">
        <f t="shared" si="11"/>
        <v>520000</v>
      </c>
      <c r="J283" s="1">
        <v>-1</v>
      </c>
      <c r="K283" s="1">
        <v>0</v>
      </c>
      <c r="L283" s="3" t="s">
        <v>103</v>
      </c>
      <c r="M283" s="28" t="s">
        <v>97</v>
      </c>
      <c r="N283" s="23">
        <v>10000</v>
      </c>
      <c r="O283" s="15">
        <v>1970000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2026-04-22T08:52:51Z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