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状态效果
1：VIP经验加成
2：流水增加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万分比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单位秒</t>
        </r>
      </text>
    </comment>
  </commentList>
</comments>
</file>

<file path=xl/sharedStrings.xml><?xml version="1.0" encoding="utf-8"?>
<sst xmlns="http://schemas.openxmlformats.org/spreadsheetml/2006/main" count="42" uniqueCount="32">
  <si>
    <t>状态ID</t>
  </si>
  <si>
    <t>名称</t>
  </si>
  <si>
    <t>类型</t>
  </si>
  <si>
    <t>参数</t>
  </si>
  <si>
    <t>图标</t>
  </si>
  <si>
    <t>描述</t>
  </si>
  <si>
    <t>最大堆叠数量</t>
  </si>
  <si>
    <t>持续时间</t>
  </si>
  <si>
    <t>时间类型</t>
  </si>
  <si>
    <t>int</t>
  </si>
  <si>
    <t>string</t>
  </si>
  <si>
    <t>id</t>
  </si>
  <si>
    <t>name</t>
  </si>
  <si>
    <t>type</t>
  </si>
  <si>
    <t>staterate</t>
  </si>
  <si>
    <t>icon</t>
  </si>
  <si>
    <t>text</t>
  </si>
  <si>
    <t>prop</t>
  </si>
  <si>
    <t>time</t>
  </si>
  <si>
    <t>timeType</t>
  </si>
  <si>
    <t>VIP经验增加50%</t>
  </si>
  <si>
    <t>VIP经验增加</t>
  </si>
  <si>
    <t>staus_001.png</t>
  </si>
  <si>
    <t>在状态存在期间，获得的VIP经验额外获得0.5倍。</t>
  </si>
  <si>
    <t>获得后重置此时间</t>
  </si>
  <si>
    <t>VIP经验增加100%</t>
  </si>
  <si>
    <t>在状态存在期间，获得的VIP经验额外获得1倍。</t>
  </si>
  <si>
    <t>流水增加100%</t>
  </si>
  <si>
    <t>流水增加</t>
  </si>
  <si>
    <t>staus_002.png</t>
  </si>
  <si>
    <t>在状态存在期间，获得的流水计数额外获得1倍（不影响VIP经验计算）。</t>
  </si>
  <si>
    <t>获得不重置此时间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</si>
</sst>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K10" sqref="K10"/>
    </sheetView>
  </sheetViews>
  <sheetFormatPr defaultColWidth="9" defaultRowHeight="13.5" outlineLevelRow="6"/>
  <cols>
    <col min="3" max="3" width="15.875" customWidth="1"/>
    <col min="7" max="7" width="14.875" customWidth="1"/>
    <col min="8" max="8" width="7.875" customWidth="1"/>
    <col min="12" max="12" width="17.125" customWidth="1"/>
  </cols>
  <sheetData>
    <row r="1" spans="1:11">
      <c r="A1" s="1" t="s">
        <v>0</v>
      </c>
      <c r="B1" s="1"/>
      <c r="C1" s="2" t="s">
        <v>1</v>
      </c>
      <c r="D1" s="2" t="s">
        <v>2</v>
      </c>
      <c r="E1" s="2"/>
      <c r="F1" s="2" t="s">
        <v>3</v>
      </c>
      <c r="G1" s="2" t="s">
        <v>4</v>
      </c>
      <c r="H1" t="s">
        <v>5</v>
      </c>
      <c r="I1" s="2" t="s">
        <v>6</v>
      </c>
      <c r="J1" t="s">
        <v>7</v>
      </c>
      <c r="K1" t="s">
        <v>8</v>
      </c>
    </row>
    <row r="2" spans="1:12">
      <c r="A2" s="2" t="s">
        <v>9</v>
      </c>
      <c r="B2" s="2"/>
      <c r="C2" s="2" t="s">
        <v>10</v>
      </c>
      <c r="D2" s="2" t="s">
        <v>9</v>
      </c>
      <c r="E2" s="3"/>
      <c r="F2" s="2" t="s">
        <v>9</v>
      </c>
      <c r="G2" s="2" t="s">
        <v>10</v>
      </c>
      <c r="H2" s="2" t="s">
        <v>10</v>
      </c>
      <c r="I2" s="2" t="s">
        <v>9</v>
      </c>
      <c r="J2" s="2" t="s">
        <v>9</v>
      </c>
      <c r="K2" s="2" t="s">
        <v>9</v>
      </c>
      <c r="L2" s="6"/>
    </row>
    <row r="3" spans="1:11">
      <c r="A3" s="1" t="s">
        <v>11</v>
      </c>
      <c r="B3" s="1"/>
      <c r="C3" s="2" t="s">
        <v>12</v>
      </c>
      <c r="D3" s="2" t="s">
        <v>13</v>
      </c>
      <c r="E3" s="2"/>
      <c r="F3" s="2" t="s">
        <v>14</v>
      </c>
      <c r="G3" s="2" t="s">
        <v>15</v>
      </c>
      <c r="H3" t="s">
        <v>16</v>
      </c>
      <c r="I3" s="2" t="s">
        <v>17</v>
      </c>
      <c r="J3" t="s">
        <v>18</v>
      </c>
      <c r="K3" t="s">
        <v>19</v>
      </c>
    </row>
    <row r="4" spans="1:2">
      <c r="A4" s="4"/>
      <c r="B4" s="4"/>
    </row>
    <row r="5" spans="1:12">
      <c r="A5">
        <f>D5*10000+B5</f>
        <v>10001</v>
      </c>
      <c r="B5" s="5">
        <f>COUNTIF($E$1:E5,E5)</f>
        <v>1</v>
      </c>
      <c r="C5" t="s">
        <v>20</v>
      </c>
      <c r="D5">
        <v>1</v>
      </c>
      <c r="E5" t="s">
        <v>21</v>
      </c>
      <c r="F5">
        <v>5000</v>
      </c>
      <c r="G5" t="s">
        <v>22</v>
      </c>
      <c r="H5" t="s">
        <v>23</v>
      </c>
      <c r="I5">
        <v>10</v>
      </c>
      <c r="J5">
        <f>24*60*60</f>
        <v>86400</v>
      </c>
      <c r="K5">
        <v>1</v>
      </c>
      <c r="L5" t="s">
        <v>24</v>
      </c>
    </row>
    <row r="6" spans="1:12">
      <c r="A6">
        <f>D6*10000+B6</f>
        <v>10002</v>
      </c>
      <c r="B6" s="5">
        <f>COUNTIF($E$1:E6,E6)</f>
        <v>2</v>
      </c>
      <c r="C6" t="s">
        <v>25</v>
      </c>
      <c r="D6">
        <v>1</v>
      </c>
      <c r="E6" t="s">
        <v>21</v>
      </c>
      <c r="F6">
        <v>10000</v>
      </c>
      <c r="G6" t="s">
        <v>22</v>
      </c>
      <c r="H6" t="s">
        <v>26</v>
      </c>
      <c r="I6">
        <v>10</v>
      </c>
      <c r="J6">
        <f>24*60*60</f>
        <v>86400</v>
      </c>
      <c r="K6">
        <v>1</v>
      </c>
      <c r="L6" t="s">
        <v>24</v>
      </c>
    </row>
    <row r="7" spans="1:12">
      <c r="A7">
        <f>D7*10000+B7</f>
        <v>20001</v>
      </c>
      <c r="B7" s="5">
        <f>COUNTIF($E$1:E7,E7)</f>
        <v>1</v>
      </c>
      <c r="C7" t="s">
        <v>27</v>
      </c>
      <c r="D7">
        <v>2</v>
      </c>
      <c r="E7" t="s">
        <v>28</v>
      </c>
      <c r="F7">
        <v>10000</v>
      </c>
      <c r="G7" t="s">
        <v>29</v>
      </c>
      <c r="H7" t="s">
        <v>30</v>
      </c>
      <c r="I7">
        <v>10</v>
      </c>
      <c r="J7">
        <f>24*60*60</f>
        <v>86400</v>
      </c>
      <c r="K7">
        <v>2</v>
      </c>
      <c r="L7" t="s">
        <v>31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2023-05-12T11:15:00Z</dcterms:created>
  <dcterms:modified xsi:type="dcterms:W3CDTF">2025-08-07T09:19:21Z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5EEBAB4F3E6047DE814E09AE7AD5B855_12</vt:lpwstr>
  </property>
</Properties>
</file>