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I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1：可使用道具
2：常规道具
3：自动使用（激活）
---------------
每种货币一个类型ID
99:金币
98：钻石
97：贝币
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1：白
2：绿
3：蓝
4：紫
5：橙
6：红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当值为1时，不在背包内显示
为0时，不处理
</t>
        </r>
      </text>
    </comment>
    <comment ref="K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为TRUE时，会调用多语言包内的同名资源</t>
        </r>
      </text>
    </comment>
    <comment ref="P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道具ID，道具数量；</t>
        </r>
      </text>
    </comment>
    <comment ref="Q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 dropGroup.xlsx配置表中 trunkID 字中的值
</t>
        </r>
      </text>
    </comment>
    <comment ref="F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兼容之前的框架，不需要再加新货币类型了</t>
        </r>
      </text>
    </comment>
    <comment ref="F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此类道具最多只能有1个，多余将被分解，在背包不可见</t>
        </r>
      </text>
    </comment>
  </commentList>
</comments>
</file>

<file path=xl/sharedStrings.xml><?xml version="1.0" encoding="utf-8"?>
<sst xmlns="http://schemas.openxmlformats.org/spreadsheetml/2006/main" count="288" uniqueCount="174">
  <si>
    <t>道具ID</t>
  </si>
  <si>
    <t>名称多语言ID</t>
  </si>
  <si>
    <t>备注</t>
  </si>
  <si>
    <t>类型</t>
  </si>
  <si>
    <t>道具品质</t>
  </si>
  <si>
    <t>是否允许在背包内展示</t>
  </si>
  <si>
    <t>图标资源名</t>
  </si>
  <si>
    <t>描述多语言ID</t>
  </si>
  <si>
    <t>是否需要调用多语言</t>
  </si>
  <si>
    <t>激活的装扮</t>
  </si>
  <si>
    <t>自动激活的图鉴ID</t>
  </si>
  <si>
    <t>最大堆叠数量</t>
  </si>
  <si>
    <t>使用道具后获得道具</t>
  </si>
  <si>
    <t>掉落ID</t>
  </si>
  <si>
    <t>价值/美元</t>
  </si>
  <si>
    <t>int</t>
  </si>
  <si>
    <t>string</t>
  </si>
  <si>
    <t>bool</t>
  </si>
  <si>
    <t>map&lt;int{_}long&gt;{;}</t>
  </si>
  <si>
    <t>id</t>
  </si>
  <si>
    <t>name</t>
  </si>
  <si>
    <t>type</t>
  </si>
  <si>
    <t>quality</t>
  </si>
  <si>
    <t>displayOrNot</t>
  </si>
  <si>
    <t>icon</t>
  </si>
  <si>
    <t>text</t>
  </si>
  <si>
    <t>needlanguage</t>
  </si>
  <si>
    <t>avatarID</t>
  </si>
  <si>
    <t>album</t>
  </si>
  <si>
    <t>prop</t>
  </si>
  <si>
    <t>getItem</t>
  </si>
  <si>
    <t>dropId</t>
  </si>
  <si>
    <t>金币</t>
  </si>
  <si>
    <t>货币</t>
  </si>
  <si>
    <t>jinbi_1.png</t>
  </si>
  <si>
    <t>下注时需要用的货币</t>
  </si>
  <si>
    <t>钻石</t>
  </si>
  <si>
    <t>jinbi_11.png</t>
  </si>
  <si>
    <t>在私密房间内下注时需要用的货币，同时是使用部分功能需要消耗的特殊货币</t>
  </si>
  <si>
    <t>贝币</t>
  </si>
  <si>
    <t>wddc_beibi.png</t>
  </si>
  <si>
    <t>在体验场房间使用的特殊货币</t>
  </si>
  <si>
    <t>白金卡</t>
  </si>
  <si>
    <t>常规道具</t>
  </si>
  <si>
    <t>itemicon_1020001.png</t>
  </si>
  <si>
    <t>创建私人包房时可以抵扣钻石</t>
  </si>
  <si>
    <t>祈福卡</t>
  </si>
  <si>
    <t>daoju_4.png</t>
  </si>
  <si>
    <t>在搖錢樹活動中祈福使用，可在指定禮包中購買獲得</t>
  </si>
  <si>
    <t>刮刮卡</t>
  </si>
  <si>
    <t>daoju_5.png</t>
  </si>
  <si>
    <t>在指定的游戏中产出</t>
  </si>
  <si>
    <t>夺宝优惠券</t>
  </si>
  <si>
    <t>itemicon_duobaoquan.png</t>
  </si>
  <si>
    <t>赌场工具（普通）</t>
  </si>
  <si>
    <t>可使用道具</t>
  </si>
  <si>
    <t>wdcc_ccb_1.png</t>
  </si>
  <si>
    <t>使用后随机获得1~2星赌场建筑升级道具</t>
  </si>
  <si>
    <t>赌场工具（精良）</t>
  </si>
  <si>
    <t>wdcc_ccb_2.png</t>
  </si>
  <si>
    <t>赌场工具（优秀）</t>
  </si>
  <si>
    <t>wdcc_ccb_3.png</t>
  </si>
  <si>
    <t>使用后随机获得1~3星赌场建筑升级道具</t>
  </si>
  <si>
    <t>赌场工具（绝佳）</t>
  </si>
  <si>
    <t>itemicon_1010101.png</t>
  </si>
  <si>
    <t>使用后随机获得1~4星赌场建筑升级道具</t>
  </si>
  <si>
    <t>赌场工具（传奇）</t>
  </si>
  <si>
    <t>使用后随机获得1~5星赌场建筑升级道具</t>
  </si>
  <si>
    <t>头像2</t>
  </si>
  <si>
    <t>itemicon_1031001.png</t>
  </si>
  <si>
    <t>头像3</t>
  </si>
  <si>
    <t>itemicon_1031002.png</t>
  </si>
  <si>
    <t>头像框2</t>
  </si>
  <si>
    <t>itemicon_1031201.png</t>
  </si>
  <si>
    <t>头像框3</t>
  </si>
  <si>
    <t>itemicon_1031202.png</t>
  </si>
  <si>
    <t>头像框-每日奖金</t>
  </si>
  <si>
    <t>frame_801.png</t>
  </si>
  <si>
    <t>头像框-首充专属</t>
  </si>
  <si>
    <t>frame_018.png</t>
  </si>
  <si>
    <t>国旗2</t>
  </si>
  <si>
    <t>itemicon_1022503.png</t>
  </si>
  <si>
    <t>国旗3</t>
  </si>
  <si>
    <t>头衔1-财富贵族</t>
  </si>
  <si>
    <t>daoju1_8.png</t>
  </si>
  <si>
    <t>头衔2-一夜暴富</t>
  </si>
  <si>
    <t>daoju_9.png</t>
  </si>
  <si>
    <t>头衔3-四方来财</t>
  </si>
  <si>
    <t>daoju1_7.png</t>
  </si>
  <si>
    <t>筹码2-翡翠贵族</t>
  </si>
  <si>
    <t>daoju1_1.png</t>
  </si>
  <si>
    <t>筹码3-水晶皇室</t>
  </si>
  <si>
    <t>daoju1_2.png</t>
  </si>
  <si>
    <t>牌背2-神秘塔罗</t>
  </si>
  <si>
    <t>daoju1_3.png</t>
  </si>
  <si>
    <t>牌背3-命运之手</t>
  </si>
  <si>
    <t>daoju1_4.png</t>
  </si>
  <si>
    <t>大厅背景2-决赛之夜</t>
  </si>
  <si>
    <t>daoju1_5.png</t>
  </si>
  <si>
    <t>大厅背景3-度假海滩</t>
  </si>
  <si>
    <t>daoju1_6.png</t>
  </si>
  <si>
    <t>积分</t>
  </si>
  <si>
    <t>itemicon_1022504.png</t>
  </si>
  <si>
    <t>在[积分大奖]活动中产出</t>
  </si>
  <si>
    <t>1星扳手</t>
  </si>
  <si>
    <t>wddc_bs_1.png</t>
  </si>
  <si>
    <t>升级机台的必要道具</t>
  </si>
  <si>
    <t>2星扳手</t>
  </si>
  <si>
    <t>wddc_bs_2.png</t>
  </si>
  <si>
    <t>3星扳手</t>
  </si>
  <si>
    <t>wddc_bs_3.png</t>
  </si>
  <si>
    <t>4星扳手</t>
  </si>
  <si>
    <t>wddc_bs_4.png</t>
  </si>
  <si>
    <t>5星扳手</t>
  </si>
  <si>
    <t>wddc_bs_5.png</t>
  </si>
  <si>
    <t>1星筹码</t>
  </si>
  <si>
    <t>wddc_cm_1.png</t>
  </si>
  <si>
    <t>升级牌桌和转盘的必要道具</t>
  </si>
  <si>
    <t>2星筹码</t>
  </si>
  <si>
    <t>wddc_cm_2.png</t>
  </si>
  <si>
    <t>3星筹码</t>
  </si>
  <si>
    <t>wddc_cm_3.png</t>
  </si>
  <si>
    <t>4星筹码</t>
  </si>
  <si>
    <t>wddc_cm_4.png</t>
  </si>
  <si>
    <t>5星筹码</t>
  </si>
  <si>
    <t>wddc_cm_5.png</t>
  </si>
  <si>
    <t>1星螺母</t>
  </si>
  <si>
    <t>wddc_lsd_1.png</t>
  </si>
  <si>
    <t>升级提款机的必要道具</t>
  </si>
  <si>
    <t>2星螺母</t>
  </si>
  <si>
    <t>wddc_lsd_2.png</t>
  </si>
  <si>
    <t>3星螺母</t>
  </si>
  <si>
    <t>wddc_lsd_3.png</t>
  </si>
  <si>
    <t>4星螺母</t>
  </si>
  <si>
    <t>wddc_lsd_4.png</t>
  </si>
  <si>
    <t>5星螺母</t>
  </si>
  <si>
    <t>wddc_lsd_5.png</t>
  </si>
  <si>
    <t>1星木材</t>
  </si>
  <si>
    <t>wddc_mt_1.png</t>
  </si>
  <si>
    <t>升级休息区的必要道具</t>
  </si>
  <si>
    <t>2星木材</t>
  </si>
  <si>
    <t>wddc_mt_2.png</t>
  </si>
  <si>
    <t>3星木材</t>
  </si>
  <si>
    <t>wddc_mt_3.png</t>
  </si>
  <si>
    <t>4星木材</t>
  </si>
  <si>
    <t>wddc_mt_4.png</t>
  </si>
  <si>
    <t>5星木材</t>
  </si>
  <si>
    <t>wddc_mt_5.png</t>
  </si>
  <si>
    <t>1星酒瓶</t>
  </si>
  <si>
    <t>wddc_pz_1.png</t>
  </si>
  <si>
    <t>升级酒水区的必要道具</t>
  </si>
  <si>
    <t>2星酒瓶</t>
  </si>
  <si>
    <t>wddc_pz_2.png</t>
  </si>
  <si>
    <t>3星酒瓶</t>
  </si>
  <si>
    <t>wddc_pz_3.png</t>
  </si>
  <si>
    <t>4星酒瓶</t>
  </si>
  <si>
    <t>wddc_pz_4.png</t>
  </si>
  <si>
    <t>5星酒瓶</t>
  </si>
  <si>
    <t>wddc_pz_5.png</t>
  </si>
  <si>
    <t>能量</t>
  </si>
  <si>
    <t>SLOT游戏需求材料</t>
  </si>
  <si>
    <t>知名度</t>
  </si>
  <si>
    <t>建筑收益</t>
  </si>
  <si>
    <t>曝光度</t>
  </si>
  <si>
    <t>经营经验</t>
  </si>
  <si>
    <t>研究点</t>
  </si>
  <si>
    <t>升级游戏特殊词条</t>
  </si>
  <si>
    <t>稀有研究点</t>
  </si>
  <si>
    <t>加速卡</t>
  </si>
  <si>
    <t>加速建筑升级的CD时间</t>
  </si>
  <si>
    <t>雇员升级材料1</t>
  </si>
  <si>
    <t>雇员升级材料2</t>
  </si>
  <si>
    <t>雇员升级材料3</t>
  </si>
  <si>
    <t>游客升级经验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</si>
</sst>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0" fontId="0" fillId="0" borderId="0" xfId="0" applyAlignment="1">
      <alignment horizontal="left" vertical="center"/>
    </xf>
    <xf numFmtId="0" fontId="0" fillId="3" borderId="0" xfId="0" applyFill="1">
      <alignment vertical="center"/>
    </xf>
    <xf numFmtId="3" fontId="1" fillId="2" borderId="0" xfId="0" applyNumberFormat="1" applyFont="1" applyFill="1">
      <alignment vertical="center"/>
    </xf>
    <xf numFmtId="0" fontId="0" fillId="2" borderId="0" xfId="0" applyFill="1">
      <alignment vertical="center"/>
    </xf>
    <xf numFmtId="0" fontId="2" fillId="3" borderId="0" xfId="0" applyFont="1" applyFill="1">
      <alignment vertical="center"/>
    </xf>
    <xf numFmtId="0" fontId="2" fillId="4" borderId="0" xfId="0" applyFont="1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0"/>
  <sheetViews>
    <sheetView tabSelected="1" zoomScale="85" zoomScaleNormal="85" workbookViewId="0">
      <pane ySplit="4" topLeftCell="A45" activePane="bottomLeft" state="frozen"/>
      <selection/>
      <selection pane="bottomLeft" activeCell="K81" sqref="K81"/>
    </sheetView>
  </sheetViews>
  <sheetFormatPr defaultColWidth="9" defaultRowHeight="13.5"/>
  <cols>
    <col min="1" max="1" width="8.375" customWidth="1"/>
    <col min="2" max="2" width="5.375" customWidth="1"/>
    <col min="3" max="3" width="13.125" customWidth="1"/>
    <col min="4" max="4" width="19.375" customWidth="1"/>
    <col min="5" max="5" width="5.375" customWidth="1"/>
    <col min="6" max="6" width="10.875" customWidth="1"/>
    <col min="7" max="7" width="8.875" customWidth="1"/>
    <col min="8" max="8" width="21.25" customWidth="1"/>
    <col min="9" max="9" width="26" customWidth="1"/>
    <col min="10" max="10" width="13.125" customWidth="1"/>
    <col min="11" max="11" width="15.8833333333333" customWidth="1"/>
    <col min="12" max="12" width="37.6416666666667" customWidth="1"/>
    <col min="13" max="13" width="10.875" customWidth="1"/>
    <col min="14" max="14" width="17.25" customWidth="1"/>
    <col min="15" max="15" width="12.875" customWidth="1"/>
    <col min="16" max="16" width="20.375" customWidth="1"/>
    <col min="17" max="17" width="8.375" customWidth="1"/>
    <col min="18" max="18" width="12.625" customWidth="1"/>
    <col min="21" max="21" width="9.375"/>
  </cols>
  <sheetData>
    <row r="1" spans="1:18">
      <c r="A1" s="3" t="s">
        <v>0</v>
      </c>
      <c r="B1" s="3"/>
      <c r="C1" s="4" t="s">
        <v>1</v>
      </c>
      <c r="D1" s="4" t="s">
        <v>2</v>
      </c>
      <c r="E1" s="4" t="s">
        <v>3</v>
      </c>
      <c r="F1" s="4"/>
      <c r="G1" s="4" t="s">
        <v>4</v>
      </c>
      <c r="H1" s="4" t="s">
        <v>5</v>
      </c>
      <c r="I1" s="4" t="s">
        <v>6</v>
      </c>
      <c r="J1" t="s">
        <v>7</v>
      </c>
      <c r="K1" t="s">
        <v>8</v>
      </c>
      <c r="M1" t="s">
        <v>9</v>
      </c>
      <c r="N1" t="s">
        <v>10</v>
      </c>
      <c r="O1" s="4" t="s">
        <v>11</v>
      </c>
      <c r="P1" t="s">
        <v>12</v>
      </c>
      <c r="Q1" t="s">
        <v>13</v>
      </c>
      <c r="R1" t="s">
        <v>14</v>
      </c>
    </row>
    <row r="2" spans="1:18">
      <c r="A2" s="4" t="s">
        <v>15</v>
      </c>
      <c r="B2" s="4"/>
      <c r="C2" s="4" t="s">
        <v>15</v>
      </c>
      <c r="D2" s="4"/>
      <c r="E2" s="4" t="s">
        <v>15</v>
      </c>
      <c r="F2" s="5"/>
      <c r="G2" s="4" t="s">
        <v>15</v>
      </c>
      <c r="H2" s="4" t="s">
        <v>15</v>
      </c>
      <c r="I2" s="4" t="s">
        <v>16</v>
      </c>
      <c r="J2" s="4" t="s">
        <v>15</v>
      </c>
      <c r="K2" s="4" t="s">
        <v>17</v>
      </c>
      <c r="L2" s="4"/>
      <c r="M2" s="4" t="s">
        <v>15</v>
      </c>
      <c r="N2" s="4" t="s">
        <v>15</v>
      </c>
      <c r="O2" s="4" t="s">
        <v>15</v>
      </c>
      <c r="P2" t="s">
        <v>18</v>
      </c>
      <c r="Q2" t="s">
        <v>15</v>
      </c>
    </row>
    <row r="3" spans="1:18">
      <c r="A3" s="3" t="s">
        <v>19</v>
      </c>
      <c r="B3" s="3"/>
      <c r="C3" s="4" t="s">
        <v>20</v>
      </c>
      <c r="D3" s="4"/>
      <c r="E3" s="4" t="s">
        <v>21</v>
      </c>
      <c r="F3" s="4"/>
      <c r="G3" s="4" t="s">
        <v>22</v>
      </c>
      <c r="H3" s="4" t="s">
        <v>23</v>
      </c>
      <c r="I3" s="4" t="s">
        <v>24</v>
      </c>
      <c r="J3" t="s">
        <v>25</v>
      </c>
      <c r="K3" t="s">
        <v>26</v>
      </c>
      <c r="M3" t="s">
        <v>27</v>
      </c>
      <c r="N3" t="s">
        <v>28</v>
      </c>
      <c r="O3" s="4" t="s">
        <v>29</v>
      </c>
      <c r="P3" t="s">
        <v>30</v>
      </c>
      <c r="Q3" t="s">
        <v>31</v>
      </c>
    </row>
    <row r="4" spans="1:18">
      <c r="A4" s="6"/>
      <c r="B4" s="6"/>
    </row>
    <row r="5" spans="1:18">
      <c r="A5">
        <v>1990000</v>
      </c>
      <c r="B5" s="7">
        <v>0</v>
      </c>
      <c r="C5">
        <v>1990000</v>
      </c>
      <c r="D5" t="s">
        <v>32</v>
      </c>
      <c r="E5">
        <v>99</v>
      </c>
      <c r="F5" t="s">
        <v>33</v>
      </c>
      <c r="G5">
        <v>1</v>
      </c>
      <c r="H5">
        <v>0</v>
      </c>
      <c r="I5" t="s">
        <v>34</v>
      </c>
      <c r="J5">
        <v>2990000</v>
      </c>
      <c r="K5" t="b">
        <v>0</v>
      </c>
      <c r="L5" t="s">
        <v>35</v>
      </c>
      <c r="O5">
        <v>-1</v>
      </c>
      <c r="R5">
        <f>1/700000</f>
        <v>1.42857142857143e-6</v>
      </c>
    </row>
    <row r="6" spans="1:18">
      <c r="A6">
        <v>1980000</v>
      </c>
      <c r="B6" s="7">
        <v>0</v>
      </c>
      <c r="C6">
        <v>1980000</v>
      </c>
      <c r="D6" t="s">
        <v>36</v>
      </c>
      <c r="E6">
        <v>98</v>
      </c>
      <c r="F6" t="s">
        <v>33</v>
      </c>
      <c r="G6">
        <v>1</v>
      </c>
      <c r="H6">
        <v>0</v>
      </c>
      <c r="I6" t="s">
        <v>37</v>
      </c>
      <c r="J6">
        <v>2980000</v>
      </c>
      <c r="K6" t="b">
        <v>0</v>
      </c>
      <c r="L6" t="s">
        <v>38</v>
      </c>
      <c r="O6">
        <v>-1</v>
      </c>
      <c r="R6">
        <f>1/700</f>
        <v>0.00142857142857143</v>
      </c>
    </row>
    <row r="7" spans="1:18">
      <c r="A7">
        <v>1970000</v>
      </c>
      <c r="B7" s="7">
        <v>0</v>
      </c>
      <c r="C7">
        <v>1970000</v>
      </c>
      <c r="D7" t="s">
        <v>39</v>
      </c>
      <c r="E7">
        <v>97</v>
      </c>
      <c r="F7" t="s">
        <v>33</v>
      </c>
      <c r="G7">
        <v>1</v>
      </c>
      <c r="H7">
        <v>0</v>
      </c>
      <c r="I7" t="s">
        <v>40</v>
      </c>
      <c r="J7">
        <v>2970000</v>
      </c>
      <c r="K7" t="b">
        <v>0</v>
      </c>
      <c r="L7" t="s">
        <v>41</v>
      </c>
      <c r="O7">
        <v>-1</v>
      </c>
    </row>
    <row r="8" spans="1:18">
      <c r="A8">
        <v>1020001</v>
      </c>
      <c r="B8" s="7">
        <v>1</v>
      </c>
      <c r="C8">
        <v>1020001</v>
      </c>
      <c r="D8" t="s">
        <v>42</v>
      </c>
      <c r="E8">
        <v>2</v>
      </c>
      <c r="F8" t="s">
        <v>43</v>
      </c>
      <c r="G8">
        <v>1</v>
      </c>
      <c r="H8">
        <v>0</v>
      </c>
      <c r="I8" t="s">
        <v>44</v>
      </c>
      <c r="J8">
        <v>2020001</v>
      </c>
      <c r="K8" t="b">
        <v>0</v>
      </c>
      <c r="L8" t="s">
        <v>45</v>
      </c>
      <c r="O8">
        <v>999</v>
      </c>
    </row>
    <row r="9" spans="1:18">
      <c r="A9">
        <v>1022501</v>
      </c>
      <c r="B9">
        <v>2501</v>
      </c>
      <c r="C9">
        <v>1202501</v>
      </c>
      <c r="D9" t="s">
        <v>46</v>
      </c>
      <c r="E9">
        <v>2</v>
      </c>
      <c r="F9" t="s">
        <v>43</v>
      </c>
      <c r="G9">
        <v>1</v>
      </c>
      <c r="H9">
        <v>0</v>
      </c>
      <c r="I9" t="s">
        <v>47</v>
      </c>
      <c r="J9">
        <v>2022501</v>
      </c>
      <c r="K9" t="b">
        <v>0</v>
      </c>
      <c r="L9" t="s">
        <v>48</v>
      </c>
      <c r="O9">
        <v>999</v>
      </c>
      <c r="R9">
        <v>0.05</v>
      </c>
    </row>
    <row r="10" spans="1:18">
      <c r="A10">
        <v>1022502</v>
      </c>
      <c r="B10">
        <v>2502</v>
      </c>
      <c r="C10">
        <v>1202502</v>
      </c>
      <c r="D10" t="s">
        <v>49</v>
      </c>
      <c r="E10">
        <v>2</v>
      </c>
      <c r="F10" t="s">
        <v>43</v>
      </c>
      <c r="G10">
        <v>1</v>
      </c>
      <c r="H10">
        <v>0</v>
      </c>
      <c r="I10" t="s">
        <v>50</v>
      </c>
      <c r="J10">
        <v>2022502</v>
      </c>
      <c r="K10" t="b">
        <v>0</v>
      </c>
      <c r="L10" t="s">
        <v>51</v>
      </c>
      <c r="O10">
        <v>999</v>
      </c>
      <c r="R10">
        <v>0.99</v>
      </c>
    </row>
    <row r="11" spans="1:18">
      <c r="A11">
        <v>1022503</v>
      </c>
      <c r="B11">
        <v>2503</v>
      </c>
      <c r="C11">
        <v>1202503</v>
      </c>
      <c r="D11" t="s">
        <v>52</v>
      </c>
      <c r="E11">
        <v>2</v>
      </c>
      <c r="F11" t="s">
        <v>43</v>
      </c>
      <c r="G11">
        <v>1</v>
      </c>
      <c r="H11">
        <v>0</v>
      </c>
      <c r="I11" t="s">
        <v>53</v>
      </c>
      <c r="J11">
        <v>2022503</v>
      </c>
      <c r="K11" t="b">
        <v>0</v>
      </c>
      <c r="L11" t="s">
        <v>51</v>
      </c>
      <c r="O11">
        <v>999</v>
      </c>
      <c r="R11">
        <v>0.99</v>
      </c>
    </row>
    <row r="12" s="1" customFormat="1" spans="1:18">
      <c r="A12" s="1">
        <v>1010301</v>
      </c>
      <c r="B12" s="1">
        <v>301</v>
      </c>
      <c r="C12" s="1">
        <v>1100301</v>
      </c>
      <c r="D12" s="1" t="s">
        <v>54</v>
      </c>
      <c r="E12" s="1">
        <v>1</v>
      </c>
      <c r="F12" s="1" t="s">
        <v>55</v>
      </c>
      <c r="G12" s="1">
        <v>2</v>
      </c>
      <c r="H12">
        <v>0</v>
      </c>
      <c r="I12" s="1" t="s">
        <v>56</v>
      </c>
      <c r="J12" s="1">
        <v>2010301</v>
      </c>
      <c r="K12" t="b">
        <v>0</v>
      </c>
      <c r="L12" s="1" t="s">
        <v>57</v>
      </c>
      <c r="O12" s="1">
        <v>999</v>
      </c>
      <c r="P12" s="8"/>
      <c r="Q12" s="1">
        <v>1010301</v>
      </c>
      <c r="R12" s="1">
        <v>0.099</v>
      </c>
    </row>
    <row r="13" s="1" customFormat="1" spans="1:18">
      <c r="A13" s="1">
        <v>1010302</v>
      </c>
      <c r="B13" s="1">
        <v>302</v>
      </c>
      <c r="C13" s="1">
        <v>1100302</v>
      </c>
      <c r="D13" s="1" t="s">
        <v>58</v>
      </c>
      <c r="E13" s="1">
        <v>1</v>
      </c>
      <c r="F13" s="1" t="s">
        <v>55</v>
      </c>
      <c r="G13" s="1">
        <v>3</v>
      </c>
      <c r="H13">
        <v>0</v>
      </c>
      <c r="I13" s="1" t="s">
        <v>59</v>
      </c>
      <c r="J13" s="1">
        <v>2010302</v>
      </c>
      <c r="K13" t="b">
        <v>0</v>
      </c>
      <c r="L13" s="1" t="s">
        <v>57</v>
      </c>
      <c r="O13" s="1">
        <v>999</v>
      </c>
      <c r="P13" s="8"/>
      <c r="Q13" s="1">
        <v>1010302</v>
      </c>
      <c r="R13" s="1">
        <f>R12*2</f>
        <v>0.198</v>
      </c>
    </row>
    <row r="14" s="1" customFormat="1" spans="1:18">
      <c r="A14" s="1">
        <v>1010303</v>
      </c>
      <c r="B14" s="1">
        <v>303</v>
      </c>
      <c r="C14" s="1">
        <v>1100303</v>
      </c>
      <c r="D14" s="1" t="s">
        <v>60</v>
      </c>
      <c r="E14" s="1">
        <v>1</v>
      </c>
      <c r="F14" s="1" t="s">
        <v>55</v>
      </c>
      <c r="G14" s="1">
        <v>4</v>
      </c>
      <c r="H14">
        <v>0</v>
      </c>
      <c r="I14" s="1" t="s">
        <v>61</v>
      </c>
      <c r="J14" s="1">
        <v>2010303</v>
      </c>
      <c r="K14" t="b">
        <v>0</v>
      </c>
      <c r="L14" s="1" t="s">
        <v>62</v>
      </c>
      <c r="O14" s="1">
        <v>999</v>
      </c>
      <c r="P14" s="8"/>
      <c r="Q14" s="1">
        <v>1010303</v>
      </c>
      <c r="R14" s="1">
        <f>R12*6</f>
        <v>0.594</v>
      </c>
    </row>
    <row r="15" s="1" customFormat="1" spans="1:18">
      <c r="A15" s="1">
        <v>1010304</v>
      </c>
      <c r="B15" s="1">
        <v>304</v>
      </c>
      <c r="C15" s="1">
        <v>1100304</v>
      </c>
      <c r="D15" s="1" t="s">
        <v>63</v>
      </c>
      <c r="E15" s="1">
        <v>1</v>
      </c>
      <c r="F15" s="1" t="s">
        <v>55</v>
      </c>
      <c r="G15" s="1">
        <v>5</v>
      </c>
      <c r="H15">
        <v>0</v>
      </c>
      <c r="I15" s="1" t="s">
        <v>64</v>
      </c>
      <c r="J15" s="1">
        <v>2010304</v>
      </c>
      <c r="K15" t="b">
        <v>0</v>
      </c>
      <c r="L15" s="1" t="s">
        <v>65</v>
      </c>
      <c r="O15" s="1">
        <v>999</v>
      </c>
      <c r="P15" s="8"/>
      <c r="Q15" s="1">
        <v>1010304</v>
      </c>
      <c r="R15" s="1">
        <f>R12*8</f>
        <v>0.792</v>
      </c>
    </row>
    <row r="16" s="1" customFormat="1" spans="1:18">
      <c r="A16" s="1">
        <v>1010305</v>
      </c>
      <c r="B16" s="1">
        <v>305</v>
      </c>
      <c r="C16" s="1">
        <v>1100305</v>
      </c>
      <c r="D16" s="1" t="s">
        <v>66</v>
      </c>
      <c r="E16" s="1">
        <v>1</v>
      </c>
      <c r="F16" s="1" t="s">
        <v>55</v>
      </c>
      <c r="G16" s="1">
        <v>6</v>
      </c>
      <c r="H16">
        <v>0</v>
      </c>
      <c r="I16" s="1" t="s">
        <v>64</v>
      </c>
      <c r="J16" s="1">
        <v>2010305</v>
      </c>
      <c r="K16" t="b">
        <v>0</v>
      </c>
      <c r="L16" s="1" t="s">
        <v>67</v>
      </c>
      <c r="O16" s="1">
        <v>999</v>
      </c>
      <c r="P16" s="8"/>
      <c r="Q16" s="1">
        <v>1010305</v>
      </c>
      <c r="R16" s="1">
        <f>R12*10</f>
        <v>0.99</v>
      </c>
    </row>
    <row r="17" spans="1:15">
      <c r="A17">
        <v>1031001</v>
      </c>
      <c r="B17" s="7">
        <v>1001</v>
      </c>
      <c r="C17">
        <v>1301001</v>
      </c>
      <c r="D17" s="7" t="s">
        <v>68</v>
      </c>
      <c r="E17">
        <v>3</v>
      </c>
      <c r="F17" t="s">
        <v>43</v>
      </c>
      <c r="G17">
        <v>1</v>
      </c>
      <c r="H17">
        <v>1</v>
      </c>
      <c r="I17" t="s">
        <v>69</v>
      </c>
      <c r="J17">
        <v>2031001</v>
      </c>
      <c r="K17" t="b">
        <v>0</v>
      </c>
      <c r="M17">
        <v>2</v>
      </c>
      <c r="O17">
        <v>1</v>
      </c>
    </row>
    <row r="18" spans="1:15">
      <c r="A18">
        <v>1031002</v>
      </c>
      <c r="B18" s="7">
        <v>1002</v>
      </c>
      <c r="C18">
        <v>1301002</v>
      </c>
      <c r="D18" s="7" t="s">
        <v>70</v>
      </c>
      <c r="E18">
        <v>3</v>
      </c>
      <c r="F18" t="s">
        <v>43</v>
      </c>
      <c r="G18">
        <v>1</v>
      </c>
      <c r="H18">
        <v>1</v>
      </c>
      <c r="I18" t="s">
        <v>71</v>
      </c>
      <c r="J18">
        <v>2031002</v>
      </c>
      <c r="K18" t="b">
        <v>0</v>
      </c>
      <c r="M18">
        <v>3</v>
      </c>
      <c r="O18">
        <v>1</v>
      </c>
    </row>
    <row r="19" spans="1:15">
      <c r="A19">
        <v>1031201</v>
      </c>
      <c r="B19" s="7">
        <v>1201</v>
      </c>
      <c r="C19">
        <v>1301201</v>
      </c>
      <c r="D19" t="s">
        <v>72</v>
      </c>
      <c r="E19">
        <v>3</v>
      </c>
      <c r="F19" t="s">
        <v>43</v>
      </c>
      <c r="G19">
        <v>1</v>
      </c>
      <c r="H19">
        <v>1</v>
      </c>
      <c r="I19" t="s">
        <v>73</v>
      </c>
      <c r="J19">
        <v>2031201</v>
      </c>
      <c r="K19" t="b">
        <v>0</v>
      </c>
      <c r="M19">
        <v>1002</v>
      </c>
      <c r="O19">
        <v>1</v>
      </c>
    </row>
    <row r="20" spans="1:15">
      <c r="A20">
        <v>1031202</v>
      </c>
      <c r="B20" s="7">
        <v>1202</v>
      </c>
      <c r="C20">
        <v>1301202</v>
      </c>
      <c r="D20" t="s">
        <v>74</v>
      </c>
      <c r="E20">
        <v>3</v>
      </c>
      <c r="F20" t="s">
        <v>43</v>
      </c>
      <c r="G20">
        <v>1</v>
      </c>
      <c r="H20">
        <v>1</v>
      </c>
      <c r="I20" t="s">
        <v>75</v>
      </c>
      <c r="J20">
        <v>2031202</v>
      </c>
      <c r="K20" t="b">
        <v>0</v>
      </c>
      <c r="M20">
        <v>1003</v>
      </c>
      <c r="O20">
        <v>1</v>
      </c>
    </row>
    <row r="21" spans="1:15">
      <c r="A21">
        <v>1031350</v>
      </c>
      <c r="B21" s="7">
        <v>1350</v>
      </c>
      <c r="C21">
        <v>101801</v>
      </c>
      <c r="D21" t="s">
        <v>76</v>
      </c>
      <c r="E21">
        <v>3</v>
      </c>
      <c r="F21" t="s">
        <v>43</v>
      </c>
      <c r="G21">
        <v>1</v>
      </c>
      <c r="H21">
        <v>1</v>
      </c>
      <c r="I21" t="s">
        <v>77</v>
      </c>
      <c r="J21">
        <v>201801</v>
      </c>
      <c r="K21" t="b">
        <v>0</v>
      </c>
      <c r="M21" s="2">
        <v>1005</v>
      </c>
      <c r="O21">
        <v>1</v>
      </c>
    </row>
    <row r="22" spans="1:15">
      <c r="A22">
        <v>1031351</v>
      </c>
      <c r="B22" s="7">
        <v>1351</v>
      </c>
      <c r="C22">
        <v>101802</v>
      </c>
      <c r="D22" t="s">
        <v>78</v>
      </c>
      <c r="E22">
        <v>3</v>
      </c>
      <c r="F22" t="s">
        <v>43</v>
      </c>
      <c r="G22">
        <v>1</v>
      </c>
      <c r="H22">
        <v>1</v>
      </c>
      <c r="I22" t="s">
        <v>79</v>
      </c>
      <c r="J22">
        <v>201802</v>
      </c>
      <c r="K22" t="b">
        <v>0</v>
      </c>
      <c r="M22" s="2">
        <v>1006</v>
      </c>
      <c r="O22">
        <v>1</v>
      </c>
    </row>
    <row r="23" spans="1:15">
      <c r="A23">
        <v>1021401</v>
      </c>
      <c r="B23" s="7">
        <v>1401</v>
      </c>
      <c r="C23">
        <v>1201401</v>
      </c>
      <c r="D23" s="9" t="s">
        <v>80</v>
      </c>
      <c r="E23">
        <v>2</v>
      </c>
      <c r="F23" t="s">
        <v>43</v>
      </c>
      <c r="G23">
        <v>1</v>
      </c>
      <c r="H23">
        <v>1</v>
      </c>
      <c r="I23" t="s">
        <v>81</v>
      </c>
      <c r="J23">
        <v>2021401</v>
      </c>
      <c r="K23" t="b">
        <v>0</v>
      </c>
      <c r="M23">
        <v>2002</v>
      </c>
      <c r="O23">
        <v>1</v>
      </c>
    </row>
    <row r="24" spans="1:15">
      <c r="A24">
        <v>1021402</v>
      </c>
      <c r="B24" s="7">
        <v>1402</v>
      </c>
      <c r="C24">
        <v>1201402</v>
      </c>
      <c r="D24" s="9" t="s">
        <v>82</v>
      </c>
      <c r="E24">
        <v>2</v>
      </c>
      <c r="F24" t="s">
        <v>43</v>
      </c>
      <c r="G24">
        <v>1</v>
      </c>
      <c r="H24">
        <v>1</v>
      </c>
      <c r="I24" t="s">
        <v>81</v>
      </c>
      <c r="J24">
        <v>2021402</v>
      </c>
      <c r="K24" t="b">
        <v>0</v>
      </c>
      <c r="M24">
        <v>2003</v>
      </c>
      <c r="O24">
        <v>1</v>
      </c>
    </row>
    <row r="25" s="2" customFormat="1" spans="1:15">
      <c r="A25" s="2">
        <v>1031600</v>
      </c>
      <c r="B25" s="10">
        <v>1600</v>
      </c>
      <c r="C25" s="2">
        <v>103001</v>
      </c>
      <c r="D25" s="11" t="s">
        <v>83</v>
      </c>
      <c r="E25" s="2">
        <v>3</v>
      </c>
      <c r="F25" s="2" t="s">
        <v>43</v>
      </c>
      <c r="G25" s="2">
        <v>1</v>
      </c>
      <c r="H25" s="2">
        <v>1</v>
      </c>
      <c r="I25" t="s">
        <v>84</v>
      </c>
      <c r="J25" s="2">
        <v>2031600</v>
      </c>
      <c r="K25" s="2" t="b">
        <v>1</v>
      </c>
      <c r="M25" s="2">
        <v>3001</v>
      </c>
      <c r="O25" s="2">
        <v>1</v>
      </c>
    </row>
    <row r="26" spans="1:15">
      <c r="A26">
        <v>1031601</v>
      </c>
      <c r="B26" s="7">
        <v>1601</v>
      </c>
      <c r="C26">
        <v>103002</v>
      </c>
      <c r="D26" s="12" t="s">
        <v>85</v>
      </c>
      <c r="E26">
        <v>3</v>
      </c>
      <c r="F26" t="s">
        <v>43</v>
      </c>
      <c r="G26">
        <v>1</v>
      </c>
      <c r="H26">
        <v>1</v>
      </c>
      <c r="I26" t="s">
        <v>86</v>
      </c>
      <c r="J26">
        <v>2031601</v>
      </c>
      <c r="K26" s="2" t="b">
        <v>1</v>
      </c>
      <c r="M26">
        <v>3002</v>
      </c>
      <c r="O26">
        <v>1</v>
      </c>
    </row>
    <row r="27" spans="1:15">
      <c r="A27">
        <v>1031602</v>
      </c>
      <c r="B27" s="7">
        <v>1602</v>
      </c>
      <c r="C27">
        <v>103003</v>
      </c>
      <c r="D27" s="12" t="s">
        <v>87</v>
      </c>
      <c r="E27">
        <v>3</v>
      </c>
      <c r="F27" t="s">
        <v>43</v>
      </c>
      <c r="G27">
        <v>1</v>
      </c>
      <c r="H27">
        <v>1</v>
      </c>
      <c r="I27" t="s">
        <v>88</v>
      </c>
      <c r="J27">
        <v>2031602</v>
      </c>
      <c r="K27" s="2" t="b">
        <v>1</v>
      </c>
      <c r="M27">
        <v>3003</v>
      </c>
      <c r="O27">
        <v>1</v>
      </c>
    </row>
    <row r="28" spans="1:15">
      <c r="A28">
        <v>1031801</v>
      </c>
      <c r="B28" s="7">
        <v>1801</v>
      </c>
      <c r="C28">
        <v>104002</v>
      </c>
      <c r="D28" s="13" t="s">
        <v>89</v>
      </c>
      <c r="E28">
        <v>3</v>
      </c>
      <c r="F28" t="s">
        <v>43</v>
      </c>
      <c r="G28">
        <v>1</v>
      </c>
      <c r="H28">
        <v>1</v>
      </c>
      <c r="I28" t="s">
        <v>90</v>
      </c>
      <c r="J28">
        <v>2031801</v>
      </c>
      <c r="K28" t="b">
        <v>0</v>
      </c>
      <c r="M28">
        <v>4002</v>
      </c>
      <c r="O28">
        <v>1</v>
      </c>
    </row>
    <row r="29" spans="1:15">
      <c r="A29">
        <v>1031802</v>
      </c>
      <c r="B29" s="7">
        <v>1802</v>
      </c>
      <c r="C29">
        <v>104003</v>
      </c>
      <c r="D29" s="13" t="s">
        <v>91</v>
      </c>
      <c r="E29">
        <v>3</v>
      </c>
      <c r="F29" t="s">
        <v>43</v>
      </c>
      <c r="G29">
        <v>1</v>
      </c>
      <c r="H29">
        <v>1</v>
      </c>
      <c r="I29" t="s">
        <v>92</v>
      </c>
      <c r="J29">
        <v>2031802</v>
      </c>
      <c r="K29" t="b">
        <v>0</v>
      </c>
      <c r="M29">
        <v>4003</v>
      </c>
      <c r="O29">
        <v>1</v>
      </c>
    </row>
    <row r="30" spans="1:15">
      <c r="A30">
        <v>1032001</v>
      </c>
      <c r="B30" s="7">
        <v>2001</v>
      </c>
      <c r="C30">
        <v>105002</v>
      </c>
      <c r="D30" s="14" t="s">
        <v>93</v>
      </c>
      <c r="E30">
        <v>3</v>
      </c>
      <c r="F30" t="s">
        <v>43</v>
      </c>
      <c r="G30">
        <v>1</v>
      </c>
      <c r="H30">
        <v>1</v>
      </c>
      <c r="I30" t="s">
        <v>94</v>
      </c>
      <c r="J30">
        <v>2032001</v>
      </c>
      <c r="K30" t="b">
        <v>0</v>
      </c>
      <c r="M30">
        <v>5002</v>
      </c>
      <c r="O30">
        <v>1</v>
      </c>
    </row>
    <row r="31" spans="1:15">
      <c r="A31">
        <v>1032002</v>
      </c>
      <c r="B31" s="7">
        <v>2002</v>
      </c>
      <c r="C31">
        <v>105003</v>
      </c>
      <c r="D31" s="14" t="s">
        <v>95</v>
      </c>
      <c r="E31">
        <v>3</v>
      </c>
      <c r="F31" t="s">
        <v>43</v>
      </c>
      <c r="G31">
        <v>1</v>
      </c>
      <c r="H31">
        <v>1</v>
      </c>
      <c r="I31" t="s">
        <v>96</v>
      </c>
      <c r="J31">
        <v>2032002</v>
      </c>
      <c r="K31" t="b">
        <v>0</v>
      </c>
      <c r="M31">
        <v>5003</v>
      </c>
      <c r="O31">
        <v>1</v>
      </c>
    </row>
    <row r="32" spans="1:15">
      <c r="A32">
        <v>1032201</v>
      </c>
      <c r="B32" s="7">
        <v>2201</v>
      </c>
      <c r="C32">
        <v>106002</v>
      </c>
      <c r="D32" s="15" t="s">
        <v>97</v>
      </c>
      <c r="E32">
        <v>3</v>
      </c>
      <c r="F32" t="s">
        <v>43</v>
      </c>
      <c r="G32">
        <v>1</v>
      </c>
      <c r="H32">
        <v>1</v>
      </c>
      <c r="I32" t="s">
        <v>98</v>
      </c>
      <c r="J32">
        <v>2032201</v>
      </c>
      <c r="K32" t="b">
        <v>0</v>
      </c>
      <c r="M32">
        <v>6002</v>
      </c>
      <c r="O32">
        <v>1</v>
      </c>
    </row>
    <row r="33" spans="1:18">
      <c r="A33">
        <v>1032202</v>
      </c>
      <c r="B33" s="7">
        <v>2202</v>
      </c>
      <c r="C33">
        <v>106003</v>
      </c>
      <c r="D33" s="15" t="s">
        <v>99</v>
      </c>
      <c r="E33">
        <v>3</v>
      </c>
      <c r="F33" t="s">
        <v>43</v>
      </c>
      <c r="G33">
        <v>1</v>
      </c>
      <c r="H33">
        <v>1</v>
      </c>
      <c r="I33" t="s">
        <v>100</v>
      </c>
      <c r="J33">
        <v>2032202</v>
      </c>
      <c r="K33" t="b">
        <v>0</v>
      </c>
      <c r="M33">
        <v>6003</v>
      </c>
      <c r="O33">
        <v>1</v>
      </c>
    </row>
    <row r="34" spans="1:18">
      <c r="A34">
        <v>1022504</v>
      </c>
      <c r="B34">
        <v>2504</v>
      </c>
      <c r="C34">
        <v>1202504</v>
      </c>
      <c r="D34" t="s">
        <v>101</v>
      </c>
      <c r="E34">
        <v>2</v>
      </c>
      <c r="F34" t="s">
        <v>43</v>
      </c>
      <c r="G34">
        <v>1</v>
      </c>
      <c r="H34">
        <v>0</v>
      </c>
      <c r="I34" t="s">
        <v>102</v>
      </c>
      <c r="J34">
        <v>2022504</v>
      </c>
      <c r="K34" t="b">
        <v>0</v>
      </c>
      <c r="L34" t="s">
        <v>103</v>
      </c>
      <c r="O34">
        <v>999999999</v>
      </c>
    </row>
    <row r="35" spans="1:18">
      <c r="A35">
        <v>1023001</v>
      </c>
      <c r="B35" s="7"/>
      <c r="C35">
        <v>1023001</v>
      </c>
      <c r="D35" t="s">
        <v>104</v>
      </c>
      <c r="E35">
        <v>2</v>
      </c>
      <c r="F35" t="s">
        <v>43</v>
      </c>
      <c r="G35">
        <v>2</v>
      </c>
      <c r="H35">
        <v>0</v>
      </c>
      <c r="I35" t="s">
        <v>105</v>
      </c>
      <c r="J35">
        <v>2023001</v>
      </c>
      <c r="K35" t="b">
        <v>0</v>
      </c>
      <c r="L35" t="s">
        <v>106</v>
      </c>
      <c r="O35">
        <v>999</v>
      </c>
      <c r="R35">
        <v>0.000544077728550903</v>
      </c>
    </row>
    <row r="36" spans="1:18">
      <c r="A36">
        <v>1023002</v>
      </c>
      <c r="B36" s="7"/>
      <c r="C36">
        <v>1023002</v>
      </c>
      <c r="D36" t="s">
        <v>107</v>
      </c>
      <c r="E36">
        <v>2</v>
      </c>
      <c r="F36" t="s">
        <v>43</v>
      </c>
      <c r="G36">
        <v>3</v>
      </c>
      <c r="H36">
        <v>0</v>
      </c>
      <c r="I36" t="s">
        <v>108</v>
      </c>
      <c r="J36">
        <v>2023002</v>
      </c>
      <c r="K36" t="b">
        <v>0</v>
      </c>
      <c r="L36" t="s">
        <v>106</v>
      </c>
      <c r="O36">
        <v>999</v>
      </c>
      <c r="R36">
        <v>0.0045080726079932</v>
      </c>
    </row>
    <row r="37" spans="1:18">
      <c r="A37">
        <v>1023003</v>
      </c>
      <c r="B37" s="7"/>
      <c r="C37">
        <v>1023003</v>
      </c>
      <c r="D37" t="s">
        <v>109</v>
      </c>
      <c r="E37">
        <v>2</v>
      </c>
      <c r="F37" t="s">
        <v>43</v>
      </c>
      <c r="G37">
        <v>4</v>
      </c>
      <c r="H37">
        <v>0</v>
      </c>
      <c r="I37" t="s">
        <v>110</v>
      </c>
      <c r="J37">
        <v>2023003</v>
      </c>
      <c r="K37" t="b">
        <v>0</v>
      </c>
      <c r="L37" t="s">
        <v>106</v>
      </c>
      <c r="O37">
        <v>999</v>
      </c>
      <c r="R37">
        <v>0.0067621089119898</v>
      </c>
    </row>
    <row r="38" spans="1:18">
      <c r="A38">
        <v>1023004</v>
      </c>
      <c r="B38" s="7"/>
      <c r="C38">
        <v>1023004</v>
      </c>
      <c r="D38" t="s">
        <v>111</v>
      </c>
      <c r="E38">
        <v>2</v>
      </c>
      <c r="F38" t="s">
        <v>43</v>
      </c>
      <c r="G38">
        <v>5</v>
      </c>
      <c r="H38">
        <v>0</v>
      </c>
      <c r="I38" t="s">
        <v>112</v>
      </c>
      <c r="J38">
        <v>2023004</v>
      </c>
      <c r="K38" t="b">
        <v>0</v>
      </c>
      <c r="L38" t="s">
        <v>106</v>
      </c>
      <c r="O38">
        <v>999</v>
      </c>
      <c r="R38">
        <v>0.012622603302381</v>
      </c>
    </row>
    <row r="39" spans="1:18">
      <c r="A39">
        <v>1023005</v>
      </c>
      <c r="B39" s="7"/>
      <c r="C39">
        <v>1023005</v>
      </c>
      <c r="D39" t="s">
        <v>113</v>
      </c>
      <c r="E39">
        <v>2</v>
      </c>
      <c r="F39" t="s">
        <v>43</v>
      </c>
      <c r="G39">
        <v>6</v>
      </c>
      <c r="H39">
        <v>0</v>
      </c>
      <c r="I39" t="s">
        <v>114</v>
      </c>
      <c r="J39">
        <v>2023005</v>
      </c>
      <c r="K39" t="b">
        <v>0</v>
      </c>
      <c r="L39" t="s">
        <v>106</v>
      </c>
      <c r="O39">
        <v>999</v>
      </c>
      <c r="R39">
        <v>0.0139155435712012</v>
      </c>
    </row>
    <row r="40" spans="1:18">
      <c r="A40">
        <v>1023101</v>
      </c>
      <c r="B40" s="7"/>
      <c r="C40">
        <v>1023101</v>
      </c>
      <c r="D40" t="s">
        <v>115</v>
      </c>
      <c r="E40">
        <v>2</v>
      </c>
      <c r="F40" t="s">
        <v>43</v>
      </c>
      <c r="G40">
        <v>2</v>
      </c>
      <c r="H40">
        <v>0</v>
      </c>
      <c r="I40" t="s">
        <v>116</v>
      </c>
      <c r="J40">
        <v>2023101</v>
      </c>
      <c r="K40" t="b">
        <v>0</v>
      </c>
      <c r="L40" t="s">
        <v>117</v>
      </c>
      <c r="O40">
        <v>999</v>
      </c>
      <c r="R40">
        <v>0.00174104873136289</v>
      </c>
    </row>
    <row r="41" spans="1:18">
      <c r="A41">
        <v>1023102</v>
      </c>
      <c r="B41" s="7"/>
      <c r="C41">
        <v>1023102</v>
      </c>
      <c r="D41" t="s">
        <v>118</v>
      </c>
      <c r="E41">
        <v>2</v>
      </c>
      <c r="F41" t="s">
        <v>43</v>
      </c>
      <c r="G41">
        <v>3</v>
      </c>
      <c r="H41">
        <v>0</v>
      </c>
      <c r="I41" t="s">
        <v>119</v>
      </c>
      <c r="J41">
        <v>2023102</v>
      </c>
      <c r="K41" t="b">
        <v>0</v>
      </c>
      <c r="L41" t="s">
        <v>117</v>
      </c>
      <c r="O41">
        <v>999</v>
      </c>
      <c r="R41">
        <v>0.0144258323455782</v>
      </c>
    </row>
    <row r="42" spans="1:18">
      <c r="A42">
        <v>1023103</v>
      </c>
      <c r="B42" s="7"/>
      <c r="C42">
        <v>1023103</v>
      </c>
      <c r="D42" t="s">
        <v>120</v>
      </c>
      <c r="E42">
        <v>2</v>
      </c>
      <c r="F42" t="s">
        <v>43</v>
      </c>
      <c r="G42">
        <v>4</v>
      </c>
      <c r="H42">
        <v>0</v>
      </c>
      <c r="I42" t="s">
        <v>121</v>
      </c>
      <c r="J42">
        <v>2023103</v>
      </c>
      <c r="K42" t="b">
        <v>0</v>
      </c>
      <c r="L42" t="s">
        <v>117</v>
      </c>
      <c r="O42">
        <v>999</v>
      </c>
      <c r="R42">
        <v>0.0216387485183673</v>
      </c>
    </row>
    <row r="43" spans="1:18">
      <c r="A43">
        <v>1023104</v>
      </c>
      <c r="B43" s="7"/>
      <c r="C43">
        <v>1023104</v>
      </c>
      <c r="D43" t="s">
        <v>122</v>
      </c>
      <c r="E43">
        <v>2</v>
      </c>
      <c r="F43" t="s">
        <v>43</v>
      </c>
      <c r="G43">
        <v>5</v>
      </c>
      <c r="H43">
        <v>0</v>
      </c>
      <c r="I43" t="s">
        <v>123</v>
      </c>
      <c r="J43">
        <v>2023104</v>
      </c>
      <c r="K43" t="b">
        <v>0</v>
      </c>
      <c r="L43" t="s">
        <v>117</v>
      </c>
      <c r="O43">
        <v>999</v>
      </c>
      <c r="R43">
        <v>0.0403923305676191</v>
      </c>
    </row>
    <row r="44" spans="1:18">
      <c r="A44">
        <v>1023105</v>
      </c>
      <c r="B44" s="7"/>
      <c r="C44">
        <v>1023105</v>
      </c>
      <c r="D44" t="s">
        <v>124</v>
      </c>
      <c r="E44">
        <v>2</v>
      </c>
      <c r="F44" t="s">
        <v>43</v>
      </c>
      <c r="G44">
        <v>6</v>
      </c>
      <c r="H44">
        <v>0</v>
      </c>
      <c r="I44" t="s">
        <v>125</v>
      </c>
      <c r="J44">
        <v>2023105</v>
      </c>
      <c r="K44" t="b">
        <v>0</v>
      </c>
      <c r="L44" t="s">
        <v>117</v>
      </c>
      <c r="O44">
        <v>999</v>
      </c>
      <c r="R44">
        <v>0.0445297394278439</v>
      </c>
    </row>
    <row r="45" spans="1:18">
      <c r="A45">
        <v>1023201</v>
      </c>
      <c r="B45" s="7"/>
      <c r="C45">
        <v>1023201</v>
      </c>
      <c r="D45" t="s">
        <v>126</v>
      </c>
      <c r="E45">
        <v>2</v>
      </c>
      <c r="F45" t="s">
        <v>43</v>
      </c>
      <c r="G45">
        <v>2</v>
      </c>
      <c r="H45">
        <v>0</v>
      </c>
      <c r="I45" t="s">
        <v>127</v>
      </c>
      <c r="J45">
        <v>2023201</v>
      </c>
      <c r="K45" t="b">
        <v>0</v>
      </c>
      <c r="L45" t="s">
        <v>128</v>
      </c>
      <c r="O45">
        <v>999</v>
      </c>
      <c r="R45">
        <v>0.00348209746272578</v>
      </c>
    </row>
    <row r="46" spans="1:18">
      <c r="A46">
        <v>1023202</v>
      </c>
      <c r="B46" s="7"/>
      <c r="C46">
        <v>1023202</v>
      </c>
      <c r="D46" t="s">
        <v>129</v>
      </c>
      <c r="E46">
        <v>2</v>
      </c>
      <c r="F46" t="s">
        <v>43</v>
      </c>
      <c r="G46">
        <v>3</v>
      </c>
      <c r="H46">
        <v>0</v>
      </c>
      <c r="I46" t="s">
        <v>130</v>
      </c>
      <c r="J46">
        <v>2023202</v>
      </c>
      <c r="K46" t="b">
        <v>0</v>
      </c>
      <c r="L46" t="s">
        <v>128</v>
      </c>
      <c r="O46">
        <v>999</v>
      </c>
      <c r="R46">
        <v>0.0288516646911565</v>
      </c>
    </row>
    <row r="47" spans="1:18">
      <c r="A47">
        <v>1023203</v>
      </c>
      <c r="B47" s="7"/>
      <c r="C47">
        <v>1023203</v>
      </c>
      <c r="D47" t="s">
        <v>131</v>
      </c>
      <c r="E47">
        <v>2</v>
      </c>
      <c r="F47" t="s">
        <v>43</v>
      </c>
      <c r="G47">
        <v>4</v>
      </c>
      <c r="H47">
        <v>0</v>
      </c>
      <c r="I47" t="s">
        <v>132</v>
      </c>
      <c r="J47">
        <v>2023203</v>
      </c>
      <c r="K47" t="b">
        <v>0</v>
      </c>
      <c r="L47" t="s">
        <v>128</v>
      </c>
      <c r="O47">
        <v>999</v>
      </c>
      <c r="R47">
        <v>0.0432774970367347</v>
      </c>
    </row>
    <row r="48" spans="1:18">
      <c r="A48">
        <v>1023204</v>
      </c>
      <c r="B48" s="7"/>
      <c r="C48">
        <v>1023204</v>
      </c>
      <c r="D48" t="s">
        <v>133</v>
      </c>
      <c r="E48">
        <v>2</v>
      </c>
      <c r="F48" t="s">
        <v>43</v>
      </c>
      <c r="G48">
        <v>5</v>
      </c>
      <c r="H48">
        <v>0</v>
      </c>
      <c r="I48" t="s">
        <v>134</v>
      </c>
      <c r="J48">
        <v>2023204</v>
      </c>
      <c r="K48" t="b">
        <v>0</v>
      </c>
      <c r="L48" t="s">
        <v>128</v>
      </c>
      <c r="O48">
        <v>999</v>
      </c>
      <c r="R48">
        <v>0.0807846611352381</v>
      </c>
    </row>
    <row r="49" spans="1:18">
      <c r="A49">
        <v>1023205</v>
      </c>
      <c r="B49" s="7"/>
      <c r="C49">
        <v>1023205</v>
      </c>
      <c r="D49" t="s">
        <v>135</v>
      </c>
      <c r="E49">
        <v>2</v>
      </c>
      <c r="F49" t="s">
        <v>43</v>
      </c>
      <c r="G49">
        <v>6</v>
      </c>
      <c r="H49">
        <v>0</v>
      </c>
      <c r="I49" t="s">
        <v>136</v>
      </c>
      <c r="J49">
        <v>2023205</v>
      </c>
      <c r="K49" t="b">
        <v>0</v>
      </c>
      <c r="L49" t="s">
        <v>128</v>
      </c>
      <c r="O49">
        <v>999</v>
      </c>
      <c r="R49">
        <v>0.0890594788556878</v>
      </c>
    </row>
    <row r="50" spans="1:18">
      <c r="A50">
        <v>1023301</v>
      </c>
      <c r="B50" s="7"/>
      <c r="C50">
        <v>1023301</v>
      </c>
      <c r="D50" t="s">
        <v>137</v>
      </c>
      <c r="E50">
        <v>2</v>
      </c>
      <c r="F50" t="s">
        <v>43</v>
      </c>
      <c r="G50">
        <v>2</v>
      </c>
      <c r="H50">
        <v>0</v>
      </c>
      <c r="I50" t="s">
        <v>138</v>
      </c>
      <c r="J50">
        <v>2023301</v>
      </c>
      <c r="K50" t="b">
        <v>0</v>
      </c>
      <c r="L50" t="s">
        <v>139</v>
      </c>
      <c r="O50">
        <v>999</v>
      </c>
      <c r="R50">
        <v>0.0039173596455665</v>
      </c>
    </row>
    <row r="51" spans="1:18">
      <c r="A51">
        <v>1023302</v>
      </c>
      <c r="B51" s="7"/>
      <c r="C51">
        <v>1023302</v>
      </c>
      <c r="D51" t="s">
        <v>140</v>
      </c>
      <c r="E51">
        <v>2</v>
      </c>
      <c r="F51" t="s">
        <v>43</v>
      </c>
      <c r="G51">
        <v>3</v>
      </c>
      <c r="H51">
        <v>0</v>
      </c>
      <c r="I51" t="s">
        <v>141</v>
      </c>
      <c r="J51">
        <v>2023302</v>
      </c>
      <c r="K51" t="b">
        <v>0</v>
      </c>
      <c r="L51" t="s">
        <v>139</v>
      </c>
      <c r="O51">
        <v>999</v>
      </c>
      <c r="R51">
        <v>0.032458122777551</v>
      </c>
    </row>
    <row r="52" spans="1:18">
      <c r="A52">
        <v>1023303</v>
      </c>
      <c r="B52" s="7"/>
      <c r="C52">
        <v>1023303</v>
      </c>
      <c r="D52" t="s">
        <v>142</v>
      </c>
      <c r="E52">
        <v>2</v>
      </c>
      <c r="F52" t="s">
        <v>43</v>
      </c>
      <c r="G52">
        <v>4</v>
      </c>
      <c r="H52">
        <v>0</v>
      </c>
      <c r="I52" t="s">
        <v>143</v>
      </c>
      <c r="J52">
        <v>2023303</v>
      </c>
      <c r="K52" t="b">
        <v>0</v>
      </c>
      <c r="L52" t="s">
        <v>139</v>
      </c>
      <c r="O52">
        <v>999</v>
      </c>
      <c r="R52">
        <v>0.0486871841663265</v>
      </c>
    </row>
    <row r="53" spans="1:18">
      <c r="A53">
        <v>1023304</v>
      </c>
      <c r="B53" s="7"/>
      <c r="C53">
        <v>1023304</v>
      </c>
      <c r="D53" t="s">
        <v>144</v>
      </c>
      <c r="E53">
        <v>2</v>
      </c>
      <c r="F53" t="s">
        <v>43</v>
      </c>
      <c r="G53">
        <v>5</v>
      </c>
      <c r="H53">
        <v>0</v>
      </c>
      <c r="I53" t="s">
        <v>145</v>
      </c>
      <c r="J53">
        <v>2023304</v>
      </c>
      <c r="K53" t="b">
        <v>0</v>
      </c>
      <c r="L53" t="s">
        <v>139</v>
      </c>
      <c r="O53">
        <v>999</v>
      </c>
      <c r="R53">
        <v>0.0908827437771429</v>
      </c>
    </row>
    <row r="54" spans="1:18">
      <c r="A54">
        <v>1023305</v>
      </c>
      <c r="B54" s="7"/>
      <c r="C54">
        <v>1023305</v>
      </c>
      <c r="D54" t="s">
        <v>146</v>
      </c>
      <c r="E54">
        <v>2</v>
      </c>
      <c r="F54" t="s">
        <v>43</v>
      </c>
      <c r="G54">
        <v>6</v>
      </c>
      <c r="H54">
        <v>0</v>
      </c>
      <c r="I54" t="s">
        <v>147</v>
      </c>
      <c r="J54">
        <v>2023305</v>
      </c>
      <c r="K54" t="b">
        <v>0</v>
      </c>
      <c r="L54" t="s">
        <v>139</v>
      </c>
      <c r="O54">
        <v>999</v>
      </c>
      <c r="R54">
        <v>0.100191913712649</v>
      </c>
    </row>
    <row r="55" spans="1:18">
      <c r="A55">
        <v>1023401</v>
      </c>
      <c r="B55" s="7"/>
      <c r="C55">
        <v>1023401</v>
      </c>
      <c r="D55" t="s">
        <v>148</v>
      </c>
      <c r="E55">
        <v>2</v>
      </c>
      <c r="F55" t="s">
        <v>43</v>
      </c>
      <c r="G55">
        <v>2</v>
      </c>
      <c r="H55">
        <v>0</v>
      </c>
      <c r="I55" t="s">
        <v>149</v>
      </c>
      <c r="J55">
        <v>2023401</v>
      </c>
      <c r="K55" t="b">
        <v>0</v>
      </c>
      <c r="L55" t="s">
        <v>150</v>
      </c>
      <c r="O55">
        <v>999</v>
      </c>
      <c r="R55">
        <v>0.00783471929113301</v>
      </c>
    </row>
    <row r="56" spans="1:18">
      <c r="A56">
        <v>1023402</v>
      </c>
      <c r="B56" s="7"/>
      <c r="C56">
        <v>1023402</v>
      </c>
      <c r="D56" t="s">
        <v>151</v>
      </c>
      <c r="E56">
        <v>2</v>
      </c>
      <c r="F56" t="s">
        <v>43</v>
      </c>
      <c r="G56">
        <v>3</v>
      </c>
      <c r="H56">
        <v>0</v>
      </c>
      <c r="I56" t="s">
        <v>152</v>
      </c>
      <c r="J56">
        <v>2023402</v>
      </c>
      <c r="K56" t="b">
        <v>0</v>
      </c>
      <c r="L56" t="s">
        <v>150</v>
      </c>
      <c r="O56">
        <v>999</v>
      </c>
      <c r="R56">
        <v>0.064916245555102</v>
      </c>
    </row>
    <row r="57" spans="1:18">
      <c r="A57">
        <v>1023403</v>
      </c>
      <c r="B57" s="7"/>
      <c r="C57">
        <v>1023403</v>
      </c>
      <c r="D57" t="s">
        <v>153</v>
      </c>
      <c r="E57">
        <v>2</v>
      </c>
      <c r="F57" t="s">
        <v>43</v>
      </c>
      <c r="G57">
        <v>4</v>
      </c>
      <c r="H57">
        <v>0</v>
      </c>
      <c r="I57" t="s">
        <v>154</v>
      </c>
      <c r="J57">
        <v>2023403</v>
      </c>
      <c r="K57" t="b">
        <v>0</v>
      </c>
      <c r="L57" t="s">
        <v>150</v>
      </c>
      <c r="O57">
        <v>999</v>
      </c>
      <c r="R57">
        <v>0.097374368332653</v>
      </c>
    </row>
    <row r="58" spans="1:18">
      <c r="A58">
        <v>1023404</v>
      </c>
      <c r="B58" s="7"/>
      <c r="C58">
        <v>1023404</v>
      </c>
      <c r="D58" t="s">
        <v>155</v>
      </c>
      <c r="E58">
        <v>2</v>
      </c>
      <c r="F58" t="s">
        <v>43</v>
      </c>
      <c r="G58">
        <v>5</v>
      </c>
      <c r="H58">
        <v>0</v>
      </c>
      <c r="I58" t="s">
        <v>156</v>
      </c>
      <c r="J58">
        <v>2023404</v>
      </c>
      <c r="K58" t="b">
        <v>0</v>
      </c>
      <c r="L58" t="s">
        <v>150</v>
      </c>
      <c r="O58">
        <v>999</v>
      </c>
      <c r="R58">
        <v>0.181765487554286</v>
      </c>
    </row>
    <row r="59" spans="1:18">
      <c r="A59">
        <v>1023405</v>
      </c>
      <c r="B59" s="7"/>
      <c r="C59">
        <v>1023405</v>
      </c>
      <c r="D59" t="s">
        <v>157</v>
      </c>
      <c r="E59">
        <v>2</v>
      </c>
      <c r="F59" t="s">
        <v>43</v>
      </c>
      <c r="G59">
        <v>6</v>
      </c>
      <c r="H59">
        <v>0</v>
      </c>
      <c r="I59" t="s">
        <v>158</v>
      </c>
      <c r="J59">
        <v>2023405</v>
      </c>
      <c r="K59" t="b">
        <v>0</v>
      </c>
      <c r="L59" t="s">
        <v>150</v>
      </c>
      <c r="O59">
        <v>999</v>
      </c>
      <c r="R59">
        <v>0.200383827425298</v>
      </c>
    </row>
    <row r="60" spans="1:18">
      <c r="A60">
        <v>1024001</v>
      </c>
      <c r="C60">
        <v>1024001</v>
      </c>
      <c r="D60" t="s">
        <v>159</v>
      </c>
      <c r="E60">
        <v>2</v>
      </c>
      <c r="F60" t="s">
        <v>43</v>
      </c>
      <c r="G60">
        <v>1</v>
      </c>
      <c r="H60">
        <v>0</v>
      </c>
      <c r="I60" t="s">
        <v>158</v>
      </c>
      <c r="J60">
        <v>2024001</v>
      </c>
      <c r="K60" t="b">
        <v>0</v>
      </c>
      <c r="L60" t="s">
        <v>160</v>
      </c>
      <c r="O60">
        <v>-1</v>
      </c>
    </row>
    <row r="61" spans="1:18">
      <c r="A61">
        <v>1024002</v>
      </c>
      <c r="C61">
        <v>1024002</v>
      </c>
      <c r="D61" t="s">
        <v>161</v>
      </c>
      <c r="E61">
        <v>2</v>
      </c>
      <c r="F61" t="s">
        <v>43</v>
      </c>
      <c r="G61">
        <v>1</v>
      </c>
      <c r="H61">
        <v>0</v>
      </c>
      <c r="I61" t="s">
        <v>158</v>
      </c>
      <c r="J61">
        <v>2024002</v>
      </c>
      <c r="K61" t="b">
        <v>0</v>
      </c>
      <c r="L61" t="s">
        <v>162</v>
      </c>
      <c r="O61">
        <v>-1</v>
      </c>
    </row>
    <row r="62" spans="1:18">
      <c r="A62">
        <v>1024003</v>
      </c>
      <c r="C62">
        <v>1024003</v>
      </c>
      <c r="D62" t="s">
        <v>163</v>
      </c>
      <c r="E62">
        <v>2</v>
      </c>
      <c r="F62" t="s">
        <v>43</v>
      </c>
      <c r="G62">
        <v>1</v>
      </c>
      <c r="H62">
        <v>0</v>
      </c>
      <c r="I62" t="s">
        <v>158</v>
      </c>
      <c r="J62">
        <v>2024003</v>
      </c>
      <c r="K62" t="b">
        <v>0</v>
      </c>
      <c r="L62" t="s">
        <v>162</v>
      </c>
      <c r="O62">
        <v>-1</v>
      </c>
    </row>
    <row r="63" spans="1:18">
      <c r="A63">
        <v>1024004</v>
      </c>
      <c r="C63">
        <v>1024004</v>
      </c>
      <c r="D63" t="s">
        <v>164</v>
      </c>
      <c r="E63">
        <v>2</v>
      </c>
      <c r="F63" t="s">
        <v>43</v>
      </c>
      <c r="G63">
        <v>1</v>
      </c>
      <c r="H63">
        <v>0</v>
      </c>
      <c r="I63" t="s">
        <v>158</v>
      </c>
      <c r="J63">
        <v>2024004</v>
      </c>
      <c r="K63" t="b">
        <v>0</v>
      </c>
      <c r="L63" t="s">
        <v>162</v>
      </c>
      <c r="O63">
        <v>-1</v>
      </c>
    </row>
    <row r="64" spans="1:18">
      <c r="A64">
        <v>1024005</v>
      </c>
      <c r="C64">
        <v>1024005</v>
      </c>
      <c r="D64" t="s">
        <v>165</v>
      </c>
      <c r="E64">
        <v>2</v>
      </c>
      <c r="F64" t="s">
        <v>43</v>
      </c>
      <c r="G64">
        <v>1</v>
      </c>
      <c r="H64">
        <v>0</v>
      </c>
      <c r="I64" t="s">
        <v>158</v>
      </c>
      <c r="J64">
        <v>2024005</v>
      </c>
      <c r="K64" t="b">
        <v>0</v>
      </c>
      <c r="L64" t="s">
        <v>166</v>
      </c>
      <c r="O64">
        <v>-1</v>
      </c>
    </row>
    <row r="65" spans="1:15">
      <c r="A65">
        <v>1024006</v>
      </c>
      <c r="C65">
        <v>1024006</v>
      </c>
      <c r="D65" t="s">
        <v>167</v>
      </c>
      <c r="E65">
        <v>2</v>
      </c>
      <c r="F65" t="s">
        <v>43</v>
      </c>
      <c r="G65">
        <v>5</v>
      </c>
      <c r="H65">
        <v>0</v>
      </c>
      <c r="I65" t="s">
        <v>158</v>
      </c>
      <c r="J65">
        <v>2024006</v>
      </c>
      <c r="K65" t="b">
        <v>0</v>
      </c>
      <c r="L65" t="s">
        <v>166</v>
      </c>
      <c r="O65">
        <v>-1</v>
      </c>
    </row>
    <row r="66" spans="1:15">
      <c r="A66">
        <v>1024007</v>
      </c>
      <c r="C66">
        <v>1024007</v>
      </c>
      <c r="D66" t="s">
        <v>168</v>
      </c>
      <c r="E66">
        <v>2</v>
      </c>
      <c r="F66" t="s">
        <v>43</v>
      </c>
      <c r="G66">
        <v>1</v>
      </c>
      <c r="H66">
        <v>1</v>
      </c>
      <c r="I66" t="s">
        <v>158</v>
      </c>
      <c r="J66">
        <v>2024007</v>
      </c>
      <c r="K66" t="b">
        <v>0</v>
      </c>
      <c r="L66" t="s">
        <v>169</v>
      </c>
      <c r="O66">
        <v>999</v>
      </c>
    </row>
    <row r="67" spans="1:15">
      <c r="A67">
        <v>1024008</v>
      </c>
      <c r="C67">
        <v>1024008</v>
      </c>
      <c r="D67" t="s">
        <v>170</v>
      </c>
      <c r="E67">
        <v>2</v>
      </c>
      <c r="F67" t="s">
        <v>43</v>
      </c>
      <c r="G67">
        <v>1</v>
      </c>
      <c r="H67">
        <v>0</v>
      </c>
      <c r="I67" t="s">
        <v>158</v>
      </c>
      <c r="J67">
        <v>2024008</v>
      </c>
      <c r="K67" t="b">
        <v>0</v>
      </c>
      <c r="L67" t="s">
        <v>170</v>
      </c>
      <c r="O67">
        <v>999</v>
      </c>
    </row>
    <row r="68" spans="1:15">
      <c r="A68">
        <v>1024009</v>
      </c>
      <c r="C68">
        <v>1024009</v>
      </c>
      <c r="D68" t="s">
        <v>171</v>
      </c>
      <c r="E68">
        <v>2</v>
      </c>
      <c r="F68" t="s">
        <v>43</v>
      </c>
      <c r="G68">
        <v>1</v>
      </c>
      <c r="H68">
        <v>0</v>
      </c>
      <c r="I68" t="s">
        <v>158</v>
      </c>
      <c r="J68">
        <v>2024009</v>
      </c>
      <c r="K68" t="b">
        <v>0</v>
      </c>
      <c r="L68" t="s">
        <v>171</v>
      </c>
      <c r="O68">
        <v>999</v>
      </c>
    </row>
    <row r="69" spans="1:15">
      <c r="A69">
        <v>1024010</v>
      </c>
      <c r="C69">
        <v>1024010</v>
      </c>
      <c r="D69" t="s">
        <v>172</v>
      </c>
      <c r="E69">
        <v>2</v>
      </c>
      <c r="F69" t="s">
        <v>43</v>
      </c>
      <c r="G69">
        <v>1</v>
      </c>
      <c r="H69">
        <v>0</v>
      </c>
      <c r="I69" t="s">
        <v>158</v>
      </c>
      <c r="J69">
        <v>2024010</v>
      </c>
      <c r="K69" t="b">
        <v>0</v>
      </c>
      <c r="L69" t="s">
        <v>172</v>
      </c>
      <c r="O69">
        <v>999</v>
      </c>
    </row>
    <row r="70" spans="1:15">
      <c r="A70">
        <v>1024011</v>
      </c>
      <c r="C70">
        <v>1024011</v>
      </c>
      <c r="D70" t="s">
        <v>173</v>
      </c>
      <c r="E70">
        <v>2</v>
      </c>
      <c r="F70" t="s">
        <v>43</v>
      </c>
      <c r="G70">
        <v>1</v>
      </c>
      <c r="H70">
        <v>0</v>
      </c>
      <c r="I70" t="s">
        <v>158</v>
      </c>
      <c r="J70">
        <v>2024011</v>
      </c>
      <c r="K70" t="b">
        <v>0</v>
      </c>
      <c r="L70" t="s">
        <v>173</v>
      </c>
      <c r="O70">
        <v>-1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微信用户</cp:lastModifiedBy>
  <dcterms:created xsi:type="dcterms:W3CDTF">2025-07-14T07:23:00Z</dcterms:created>
  <dcterms:modified xsi:type="dcterms:W3CDTF">2026-05-22T07:43:06Z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474F67B9AFA54D54BA52F71126A1A698_11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