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794"/>
  </bookViews>
  <sheets>
    <sheet name="AuxiliaryAward" sheetId="2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g8s8chenkaijia</author>
  </authors>
  <commentList>
    <comment ref="D1" authorId="0">
      <text>
        <r>
          <rPr>
            <sz val="9"/>
            <rFont val="宋体"/>
            <charset val="134"/>
          </rPr>
          <t>游戏ID*1000+3位数（900-999） = 游戏小游戏ID
比如 200400*1000+900 = 奔驰宝马游戏中第一个小游戏</t>
        </r>
      </text>
    </comment>
    <comment ref="E1" authorId="0">
      <text>
        <r>
          <rPr>
            <sz val="9"/>
            <rFont val="宋体"/>
            <charset val="134"/>
          </rPr>
          <t xml:space="preserve">1 博牌
2 通杀
3 随机送灯
4 倍数
5 改变赔付
6 状态变化
7 随机区域增加倍率
8 大三元
9 大四喜
10 彩金
11 开火车
12 大满贯
13 小满贯
14 小三元
15 小猫变身
</t>
        </r>
      </text>
    </comment>
    <comment ref="F1" authorId="0">
      <text>
        <r>
          <rPr>
            <sz val="9"/>
            <rFont val="宋体"/>
            <charset val="134"/>
          </rPr>
          <t xml:space="preserve">1 博牌
2 通杀
3 随机送灯
4 倍数
5 改变赔付
6 状态变化
7 随机区域增加倍率
8 大三元
9 大四喜
10 彩金
11 开火车
12 大满贯
13 小满贯
14 小三元
15 小猫变身
</t>
        </r>
      </text>
    </comment>
    <comment ref="G1" authorId="1">
      <text>
        <r>
          <rPr>
            <sz val="9"/>
            <rFont val="宋体"/>
            <charset val="134"/>
          </rPr>
          <t>奖励数值:
奖励某数值分数或者倍数, 都要放大 100 倍</t>
        </r>
      </text>
    </comment>
    <comment ref="H1" authorId="1">
      <text>
        <r>
          <rPr>
            <sz val="9"/>
            <rFont val="宋体"/>
            <charset val="134"/>
          </rPr>
          <t>随机奖励数值:
[{数值,权重,可被抽中的数量}]</t>
        </r>
      </text>
    </comment>
    <comment ref="I1" authorId="1">
      <text>
        <r>
          <rPr>
            <sz val="9"/>
            <rFont val="宋体"/>
            <charset val="134"/>
          </rPr>
          <t>随机奖励个数:
[{个数,权重}]</t>
        </r>
      </text>
    </comment>
    <comment ref="J1" authorId="1">
      <text>
        <r>
          <rPr>
            <sz val="9"/>
            <rFont val="宋体"/>
            <charset val="134"/>
          </rPr>
          <t>随机位置:
[{中奖位置,权重,可被抽中的次数}]</t>
        </r>
      </text>
    </comment>
    <comment ref="K1" authorId="1">
      <text>
        <r>
          <rPr>
            <sz val="9"/>
            <rFont val="宋体"/>
            <charset val="134"/>
          </rPr>
          <t>额外中奖区域:
[{触发小游戏的区域,[额外的区域]}]
例: 
大三元: [{红狮子,[红狮子,绿狮子,黄狮子]}]</t>
        </r>
      </text>
    </comment>
  </commentList>
</comments>
</file>

<file path=xl/sharedStrings.xml><?xml version="1.0" encoding="utf-8"?>
<sst xmlns="http://schemas.openxmlformats.org/spreadsheetml/2006/main" count="69" uniqueCount="37">
  <si>
    <t>id</t>
  </si>
  <si>
    <t>游戏ID</t>
  </si>
  <si>
    <t>游戏名称</t>
  </si>
  <si>
    <t>小游戏奖励ID</t>
  </si>
  <si>
    <t>小游戏奖励类型</t>
  </si>
  <si>
    <t>小游戏奖励类型2</t>
  </si>
  <si>
    <t>奖励数值</t>
  </si>
  <si>
    <t>随机奖励数值</t>
  </si>
  <si>
    <t>奖励位置个数</t>
  </si>
  <si>
    <t>随机位置</t>
  </si>
  <si>
    <t>额外中奖区域</t>
  </si>
  <si>
    <t>int</t>
  </si>
  <si>
    <t>list&lt;list&lt;int&gt;{,}&gt;{;}</t>
  </si>
  <si>
    <t>map&lt;int{,}int&gt;{;}</t>
  </si>
  <si>
    <t>Map&lt;int{:}list&lt;int&gt;{,}&gt;{;}</t>
  </si>
  <si>
    <t>gameID</t>
  </si>
  <si>
    <t>auxiliaryID</t>
  </si>
  <si>
    <t>auxiliaryType</t>
  </si>
  <si>
    <t>auxiliaryMulti</t>
  </si>
  <si>
    <t>auxiliaryRandom</t>
  </si>
  <si>
    <t>posNum</t>
  </si>
  <si>
    <t>posRandom</t>
  </si>
  <si>
    <t>extraWinArea</t>
  </si>
  <si>
    <t>豪车俱乐部</t>
  </si>
  <si>
    <t>彩金</t>
  </si>
  <si>
    <t>[]</t>
  </si>
  <si>
    <t>大三元</t>
  </si>
  <si>
    <t>[{无下注区,[1930001_红奔驰,1930001_绿奔驰,1930001_黄奔驰]},{无下注区,[1930001_红宝马,1930001_绿宝马,1930001_黄宝马]},{无下注区,[1930001_红奥迪,1930001_绿奥迪,1930001_黄奥迪]},{无下注区,[1930001_红大众,1930001_绿大众,1930001_黄大众]}]</t>
  </si>
  <si>
    <t>大四喜</t>
  </si>
  <si>
    <t>[{无下注区,[1930001_红奔驰,1930001_红宝马,1930001_红奥迪,1930001_红大众]},{无下注区,[1930001_绿奔驰,1930001_绿宝马,1930001_绿奥迪,1930001_绿大众]},{无下注区,[1930001_黄奔驰,1930001_黄宝马,1930001_黄奥迪,1930001_黄大众]}]</t>
  </si>
  <si>
    <t>随机送灯</t>
  </si>
  <si>
    <t>[{1,10},{2,5},{3,4}]</t>
  </si>
  <si>
    <t>[{1930001_红奔驰,1,1},{1930001_绿奔驰,1,1},{1930001_黄奔驰,1,1},{1930001_红宝马,1,1},{1930001_绿宝马,1,1},{1930001_黄宝马,1,1},{1930001_红奥迪,1,1},{1930001_绿奥迪,1,1},{1930001_黄奥迪,1,1},{1930001_红大众,1,1},{1930001_绿大众,1,1},{1930001_黄大众,1,1}]</t>
  </si>
  <si>
    <t>开火车</t>
  </si>
  <si>
    <t>[{2,10},{3,5},{4,4},{5,3},{6,2}]</t>
  </si>
  <si>
    <t>大满贯</t>
  </si>
  <si>
    <t>通杀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</si>
</sst>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sz val="12"/>
      <color rgb="FF000000"/>
      <name val="Noto Sans CJK SC Regular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</cellStyleXfs>
  <cellXfs count="10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5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56" applyFont="1" applyFill="1" applyAlignment="1">
      <alignment horizontal="center" vertical="center"/>
    </xf>
    <xf numFmtId="0" fontId="1" fillId="3" borderId="0" xfId="56" applyFont="1" applyFill="1" applyAlignment="1">
      <alignment horizontal="center" vertical="center"/>
    </xf>
    <xf numFmtId="0" fontId="3" fillId="3" borderId="0" xfId="56" applyFont="1" applyFill="1" applyAlignment="1">
      <alignment horizontal="center" vertical="center"/>
    </xf>
    <xf numFmtId="0" fontId="1" fillId="4" borderId="0" xfId="56" applyFont="1" applyFill="1" applyAlignment="1">
      <alignment horizontal="center" vertical="center"/>
    </xf>
    <xf numFmtId="0" fontId="1" fillId="5" borderId="0" xfId="56" applyFont="1" applyFill="1" applyAlignment="1">
      <alignment horizontal="center" vertical="center"/>
    </xf>
    <xf numFmtId="0" fontId="1" fillId="2" borderId="0" xfId="56" applyFont="1" applyFill="1" applyAlignment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  <cellStyle name="常规 3 2" xfId="53"/>
    <cellStyle name="常规 4" xfId="54"/>
    <cellStyle name="常规 5" xfId="55"/>
    <cellStyle name="常规 6" xfId="56"/>
    <cellStyle name="常规 6 2" xfId="57"/>
    <cellStyle name="常规 6 2 2" xfId="58"/>
    <cellStyle name="常规 7" xfId="59"/>
  </cellStyles>
  <dxfs count="9"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ables/table1.xml><?xml version="1.0" encoding="utf-8"?>
<table xmlns="http://schemas.openxmlformats.org/spreadsheetml/2006/main" id="4" name="表4" displayName="表4" ref="B1:K12" totalsRowShown="0">
  <autoFilter xmlns:etc="http://www.wps.cn/officeDocument/2017/etCustomData" ref="B1:K12" etc:filterBottomFollowUsedRange="0"/>
  <tableColumns count="10">
    <tableColumn id="1" name="游戏ID" dataDxfId="0"/>
    <tableColumn id="2" name="游戏名称" dataDxfId="1">
      <calculatedColumnFormula>IFERROR(IF(B:B=0,"公共",VLOOKUP(B:B,#REF!,2,0))&amp;"","游戏不存在")</calculatedColumnFormula>
    </tableColumn>
    <tableColumn id="3" name="小游戏奖励ID" dataDxfId="2"/>
    <tableColumn id="4" name="小游戏奖励类型" dataDxfId="3"/>
    <tableColumn id="11" name="小游戏奖励类型2"/>
    <tableColumn id="5" name="奖励数值" dataDxfId="4"/>
    <tableColumn id="6" name="随机奖励数值" dataDxfId="5"/>
    <tableColumn id="7" name="奖励位置个数" dataDxfId="6"/>
    <tableColumn id="8" name="随机位置" dataDxfId="7"/>
    <tableColumn id="9" name="额外中奖区域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7" tint="0.397839289529099"/>
  </sheetPr>
  <dimension ref="A1:K12"/>
  <sheetViews>
    <sheetView tabSelected="1" workbookViewId="0">
      <pane ySplit="1" topLeftCell="A2" activePane="bottomLeft" state="frozen"/>
      <selection/>
      <selection pane="bottomLeft" activeCell="C5" sqref="C5"/>
    </sheetView>
  </sheetViews>
  <sheetFormatPr defaultColWidth="9" defaultRowHeight="16.5"/>
  <cols>
    <col min="1" max="1" width="12.875" style="2"/>
    <col min="2" max="2" width="12.125" style="2" customWidth="1"/>
    <col min="3" max="3" width="20.625" style="3" customWidth="1"/>
    <col min="4" max="4" width="14.5" style="2" customWidth="1"/>
    <col min="5" max="6" width="15.375" style="2" customWidth="1"/>
    <col min="7" max="7" width="15" style="2" customWidth="1"/>
    <col min="8" max="8" width="18.875" style="2" customWidth="1"/>
    <col min="9" max="9" width="23.5" style="2" customWidth="1"/>
    <col min="10" max="10" width="51.875" style="2" customWidth="1"/>
    <col min="11" max="11" width="39.7" style="2" customWidth="1"/>
    <col min="12" max="14" width="9" style="2"/>
    <col min="15" max="15" width="14.125" style="2"/>
    <col min="16" max="16384" width="9" style="2"/>
  </cols>
  <sheetData>
    <row r="1" s="1" customFormat="1" spans="1:11">
      <c r="A1" s="1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9" t="s">
        <v>8</v>
      </c>
      <c r="J1" s="5" t="s">
        <v>9</v>
      </c>
      <c r="K1" s="5" t="s">
        <v>10</v>
      </c>
    </row>
    <row r="2" s="1" customFormat="1" spans="1:11">
      <c r="A2" s="1" t="s">
        <v>11</v>
      </c>
      <c r="B2" s="2" t="s">
        <v>11</v>
      </c>
      <c r="C2" s="3"/>
      <c r="D2" s="2" t="s">
        <v>11</v>
      </c>
      <c r="E2" s="2" t="s">
        <v>11</v>
      </c>
      <c r="F2" s="2"/>
      <c r="G2" s="2" t="s">
        <v>11</v>
      </c>
      <c r="H2" s="2" t="s">
        <v>12</v>
      </c>
      <c r="I2" s="2" t="s">
        <v>13</v>
      </c>
      <c r="J2" s="2" t="s">
        <v>12</v>
      </c>
      <c r="K2" s="2" t="s">
        <v>14</v>
      </c>
    </row>
    <row r="3" s="1" customFormat="1" spans="1:11">
      <c r="A3" s="1" t="s">
        <v>0</v>
      </c>
      <c r="B3" s="2" t="s">
        <v>15</v>
      </c>
      <c r="C3" s="3"/>
      <c r="D3" s="2" t="s">
        <v>16</v>
      </c>
      <c r="E3" s="2" t="s">
        <v>17</v>
      </c>
      <c r="F3" s="2"/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</row>
    <row r="4" s="1" customFormat="1" spans="2:11">
      <c r="B4" s="2"/>
      <c r="C4" s="3"/>
      <c r="D4" s="2"/>
      <c r="E4" s="2"/>
      <c r="F4" s="2"/>
      <c r="G4" s="2"/>
      <c r="H4" s="2"/>
      <c r="I4" s="2"/>
      <c r="J4" s="2"/>
      <c r="K4" s="2"/>
    </row>
    <row r="5" spans="1:11">
      <c r="A5" s="2">
        <f>B5*1000+D5</f>
        <v>200400900</v>
      </c>
      <c r="B5" s="3">
        <v>200400</v>
      </c>
      <c r="C5" s="3" t="s">
        <v>23</v>
      </c>
      <c r="D5" s="2">
        <v>900</v>
      </c>
      <c r="E5" s="2">
        <v>10</v>
      </c>
      <c r="F5" s="2" t="s">
        <v>24</v>
      </c>
      <c r="G5" s="2">
        <v>1500000</v>
      </c>
      <c r="I5" s="2" t="s">
        <v>25</v>
      </c>
      <c r="J5" s="2" t="s">
        <v>25</v>
      </c>
      <c r="K5" s="2" t="s">
        <v>25</v>
      </c>
    </row>
    <row r="6" spans="1:11">
      <c r="A6" s="2">
        <f t="shared" ref="A6:A12" si="0">B6*1000+D6</f>
        <v>200400901</v>
      </c>
      <c r="B6" s="3">
        <v>200400</v>
      </c>
      <c r="C6" s="3" t="s">
        <v>23</v>
      </c>
      <c r="D6" s="2">
        <v>901</v>
      </c>
      <c r="E6" s="2">
        <v>8</v>
      </c>
      <c r="F6" s="2" t="s">
        <v>26</v>
      </c>
      <c r="G6" s="2">
        <v>0</v>
      </c>
      <c r="I6" s="2" t="s">
        <v>25</v>
      </c>
      <c r="J6" s="2" t="s">
        <v>25</v>
      </c>
      <c r="K6" s="2" t="s">
        <v>27</v>
      </c>
    </row>
    <row r="7" spans="1:11">
      <c r="A7" s="2">
        <f t="shared" si="0"/>
        <v>200400902</v>
      </c>
      <c r="B7" s="3">
        <v>200400</v>
      </c>
      <c r="C7" s="3" t="s">
        <v>23</v>
      </c>
      <c r="D7" s="2">
        <v>902</v>
      </c>
      <c r="E7" s="2">
        <v>9</v>
      </c>
      <c r="F7" s="2" t="s">
        <v>28</v>
      </c>
      <c r="G7" s="2">
        <v>0</v>
      </c>
      <c r="I7" s="2" t="s">
        <v>25</v>
      </c>
      <c r="J7" s="2" t="s">
        <v>25</v>
      </c>
      <c r="K7" s="2" t="s">
        <v>29</v>
      </c>
    </row>
    <row r="8" spans="1:11">
      <c r="A8" s="2">
        <f t="shared" si="0"/>
        <v>200400903</v>
      </c>
      <c r="B8" s="3">
        <v>200400</v>
      </c>
      <c r="C8" s="3" t="s">
        <v>23</v>
      </c>
      <c r="D8" s="2">
        <v>903</v>
      </c>
      <c r="E8" s="2">
        <v>3</v>
      </c>
      <c r="F8" s="2" t="s">
        <v>30</v>
      </c>
      <c r="G8" s="2">
        <v>0</v>
      </c>
      <c r="I8" s="2" t="s">
        <v>31</v>
      </c>
      <c r="J8" s="2" t="s">
        <v>32</v>
      </c>
      <c r="K8" s="2" t="s">
        <v>25</v>
      </c>
    </row>
    <row r="9" spans="1:11">
      <c r="A9" s="2">
        <f t="shared" si="0"/>
        <v>200400904</v>
      </c>
      <c r="B9" s="3">
        <v>200400</v>
      </c>
      <c r="C9" s="3" t="s">
        <v>23</v>
      </c>
      <c r="D9" s="2">
        <v>904</v>
      </c>
      <c r="E9" s="2">
        <v>11</v>
      </c>
      <c r="F9" s="2" t="s">
        <v>33</v>
      </c>
      <c r="G9" s="2">
        <v>0</v>
      </c>
      <c r="I9" s="2" t="s">
        <v>34</v>
      </c>
      <c r="J9" s="2" t="s">
        <v>32</v>
      </c>
      <c r="K9" s="2" t="s">
        <v>25</v>
      </c>
    </row>
    <row r="10" spans="1:11">
      <c r="A10" s="2">
        <f t="shared" si="0"/>
        <v>200400905</v>
      </c>
      <c r="B10" s="3">
        <v>200400</v>
      </c>
      <c r="C10" s="3" t="s">
        <v>23</v>
      </c>
      <c r="D10" s="2">
        <v>905</v>
      </c>
      <c r="E10" s="2">
        <v>12</v>
      </c>
      <c r="F10" s="2" t="s">
        <v>35</v>
      </c>
      <c r="G10" s="2">
        <v>0</v>
      </c>
      <c r="I10" s="2" t="s">
        <v>25</v>
      </c>
      <c r="J10" s="2" t="s">
        <v>32</v>
      </c>
      <c r="K10" s="2" t="s">
        <v>25</v>
      </c>
    </row>
    <row r="11" spans="1:11">
      <c r="A11" s="2">
        <f t="shared" si="0"/>
        <v>200400906</v>
      </c>
      <c r="B11" s="3">
        <v>200400</v>
      </c>
      <c r="C11" s="3" t="s">
        <v>23</v>
      </c>
      <c r="D11" s="2">
        <v>906</v>
      </c>
      <c r="E11" s="2">
        <v>2</v>
      </c>
      <c r="F11" s="2" t="s">
        <v>36</v>
      </c>
      <c r="G11" s="2">
        <v>0</v>
      </c>
      <c r="I11" s="2" t="s">
        <v>25</v>
      </c>
      <c r="J11" s="2" t="s">
        <v>25</v>
      </c>
      <c r="K11" s="2" t="s">
        <v>25</v>
      </c>
    </row>
    <row r="12" spans="1:11">
      <c r="A12" s="2">
        <f t="shared" si="0"/>
        <v>200400907</v>
      </c>
      <c r="B12" s="3">
        <v>200400</v>
      </c>
      <c r="C12" s="3" t="s">
        <v>23</v>
      </c>
      <c r="D12" s="2">
        <v>907</v>
      </c>
      <c r="E12" s="2">
        <v>10</v>
      </c>
      <c r="F12" s="2" t="s">
        <v>24</v>
      </c>
      <c r="G12" s="2">
        <v>1500000</v>
      </c>
      <c r="I12" s="2" t="s">
        <v>25</v>
      </c>
      <c r="J12" s="2" t="s">
        <v>25</v>
      </c>
      <c r="K12" s="2" t="s">
        <v>25</v>
      </c>
    </row>
  </sheetData>
  <pageMargins left="0.699305555555556" right="0.699305555555556" top="0.75" bottom="0.75" header="0.3" footer="0.3"/>
  <pageSetup paperSize="9" orientation="portrait"/>
  <headerFooter/>
  <ignoredErrors>
    <ignoredError sqref="C5:C12" calculatedColumn="1"/>
  </ignoredErrors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AuxiliaryAward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po8huangwei</dc:creator>
  <cp:lastModifiedBy>Cheng CL.96</cp:lastModifiedBy>
  <dcterms:created xsi:type="dcterms:W3CDTF">2015-06-06T02:19:00Z</dcterms:created>
  <dcterms:modified xsi:type="dcterms:W3CDTF">2025-07-04T09:26:10Z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C998F0C8E9624A99BCA69B29F04785AB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