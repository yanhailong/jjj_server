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AuxiliaryAward" sheetId="2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</authors>
  <commentList>
    <comment ref="D1" authorId="0">
      <text>
        <r>
          <rPr>
            <sz val="9"/>
            <rFont val="宋体"/>
            <charset val="134"/>
          </rPr>
          <t>游戏ID*1000+3位数（900-999） = 游戏小游戏ID
比如 200400*1000+900 = 奔驰宝马游戏中第一个小游戏</t>
        </r>
      </text>
    </comment>
    <comment ref="E1" authorId="0">
      <text>
        <r>
          <rPr>
            <sz val="9"/>
            <rFont val="宋体"/>
            <charset val="134"/>
          </rPr>
          <t>1 博牌
2 通杀 庄家吃所有押注
3 随机送灯
4 倍数
5 改变赔付
6 状态变化
7 随机区域增加倍率
8 大三元
9 大四喜
10 彩金
11 开火车
12 大满贯
13 小满贯
14 小三元
15 小猫变身
16 通赔 庄家赔所有押注
17 小四喜
18 六六大顺
19 仙女散花
20 天龙八部
21 九莲宝灯
22 纵横四海</t>
        </r>
      </text>
    </comment>
    <comment ref="F1" authorId="0">
      <text>
        <r>
          <rPr>
            <sz val="9"/>
            <rFont val="宋体"/>
            <charset val="134"/>
          </rPr>
          <t>1 博牌
2 通杀 庄家吃所有押注
3 送灯
4 倍数
5 改变赔付
6 状态变化
7 随机区域增加倍率
8 大三元
9 大四喜
10 彩金
11 开火车
12 大满贯
13 小满贯
14 小三元
15 小猫变身
16 通赔 庄家赔所有押注
17 小四喜
18 六六大顺
19 仙女散花
20 天龙八部
21 九莲宝灯
22 纵横四海
23 随机送灯</t>
        </r>
      </text>
    </comment>
    <comment ref="G1" authorId="1">
      <text>
        <r>
          <rPr>
            <sz val="9"/>
            <rFont val="宋体"/>
            <charset val="134"/>
          </rPr>
          <t>奖励数值:
奖励某数值分数或者倍数, 都要放大 100 倍</t>
        </r>
      </text>
    </comment>
    <comment ref="H1" authorId="1">
      <text>
        <r>
          <rPr>
            <sz val="9"/>
            <rFont val="宋体"/>
            <charset val="134"/>
          </rPr>
          <t>随机奖励个数:
[{个数,权重}]</t>
        </r>
      </text>
    </comment>
    <comment ref="I1" authorId="1">
      <text>
        <r>
          <rPr>
            <sz val="9"/>
            <rFont val="宋体"/>
            <charset val="134"/>
          </rPr>
          <t>随机位置:
[{中奖位置,权重,可被抽中的次数}]</t>
        </r>
      </text>
    </comment>
    <comment ref="J1" authorId="1">
      <text>
        <r>
          <rPr>
            <sz val="9"/>
            <rFont val="宋体"/>
            <charset val="134"/>
          </rPr>
          <t>额外中奖区域:
[{触发小游戏的区域,[额外的区域]}]
例: 
大三元: [{红狮子,[红狮子,绿狮子,黄狮子]}]</t>
        </r>
      </text>
    </comment>
  </commentList>
</comments>
</file>

<file path=xl/sharedStrings.xml><?xml version="1.0" encoding="utf-8"?>
<sst xmlns="http://schemas.openxmlformats.org/spreadsheetml/2006/main" count="135" uniqueCount="79">
  <si>
    <t>id</t>
  </si>
  <si>
    <t>游戏ID</t>
  </si>
  <si>
    <t>游戏名称</t>
  </si>
  <si>
    <t>小游戏奖励ID</t>
  </si>
  <si>
    <t>小游戏奖励类型</t>
  </si>
  <si>
    <t>小游戏奖励类型2</t>
  </si>
  <si>
    <t>奖励数值</t>
  </si>
  <si>
    <t>奖励位置个数</t>
  </si>
  <si>
    <t>随机位置</t>
  </si>
  <si>
    <t>额外中奖区域</t>
  </si>
  <si>
    <t>描述</t>
  </si>
  <si>
    <t>int</t>
  </si>
  <si>
    <t>map&lt;int{,}int&gt;{;}</t>
  </si>
  <si>
    <t>list&lt;list&lt;int&gt;{,}&gt;{;}</t>
  </si>
  <si>
    <t>Map&lt;int{:}list&lt;int&gt;{,}&gt;{;}</t>
  </si>
  <si>
    <t>gameID</t>
  </si>
  <si>
    <t>auxiliaryID</t>
  </si>
  <si>
    <t>auxiliaryType</t>
  </si>
  <si>
    <t>auxiliaryMulti</t>
  </si>
  <si>
    <t>posNum</t>
  </si>
  <si>
    <t>posRandom</t>
  </si>
  <si>
    <t>extraWinArea</t>
  </si>
  <si>
    <t>飞禽走兽</t>
  </si>
  <si>
    <t>通杀</t>
  </si>
  <si>
    <t>通赔</t>
  </si>
  <si>
    <t>水果机</t>
  </si>
  <si>
    <t>送灯</t>
  </si>
  <si>
    <t>1,1;2,1;3,1;4,1;5,1;6,1;7,1;8,1;9,1</t>
  </si>
  <si>
    <t>20100001,1,1;20100002,1,1;20100003,1,1;20100004,1,1;20100005,1,1;20100006,1,1;20100007,1,1;20100008,1,1;20100009,1,1;20100010,1,1;20100011,1,1;20100012,1,1;20100013,1,1;20100014,1,1;20100015,1,1;20100016,1,1;20100017,1,1;20100018,1,1;20100019,1,1;20100020,1,1;20100021,1,1;20100022,1,1;20100023,1,1;20100024,1,1;</t>
  </si>
  <si>
    <t>幸运奖</t>
  </si>
  <si>
    <t>随机送灯</t>
  </si>
  <si>
    <t>1,1;2,1;3,1</t>
  </si>
  <si>
    <t>随机奖</t>
  </si>
  <si>
    <t>小三元</t>
  </si>
  <si>
    <t>3,1</t>
  </si>
  <si>
    <t>201000001,1,1;201000002,1,1;201000007,1,1;201000013,1,1;201000014,1,1;201000019,1,1;</t>
  </si>
  <si>
    <t>3种开奖结果，需扣除本局的开奖位置，同一下注区对应的开奖结果赔率相同算一种</t>
  </si>
  <si>
    <t>大三元</t>
  </si>
  <si>
    <t>20100008,1,1;20100016,1,1;20100020,1</t>
  </si>
  <si>
    <t>开奖位置ID,权重</t>
  </si>
  <si>
    <t>小四喜</t>
  </si>
  <si>
    <t>4,1</t>
  </si>
  <si>
    <t>201000001,1,1;201000002,1,1;201000005,1,1;201000007,1,1;201000011,1,1;201000013,1,1;201000014,1,1;201000017,1,1;201000019,1,1;201000023,1,1;</t>
  </si>
  <si>
    <t>4种开奖结果，需扣除本局的开奖位置</t>
  </si>
  <si>
    <t>大四喜</t>
  </si>
  <si>
    <t>20100004,1,1;20100008,1,1;20100016,1,1;20100020,1</t>
  </si>
  <si>
    <t>大满贯</t>
  </si>
  <si>
    <t>7,1</t>
  </si>
  <si>
    <t>201000001,1,1;201000002,1,1;201000005,1,1;201000007,1,1;201000008,1,1;201000011,1,1;201000013,1,1;201000014,1,1;201000016,1,1;201000017,1,1;201000019,1,1;201000020,1,1;201000023,1,1;</t>
  </si>
  <si>
    <t>7种开奖结果，需扣除本局的开奖位置</t>
  </si>
  <si>
    <t>开火车</t>
  </si>
  <si>
    <t>3,1;4,1;5,1</t>
  </si>
  <si>
    <t>开奖位置后面连着取3-5个</t>
  </si>
  <si>
    <t>六六大顺</t>
  </si>
  <si>
    <t>201000002,1,1;201000005,1,1;201000006,1,1;201000007,1,1;201000013,1,1;201000016,1,1</t>
  </si>
  <si>
    <t>天龙八部</t>
  </si>
  <si>
    <t>201000004,1,1;201000005,1,1;201000007,1,1;201000008,1,1;201000016,1,1;201000019,1,1;201000020,1,1;201000024,1,1;</t>
  </si>
  <si>
    <t>8种开奖结果，需扣除本局的开奖位置</t>
  </si>
  <si>
    <t>纵横四海</t>
  </si>
  <si>
    <t>201000001,1,1;201000002,1,1;201000003,1,1;201000004,1,1;201000005,1,1;201000006,1,1;201000007,1,1;201000008,1,1;201000024,1,1;</t>
  </si>
  <si>
    <t>上</t>
  </si>
  <si>
    <t>201000006,1,1;201000007,1,1;201000008,1,1;201000009,1,1;201000010,1,1;201000011,1,1;201000012,1,1;201000013,1,1;201000014,1,1;</t>
  </si>
  <si>
    <t>右</t>
  </si>
  <si>
    <t>201000012,1,1;201000013,1,1;201000014,1,1;201000015,1,1;201000016,1,1;201000017,1,1;201000018,1,1;201000019,1,1;201000020,1,1;</t>
  </si>
  <si>
    <t>下</t>
  </si>
  <si>
    <t>201000001,1,1;201000002,1,1;201000018,1,1;201000019,1,1;201000020,1,1;201000021,1,1;201000022,1,1;201000023,1,1;201000024,1,1;</t>
  </si>
  <si>
    <t>左</t>
  </si>
  <si>
    <t>仙女散花</t>
  </si>
  <si>
    <t>201000001,1,1;201000002,1,1;201000005,1,1;201000006,1,1;201000007,1,1;201000012,1,1;201000016,1,1;201000000,1,1;</t>
  </si>
  <si>
    <t>九莲宝灯</t>
  </si>
  <si>
    <t>201000001,1,1;201000006,1,1;201000007,1,1;201000013,1,1;201000005,1,1;201000008,1,1;201000004,1,1;201000016,1,1;201000017,1,1;</t>
  </si>
  <si>
    <t>201000023,1,1;201000019,1,1;201000017,1,1;201000011,1,1;201000001,1,1;201000014,1,1</t>
  </si>
  <si>
    <t>201000004,1,1;201000017,1,1;201000007,1,1;201000008,1,1;201000016,1,1;201000019,1,1;201000020,1,1;201000024,1,1;</t>
  </si>
  <si>
    <t>201000004,1,1;201000023,1,1;201000007,1,1;201000008,1,1;201000016,1,1;201000019,1,1;201000020,1,1;201000024,1,1;</t>
  </si>
  <si>
    <t>201000014,1,1;201000019,1,1;201000013,1,1;201000011,1,1;201000006,1,1;201000012,1,1;201000016,1,1;201000000,1,1;</t>
  </si>
  <si>
    <t>201000017,1,1;201000018,1,1;201000002,1,1;201000006,1,1;201000016,1,1;201000001,1,1;201000007,1,1;201000000,1,1;</t>
  </si>
  <si>
    <t>201000001,1,1;201000006,1,1;201000007,1,1;201000013,1,1;201000005,1,1;201000008,1,1;201000004,1,1;201000016,1,1;201000011,1,1;</t>
  </si>
  <si>
    <t>201000001,1,1;201000006,1,1;201000019,1,1;201000013,1,1;201000017,1,1;201000008,1,1;201000004,1,1;201000016,1,1;201000011,1,1;</t>
  </si>
  <si>
    <t>201000001,1,1;201000006,1,1;201000007,1,1;201000013,1,1;201000005,1,1;201000008,1,1;201000004,1,1;201000016,1,1;201000023,1,1;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</si>
</sst>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14">
    <xf numFmtId="0" fontId="0" fillId="0" borderId="0" xfId="0"/>
    <xf numFmtId="0" fontId="1" fillId="0" borderId="0" xfId="50" applyFont="1" applyAlignment="1">
      <alignment horizontal="center" vertical="center"/>
    </xf>
    <xf numFmtId="0" fontId="2" fillId="0" borderId="0" xfId="5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3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0" xfId="5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0" xfId="50" applyFont="1" applyAlignment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8"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4" name="表4" displayName="表4" ref="B1:K8" totalsRowShown="0">
  <autoFilter xmlns:etc="http://www.wps.cn/officeDocument/2017/etCustomData" ref="B1:K8" etc:filterBottomFollowUsedRange="0"/>
  <tableColumns count="10">
    <tableColumn id="1" name="游戏ID" dataDxfId="0"/>
    <tableColumn id="2" name="游戏名称" dataDxfId="1">
      <calculatedColumnFormula>IFERROR(IF(B:B=0,"公共",VLOOKUP(B:B,#REF!,2,0))&amp;"","游戏不存在")</calculatedColumnFormula>
    </tableColumn>
    <tableColumn id="3" name="小游戏奖励ID" dataDxfId="2"/>
    <tableColumn id="4" name="小游戏奖励类型" dataDxfId="3"/>
    <tableColumn id="11" name="小游戏奖励类型2"/>
    <tableColumn id="5" name="奖励数值" dataDxfId="4"/>
    <tableColumn id="7" name="奖励位置个数" dataDxfId="5"/>
    <tableColumn id="8" name="随机位置" dataDxfId="6"/>
    <tableColumn id="9" name="额外中奖区域" dataDxfId="7"/>
    <tableColumn id="10" name="描述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>
    <tabColor theme="7" tint="0.397839289529099"/>
  </sheetPr>
  <dimension ref="A1:K30"/>
  <sheetViews>
    <sheetView tabSelected="1" zoomScale="90" zoomScaleNormal="90" workbookViewId="0">
      <pane ySplit="4" topLeftCell="A5" activePane="bottomLeft" state="frozen"/>
      <selection/>
      <selection pane="bottomLeft" activeCell="D14" sqref="D14"/>
    </sheetView>
  </sheetViews>
  <sheetFormatPr defaultColWidth="9" defaultRowHeight="16.5"/>
  <cols>
    <col min="1" max="1" width="12.875" style="2"/>
    <col min="2" max="2" width="12.125" style="2" customWidth="1"/>
    <col min="3" max="3" width="20.625" style="3" customWidth="1"/>
    <col min="4" max="4" width="14.5" style="2" customWidth="1"/>
    <col min="5" max="6" width="15.375" style="2" customWidth="1"/>
    <col min="7" max="7" width="15" style="2" customWidth="1"/>
    <col min="8" max="8" width="23.5" style="2" customWidth="1"/>
    <col min="9" max="9" width="18.875" style="2" customWidth="1"/>
    <col min="10" max="10" width="25.125" style="2" customWidth="1"/>
    <col min="11" max="11" width="19.75" style="2" customWidth="1"/>
    <col min="12" max="13" width="9" style="2"/>
    <col min="14" max="14" width="14.125" style="2"/>
    <col min="15" max="16384" width="9" style="2"/>
  </cols>
  <sheetData>
    <row r="1" s="1" customFormat="1" spans="1:11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5" t="s">
        <v>8</v>
      </c>
      <c r="J1" s="5" t="s">
        <v>9</v>
      </c>
      <c r="K1" s="1" t="s">
        <v>10</v>
      </c>
    </row>
    <row r="2" s="1" customFormat="1" spans="1:10">
      <c r="A2" s="1" t="s">
        <v>11</v>
      </c>
      <c r="B2" s="2" t="s">
        <v>11</v>
      </c>
      <c r="C2" s="3"/>
      <c r="D2" s="2" t="s">
        <v>11</v>
      </c>
      <c r="E2" s="2" t="s">
        <v>11</v>
      </c>
      <c r="F2" s="2"/>
      <c r="G2" s="2" t="s">
        <v>11</v>
      </c>
      <c r="H2" s="2" t="s">
        <v>12</v>
      </c>
      <c r="I2" s="2" t="s">
        <v>13</v>
      </c>
      <c r="J2" s="2" t="s">
        <v>14</v>
      </c>
    </row>
    <row r="3" s="1" customFormat="1" hidden="1" spans="1:10">
      <c r="A3" s="1" t="s">
        <v>0</v>
      </c>
      <c r="B3" s="2" t="s">
        <v>15</v>
      </c>
      <c r="C3" s="3"/>
      <c r="D3" s="2" t="s">
        <v>16</v>
      </c>
      <c r="E3" s="2" t="s">
        <v>17</v>
      </c>
      <c r="F3" s="2"/>
      <c r="G3" s="2" t="s">
        <v>18</v>
      </c>
      <c r="H3" s="2" t="s">
        <v>19</v>
      </c>
      <c r="I3" s="2" t="s">
        <v>20</v>
      </c>
      <c r="J3" s="2" t="s">
        <v>21</v>
      </c>
    </row>
    <row r="4" s="1" customFormat="1" hidden="1" spans="2:10">
      <c r="B4" s="2"/>
      <c r="C4" s="3"/>
      <c r="D4" s="2"/>
      <c r="E4" s="2"/>
      <c r="F4" s="2"/>
      <c r="G4" s="2"/>
      <c r="H4" s="2"/>
      <c r="I4" s="2"/>
      <c r="J4" s="2"/>
    </row>
    <row r="5" spans="1:7">
      <c r="A5" s="2">
        <v>200300901</v>
      </c>
      <c r="B5" s="3">
        <v>200300</v>
      </c>
      <c r="C5" s="3" t="s">
        <v>22</v>
      </c>
      <c r="D5" s="2">
        <v>901</v>
      </c>
      <c r="E5" s="2">
        <v>2</v>
      </c>
      <c r="F5" s="2" t="s">
        <v>23</v>
      </c>
      <c r="G5" s="2">
        <v>0</v>
      </c>
    </row>
    <row r="6" spans="1:7">
      <c r="A6" s="2">
        <v>200300902</v>
      </c>
      <c r="B6" s="3">
        <v>200300</v>
      </c>
      <c r="C6" s="3" t="s">
        <v>22</v>
      </c>
      <c r="D6" s="2">
        <v>902</v>
      </c>
      <c r="E6" s="2">
        <v>16</v>
      </c>
      <c r="F6" s="2" t="s">
        <v>24</v>
      </c>
      <c r="G6" s="2">
        <v>0</v>
      </c>
    </row>
    <row r="7" spans="1:11">
      <c r="A7" s="2">
        <f>B7*1000+D7</f>
        <v>201000901</v>
      </c>
      <c r="B7" s="2">
        <v>201000</v>
      </c>
      <c r="C7" s="3" t="s">
        <v>25</v>
      </c>
      <c r="D7" s="2">
        <v>901</v>
      </c>
      <c r="E7" s="2">
        <v>3</v>
      </c>
      <c r="F7" s="2" t="s">
        <v>26</v>
      </c>
      <c r="G7" s="2">
        <v>0</v>
      </c>
      <c r="H7" s="10" t="s">
        <v>27</v>
      </c>
      <c r="I7" s="10" t="s">
        <v>28</v>
      </c>
      <c r="K7" s="10" t="s">
        <v>29</v>
      </c>
    </row>
    <row r="8" spans="1:11">
      <c r="A8" s="2">
        <f>B8*1000+D8</f>
        <v>201000902</v>
      </c>
      <c r="B8" s="2">
        <v>201000</v>
      </c>
      <c r="C8" s="3" t="s">
        <v>25</v>
      </c>
      <c r="D8" s="2">
        <v>902</v>
      </c>
      <c r="E8" s="2">
        <v>23</v>
      </c>
      <c r="F8" s="2" t="s">
        <v>30</v>
      </c>
      <c r="G8" s="2">
        <v>0</v>
      </c>
      <c r="H8" s="10" t="s">
        <v>31</v>
      </c>
      <c r="I8" s="10" t="s">
        <v>28</v>
      </c>
      <c r="K8" s="10" t="s">
        <v>32</v>
      </c>
    </row>
    <row r="9" spans="1:11">
      <c r="A9" s="2">
        <f>B9*1000+D9</f>
        <v>201000903</v>
      </c>
      <c r="B9" s="2">
        <v>201000</v>
      </c>
      <c r="C9" s="3" t="s">
        <v>25</v>
      </c>
      <c r="D9" s="11">
        <v>903</v>
      </c>
      <c r="E9" s="2">
        <v>14</v>
      </c>
      <c r="F9" s="2" t="s">
        <v>33</v>
      </c>
      <c r="G9" s="2">
        <v>0</v>
      </c>
      <c r="H9" s="10" t="s">
        <v>34</v>
      </c>
      <c r="I9" s="12" t="s">
        <v>35</v>
      </c>
      <c r="K9" s="10" t="s">
        <v>36</v>
      </c>
    </row>
    <row r="10" spans="1:11">
      <c r="A10" s="2">
        <f>B10*1000+D10</f>
        <v>201000904</v>
      </c>
      <c r="B10" s="2">
        <v>201000</v>
      </c>
      <c r="C10" s="3" t="s">
        <v>25</v>
      </c>
      <c r="D10" s="2">
        <v>904</v>
      </c>
      <c r="E10" s="2">
        <v>8</v>
      </c>
      <c r="F10" s="2" t="s">
        <v>37</v>
      </c>
      <c r="G10" s="2">
        <v>0</v>
      </c>
      <c r="H10" s="10" t="s">
        <v>34</v>
      </c>
      <c r="I10" s="10" t="s">
        <v>38</v>
      </c>
      <c r="K10" s="10" t="s">
        <v>39</v>
      </c>
    </row>
    <row r="11" spans="1:11">
      <c r="A11" s="2">
        <f>B11*1000+D11</f>
        <v>201000905</v>
      </c>
      <c r="B11" s="2">
        <v>201000</v>
      </c>
      <c r="C11" s="3" t="s">
        <v>25</v>
      </c>
      <c r="D11" s="2">
        <v>905</v>
      </c>
      <c r="E11" s="2">
        <v>17</v>
      </c>
      <c r="F11" s="2" t="s">
        <v>40</v>
      </c>
      <c r="G11" s="2">
        <v>0</v>
      </c>
      <c r="H11" s="10" t="s">
        <v>41</v>
      </c>
      <c r="I11" s="10" t="s">
        <v>42</v>
      </c>
      <c r="J11" s="13"/>
      <c r="K11" s="10" t="s">
        <v>43</v>
      </c>
    </row>
    <row r="12" spans="1:11">
      <c r="A12" s="2">
        <f>B12*1000+D12</f>
        <v>201000906</v>
      </c>
      <c r="B12" s="2">
        <v>201000</v>
      </c>
      <c r="C12" s="3" t="s">
        <v>25</v>
      </c>
      <c r="D12" s="2">
        <v>906</v>
      </c>
      <c r="E12" s="2">
        <v>9</v>
      </c>
      <c r="F12" s="2" t="s">
        <v>44</v>
      </c>
      <c r="G12" s="2">
        <v>0</v>
      </c>
      <c r="H12" s="10" t="s">
        <v>41</v>
      </c>
      <c r="I12" s="10" t="s">
        <v>45</v>
      </c>
      <c r="K12" s="10" t="s">
        <v>39</v>
      </c>
    </row>
    <row r="13" spans="1:11">
      <c r="A13" s="2">
        <f>B13*1000+D13</f>
        <v>201000907</v>
      </c>
      <c r="B13" s="2">
        <v>201000</v>
      </c>
      <c r="C13" s="3" t="s">
        <v>25</v>
      </c>
      <c r="D13" s="2">
        <v>907</v>
      </c>
      <c r="E13" s="2">
        <v>12</v>
      </c>
      <c r="F13" s="2" t="s">
        <v>46</v>
      </c>
      <c r="G13" s="2">
        <v>0</v>
      </c>
      <c r="H13" s="10" t="s">
        <v>47</v>
      </c>
      <c r="I13" s="10" t="s">
        <v>48</v>
      </c>
      <c r="K13" s="10" t="s">
        <v>49</v>
      </c>
    </row>
    <row r="14" spans="1:11">
      <c r="A14" s="2">
        <f>B14*1000+D14</f>
        <v>201000908</v>
      </c>
      <c r="B14" s="2">
        <v>201000</v>
      </c>
      <c r="C14" s="3" t="s">
        <v>25</v>
      </c>
      <c r="D14" s="2">
        <v>908</v>
      </c>
      <c r="E14" s="2">
        <v>11</v>
      </c>
      <c r="F14" s="2" t="s">
        <v>50</v>
      </c>
      <c r="G14" s="2">
        <v>0</v>
      </c>
      <c r="H14" s="10" t="s">
        <v>51</v>
      </c>
      <c r="I14" s="10" t="s">
        <v>28</v>
      </c>
      <c r="K14" s="10" t="s">
        <v>52</v>
      </c>
    </row>
    <row r="15" spans="1:11">
      <c r="A15" s="2">
        <f>B15*1000+D15</f>
        <v>201000909</v>
      </c>
      <c r="B15" s="2">
        <v>201000</v>
      </c>
      <c r="C15" s="3" t="s">
        <v>25</v>
      </c>
      <c r="D15" s="2">
        <v>909</v>
      </c>
      <c r="E15" s="2">
        <v>18</v>
      </c>
      <c r="F15" s="2" t="s">
        <v>53</v>
      </c>
      <c r="G15" s="2">
        <v>0</v>
      </c>
      <c r="H15" s="10"/>
      <c r="I15" s="10" t="s">
        <v>54</v>
      </c>
      <c r="K15" s="10" t="s">
        <v>39</v>
      </c>
    </row>
    <row r="16" spans="1:11">
      <c r="A16" s="2">
        <f>B16*1000+D16</f>
        <v>201000910</v>
      </c>
      <c r="B16" s="2">
        <v>201000</v>
      </c>
      <c r="C16" s="3" t="s">
        <v>25</v>
      </c>
      <c r="D16" s="2">
        <v>910</v>
      </c>
      <c r="E16" s="2">
        <v>20</v>
      </c>
      <c r="F16" s="2" t="s">
        <v>55</v>
      </c>
      <c r="G16" s="2">
        <v>0</v>
      </c>
      <c r="H16" s="10"/>
      <c r="I16" s="10" t="s">
        <v>56</v>
      </c>
      <c r="K16" s="10" t="s">
        <v>57</v>
      </c>
    </row>
    <row r="17" spans="1:11">
      <c r="A17" s="2">
        <f>B17*1000+D17</f>
        <v>201000911</v>
      </c>
      <c r="B17" s="2">
        <v>201000</v>
      </c>
      <c r="C17" s="3" t="s">
        <v>25</v>
      </c>
      <c r="D17" s="2">
        <v>911</v>
      </c>
      <c r="E17" s="2">
        <v>22</v>
      </c>
      <c r="F17" s="2" t="s">
        <v>58</v>
      </c>
      <c r="G17" s="2">
        <v>0</v>
      </c>
      <c r="I17" s="10" t="s">
        <v>59</v>
      </c>
      <c r="K17" s="10" t="s">
        <v>60</v>
      </c>
    </row>
    <row r="18" spans="1:11">
      <c r="A18" s="2">
        <f>B18*1000+D18</f>
        <v>201000912</v>
      </c>
      <c r="B18" s="2">
        <v>201000</v>
      </c>
      <c r="C18" s="3" t="s">
        <v>25</v>
      </c>
      <c r="D18" s="2">
        <v>912</v>
      </c>
      <c r="E18" s="2">
        <v>22</v>
      </c>
      <c r="F18" s="2" t="s">
        <v>58</v>
      </c>
      <c r="G18" s="2">
        <v>0</v>
      </c>
      <c r="I18" s="10" t="s">
        <v>61</v>
      </c>
      <c r="K18" s="10" t="s">
        <v>62</v>
      </c>
    </row>
    <row r="19" spans="1:11">
      <c r="A19" s="2">
        <f>B19*1000+D19</f>
        <v>201000913</v>
      </c>
      <c r="B19" s="2">
        <v>201000</v>
      </c>
      <c r="C19" s="3" t="s">
        <v>25</v>
      </c>
      <c r="D19" s="2">
        <v>913</v>
      </c>
      <c r="E19" s="2">
        <v>22</v>
      </c>
      <c r="F19" s="2" t="s">
        <v>58</v>
      </c>
      <c r="G19" s="2">
        <v>0</v>
      </c>
      <c r="I19" s="10" t="s">
        <v>63</v>
      </c>
      <c r="K19" s="10" t="s">
        <v>64</v>
      </c>
    </row>
    <row r="20" spans="1:11">
      <c r="A20" s="2">
        <f>B20*1000+D20</f>
        <v>201000914</v>
      </c>
      <c r="B20" s="2">
        <v>201000</v>
      </c>
      <c r="C20" s="3" t="s">
        <v>25</v>
      </c>
      <c r="D20" s="2">
        <v>914</v>
      </c>
      <c r="E20" s="2">
        <v>22</v>
      </c>
      <c r="F20" s="2" t="s">
        <v>58</v>
      </c>
      <c r="G20" s="2">
        <v>0</v>
      </c>
      <c r="I20" s="10" t="s">
        <v>65</v>
      </c>
      <c r="K20" s="10" t="s">
        <v>66</v>
      </c>
    </row>
    <row r="21" spans="1:11">
      <c r="A21" s="2">
        <f>B21*1000+D21</f>
        <v>201000915</v>
      </c>
      <c r="B21" s="2">
        <v>201000</v>
      </c>
      <c r="C21" s="3" t="s">
        <v>25</v>
      </c>
      <c r="D21" s="2">
        <v>915</v>
      </c>
      <c r="E21" s="2">
        <v>19</v>
      </c>
      <c r="F21" s="2" t="s">
        <v>67</v>
      </c>
      <c r="G21" s="2">
        <v>0</v>
      </c>
      <c r="H21" s="10"/>
      <c r="I21" s="10" t="s">
        <v>68</v>
      </c>
      <c r="K21" s="10" t="s">
        <v>39</v>
      </c>
    </row>
    <row r="22" spans="1:11">
      <c r="A22" s="2">
        <f>B22*1000+D22</f>
        <v>201000916</v>
      </c>
      <c r="B22" s="2">
        <v>201000</v>
      </c>
      <c r="C22" s="3" t="s">
        <v>25</v>
      </c>
      <c r="D22" s="2">
        <v>916</v>
      </c>
      <c r="E22" s="2">
        <v>21</v>
      </c>
      <c r="F22" s="2" t="s">
        <v>69</v>
      </c>
      <c r="G22" s="2">
        <v>0</v>
      </c>
      <c r="H22" s="10"/>
      <c r="I22" s="10" t="s">
        <v>70</v>
      </c>
      <c r="K22" s="10" t="s">
        <v>39</v>
      </c>
    </row>
    <row r="23" spans="1:11">
      <c r="A23" s="2">
        <f>B23*1000+D23</f>
        <v>201000917</v>
      </c>
      <c r="B23" s="2">
        <v>201000</v>
      </c>
      <c r="C23" s="3" t="s">
        <v>25</v>
      </c>
      <c r="D23" s="2">
        <v>917</v>
      </c>
      <c r="E23" s="2">
        <v>18</v>
      </c>
      <c r="F23" s="2" t="s">
        <v>53</v>
      </c>
      <c r="G23" s="2">
        <v>0</v>
      </c>
      <c r="H23" s="10"/>
      <c r="I23" s="10" t="s">
        <v>71</v>
      </c>
      <c r="K23" s="10" t="s">
        <v>39</v>
      </c>
    </row>
    <row r="24" spans="1:11">
      <c r="A24" s="2">
        <f>B24*1000+D24</f>
        <v>201000918</v>
      </c>
      <c r="B24" s="2">
        <v>201000</v>
      </c>
      <c r="C24" s="3" t="s">
        <v>25</v>
      </c>
      <c r="D24" s="2">
        <v>918</v>
      </c>
      <c r="E24" s="2">
        <v>20</v>
      </c>
      <c r="F24" s="2" t="s">
        <v>55</v>
      </c>
      <c r="G24" s="2">
        <v>0</v>
      </c>
      <c r="I24" s="10" t="s">
        <v>72</v>
      </c>
      <c r="K24" s="10" t="s">
        <v>39</v>
      </c>
    </row>
    <row r="25" spans="1:11">
      <c r="A25" s="2">
        <f>B25*1000+D25</f>
        <v>201000919</v>
      </c>
      <c r="B25" s="2">
        <v>201000</v>
      </c>
      <c r="C25" s="3" t="s">
        <v>25</v>
      </c>
      <c r="D25" s="2">
        <v>919</v>
      </c>
      <c r="E25" s="2">
        <v>20</v>
      </c>
      <c r="F25" s="2" t="s">
        <v>55</v>
      </c>
      <c r="G25" s="2">
        <v>0</v>
      </c>
      <c r="I25" s="10" t="s">
        <v>73</v>
      </c>
      <c r="K25" s="10" t="s">
        <v>39</v>
      </c>
    </row>
    <row r="26" spans="1:11">
      <c r="A26" s="2">
        <f>B26*1000+D26</f>
        <v>201000920</v>
      </c>
      <c r="B26" s="2">
        <v>201000</v>
      </c>
      <c r="C26" s="3" t="s">
        <v>25</v>
      </c>
      <c r="D26" s="2">
        <v>920</v>
      </c>
      <c r="E26" s="2">
        <v>19</v>
      </c>
      <c r="F26" s="2" t="s">
        <v>67</v>
      </c>
      <c r="G26" s="2">
        <v>0</v>
      </c>
      <c r="H26" s="10"/>
      <c r="I26" s="10" t="s">
        <v>74</v>
      </c>
      <c r="K26" s="10" t="s">
        <v>39</v>
      </c>
    </row>
    <row r="27" spans="1:11">
      <c r="A27" s="2">
        <f>B27*1000+D27</f>
        <v>201000921</v>
      </c>
      <c r="B27" s="2">
        <v>201000</v>
      </c>
      <c r="C27" s="3" t="s">
        <v>25</v>
      </c>
      <c r="D27" s="2">
        <v>921</v>
      </c>
      <c r="E27" s="2">
        <v>19</v>
      </c>
      <c r="F27" s="2" t="s">
        <v>67</v>
      </c>
      <c r="G27" s="2">
        <v>0</v>
      </c>
      <c r="H27" s="10"/>
      <c r="I27" s="10" t="s">
        <v>75</v>
      </c>
      <c r="K27" s="10" t="s">
        <v>39</v>
      </c>
    </row>
    <row r="28" spans="1:11">
      <c r="A28" s="2">
        <f>B28*1000+D28</f>
        <v>201000922</v>
      </c>
      <c r="B28" s="2">
        <v>201000</v>
      </c>
      <c r="C28" s="3" t="s">
        <v>25</v>
      </c>
      <c r="D28" s="2">
        <v>922</v>
      </c>
      <c r="E28" s="2">
        <v>21</v>
      </c>
      <c r="F28" s="2" t="s">
        <v>69</v>
      </c>
      <c r="G28" s="2">
        <v>0</v>
      </c>
      <c r="H28" s="10"/>
      <c r="I28" s="10" t="s">
        <v>76</v>
      </c>
      <c r="K28" s="10" t="s">
        <v>39</v>
      </c>
    </row>
    <row r="29" spans="1:11">
      <c r="A29" s="2">
        <f>B29*1000+D29</f>
        <v>201000923</v>
      </c>
      <c r="B29" s="2">
        <v>201000</v>
      </c>
      <c r="C29" s="3" t="s">
        <v>25</v>
      </c>
      <c r="D29" s="2">
        <v>923</v>
      </c>
      <c r="E29" s="2">
        <v>21</v>
      </c>
      <c r="F29" s="2" t="s">
        <v>69</v>
      </c>
      <c r="G29" s="2">
        <v>0</v>
      </c>
      <c r="H29" s="10"/>
      <c r="I29" s="10" t="s">
        <v>77</v>
      </c>
      <c r="K29" s="10" t="s">
        <v>39</v>
      </c>
    </row>
    <row r="30" spans="1:11">
      <c r="A30" s="2">
        <f>B30*1000+D30</f>
        <v>201000924</v>
      </c>
      <c r="B30" s="2">
        <v>201000</v>
      </c>
      <c r="C30" s="3" t="s">
        <v>25</v>
      </c>
      <c r="D30" s="2">
        <v>924</v>
      </c>
      <c r="E30" s="2">
        <v>21</v>
      </c>
      <c r="F30" s="2" t="s">
        <v>69</v>
      </c>
      <c r="G30" s="2">
        <v>0</v>
      </c>
      <c r="H30" s="10"/>
      <c r="I30" s="10" t="s">
        <v>78</v>
      </c>
      <c r="K30" s="10" t="s">
        <v>39</v>
      </c>
    </row>
  </sheetData>
  <pageMargins left="0.699305555555556" right="0.699305555555556" top="0.75" bottom="0.75" header="0.3" footer="0.3"/>
  <pageSetup paperSize="9" orientation="portrait"/>
  <headerFooter/>
  <ignoredErrors>
    <ignoredError sqref="C5:C8" calculatedColumn="1"/>
  </ignoredErrors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AuxiliaryAward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WPS_1545318235</cp:lastModifiedBy>
  <dcterms:created xsi:type="dcterms:W3CDTF">2015-06-06T02:19:00Z</dcterms:created>
  <dcterms:modified xsi:type="dcterms:W3CDTF">2025-07-12T10:07:50Z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