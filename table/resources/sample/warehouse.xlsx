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<sst xmlns="http://schemas.openxmlformats.org/spreadsheetml/2006/main" count="1294" uniqueCount="118">
  <si>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</si>
  <si>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</si>
  <si>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</si>
  <si>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</si>
  <si>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</si>
  <si>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</si>
  <si>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</si>
  <si>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</si>
  <si>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</si>
  <si>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</si>
  <si>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</si>
  <si>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</si>
  <si>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</si>
  <si>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</si>
  <si>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</si>
  <si>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</si>
  <si>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</si>
  <si>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</si>
  <si>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</si>
  <si>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</si>
  <si>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</si>
  <si>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</si>
  <si>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</si>
  <si>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</si>
  <si>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</si>
  <si>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</si>
  <si>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</si>
  <si>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</si>
  <si>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</si>
  <si>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</si>
  <si>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</si>
  <si>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</si>
  <si>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</si>
  <si>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</si>
  <si>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</si>
  <si>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</si>
  <si>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</si>
  <si>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</si>
  <si>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</si>
  <si>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</si>
  <si>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</si>
  <si>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</si>
  <si>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</si>
  <si>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</si>
  <si>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</si>
  <si>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</si>
  <si>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</si>
  <si>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</si>
  <si>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</si>
  <si>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</si>
  <si>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</si>
  <si>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</si>
  <si>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</si>
  <si>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</si>
  <si>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</si>
  <si>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</si>
  <si>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</si>
  <si>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</si>
  <si>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</si>
  <si>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</si>
  <si>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</si>
  <si>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</si>
  <si>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</si>
  <si>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</si>
  <si>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</si>
  <si>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</si>
  <si>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</si>
  <si>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</si>
  <si>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</si>
  <si>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</si>
  <si>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</si>
  <si>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</si>
  <si>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</si>
  <si>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</si>
  <si>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</si>
  <si>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</si>
  <si>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</si>
  <si>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</si>
  <si>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</si>
  <si>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</si>
  <si>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</si>
  <si>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</si>
  <si>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</si>
  <si>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</si>
  <si>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</si>
  <si>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</si>
  <si>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</si>
  <si>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</si>
  <si>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</si>
  <si>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</si>
  <si>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</si>
  <si>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</si>
  <si>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</si>
  <si>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</si>
  <si>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</si>
  <si>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</si>
  <si>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</si>
  <si>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</si>
  <si>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</si>
  <si>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</si>
  <si>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</si>
  <si>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</si>
  <si>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</si>
  <si>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</si>
  <si>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0:0</t>
  </si>
  <si>
    <t>俄罗斯轮盘</t>
  </si>
  <si>
    <t>RussianRoulette</t>
  </si>
  <si>
    <t>房间场-初级</t>
  </si>
  <si>
    <t>10:999</t>
  </si>
  <si>
    <t>房间场-中级</t>
  </si>
  <si>
    <t>房间场-高级</t>
  </si>
  <si>
    <t>9:999</t>
  </si>
  <si>
    <t>4:999</t>
  </si>
  <si>
    <t>基础场-特殊</t>
  </si>
  <si>
    <t>中级场-特殊</t>
  </si>
  <si>
    <t>高级场-特殊</t>
  </si>
  <si>
    <t>南方前进-体验场</t>
  </si>
  <si>
    <t>TienLenMienNamTY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</si>
</sst>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20" fontId="0" fillId="0" borderId="0" xfId="0" applyNumberFormat="1" applyAlignment="1">
      <alignment horizontal="center" vertic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0" fontId="0" fillId="0" borderId="0" xfId="0" applyFont="1" applyAlignment="1">
      <alignment horizontal="center" vertical="center"/>
    </xf>
    <xf numFmtId="20" fontId="0" fillId="0" borderId="0" xfId="0" applyNumberFormat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4"/>
  <sheetViews>
    <sheetView tabSelected="1" zoomScale="85" zoomScaleNormal="85" workbookViewId="0">
      <pane ySplit="4" topLeftCell="A253" activePane="bottomLeft" state="frozen"/>
      <selection/>
      <selection pane="bottomLeft" activeCell="L272" sqref="L272"/>
    </sheetView>
  </sheetViews>
  <sheetFormatPr defaultColWidth="9" defaultRowHeight="16.5"/>
  <cols>
    <col min="1" max="1" width="10.375" style="1"/>
    <col min="2" max="3" width="9.375" style="1"/>
    <col min="4" max="4" width="12.9333333333333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5" style="1" customWidth="1"/>
    <col min="12" max="12" width="17" style="3" customWidth="1"/>
    <col min="13" max="13" width="24.125" style="1" customWidth="1"/>
    <col min="14" max="14" width="17.125" customWidth="1"/>
    <col min="15" max="15" width="21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" t="s">
        <v>14</v>
      </c>
      <c r="G2" s="10"/>
      <c r="H2" s="12" t="s">
        <v>13</v>
      </c>
      <c r="I2" s="12" t="s">
        <v>13</v>
      </c>
      <c r="J2" s="12" t="s">
        <v>13</v>
      </c>
      <c r="K2" s="12" t="s">
        <v>13</v>
      </c>
      <c r="L2" s="3" t="s">
        <v>14</v>
      </c>
      <c r="M2" s="1" t="s">
        <v>15</v>
      </c>
      <c r="N2" s="12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2" t="s">
        <v>21</v>
      </c>
      <c r="I3" s="12" t="s">
        <v>22</v>
      </c>
      <c r="J3" s="12" t="s">
        <v>23</v>
      </c>
      <c r="K3" s="12" t="s">
        <v>24</v>
      </c>
      <c r="L3" s="3" t="s">
        <v>25</v>
      </c>
      <c r="M3" s="1" t="s">
        <v>26</v>
      </c>
      <c r="N3" s="12" t="s">
        <v>27</v>
      </c>
      <c r="O3" s="4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4">
        <v>100100</v>
      </c>
      <c r="C5" s="4">
        <v>1</v>
      </c>
      <c r="D5" s="4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28" t="s">
        <v>34</v>
      </c>
      <c r="N5">
        <v>1000</v>
      </c>
      <c r="O5" s="15">
        <v>1990000</v>
      </c>
    </row>
    <row r="6" spans="1:15">
      <c r="A6" s="1">
        <v>1001002</v>
      </c>
      <c r="B6" s="4">
        <v>100100</v>
      </c>
      <c r="C6" s="4">
        <v>1</v>
      </c>
      <c r="D6" s="4" t="s">
        <v>30</v>
      </c>
      <c r="E6" s="13">
        <v>100100026</v>
      </c>
      <c r="F6" s="13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28" t="s">
        <v>34</v>
      </c>
      <c r="N6">
        <v>10000</v>
      </c>
      <c r="O6" s="15">
        <v>1990000</v>
      </c>
    </row>
    <row r="7" spans="1:15">
      <c r="A7" s="1">
        <v>1001003</v>
      </c>
      <c r="B7" s="4">
        <v>100100</v>
      </c>
      <c r="C7" s="4">
        <v>1</v>
      </c>
      <c r="D7" s="4" t="s">
        <v>30</v>
      </c>
      <c r="E7" s="13">
        <v>100100026</v>
      </c>
      <c r="F7" s="13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28" t="s">
        <v>34</v>
      </c>
      <c r="N7">
        <v>100000</v>
      </c>
      <c r="O7" s="15">
        <v>1990000</v>
      </c>
    </row>
    <row r="8" spans="1:15">
      <c r="A8" s="1">
        <v>1003001</v>
      </c>
      <c r="B8" s="4">
        <v>100300</v>
      </c>
      <c r="C8" s="4">
        <v>1</v>
      </c>
      <c r="D8" s="4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28" t="s">
        <v>34</v>
      </c>
      <c r="N8">
        <v>1000</v>
      </c>
      <c r="O8" s="15">
        <v>1990000</v>
      </c>
    </row>
    <row r="9" spans="1:15">
      <c r="A9" s="1">
        <v>1003002</v>
      </c>
      <c r="B9" s="4">
        <v>100300</v>
      </c>
      <c r="C9" s="4">
        <v>1</v>
      </c>
      <c r="D9" s="4" t="s">
        <v>37</v>
      </c>
      <c r="E9" s="13">
        <v>100300001</v>
      </c>
      <c r="F9" s="13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28" t="s">
        <v>34</v>
      </c>
      <c r="N9">
        <v>10000</v>
      </c>
      <c r="O9" s="15">
        <v>1990000</v>
      </c>
    </row>
    <row r="10" spans="1:15">
      <c r="A10" s="1">
        <v>1003003</v>
      </c>
      <c r="B10" s="4">
        <v>100300</v>
      </c>
      <c r="C10" s="4">
        <v>1</v>
      </c>
      <c r="D10" s="4" t="s">
        <v>37</v>
      </c>
      <c r="E10" s="13">
        <v>100300001</v>
      </c>
      <c r="F10" s="13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28" t="s">
        <v>34</v>
      </c>
      <c r="N10">
        <v>100000</v>
      </c>
      <c r="O10" s="15">
        <v>1990000</v>
      </c>
    </row>
    <row r="11" spans="1:15">
      <c r="A11" s="1">
        <v>1007001</v>
      </c>
      <c r="B11" s="4">
        <v>100700</v>
      </c>
      <c r="C11" s="4">
        <v>1</v>
      </c>
      <c r="D11" s="4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28" t="s">
        <v>34</v>
      </c>
      <c r="N11">
        <v>1000</v>
      </c>
      <c r="O11" s="15">
        <v>1990000</v>
      </c>
    </row>
    <row r="12" spans="1:15">
      <c r="A12" s="1">
        <v>1007002</v>
      </c>
      <c r="B12" s="4">
        <v>100700</v>
      </c>
      <c r="C12" s="4">
        <v>1</v>
      </c>
      <c r="D12" s="4" t="s">
        <v>39</v>
      </c>
      <c r="E12" s="13">
        <v>100700001</v>
      </c>
      <c r="F12" s="13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28" t="s">
        <v>34</v>
      </c>
      <c r="N12">
        <v>10000</v>
      </c>
      <c r="O12" s="15">
        <v>1990000</v>
      </c>
    </row>
    <row r="13" spans="1:15">
      <c r="A13" s="1">
        <v>1007003</v>
      </c>
      <c r="B13" s="4">
        <v>100700</v>
      </c>
      <c r="C13" s="4">
        <v>1</v>
      </c>
      <c r="D13" s="4" t="s">
        <v>39</v>
      </c>
      <c r="E13" s="13">
        <v>100700001</v>
      </c>
      <c r="F13" s="13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28" t="s">
        <v>34</v>
      </c>
      <c r="N13">
        <v>100000</v>
      </c>
      <c r="O13" s="15">
        <v>1990000</v>
      </c>
    </row>
    <row r="14" spans="1:15">
      <c r="A14" s="1">
        <v>1012001</v>
      </c>
      <c r="B14" s="4">
        <v>101200</v>
      </c>
      <c r="C14" s="4">
        <v>1</v>
      </c>
      <c r="D14" s="4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28" t="s">
        <v>34</v>
      </c>
      <c r="N14">
        <v>120</v>
      </c>
      <c r="O14" s="15">
        <v>1990000</v>
      </c>
    </row>
    <row r="15" spans="1:15">
      <c r="A15" s="1">
        <v>1012002</v>
      </c>
      <c r="B15" s="4">
        <v>101200</v>
      </c>
      <c r="C15" s="4">
        <v>1</v>
      </c>
      <c r="D15" s="4" t="s">
        <v>41</v>
      </c>
      <c r="E15" s="13">
        <v>101200001</v>
      </c>
      <c r="F15" s="13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28" t="s">
        <v>34</v>
      </c>
      <c r="N15">
        <v>15000</v>
      </c>
      <c r="O15" s="15">
        <v>1990000</v>
      </c>
    </row>
    <row r="16" spans="1:15">
      <c r="A16" s="1">
        <v>1012003</v>
      </c>
      <c r="B16" s="4">
        <v>101200</v>
      </c>
      <c r="C16" s="4">
        <v>1</v>
      </c>
      <c r="D16" s="4" t="s">
        <v>41</v>
      </c>
      <c r="E16" s="13">
        <v>101200001</v>
      </c>
      <c r="F16" s="13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28" t="s">
        <v>34</v>
      </c>
      <c r="N16">
        <v>150000</v>
      </c>
      <c r="O16" s="15">
        <v>1990000</v>
      </c>
    </row>
    <row r="17" spans="1:15">
      <c r="A17" s="1">
        <v>1014001</v>
      </c>
      <c r="B17" s="4">
        <v>101400</v>
      </c>
      <c r="C17" s="4">
        <v>1</v>
      </c>
      <c r="D17" s="4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28" t="s">
        <v>34</v>
      </c>
      <c r="N17">
        <v>1000</v>
      </c>
      <c r="O17" s="15">
        <v>1990000</v>
      </c>
    </row>
    <row r="18" spans="1:15">
      <c r="A18" s="1">
        <v>1014002</v>
      </c>
      <c r="B18" s="4">
        <v>101400</v>
      </c>
      <c r="C18" s="4">
        <v>1</v>
      </c>
      <c r="D18" s="4" t="s">
        <v>43</v>
      </c>
      <c r="E18" s="13">
        <v>101400001</v>
      </c>
      <c r="F18" s="13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28" t="s">
        <v>34</v>
      </c>
      <c r="N18">
        <v>10000</v>
      </c>
      <c r="O18" s="15">
        <v>1990000</v>
      </c>
    </row>
    <row r="19" spans="1:15">
      <c r="A19" s="1">
        <v>1014003</v>
      </c>
      <c r="B19" s="4">
        <v>101400</v>
      </c>
      <c r="C19" s="4">
        <v>1</v>
      </c>
      <c r="D19" s="4" t="s">
        <v>43</v>
      </c>
      <c r="E19" s="13">
        <v>101400001</v>
      </c>
      <c r="F19" s="13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28" t="s">
        <v>34</v>
      </c>
      <c r="N19">
        <v>100000</v>
      </c>
      <c r="O19" s="15">
        <v>1990000</v>
      </c>
    </row>
    <row r="20" spans="1:15">
      <c r="A20" s="1">
        <v>1024001</v>
      </c>
      <c r="B20" s="4">
        <v>102400</v>
      </c>
      <c r="C20" s="4">
        <v>1</v>
      </c>
      <c r="D20" s="4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28" t="s">
        <v>34</v>
      </c>
      <c r="N20">
        <v>100</v>
      </c>
      <c r="O20" s="15">
        <v>1990000</v>
      </c>
    </row>
    <row r="21" spans="1:15">
      <c r="A21" s="1">
        <v>1024002</v>
      </c>
      <c r="B21" s="4">
        <v>102400</v>
      </c>
      <c r="C21" s="4">
        <v>1</v>
      </c>
      <c r="D21" s="4" t="s">
        <v>45</v>
      </c>
      <c r="E21" s="13">
        <v>102400026</v>
      </c>
      <c r="F21" s="13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28" t="s">
        <v>34</v>
      </c>
      <c r="N21">
        <v>10000</v>
      </c>
      <c r="O21" s="15">
        <v>1990000</v>
      </c>
    </row>
    <row r="22" spans="1:15">
      <c r="A22" s="1">
        <v>1024003</v>
      </c>
      <c r="B22" s="4">
        <v>102400</v>
      </c>
      <c r="C22" s="4">
        <v>1</v>
      </c>
      <c r="D22" s="4" t="s">
        <v>45</v>
      </c>
      <c r="E22" s="13">
        <v>102400026</v>
      </c>
      <c r="F22" s="13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28" t="s">
        <v>34</v>
      </c>
      <c r="N22">
        <v>100000</v>
      </c>
      <c r="O22" s="15">
        <v>1990000</v>
      </c>
    </row>
    <row r="23" spans="1:15">
      <c r="A23" s="1">
        <v>1022001</v>
      </c>
      <c r="B23" s="4">
        <v>102200</v>
      </c>
      <c r="C23" s="4">
        <v>1</v>
      </c>
      <c r="D23" s="4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28" t="s">
        <v>34</v>
      </c>
      <c r="N23">
        <v>1250</v>
      </c>
      <c r="O23" s="15">
        <v>1990000</v>
      </c>
    </row>
    <row r="24" spans="1:15">
      <c r="A24" s="1">
        <v>1022002</v>
      </c>
      <c r="B24" s="4">
        <v>102200</v>
      </c>
      <c r="C24" s="4">
        <v>1</v>
      </c>
      <c r="D24" s="4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28" t="s">
        <v>34</v>
      </c>
      <c r="N24">
        <v>12500</v>
      </c>
      <c r="O24" s="15">
        <v>1990000</v>
      </c>
    </row>
    <row r="25" spans="1:15">
      <c r="A25" s="1">
        <v>1022003</v>
      </c>
      <c r="B25" s="4">
        <v>102200</v>
      </c>
      <c r="C25" s="4">
        <v>1</v>
      </c>
      <c r="D25" s="4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28" t="s">
        <v>34</v>
      </c>
      <c r="N25">
        <v>125000</v>
      </c>
      <c r="O25" s="15">
        <v>1990000</v>
      </c>
    </row>
    <row r="26" spans="1:15">
      <c r="A26" s="1">
        <v>1017001</v>
      </c>
      <c r="B26" s="4">
        <v>101700</v>
      </c>
      <c r="C26" s="4">
        <v>1</v>
      </c>
      <c r="D26" s="4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28" t="s">
        <v>34</v>
      </c>
      <c r="N26">
        <v>1000</v>
      </c>
      <c r="O26" s="15">
        <v>1990000</v>
      </c>
    </row>
    <row r="27" spans="1:15">
      <c r="A27" s="1">
        <v>1017002</v>
      </c>
      <c r="B27" s="4">
        <v>101700</v>
      </c>
      <c r="C27" s="4">
        <v>1</v>
      </c>
      <c r="D27" s="4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28" t="s">
        <v>34</v>
      </c>
      <c r="N27">
        <v>10000</v>
      </c>
      <c r="O27" s="15">
        <v>1990000</v>
      </c>
    </row>
    <row r="28" spans="1:15">
      <c r="A28" s="1">
        <v>1017003</v>
      </c>
      <c r="B28" s="4">
        <v>101700</v>
      </c>
      <c r="C28" s="4">
        <v>1</v>
      </c>
      <c r="D28" s="4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28" t="s">
        <v>34</v>
      </c>
      <c r="N28">
        <v>100000</v>
      </c>
      <c r="O28" s="15">
        <v>1990000</v>
      </c>
    </row>
    <row r="29" spans="1:15">
      <c r="A29" s="1">
        <v>1021001</v>
      </c>
      <c r="B29" s="4">
        <v>102100</v>
      </c>
      <c r="C29" s="4">
        <v>1</v>
      </c>
      <c r="D29" s="4" t="s">
        <v>51</v>
      </c>
      <c r="E29" s="13">
        <v>102100001</v>
      </c>
      <c r="F29" s="16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28" t="s">
        <v>34</v>
      </c>
      <c r="N29">
        <v>1000</v>
      </c>
      <c r="O29" s="15">
        <v>1990000</v>
      </c>
    </row>
    <row r="30" spans="1:15">
      <c r="A30" s="1">
        <v>1021002</v>
      </c>
      <c r="B30" s="4">
        <v>102100</v>
      </c>
      <c r="C30" s="4">
        <v>1</v>
      </c>
      <c r="D30" s="4" t="s">
        <v>51</v>
      </c>
      <c r="E30" s="13">
        <v>102100001</v>
      </c>
      <c r="F30" s="16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28" t="s">
        <v>34</v>
      </c>
      <c r="N30">
        <v>10000</v>
      </c>
      <c r="O30" s="15">
        <v>1990000</v>
      </c>
    </row>
    <row r="31" spans="1:15">
      <c r="A31" s="1">
        <v>1021003</v>
      </c>
      <c r="B31" s="4">
        <v>102100</v>
      </c>
      <c r="C31" s="4">
        <v>1</v>
      </c>
      <c r="D31" s="4" t="s">
        <v>51</v>
      </c>
      <c r="E31" s="13">
        <v>102100001</v>
      </c>
      <c r="F31" s="16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28" t="s">
        <v>34</v>
      </c>
      <c r="N31">
        <v>100000</v>
      </c>
      <c r="O31" s="15">
        <v>1990000</v>
      </c>
    </row>
    <row r="32" spans="1:15">
      <c r="A32" s="1">
        <f t="shared" ref="A32:A55" si="0">B32*10+H32</f>
        <v>1018001</v>
      </c>
      <c r="B32" s="16">
        <v>101800</v>
      </c>
      <c r="C32" s="16">
        <v>1</v>
      </c>
      <c r="D32" s="16" t="s">
        <v>53</v>
      </c>
      <c r="E32" s="16">
        <v>101800001</v>
      </c>
      <c r="F32" s="16" t="s">
        <v>54</v>
      </c>
      <c r="G32" s="1" t="s">
        <v>32</v>
      </c>
      <c r="H32" s="17">
        <v>1</v>
      </c>
      <c r="I32" s="2">
        <v>0</v>
      </c>
      <c r="J32" s="17">
        <v>-1</v>
      </c>
      <c r="K32" s="17">
        <v>0</v>
      </c>
      <c r="L32" s="3" t="s">
        <v>33</v>
      </c>
      <c r="M32" s="28" t="s">
        <v>34</v>
      </c>
      <c r="N32">
        <v>1000</v>
      </c>
      <c r="O32" s="15">
        <v>1990000</v>
      </c>
    </row>
    <row r="33" spans="1:15">
      <c r="A33" s="1">
        <f t="shared" si="0"/>
        <v>1018002</v>
      </c>
      <c r="B33" s="16">
        <v>101800</v>
      </c>
      <c r="C33" s="16">
        <v>1</v>
      </c>
      <c r="D33" s="16" t="s">
        <v>53</v>
      </c>
      <c r="E33" s="16">
        <v>101800001</v>
      </c>
      <c r="F33" s="16" t="s">
        <v>54</v>
      </c>
      <c r="G33" s="1" t="s">
        <v>35</v>
      </c>
      <c r="H33" s="17">
        <v>2</v>
      </c>
      <c r="I33" s="2">
        <v>10000</v>
      </c>
      <c r="J33" s="17">
        <v>-1</v>
      </c>
      <c r="K33" s="17">
        <v>0</v>
      </c>
      <c r="L33" s="3" t="s">
        <v>33</v>
      </c>
      <c r="M33" s="28" t="s">
        <v>34</v>
      </c>
      <c r="N33">
        <v>10000</v>
      </c>
      <c r="O33" s="15">
        <v>1990000</v>
      </c>
    </row>
    <row r="34" spans="1:15">
      <c r="A34" s="1">
        <f t="shared" si="0"/>
        <v>1018003</v>
      </c>
      <c r="B34" s="16">
        <v>101800</v>
      </c>
      <c r="C34" s="16">
        <v>1</v>
      </c>
      <c r="D34" s="16" t="s">
        <v>53</v>
      </c>
      <c r="E34" s="16">
        <v>101800001</v>
      </c>
      <c r="F34" s="16" t="s">
        <v>54</v>
      </c>
      <c r="G34" s="1" t="s">
        <v>36</v>
      </c>
      <c r="H34" s="17">
        <v>3</v>
      </c>
      <c r="I34" s="2">
        <v>100000</v>
      </c>
      <c r="J34" s="17">
        <v>-1</v>
      </c>
      <c r="K34" s="17">
        <v>0</v>
      </c>
      <c r="L34" s="3" t="s">
        <v>33</v>
      </c>
      <c r="M34" s="28" t="s">
        <v>34</v>
      </c>
      <c r="N34">
        <v>100000</v>
      </c>
      <c r="O34" s="15">
        <v>1990000</v>
      </c>
    </row>
    <row r="35" spans="1:15">
      <c r="A35" s="1">
        <f t="shared" si="0"/>
        <v>1025001</v>
      </c>
      <c r="B35" s="16">
        <v>102500</v>
      </c>
      <c r="C35" s="16">
        <v>1</v>
      </c>
      <c r="D35" s="16" t="s">
        <v>55</v>
      </c>
      <c r="E35" s="16">
        <v>102500001</v>
      </c>
      <c r="F35" s="16" t="s">
        <v>56</v>
      </c>
      <c r="G35" s="1" t="s">
        <v>32</v>
      </c>
      <c r="H35" s="17">
        <v>1</v>
      </c>
      <c r="I35" s="2">
        <v>0</v>
      </c>
      <c r="J35" s="17">
        <v>-1</v>
      </c>
      <c r="K35" s="17">
        <v>0</v>
      </c>
      <c r="L35" s="3" t="s">
        <v>33</v>
      </c>
      <c r="M35" s="28" t="s">
        <v>34</v>
      </c>
      <c r="N35">
        <v>1000</v>
      </c>
      <c r="O35" s="15">
        <v>1990000</v>
      </c>
    </row>
    <row r="36" spans="1:15">
      <c r="A36" s="1">
        <f t="shared" si="0"/>
        <v>1025002</v>
      </c>
      <c r="B36" s="16">
        <v>102500</v>
      </c>
      <c r="C36" s="16">
        <v>1</v>
      </c>
      <c r="D36" s="16" t="s">
        <v>55</v>
      </c>
      <c r="E36" s="16">
        <v>102500001</v>
      </c>
      <c r="F36" s="16" t="s">
        <v>56</v>
      </c>
      <c r="G36" s="1" t="s">
        <v>35</v>
      </c>
      <c r="H36" s="17">
        <v>2</v>
      </c>
      <c r="I36" s="2">
        <v>10000</v>
      </c>
      <c r="J36" s="17">
        <v>-1</v>
      </c>
      <c r="K36" s="17">
        <v>0</v>
      </c>
      <c r="L36" s="3" t="s">
        <v>33</v>
      </c>
      <c r="M36" s="28" t="s">
        <v>34</v>
      </c>
      <c r="N36">
        <v>10000</v>
      </c>
      <c r="O36" s="15">
        <v>1990000</v>
      </c>
    </row>
    <row r="37" spans="1:15">
      <c r="A37" s="1">
        <f t="shared" si="0"/>
        <v>1025003</v>
      </c>
      <c r="B37" s="16">
        <v>102500</v>
      </c>
      <c r="C37" s="16">
        <v>1</v>
      </c>
      <c r="D37" s="16" t="s">
        <v>55</v>
      </c>
      <c r="E37" s="16">
        <v>102500001</v>
      </c>
      <c r="F37" s="16" t="s">
        <v>56</v>
      </c>
      <c r="G37" s="1" t="s">
        <v>36</v>
      </c>
      <c r="H37" s="17">
        <v>3</v>
      </c>
      <c r="I37" s="2">
        <v>100000</v>
      </c>
      <c r="J37" s="17">
        <v>-1</v>
      </c>
      <c r="K37" s="17">
        <v>0</v>
      </c>
      <c r="L37" s="3" t="s">
        <v>33</v>
      </c>
      <c r="M37" s="28" t="s">
        <v>34</v>
      </c>
      <c r="N37">
        <v>100000</v>
      </c>
      <c r="O37" s="15">
        <v>1990000</v>
      </c>
    </row>
    <row r="38" spans="1:15">
      <c r="A38" s="1">
        <f t="shared" si="0"/>
        <v>1023001</v>
      </c>
      <c r="B38" s="4">
        <v>102300</v>
      </c>
      <c r="C38" s="4">
        <v>1</v>
      </c>
      <c r="D38" s="4" t="s">
        <v>57</v>
      </c>
      <c r="E38" s="13">
        <v>102300001</v>
      </c>
      <c r="F38" s="13" t="s">
        <v>58</v>
      </c>
      <c r="G38" s="1" t="s">
        <v>32</v>
      </c>
      <c r="H38" s="1">
        <v>1</v>
      </c>
      <c r="I38" s="2">
        <v>0</v>
      </c>
      <c r="J38" s="17">
        <v>-1</v>
      </c>
      <c r="K38" s="17">
        <v>0</v>
      </c>
      <c r="L38" s="3" t="s">
        <v>33</v>
      </c>
      <c r="M38" s="28" t="s">
        <v>34</v>
      </c>
      <c r="N38">
        <v>1000</v>
      </c>
      <c r="O38" s="15">
        <v>1990000</v>
      </c>
    </row>
    <row r="39" spans="1:15">
      <c r="A39" s="1">
        <f t="shared" si="0"/>
        <v>1023002</v>
      </c>
      <c r="B39" s="4">
        <v>102300</v>
      </c>
      <c r="C39" s="4">
        <v>1</v>
      </c>
      <c r="D39" s="4" t="s">
        <v>57</v>
      </c>
      <c r="E39" s="13">
        <v>102300001</v>
      </c>
      <c r="F39" s="13" t="s">
        <v>58</v>
      </c>
      <c r="G39" s="1" t="s">
        <v>35</v>
      </c>
      <c r="H39" s="1">
        <v>2</v>
      </c>
      <c r="I39" s="2">
        <v>10000</v>
      </c>
      <c r="J39" s="17">
        <v>-1</v>
      </c>
      <c r="K39" s="17">
        <v>0</v>
      </c>
      <c r="L39" s="3" t="s">
        <v>33</v>
      </c>
      <c r="M39" s="28" t="s">
        <v>34</v>
      </c>
      <c r="N39">
        <v>10000</v>
      </c>
      <c r="O39" s="15">
        <v>1990000</v>
      </c>
    </row>
    <row r="40" spans="1:15">
      <c r="A40" s="1">
        <f t="shared" si="0"/>
        <v>1023003</v>
      </c>
      <c r="B40" s="4">
        <v>102300</v>
      </c>
      <c r="C40" s="4">
        <v>1</v>
      </c>
      <c r="D40" s="4" t="s">
        <v>57</v>
      </c>
      <c r="E40" s="13">
        <v>102300001</v>
      </c>
      <c r="F40" s="13" t="s">
        <v>58</v>
      </c>
      <c r="G40" s="1" t="s">
        <v>36</v>
      </c>
      <c r="H40" s="1">
        <v>3</v>
      </c>
      <c r="I40" s="2">
        <v>100000</v>
      </c>
      <c r="J40" s="17">
        <v>-1</v>
      </c>
      <c r="K40" s="17">
        <v>0</v>
      </c>
      <c r="L40" s="3" t="s">
        <v>33</v>
      </c>
      <c r="M40" s="28" t="s">
        <v>34</v>
      </c>
      <c r="N40">
        <v>100000</v>
      </c>
      <c r="O40" s="15">
        <v>1990000</v>
      </c>
    </row>
    <row r="41" spans="1:15">
      <c r="A41" s="1">
        <v>1034001</v>
      </c>
      <c r="B41" s="4">
        <v>103400</v>
      </c>
      <c r="C41" s="4">
        <v>1</v>
      </c>
      <c r="D41" s="4" t="s">
        <v>59</v>
      </c>
      <c r="E41" s="13">
        <v>103000001</v>
      </c>
      <c r="F41" s="18" t="s">
        <v>60</v>
      </c>
      <c r="G41" s="1" t="s">
        <v>32</v>
      </c>
      <c r="H41" s="1">
        <v>1</v>
      </c>
      <c r="I41" s="2">
        <v>0</v>
      </c>
      <c r="J41" s="17">
        <v>-1</v>
      </c>
      <c r="K41" s="17">
        <v>0</v>
      </c>
      <c r="L41" s="3" t="s">
        <v>33</v>
      </c>
      <c r="M41" s="28" t="s">
        <v>34</v>
      </c>
      <c r="N41">
        <v>100</v>
      </c>
      <c r="O41" s="15">
        <v>1990000</v>
      </c>
    </row>
    <row r="42" spans="1:15">
      <c r="A42" s="1">
        <f t="shared" si="0"/>
        <v>1034002</v>
      </c>
      <c r="B42" s="4">
        <v>103400</v>
      </c>
      <c r="C42" s="4">
        <v>1</v>
      </c>
      <c r="D42" s="4" t="s">
        <v>59</v>
      </c>
      <c r="E42" s="13">
        <v>103000001</v>
      </c>
      <c r="F42" s="18" t="s">
        <v>60</v>
      </c>
      <c r="G42" s="1" t="s">
        <v>35</v>
      </c>
      <c r="H42" s="1">
        <v>2</v>
      </c>
      <c r="I42" s="2">
        <v>10000</v>
      </c>
      <c r="J42" s="17">
        <v>-1</v>
      </c>
      <c r="K42" s="17">
        <v>0</v>
      </c>
      <c r="L42" s="3" t="s">
        <v>33</v>
      </c>
      <c r="M42" s="28" t="s">
        <v>34</v>
      </c>
      <c r="N42">
        <v>10000</v>
      </c>
      <c r="O42" s="15">
        <v>1990000</v>
      </c>
    </row>
    <row r="43" spans="1:15">
      <c r="A43" s="1">
        <f t="shared" si="0"/>
        <v>1034003</v>
      </c>
      <c r="B43" s="4">
        <v>103400</v>
      </c>
      <c r="C43" s="4">
        <v>1</v>
      </c>
      <c r="D43" s="4" t="s">
        <v>59</v>
      </c>
      <c r="E43" s="13">
        <v>103000001</v>
      </c>
      <c r="F43" s="18" t="s">
        <v>60</v>
      </c>
      <c r="G43" s="1" t="s">
        <v>36</v>
      </c>
      <c r="H43" s="1">
        <v>3</v>
      </c>
      <c r="I43" s="2">
        <v>100000</v>
      </c>
      <c r="J43" s="17">
        <v>-1</v>
      </c>
      <c r="K43" s="17">
        <v>0</v>
      </c>
      <c r="L43" s="3" t="s">
        <v>33</v>
      </c>
      <c r="M43" s="28" t="s">
        <v>34</v>
      </c>
      <c r="N43">
        <v>100000</v>
      </c>
      <c r="O43" s="15">
        <v>1990000</v>
      </c>
    </row>
    <row r="44" spans="1:15">
      <c r="A44" s="1">
        <f t="shared" si="0"/>
        <v>1035001</v>
      </c>
      <c r="B44" s="4">
        <v>103500</v>
      </c>
      <c r="C44" s="4">
        <v>1</v>
      </c>
      <c r="D44" s="4" t="s">
        <v>61</v>
      </c>
      <c r="E44" s="13">
        <v>102900001</v>
      </c>
      <c r="F44" s="13" t="s">
        <v>62</v>
      </c>
      <c r="G44" s="1" t="s">
        <v>32</v>
      </c>
      <c r="H44" s="1">
        <v>1</v>
      </c>
      <c r="I44" s="2">
        <v>0</v>
      </c>
      <c r="J44" s="17">
        <v>-1</v>
      </c>
      <c r="K44" s="17">
        <v>0</v>
      </c>
      <c r="L44" s="3" t="s">
        <v>33</v>
      </c>
      <c r="M44" s="28" t="s">
        <v>34</v>
      </c>
      <c r="N44">
        <v>1000</v>
      </c>
      <c r="O44" s="15">
        <v>1990000</v>
      </c>
    </row>
    <row r="45" spans="1:15">
      <c r="A45" s="1">
        <f t="shared" si="0"/>
        <v>1035002</v>
      </c>
      <c r="B45" s="4">
        <v>103500</v>
      </c>
      <c r="C45" s="4">
        <v>1</v>
      </c>
      <c r="D45" s="4" t="s">
        <v>61</v>
      </c>
      <c r="E45" s="13">
        <v>102900001</v>
      </c>
      <c r="F45" s="13" t="s">
        <v>62</v>
      </c>
      <c r="G45" s="1" t="s">
        <v>35</v>
      </c>
      <c r="H45" s="1">
        <v>2</v>
      </c>
      <c r="I45" s="2">
        <v>10000</v>
      </c>
      <c r="J45" s="17">
        <v>-1</v>
      </c>
      <c r="K45" s="17">
        <v>0</v>
      </c>
      <c r="L45" s="3" t="s">
        <v>33</v>
      </c>
      <c r="M45" s="28" t="s">
        <v>34</v>
      </c>
      <c r="N45">
        <v>10000</v>
      </c>
      <c r="O45" s="15">
        <v>1990000</v>
      </c>
    </row>
    <row r="46" spans="1:15">
      <c r="A46" s="1">
        <f t="shared" si="0"/>
        <v>1035003</v>
      </c>
      <c r="B46" s="4">
        <v>103500</v>
      </c>
      <c r="C46" s="4">
        <v>1</v>
      </c>
      <c r="D46" s="4" t="s">
        <v>61</v>
      </c>
      <c r="E46" s="13">
        <v>102900001</v>
      </c>
      <c r="F46" s="13" t="s">
        <v>62</v>
      </c>
      <c r="G46" s="1" t="s">
        <v>36</v>
      </c>
      <c r="H46" s="1">
        <v>3</v>
      </c>
      <c r="I46" s="2">
        <v>100000</v>
      </c>
      <c r="J46" s="17">
        <v>-1</v>
      </c>
      <c r="K46" s="17">
        <v>0</v>
      </c>
      <c r="L46" s="3" t="s">
        <v>33</v>
      </c>
      <c r="M46" s="28" t="s">
        <v>34</v>
      </c>
      <c r="N46">
        <v>100000</v>
      </c>
      <c r="O46" s="15">
        <v>1990000</v>
      </c>
    </row>
    <row r="47" spans="1:15">
      <c r="A47" s="1">
        <f t="shared" si="0"/>
        <v>1035011</v>
      </c>
      <c r="B47" s="4">
        <v>103501</v>
      </c>
      <c r="C47" s="4">
        <v>1</v>
      </c>
      <c r="D47" s="4" t="s">
        <v>63</v>
      </c>
      <c r="E47" s="13">
        <v>103501001</v>
      </c>
      <c r="F47" s="13" t="s">
        <v>64</v>
      </c>
      <c r="G47" s="1" t="s">
        <v>32</v>
      </c>
      <c r="H47" s="1">
        <v>1</v>
      </c>
      <c r="I47" s="2">
        <v>0</v>
      </c>
      <c r="J47" s="17">
        <v>-1</v>
      </c>
      <c r="K47" s="1">
        <v>0</v>
      </c>
      <c r="L47" s="3" t="s">
        <v>33</v>
      </c>
      <c r="M47" s="28" t="s">
        <v>34</v>
      </c>
      <c r="N47">
        <v>1000</v>
      </c>
      <c r="O47" s="15">
        <v>1990000</v>
      </c>
    </row>
    <row r="48" spans="1:15">
      <c r="A48" s="1">
        <f t="shared" si="0"/>
        <v>1035012</v>
      </c>
      <c r="B48" s="4">
        <v>103501</v>
      </c>
      <c r="C48" s="4">
        <v>1</v>
      </c>
      <c r="D48" s="4" t="s">
        <v>63</v>
      </c>
      <c r="E48" s="13">
        <v>103501001</v>
      </c>
      <c r="F48" s="13" t="s">
        <v>64</v>
      </c>
      <c r="G48" s="1" t="s">
        <v>35</v>
      </c>
      <c r="H48" s="1">
        <v>2</v>
      </c>
      <c r="I48" s="2">
        <v>10000</v>
      </c>
      <c r="J48" s="17">
        <v>-1</v>
      </c>
      <c r="K48" s="1">
        <v>0</v>
      </c>
      <c r="L48" s="3" t="s">
        <v>33</v>
      </c>
      <c r="M48" s="28" t="s">
        <v>34</v>
      </c>
      <c r="N48">
        <v>10000</v>
      </c>
      <c r="O48" s="15">
        <v>1990000</v>
      </c>
    </row>
    <row r="49" spans="1:15">
      <c r="A49" s="1">
        <f t="shared" si="0"/>
        <v>1035013</v>
      </c>
      <c r="B49" s="4">
        <v>103501</v>
      </c>
      <c r="C49" s="4">
        <v>1</v>
      </c>
      <c r="D49" s="4" t="s">
        <v>63</v>
      </c>
      <c r="E49" s="13">
        <v>103501001</v>
      </c>
      <c r="F49" s="13" t="s">
        <v>64</v>
      </c>
      <c r="G49" s="1" t="s">
        <v>36</v>
      </c>
      <c r="H49" s="1">
        <v>3</v>
      </c>
      <c r="I49" s="2">
        <v>100000</v>
      </c>
      <c r="J49" s="17">
        <v>-1</v>
      </c>
      <c r="K49" s="1">
        <v>0</v>
      </c>
      <c r="L49" s="3" t="s">
        <v>33</v>
      </c>
      <c r="M49" s="28" t="s">
        <v>34</v>
      </c>
      <c r="N49">
        <v>100000</v>
      </c>
      <c r="O49" s="15">
        <v>1990000</v>
      </c>
    </row>
    <row r="50" spans="1:15">
      <c r="A50" s="1">
        <f t="shared" si="0"/>
        <v>1020001</v>
      </c>
      <c r="B50" s="4">
        <v>102000</v>
      </c>
      <c r="C50" s="4">
        <v>1</v>
      </c>
      <c r="D50" s="4" t="s">
        <v>65</v>
      </c>
      <c r="E50" s="13">
        <v>102000001</v>
      </c>
      <c r="F50" s="13" t="s">
        <v>66</v>
      </c>
      <c r="G50" s="1" t="s">
        <v>32</v>
      </c>
      <c r="H50" s="1">
        <v>1</v>
      </c>
      <c r="I50" s="2">
        <v>0</v>
      </c>
      <c r="J50" s="17">
        <v>-1</v>
      </c>
      <c r="K50" s="1">
        <v>0</v>
      </c>
      <c r="L50" s="3" t="s">
        <v>33</v>
      </c>
      <c r="M50" s="28" t="s">
        <v>34</v>
      </c>
      <c r="N50">
        <v>1125</v>
      </c>
      <c r="O50" s="15">
        <v>1990000</v>
      </c>
    </row>
    <row r="51" spans="1:15">
      <c r="A51" s="1">
        <f t="shared" si="0"/>
        <v>1020002</v>
      </c>
      <c r="B51" s="4">
        <v>102000</v>
      </c>
      <c r="C51" s="4">
        <v>1</v>
      </c>
      <c r="D51" s="4" t="s">
        <v>65</v>
      </c>
      <c r="E51" s="13">
        <v>102000001</v>
      </c>
      <c r="F51" s="13" t="s">
        <v>66</v>
      </c>
      <c r="G51" s="1" t="s">
        <v>35</v>
      </c>
      <c r="H51" s="1">
        <v>2</v>
      </c>
      <c r="I51" s="2">
        <v>10000</v>
      </c>
      <c r="J51" s="17">
        <v>-1</v>
      </c>
      <c r="K51" s="1">
        <v>0</v>
      </c>
      <c r="L51" s="3" t="s">
        <v>33</v>
      </c>
      <c r="M51" s="28" t="s">
        <v>34</v>
      </c>
      <c r="N51">
        <v>11250</v>
      </c>
      <c r="O51" s="15">
        <v>1990000</v>
      </c>
    </row>
    <row r="52" spans="1:15">
      <c r="A52" s="1">
        <f t="shared" si="0"/>
        <v>1020003</v>
      </c>
      <c r="B52" s="4">
        <v>102000</v>
      </c>
      <c r="C52" s="4">
        <v>1</v>
      </c>
      <c r="D52" s="4" t="s">
        <v>65</v>
      </c>
      <c r="E52" s="13">
        <v>102000001</v>
      </c>
      <c r="F52" s="13" t="s">
        <v>66</v>
      </c>
      <c r="G52" s="1" t="s">
        <v>36</v>
      </c>
      <c r="H52" s="1">
        <v>3</v>
      </c>
      <c r="I52" s="2">
        <v>100000</v>
      </c>
      <c r="J52" s="17">
        <v>-1</v>
      </c>
      <c r="K52" s="1">
        <v>0</v>
      </c>
      <c r="L52" s="3" t="s">
        <v>33</v>
      </c>
      <c r="M52" s="28" t="s">
        <v>34</v>
      </c>
      <c r="N52">
        <v>112500</v>
      </c>
      <c r="O52" s="15">
        <v>1990000</v>
      </c>
    </row>
    <row r="53" spans="1:15">
      <c r="A53" s="1">
        <f t="shared" si="0"/>
        <v>1036001</v>
      </c>
      <c r="B53" s="4">
        <v>103600</v>
      </c>
      <c r="C53" s="4">
        <v>1</v>
      </c>
      <c r="D53" s="4" t="s">
        <v>67</v>
      </c>
      <c r="E53" s="13">
        <v>103600001</v>
      </c>
      <c r="F53" s="13" t="s">
        <v>68</v>
      </c>
      <c r="G53" s="1" t="s">
        <v>32</v>
      </c>
      <c r="H53" s="1">
        <v>1</v>
      </c>
      <c r="I53" s="2">
        <v>0</v>
      </c>
      <c r="J53" s="17">
        <v>-1</v>
      </c>
      <c r="K53" s="1">
        <v>0</v>
      </c>
      <c r="L53" s="3" t="s">
        <v>33</v>
      </c>
      <c r="M53" s="28" t="s">
        <v>34</v>
      </c>
      <c r="N53">
        <v>1000</v>
      </c>
      <c r="O53" s="15">
        <v>1990000</v>
      </c>
    </row>
    <row r="54" spans="1:15">
      <c r="A54" s="1">
        <f t="shared" si="0"/>
        <v>1036002</v>
      </c>
      <c r="B54" s="4">
        <v>103600</v>
      </c>
      <c r="C54" s="4">
        <v>1</v>
      </c>
      <c r="D54" s="4" t="s">
        <v>67</v>
      </c>
      <c r="E54" s="13">
        <v>103600001</v>
      </c>
      <c r="F54" s="13" t="s">
        <v>68</v>
      </c>
      <c r="G54" s="1" t="s">
        <v>35</v>
      </c>
      <c r="H54" s="1">
        <v>2</v>
      </c>
      <c r="I54" s="2">
        <v>10000</v>
      </c>
      <c r="J54" s="17">
        <v>-1</v>
      </c>
      <c r="K54" s="1">
        <v>0</v>
      </c>
      <c r="L54" s="3" t="s">
        <v>33</v>
      </c>
      <c r="M54" s="28" t="s">
        <v>34</v>
      </c>
      <c r="N54">
        <v>10000</v>
      </c>
      <c r="O54" s="15">
        <v>1990000</v>
      </c>
    </row>
    <row r="55" spans="1:15">
      <c r="A55" s="1">
        <f t="shared" si="0"/>
        <v>1036003</v>
      </c>
      <c r="B55" s="4">
        <v>103600</v>
      </c>
      <c r="C55" s="4">
        <v>1</v>
      </c>
      <c r="D55" s="4" t="s">
        <v>67</v>
      </c>
      <c r="E55" s="13">
        <v>103600001</v>
      </c>
      <c r="F55" s="13" t="s">
        <v>68</v>
      </c>
      <c r="G55" s="1" t="s">
        <v>36</v>
      </c>
      <c r="H55" s="1">
        <v>3</v>
      </c>
      <c r="I55" s="2">
        <v>100000</v>
      </c>
      <c r="J55" s="17">
        <v>-1</v>
      </c>
      <c r="K55" s="1">
        <v>0</v>
      </c>
      <c r="L55" s="3" t="s">
        <v>33</v>
      </c>
      <c r="M55" s="28" t="s">
        <v>34</v>
      </c>
      <c r="N55">
        <v>100000</v>
      </c>
      <c r="O55" s="15">
        <v>1990000</v>
      </c>
    </row>
    <row r="56" spans="1:15">
      <c r="A56" s="1">
        <v>1034011</v>
      </c>
      <c r="B56" s="4">
        <v>103401</v>
      </c>
      <c r="C56" s="4">
        <v>1</v>
      </c>
      <c r="D56" s="4" t="s">
        <v>69</v>
      </c>
      <c r="E56" s="13">
        <v>103400001</v>
      </c>
      <c r="F56" s="13" t="s">
        <v>70</v>
      </c>
      <c r="G56" s="1" t="s">
        <v>32</v>
      </c>
      <c r="H56" s="1">
        <v>1</v>
      </c>
      <c r="I56" s="2">
        <v>0</v>
      </c>
      <c r="J56" s="17">
        <v>-1</v>
      </c>
      <c r="K56" s="1">
        <v>0</v>
      </c>
      <c r="L56" s="3" t="s">
        <v>33</v>
      </c>
      <c r="M56" s="28" t="s">
        <v>34</v>
      </c>
      <c r="N56">
        <v>1000</v>
      </c>
      <c r="O56" s="15">
        <v>1990000</v>
      </c>
    </row>
    <row r="57" spans="1:15">
      <c r="A57" s="1">
        <v>1034012</v>
      </c>
      <c r="B57" s="4">
        <v>103401</v>
      </c>
      <c r="C57" s="4">
        <v>1</v>
      </c>
      <c r="D57" s="4" t="s">
        <v>69</v>
      </c>
      <c r="E57" s="13">
        <v>103400001</v>
      </c>
      <c r="F57" s="13" t="s">
        <v>70</v>
      </c>
      <c r="G57" s="1" t="s">
        <v>35</v>
      </c>
      <c r="H57" s="1">
        <v>2</v>
      </c>
      <c r="I57" s="2">
        <v>10000</v>
      </c>
      <c r="J57" s="17">
        <v>-1</v>
      </c>
      <c r="K57" s="1">
        <v>0</v>
      </c>
      <c r="L57" s="3" t="s">
        <v>33</v>
      </c>
      <c r="M57" s="28" t="s">
        <v>34</v>
      </c>
      <c r="N57">
        <v>10000</v>
      </c>
      <c r="O57" s="15">
        <v>1990000</v>
      </c>
    </row>
    <row r="58" spans="1:15">
      <c r="A58" s="1">
        <v>1034013</v>
      </c>
      <c r="B58" s="4">
        <v>103401</v>
      </c>
      <c r="C58" s="4">
        <v>1</v>
      </c>
      <c r="D58" s="4" t="s">
        <v>69</v>
      </c>
      <c r="E58" s="13">
        <v>103400001</v>
      </c>
      <c r="F58" s="13" t="s">
        <v>70</v>
      </c>
      <c r="G58" s="1" t="s">
        <v>36</v>
      </c>
      <c r="H58" s="1">
        <v>3</v>
      </c>
      <c r="I58" s="2">
        <v>100000</v>
      </c>
      <c r="J58" s="17">
        <v>-1</v>
      </c>
      <c r="K58" s="1">
        <v>0</v>
      </c>
      <c r="L58" s="3" t="s">
        <v>33</v>
      </c>
      <c r="M58" s="28" t="s">
        <v>34</v>
      </c>
      <c r="N58">
        <v>100000</v>
      </c>
      <c r="O58" s="15">
        <v>1990000</v>
      </c>
    </row>
    <row r="59" spans="1:15">
      <c r="A59" s="1">
        <v>1038001</v>
      </c>
      <c r="B59" s="4">
        <v>103800</v>
      </c>
      <c r="C59" s="4">
        <v>1</v>
      </c>
      <c r="D59" s="4" t="s">
        <v>71</v>
      </c>
      <c r="E59" s="13">
        <v>103800001</v>
      </c>
      <c r="F59" s="13" t="s">
        <v>72</v>
      </c>
      <c r="G59" s="1" t="s">
        <v>32</v>
      </c>
      <c r="H59" s="1">
        <v>1</v>
      </c>
      <c r="I59" s="2">
        <v>0</v>
      </c>
      <c r="J59" s="17">
        <v>-1</v>
      </c>
      <c r="K59" s="1">
        <v>0</v>
      </c>
      <c r="L59" s="3" t="s">
        <v>33</v>
      </c>
      <c r="M59" s="28" t="s">
        <v>34</v>
      </c>
      <c r="N59">
        <v>2000</v>
      </c>
      <c r="O59" s="15">
        <v>1990000</v>
      </c>
    </row>
    <row r="60" spans="1:15">
      <c r="A60" s="1">
        <v>1038002</v>
      </c>
      <c r="B60" s="4">
        <v>103800</v>
      </c>
      <c r="C60" s="4">
        <v>1</v>
      </c>
      <c r="D60" s="4" t="s">
        <v>71</v>
      </c>
      <c r="E60" s="13">
        <v>103800001</v>
      </c>
      <c r="F60" s="13" t="s">
        <v>72</v>
      </c>
      <c r="G60" s="1" t="s">
        <v>35</v>
      </c>
      <c r="H60" s="1">
        <v>2</v>
      </c>
      <c r="I60" s="2">
        <v>20000</v>
      </c>
      <c r="J60" s="17">
        <v>-1</v>
      </c>
      <c r="K60" s="1">
        <v>0</v>
      </c>
      <c r="L60" s="3" t="s">
        <v>33</v>
      </c>
      <c r="M60" s="28" t="s">
        <v>34</v>
      </c>
      <c r="N60">
        <v>20000</v>
      </c>
      <c r="O60" s="15">
        <v>1990000</v>
      </c>
    </row>
    <row r="61" spans="1:15">
      <c r="A61" s="1">
        <v>1038003</v>
      </c>
      <c r="B61" s="4">
        <v>103800</v>
      </c>
      <c r="C61" s="4">
        <v>1</v>
      </c>
      <c r="D61" s="4" t="s">
        <v>71</v>
      </c>
      <c r="E61" s="13">
        <v>103800001</v>
      </c>
      <c r="F61" s="13" t="s">
        <v>72</v>
      </c>
      <c r="G61" s="1" t="s">
        <v>36</v>
      </c>
      <c r="H61" s="1">
        <v>3</v>
      </c>
      <c r="I61" s="2">
        <v>200000</v>
      </c>
      <c r="J61" s="17">
        <v>-1</v>
      </c>
      <c r="K61" s="1">
        <v>0</v>
      </c>
      <c r="L61" s="3" t="s">
        <v>33</v>
      </c>
      <c r="M61" s="28" t="s">
        <v>34</v>
      </c>
      <c r="N61">
        <v>200000</v>
      </c>
      <c r="O61" s="15">
        <v>1990000</v>
      </c>
    </row>
    <row r="62" spans="1:15">
      <c r="A62" s="1">
        <v>1040001</v>
      </c>
      <c r="B62" s="4">
        <v>104000</v>
      </c>
      <c r="C62" s="4">
        <v>1</v>
      </c>
      <c r="D62" s="4" t="s">
        <v>73</v>
      </c>
      <c r="E62" s="13">
        <v>104000001</v>
      </c>
      <c r="F62" s="19" t="s">
        <v>74</v>
      </c>
      <c r="G62" s="1" t="s">
        <v>32</v>
      </c>
      <c r="H62" s="1">
        <v>1</v>
      </c>
      <c r="I62" s="2">
        <v>0</v>
      </c>
      <c r="J62" s="17">
        <v>-1</v>
      </c>
      <c r="K62" s="1">
        <v>0</v>
      </c>
      <c r="L62" s="3" t="s">
        <v>33</v>
      </c>
      <c r="M62" s="28" t="s">
        <v>34</v>
      </c>
      <c r="N62">
        <v>1000</v>
      </c>
      <c r="O62" s="15">
        <v>1990000</v>
      </c>
    </row>
    <row r="63" spans="1:15">
      <c r="A63" s="1">
        <v>1040002</v>
      </c>
      <c r="B63" s="4">
        <v>104000</v>
      </c>
      <c r="C63" s="4">
        <v>1</v>
      </c>
      <c r="D63" s="4" t="s">
        <v>73</v>
      </c>
      <c r="E63" s="13">
        <v>104000001</v>
      </c>
      <c r="F63" s="19" t="s">
        <v>74</v>
      </c>
      <c r="G63" s="1" t="s">
        <v>35</v>
      </c>
      <c r="H63" s="1">
        <v>2</v>
      </c>
      <c r="I63" s="2">
        <v>10000</v>
      </c>
      <c r="J63" s="17">
        <v>-1</v>
      </c>
      <c r="K63" s="1">
        <v>0</v>
      </c>
      <c r="L63" s="3" t="s">
        <v>33</v>
      </c>
      <c r="M63" s="28" t="s">
        <v>34</v>
      </c>
      <c r="N63">
        <v>10000</v>
      </c>
      <c r="O63" s="15">
        <v>1990000</v>
      </c>
    </row>
    <row r="64" spans="1:15">
      <c r="A64" s="1">
        <v>1040003</v>
      </c>
      <c r="B64" s="4">
        <v>104000</v>
      </c>
      <c r="C64" s="4">
        <v>1</v>
      </c>
      <c r="D64" s="4" t="s">
        <v>73</v>
      </c>
      <c r="E64" s="13">
        <v>104000001</v>
      </c>
      <c r="F64" s="19" t="s">
        <v>74</v>
      </c>
      <c r="G64" s="1" t="s">
        <v>36</v>
      </c>
      <c r="H64" s="1">
        <v>3</v>
      </c>
      <c r="I64" s="2">
        <v>100000</v>
      </c>
      <c r="J64" s="17">
        <v>-1</v>
      </c>
      <c r="K64" s="1">
        <v>0</v>
      </c>
      <c r="L64" s="3" t="s">
        <v>33</v>
      </c>
      <c r="M64" s="28" t="s">
        <v>34</v>
      </c>
      <c r="N64">
        <v>100000</v>
      </c>
      <c r="O64" s="15">
        <v>1990000</v>
      </c>
    </row>
    <row r="65" spans="1:19">
      <c r="A65" s="1">
        <v>2001001</v>
      </c>
      <c r="B65" s="4">
        <v>200100</v>
      </c>
      <c r="C65" s="4">
        <v>2</v>
      </c>
      <c r="D65" s="4" t="s">
        <v>75</v>
      </c>
      <c r="E65" s="13">
        <v>200100038</v>
      </c>
      <c r="F65" s="13" t="s">
        <v>76</v>
      </c>
      <c r="G65" s="1" t="s">
        <v>32</v>
      </c>
      <c r="H65" s="1">
        <v>1</v>
      </c>
      <c r="I65" s="2">
        <v>0</v>
      </c>
      <c r="J65" s="1">
        <v>-1</v>
      </c>
      <c r="K65" s="1">
        <v>0</v>
      </c>
      <c r="L65" s="3" t="s">
        <v>33</v>
      </c>
      <c r="M65" s="28" t="s">
        <v>34</v>
      </c>
      <c r="N65">
        <v>1000</v>
      </c>
      <c r="O65" s="15">
        <v>1990000</v>
      </c>
    </row>
    <row r="66" spans="1:19">
      <c r="A66" s="1">
        <v>2001002</v>
      </c>
      <c r="B66" s="4">
        <v>200100</v>
      </c>
      <c r="C66" s="4">
        <v>2</v>
      </c>
      <c r="D66" s="4" t="s">
        <v>75</v>
      </c>
      <c r="E66" s="13">
        <v>200100038</v>
      </c>
      <c r="F66" s="13" t="s">
        <v>76</v>
      </c>
      <c r="G66" s="1" t="s">
        <v>35</v>
      </c>
      <c r="H66" s="1">
        <v>2</v>
      </c>
      <c r="I66" s="2">
        <v>10000</v>
      </c>
      <c r="J66" s="1">
        <v>-1</v>
      </c>
      <c r="K66" s="1">
        <v>0</v>
      </c>
      <c r="L66" s="3" t="s">
        <v>33</v>
      </c>
      <c r="M66" s="28" t="s">
        <v>34</v>
      </c>
      <c r="N66">
        <v>10000</v>
      </c>
      <c r="O66" s="15">
        <v>1990000</v>
      </c>
    </row>
    <row r="67" spans="1:19">
      <c r="A67" s="1">
        <v>2001003</v>
      </c>
      <c r="B67" s="4">
        <v>200100</v>
      </c>
      <c r="C67" s="4">
        <v>2</v>
      </c>
      <c r="D67" s="4" t="s">
        <v>75</v>
      </c>
      <c r="E67" s="13">
        <v>200100038</v>
      </c>
      <c r="F67" s="13" t="s">
        <v>76</v>
      </c>
      <c r="G67" s="1" t="s">
        <v>36</v>
      </c>
      <c r="H67" s="1">
        <v>3</v>
      </c>
      <c r="I67" s="2">
        <v>100000</v>
      </c>
      <c r="J67" s="1">
        <v>-1</v>
      </c>
      <c r="K67" s="1">
        <v>0</v>
      </c>
      <c r="L67" s="3" t="s">
        <v>33</v>
      </c>
      <c r="M67" s="28" t="s">
        <v>34</v>
      </c>
      <c r="N67">
        <v>100000</v>
      </c>
      <c r="O67" s="15">
        <v>1990000</v>
      </c>
      <c r="Q67"/>
    </row>
    <row r="68" spans="1:19">
      <c r="A68" s="1">
        <v>2001011</v>
      </c>
      <c r="B68" s="4">
        <v>200101</v>
      </c>
      <c r="C68" s="4">
        <v>2</v>
      </c>
      <c r="D68" s="4" t="s">
        <v>77</v>
      </c>
      <c r="E68" s="13">
        <v>200101001</v>
      </c>
      <c r="F68" s="13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28" t="s">
        <v>34</v>
      </c>
      <c r="N68">
        <v>1000</v>
      </c>
      <c r="O68" s="15">
        <v>1990000</v>
      </c>
    </row>
    <row r="69" spans="1:19">
      <c r="A69" s="1">
        <v>2001012</v>
      </c>
      <c r="B69" s="4">
        <v>200101</v>
      </c>
      <c r="C69" s="4">
        <v>2</v>
      </c>
      <c r="D69" s="4" t="s">
        <v>77</v>
      </c>
      <c r="E69" s="13">
        <v>200101001</v>
      </c>
      <c r="F69" s="13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28" t="s">
        <v>34</v>
      </c>
      <c r="N69">
        <v>10000</v>
      </c>
      <c r="O69" s="15">
        <v>1990000</v>
      </c>
      <c r="S69" s="1"/>
    </row>
    <row r="70" spans="1:19">
      <c r="A70" s="1">
        <v>2001013</v>
      </c>
      <c r="B70" s="4">
        <v>200101</v>
      </c>
      <c r="C70" s="4">
        <v>2</v>
      </c>
      <c r="D70" s="4" t="s">
        <v>77</v>
      </c>
      <c r="E70" s="13">
        <v>200101001</v>
      </c>
      <c r="F70" s="13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28" t="s">
        <v>34</v>
      </c>
      <c r="N70">
        <v>100000</v>
      </c>
      <c r="O70" s="15">
        <v>1990000</v>
      </c>
      <c r="S70" s="1"/>
    </row>
    <row r="71" spans="1:19">
      <c r="A71" s="1">
        <v>2003001</v>
      </c>
      <c r="B71" s="4">
        <v>200300</v>
      </c>
      <c r="C71" s="4">
        <v>2</v>
      </c>
      <c r="D71" s="4" t="s">
        <v>79</v>
      </c>
      <c r="E71" s="13">
        <v>200300001</v>
      </c>
      <c r="F71" s="13" t="s">
        <v>80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28" t="s">
        <v>34</v>
      </c>
      <c r="N71">
        <v>1000</v>
      </c>
      <c r="O71" s="15">
        <v>1990000</v>
      </c>
    </row>
    <row r="72" spans="1:19">
      <c r="A72" s="1">
        <v>2003002</v>
      </c>
      <c r="B72" s="4">
        <v>200300</v>
      </c>
      <c r="C72" s="4">
        <v>2</v>
      </c>
      <c r="D72" s="4" t="s">
        <v>79</v>
      </c>
      <c r="E72" s="13">
        <v>200300001</v>
      </c>
      <c r="F72" s="13" t="s">
        <v>80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28" t="s">
        <v>34</v>
      </c>
      <c r="N72">
        <v>10000</v>
      </c>
      <c r="O72" s="15">
        <v>1990000</v>
      </c>
      <c r="Q72" s="2"/>
      <c r="R72" s="4"/>
    </row>
    <row r="73" spans="1:19">
      <c r="A73" s="1">
        <v>2003003</v>
      </c>
      <c r="B73" s="4">
        <v>200300</v>
      </c>
      <c r="C73" s="4">
        <v>2</v>
      </c>
      <c r="D73" s="4" t="s">
        <v>79</v>
      </c>
      <c r="E73" s="13">
        <v>200300001</v>
      </c>
      <c r="F73" s="13" t="s">
        <v>80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28" t="s">
        <v>34</v>
      </c>
      <c r="N73">
        <v>100000</v>
      </c>
      <c r="O73" s="15">
        <v>1990000</v>
      </c>
      <c r="Q73" s="2"/>
      <c r="R73" s="2"/>
    </row>
    <row r="74" spans="1:19">
      <c r="A74" s="1">
        <v>2004001</v>
      </c>
      <c r="B74" s="4">
        <v>200400</v>
      </c>
      <c r="C74" s="4">
        <v>2</v>
      </c>
      <c r="D74" s="2" t="s">
        <v>81</v>
      </c>
      <c r="E74" s="13">
        <v>200400009</v>
      </c>
      <c r="F74" s="13" t="s">
        <v>82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28" t="s">
        <v>34</v>
      </c>
      <c r="N74">
        <v>1000</v>
      </c>
      <c r="O74" s="15">
        <v>1990000</v>
      </c>
      <c r="Q74" s="2"/>
      <c r="R74" s="2"/>
    </row>
    <row r="75" spans="1:19">
      <c r="A75" s="1">
        <v>2004002</v>
      </c>
      <c r="B75" s="4">
        <v>200400</v>
      </c>
      <c r="C75" s="4">
        <v>2</v>
      </c>
      <c r="D75" s="2" t="s">
        <v>81</v>
      </c>
      <c r="E75" s="13">
        <v>200400009</v>
      </c>
      <c r="F75" s="13" t="s">
        <v>82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28" t="s">
        <v>34</v>
      </c>
      <c r="N75">
        <v>10000</v>
      </c>
      <c r="O75" s="15">
        <v>1990000</v>
      </c>
      <c r="Q75" s="2"/>
      <c r="R75" s="2"/>
    </row>
    <row r="76" spans="1:19">
      <c r="A76" s="1">
        <v>2004003</v>
      </c>
      <c r="B76" s="4">
        <v>200400</v>
      </c>
      <c r="C76" s="4">
        <v>2</v>
      </c>
      <c r="D76" s="2" t="s">
        <v>81</v>
      </c>
      <c r="E76" s="13">
        <v>200400009</v>
      </c>
      <c r="F76" s="13" t="s">
        <v>82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28" t="s">
        <v>34</v>
      </c>
      <c r="N76">
        <v>100000</v>
      </c>
      <c r="O76" s="15">
        <v>1990000</v>
      </c>
      <c r="Q76" s="2"/>
      <c r="R76" s="2"/>
    </row>
    <row r="77" spans="1:19">
      <c r="A77" s="1">
        <v>2005001</v>
      </c>
      <c r="B77" s="4">
        <v>200500</v>
      </c>
      <c r="C77" s="4">
        <v>2</v>
      </c>
      <c r="D77" s="4" t="s">
        <v>83</v>
      </c>
      <c r="E77" s="13">
        <v>200500025</v>
      </c>
      <c r="F77" s="13" t="s">
        <v>84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28" t="s">
        <v>85</v>
      </c>
      <c r="N77">
        <v>1000</v>
      </c>
      <c r="O77" s="15">
        <v>1990000</v>
      </c>
      <c r="Q77" s="2"/>
      <c r="R77" s="2"/>
    </row>
    <row r="78" spans="1:19">
      <c r="A78" s="1">
        <v>2005002</v>
      </c>
      <c r="B78" s="4">
        <v>200500</v>
      </c>
      <c r="C78" s="4">
        <v>2</v>
      </c>
      <c r="D78" s="4" t="s">
        <v>83</v>
      </c>
      <c r="E78" s="13">
        <v>200500025</v>
      </c>
      <c r="F78" s="13" t="s">
        <v>84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28" t="s">
        <v>85</v>
      </c>
      <c r="N78">
        <v>10000</v>
      </c>
      <c r="O78" s="15">
        <v>1990000</v>
      </c>
      <c r="Q78" s="2"/>
      <c r="R78" s="2"/>
    </row>
    <row r="79" spans="1:19">
      <c r="A79" s="1">
        <v>2005003</v>
      </c>
      <c r="B79" s="4">
        <v>200500</v>
      </c>
      <c r="C79" s="4">
        <v>2</v>
      </c>
      <c r="D79" s="4" t="s">
        <v>83</v>
      </c>
      <c r="E79" s="13">
        <v>200500025</v>
      </c>
      <c r="F79" s="13" t="s">
        <v>84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28" t="s">
        <v>85</v>
      </c>
      <c r="N79">
        <v>100000</v>
      </c>
      <c r="O79" s="15">
        <v>1990000</v>
      </c>
      <c r="Q79" s="2"/>
      <c r="R79" s="2"/>
    </row>
    <row r="80" spans="1:19">
      <c r="A80" s="1">
        <v>2006001</v>
      </c>
      <c r="B80" s="4">
        <v>200600</v>
      </c>
      <c r="C80" s="4">
        <v>2</v>
      </c>
      <c r="D80" s="13" t="s">
        <v>86</v>
      </c>
      <c r="E80" s="13">
        <v>200600001</v>
      </c>
      <c r="F80" s="13" t="s">
        <v>87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28" t="s">
        <v>34</v>
      </c>
      <c r="N80">
        <v>1000</v>
      </c>
      <c r="O80" s="15">
        <v>1990000</v>
      </c>
      <c r="Q80" s="2"/>
      <c r="R80" s="2"/>
    </row>
    <row r="81" spans="1:18">
      <c r="A81" s="1">
        <v>2006002</v>
      </c>
      <c r="B81" s="4">
        <v>200600</v>
      </c>
      <c r="C81" s="4">
        <v>2</v>
      </c>
      <c r="D81" s="13" t="s">
        <v>86</v>
      </c>
      <c r="E81" s="13">
        <v>200600001</v>
      </c>
      <c r="F81" s="13" t="s">
        <v>87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28" t="s">
        <v>34</v>
      </c>
      <c r="N81">
        <v>10000</v>
      </c>
      <c r="O81" s="15">
        <v>1990000</v>
      </c>
      <c r="Q81" s="2"/>
      <c r="R81" s="2"/>
    </row>
    <row r="82" spans="1:18">
      <c r="A82" s="1">
        <v>2006003</v>
      </c>
      <c r="B82" s="4">
        <v>200600</v>
      </c>
      <c r="C82" s="4">
        <v>2</v>
      </c>
      <c r="D82" s="13" t="s">
        <v>86</v>
      </c>
      <c r="E82" s="13">
        <v>200600001</v>
      </c>
      <c r="F82" s="13" t="s">
        <v>87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28" t="s">
        <v>34</v>
      </c>
      <c r="N82">
        <v>100000</v>
      </c>
      <c r="O82" s="15">
        <v>1990000</v>
      </c>
      <c r="Q82" s="2"/>
      <c r="R82"/>
    </row>
    <row r="83" spans="1:18">
      <c r="A83" s="1">
        <v>2007001</v>
      </c>
      <c r="B83" s="4">
        <v>200700</v>
      </c>
      <c r="C83" s="4">
        <v>2</v>
      </c>
      <c r="D83" s="4" t="s">
        <v>88</v>
      </c>
      <c r="E83" s="13">
        <v>200700001</v>
      </c>
      <c r="F83" s="13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33</v>
      </c>
      <c r="M83" s="28" t="s">
        <v>34</v>
      </c>
      <c r="N83">
        <v>1000</v>
      </c>
      <c r="O83" s="15">
        <v>1990000</v>
      </c>
      <c r="Q83" s="2"/>
      <c r="R83" s="2"/>
    </row>
    <row r="84" spans="1:18">
      <c r="A84" s="1">
        <v>2007002</v>
      </c>
      <c r="B84" s="4">
        <v>200700</v>
      </c>
      <c r="C84" s="4">
        <v>2</v>
      </c>
      <c r="D84" s="4" t="s">
        <v>88</v>
      </c>
      <c r="E84" s="13">
        <v>200700001</v>
      </c>
      <c r="F84" s="13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33</v>
      </c>
      <c r="M84" s="28" t="s">
        <v>34</v>
      </c>
      <c r="N84">
        <v>10000</v>
      </c>
      <c r="O84" s="15">
        <v>1990000</v>
      </c>
      <c r="Q84" s="2"/>
      <c r="R84" s="2"/>
    </row>
    <row r="85" spans="1:18">
      <c r="A85" s="1">
        <v>2007003</v>
      </c>
      <c r="B85" s="4">
        <v>200700</v>
      </c>
      <c r="C85" s="4">
        <v>2</v>
      </c>
      <c r="D85" s="4" t="s">
        <v>88</v>
      </c>
      <c r="E85" s="13">
        <v>200700001</v>
      </c>
      <c r="F85" s="13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33</v>
      </c>
      <c r="M85" s="28" t="s">
        <v>34</v>
      </c>
      <c r="N85">
        <v>100000</v>
      </c>
      <c r="O85" s="15">
        <v>1990000</v>
      </c>
    </row>
    <row r="86" spans="1:18">
      <c r="A86" s="1">
        <v>2008001</v>
      </c>
      <c r="B86" s="4">
        <v>200800</v>
      </c>
      <c r="C86" s="4">
        <v>2</v>
      </c>
      <c r="D86" s="13" t="s">
        <v>90</v>
      </c>
      <c r="E86" s="13">
        <v>200800001</v>
      </c>
      <c r="F86" s="13" t="s">
        <v>91</v>
      </c>
      <c r="G86" s="1" t="s">
        <v>32</v>
      </c>
      <c r="H86" s="1">
        <v>1</v>
      </c>
      <c r="I86" s="2">
        <v>0</v>
      </c>
      <c r="J86" s="1">
        <v>-1</v>
      </c>
      <c r="K86" s="1">
        <v>0</v>
      </c>
      <c r="L86" s="3" t="s">
        <v>33</v>
      </c>
      <c r="M86" s="28" t="s">
        <v>34</v>
      </c>
      <c r="N86">
        <v>1000</v>
      </c>
      <c r="O86" s="15">
        <v>1990000</v>
      </c>
    </row>
    <row r="87" spans="1:18">
      <c r="A87" s="1">
        <v>2008002</v>
      </c>
      <c r="B87" s="4">
        <v>200800</v>
      </c>
      <c r="C87" s="4">
        <v>2</v>
      </c>
      <c r="D87" s="13" t="s">
        <v>90</v>
      </c>
      <c r="E87" s="13">
        <v>200800001</v>
      </c>
      <c r="F87" s="13" t="s">
        <v>91</v>
      </c>
      <c r="G87" s="1" t="s">
        <v>35</v>
      </c>
      <c r="H87" s="1">
        <v>2</v>
      </c>
      <c r="I87" s="2">
        <v>10000</v>
      </c>
      <c r="J87" s="1">
        <v>-1</v>
      </c>
      <c r="K87" s="1">
        <v>0</v>
      </c>
      <c r="L87" s="3" t="s">
        <v>33</v>
      </c>
      <c r="M87" s="28" t="s">
        <v>34</v>
      </c>
      <c r="N87">
        <v>10000</v>
      </c>
      <c r="O87" s="15">
        <v>1990000</v>
      </c>
    </row>
    <row r="88" spans="1:18">
      <c r="A88" s="1">
        <v>2008003</v>
      </c>
      <c r="B88" s="4">
        <v>200800</v>
      </c>
      <c r="C88" s="4">
        <v>2</v>
      </c>
      <c r="D88" s="13" t="s">
        <v>90</v>
      </c>
      <c r="E88" s="13">
        <v>200800001</v>
      </c>
      <c r="F88" s="13" t="s">
        <v>91</v>
      </c>
      <c r="G88" s="1" t="s">
        <v>36</v>
      </c>
      <c r="H88" s="1">
        <v>3</v>
      </c>
      <c r="I88" s="2">
        <v>100000</v>
      </c>
      <c r="J88" s="1">
        <v>-1</v>
      </c>
      <c r="K88" s="1">
        <v>0</v>
      </c>
      <c r="L88" s="3" t="s">
        <v>33</v>
      </c>
      <c r="M88" s="28" t="s">
        <v>34</v>
      </c>
      <c r="N88">
        <v>100000</v>
      </c>
      <c r="O88" s="15">
        <v>1990000</v>
      </c>
    </row>
    <row r="89" spans="1:18">
      <c r="A89" s="1">
        <v>2009001</v>
      </c>
      <c r="B89" s="20">
        <v>200900</v>
      </c>
      <c r="C89" s="4">
        <v>2</v>
      </c>
      <c r="D89" s="20" t="s">
        <v>92</v>
      </c>
      <c r="E89" s="13">
        <v>200900001</v>
      </c>
      <c r="F89" s="13" t="s">
        <v>93</v>
      </c>
      <c r="G89" s="1" t="s">
        <v>32</v>
      </c>
      <c r="H89" s="1">
        <v>1</v>
      </c>
      <c r="I89" s="2">
        <v>0</v>
      </c>
      <c r="J89" s="1">
        <v>-1</v>
      </c>
      <c r="K89" s="1">
        <v>0</v>
      </c>
      <c r="L89" s="3" t="s">
        <v>33</v>
      </c>
      <c r="M89" s="28" t="s">
        <v>34</v>
      </c>
      <c r="N89">
        <v>1000</v>
      </c>
      <c r="O89" s="15">
        <v>1990000</v>
      </c>
    </row>
    <row r="90" spans="1:18">
      <c r="A90" s="1">
        <v>2009002</v>
      </c>
      <c r="B90" s="4">
        <v>200900</v>
      </c>
      <c r="C90" s="4">
        <v>2</v>
      </c>
      <c r="D90" s="4" t="s">
        <v>92</v>
      </c>
      <c r="E90" s="13">
        <v>200900001</v>
      </c>
      <c r="F90" s="13" t="s">
        <v>93</v>
      </c>
      <c r="G90" s="1" t="s">
        <v>35</v>
      </c>
      <c r="H90" s="1">
        <v>2</v>
      </c>
      <c r="I90" s="2">
        <v>10000</v>
      </c>
      <c r="J90" s="1">
        <v>-1</v>
      </c>
      <c r="K90" s="1">
        <v>0</v>
      </c>
      <c r="L90" s="3" t="s">
        <v>33</v>
      </c>
      <c r="M90" s="28" t="s">
        <v>34</v>
      </c>
      <c r="N90">
        <v>10000</v>
      </c>
      <c r="O90" s="15">
        <v>1990000</v>
      </c>
    </row>
    <row r="91" spans="1:18">
      <c r="A91" s="1">
        <v>2009003</v>
      </c>
      <c r="B91" s="4">
        <v>200900</v>
      </c>
      <c r="C91" s="4">
        <v>2</v>
      </c>
      <c r="D91" s="4" t="s">
        <v>92</v>
      </c>
      <c r="E91" s="13">
        <v>200900001</v>
      </c>
      <c r="F91" s="13" t="s">
        <v>93</v>
      </c>
      <c r="G91" s="1" t="s">
        <v>36</v>
      </c>
      <c r="H91" s="1">
        <v>3</v>
      </c>
      <c r="I91" s="2">
        <v>100000</v>
      </c>
      <c r="J91" s="1">
        <v>-1</v>
      </c>
      <c r="K91" s="1">
        <v>0</v>
      </c>
      <c r="L91" s="3" t="s">
        <v>33</v>
      </c>
      <c r="M91" s="28" t="s">
        <v>34</v>
      </c>
      <c r="N91">
        <v>100000</v>
      </c>
      <c r="O91" s="15">
        <v>1990000</v>
      </c>
    </row>
    <row r="92" spans="1:18">
      <c r="A92" s="1">
        <v>3001001</v>
      </c>
      <c r="B92" s="4">
        <v>300100</v>
      </c>
      <c r="C92" s="4">
        <v>3</v>
      </c>
      <c r="D92" s="4" t="s">
        <v>94</v>
      </c>
      <c r="E92" s="13">
        <v>300100001</v>
      </c>
      <c r="F92" s="13" t="s">
        <v>95</v>
      </c>
      <c r="G92" s="1" t="s">
        <v>32</v>
      </c>
      <c r="H92" s="1">
        <v>1</v>
      </c>
      <c r="I92" s="2">
        <v>0</v>
      </c>
      <c r="J92" s="1">
        <v>-1</v>
      </c>
      <c r="K92" s="1">
        <v>0</v>
      </c>
      <c r="L92" s="3" t="s">
        <v>96</v>
      </c>
      <c r="M92" s="28" t="s">
        <v>97</v>
      </c>
      <c r="N92">
        <v>1000</v>
      </c>
      <c r="O92" s="15">
        <v>1990000</v>
      </c>
    </row>
    <row r="93" spans="1:18">
      <c r="A93" s="1">
        <v>3001002</v>
      </c>
      <c r="B93" s="4">
        <v>300100</v>
      </c>
      <c r="C93" s="4">
        <v>3</v>
      </c>
      <c r="D93" s="4" t="s">
        <v>94</v>
      </c>
      <c r="E93" s="13">
        <v>300100001</v>
      </c>
      <c r="F93" s="13" t="s">
        <v>95</v>
      </c>
      <c r="G93" s="1" t="s">
        <v>35</v>
      </c>
      <c r="H93" s="1">
        <v>2</v>
      </c>
      <c r="I93" s="2">
        <v>10000</v>
      </c>
      <c r="J93" s="1">
        <v>-1</v>
      </c>
      <c r="K93" s="1">
        <v>0</v>
      </c>
      <c r="L93" s="3" t="s">
        <v>96</v>
      </c>
      <c r="M93" s="28" t="s">
        <v>97</v>
      </c>
      <c r="N93">
        <v>10000</v>
      </c>
      <c r="O93" s="15">
        <v>1990000</v>
      </c>
    </row>
    <row r="94" spans="1:18">
      <c r="A94" s="1">
        <v>3001003</v>
      </c>
      <c r="B94" s="4">
        <v>300100</v>
      </c>
      <c r="C94" s="4">
        <v>3</v>
      </c>
      <c r="D94" s="4" t="s">
        <v>94</v>
      </c>
      <c r="E94" s="13">
        <v>300100001</v>
      </c>
      <c r="F94" s="13" t="s">
        <v>95</v>
      </c>
      <c r="G94" s="1" t="s">
        <v>36</v>
      </c>
      <c r="H94" s="1">
        <v>3</v>
      </c>
      <c r="I94" s="2">
        <v>100000</v>
      </c>
      <c r="J94" s="1">
        <v>-1</v>
      </c>
      <c r="K94" s="1">
        <v>0</v>
      </c>
      <c r="L94" s="3" t="s">
        <v>96</v>
      </c>
      <c r="M94" s="28" t="s">
        <v>97</v>
      </c>
      <c r="N94">
        <v>100000</v>
      </c>
      <c r="O94" s="15">
        <v>1990000</v>
      </c>
    </row>
    <row r="95" spans="1:18">
      <c r="A95" s="1">
        <v>3002001</v>
      </c>
      <c r="B95" s="4">
        <v>300200</v>
      </c>
      <c r="C95" s="4">
        <v>3</v>
      </c>
      <c r="D95" s="4" t="s">
        <v>98</v>
      </c>
      <c r="E95" s="13">
        <v>300200006</v>
      </c>
      <c r="F95" s="13" t="s">
        <v>99</v>
      </c>
      <c r="G95" s="1" t="s">
        <v>32</v>
      </c>
      <c r="H95" s="1">
        <v>1</v>
      </c>
      <c r="I95" s="2">
        <v>1000</v>
      </c>
      <c r="J95" s="1">
        <v>-1</v>
      </c>
      <c r="K95" s="1">
        <v>0</v>
      </c>
      <c r="L95" s="3" t="s">
        <v>100</v>
      </c>
      <c r="M95" s="28" t="s">
        <v>97</v>
      </c>
      <c r="N95" s="21">
        <v>1000</v>
      </c>
      <c r="O95" s="15">
        <v>1990000</v>
      </c>
    </row>
    <row r="96" spans="1:18">
      <c r="A96" s="1">
        <v>3002002</v>
      </c>
      <c r="B96" s="4">
        <v>300200</v>
      </c>
      <c r="C96" s="4">
        <v>3</v>
      </c>
      <c r="D96" s="4" t="s">
        <v>98</v>
      </c>
      <c r="E96" s="13">
        <v>300200006</v>
      </c>
      <c r="F96" s="13" t="s">
        <v>99</v>
      </c>
      <c r="G96" s="1" t="s">
        <v>35</v>
      </c>
      <c r="H96" s="1">
        <v>2</v>
      </c>
      <c r="I96" s="2">
        <v>10000</v>
      </c>
      <c r="J96" s="1">
        <v>-1</v>
      </c>
      <c r="K96" s="1">
        <v>0</v>
      </c>
      <c r="L96" s="3" t="s">
        <v>100</v>
      </c>
      <c r="M96" s="28" t="s">
        <v>97</v>
      </c>
      <c r="N96" s="21">
        <v>10000</v>
      </c>
      <c r="O96" s="15">
        <v>1990000</v>
      </c>
    </row>
    <row r="97" spans="1:15">
      <c r="A97" s="1">
        <v>3002003</v>
      </c>
      <c r="B97" s="4">
        <v>300200</v>
      </c>
      <c r="C97" s="4">
        <v>3</v>
      </c>
      <c r="D97" s="4" t="s">
        <v>98</v>
      </c>
      <c r="E97" s="13">
        <v>300200006</v>
      </c>
      <c r="F97" s="13" t="s">
        <v>99</v>
      </c>
      <c r="G97" s="1" t="s">
        <v>36</v>
      </c>
      <c r="H97" s="1">
        <v>3</v>
      </c>
      <c r="I97" s="2">
        <v>100000</v>
      </c>
      <c r="J97" s="1">
        <v>-1</v>
      </c>
      <c r="K97" s="1">
        <v>0</v>
      </c>
      <c r="L97" s="3" t="s">
        <v>100</v>
      </c>
      <c r="M97" s="28" t="s">
        <v>97</v>
      </c>
      <c r="N97" s="21">
        <v>100000</v>
      </c>
      <c r="O97" s="15">
        <v>1990000</v>
      </c>
    </row>
    <row r="98" spans="1:15">
      <c r="A98" s="1">
        <v>3004001</v>
      </c>
      <c r="B98" s="4">
        <v>300400</v>
      </c>
      <c r="C98" s="1">
        <v>3</v>
      </c>
      <c r="D98" s="4" t="s">
        <v>101</v>
      </c>
      <c r="E98" s="13">
        <v>300400023</v>
      </c>
      <c r="F98" s="22" t="s">
        <v>102</v>
      </c>
      <c r="G98" s="1" t="s">
        <v>32</v>
      </c>
      <c r="H98" s="1">
        <v>1</v>
      </c>
      <c r="I98" s="23">
        <f>N98*52</f>
        <v>5200</v>
      </c>
      <c r="J98" s="1">
        <v>-1</v>
      </c>
      <c r="K98" s="1">
        <v>0</v>
      </c>
      <c r="L98" s="3" t="s">
        <v>103</v>
      </c>
      <c r="M98" s="28" t="s">
        <v>104</v>
      </c>
      <c r="N98" s="23">
        <v>100</v>
      </c>
      <c r="O98" s="15">
        <v>1990000</v>
      </c>
    </row>
    <row r="99" spans="1:15">
      <c r="A99" s="1">
        <v>3004002</v>
      </c>
      <c r="B99" s="4">
        <v>300400</v>
      </c>
      <c r="C99" s="4">
        <v>3</v>
      </c>
      <c r="D99" s="4" t="s">
        <v>101</v>
      </c>
      <c r="E99" s="13">
        <v>300400023</v>
      </c>
      <c r="F99" s="22" t="s">
        <v>102</v>
      </c>
      <c r="G99" s="1" t="s">
        <v>35</v>
      </c>
      <c r="H99" s="1">
        <v>2</v>
      </c>
      <c r="I99" s="23">
        <f>N99*52</f>
        <v>52000</v>
      </c>
      <c r="J99" s="1">
        <v>-1</v>
      </c>
      <c r="K99" s="1">
        <v>0</v>
      </c>
      <c r="L99" s="3" t="s">
        <v>103</v>
      </c>
      <c r="M99" s="28" t="s">
        <v>104</v>
      </c>
      <c r="N99" s="23">
        <v>1000</v>
      </c>
      <c r="O99" s="15">
        <v>1990000</v>
      </c>
    </row>
    <row r="100" spans="1:15">
      <c r="A100" s="1">
        <v>3004003</v>
      </c>
      <c r="B100" s="4">
        <v>300400</v>
      </c>
      <c r="C100" s="4">
        <v>3</v>
      </c>
      <c r="D100" s="4" t="s">
        <v>101</v>
      </c>
      <c r="E100" s="13">
        <v>300400023</v>
      </c>
      <c r="F100" s="22" t="s">
        <v>102</v>
      </c>
      <c r="G100" s="1" t="s">
        <v>36</v>
      </c>
      <c r="H100" s="1">
        <v>3</v>
      </c>
      <c r="I100" s="23">
        <f>N100*52</f>
        <v>520000</v>
      </c>
      <c r="J100" s="1">
        <v>-1</v>
      </c>
      <c r="K100" s="1">
        <v>0</v>
      </c>
      <c r="L100" s="3" t="s">
        <v>103</v>
      </c>
      <c r="M100" s="28" t="s">
        <v>104</v>
      </c>
      <c r="N100" s="23">
        <v>10000</v>
      </c>
      <c r="O100" s="15">
        <v>1990000</v>
      </c>
    </row>
    <row r="101" spans="1:15">
      <c r="A101" s="1">
        <v>2012001</v>
      </c>
      <c r="B101" s="4">
        <v>201200</v>
      </c>
      <c r="C101" s="4">
        <v>2</v>
      </c>
      <c r="D101" s="4" t="s">
        <v>105</v>
      </c>
      <c r="E101" s="13">
        <v>201200001</v>
      </c>
      <c r="F101" s="22" t="s">
        <v>106</v>
      </c>
      <c r="G101" s="1" t="s">
        <v>32</v>
      </c>
      <c r="H101" s="1">
        <v>1</v>
      </c>
      <c r="I101" s="2">
        <v>0</v>
      </c>
      <c r="J101" s="1">
        <v>-1</v>
      </c>
      <c r="K101" s="1">
        <v>0</v>
      </c>
      <c r="L101" s="3" t="s">
        <v>33</v>
      </c>
      <c r="M101" s="28" t="s">
        <v>85</v>
      </c>
      <c r="N101">
        <v>1000</v>
      </c>
      <c r="O101" s="15">
        <v>1990000</v>
      </c>
    </row>
    <row r="102" spans="1:15">
      <c r="A102" s="1">
        <v>2012002</v>
      </c>
      <c r="B102" s="4">
        <v>201200</v>
      </c>
      <c r="C102" s="4">
        <v>2</v>
      </c>
      <c r="D102" s="4" t="s">
        <v>105</v>
      </c>
      <c r="E102" s="13">
        <v>201200001</v>
      </c>
      <c r="F102" s="22" t="s">
        <v>106</v>
      </c>
      <c r="G102" s="1" t="s">
        <v>35</v>
      </c>
      <c r="H102" s="1">
        <v>2</v>
      </c>
      <c r="I102" s="2">
        <v>10000</v>
      </c>
      <c r="J102" s="1">
        <v>-1</v>
      </c>
      <c r="K102" s="1">
        <v>0</v>
      </c>
      <c r="L102" s="3" t="s">
        <v>33</v>
      </c>
      <c r="M102" s="28" t="s">
        <v>85</v>
      </c>
      <c r="N102">
        <v>10000</v>
      </c>
      <c r="O102" s="15">
        <v>1990000</v>
      </c>
    </row>
    <row r="103" spans="1:15">
      <c r="A103" s="1">
        <v>2012003</v>
      </c>
      <c r="B103" s="4">
        <v>201200</v>
      </c>
      <c r="C103" s="4">
        <v>2</v>
      </c>
      <c r="D103" s="4" t="s">
        <v>105</v>
      </c>
      <c r="E103" s="13">
        <v>201200001</v>
      </c>
      <c r="F103" s="22" t="s">
        <v>106</v>
      </c>
      <c r="G103" s="1" t="s">
        <v>36</v>
      </c>
      <c r="H103" s="1">
        <v>3</v>
      </c>
      <c r="I103" s="2">
        <v>100000</v>
      </c>
      <c r="J103" s="1">
        <v>-1</v>
      </c>
      <c r="K103" s="1">
        <v>0</v>
      </c>
      <c r="L103" s="3" t="s">
        <v>33</v>
      </c>
      <c r="M103" s="28" t="s">
        <v>85</v>
      </c>
      <c r="N103">
        <v>100000</v>
      </c>
      <c r="O103" s="15">
        <v>1990000</v>
      </c>
    </row>
    <row r="104" spans="1:15">
      <c r="A104" s="1">
        <v>20010010</v>
      </c>
      <c r="B104" s="16">
        <v>200100</v>
      </c>
      <c r="C104" s="16">
        <v>2</v>
      </c>
      <c r="D104" s="16" t="s">
        <v>75</v>
      </c>
      <c r="E104" s="16">
        <v>200100038</v>
      </c>
      <c r="F104" s="16" t="s">
        <v>76</v>
      </c>
      <c r="G104" s="17" t="s">
        <v>107</v>
      </c>
      <c r="H104" s="17">
        <v>10</v>
      </c>
      <c r="I104" s="24">
        <v>0</v>
      </c>
      <c r="J104" s="17">
        <v>-1</v>
      </c>
      <c r="K104" s="17">
        <v>0</v>
      </c>
      <c r="L104" s="25" t="s">
        <v>108</v>
      </c>
      <c r="M104" s="17">
        <v>0</v>
      </c>
      <c r="N104">
        <v>1000</v>
      </c>
      <c r="O104" s="26">
        <v>1980000</v>
      </c>
    </row>
    <row r="105" spans="1:15">
      <c r="A105" s="1">
        <v>20010011</v>
      </c>
      <c r="B105" s="16">
        <v>200100</v>
      </c>
      <c r="C105" s="16">
        <v>2</v>
      </c>
      <c r="D105" s="16" t="s">
        <v>75</v>
      </c>
      <c r="E105" s="16">
        <v>200100038</v>
      </c>
      <c r="F105" s="16" t="s">
        <v>76</v>
      </c>
      <c r="G105" s="17" t="s">
        <v>109</v>
      </c>
      <c r="H105" s="17">
        <v>11</v>
      </c>
      <c r="I105" s="24">
        <v>0</v>
      </c>
      <c r="J105" s="17">
        <v>-1</v>
      </c>
      <c r="K105" s="17">
        <v>0</v>
      </c>
      <c r="L105" s="25" t="s">
        <v>108</v>
      </c>
      <c r="M105" s="17">
        <v>0</v>
      </c>
      <c r="N105">
        <v>10000</v>
      </c>
      <c r="O105" s="26">
        <v>1980000</v>
      </c>
    </row>
    <row r="106" spans="1:15">
      <c r="A106" s="1">
        <v>20010012</v>
      </c>
      <c r="B106" s="16">
        <v>200100</v>
      </c>
      <c r="C106" s="16">
        <v>2</v>
      </c>
      <c r="D106" s="16" t="s">
        <v>75</v>
      </c>
      <c r="E106" s="16">
        <v>200100038</v>
      </c>
      <c r="F106" s="16" t="s">
        <v>76</v>
      </c>
      <c r="G106" s="17" t="s">
        <v>110</v>
      </c>
      <c r="H106" s="17">
        <v>12</v>
      </c>
      <c r="I106" s="24">
        <v>0</v>
      </c>
      <c r="J106" s="17">
        <v>-1</v>
      </c>
      <c r="K106" s="17">
        <v>0</v>
      </c>
      <c r="L106" s="25" t="s">
        <v>108</v>
      </c>
      <c r="M106" s="17">
        <v>0</v>
      </c>
      <c r="N106">
        <v>100000</v>
      </c>
      <c r="O106" s="26">
        <v>1980000</v>
      </c>
    </row>
    <row r="107" spans="1:15">
      <c r="A107" s="1">
        <v>20010110</v>
      </c>
      <c r="B107" s="16">
        <v>200101</v>
      </c>
      <c r="C107" s="16">
        <v>2</v>
      </c>
      <c r="D107" s="16" t="s">
        <v>77</v>
      </c>
      <c r="E107" s="16">
        <v>200101001</v>
      </c>
      <c r="F107" s="16" t="s">
        <v>78</v>
      </c>
      <c r="G107" s="17" t="s">
        <v>107</v>
      </c>
      <c r="H107" s="17">
        <v>10</v>
      </c>
      <c r="I107" s="24">
        <v>0</v>
      </c>
      <c r="J107" s="17">
        <v>-1</v>
      </c>
      <c r="K107" s="17">
        <v>0</v>
      </c>
      <c r="L107" s="25" t="s">
        <v>108</v>
      </c>
      <c r="M107" s="17">
        <v>0</v>
      </c>
      <c r="N107">
        <v>1000</v>
      </c>
      <c r="O107" s="26">
        <v>1980000</v>
      </c>
    </row>
    <row r="108" spans="1:15">
      <c r="A108" s="1">
        <v>20010111</v>
      </c>
      <c r="B108" s="16">
        <v>200101</v>
      </c>
      <c r="C108" s="16">
        <v>2</v>
      </c>
      <c r="D108" s="16" t="s">
        <v>77</v>
      </c>
      <c r="E108" s="16">
        <v>200101001</v>
      </c>
      <c r="F108" s="16" t="s">
        <v>78</v>
      </c>
      <c r="G108" s="17" t="s">
        <v>109</v>
      </c>
      <c r="H108" s="17">
        <v>11</v>
      </c>
      <c r="I108" s="24">
        <v>0</v>
      </c>
      <c r="J108" s="17">
        <v>-1</v>
      </c>
      <c r="K108" s="17">
        <v>0</v>
      </c>
      <c r="L108" s="25" t="s">
        <v>108</v>
      </c>
      <c r="M108" s="17">
        <v>0</v>
      </c>
      <c r="N108">
        <v>10000</v>
      </c>
      <c r="O108" s="26">
        <v>1980000</v>
      </c>
    </row>
    <row r="109" spans="1:15">
      <c r="A109" s="1">
        <v>20010112</v>
      </c>
      <c r="B109" s="16">
        <v>200101</v>
      </c>
      <c r="C109" s="16">
        <v>2</v>
      </c>
      <c r="D109" s="16" t="s">
        <v>77</v>
      </c>
      <c r="E109" s="16">
        <v>200101001</v>
      </c>
      <c r="F109" s="16" t="s">
        <v>78</v>
      </c>
      <c r="G109" s="17" t="s">
        <v>110</v>
      </c>
      <c r="H109" s="17">
        <v>12</v>
      </c>
      <c r="I109" s="24">
        <v>0</v>
      </c>
      <c r="J109" s="17">
        <v>-1</v>
      </c>
      <c r="K109" s="17">
        <v>0</v>
      </c>
      <c r="L109" s="25" t="s">
        <v>108</v>
      </c>
      <c r="M109" s="17">
        <v>0</v>
      </c>
      <c r="N109">
        <v>100000</v>
      </c>
      <c r="O109" s="26">
        <v>1980000</v>
      </c>
    </row>
    <row r="110" spans="1:15">
      <c r="A110" s="1">
        <v>20030010</v>
      </c>
      <c r="B110" s="16">
        <v>200300</v>
      </c>
      <c r="C110" s="16">
        <v>2</v>
      </c>
      <c r="D110" s="16" t="s">
        <v>79</v>
      </c>
      <c r="E110" s="16">
        <v>200300001</v>
      </c>
      <c r="F110" s="16" t="s">
        <v>80</v>
      </c>
      <c r="G110" s="17" t="s">
        <v>107</v>
      </c>
      <c r="H110" s="17">
        <v>10</v>
      </c>
      <c r="I110" s="24">
        <v>0</v>
      </c>
      <c r="J110" s="17">
        <v>-1</v>
      </c>
      <c r="K110" s="17">
        <v>0</v>
      </c>
      <c r="L110" s="25" t="s">
        <v>108</v>
      </c>
      <c r="M110" s="17">
        <v>0</v>
      </c>
      <c r="N110">
        <v>1000</v>
      </c>
      <c r="O110" s="26">
        <v>1980000</v>
      </c>
    </row>
    <row r="111" spans="1:15">
      <c r="A111" s="1">
        <v>20030011</v>
      </c>
      <c r="B111" s="16">
        <v>200300</v>
      </c>
      <c r="C111" s="16">
        <v>2</v>
      </c>
      <c r="D111" s="16" t="s">
        <v>79</v>
      </c>
      <c r="E111" s="16">
        <v>200300001</v>
      </c>
      <c r="F111" s="16" t="s">
        <v>80</v>
      </c>
      <c r="G111" s="17" t="s">
        <v>109</v>
      </c>
      <c r="H111" s="17">
        <v>11</v>
      </c>
      <c r="I111" s="24">
        <v>0</v>
      </c>
      <c r="J111" s="17">
        <v>-1</v>
      </c>
      <c r="K111" s="17">
        <v>0</v>
      </c>
      <c r="L111" s="25" t="s">
        <v>108</v>
      </c>
      <c r="M111" s="17">
        <v>0</v>
      </c>
      <c r="N111">
        <v>10000</v>
      </c>
      <c r="O111" s="26">
        <v>1980000</v>
      </c>
    </row>
    <row r="112" spans="1:15">
      <c r="A112" s="1">
        <v>20030012</v>
      </c>
      <c r="B112" s="16">
        <v>200300</v>
      </c>
      <c r="C112" s="16">
        <v>2</v>
      </c>
      <c r="D112" s="16" t="s">
        <v>79</v>
      </c>
      <c r="E112" s="16">
        <v>200300001</v>
      </c>
      <c r="F112" s="16" t="s">
        <v>80</v>
      </c>
      <c r="G112" s="17" t="s">
        <v>110</v>
      </c>
      <c r="H112" s="17">
        <v>12</v>
      </c>
      <c r="I112" s="24">
        <v>0</v>
      </c>
      <c r="J112" s="17">
        <v>-1</v>
      </c>
      <c r="K112" s="17">
        <v>0</v>
      </c>
      <c r="L112" s="25" t="s">
        <v>108</v>
      </c>
      <c r="M112" s="17">
        <v>0</v>
      </c>
      <c r="N112">
        <v>100000</v>
      </c>
      <c r="O112" s="26">
        <v>1980000</v>
      </c>
    </row>
    <row r="113" spans="1:15">
      <c r="A113" s="1">
        <v>20040010</v>
      </c>
      <c r="B113" s="16">
        <v>200400</v>
      </c>
      <c r="C113" s="16">
        <v>2</v>
      </c>
      <c r="D113" s="24" t="s">
        <v>81</v>
      </c>
      <c r="E113" s="16">
        <v>200400009</v>
      </c>
      <c r="F113" s="16" t="s">
        <v>82</v>
      </c>
      <c r="G113" s="17" t="s">
        <v>107</v>
      </c>
      <c r="H113" s="17">
        <v>10</v>
      </c>
      <c r="I113" s="24">
        <v>0</v>
      </c>
      <c r="J113" s="17">
        <v>-1</v>
      </c>
      <c r="K113" s="17">
        <v>0</v>
      </c>
      <c r="L113" s="25" t="s">
        <v>108</v>
      </c>
      <c r="M113" s="17">
        <v>0</v>
      </c>
      <c r="N113">
        <v>1000</v>
      </c>
      <c r="O113" s="26">
        <v>1980000</v>
      </c>
    </row>
    <row r="114" spans="1:15">
      <c r="A114" s="1">
        <v>20040011</v>
      </c>
      <c r="B114" s="16">
        <v>200400</v>
      </c>
      <c r="C114" s="16">
        <v>2</v>
      </c>
      <c r="D114" s="24" t="s">
        <v>81</v>
      </c>
      <c r="E114" s="16">
        <v>200400009</v>
      </c>
      <c r="F114" s="16" t="s">
        <v>82</v>
      </c>
      <c r="G114" s="17" t="s">
        <v>109</v>
      </c>
      <c r="H114" s="17">
        <v>11</v>
      </c>
      <c r="I114" s="24">
        <v>0</v>
      </c>
      <c r="J114" s="17">
        <v>-1</v>
      </c>
      <c r="K114" s="17">
        <v>0</v>
      </c>
      <c r="L114" s="25" t="s">
        <v>108</v>
      </c>
      <c r="M114" s="17">
        <v>0</v>
      </c>
      <c r="N114">
        <v>10000</v>
      </c>
      <c r="O114" s="26">
        <v>1980000</v>
      </c>
    </row>
    <row r="115" spans="1:15">
      <c r="A115" s="1">
        <v>20040012</v>
      </c>
      <c r="B115" s="16">
        <v>200400</v>
      </c>
      <c r="C115" s="16">
        <v>2</v>
      </c>
      <c r="D115" s="24" t="s">
        <v>81</v>
      </c>
      <c r="E115" s="16">
        <v>200400009</v>
      </c>
      <c r="F115" s="16" t="s">
        <v>82</v>
      </c>
      <c r="G115" s="17" t="s">
        <v>110</v>
      </c>
      <c r="H115" s="17">
        <v>12</v>
      </c>
      <c r="I115" s="24">
        <v>0</v>
      </c>
      <c r="J115" s="17">
        <v>-1</v>
      </c>
      <c r="K115" s="17">
        <v>0</v>
      </c>
      <c r="L115" s="25" t="s">
        <v>108</v>
      </c>
      <c r="M115" s="17">
        <v>0</v>
      </c>
      <c r="N115">
        <v>100000</v>
      </c>
      <c r="O115" s="26">
        <v>1980000</v>
      </c>
    </row>
    <row r="116" spans="1:15">
      <c r="A116" s="1">
        <v>20050010</v>
      </c>
      <c r="B116" s="16">
        <v>200500</v>
      </c>
      <c r="C116" s="16">
        <v>2</v>
      </c>
      <c r="D116" s="16" t="s">
        <v>83</v>
      </c>
      <c r="E116" s="16">
        <v>200500025</v>
      </c>
      <c r="F116" s="16" t="s">
        <v>84</v>
      </c>
      <c r="G116" s="17" t="s">
        <v>107</v>
      </c>
      <c r="H116" s="17">
        <v>10</v>
      </c>
      <c r="I116" s="24">
        <v>0</v>
      </c>
      <c r="J116" s="17">
        <v>-1</v>
      </c>
      <c r="K116" s="17">
        <v>0</v>
      </c>
      <c r="L116" s="25" t="s">
        <v>108</v>
      </c>
      <c r="M116" s="17">
        <v>0</v>
      </c>
      <c r="N116">
        <v>1000</v>
      </c>
      <c r="O116" s="26">
        <v>1980000</v>
      </c>
    </row>
    <row r="117" spans="1:15">
      <c r="A117" s="1">
        <v>20050011</v>
      </c>
      <c r="B117" s="16">
        <v>200500</v>
      </c>
      <c r="C117" s="16">
        <v>2</v>
      </c>
      <c r="D117" s="16" t="s">
        <v>83</v>
      </c>
      <c r="E117" s="16">
        <v>200500025</v>
      </c>
      <c r="F117" s="16" t="s">
        <v>84</v>
      </c>
      <c r="G117" s="17" t="s">
        <v>109</v>
      </c>
      <c r="H117" s="17">
        <v>11</v>
      </c>
      <c r="I117" s="24">
        <v>0</v>
      </c>
      <c r="J117" s="17">
        <v>-1</v>
      </c>
      <c r="K117" s="17">
        <v>0</v>
      </c>
      <c r="L117" s="25" t="s">
        <v>108</v>
      </c>
      <c r="M117" s="17">
        <v>0</v>
      </c>
      <c r="N117">
        <v>10000</v>
      </c>
      <c r="O117" s="26">
        <v>1980000</v>
      </c>
    </row>
    <row r="118" spans="1:15">
      <c r="A118" s="1">
        <v>20050012</v>
      </c>
      <c r="B118" s="16">
        <v>200500</v>
      </c>
      <c r="C118" s="16">
        <v>2</v>
      </c>
      <c r="D118" s="16" t="s">
        <v>83</v>
      </c>
      <c r="E118" s="16">
        <v>200500025</v>
      </c>
      <c r="F118" s="16" t="s">
        <v>84</v>
      </c>
      <c r="G118" s="17" t="s">
        <v>110</v>
      </c>
      <c r="H118" s="17">
        <v>12</v>
      </c>
      <c r="I118" s="24">
        <v>0</v>
      </c>
      <c r="J118" s="17">
        <v>-1</v>
      </c>
      <c r="K118" s="17">
        <v>0</v>
      </c>
      <c r="L118" s="25" t="s">
        <v>108</v>
      </c>
      <c r="M118" s="17">
        <v>0</v>
      </c>
      <c r="N118">
        <v>100000</v>
      </c>
      <c r="O118" s="26">
        <v>1980000</v>
      </c>
    </row>
    <row r="119" spans="1:15">
      <c r="A119" s="1">
        <v>20060010</v>
      </c>
      <c r="B119" s="16">
        <v>200600</v>
      </c>
      <c r="C119" s="16">
        <v>2</v>
      </c>
      <c r="D119" s="16" t="s">
        <v>86</v>
      </c>
      <c r="E119" s="16">
        <v>200600001</v>
      </c>
      <c r="F119" s="16" t="s">
        <v>87</v>
      </c>
      <c r="G119" s="17" t="s">
        <v>107</v>
      </c>
      <c r="H119" s="17">
        <v>10</v>
      </c>
      <c r="I119" s="24">
        <v>0</v>
      </c>
      <c r="J119" s="17">
        <v>-1</v>
      </c>
      <c r="K119" s="17">
        <v>0</v>
      </c>
      <c r="L119" s="25" t="s">
        <v>108</v>
      </c>
      <c r="M119" s="17">
        <v>0</v>
      </c>
      <c r="N119">
        <v>1000</v>
      </c>
      <c r="O119" s="26">
        <v>1980000</v>
      </c>
    </row>
    <row r="120" spans="1:15">
      <c r="A120" s="1">
        <v>20060011</v>
      </c>
      <c r="B120" s="16">
        <v>200600</v>
      </c>
      <c r="C120" s="16">
        <v>2</v>
      </c>
      <c r="D120" s="16" t="s">
        <v>86</v>
      </c>
      <c r="E120" s="16">
        <v>200600001</v>
      </c>
      <c r="F120" s="16" t="s">
        <v>87</v>
      </c>
      <c r="G120" s="17" t="s">
        <v>109</v>
      </c>
      <c r="H120" s="17">
        <v>11</v>
      </c>
      <c r="I120" s="24">
        <v>0</v>
      </c>
      <c r="J120" s="17">
        <v>-1</v>
      </c>
      <c r="K120" s="17">
        <v>0</v>
      </c>
      <c r="L120" s="25" t="s">
        <v>108</v>
      </c>
      <c r="M120" s="17">
        <v>0</v>
      </c>
      <c r="N120">
        <v>10000</v>
      </c>
      <c r="O120" s="26">
        <v>1980000</v>
      </c>
    </row>
    <row r="121" spans="1:15">
      <c r="A121" s="1">
        <v>20060012</v>
      </c>
      <c r="B121" s="16">
        <v>200600</v>
      </c>
      <c r="C121" s="16">
        <v>2</v>
      </c>
      <c r="D121" s="16" t="s">
        <v>86</v>
      </c>
      <c r="E121" s="16">
        <v>200600001</v>
      </c>
      <c r="F121" s="16" t="s">
        <v>87</v>
      </c>
      <c r="G121" s="17" t="s">
        <v>110</v>
      </c>
      <c r="H121" s="17">
        <v>12</v>
      </c>
      <c r="I121" s="24">
        <v>0</v>
      </c>
      <c r="J121" s="17">
        <v>-1</v>
      </c>
      <c r="K121" s="17">
        <v>0</v>
      </c>
      <c r="L121" s="25" t="s">
        <v>108</v>
      </c>
      <c r="M121" s="17">
        <v>0</v>
      </c>
      <c r="N121">
        <v>100000</v>
      </c>
      <c r="O121" s="26">
        <v>1980000</v>
      </c>
    </row>
    <row r="122" spans="1:15">
      <c r="A122" s="1">
        <v>20070010</v>
      </c>
      <c r="B122" s="16">
        <v>200700</v>
      </c>
      <c r="C122" s="16">
        <v>2</v>
      </c>
      <c r="D122" s="16" t="s">
        <v>88</v>
      </c>
      <c r="E122" s="16">
        <v>200700001</v>
      </c>
      <c r="F122" s="16" t="s">
        <v>89</v>
      </c>
      <c r="G122" s="17" t="s">
        <v>107</v>
      </c>
      <c r="H122" s="17">
        <v>10</v>
      </c>
      <c r="I122" s="24">
        <v>0</v>
      </c>
      <c r="J122" s="17">
        <v>-1</v>
      </c>
      <c r="K122" s="17">
        <v>0</v>
      </c>
      <c r="L122" s="25" t="s">
        <v>108</v>
      </c>
      <c r="M122" s="17">
        <v>0</v>
      </c>
      <c r="N122">
        <v>1000</v>
      </c>
      <c r="O122" s="26">
        <v>1980000</v>
      </c>
    </row>
    <row r="123" spans="1:15">
      <c r="A123" s="1">
        <v>20070011</v>
      </c>
      <c r="B123" s="16">
        <v>200700</v>
      </c>
      <c r="C123" s="16">
        <v>2</v>
      </c>
      <c r="D123" s="16" t="s">
        <v>88</v>
      </c>
      <c r="E123" s="16">
        <v>200700001</v>
      </c>
      <c r="F123" s="16" t="s">
        <v>89</v>
      </c>
      <c r="G123" s="17" t="s">
        <v>109</v>
      </c>
      <c r="H123" s="17">
        <v>11</v>
      </c>
      <c r="I123" s="24">
        <v>0</v>
      </c>
      <c r="J123" s="17">
        <v>-1</v>
      </c>
      <c r="K123" s="17">
        <v>0</v>
      </c>
      <c r="L123" s="25" t="s">
        <v>108</v>
      </c>
      <c r="M123" s="17">
        <v>0</v>
      </c>
      <c r="N123">
        <v>10000</v>
      </c>
      <c r="O123" s="26">
        <v>1980000</v>
      </c>
    </row>
    <row r="124" spans="1:15">
      <c r="A124" s="1">
        <v>20070012</v>
      </c>
      <c r="B124" s="16">
        <v>200700</v>
      </c>
      <c r="C124" s="16">
        <v>2</v>
      </c>
      <c r="D124" s="16" t="s">
        <v>88</v>
      </c>
      <c r="E124" s="16">
        <v>200700001</v>
      </c>
      <c r="F124" s="16" t="s">
        <v>89</v>
      </c>
      <c r="G124" s="17" t="s">
        <v>110</v>
      </c>
      <c r="H124" s="17">
        <v>12</v>
      </c>
      <c r="I124" s="24">
        <v>0</v>
      </c>
      <c r="J124" s="17">
        <v>-1</v>
      </c>
      <c r="K124" s="17">
        <v>0</v>
      </c>
      <c r="L124" s="25" t="s">
        <v>108</v>
      </c>
      <c r="M124" s="17">
        <v>0</v>
      </c>
      <c r="N124">
        <v>100000</v>
      </c>
      <c r="O124" s="26">
        <v>1980000</v>
      </c>
    </row>
    <row r="125" spans="1:15">
      <c r="A125" s="1">
        <v>20080010</v>
      </c>
      <c r="B125" s="16">
        <v>200800</v>
      </c>
      <c r="C125" s="16">
        <v>2</v>
      </c>
      <c r="D125" s="16" t="s">
        <v>90</v>
      </c>
      <c r="E125" s="16">
        <v>200800001</v>
      </c>
      <c r="F125" s="16" t="s">
        <v>91</v>
      </c>
      <c r="G125" s="17" t="s">
        <v>107</v>
      </c>
      <c r="H125" s="17">
        <v>10</v>
      </c>
      <c r="I125" s="24">
        <v>0</v>
      </c>
      <c r="J125" s="17">
        <v>-1</v>
      </c>
      <c r="K125" s="17">
        <v>0</v>
      </c>
      <c r="L125" s="25" t="s">
        <v>108</v>
      </c>
      <c r="M125" s="17">
        <v>0</v>
      </c>
      <c r="N125">
        <v>1000</v>
      </c>
      <c r="O125" s="26">
        <v>1980000</v>
      </c>
    </row>
    <row r="126" spans="1:15">
      <c r="A126" s="1">
        <v>20080011</v>
      </c>
      <c r="B126" s="16">
        <v>200800</v>
      </c>
      <c r="C126" s="16">
        <v>2</v>
      </c>
      <c r="D126" s="16" t="s">
        <v>90</v>
      </c>
      <c r="E126" s="16">
        <v>200800001</v>
      </c>
      <c r="F126" s="16" t="s">
        <v>91</v>
      </c>
      <c r="G126" s="17" t="s">
        <v>109</v>
      </c>
      <c r="H126" s="17">
        <v>11</v>
      </c>
      <c r="I126" s="24">
        <v>0</v>
      </c>
      <c r="J126" s="17">
        <v>-1</v>
      </c>
      <c r="K126" s="17">
        <v>0</v>
      </c>
      <c r="L126" s="25" t="s">
        <v>108</v>
      </c>
      <c r="M126" s="17">
        <v>0</v>
      </c>
      <c r="N126">
        <v>10000</v>
      </c>
      <c r="O126" s="26">
        <v>1980000</v>
      </c>
    </row>
    <row r="127" spans="1:15">
      <c r="A127" s="1">
        <v>20080012</v>
      </c>
      <c r="B127" s="16">
        <v>200800</v>
      </c>
      <c r="C127" s="16">
        <v>2</v>
      </c>
      <c r="D127" s="16" t="s">
        <v>90</v>
      </c>
      <c r="E127" s="16">
        <v>200800001</v>
      </c>
      <c r="F127" s="16" t="s">
        <v>91</v>
      </c>
      <c r="G127" s="17" t="s">
        <v>110</v>
      </c>
      <c r="H127" s="17">
        <v>12</v>
      </c>
      <c r="I127" s="24">
        <v>0</v>
      </c>
      <c r="J127" s="17">
        <v>-1</v>
      </c>
      <c r="K127" s="17">
        <v>0</v>
      </c>
      <c r="L127" s="25" t="s">
        <v>108</v>
      </c>
      <c r="M127" s="17">
        <v>0</v>
      </c>
      <c r="N127">
        <v>100000</v>
      </c>
      <c r="O127" s="26">
        <v>1980000</v>
      </c>
    </row>
    <row r="128" spans="1:15">
      <c r="A128" s="1">
        <v>20090010</v>
      </c>
      <c r="B128" s="16">
        <v>200900</v>
      </c>
      <c r="C128" s="16">
        <v>2</v>
      </c>
      <c r="D128" s="16" t="s">
        <v>92</v>
      </c>
      <c r="E128" s="16">
        <v>200900001</v>
      </c>
      <c r="F128" s="16" t="s">
        <v>93</v>
      </c>
      <c r="G128" s="17" t="s">
        <v>107</v>
      </c>
      <c r="H128" s="17">
        <v>10</v>
      </c>
      <c r="I128" s="24">
        <v>0</v>
      </c>
      <c r="J128" s="17">
        <v>-1</v>
      </c>
      <c r="K128" s="17">
        <v>0</v>
      </c>
      <c r="L128" s="25" t="s">
        <v>108</v>
      </c>
      <c r="M128" s="17">
        <v>0</v>
      </c>
      <c r="N128">
        <v>1000</v>
      </c>
      <c r="O128" s="26">
        <v>1980000</v>
      </c>
    </row>
    <row r="129" spans="1:15">
      <c r="A129" s="1">
        <v>20090011</v>
      </c>
      <c r="B129" s="16">
        <v>200900</v>
      </c>
      <c r="C129" s="16">
        <v>2</v>
      </c>
      <c r="D129" s="16" t="s">
        <v>92</v>
      </c>
      <c r="E129" s="16">
        <v>200900001</v>
      </c>
      <c r="F129" s="16" t="s">
        <v>93</v>
      </c>
      <c r="G129" s="17" t="s">
        <v>109</v>
      </c>
      <c r="H129" s="17">
        <v>11</v>
      </c>
      <c r="I129" s="24">
        <v>0</v>
      </c>
      <c r="J129" s="17">
        <v>-1</v>
      </c>
      <c r="K129" s="17">
        <v>0</v>
      </c>
      <c r="L129" s="25" t="s">
        <v>108</v>
      </c>
      <c r="M129" s="17">
        <v>0</v>
      </c>
      <c r="N129">
        <v>10000</v>
      </c>
      <c r="O129" s="26">
        <v>1980000</v>
      </c>
    </row>
    <row r="130" spans="1:15">
      <c r="A130" s="1">
        <v>20090012</v>
      </c>
      <c r="B130" s="16">
        <v>200900</v>
      </c>
      <c r="C130" s="16">
        <v>2</v>
      </c>
      <c r="D130" s="16" t="s">
        <v>92</v>
      </c>
      <c r="E130" s="16">
        <v>200900001</v>
      </c>
      <c r="F130" s="16" t="s">
        <v>93</v>
      </c>
      <c r="G130" s="17" t="s">
        <v>110</v>
      </c>
      <c r="H130" s="17">
        <v>12</v>
      </c>
      <c r="I130" s="24">
        <v>0</v>
      </c>
      <c r="J130" s="17">
        <v>-1</v>
      </c>
      <c r="K130" s="17">
        <v>0</v>
      </c>
      <c r="L130" s="25" t="s">
        <v>108</v>
      </c>
      <c r="M130" s="17">
        <v>0</v>
      </c>
      <c r="N130">
        <v>100000</v>
      </c>
      <c r="O130" s="26">
        <v>1980000</v>
      </c>
    </row>
    <row r="131" spans="1:15">
      <c r="A131" s="1">
        <v>30020010</v>
      </c>
      <c r="B131" s="16">
        <v>300200</v>
      </c>
      <c r="C131" s="16">
        <v>3</v>
      </c>
      <c r="D131" s="16" t="s">
        <v>98</v>
      </c>
      <c r="E131" s="16">
        <v>300200006</v>
      </c>
      <c r="F131" s="16" t="s">
        <v>99</v>
      </c>
      <c r="G131" s="17" t="s">
        <v>107</v>
      </c>
      <c r="H131" s="17">
        <v>10</v>
      </c>
      <c r="I131" s="24">
        <v>0</v>
      </c>
      <c r="J131" s="17">
        <v>-1</v>
      </c>
      <c r="K131" s="17">
        <v>0</v>
      </c>
      <c r="L131" s="3" t="s">
        <v>111</v>
      </c>
      <c r="M131" s="17">
        <v>0</v>
      </c>
      <c r="N131" s="21">
        <v>1000</v>
      </c>
      <c r="O131" s="26">
        <v>1980000</v>
      </c>
    </row>
    <row r="132" spans="1:15">
      <c r="A132" s="1">
        <v>30020011</v>
      </c>
      <c r="B132" s="16">
        <v>300200</v>
      </c>
      <c r="C132" s="16">
        <v>3</v>
      </c>
      <c r="D132" s="16" t="s">
        <v>98</v>
      </c>
      <c r="E132" s="16">
        <v>300200006</v>
      </c>
      <c r="F132" s="16" t="s">
        <v>99</v>
      </c>
      <c r="G132" s="17" t="s">
        <v>109</v>
      </c>
      <c r="H132" s="17">
        <v>11</v>
      </c>
      <c r="I132" s="24">
        <v>0</v>
      </c>
      <c r="J132" s="17">
        <v>-1</v>
      </c>
      <c r="K132" s="17">
        <v>0</v>
      </c>
      <c r="L132" s="3" t="s">
        <v>111</v>
      </c>
      <c r="M132" s="17">
        <v>0</v>
      </c>
      <c r="N132" s="21">
        <v>10000</v>
      </c>
      <c r="O132" s="26">
        <v>1980000</v>
      </c>
    </row>
    <row r="133" spans="1:15">
      <c r="A133" s="1">
        <v>30020012</v>
      </c>
      <c r="B133" s="16">
        <v>300200</v>
      </c>
      <c r="C133" s="16">
        <v>3</v>
      </c>
      <c r="D133" s="16" t="s">
        <v>98</v>
      </c>
      <c r="E133" s="16">
        <v>300200006</v>
      </c>
      <c r="F133" s="16" t="s">
        <v>99</v>
      </c>
      <c r="G133" s="17" t="s">
        <v>110</v>
      </c>
      <c r="H133" s="17">
        <v>12</v>
      </c>
      <c r="I133" s="24">
        <v>0</v>
      </c>
      <c r="J133" s="17">
        <v>-1</v>
      </c>
      <c r="K133" s="17">
        <v>0</v>
      </c>
      <c r="L133" s="3" t="s">
        <v>111</v>
      </c>
      <c r="M133" s="17">
        <v>0</v>
      </c>
      <c r="N133" s="21">
        <v>100000</v>
      </c>
      <c r="O133" s="26">
        <v>1980000</v>
      </c>
    </row>
    <row r="134" spans="1:15">
      <c r="A134" s="1">
        <f>B134*100+H134</f>
        <v>10010010</v>
      </c>
      <c r="B134" s="16">
        <v>100100</v>
      </c>
      <c r="C134" s="16">
        <v>1</v>
      </c>
      <c r="D134" s="16" t="s">
        <v>30</v>
      </c>
      <c r="E134" s="16">
        <v>100100026</v>
      </c>
      <c r="F134" s="16" t="s">
        <v>31</v>
      </c>
      <c r="G134" s="17" t="s">
        <v>107</v>
      </c>
      <c r="H134" s="17">
        <v>10</v>
      </c>
      <c r="I134" s="24">
        <v>0</v>
      </c>
      <c r="J134" s="17">
        <v>-1</v>
      </c>
      <c r="K134" s="17">
        <v>0</v>
      </c>
      <c r="L134" s="25" t="s">
        <v>108</v>
      </c>
      <c r="M134" s="17">
        <v>0</v>
      </c>
      <c r="N134">
        <v>1000</v>
      </c>
      <c r="O134" s="26">
        <v>1980000</v>
      </c>
    </row>
    <row r="135" spans="1:15">
      <c r="A135" s="1">
        <f>B135*100+H135</f>
        <v>10010011</v>
      </c>
      <c r="B135" s="16">
        <v>100100</v>
      </c>
      <c r="C135" s="16">
        <v>1</v>
      </c>
      <c r="D135" s="16" t="str">
        <f t="shared" ref="D135:D139" si="1">D134</f>
        <v>金礦大亨</v>
      </c>
      <c r="E135" s="16">
        <v>100100026</v>
      </c>
      <c r="F135" s="16" t="s">
        <v>31</v>
      </c>
      <c r="G135" s="17" t="s">
        <v>109</v>
      </c>
      <c r="H135" s="17">
        <v>11</v>
      </c>
      <c r="I135" s="24">
        <v>0</v>
      </c>
      <c r="J135" s="17">
        <v>-1</v>
      </c>
      <c r="K135" s="17">
        <v>0</v>
      </c>
      <c r="L135" s="25" t="s">
        <v>108</v>
      </c>
      <c r="M135" s="17">
        <v>0</v>
      </c>
      <c r="N135">
        <v>10000</v>
      </c>
      <c r="O135" s="26">
        <v>1980000</v>
      </c>
    </row>
    <row r="136" spans="1:15">
      <c r="A136" s="1">
        <f>B136*100+H136</f>
        <v>10010012</v>
      </c>
      <c r="B136" s="16">
        <v>100100</v>
      </c>
      <c r="C136" s="16">
        <v>1</v>
      </c>
      <c r="D136" s="16" t="str">
        <f t="shared" si="1"/>
        <v>金礦大亨</v>
      </c>
      <c r="E136" s="16">
        <v>100100026</v>
      </c>
      <c r="F136" s="16" t="s">
        <v>31</v>
      </c>
      <c r="G136" s="17" t="s">
        <v>110</v>
      </c>
      <c r="H136" s="17">
        <v>12</v>
      </c>
      <c r="I136" s="24">
        <v>0</v>
      </c>
      <c r="J136" s="17">
        <v>-1</v>
      </c>
      <c r="K136" s="17">
        <v>0</v>
      </c>
      <c r="L136" s="25" t="s">
        <v>108</v>
      </c>
      <c r="M136" s="17">
        <v>0</v>
      </c>
      <c r="N136">
        <v>100000</v>
      </c>
      <c r="O136" s="26">
        <v>1980000</v>
      </c>
    </row>
    <row r="137" spans="1:15">
      <c r="A137" s="1">
        <f t="shared" ref="A137:A178" si="2">B137*100+H137</f>
        <v>10030010</v>
      </c>
      <c r="B137" s="16">
        <v>100300</v>
      </c>
      <c r="C137" s="16">
        <v>1</v>
      </c>
      <c r="D137" s="16" t="s">
        <v>37</v>
      </c>
      <c r="E137" s="16">
        <v>100300001</v>
      </c>
      <c r="F137" s="16" t="s">
        <v>38</v>
      </c>
      <c r="G137" s="17" t="s">
        <v>107</v>
      </c>
      <c r="H137" s="17">
        <v>10</v>
      </c>
      <c r="I137" s="24">
        <v>0</v>
      </c>
      <c r="J137" s="17">
        <v>-1</v>
      </c>
      <c r="K137" s="17">
        <v>0</v>
      </c>
      <c r="L137" s="25" t="s">
        <v>108</v>
      </c>
      <c r="M137" s="17">
        <v>0</v>
      </c>
      <c r="N137">
        <v>1000</v>
      </c>
      <c r="O137" s="26">
        <v>1980000</v>
      </c>
    </row>
    <row r="138" spans="1:15">
      <c r="A138" s="1">
        <f t="shared" si="2"/>
        <v>10030011</v>
      </c>
      <c r="B138" s="16">
        <v>100300</v>
      </c>
      <c r="C138" s="16">
        <v>1</v>
      </c>
      <c r="D138" s="16" t="str">
        <f t="shared" si="1"/>
        <v>超级明星</v>
      </c>
      <c r="E138" s="16">
        <v>100300001</v>
      </c>
      <c r="F138" s="16" t="str">
        <f t="shared" ref="F138:F142" si="3">F137</f>
        <v>SuperStar</v>
      </c>
      <c r="G138" s="17" t="s">
        <v>109</v>
      </c>
      <c r="H138" s="17">
        <v>11</v>
      </c>
      <c r="I138" s="24">
        <v>0</v>
      </c>
      <c r="J138" s="17">
        <v>-1</v>
      </c>
      <c r="K138" s="17">
        <v>0</v>
      </c>
      <c r="L138" s="25" t="s">
        <v>108</v>
      </c>
      <c r="M138" s="17">
        <v>0</v>
      </c>
      <c r="N138">
        <v>10000</v>
      </c>
      <c r="O138" s="26">
        <v>1980000</v>
      </c>
    </row>
    <row r="139" spans="1:15">
      <c r="A139" s="1">
        <f t="shared" si="2"/>
        <v>10030012</v>
      </c>
      <c r="B139" s="16">
        <v>100300</v>
      </c>
      <c r="C139" s="16">
        <v>1</v>
      </c>
      <c r="D139" s="16" t="str">
        <f t="shared" si="1"/>
        <v>超级明星</v>
      </c>
      <c r="E139" s="16">
        <v>100300001</v>
      </c>
      <c r="F139" s="16" t="str">
        <f t="shared" si="3"/>
        <v>SuperStar</v>
      </c>
      <c r="G139" s="17" t="s">
        <v>110</v>
      </c>
      <c r="H139" s="17">
        <v>12</v>
      </c>
      <c r="I139" s="24">
        <v>0</v>
      </c>
      <c r="J139" s="17">
        <v>-1</v>
      </c>
      <c r="K139" s="17">
        <v>0</v>
      </c>
      <c r="L139" s="25" t="s">
        <v>108</v>
      </c>
      <c r="M139" s="17">
        <v>0</v>
      </c>
      <c r="N139">
        <v>100000</v>
      </c>
      <c r="O139" s="26">
        <v>1980000</v>
      </c>
    </row>
    <row r="140" spans="1:15">
      <c r="A140" s="1">
        <f t="shared" si="2"/>
        <v>10070010</v>
      </c>
      <c r="B140" s="16">
        <v>100700</v>
      </c>
      <c r="C140" s="16">
        <v>1</v>
      </c>
      <c r="D140" s="16" t="s">
        <v>39</v>
      </c>
      <c r="E140" s="16">
        <v>100700001</v>
      </c>
      <c r="F140" s="16" t="s">
        <v>40</v>
      </c>
      <c r="G140" s="17" t="s">
        <v>107</v>
      </c>
      <c r="H140" s="17">
        <v>10</v>
      </c>
      <c r="I140" s="24">
        <v>0</v>
      </c>
      <c r="J140" s="17">
        <v>-1</v>
      </c>
      <c r="K140" s="17">
        <v>0</v>
      </c>
      <c r="L140" s="25" t="s">
        <v>108</v>
      </c>
      <c r="M140" s="17">
        <v>0</v>
      </c>
      <c r="N140">
        <v>1000</v>
      </c>
      <c r="O140" s="26">
        <v>1980000</v>
      </c>
    </row>
    <row r="141" spans="1:15">
      <c r="A141" s="1">
        <f t="shared" si="2"/>
        <v>10070011</v>
      </c>
      <c r="B141" s="16">
        <v>100700</v>
      </c>
      <c r="C141" s="16">
        <v>1</v>
      </c>
      <c r="D141" s="16" t="str">
        <f t="shared" ref="D141:D145" si="4">D140</f>
        <v>麻将胡了</v>
      </c>
      <c r="E141" s="16">
        <v>100700001</v>
      </c>
      <c r="F141" s="16" t="str">
        <f t="shared" si="3"/>
        <v>MahjongWays</v>
      </c>
      <c r="G141" s="17" t="s">
        <v>109</v>
      </c>
      <c r="H141" s="17">
        <v>11</v>
      </c>
      <c r="I141" s="24">
        <v>0</v>
      </c>
      <c r="J141" s="17">
        <v>-1</v>
      </c>
      <c r="K141" s="17">
        <v>0</v>
      </c>
      <c r="L141" s="25" t="s">
        <v>108</v>
      </c>
      <c r="M141" s="17">
        <v>0</v>
      </c>
      <c r="N141">
        <v>10000</v>
      </c>
      <c r="O141" s="26">
        <v>1980000</v>
      </c>
    </row>
    <row r="142" spans="1:15">
      <c r="A142" s="1">
        <f t="shared" si="2"/>
        <v>10070012</v>
      </c>
      <c r="B142" s="16">
        <v>100700</v>
      </c>
      <c r="C142" s="16">
        <v>1</v>
      </c>
      <c r="D142" s="16" t="str">
        <f t="shared" si="4"/>
        <v>麻将胡了</v>
      </c>
      <c r="E142" s="16">
        <v>100700001</v>
      </c>
      <c r="F142" s="16" t="str">
        <f t="shared" si="3"/>
        <v>MahjongWays</v>
      </c>
      <c r="G142" s="17" t="s">
        <v>110</v>
      </c>
      <c r="H142" s="17">
        <v>12</v>
      </c>
      <c r="I142" s="24">
        <v>0</v>
      </c>
      <c r="J142" s="17">
        <v>-1</v>
      </c>
      <c r="K142" s="17">
        <v>0</v>
      </c>
      <c r="L142" s="25" t="s">
        <v>108</v>
      </c>
      <c r="M142" s="17">
        <v>0</v>
      </c>
      <c r="N142">
        <v>100000</v>
      </c>
      <c r="O142" s="26">
        <v>1980000</v>
      </c>
    </row>
    <row r="143" spans="1:15">
      <c r="A143" s="1">
        <f t="shared" si="2"/>
        <v>10120010</v>
      </c>
      <c r="B143" s="16">
        <v>101200</v>
      </c>
      <c r="C143" s="16">
        <v>1</v>
      </c>
      <c r="D143" s="16" t="s">
        <v>41</v>
      </c>
      <c r="E143" s="16">
        <v>101200001</v>
      </c>
      <c r="F143" s="16" t="s">
        <v>42</v>
      </c>
      <c r="G143" s="17" t="s">
        <v>107</v>
      </c>
      <c r="H143" s="17">
        <v>10</v>
      </c>
      <c r="I143" s="24">
        <v>0</v>
      </c>
      <c r="J143" s="17">
        <v>-1</v>
      </c>
      <c r="K143" s="17">
        <v>0</v>
      </c>
      <c r="L143" s="25" t="s">
        <v>108</v>
      </c>
      <c r="M143" s="17">
        <v>0</v>
      </c>
      <c r="N143">
        <v>1000</v>
      </c>
      <c r="O143" s="26">
        <v>1980000</v>
      </c>
    </row>
    <row r="144" spans="1:15">
      <c r="A144" s="1">
        <f t="shared" si="2"/>
        <v>10120011</v>
      </c>
      <c r="B144" s="16">
        <v>101200</v>
      </c>
      <c r="C144" s="16">
        <v>1</v>
      </c>
      <c r="D144" s="16" t="str">
        <f t="shared" si="4"/>
        <v>财神</v>
      </c>
      <c r="E144" s="16">
        <v>101200001</v>
      </c>
      <c r="F144" s="16" t="str">
        <f t="shared" ref="F144:F148" si="5">F143</f>
        <v>Godofwealth</v>
      </c>
      <c r="G144" s="17" t="s">
        <v>109</v>
      </c>
      <c r="H144" s="17">
        <v>11</v>
      </c>
      <c r="I144" s="24">
        <v>0</v>
      </c>
      <c r="J144" s="17">
        <v>-1</v>
      </c>
      <c r="K144" s="17">
        <v>0</v>
      </c>
      <c r="L144" s="25" t="s">
        <v>108</v>
      </c>
      <c r="M144" s="17">
        <v>0</v>
      </c>
      <c r="N144">
        <v>10000</v>
      </c>
      <c r="O144" s="26">
        <v>1980000</v>
      </c>
    </row>
    <row r="145" spans="1:15">
      <c r="A145" s="1">
        <f t="shared" si="2"/>
        <v>10120012</v>
      </c>
      <c r="B145" s="16">
        <v>101200</v>
      </c>
      <c r="C145" s="16">
        <v>1</v>
      </c>
      <c r="D145" s="16" t="str">
        <f t="shared" si="4"/>
        <v>财神</v>
      </c>
      <c r="E145" s="16">
        <v>101200001</v>
      </c>
      <c r="F145" s="16" t="str">
        <f t="shared" si="5"/>
        <v>Godofwealth</v>
      </c>
      <c r="G145" s="17" t="s">
        <v>110</v>
      </c>
      <c r="H145" s="17">
        <v>12</v>
      </c>
      <c r="I145" s="24">
        <v>0</v>
      </c>
      <c r="J145" s="17">
        <v>-1</v>
      </c>
      <c r="K145" s="17">
        <v>0</v>
      </c>
      <c r="L145" s="25" t="s">
        <v>108</v>
      </c>
      <c r="M145" s="17">
        <v>0</v>
      </c>
      <c r="N145">
        <v>100000</v>
      </c>
      <c r="O145" s="26">
        <v>1980000</v>
      </c>
    </row>
    <row r="146" spans="1:15">
      <c r="A146" s="1">
        <f t="shared" si="2"/>
        <v>10140010</v>
      </c>
      <c r="B146" s="16">
        <v>101400</v>
      </c>
      <c r="C146" s="16">
        <v>1</v>
      </c>
      <c r="D146" s="16" t="s">
        <v>43</v>
      </c>
      <c r="E146" s="16">
        <v>101400001</v>
      </c>
      <c r="F146" s="16" t="s">
        <v>44</v>
      </c>
      <c r="G146" s="17" t="s">
        <v>107</v>
      </c>
      <c r="H146" s="17">
        <v>10</v>
      </c>
      <c r="I146" s="24">
        <v>0</v>
      </c>
      <c r="J146" s="17">
        <v>-1</v>
      </c>
      <c r="K146" s="17">
        <v>0</v>
      </c>
      <c r="L146" s="25" t="s">
        <v>108</v>
      </c>
      <c r="M146" s="17">
        <v>0</v>
      </c>
      <c r="N146">
        <v>1000</v>
      </c>
      <c r="O146" s="26">
        <v>1980000</v>
      </c>
    </row>
    <row r="147" spans="1:15">
      <c r="A147" s="1">
        <f t="shared" si="2"/>
        <v>10140011</v>
      </c>
      <c r="B147" s="16">
        <v>101400</v>
      </c>
      <c r="C147" s="16">
        <v>1</v>
      </c>
      <c r="D147" s="16" t="str">
        <f t="shared" ref="D147:D151" si="6">D146</f>
        <v>埃及艳后</v>
      </c>
      <c r="E147" s="16">
        <v>101400001</v>
      </c>
      <c r="F147" s="16" t="str">
        <f t="shared" si="5"/>
        <v>Cleopatra</v>
      </c>
      <c r="G147" s="17" t="s">
        <v>109</v>
      </c>
      <c r="H147" s="17">
        <v>11</v>
      </c>
      <c r="I147" s="24">
        <v>0</v>
      </c>
      <c r="J147" s="17">
        <v>-1</v>
      </c>
      <c r="K147" s="17">
        <v>0</v>
      </c>
      <c r="L147" s="25" t="s">
        <v>108</v>
      </c>
      <c r="M147" s="17">
        <v>0</v>
      </c>
      <c r="N147">
        <v>10000</v>
      </c>
      <c r="O147" s="26">
        <v>1980000</v>
      </c>
    </row>
    <row r="148" spans="1:15">
      <c r="A148" s="1">
        <f t="shared" si="2"/>
        <v>10140012</v>
      </c>
      <c r="B148" s="16">
        <v>101400</v>
      </c>
      <c r="C148" s="16">
        <v>1</v>
      </c>
      <c r="D148" s="16" t="str">
        <f t="shared" si="6"/>
        <v>埃及艳后</v>
      </c>
      <c r="E148" s="16">
        <v>101400001</v>
      </c>
      <c r="F148" s="16" t="str">
        <f t="shared" si="5"/>
        <v>Cleopatra</v>
      </c>
      <c r="G148" s="17" t="s">
        <v>110</v>
      </c>
      <c r="H148" s="17">
        <v>12</v>
      </c>
      <c r="I148" s="24">
        <v>0</v>
      </c>
      <c r="J148" s="17">
        <v>-1</v>
      </c>
      <c r="K148" s="17">
        <v>0</v>
      </c>
      <c r="L148" s="25" t="s">
        <v>108</v>
      </c>
      <c r="M148" s="17">
        <v>0</v>
      </c>
      <c r="N148">
        <v>100000</v>
      </c>
      <c r="O148" s="26">
        <v>1980000</v>
      </c>
    </row>
    <row r="149" spans="1:15">
      <c r="A149" s="1">
        <f t="shared" si="2"/>
        <v>10240010</v>
      </c>
      <c r="B149" s="16">
        <v>102400</v>
      </c>
      <c r="C149" s="16">
        <v>1</v>
      </c>
      <c r="D149" s="16" t="s">
        <v>45</v>
      </c>
      <c r="E149" s="16">
        <v>102400026</v>
      </c>
      <c r="F149" s="16" t="s">
        <v>46</v>
      </c>
      <c r="G149" s="17" t="s">
        <v>107</v>
      </c>
      <c r="H149" s="17">
        <v>10</v>
      </c>
      <c r="I149" s="24">
        <v>0</v>
      </c>
      <c r="J149" s="17">
        <v>-1</v>
      </c>
      <c r="K149" s="17">
        <v>0</v>
      </c>
      <c r="L149" s="25" t="s">
        <v>108</v>
      </c>
      <c r="M149" s="17">
        <v>0</v>
      </c>
      <c r="N149">
        <v>1000</v>
      </c>
      <c r="O149" s="26">
        <v>1980000</v>
      </c>
    </row>
    <row r="150" spans="1:15">
      <c r="A150" s="1">
        <f t="shared" si="2"/>
        <v>10240011</v>
      </c>
      <c r="B150" s="16">
        <v>102400</v>
      </c>
      <c r="C150" s="16">
        <v>1</v>
      </c>
      <c r="D150" s="16" t="str">
        <f t="shared" si="6"/>
        <v>财富银行</v>
      </c>
      <c r="E150" s="16">
        <v>102400026</v>
      </c>
      <c r="F150" s="16" t="s">
        <v>46</v>
      </c>
      <c r="G150" s="17" t="s">
        <v>109</v>
      </c>
      <c r="H150" s="17">
        <v>11</v>
      </c>
      <c r="I150" s="24">
        <v>0</v>
      </c>
      <c r="J150" s="17">
        <v>-1</v>
      </c>
      <c r="K150" s="17">
        <v>0</v>
      </c>
      <c r="L150" s="25" t="s">
        <v>108</v>
      </c>
      <c r="M150" s="17">
        <v>0</v>
      </c>
      <c r="N150">
        <v>10000</v>
      </c>
      <c r="O150" s="26">
        <v>1980000</v>
      </c>
    </row>
    <row r="151" spans="1:15">
      <c r="A151" s="1">
        <f t="shared" si="2"/>
        <v>10240012</v>
      </c>
      <c r="B151" s="16">
        <v>102400</v>
      </c>
      <c r="C151" s="16">
        <v>1</v>
      </c>
      <c r="D151" s="16" t="str">
        <f t="shared" si="6"/>
        <v>财富银行</v>
      </c>
      <c r="E151" s="16">
        <v>102400026</v>
      </c>
      <c r="F151" s="16" t="s">
        <v>46</v>
      </c>
      <c r="G151" s="17" t="s">
        <v>110</v>
      </c>
      <c r="H151" s="17">
        <v>12</v>
      </c>
      <c r="I151" s="24">
        <v>0</v>
      </c>
      <c r="J151" s="17">
        <v>-1</v>
      </c>
      <c r="K151" s="17">
        <v>0</v>
      </c>
      <c r="L151" s="25" t="s">
        <v>108</v>
      </c>
      <c r="M151" s="17">
        <v>0</v>
      </c>
      <c r="N151">
        <v>100000</v>
      </c>
      <c r="O151" s="26">
        <v>1980000</v>
      </c>
    </row>
    <row r="152" spans="1:15">
      <c r="A152" s="1">
        <f t="shared" si="2"/>
        <v>10220010</v>
      </c>
      <c r="B152" s="16">
        <v>102200</v>
      </c>
      <c r="C152" s="16">
        <v>1</v>
      </c>
      <c r="D152" s="16" t="s">
        <v>47</v>
      </c>
      <c r="E152" s="16">
        <v>102200001</v>
      </c>
      <c r="F152" s="16" t="s">
        <v>48</v>
      </c>
      <c r="G152" s="17" t="s">
        <v>107</v>
      </c>
      <c r="H152" s="17">
        <v>10</v>
      </c>
      <c r="I152" s="24">
        <v>0</v>
      </c>
      <c r="J152" s="17">
        <v>-1</v>
      </c>
      <c r="K152" s="17">
        <v>0</v>
      </c>
      <c r="L152" s="25" t="s">
        <v>108</v>
      </c>
      <c r="M152" s="17">
        <v>0</v>
      </c>
      <c r="N152">
        <v>1000</v>
      </c>
      <c r="O152" s="26">
        <v>1980000</v>
      </c>
    </row>
    <row r="153" spans="1:15">
      <c r="A153" s="1">
        <f t="shared" si="2"/>
        <v>10220011</v>
      </c>
      <c r="B153" s="16">
        <v>102200</v>
      </c>
      <c r="C153" s="16">
        <v>1</v>
      </c>
      <c r="D153" s="16" t="s">
        <v>47</v>
      </c>
      <c r="E153" s="16">
        <v>102200001</v>
      </c>
      <c r="F153" s="16" t="s">
        <v>48</v>
      </c>
      <c r="G153" s="17" t="s">
        <v>109</v>
      </c>
      <c r="H153" s="17">
        <v>11</v>
      </c>
      <c r="I153" s="24">
        <v>0</v>
      </c>
      <c r="J153" s="17">
        <v>-1</v>
      </c>
      <c r="K153" s="17">
        <v>0</v>
      </c>
      <c r="L153" s="25" t="s">
        <v>108</v>
      </c>
      <c r="M153" s="17">
        <v>0</v>
      </c>
      <c r="N153">
        <v>10000</v>
      </c>
      <c r="O153" s="26">
        <v>1980000</v>
      </c>
    </row>
    <row r="154" spans="1:15">
      <c r="A154" s="1">
        <f t="shared" si="2"/>
        <v>10220012</v>
      </c>
      <c r="B154" s="16">
        <v>102200</v>
      </c>
      <c r="C154" s="16">
        <v>1</v>
      </c>
      <c r="D154" s="16" t="s">
        <v>47</v>
      </c>
      <c r="E154" s="16">
        <v>102200001</v>
      </c>
      <c r="F154" s="16" t="s">
        <v>48</v>
      </c>
      <c r="G154" s="17" t="s">
        <v>110</v>
      </c>
      <c r="H154" s="17">
        <v>12</v>
      </c>
      <c r="I154" s="24">
        <v>0</v>
      </c>
      <c r="J154" s="17">
        <v>-1</v>
      </c>
      <c r="K154" s="17">
        <v>0</v>
      </c>
      <c r="L154" s="25" t="s">
        <v>108</v>
      </c>
      <c r="M154" s="17">
        <v>0</v>
      </c>
      <c r="N154">
        <v>100000</v>
      </c>
      <c r="O154" s="26">
        <v>1980000</v>
      </c>
    </row>
    <row r="155" spans="1:15">
      <c r="A155" s="1">
        <f t="shared" si="2"/>
        <v>10170010</v>
      </c>
      <c r="B155" s="16">
        <v>101700</v>
      </c>
      <c r="C155" s="16">
        <v>1</v>
      </c>
      <c r="D155" s="16" t="s">
        <v>49</v>
      </c>
      <c r="E155" s="16">
        <v>101700001</v>
      </c>
      <c r="F155" s="16" t="s">
        <v>50</v>
      </c>
      <c r="G155" s="17" t="s">
        <v>107</v>
      </c>
      <c r="H155" s="17">
        <v>10</v>
      </c>
      <c r="I155" s="24">
        <v>0</v>
      </c>
      <c r="J155" s="17">
        <v>-1</v>
      </c>
      <c r="K155" s="17">
        <v>0</v>
      </c>
      <c r="L155" s="25" t="s">
        <v>108</v>
      </c>
      <c r="M155" s="17">
        <v>0</v>
      </c>
      <c r="N155">
        <v>1000</v>
      </c>
      <c r="O155" s="26">
        <v>1980000</v>
      </c>
    </row>
    <row r="156" spans="1:15">
      <c r="A156" s="1">
        <f t="shared" si="2"/>
        <v>10170011</v>
      </c>
      <c r="B156" s="16">
        <v>101700</v>
      </c>
      <c r="C156" s="16">
        <v>1</v>
      </c>
      <c r="D156" s="16" t="s">
        <v>49</v>
      </c>
      <c r="E156" s="16">
        <v>101700001</v>
      </c>
      <c r="F156" s="16" t="s">
        <v>50</v>
      </c>
      <c r="G156" s="17" t="s">
        <v>109</v>
      </c>
      <c r="H156" s="17">
        <v>11</v>
      </c>
      <c r="I156" s="24">
        <v>0</v>
      </c>
      <c r="J156" s="17">
        <v>-1</v>
      </c>
      <c r="K156" s="17">
        <v>0</v>
      </c>
      <c r="L156" s="25" t="s">
        <v>108</v>
      </c>
      <c r="M156" s="17">
        <v>0</v>
      </c>
      <c r="N156">
        <v>10000</v>
      </c>
      <c r="O156" s="26">
        <v>1980000</v>
      </c>
    </row>
    <row r="157" spans="1:15">
      <c r="A157" s="1">
        <f t="shared" si="2"/>
        <v>10170012</v>
      </c>
      <c r="B157" s="16">
        <v>101700</v>
      </c>
      <c r="C157" s="16">
        <v>1</v>
      </c>
      <c r="D157" s="16" t="s">
        <v>49</v>
      </c>
      <c r="E157" s="16">
        <v>101700001</v>
      </c>
      <c r="F157" s="16" t="s">
        <v>50</v>
      </c>
      <c r="G157" s="17" t="s">
        <v>110</v>
      </c>
      <c r="H157" s="17">
        <v>12</v>
      </c>
      <c r="I157" s="24">
        <v>0</v>
      </c>
      <c r="J157" s="17">
        <v>-1</v>
      </c>
      <c r="K157" s="17">
        <v>0</v>
      </c>
      <c r="L157" s="25" t="s">
        <v>108</v>
      </c>
      <c r="M157" s="17">
        <v>0</v>
      </c>
      <c r="N157">
        <v>100000</v>
      </c>
      <c r="O157" s="26">
        <v>1980000</v>
      </c>
    </row>
    <row r="158" spans="1:15">
      <c r="A158" s="1">
        <f t="shared" si="2"/>
        <v>10210010</v>
      </c>
      <c r="B158" s="16">
        <v>102100</v>
      </c>
      <c r="C158" s="16">
        <v>1</v>
      </c>
      <c r="D158" s="16" t="s">
        <v>51</v>
      </c>
      <c r="E158" s="16">
        <v>102100001</v>
      </c>
      <c r="F158" s="16" t="s">
        <v>52</v>
      </c>
      <c r="G158" s="17" t="s">
        <v>107</v>
      </c>
      <c r="H158" s="17">
        <v>10</v>
      </c>
      <c r="I158" s="24">
        <v>0</v>
      </c>
      <c r="J158" s="17">
        <v>-1</v>
      </c>
      <c r="K158" s="17">
        <v>0</v>
      </c>
      <c r="L158" s="25" t="s">
        <v>108</v>
      </c>
      <c r="M158" s="17">
        <v>0</v>
      </c>
      <c r="N158">
        <v>1000</v>
      </c>
      <c r="O158" s="26">
        <v>1980000</v>
      </c>
    </row>
    <row r="159" spans="1:15">
      <c r="A159" s="1">
        <f t="shared" si="2"/>
        <v>10210011</v>
      </c>
      <c r="B159" s="16">
        <v>102100</v>
      </c>
      <c r="C159" s="16">
        <v>1</v>
      </c>
      <c r="D159" s="16" t="s">
        <v>51</v>
      </c>
      <c r="E159" s="16">
        <v>102100001</v>
      </c>
      <c r="F159" s="16" t="s">
        <v>52</v>
      </c>
      <c r="G159" s="17" t="s">
        <v>109</v>
      </c>
      <c r="H159" s="17">
        <v>11</v>
      </c>
      <c r="I159" s="24">
        <v>0</v>
      </c>
      <c r="J159" s="17">
        <v>-1</v>
      </c>
      <c r="K159" s="17">
        <v>0</v>
      </c>
      <c r="L159" s="25" t="s">
        <v>108</v>
      </c>
      <c r="M159" s="17">
        <v>0</v>
      </c>
      <c r="N159">
        <v>10000</v>
      </c>
      <c r="O159" s="26">
        <v>1980000</v>
      </c>
    </row>
    <row r="160" spans="1:15">
      <c r="A160" s="1">
        <f t="shared" si="2"/>
        <v>10210012</v>
      </c>
      <c r="B160" s="16">
        <v>102100</v>
      </c>
      <c r="C160" s="16">
        <v>1</v>
      </c>
      <c r="D160" s="16" t="s">
        <v>51</v>
      </c>
      <c r="E160" s="16">
        <v>102100001</v>
      </c>
      <c r="F160" s="16" t="s">
        <v>52</v>
      </c>
      <c r="G160" s="17" t="s">
        <v>110</v>
      </c>
      <c r="H160" s="17">
        <v>12</v>
      </c>
      <c r="I160" s="24">
        <v>0</v>
      </c>
      <c r="J160" s="17">
        <v>-1</v>
      </c>
      <c r="K160" s="17">
        <v>0</v>
      </c>
      <c r="L160" s="25" t="s">
        <v>108</v>
      </c>
      <c r="M160" s="17">
        <v>0</v>
      </c>
      <c r="N160">
        <v>100000</v>
      </c>
      <c r="O160" s="26">
        <v>1980000</v>
      </c>
    </row>
    <row r="161" spans="1:15">
      <c r="A161" s="1">
        <f t="shared" si="2"/>
        <v>10180010</v>
      </c>
      <c r="B161" s="16">
        <v>101800</v>
      </c>
      <c r="C161" s="16">
        <v>1</v>
      </c>
      <c r="D161" s="16" t="s">
        <v>53</v>
      </c>
      <c r="E161" s="16">
        <v>101800001</v>
      </c>
      <c r="F161" s="16" t="s">
        <v>54</v>
      </c>
      <c r="G161" s="17" t="s">
        <v>107</v>
      </c>
      <c r="H161" s="17">
        <v>10</v>
      </c>
      <c r="I161" s="24">
        <v>0</v>
      </c>
      <c r="J161" s="17">
        <v>-1</v>
      </c>
      <c r="K161" s="17">
        <v>0</v>
      </c>
      <c r="L161" s="25" t="s">
        <v>108</v>
      </c>
      <c r="M161" s="17">
        <v>0</v>
      </c>
      <c r="N161">
        <v>1000</v>
      </c>
      <c r="O161" s="26">
        <v>1980000</v>
      </c>
    </row>
    <row r="162" spans="1:15">
      <c r="A162" s="1">
        <f t="shared" si="2"/>
        <v>10180011</v>
      </c>
      <c r="B162" s="16">
        <v>101800</v>
      </c>
      <c r="C162" s="16">
        <v>1</v>
      </c>
      <c r="D162" s="16" t="s">
        <v>53</v>
      </c>
      <c r="E162" s="16">
        <v>101800001</v>
      </c>
      <c r="F162" s="16" t="s">
        <v>54</v>
      </c>
      <c r="G162" s="17" t="s">
        <v>109</v>
      </c>
      <c r="H162" s="17">
        <v>11</v>
      </c>
      <c r="I162" s="24">
        <v>0</v>
      </c>
      <c r="J162" s="17">
        <v>-1</v>
      </c>
      <c r="K162" s="17">
        <v>0</v>
      </c>
      <c r="L162" s="25" t="s">
        <v>108</v>
      </c>
      <c r="M162" s="17">
        <v>0</v>
      </c>
      <c r="N162">
        <v>10000</v>
      </c>
      <c r="O162" s="26">
        <v>1980000</v>
      </c>
    </row>
    <row r="163" spans="1:15">
      <c r="A163" s="1">
        <f t="shared" si="2"/>
        <v>10180012</v>
      </c>
      <c r="B163" s="16">
        <v>101800</v>
      </c>
      <c r="C163" s="16">
        <v>1</v>
      </c>
      <c r="D163" s="16" t="s">
        <v>53</v>
      </c>
      <c r="E163" s="16">
        <v>101800001</v>
      </c>
      <c r="F163" s="16" t="s">
        <v>54</v>
      </c>
      <c r="G163" s="17" t="s">
        <v>110</v>
      </c>
      <c r="H163" s="17">
        <v>12</v>
      </c>
      <c r="I163" s="24">
        <v>0</v>
      </c>
      <c r="J163" s="17">
        <v>-1</v>
      </c>
      <c r="K163" s="17">
        <v>0</v>
      </c>
      <c r="L163" s="25" t="s">
        <v>108</v>
      </c>
      <c r="M163" s="17">
        <v>0</v>
      </c>
      <c r="N163">
        <v>100000</v>
      </c>
      <c r="O163" s="26">
        <v>1980000</v>
      </c>
    </row>
    <row r="164" spans="1:15">
      <c r="A164" s="1">
        <f t="shared" si="2"/>
        <v>10250010</v>
      </c>
      <c r="B164" s="16">
        <v>102500</v>
      </c>
      <c r="C164" s="16">
        <v>1</v>
      </c>
      <c r="D164" s="16" t="s">
        <v>55</v>
      </c>
      <c r="E164" s="16">
        <v>102500001</v>
      </c>
      <c r="F164" s="16" t="s">
        <v>56</v>
      </c>
      <c r="G164" s="17" t="s">
        <v>107</v>
      </c>
      <c r="H164" s="17">
        <v>10</v>
      </c>
      <c r="I164" s="24">
        <v>0</v>
      </c>
      <c r="J164" s="17">
        <v>-1</v>
      </c>
      <c r="K164" s="17">
        <v>0</v>
      </c>
      <c r="L164" s="25" t="s">
        <v>108</v>
      </c>
      <c r="M164" s="17">
        <v>0</v>
      </c>
      <c r="N164">
        <v>1000</v>
      </c>
      <c r="O164" s="26">
        <v>1980000</v>
      </c>
    </row>
    <row r="165" spans="1:15">
      <c r="A165" s="1">
        <f t="shared" si="2"/>
        <v>10250011</v>
      </c>
      <c r="B165" s="16">
        <v>102500</v>
      </c>
      <c r="C165" s="16">
        <v>1</v>
      </c>
      <c r="D165" s="16" t="s">
        <v>55</v>
      </c>
      <c r="E165" s="16">
        <v>102500001</v>
      </c>
      <c r="F165" s="16" t="s">
        <v>56</v>
      </c>
      <c r="G165" s="17" t="s">
        <v>109</v>
      </c>
      <c r="H165" s="17">
        <v>11</v>
      </c>
      <c r="I165" s="24">
        <v>0</v>
      </c>
      <c r="J165" s="17">
        <v>-1</v>
      </c>
      <c r="K165" s="17">
        <v>0</v>
      </c>
      <c r="L165" s="25" t="s">
        <v>108</v>
      </c>
      <c r="M165" s="17">
        <v>0</v>
      </c>
      <c r="N165">
        <v>10000</v>
      </c>
      <c r="O165" s="26">
        <v>1980000</v>
      </c>
    </row>
    <row r="166" spans="1:15">
      <c r="A166" s="1">
        <f t="shared" si="2"/>
        <v>10250012</v>
      </c>
      <c r="B166" s="16">
        <v>102500</v>
      </c>
      <c r="C166" s="16">
        <v>1</v>
      </c>
      <c r="D166" s="16" t="s">
        <v>55</v>
      </c>
      <c r="E166" s="16">
        <v>102500001</v>
      </c>
      <c r="F166" s="16" t="s">
        <v>56</v>
      </c>
      <c r="G166" s="17" t="s">
        <v>110</v>
      </c>
      <c r="H166" s="17">
        <v>12</v>
      </c>
      <c r="I166" s="24">
        <v>0</v>
      </c>
      <c r="J166" s="17">
        <v>-1</v>
      </c>
      <c r="K166" s="17">
        <v>0</v>
      </c>
      <c r="L166" s="25" t="s">
        <v>108</v>
      </c>
      <c r="M166" s="17">
        <v>0</v>
      </c>
      <c r="N166">
        <v>100000</v>
      </c>
      <c r="O166" s="26">
        <v>1980000</v>
      </c>
    </row>
    <row r="167" spans="1:15">
      <c r="A167" s="1">
        <f t="shared" si="2"/>
        <v>10230010</v>
      </c>
      <c r="B167" s="16">
        <v>102300</v>
      </c>
      <c r="C167" s="16">
        <v>1</v>
      </c>
      <c r="D167" s="16" t="s">
        <v>57</v>
      </c>
      <c r="E167" s="16">
        <v>102300001</v>
      </c>
      <c r="F167" s="16" t="s">
        <v>58</v>
      </c>
      <c r="G167" s="17" t="s">
        <v>107</v>
      </c>
      <c r="H167" s="17">
        <v>10</v>
      </c>
      <c r="I167" s="24">
        <v>0</v>
      </c>
      <c r="J167" s="17">
        <v>-1</v>
      </c>
      <c r="K167" s="17">
        <v>0</v>
      </c>
      <c r="L167" s="25" t="s">
        <v>108</v>
      </c>
      <c r="M167" s="17">
        <v>0</v>
      </c>
      <c r="N167">
        <v>1000</v>
      </c>
      <c r="O167" s="26">
        <v>1980000</v>
      </c>
    </row>
    <row r="168" spans="1:15">
      <c r="A168" s="1">
        <f t="shared" si="2"/>
        <v>10230011</v>
      </c>
      <c r="B168" s="16">
        <v>102300</v>
      </c>
      <c r="C168" s="16">
        <v>1</v>
      </c>
      <c r="D168" s="16" t="s">
        <v>57</v>
      </c>
      <c r="E168" s="16">
        <v>102300001</v>
      </c>
      <c r="F168" s="16" t="s">
        <v>58</v>
      </c>
      <c r="G168" s="17" t="s">
        <v>109</v>
      </c>
      <c r="H168" s="17">
        <v>11</v>
      </c>
      <c r="I168" s="24">
        <v>0</v>
      </c>
      <c r="J168" s="17">
        <v>-1</v>
      </c>
      <c r="K168" s="17">
        <v>0</v>
      </c>
      <c r="L168" s="25" t="s">
        <v>108</v>
      </c>
      <c r="M168" s="17">
        <v>0</v>
      </c>
      <c r="N168">
        <v>10000</v>
      </c>
      <c r="O168" s="26">
        <v>1980000</v>
      </c>
    </row>
    <row r="169" spans="1:15">
      <c r="A169" s="1">
        <f t="shared" si="2"/>
        <v>10230012</v>
      </c>
      <c r="B169" s="16">
        <v>102300</v>
      </c>
      <c r="C169" s="16">
        <v>1</v>
      </c>
      <c r="D169" s="16" t="s">
        <v>57</v>
      </c>
      <c r="E169" s="16">
        <v>102300001</v>
      </c>
      <c r="F169" s="16" t="s">
        <v>58</v>
      </c>
      <c r="G169" s="17" t="s">
        <v>110</v>
      </c>
      <c r="H169" s="17">
        <v>12</v>
      </c>
      <c r="I169" s="24">
        <v>0</v>
      </c>
      <c r="J169" s="17">
        <v>-1</v>
      </c>
      <c r="K169" s="17">
        <v>0</v>
      </c>
      <c r="L169" s="25" t="s">
        <v>108</v>
      </c>
      <c r="M169" s="17">
        <v>0</v>
      </c>
      <c r="N169">
        <v>100000</v>
      </c>
      <c r="O169" s="26">
        <v>1980000</v>
      </c>
    </row>
    <row r="170" spans="1:15">
      <c r="A170" s="1">
        <f t="shared" si="2"/>
        <v>10340010</v>
      </c>
      <c r="B170" s="4">
        <v>103400</v>
      </c>
      <c r="C170" s="4">
        <v>1</v>
      </c>
      <c r="D170" s="4" t="s">
        <v>59</v>
      </c>
      <c r="E170" s="13">
        <v>103000001</v>
      </c>
      <c r="F170" s="13" t="s">
        <v>60</v>
      </c>
      <c r="G170" s="17" t="s">
        <v>107</v>
      </c>
      <c r="H170" s="1">
        <v>10</v>
      </c>
      <c r="I170" s="2">
        <v>0</v>
      </c>
      <c r="J170" s="17">
        <v>-1</v>
      </c>
      <c r="K170" s="17">
        <v>0</v>
      </c>
      <c r="L170" s="25" t="s">
        <v>108</v>
      </c>
      <c r="M170" s="17">
        <v>0</v>
      </c>
      <c r="N170">
        <v>1000</v>
      </c>
      <c r="O170" s="26">
        <v>1980000</v>
      </c>
    </row>
    <row r="171" spans="1:15">
      <c r="A171" s="1">
        <f t="shared" si="2"/>
        <v>10340011</v>
      </c>
      <c r="B171" s="4">
        <v>103400</v>
      </c>
      <c r="C171" s="4">
        <v>1</v>
      </c>
      <c r="D171" s="4" t="s">
        <v>59</v>
      </c>
      <c r="E171" s="13">
        <v>103000001</v>
      </c>
      <c r="F171" s="13" t="s">
        <v>60</v>
      </c>
      <c r="G171" s="17" t="s">
        <v>109</v>
      </c>
      <c r="H171" s="1">
        <v>11</v>
      </c>
      <c r="I171" s="2">
        <v>0</v>
      </c>
      <c r="J171" s="17">
        <v>-1</v>
      </c>
      <c r="K171" s="17">
        <v>0</v>
      </c>
      <c r="L171" s="25" t="s">
        <v>108</v>
      </c>
      <c r="M171" s="17">
        <v>0</v>
      </c>
      <c r="N171">
        <v>10000</v>
      </c>
      <c r="O171" s="26">
        <v>1980000</v>
      </c>
    </row>
    <row r="172" spans="1:15">
      <c r="A172" s="1">
        <f t="shared" si="2"/>
        <v>10340012</v>
      </c>
      <c r="B172" s="4">
        <v>103400</v>
      </c>
      <c r="C172" s="4">
        <v>1</v>
      </c>
      <c r="D172" s="4" t="s">
        <v>59</v>
      </c>
      <c r="E172" s="13">
        <v>103000001</v>
      </c>
      <c r="F172" s="13" t="s">
        <v>60</v>
      </c>
      <c r="G172" s="17" t="s">
        <v>110</v>
      </c>
      <c r="H172" s="1">
        <v>12</v>
      </c>
      <c r="I172" s="2">
        <v>0</v>
      </c>
      <c r="J172" s="17">
        <v>-1</v>
      </c>
      <c r="K172" s="17">
        <v>0</v>
      </c>
      <c r="L172" s="25" t="s">
        <v>108</v>
      </c>
      <c r="M172" s="17">
        <v>0</v>
      </c>
      <c r="N172">
        <v>100000</v>
      </c>
      <c r="O172" s="26">
        <v>1980000</v>
      </c>
    </row>
    <row r="173" spans="1:15">
      <c r="A173" s="1">
        <f t="shared" si="2"/>
        <v>10350010</v>
      </c>
      <c r="B173" s="4">
        <v>103500</v>
      </c>
      <c r="C173" s="4">
        <v>1</v>
      </c>
      <c r="D173" s="4" t="s">
        <v>61</v>
      </c>
      <c r="E173" s="13">
        <v>102900001</v>
      </c>
      <c r="F173" s="13" t="s">
        <v>62</v>
      </c>
      <c r="G173" s="17" t="s">
        <v>107</v>
      </c>
      <c r="H173" s="1">
        <v>10</v>
      </c>
      <c r="I173" s="2">
        <v>0</v>
      </c>
      <c r="J173" s="17">
        <v>-1</v>
      </c>
      <c r="K173" s="17">
        <v>0</v>
      </c>
      <c r="L173" s="25" t="s">
        <v>108</v>
      </c>
      <c r="M173" s="17">
        <v>0</v>
      </c>
      <c r="N173">
        <v>1000</v>
      </c>
      <c r="O173" s="26">
        <v>1980000</v>
      </c>
    </row>
    <row r="174" spans="1:15">
      <c r="A174" s="1">
        <f t="shared" si="2"/>
        <v>10350011</v>
      </c>
      <c r="B174" s="4">
        <v>103500</v>
      </c>
      <c r="C174" s="4">
        <v>1</v>
      </c>
      <c r="D174" s="4" t="s">
        <v>61</v>
      </c>
      <c r="E174" s="13">
        <v>102900001</v>
      </c>
      <c r="F174" s="13" t="s">
        <v>62</v>
      </c>
      <c r="G174" s="17" t="s">
        <v>109</v>
      </c>
      <c r="H174" s="1">
        <v>11</v>
      </c>
      <c r="I174" s="2">
        <v>0</v>
      </c>
      <c r="J174" s="17">
        <v>-1</v>
      </c>
      <c r="K174" s="17">
        <v>0</v>
      </c>
      <c r="L174" s="25" t="s">
        <v>108</v>
      </c>
      <c r="M174" s="17">
        <v>0</v>
      </c>
      <c r="N174">
        <v>10000</v>
      </c>
      <c r="O174" s="26">
        <v>1980000</v>
      </c>
    </row>
    <row r="175" spans="1:15">
      <c r="A175" s="1">
        <f t="shared" si="2"/>
        <v>10350012</v>
      </c>
      <c r="B175" s="4">
        <v>103500</v>
      </c>
      <c r="C175" s="4">
        <v>1</v>
      </c>
      <c r="D175" s="4" t="s">
        <v>61</v>
      </c>
      <c r="E175" s="13">
        <v>102900001</v>
      </c>
      <c r="F175" s="13" t="s">
        <v>62</v>
      </c>
      <c r="G175" s="17" t="s">
        <v>110</v>
      </c>
      <c r="H175" s="1">
        <v>12</v>
      </c>
      <c r="I175" s="2">
        <v>0</v>
      </c>
      <c r="J175" s="17">
        <v>-1</v>
      </c>
      <c r="K175" s="17">
        <v>0</v>
      </c>
      <c r="L175" s="25" t="s">
        <v>108</v>
      </c>
      <c r="M175" s="17">
        <v>0</v>
      </c>
      <c r="N175">
        <v>100000</v>
      </c>
      <c r="O175" s="26">
        <v>1980000</v>
      </c>
    </row>
    <row r="176" spans="1:15">
      <c r="A176" s="1">
        <f t="shared" si="2"/>
        <v>10350110</v>
      </c>
      <c r="B176" s="4">
        <v>103501</v>
      </c>
      <c r="C176" s="4">
        <v>1</v>
      </c>
      <c r="D176" s="4" t="s">
        <v>63</v>
      </c>
      <c r="E176" s="13">
        <v>103501001</v>
      </c>
      <c r="F176" s="13" t="s">
        <v>64</v>
      </c>
      <c r="G176" s="17" t="s">
        <v>107</v>
      </c>
      <c r="H176" s="1">
        <v>10</v>
      </c>
      <c r="I176" s="2">
        <v>0</v>
      </c>
      <c r="J176" s="17">
        <v>-1</v>
      </c>
      <c r="K176" s="1">
        <v>0</v>
      </c>
      <c r="L176" s="25" t="s">
        <v>108</v>
      </c>
      <c r="M176" s="17">
        <v>0</v>
      </c>
      <c r="N176">
        <v>1000</v>
      </c>
      <c r="O176" s="26">
        <v>1980000</v>
      </c>
    </row>
    <row r="177" spans="1:15">
      <c r="A177" s="1">
        <f t="shared" si="2"/>
        <v>10350111</v>
      </c>
      <c r="B177" s="4">
        <v>103501</v>
      </c>
      <c r="C177" s="4">
        <v>1</v>
      </c>
      <c r="D177" s="4" t="s">
        <v>63</v>
      </c>
      <c r="E177" s="13">
        <v>103501001</v>
      </c>
      <c r="F177" s="13" t="s">
        <v>64</v>
      </c>
      <c r="G177" s="17" t="s">
        <v>109</v>
      </c>
      <c r="H177" s="1">
        <v>11</v>
      </c>
      <c r="I177" s="2">
        <v>0</v>
      </c>
      <c r="J177" s="17">
        <v>-1</v>
      </c>
      <c r="K177" s="1">
        <v>0</v>
      </c>
      <c r="L177" s="25" t="s">
        <v>108</v>
      </c>
      <c r="M177" s="17">
        <v>0</v>
      </c>
      <c r="N177">
        <v>10000</v>
      </c>
      <c r="O177" s="26">
        <v>1980000</v>
      </c>
    </row>
    <row r="178" spans="1:15">
      <c r="A178" s="1">
        <f t="shared" si="2"/>
        <v>10350112</v>
      </c>
      <c r="B178" s="4">
        <v>103501</v>
      </c>
      <c r="C178" s="4">
        <v>1</v>
      </c>
      <c r="D178" s="4" t="s">
        <v>63</v>
      </c>
      <c r="E178" s="13">
        <v>103501001</v>
      </c>
      <c r="F178" s="13" t="s">
        <v>64</v>
      </c>
      <c r="G178" s="17" t="s">
        <v>110</v>
      </c>
      <c r="H178" s="1">
        <v>12</v>
      </c>
      <c r="I178" s="2">
        <v>0</v>
      </c>
      <c r="J178" s="17">
        <v>-1</v>
      </c>
      <c r="K178" s="1">
        <v>0</v>
      </c>
      <c r="L178" s="25" t="s">
        <v>108</v>
      </c>
      <c r="M178" s="17">
        <v>0</v>
      </c>
      <c r="N178">
        <v>100000</v>
      </c>
      <c r="O178" s="26">
        <v>1980000</v>
      </c>
    </row>
    <row r="179" spans="1:15">
      <c r="A179" s="1">
        <v>30040010</v>
      </c>
      <c r="B179" s="4">
        <v>300400</v>
      </c>
      <c r="C179" s="4">
        <v>3</v>
      </c>
      <c r="D179" s="4" t="s">
        <v>101</v>
      </c>
      <c r="E179" s="13">
        <v>300400023</v>
      </c>
      <c r="F179" s="13" t="s">
        <v>102</v>
      </c>
      <c r="G179" s="17" t="s">
        <v>107</v>
      </c>
      <c r="H179" s="1">
        <v>10</v>
      </c>
      <c r="I179" s="23">
        <f t="shared" ref="I179:I181" si="7">N179*52</f>
        <v>5200</v>
      </c>
      <c r="J179" s="1">
        <v>-1</v>
      </c>
      <c r="K179" s="1">
        <v>0</v>
      </c>
      <c r="L179" s="3" t="s">
        <v>112</v>
      </c>
      <c r="M179" s="17">
        <v>0</v>
      </c>
      <c r="N179" s="23">
        <v>100</v>
      </c>
      <c r="O179" s="26">
        <v>1980000</v>
      </c>
    </row>
    <row r="180" spans="1:15">
      <c r="A180" s="1">
        <v>30040011</v>
      </c>
      <c r="B180" s="4">
        <v>300400</v>
      </c>
      <c r="C180" s="4">
        <v>3</v>
      </c>
      <c r="D180" s="4" t="s">
        <v>101</v>
      </c>
      <c r="E180" s="13">
        <v>300400023</v>
      </c>
      <c r="F180" s="13" t="s">
        <v>102</v>
      </c>
      <c r="G180" s="17" t="s">
        <v>109</v>
      </c>
      <c r="H180" s="1">
        <v>11</v>
      </c>
      <c r="I180" s="23">
        <f t="shared" si="7"/>
        <v>52000</v>
      </c>
      <c r="J180" s="1">
        <v>-1</v>
      </c>
      <c r="K180" s="1">
        <v>0</v>
      </c>
      <c r="L180" s="3" t="s">
        <v>112</v>
      </c>
      <c r="M180" s="17">
        <v>0</v>
      </c>
      <c r="N180" s="23">
        <v>1000</v>
      </c>
      <c r="O180" s="26">
        <v>1980000</v>
      </c>
    </row>
    <row r="181" spans="1:15">
      <c r="A181" s="1">
        <v>30040012</v>
      </c>
      <c r="B181" s="4">
        <v>300400</v>
      </c>
      <c r="C181" s="4">
        <v>3</v>
      </c>
      <c r="D181" s="4" t="s">
        <v>101</v>
      </c>
      <c r="E181" s="13">
        <v>300400023</v>
      </c>
      <c r="F181" s="13" t="s">
        <v>102</v>
      </c>
      <c r="G181" s="17" t="s">
        <v>110</v>
      </c>
      <c r="H181" s="1">
        <v>12</v>
      </c>
      <c r="I181" s="23">
        <f t="shared" si="7"/>
        <v>520000</v>
      </c>
      <c r="J181" s="1">
        <v>-1</v>
      </c>
      <c r="K181" s="1">
        <v>0</v>
      </c>
      <c r="L181" s="3" t="s">
        <v>112</v>
      </c>
      <c r="M181" s="17">
        <v>0</v>
      </c>
      <c r="N181" s="23">
        <v>10000</v>
      </c>
      <c r="O181" s="26">
        <v>1980000</v>
      </c>
    </row>
    <row r="182" spans="1:15">
      <c r="A182" s="1">
        <v>10010021</v>
      </c>
      <c r="B182" s="4">
        <v>100100</v>
      </c>
      <c r="C182" s="4">
        <v>1</v>
      </c>
      <c r="D182" s="4" t="s">
        <v>30</v>
      </c>
      <c r="E182" s="13">
        <v>100100026</v>
      </c>
      <c r="F182" s="13" t="s">
        <v>31</v>
      </c>
      <c r="G182" s="27" t="s">
        <v>113</v>
      </c>
      <c r="H182" s="1">
        <v>21</v>
      </c>
      <c r="I182" s="2">
        <v>0</v>
      </c>
      <c r="J182" s="1">
        <v>-1</v>
      </c>
      <c r="K182" s="1">
        <v>0</v>
      </c>
      <c r="L182" s="3" t="s">
        <v>33</v>
      </c>
      <c r="M182" s="28" t="s">
        <v>34</v>
      </c>
      <c r="N182">
        <v>1000</v>
      </c>
      <c r="O182" s="15">
        <v>1990000</v>
      </c>
    </row>
    <row r="183" spans="1:15">
      <c r="A183" s="1">
        <v>10010022</v>
      </c>
      <c r="B183" s="4">
        <v>100100</v>
      </c>
      <c r="C183" s="4">
        <v>1</v>
      </c>
      <c r="D183" s="4" t="s">
        <v>30</v>
      </c>
      <c r="E183" s="13">
        <v>100100026</v>
      </c>
      <c r="F183" s="13" t="s">
        <v>31</v>
      </c>
      <c r="G183" s="27" t="s">
        <v>114</v>
      </c>
      <c r="H183" s="1">
        <v>22</v>
      </c>
      <c r="I183" s="2">
        <v>10000</v>
      </c>
      <c r="J183" s="1">
        <v>-1</v>
      </c>
      <c r="K183" s="1">
        <v>0</v>
      </c>
      <c r="L183" s="3" t="s">
        <v>33</v>
      </c>
      <c r="M183" s="28" t="s">
        <v>34</v>
      </c>
      <c r="N183">
        <v>10000</v>
      </c>
      <c r="O183" s="15">
        <v>1990000</v>
      </c>
    </row>
    <row r="184" spans="1:15">
      <c r="A184" s="1">
        <v>10010023</v>
      </c>
      <c r="B184" s="4">
        <v>100100</v>
      </c>
      <c r="C184" s="4">
        <v>1</v>
      </c>
      <c r="D184" s="4" t="s">
        <v>30</v>
      </c>
      <c r="E184" s="13">
        <v>100100026</v>
      </c>
      <c r="F184" s="13" t="s">
        <v>31</v>
      </c>
      <c r="G184" s="27" t="s">
        <v>115</v>
      </c>
      <c r="H184" s="1">
        <v>23</v>
      </c>
      <c r="I184" s="2">
        <v>100000</v>
      </c>
      <c r="J184" s="1">
        <v>-1</v>
      </c>
      <c r="K184" s="1">
        <v>0</v>
      </c>
      <c r="L184" s="3" t="s">
        <v>33</v>
      </c>
      <c r="M184" s="28" t="s">
        <v>34</v>
      </c>
      <c r="N184">
        <v>100000</v>
      </c>
      <c r="O184" s="15">
        <v>1990000</v>
      </c>
    </row>
    <row r="185" spans="1:15">
      <c r="A185" s="1">
        <v>10030021</v>
      </c>
      <c r="B185" s="4">
        <v>100300</v>
      </c>
      <c r="C185" s="4">
        <v>1</v>
      </c>
      <c r="D185" s="4" t="s">
        <v>37</v>
      </c>
      <c r="E185" s="13">
        <v>100300001</v>
      </c>
      <c r="F185" s="13" t="s">
        <v>38</v>
      </c>
      <c r="G185" s="27" t="s">
        <v>113</v>
      </c>
      <c r="H185" s="1">
        <v>21</v>
      </c>
      <c r="I185" s="2">
        <v>0</v>
      </c>
      <c r="J185" s="1">
        <v>-1</v>
      </c>
      <c r="K185" s="1">
        <v>0</v>
      </c>
      <c r="L185" s="3" t="s">
        <v>33</v>
      </c>
      <c r="M185" s="28" t="s">
        <v>34</v>
      </c>
      <c r="N185">
        <v>1000</v>
      </c>
      <c r="O185" s="15">
        <v>1990000</v>
      </c>
    </row>
    <row r="186" spans="1:15">
      <c r="A186" s="1">
        <v>10030022</v>
      </c>
      <c r="B186" s="4">
        <v>100300</v>
      </c>
      <c r="C186" s="4">
        <v>1</v>
      </c>
      <c r="D186" s="4" t="s">
        <v>37</v>
      </c>
      <c r="E186" s="13">
        <v>100300001</v>
      </c>
      <c r="F186" s="13" t="s">
        <v>38</v>
      </c>
      <c r="G186" s="27" t="s">
        <v>114</v>
      </c>
      <c r="H186" s="1">
        <v>22</v>
      </c>
      <c r="I186" s="2">
        <v>10000</v>
      </c>
      <c r="J186" s="1">
        <v>-1</v>
      </c>
      <c r="K186" s="1">
        <v>0</v>
      </c>
      <c r="L186" s="3" t="s">
        <v>33</v>
      </c>
      <c r="M186" s="28" t="s">
        <v>34</v>
      </c>
      <c r="N186">
        <v>10000</v>
      </c>
      <c r="O186" s="15">
        <v>1990000</v>
      </c>
    </row>
    <row r="187" spans="1:15">
      <c r="A187" s="1">
        <v>10030023</v>
      </c>
      <c r="B187" s="4">
        <v>100300</v>
      </c>
      <c r="C187" s="4">
        <v>1</v>
      </c>
      <c r="D187" s="4" t="s">
        <v>37</v>
      </c>
      <c r="E187" s="13">
        <v>100300001</v>
      </c>
      <c r="F187" s="13" t="s">
        <v>38</v>
      </c>
      <c r="G187" s="27" t="s">
        <v>115</v>
      </c>
      <c r="H187" s="1">
        <v>23</v>
      </c>
      <c r="I187" s="2">
        <v>100000</v>
      </c>
      <c r="J187" s="1">
        <v>-1</v>
      </c>
      <c r="K187" s="1">
        <v>0</v>
      </c>
      <c r="L187" s="3" t="s">
        <v>33</v>
      </c>
      <c r="M187" s="28" t="s">
        <v>34</v>
      </c>
      <c r="N187">
        <v>100000</v>
      </c>
      <c r="O187" s="15">
        <v>1990000</v>
      </c>
    </row>
    <row r="188" spans="1:15">
      <c r="A188" s="1">
        <v>10070021</v>
      </c>
      <c r="B188" s="4">
        <v>100700</v>
      </c>
      <c r="C188" s="4">
        <v>1</v>
      </c>
      <c r="D188" s="4" t="s">
        <v>39</v>
      </c>
      <c r="E188" s="13">
        <v>100700001</v>
      </c>
      <c r="F188" s="13" t="s">
        <v>40</v>
      </c>
      <c r="G188" s="27" t="s">
        <v>113</v>
      </c>
      <c r="H188" s="1">
        <v>21</v>
      </c>
      <c r="I188" s="2">
        <v>0</v>
      </c>
      <c r="J188" s="1">
        <v>-1</v>
      </c>
      <c r="K188" s="1">
        <v>0</v>
      </c>
      <c r="L188" s="3" t="s">
        <v>33</v>
      </c>
      <c r="M188" s="28" t="s">
        <v>34</v>
      </c>
      <c r="N188">
        <v>1000</v>
      </c>
      <c r="O188" s="15">
        <v>1990000</v>
      </c>
    </row>
    <row r="189" spans="1:15">
      <c r="A189" s="1">
        <v>10070022</v>
      </c>
      <c r="B189" s="4">
        <v>100700</v>
      </c>
      <c r="C189" s="4">
        <v>1</v>
      </c>
      <c r="D189" s="4" t="s">
        <v>39</v>
      </c>
      <c r="E189" s="13">
        <v>100700001</v>
      </c>
      <c r="F189" s="13" t="s">
        <v>40</v>
      </c>
      <c r="G189" s="27" t="s">
        <v>114</v>
      </c>
      <c r="H189" s="1">
        <v>22</v>
      </c>
      <c r="I189" s="2">
        <v>10000</v>
      </c>
      <c r="J189" s="1">
        <v>-1</v>
      </c>
      <c r="K189" s="1">
        <v>0</v>
      </c>
      <c r="L189" s="3" t="s">
        <v>33</v>
      </c>
      <c r="M189" s="28" t="s">
        <v>34</v>
      </c>
      <c r="N189">
        <v>10000</v>
      </c>
      <c r="O189" s="15">
        <v>1990000</v>
      </c>
    </row>
    <row r="190" spans="1:15">
      <c r="A190" s="1">
        <v>10070023</v>
      </c>
      <c r="B190" s="4">
        <v>100700</v>
      </c>
      <c r="C190" s="4">
        <v>1</v>
      </c>
      <c r="D190" s="4" t="s">
        <v>39</v>
      </c>
      <c r="E190" s="13">
        <v>100700001</v>
      </c>
      <c r="F190" s="13" t="s">
        <v>40</v>
      </c>
      <c r="G190" s="27" t="s">
        <v>115</v>
      </c>
      <c r="H190" s="1">
        <v>23</v>
      </c>
      <c r="I190" s="2">
        <v>100000</v>
      </c>
      <c r="J190" s="1">
        <v>-1</v>
      </c>
      <c r="K190" s="1">
        <v>0</v>
      </c>
      <c r="L190" s="3" t="s">
        <v>33</v>
      </c>
      <c r="M190" s="28" t="s">
        <v>34</v>
      </c>
      <c r="N190">
        <v>100000</v>
      </c>
      <c r="O190" s="15">
        <v>1990000</v>
      </c>
    </row>
    <row r="191" spans="1:15">
      <c r="A191" s="1">
        <v>10120021</v>
      </c>
      <c r="B191" s="4">
        <v>101200</v>
      </c>
      <c r="C191" s="4">
        <v>1</v>
      </c>
      <c r="D191" s="4" t="s">
        <v>41</v>
      </c>
      <c r="E191" s="13">
        <v>101200001</v>
      </c>
      <c r="F191" s="13" t="s">
        <v>42</v>
      </c>
      <c r="G191" s="27" t="s">
        <v>113</v>
      </c>
      <c r="H191" s="1">
        <v>21</v>
      </c>
      <c r="I191" s="2">
        <v>0</v>
      </c>
      <c r="J191" s="1">
        <v>-1</v>
      </c>
      <c r="K191" s="1">
        <v>0</v>
      </c>
      <c r="L191" s="3" t="s">
        <v>33</v>
      </c>
      <c r="M191" s="28" t="s">
        <v>34</v>
      </c>
      <c r="N191">
        <v>120</v>
      </c>
      <c r="O191" s="15">
        <v>1990000</v>
      </c>
    </row>
    <row r="192" spans="1:15">
      <c r="A192" s="1">
        <v>10120022</v>
      </c>
      <c r="B192" s="4">
        <v>101200</v>
      </c>
      <c r="C192" s="4">
        <v>1</v>
      </c>
      <c r="D192" s="4" t="s">
        <v>41</v>
      </c>
      <c r="E192" s="13">
        <v>101200001</v>
      </c>
      <c r="F192" s="13" t="s">
        <v>42</v>
      </c>
      <c r="G192" s="27" t="s">
        <v>114</v>
      </c>
      <c r="H192" s="1">
        <v>22</v>
      </c>
      <c r="I192" s="2">
        <v>15000</v>
      </c>
      <c r="J192" s="1">
        <v>-1</v>
      </c>
      <c r="K192" s="1">
        <v>0</v>
      </c>
      <c r="L192" s="3" t="s">
        <v>33</v>
      </c>
      <c r="M192" s="28" t="s">
        <v>34</v>
      </c>
      <c r="N192">
        <v>15000</v>
      </c>
      <c r="O192" s="15">
        <v>1990000</v>
      </c>
    </row>
    <row r="193" spans="1:15">
      <c r="A193" s="1">
        <v>10120023</v>
      </c>
      <c r="B193" s="4">
        <v>101200</v>
      </c>
      <c r="C193" s="4">
        <v>1</v>
      </c>
      <c r="D193" s="4" t="s">
        <v>41</v>
      </c>
      <c r="E193" s="13">
        <v>101200001</v>
      </c>
      <c r="F193" s="13" t="s">
        <v>42</v>
      </c>
      <c r="G193" s="27" t="s">
        <v>115</v>
      </c>
      <c r="H193" s="1">
        <v>23</v>
      </c>
      <c r="I193" s="2">
        <v>150000</v>
      </c>
      <c r="J193" s="1">
        <v>-1</v>
      </c>
      <c r="K193" s="1">
        <v>0</v>
      </c>
      <c r="L193" s="3" t="s">
        <v>33</v>
      </c>
      <c r="M193" s="28" t="s">
        <v>34</v>
      </c>
      <c r="N193">
        <v>150000</v>
      </c>
      <c r="O193" s="15">
        <v>1990000</v>
      </c>
    </row>
    <row r="194" spans="1:15">
      <c r="A194" s="1">
        <v>10140021</v>
      </c>
      <c r="B194" s="4">
        <v>101400</v>
      </c>
      <c r="C194" s="4">
        <v>1</v>
      </c>
      <c r="D194" s="4" t="s">
        <v>43</v>
      </c>
      <c r="E194" s="13">
        <v>101400001</v>
      </c>
      <c r="F194" s="13" t="s">
        <v>44</v>
      </c>
      <c r="G194" s="27" t="s">
        <v>113</v>
      </c>
      <c r="H194" s="1">
        <v>21</v>
      </c>
      <c r="I194" s="2">
        <v>0</v>
      </c>
      <c r="J194" s="1">
        <v>-1</v>
      </c>
      <c r="K194" s="1">
        <v>0</v>
      </c>
      <c r="L194" s="3" t="s">
        <v>33</v>
      </c>
      <c r="M194" s="28" t="s">
        <v>34</v>
      </c>
      <c r="N194">
        <v>1000</v>
      </c>
      <c r="O194" s="15">
        <v>1990000</v>
      </c>
    </row>
    <row r="195" spans="1:15">
      <c r="A195" s="1">
        <v>10140022</v>
      </c>
      <c r="B195" s="4">
        <v>101400</v>
      </c>
      <c r="C195" s="4">
        <v>1</v>
      </c>
      <c r="D195" s="4" t="s">
        <v>43</v>
      </c>
      <c r="E195" s="13">
        <v>101400001</v>
      </c>
      <c r="F195" s="13" t="s">
        <v>44</v>
      </c>
      <c r="G195" s="27" t="s">
        <v>114</v>
      </c>
      <c r="H195" s="1">
        <v>22</v>
      </c>
      <c r="I195" s="2">
        <v>10000</v>
      </c>
      <c r="J195" s="1">
        <v>-1</v>
      </c>
      <c r="K195" s="1">
        <v>0</v>
      </c>
      <c r="L195" s="3" t="s">
        <v>33</v>
      </c>
      <c r="M195" s="28" t="s">
        <v>34</v>
      </c>
      <c r="N195">
        <v>10000</v>
      </c>
      <c r="O195" s="15">
        <v>1990000</v>
      </c>
    </row>
    <row r="196" spans="1:15">
      <c r="A196" s="1">
        <v>10140023</v>
      </c>
      <c r="B196" s="4">
        <v>101400</v>
      </c>
      <c r="C196" s="4">
        <v>1</v>
      </c>
      <c r="D196" s="4" t="s">
        <v>43</v>
      </c>
      <c r="E196" s="13">
        <v>101400001</v>
      </c>
      <c r="F196" s="13" t="s">
        <v>44</v>
      </c>
      <c r="G196" s="27" t="s">
        <v>115</v>
      </c>
      <c r="H196" s="1">
        <v>23</v>
      </c>
      <c r="I196" s="2">
        <v>100000</v>
      </c>
      <c r="J196" s="1">
        <v>-1</v>
      </c>
      <c r="K196" s="1">
        <v>0</v>
      </c>
      <c r="L196" s="3" t="s">
        <v>33</v>
      </c>
      <c r="M196" s="28" t="s">
        <v>34</v>
      </c>
      <c r="N196">
        <v>100000</v>
      </c>
      <c r="O196" s="15">
        <v>1990000</v>
      </c>
    </row>
    <row r="197" spans="1:15">
      <c r="A197" s="1">
        <v>10240021</v>
      </c>
      <c r="B197" s="4">
        <v>102400</v>
      </c>
      <c r="C197" s="4">
        <v>1</v>
      </c>
      <c r="D197" s="4" t="s">
        <v>45</v>
      </c>
      <c r="E197" s="13">
        <v>102400026</v>
      </c>
      <c r="F197" s="13" t="s">
        <v>46</v>
      </c>
      <c r="G197" s="27" t="s">
        <v>113</v>
      </c>
      <c r="H197" s="1">
        <v>21</v>
      </c>
      <c r="I197" s="2">
        <v>0</v>
      </c>
      <c r="J197" s="1">
        <v>-1</v>
      </c>
      <c r="K197" s="1">
        <v>0</v>
      </c>
      <c r="L197" s="3" t="s">
        <v>33</v>
      </c>
      <c r="M197" s="28" t="s">
        <v>34</v>
      </c>
      <c r="N197">
        <v>100</v>
      </c>
      <c r="O197" s="15">
        <v>1990000</v>
      </c>
    </row>
    <row r="198" spans="1:15">
      <c r="A198" s="1">
        <v>10240022</v>
      </c>
      <c r="B198" s="4">
        <v>102400</v>
      </c>
      <c r="C198" s="4">
        <v>1</v>
      </c>
      <c r="D198" s="4" t="s">
        <v>45</v>
      </c>
      <c r="E198" s="13">
        <v>102400026</v>
      </c>
      <c r="F198" s="13" t="s">
        <v>46</v>
      </c>
      <c r="G198" s="27" t="s">
        <v>114</v>
      </c>
      <c r="H198" s="1">
        <v>22</v>
      </c>
      <c r="I198" s="2">
        <v>10000</v>
      </c>
      <c r="J198" s="1">
        <v>-1</v>
      </c>
      <c r="K198" s="1">
        <v>0</v>
      </c>
      <c r="L198" s="3" t="s">
        <v>33</v>
      </c>
      <c r="M198" s="28" t="s">
        <v>34</v>
      </c>
      <c r="N198">
        <v>10000</v>
      </c>
      <c r="O198" s="15">
        <v>1990000</v>
      </c>
    </row>
    <row r="199" spans="1:15">
      <c r="A199" s="1">
        <v>10240023</v>
      </c>
      <c r="B199" s="4">
        <v>102400</v>
      </c>
      <c r="C199" s="4">
        <v>1</v>
      </c>
      <c r="D199" s="4" t="s">
        <v>45</v>
      </c>
      <c r="E199" s="13">
        <v>102400026</v>
      </c>
      <c r="F199" s="13" t="s">
        <v>46</v>
      </c>
      <c r="G199" s="27" t="s">
        <v>115</v>
      </c>
      <c r="H199" s="1">
        <v>23</v>
      </c>
      <c r="I199" s="2">
        <v>100000</v>
      </c>
      <c r="J199" s="1">
        <v>-1</v>
      </c>
      <c r="K199" s="1">
        <v>0</v>
      </c>
      <c r="L199" s="3" t="s">
        <v>33</v>
      </c>
      <c r="M199" s="28" t="s">
        <v>34</v>
      </c>
      <c r="N199">
        <v>100000</v>
      </c>
      <c r="O199" s="15">
        <v>1990000</v>
      </c>
    </row>
    <row r="200" spans="1:15">
      <c r="A200" s="1">
        <v>10220021</v>
      </c>
      <c r="B200" s="4">
        <v>102200</v>
      </c>
      <c r="C200" s="4">
        <v>1</v>
      </c>
      <c r="D200" s="4" t="s">
        <v>47</v>
      </c>
      <c r="E200" s="13">
        <v>102200001</v>
      </c>
      <c r="F200" s="13" t="s">
        <v>48</v>
      </c>
      <c r="G200" s="27" t="s">
        <v>113</v>
      </c>
      <c r="H200" s="1">
        <v>21</v>
      </c>
      <c r="I200" s="2">
        <v>0</v>
      </c>
      <c r="J200" s="1">
        <v>-1</v>
      </c>
      <c r="K200" s="1">
        <v>0</v>
      </c>
      <c r="L200" s="3" t="s">
        <v>33</v>
      </c>
      <c r="M200" s="28" t="s">
        <v>34</v>
      </c>
      <c r="N200">
        <v>1250</v>
      </c>
      <c r="O200" s="15">
        <v>1990000</v>
      </c>
    </row>
    <row r="201" spans="1:15">
      <c r="A201" s="1">
        <v>10220022</v>
      </c>
      <c r="B201" s="4">
        <v>102200</v>
      </c>
      <c r="C201" s="4">
        <v>1</v>
      </c>
      <c r="D201" s="4" t="s">
        <v>47</v>
      </c>
      <c r="E201" s="13">
        <v>102200001</v>
      </c>
      <c r="F201" s="13" t="s">
        <v>48</v>
      </c>
      <c r="G201" s="27" t="s">
        <v>114</v>
      </c>
      <c r="H201" s="1">
        <v>22</v>
      </c>
      <c r="I201" s="2">
        <v>12500</v>
      </c>
      <c r="J201" s="1">
        <v>-1</v>
      </c>
      <c r="K201" s="1">
        <v>0</v>
      </c>
      <c r="L201" s="3" t="s">
        <v>33</v>
      </c>
      <c r="M201" s="28" t="s">
        <v>34</v>
      </c>
      <c r="N201">
        <v>12500</v>
      </c>
      <c r="O201" s="15">
        <v>1990000</v>
      </c>
    </row>
    <row r="202" spans="1:15">
      <c r="A202" s="1">
        <v>10220023</v>
      </c>
      <c r="B202" s="4">
        <v>102200</v>
      </c>
      <c r="C202" s="4">
        <v>1</v>
      </c>
      <c r="D202" s="4" t="s">
        <v>47</v>
      </c>
      <c r="E202" s="13">
        <v>102200001</v>
      </c>
      <c r="F202" s="13" t="s">
        <v>48</v>
      </c>
      <c r="G202" s="27" t="s">
        <v>115</v>
      </c>
      <c r="H202" s="1">
        <v>23</v>
      </c>
      <c r="I202" s="2">
        <v>125000</v>
      </c>
      <c r="J202" s="1">
        <v>-1</v>
      </c>
      <c r="K202" s="1">
        <v>0</v>
      </c>
      <c r="L202" s="3" t="s">
        <v>33</v>
      </c>
      <c r="M202" s="28" t="s">
        <v>34</v>
      </c>
      <c r="N202">
        <v>125000</v>
      </c>
      <c r="O202" s="15">
        <v>1990000</v>
      </c>
    </row>
    <row r="203" spans="1:15">
      <c r="A203" s="1">
        <v>10170021</v>
      </c>
      <c r="B203" s="4">
        <v>101700</v>
      </c>
      <c r="C203" s="4">
        <v>1</v>
      </c>
      <c r="D203" s="4" t="s">
        <v>49</v>
      </c>
      <c r="E203" s="13">
        <v>101700001</v>
      </c>
      <c r="F203" s="13" t="s">
        <v>50</v>
      </c>
      <c r="G203" s="27" t="s">
        <v>113</v>
      </c>
      <c r="H203" s="1">
        <v>21</v>
      </c>
      <c r="I203" s="2">
        <v>0</v>
      </c>
      <c r="J203" s="1">
        <v>-1</v>
      </c>
      <c r="K203" s="1">
        <v>0</v>
      </c>
      <c r="L203" s="3" t="s">
        <v>33</v>
      </c>
      <c r="M203" s="28" t="s">
        <v>34</v>
      </c>
      <c r="N203">
        <v>1000</v>
      </c>
      <c r="O203" s="15">
        <v>1990000</v>
      </c>
    </row>
    <row r="204" spans="1:15">
      <c r="A204" s="1">
        <v>10170022</v>
      </c>
      <c r="B204" s="4">
        <v>101700</v>
      </c>
      <c r="C204" s="4">
        <v>1</v>
      </c>
      <c r="D204" s="4" t="s">
        <v>49</v>
      </c>
      <c r="E204" s="13">
        <v>101700001</v>
      </c>
      <c r="F204" s="13" t="s">
        <v>50</v>
      </c>
      <c r="G204" s="27" t="s">
        <v>114</v>
      </c>
      <c r="H204" s="1">
        <v>22</v>
      </c>
      <c r="I204" s="2">
        <v>10000</v>
      </c>
      <c r="J204" s="1">
        <v>-1</v>
      </c>
      <c r="K204" s="1">
        <v>0</v>
      </c>
      <c r="L204" s="3" t="s">
        <v>33</v>
      </c>
      <c r="M204" s="28" t="s">
        <v>34</v>
      </c>
      <c r="N204">
        <v>10000</v>
      </c>
      <c r="O204" s="15">
        <v>1990000</v>
      </c>
    </row>
    <row r="205" spans="1:15">
      <c r="A205" s="1">
        <v>10170023</v>
      </c>
      <c r="B205" s="4">
        <v>101700</v>
      </c>
      <c r="C205" s="4">
        <v>1</v>
      </c>
      <c r="D205" s="4" t="s">
        <v>49</v>
      </c>
      <c r="E205" s="13">
        <v>101700001</v>
      </c>
      <c r="F205" s="13" t="s">
        <v>50</v>
      </c>
      <c r="G205" s="27" t="s">
        <v>115</v>
      </c>
      <c r="H205" s="1">
        <v>23</v>
      </c>
      <c r="I205" s="2">
        <v>100000</v>
      </c>
      <c r="J205" s="1">
        <v>-1</v>
      </c>
      <c r="K205" s="1">
        <v>0</v>
      </c>
      <c r="L205" s="3" t="s">
        <v>33</v>
      </c>
      <c r="M205" s="28" t="s">
        <v>34</v>
      </c>
      <c r="N205">
        <v>100000</v>
      </c>
      <c r="O205" s="15">
        <v>1990000</v>
      </c>
    </row>
    <row r="206" spans="1:15">
      <c r="A206" s="1">
        <v>10210021</v>
      </c>
      <c r="B206" s="4">
        <v>102100</v>
      </c>
      <c r="C206" s="4">
        <v>1</v>
      </c>
      <c r="D206" s="4" t="s">
        <v>51</v>
      </c>
      <c r="E206" s="13">
        <v>102100001</v>
      </c>
      <c r="F206" s="16" t="s">
        <v>52</v>
      </c>
      <c r="G206" s="27" t="s">
        <v>113</v>
      </c>
      <c r="H206" s="1">
        <v>21</v>
      </c>
      <c r="I206" s="2">
        <v>0</v>
      </c>
      <c r="J206" s="1">
        <v>-1</v>
      </c>
      <c r="K206" s="1">
        <v>0</v>
      </c>
      <c r="L206" s="3" t="s">
        <v>33</v>
      </c>
      <c r="M206" s="28" t="s">
        <v>34</v>
      </c>
      <c r="N206">
        <v>1000</v>
      </c>
      <c r="O206" s="15">
        <v>1990000</v>
      </c>
    </row>
    <row r="207" spans="1:15">
      <c r="A207" s="1">
        <v>10210022</v>
      </c>
      <c r="B207" s="4">
        <v>102100</v>
      </c>
      <c r="C207" s="4">
        <v>1</v>
      </c>
      <c r="D207" s="4" t="s">
        <v>51</v>
      </c>
      <c r="E207" s="13">
        <v>102100001</v>
      </c>
      <c r="F207" s="16" t="s">
        <v>52</v>
      </c>
      <c r="G207" s="27" t="s">
        <v>114</v>
      </c>
      <c r="H207" s="1">
        <v>22</v>
      </c>
      <c r="I207" s="2">
        <v>10000</v>
      </c>
      <c r="J207" s="1">
        <v>-1</v>
      </c>
      <c r="K207" s="1">
        <v>0</v>
      </c>
      <c r="L207" s="3" t="s">
        <v>33</v>
      </c>
      <c r="M207" s="28" t="s">
        <v>34</v>
      </c>
      <c r="N207">
        <v>10000</v>
      </c>
      <c r="O207" s="15">
        <v>1990000</v>
      </c>
    </row>
    <row r="208" spans="1:15">
      <c r="A208" s="1">
        <v>10210023</v>
      </c>
      <c r="B208" s="4">
        <v>102100</v>
      </c>
      <c r="C208" s="4">
        <v>1</v>
      </c>
      <c r="D208" s="4" t="s">
        <v>51</v>
      </c>
      <c r="E208" s="13">
        <v>102100001</v>
      </c>
      <c r="F208" s="16" t="s">
        <v>52</v>
      </c>
      <c r="G208" s="27" t="s">
        <v>115</v>
      </c>
      <c r="H208" s="1">
        <v>23</v>
      </c>
      <c r="I208" s="2">
        <v>100000</v>
      </c>
      <c r="J208" s="1">
        <v>-1</v>
      </c>
      <c r="K208" s="1">
        <v>0</v>
      </c>
      <c r="L208" s="3" t="s">
        <v>33</v>
      </c>
      <c r="M208" s="28" t="s">
        <v>34</v>
      </c>
      <c r="N208">
        <v>100000</v>
      </c>
      <c r="O208" s="15">
        <v>1990000</v>
      </c>
    </row>
    <row r="209" spans="1:15">
      <c r="A209" s="1">
        <f>B209*100+H209</f>
        <v>10180021</v>
      </c>
      <c r="B209" s="16">
        <v>101800</v>
      </c>
      <c r="C209" s="16">
        <v>1</v>
      </c>
      <c r="D209" s="16" t="s">
        <v>53</v>
      </c>
      <c r="E209" s="16">
        <v>101800001</v>
      </c>
      <c r="F209" s="16" t="s">
        <v>54</v>
      </c>
      <c r="G209" s="27" t="s">
        <v>113</v>
      </c>
      <c r="H209" s="1">
        <v>21</v>
      </c>
      <c r="I209" s="2">
        <v>0</v>
      </c>
      <c r="J209" s="17">
        <v>-1</v>
      </c>
      <c r="K209" s="17">
        <v>0</v>
      </c>
      <c r="L209" s="3" t="s">
        <v>33</v>
      </c>
      <c r="M209" s="28" t="s">
        <v>34</v>
      </c>
      <c r="N209">
        <v>1000</v>
      </c>
      <c r="O209" s="15">
        <v>1990000</v>
      </c>
    </row>
    <row r="210" spans="1:15">
      <c r="A210" s="1">
        <f t="shared" ref="A210:A217" si="8">B210*100+H210</f>
        <v>10180022</v>
      </c>
      <c r="B210" s="16">
        <v>101800</v>
      </c>
      <c r="C210" s="16">
        <v>1</v>
      </c>
      <c r="D210" s="16" t="s">
        <v>53</v>
      </c>
      <c r="E210" s="16">
        <v>101800001</v>
      </c>
      <c r="F210" s="16" t="s">
        <v>54</v>
      </c>
      <c r="G210" s="27" t="s">
        <v>114</v>
      </c>
      <c r="H210" s="1">
        <v>22</v>
      </c>
      <c r="I210" s="2">
        <v>10000</v>
      </c>
      <c r="J210" s="17">
        <v>-1</v>
      </c>
      <c r="K210" s="17">
        <v>0</v>
      </c>
      <c r="L210" s="3" t="s">
        <v>33</v>
      </c>
      <c r="M210" s="28" t="s">
        <v>34</v>
      </c>
      <c r="N210">
        <v>10000</v>
      </c>
      <c r="O210" s="15">
        <v>1990000</v>
      </c>
    </row>
    <row r="211" spans="1:15">
      <c r="A211" s="1">
        <f t="shared" si="8"/>
        <v>10180023</v>
      </c>
      <c r="B211" s="16">
        <v>101800</v>
      </c>
      <c r="C211" s="16">
        <v>1</v>
      </c>
      <c r="D211" s="16" t="s">
        <v>53</v>
      </c>
      <c r="E211" s="16">
        <v>101800001</v>
      </c>
      <c r="F211" s="16" t="s">
        <v>54</v>
      </c>
      <c r="G211" s="27" t="s">
        <v>115</v>
      </c>
      <c r="H211" s="1">
        <v>23</v>
      </c>
      <c r="I211" s="2">
        <v>100000</v>
      </c>
      <c r="J211" s="17">
        <v>-1</v>
      </c>
      <c r="K211" s="17">
        <v>0</v>
      </c>
      <c r="L211" s="3" t="s">
        <v>33</v>
      </c>
      <c r="M211" s="28" t="s">
        <v>34</v>
      </c>
      <c r="N211">
        <v>100000</v>
      </c>
      <c r="O211" s="15">
        <v>1990000</v>
      </c>
    </row>
    <row r="212" spans="1:15">
      <c r="A212" s="1">
        <f t="shared" si="8"/>
        <v>10250021</v>
      </c>
      <c r="B212" s="16">
        <v>102500</v>
      </c>
      <c r="C212" s="16">
        <v>1</v>
      </c>
      <c r="D212" s="16" t="s">
        <v>55</v>
      </c>
      <c r="E212" s="16">
        <v>102500001</v>
      </c>
      <c r="F212" s="16" t="s">
        <v>56</v>
      </c>
      <c r="G212" s="27" t="s">
        <v>113</v>
      </c>
      <c r="H212" s="1">
        <v>21</v>
      </c>
      <c r="I212" s="2">
        <v>0</v>
      </c>
      <c r="J212" s="17">
        <v>-1</v>
      </c>
      <c r="K212" s="17">
        <v>0</v>
      </c>
      <c r="L212" s="3" t="s">
        <v>33</v>
      </c>
      <c r="M212" s="28" t="s">
        <v>34</v>
      </c>
      <c r="N212">
        <v>1000</v>
      </c>
      <c r="O212" s="15">
        <v>1990000</v>
      </c>
    </row>
    <row r="213" spans="1:15">
      <c r="A213" s="1">
        <f t="shared" si="8"/>
        <v>10250022</v>
      </c>
      <c r="B213" s="16">
        <v>102500</v>
      </c>
      <c r="C213" s="16">
        <v>1</v>
      </c>
      <c r="D213" s="16" t="s">
        <v>55</v>
      </c>
      <c r="E213" s="16">
        <v>102500001</v>
      </c>
      <c r="F213" s="16" t="s">
        <v>56</v>
      </c>
      <c r="G213" s="27" t="s">
        <v>114</v>
      </c>
      <c r="H213" s="1">
        <v>22</v>
      </c>
      <c r="I213" s="2">
        <v>10000</v>
      </c>
      <c r="J213" s="17">
        <v>-1</v>
      </c>
      <c r="K213" s="17">
        <v>0</v>
      </c>
      <c r="L213" s="3" t="s">
        <v>33</v>
      </c>
      <c r="M213" s="28" t="s">
        <v>34</v>
      </c>
      <c r="N213">
        <v>10000</v>
      </c>
      <c r="O213" s="15">
        <v>1990000</v>
      </c>
    </row>
    <row r="214" spans="1:15">
      <c r="A214" s="1">
        <f t="shared" si="8"/>
        <v>10250023</v>
      </c>
      <c r="B214" s="16">
        <v>102500</v>
      </c>
      <c r="C214" s="16">
        <v>1</v>
      </c>
      <c r="D214" s="16" t="s">
        <v>55</v>
      </c>
      <c r="E214" s="16">
        <v>102500001</v>
      </c>
      <c r="F214" s="16" t="s">
        <v>56</v>
      </c>
      <c r="G214" s="27" t="s">
        <v>115</v>
      </c>
      <c r="H214" s="1">
        <v>23</v>
      </c>
      <c r="I214" s="2">
        <v>100000</v>
      </c>
      <c r="J214" s="17">
        <v>-1</v>
      </c>
      <c r="K214" s="17">
        <v>0</v>
      </c>
      <c r="L214" s="3" t="s">
        <v>33</v>
      </c>
      <c r="M214" s="28" t="s">
        <v>34</v>
      </c>
      <c r="N214">
        <v>100000</v>
      </c>
      <c r="O214" s="15">
        <v>1990000</v>
      </c>
    </row>
    <row r="215" spans="1:15">
      <c r="A215" s="1">
        <f t="shared" si="8"/>
        <v>10230021</v>
      </c>
      <c r="B215" s="4">
        <v>102300</v>
      </c>
      <c r="C215" s="4">
        <v>1</v>
      </c>
      <c r="D215" s="4" t="s">
        <v>57</v>
      </c>
      <c r="E215" s="13">
        <v>102300001</v>
      </c>
      <c r="F215" s="13" t="s">
        <v>58</v>
      </c>
      <c r="G215" s="27" t="s">
        <v>113</v>
      </c>
      <c r="H215" s="1">
        <v>21</v>
      </c>
      <c r="I215" s="2">
        <v>0</v>
      </c>
      <c r="J215" s="17">
        <v>-1</v>
      </c>
      <c r="K215" s="17">
        <v>0</v>
      </c>
      <c r="L215" s="3" t="s">
        <v>33</v>
      </c>
      <c r="M215" s="28" t="s">
        <v>34</v>
      </c>
      <c r="N215">
        <v>1000</v>
      </c>
      <c r="O215" s="15">
        <v>1990000</v>
      </c>
    </row>
    <row r="216" spans="1:15">
      <c r="A216" s="1">
        <f t="shared" si="8"/>
        <v>10230022</v>
      </c>
      <c r="B216" s="4">
        <v>102300</v>
      </c>
      <c r="C216" s="4">
        <v>1</v>
      </c>
      <c r="D216" s="4" t="s">
        <v>57</v>
      </c>
      <c r="E216" s="13">
        <v>102300001</v>
      </c>
      <c r="F216" s="13" t="s">
        <v>58</v>
      </c>
      <c r="G216" s="27" t="s">
        <v>114</v>
      </c>
      <c r="H216" s="1">
        <v>22</v>
      </c>
      <c r="I216" s="2">
        <v>10000</v>
      </c>
      <c r="J216" s="17">
        <v>-1</v>
      </c>
      <c r="K216" s="17">
        <v>0</v>
      </c>
      <c r="L216" s="3" t="s">
        <v>33</v>
      </c>
      <c r="M216" s="28" t="s">
        <v>34</v>
      </c>
      <c r="N216">
        <v>10000</v>
      </c>
      <c r="O216" s="15">
        <v>1990000</v>
      </c>
    </row>
    <row r="217" spans="1:15">
      <c r="A217" s="1">
        <f t="shared" si="8"/>
        <v>10230023</v>
      </c>
      <c r="B217" s="4">
        <v>102300</v>
      </c>
      <c r="C217" s="4">
        <v>1</v>
      </c>
      <c r="D217" s="4" t="s">
        <v>57</v>
      </c>
      <c r="E217" s="13">
        <v>102300001</v>
      </c>
      <c r="F217" s="13" t="s">
        <v>58</v>
      </c>
      <c r="G217" s="27" t="s">
        <v>115</v>
      </c>
      <c r="H217" s="1">
        <v>23</v>
      </c>
      <c r="I217" s="2">
        <v>100000</v>
      </c>
      <c r="J217" s="17">
        <v>-1</v>
      </c>
      <c r="K217" s="17">
        <v>0</v>
      </c>
      <c r="L217" s="3" t="s">
        <v>33</v>
      </c>
      <c r="M217" s="28" t="s">
        <v>34</v>
      </c>
      <c r="N217">
        <v>100000</v>
      </c>
      <c r="O217" s="15">
        <v>1990000</v>
      </c>
    </row>
    <row r="218" spans="1:15">
      <c r="A218" s="1">
        <v>10340021</v>
      </c>
      <c r="B218" s="4">
        <v>103400</v>
      </c>
      <c r="C218" s="4">
        <v>1</v>
      </c>
      <c r="D218" s="4" t="s">
        <v>59</v>
      </c>
      <c r="E218" s="13">
        <v>103000001</v>
      </c>
      <c r="F218" s="18" t="s">
        <v>60</v>
      </c>
      <c r="G218" s="27" t="s">
        <v>113</v>
      </c>
      <c r="H218" s="1">
        <v>21</v>
      </c>
      <c r="I218" s="2">
        <v>0</v>
      </c>
      <c r="J218" s="17">
        <v>-1</v>
      </c>
      <c r="K218" s="17">
        <v>0</v>
      </c>
      <c r="L218" s="3" t="s">
        <v>33</v>
      </c>
      <c r="M218" s="28" t="s">
        <v>34</v>
      </c>
      <c r="N218">
        <v>100</v>
      </c>
      <c r="O218" s="15">
        <v>1990000</v>
      </c>
    </row>
    <row r="219" spans="1:15">
      <c r="A219" s="1">
        <v>10340022</v>
      </c>
      <c r="B219" s="4">
        <v>103400</v>
      </c>
      <c r="C219" s="4">
        <v>1</v>
      </c>
      <c r="D219" s="4" t="s">
        <v>59</v>
      </c>
      <c r="E219" s="13">
        <v>103000001</v>
      </c>
      <c r="F219" s="18" t="s">
        <v>60</v>
      </c>
      <c r="G219" s="27" t="s">
        <v>114</v>
      </c>
      <c r="H219" s="1">
        <v>22</v>
      </c>
      <c r="I219" s="2">
        <v>10000</v>
      </c>
      <c r="J219" s="17">
        <v>-1</v>
      </c>
      <c r="K219" s="17">
        <v>0</v>
      </c>
      <c r="L219" s="3" t="s">
        <v>33</v>
      </c>
      <c r="M219" s="28" t="s">
        <v>34</v>
      </c>
      <c r="N219">
        <v>10000</v>
      </c>
      <c r="O219" s="15">
        <v>1990000</v>
      </c>
    </row>
    <row r="220" spans="1:15">
      <c r="A220" s="1">
        <v>10340023</v>
      </c>
      <c r="B220" s="4">
        <v>103400</v>
      </c>
      <c r="C220" s="4">
        <v>1</v>
      </c>
      <c r="D220" s="4" t="s">
        <v>59</v>
      </c>
      <c r="E220" s="13">
        <v>103000001</v>
      </c>
      <c r="F220" s="18" t="s">
        <v>60</v>
      </c>
      <c r="G220" s="27" t="s">
        <v>115</v>
      </c>
      <c r="H220" s="1">
        <v>23</v>
      </c>
      <c r="I220" s="2">
        <v>100000</v>
      </c>
      <c r="J220" s="17">
        <v>-1</v>
      </c>
      <c r="K220" s="17">
        <v>0</v>
      </c>
      <c r="L220" s="3" t="s">
        <v>33</v>
      </c>
      <c r="M220" s="28" t="s">
        <v>34</v>
      </c>
      <c r="N220">
        <v>100000</v>
      </c>
      <c r="O220" s="15">
        <v>1990000</v>
      </c>
    </row>
    <row r="221" spans="1:15">
      <c r="A221" s="1">
        <f>B221*100+H221</f>
        <v>10350021</v>
      </c>
      <c r="B221" s="4">
        <v>103500</v>
      </c>
      <c r="C221" s="4">
        <v>1</v>
      </c>
      <c r="D221" s="4" t="s">
        <v>61</v>
      </c>
      <c r="E221" s="13">
        <v>102900001</v>
      </c>
      <c r="F221" s="13" t="s">
        <v>62</v>
      </c>
      <c r="G221" s="27" t="s">
        <v>113</v>
      </c>
      <c r="H221" s="1">
        <v>21</v>
      </c>
      <c r="I221" s="2">
        <v>0</v>
      </c>
      <c r="J221" s="17">
        <v>-1</v>
      </c>
      <c r="K221" s="17">
        <v>0</v>
      </c>
      <c r="L221" s="3" t="s">
        <v>33</v>
      </c>
      <c r="M221" s="28" t="s">
        <v>34</v>
      </c>
      <c r="N221">
        <v>1000</v>
      </c>
      <c r="O221" s="15">
        <v>1990000</v>
      </c>
    </row>
    <row r="222" spans="1:15">
      <c r="A222" s="1">
        <f t="shared" ref="A222:A223" si="9">B222*100+H222</f>
        <v>10350022</v>
      </c>
      <c r="B222" s="4">
        <v>103500</v>
      </c>
      <c r="C222" s="4">
        <v>1</v>
      </c>
      <c r="D222" s="4" t="s">
        <v>61</v>
      </c>
      <c r="E222" s="13">
        <v>102900001</v>
      </c>
      <c r="F222" s="13" t="s">
        <v>62</v>
      </c>
      <c r="G222" s="27" t="s">
        <v>114</v>
      </c>
      <c r="H222" s="1">
        <v>22</v>
      </c>
      <c r="I222" s="2">
        <v>10000</v>
      </c>
      <c r="J222" s="17">
        <v>-1</v>
      </c>
      <c r="K222" s="17">
        <v>0</v>
      </c>
      <c r="L222" s="3" t="s">
        <v>33</v>
      </c>
      <c r="M222" s="28" t="s">
        <v>34</v>
      </c>
      <c r="N222">
        <v>10000</v>
      </c>
      <c r="O222" s="15">
        <v>1990000</v>
      </c>
    </row>
    <row r="223" spans="1:15">
      <c r="A223" s="1">
        <f t="shared" si="9"/>
        <v>10350023</v>
      </c>
      <c r="B223" s="4">
        <v>103500</v>
      </c>
      <c r="C223" s="4">
        <v>1</v>
      </c>
      <c r="D223" s="4" t="s">
        <v>61</v>
      </c>
      <c r="E223" s="13">
        <v>102900001</v>
      </c>
      <c r="F223" s="13" t="s">
        <v>62</v>
      </c>
      <c r="G223" s="27" t="s">
        <v>115</v>
      </c>
      <c r="H223" s="1">
        <v>23</v>
      </c>
      <c r="I223" s="2">
        <v>100000</v>
      </c>
      <c r="J223" s="17">
        <v>-1</v>
      </c>
      <c r="K223" s="17">
        <v>0</v>
      </c>
      <c r="L223" s="3" t="s">
        <v>33</v>
      </c>
      <c r="M223" s="28" t="s">
        <v>34</v>
      </c>
      <c r="N223">
        <v>100000</v>
      </c>
      <c r="O223" s="15">
        <v>1990000</v>
      </c>
    </row>
    <row r="224" spans="1:15">
      <c r="A224" s="1">
        <v>10350121</v>
      </c>
      <c r="B224" s="4">
        <v>103501</v>
      </c>
      <c r="C224" s="4">
        <v>1</v>
      </c>
      <c r="D224" s="4" t="s">
        <v>63</v>
      </c>
      <c r="E224" s="13">
        <v>103501001</v>
      </c>
      <c r="F224" s="13" t="s">
        <v>64</v>
      </c>
      <c r="G224" s="27" t="s">
        <v>113</v>
      </c>
      <c r="H224" s="1">
        <v>21</v>
      </c>
      <c r="I224" s="2">
        <v>0</v>
      </c>
      <c r="J224" s="17">
        <v>-1</v>
      </c>
      <c r="K224" s="1">
        <v>0</v>
      </c>
      <c r="L224" s="3" t="s">
        <v>33</v>
      </c>
      <c r="M224" s="28" t="s">
        <v>34</v>
      </c>
      <c r="N224">
        <v>1000</v>
      </c>
      <c r="O224" s="15">
        <v>1990000</v>
      </c>
    </row>
    <row r="225" spans="1:15">
      <c r="A225" s="1">
        <v>10350122</v>
      </c>
      <c r="B225" s="4">
        <v>103501</v>
      </c>
      <c r="C225" s="4">
        <v>1</v>
      </c>
      <c r="D225" s="4" t="s">
        <v>63</v>
      </c>
      <c r="E225" s="13">
        <v>103501001</v>
      </c>
      <c r="F225" s="13" t="s">
        <v>64</v>
      </c>
      <c r="G225" s="27" t="s">
        <v>114</v>
      </c>
      <c r="H225" s="1">
        <v>22</v>
      </c>
      <c r="I225" s="2">
        <v>10000</v>
      </c>
      <c r="J225" s="17">
        <v>-1</v>
      </c>
      <c r="K225" s="1">
        <v>0</v>
      </c>
      <c r="L225" s="3" t="s">
        <v>33</v>
      </c>
      <c r="M225" s="28" t="s">
        <v>34</v>
      </c>
      <c r="N225">
        <v>10000</v>
      </c>
      <c r="O225" s="15">
        <v>1990000</v>
      </c>
    </row>
    <row r="226" spans="1:15">
      <c r="A226" s="1">
        <v>10350123</v>
      </c>
      <c r="B226" s="4">
        <v>103501</v>
      </c>
      <c r="C226" s="4">
        <v>1</v>
      </c>
      <c r="D226" s="4" t="s">
        <v>63</v>
      </c>
      <c r="E226" s="13">
        <v>103501001</v>
      </c>
      <c r="F226" s="13" t="s">
        <v>64</v>
      </c>
      <c r="G226" s="27" t="s">
        <v>115</v>
      </c>
      <c r="H226" s="1">
        <v>23</v>
      </c>
      <c r="I226" s="2">
        <v>100000</v>
      </c>
      <c r="J226" s="17">
        <v>-1</v>
      </c>
      <c r="K226" s="1">
        <v>0</v>
      </c>
      <c r="L226" s="3" t="s">
        <v>33</v>
      </c>
      <c r="M226" s="28" t="s">
        <v>34</v>
      </c>
      <c r="N226">
        <v>100000</v>
      </c>
      <c r="O226" s="15">
        <v>1990000</v>
      </c>
    </row>
    <row r="227" spans="1:15">
      <c r="A227" s="1">
        <v>10200021</v>
      </c>
      <c r="B227" s="4">
        <v>102000</v>
      </c>
      <c r="C227" s="4">
        <v>1</v>
      </c>
      <c r="D227" s="4" t="s">
        <v>65</v>
      </c>
      <c r="E227" s="13">
        <v>102000001</v>
      </c>
      <c r="F227" s="13" t="s">
        <v>66</v>
      </c>
      <c r="G227" s="27" t="s">
        <v>113</v>
      </c>
      <c r="H227" s="1">
        <v>21</v>
      </c>
      <c r="I227" s="2">
        <v>0</v>
      </c>
      <c r="J227" s="17">
        <v>-1</v>
      </c>
      <c r="K227" s="1">
        <v>0</v>
      </c>
      <c r="L227" s="3" t="s">
        <v>33</v>
      </c>
      <c r="M227" s="28" t="s">
        <v>34</v>
      </c>
      <c r="N227">
        <v>1125</v>
      </c>
      <c r="O227" s="15">
        <v>1990000</v>
      </c>
    </row>
    <row r="228" spans="1:15">
      <c r="A228" s="1">
        <v>10200022</v>
      </c>
      <c r="B228" s="4">
        <v>102000</v>
      </c>
      <c r="C228" s="4">
        <v>1</v>
      </c>
      <c r="D228" s="4" t="s">
        <v>65</v>
      </c>
      <c r="E228" s="13">
        <v>102000001</v>
      </c>
      <c r="F228" s="13" t="s">
        <v>66</v>
      </c>
      <c r="G228" s="27" t="s">
        <v>114</v>
      </c>
      <c r="H228" s="1">
        <v>22</v>
      </c>
      <c r="I228" s="2">
        <v>10000</v>
      </c>
      <c r="J228" s="17">
        <v>-1</v>
      </c>
      <c r="K228" s="1">
        <v>0</v>
      </c>
      <c r="L228" s="3" t="s">
        <v>33</v>
      </c>
      <c r="M228" s="28" t="s">
        <v>34</v>
      </c>
      <c r="N228">
        <v>11250</v>
      </c>
      <c r="O228" s="15">
        <v>1990000</v>
      </c>
    </row>
    <row r="229" spans="1:15">
      <c r="A229" s="1">
        <v>10200023</v>
      </c>
      <c r="B229" s="4">
        <v>102000</v>
      </c>
      <c r="C229" s="4">
        <v>1</v>
      </c>
      <c r="D229" s="4" t="s">
        <v>65</v>
      </c>
      <c r="E229" s="13">
        <v>102000001</v>
      </c>
      <c r="F229" s="13" t="s">
        <v>66</v>
      </c>
      <c r="G229" s="27" t="s">
        <v>115</v>
      </c>
      <c r="H229" s="1">
        <v>23</v>
      </c>
      <c r="I229" s="2">
        <v>100000</v>
      </c>
      <c r="J229" s="17">
        <v>-1</v>
      </c>
      <c r="K229" s="1">
        <v>0</v>
      </c>
      <c r="L229" s="3" t="s">
        <v>33</v>
      </c>
      <c r="M229" s="28" t="s">
        <v>34</v>
      </c>
      <c r="N229">
        <v>112500</v>
      </c>
      <c r="O229" s="15">
        <v>1990000</v>
      </c>
    </row>
    <row r="230" spans="1:15">
      <c r="A230" s="1">
        <f>B230*100+H230</f>
        <v>10360021</v>
      </c>
      <c r="B230" s="4">
        <v>103600</v>
      </c>
      <c r="C230" s="4">
        <v>1</v>
      </c>
      <c r="D230" s="4" t="s">
        <v>67</v>
      </c>
      <c r="E230" s="13">
        <v>103600001</v>
      </c>
      <c r="F230" s="13" t="s">
        <v>68</v>
      </c>
      <c r="G230" s="27" t="s">
        <v>113</v>
      </c>
      <c r="H230" s="1">
        <v>21</v>
      </c>
      <c r="I230" s="2">
        <v>0</v>
      </c>
      <c r="J230" s="17">
        <v>-1</v>
      </c>
      <c r="K230" s="1">
        <v>0</v>
      </c>
      <c r="L230" s="3" t="s">
        <v>33</v>
      </c>
      <c r="M230" s="28" t="s">
        <v>34</v>
      </c>
      <c r="N230">
        <v>1000</v>
      </c>
      <c r="O230" s="15">
        <v>1990000</v>
      </c>
    </row>
    <row r="231" spans="1:15">
      <c r="A231" s="1">
        <f t="shared" ref="A231:A232" si="10">B231*100+H231</f>
        <v>10360022</v>
      </c>
      <c r="B231" s="4">
        <v>103600</v>
      </c>
      <c r="C231" s="4">
        <v>1</v>
      </c>
      <c r="D231" s="4" t="s">
        <v>67</v>
      </c>
      <c r="E231" s="13">
        <v>103600001</v>
      </c>
      <c r="F231" s="13" t="s">
        <v>68</v>
      </c>
      <c r="G231" s="27" t="s">
        <v>114</v>
      </c>
      <c r="H231" s="1">
        <v>22</v>
      </c>
      <c r="I231" s="2">
        <v>10000</v>
      </c>
      <c r="J231" s="17">
        <v>-1</v>
      </c>
      <c r="K231" s="1">
        <v>0</v>
      </c>
      <c r="L231" s="3" t="s">
        <v>33</v>
      </c>
      <c r="M231" s="28" t="s">
        <v>34</v>
      </c>
      <c r="N231">
        <v>10000</v>
      </c>
      <c r="O231" s="15">
        <v>1990000</v>
      </c>
    </row>
    <row r="232" spans="1:15">
      <c r="A232" s="1">
        <f t="shared" si="10"/>
        <v>10360023</v>
      </c>
      <c r="B232" s="4">
        <v>103600</v>
      </c>
      <c r="C232" s="4">
        <v>1</v>
      </c>
      <c r="D232" s="4" t="s">
        <v>67</v>
      </c>
      <c r="E232" s="13">
        <v>103600001</v>
      </c>
      <c r="F232" s="13" t="s">
        <v>68</v>
      </c>
      <c r="G232" s="27" t="s">
        <v>115</v>
      </c>
      <c r="H232" s="1">
        <v>23</v>
      </c>
      <c r="I232" s="2">
        <v>100000</v>
      </c>
      <c r="J232" s="17">
        <v>-1</v>
      </c>
      <c r="K232" s="1">
        <v>0</v>
      </c>
      <c r="L232" s="3" t="s">
        <v>33</v>
      </c>
      <c r="M232" s="28" t="s">
        <v>34</v>
      </c>
      <c r="N232">
        <v>100000</v>
      </c>
      <c r="O232" s="15">
        <v>1990000</v>
      </c>
    </row>
    <row r="233" spans="1:15">
      <c r="A233" s="1">
        <v>10340121</v>
      </c>
      <c r="B233" s="4">
        <v>103401</v>
      </c>
      <c r="C233" s="4">
        <v>1</v>
      </c>
      <c r="D233" s="4" t="s">
        <v>69</v>
      </c>
      <c r="E233" s="13">
        <v>103400001</v>
      </c>
      <c r="F233" s="13" t="s">
        <v>70</v>
      </c>
      <c r="G233" s="27" t="s">
        <v>113</v>
      </c>
      <c r="H233" s="1">
        <v>21</v>
      </c>
      <c r="I233" s="2">
        <v>0</v>
      </c>
      <c r="J233" s="17">
        <v>-1</v>
      </c>
      <c r="K233" s="1">
        <v>0</v>
      </c>
      <c r="L233" s="3" t="s">
        <v>33</v>
      </c>
      <c r="M233" s="28" t="s">
        <v>34</v>
      </c>
      <c r="N233">
        <v>1000</v>
      </c>
      <c r="O233" s="15">
        <v>1990000</v>
      </c>
    </row>
    <row r="234" spans="1:15">
      <c r="A234" s="1">
        <v>10340122</v>
      </c>
      <c r="B234" s="4">
        <v>103401</v>
      </c>
      <c r="C234" s="4">
        <v>1</v>
      </c>
      <c r="D234" s="4" t="s">
        <v>69</v>
      </c>
      <c r="E234" s="13">
        <v>103400001</v>
      </c>
      <c r="F234" s="13" t="s">
        <v>70</v>
      </c>
      <c r="G234" s="27" t="s">
        <v>114</v>
      </c>
      <c r="H234" s="1">
        <v>22</v>
      </c>
      <c r="I234" s="2">
        <v>10000</v>
      </c>
      <c r="J234" s="17">
        <v>-1</v>
      </c>
      <c r="K234" s="1">
        <v>0</v>
      </c>
      <c r="L234" s="3" t="s">
        <v>33</v>
      </c>
      <c r="M234" s="28" t="s">
        <v>34</v>
      </c>
      <c r="N234">
        <v>10000</v>
      </c>
      <c r="O234" s="15">
        <v>1990000</v>
      </c>
    </row>
    <row r="235" spans="1:15">
      <c r="A235" s="1">
        <v>10340123</v>
      </c>
      <c r="B235" s="4">
        <v>103401</v>
      </c>
      <c r="C235" s="4">
        <v>1</v>
      </c>
      <c r="D235" s="4" t="s">
        <v>69</v>
      </c>
      <c r="E235" s="13">
        <v>103400001</v>
      </c>
      <c r="F235" s="13" t="s">
        <v>70</v>
      </c>
      <c r="G235" s="27" t="s">
        <v>115</v>
      </c>
      <c r="H235" s="1">
        <v>23</v>
      </c>
      <c r="I235" s="2">
        <v>100000</v>
      </c>
      <c r="J235" s="17">
        <v>-1</v>
      </c>
      <c r="K235" s="1">
        <v>0</v>
      </c>
      <c r="L235" s="3" t="s">
        <v>33</v>
      </c>
      <c r="M235" s="28" t="s">
        <v>34</v>
      </c>
      <c r="N235">
        <v>100000</v>
      </c>
      <c r="O235" s="15">
        <v>1990000</v>
      </c>
    </row>
    <row r="236" spans="1:15">
      <c r="A236" s="1">
        <v>10380021</v>
      </c>
      <c r="B236" s="4">
        <v>103800</v>
      </c>
      <c r="C236" s="4">
        <v>1</v>
      </c>
      <c r="D236" s="4" t="s">
        <v>71</v>
      </c>
      <c r="E236" s="13">
        <v>103800001</v>
      </c>
      <c r="F236" s="13" t="s">
        <v>72</v>
      </c>
      <c r="G236" s="27" t="s">
        <v>113</v>
      </c>
      <c r="H236" s="1">
        <v>21</v>
      </c>
      <c r="I236" s="2">
        <v>0</v>
      </c>
      <c r="J236" s="17">
        <v>-1</v>
      </c>
      <c r="K236" s="1">
        <v>0</v>
      </c>
      <c r="L236" s="3" t="s">
        <v>33</v>
      </c>
      <c r="M236" s="28" t="s">
        <v>34</v>
      </c>
      <c r="N236">
        <v>2000</v>
      </c>
      <c r="O236" s="15">
        <v>1990000</v>
      </c>
    </row>
    <row r="237" spans="1:15">
      <c r="A237" s="1">
        <v>10380022</v>
      </c>
      <c r="B237" s="4">
        <v>103800</v>
      </c>
      <c r="C237" s="4">
        <v>1</v>
      </c>
      <c r="D237" s="4" t="s">
        <v>71</v>
      </c>
      <c r="E237" s="13">
        <v>103800001</v>
      </c>
      <c r="F237" s="13" t="s">
        <v>72</v>
      </c>
      <c r="G237" s="27" t="s">
        <v>114</v>
      </c>
      <c r="H237" s="1">
        <v>22</v>
      </c>
      <c r="I237" s="2">
        <v>20000</v>
      </c>
      <c r="J237" s="17">
        <v>-1</v>
      </c>
      <c r="K237" s="1">
        <v>0</v>
      </c>
      <c r="L237" s="3" t="s">
        <v>33</v>
      </c>
      <c r="M237" s="28" t="s">
        <v>34</v>
      </c>
      <c r="N237">
        <v>20000</v>
      </c>
      <c r="O237" s="15">
        <v>1990000</v>
      </c>
    </row>
    <row r="238" spans="1:15">
      <c r="A238" s="1">
        <v>10380023</v>
      </c>
      <c r="B238" s="4">
        <v>103800</v>
      </c>
      <c r="C238" s="4">
        <v>1</v>
      </c>
      <c r="D238" s="4" t="s">
        <v>71</v>
      </c>
      <c r="E238" s="13">
        <v>103800001</v>
      </c>
      <c r="F238" s="13" t="s">
        <v>72</v>
      </c>
      <c r="G238" s="27" t="s">
        <v>115</v>
      </c>
      <c r="H238" s="1">
        <v>23</v>
      </c>
      <c r="I238" s="2">
        <v>200000</v>
      </c>
      <c r="J238" s="17">
        <v>-1</v>
      </c>
      <c r="K238" s="1">
        <v>0</v>
      </c>
      <c r="L238" s="3" t="s">
        <v>33</v>
      </c>
      <c r="M238" s="28" t="s">
        <v>34</v>
      </c>
      <c r="N238">
        <v>200000</v>
      </c>
      <c r="O238" s="15">
        <v>1990000</v>
      </c>
    </row>
    <row r="239" spans="1:15">
      <c r="A239" s="1">
        <v>10400021</v>
      </c>
      <c r="B239" s="4">
        <v>104000</v>
      </c>
      <c r="C239" s="4">
        <v>1</v>
      </c>
      <c r="D239" s="4" t="s">
        <v>73</v>
      </c>
      <c r="E239" s="13">
        <v>104000001</v>
      </c>
      <c r="F239" s="19" t="s">
        <v>74</v>
      </c>
      <c r="G239" s="27" t="s">
        <v>113</v>
      </c>
      <c r="H239" s="1">
        <v>21</v>
      </c>
      <c r="I239" s="2">
        <v>0</v>
      </c>
      <c r="J239" s="17">
        <v>-1</v>
      </c>
      <c r="K239" s="1">
        <v>0</v>
      </c>
      <c r="L239" s="3" t="s">
        <v>33</v>
      </c>
      <c r="M239" s="28" t="s">
        <v>34</v>
      </c>
      <c r="N239">
        <v>1000</v>
      </c>
      <c r="O239" s="15">
        <v>1990000</v>
      </c>
    </row>
    <row r="240" spans="1:15">
      <c r="A240" s="1">
        <v>10400022</v>
      </c>
      <c r="B240" s="4">
        <v>104000</v>
      </c>
      <c r="C240" s="4">
        <v>1</v>
      </c>
      <c r="D240" s="4" t="s">
        <v>73</v>
      </c>
      <c r="E240" s="13">
        <v>104000001</v>
      </c>
      <c r="F240" s="19" t="s">
        <v>74</v>
      </c>
      <c r="G240" s="27" t="s">
        <v>114</v>
      </c>
      <c r="H240" s="1">
        <v>22</v>
      </c>
      <c r="I240" s="2">
        <v>10000</v>
      </c>
      <c r="J240" s="17">
        <v>-1</v>
      </c>
      <c r="K240" s="1">
        <v>0</v>
      </c>
      <c r="L240" s="3" t="s">
        <v>33</v>
      </c>
      <c r="M240" s="28" t="s">
        <v>34</v>
      </c>
      <c r="N240">
        <v>10000</v>
      </c>
      <c r="O240" s="15">
        <v>1990000</v>
      </c>
    </row>
    <row r="241" spans="1:19">
      <c r="A241" s="1">
        <v>10400023</v>
      </c>
      <c r="B241" s="4">
        <v>104000</v>
      </c>
      <c r="C241" s="4">
        <v>1</v>
      </c>
      <c r="D241" s="4" t="s">
        <v>73</v>
      </c>
      <c r="E241" s="13">
        <v>104000001</v>
      </c>
      <c r="F241" s="19" t="s">
        <v>74</v>
      </c>
      <c r="G241" s="27" t="s">
        <v>115</v>
      </c>
      <c r="H241" s="1">
        <v>23</v>
      </c>
      <c r="I241" s="2">
        <v>100000</v>
      </c>
      <c r="J241" s="17">
        <v>-1</v>
      </c>
      <c r="K241" s="1">
        <v>0</v>
      </c>
      <c r="L241" s="3" t="s">
        <v>33</v>
      </c>
      <c r="M241" s="28" t="s">
        <v>34</v>
      </c>
      <c r="N241">
        <v>100000</v>
      </c>
      <c r="O241" s="15">
        <v>1990000</v>
      </c>
    </row>
    <row r="242" spans="1:19">
      <c r="A242" s="1">
        <v>20010021</v>
      </c>
      <c r="B242" s="4">
        <v>200100</v>
      </c>
      <c r="C242" s="4">
        <v>2</v>
      </c>
      <c r="D242" s="4" t="s">
        <v>75</v>
      </c>
      <c r="E242" s="13">
        <v>200100038</v>
      </c>
      <c r="F242" s="13" t="s">
        <v>76</v>
      </c>
      <c r="G242" s="1" t="s">
        <v>32</v>
      </c>
      <c r="H242" s="1">
        <v>21</v>
      </c>
      <c r="I242" s="2">
        <v>0</v>
      </c>
      <c r="J242" s="1">
        <v>-1</v>
      </c>
      <c r="K242" s="1">
        <v>0</v>
      </c>
      <c r="L242" s="3" t="s">
        <v>33</v>
      </c>
      <c r="M242" s="28" t="s">
        <v>34</v>
      </c>
      <c r="N242">
        <v>1000</v>
      </c>
      <c r="O242" s="15">
        <v>1990000</v>
      </c>
    </row>
    <row r="243" spans="1:19">
      <c r="A243" s="1">
        <v>20010022</v>
      </c>
      <c r="B243" s="4">
        <v>200100</v>
      </c>
      <c r="C243" s="4">
        <v>2</v>
      </c>
      <c r="D243" s="4" t="s">
        <v>75</v>
      </c>
      <c r="E243" s="13">
        <v>200100038</v>
      </c>
      <c r="F243" s="13" t="s">
        <v>76</v>
      </c>
      <c r="G243" s="1" t="s">
        <v>35</v>
      </c>
      <c r="H243" s="1">
        <v>22</v>
      </c>
      <c r="I243" s="2">
        <v>10000</v>
      </c>
      <c r="J243" s="1">
        <v>-1</v>
      </c>
      <c r="K243" s="1">
        <v>0</v>
      </c>
      <c r="L243" s="3" t="s">
        <v>33</v>
      </c>
      <c r="M243" s="28" t="s">
        <v>34</v>
      </c>
      <c r="N243">
        <v>10000</v>
      </c>
      <c r="O243" s="15">
        <v>1990000</v>
      </c>
    </row>
    <row r="244" spans="1:19">
      <c r="A244" s="1">
        <v>20010023</v>
      </c>
      <c r="B244" s="4">
        <v>200100</v>
      </c>
      <c r="C244" s="4">
        <v>2</v>
      </c>
      <c r="D244" s="4" t="s">
        <v>75</v>
      </c>
      <c r="E244" s="13">
        <v>200100038</v>
      </c>
      <c r="F244" s="13" t="s">
        <v>76</v>
      </c>
      <c r="G244" s="1" t="s">
        <v>36</v>
      </c>
      <c r="H244" s="1">
        <v>23</v>
      </c>
      <c r="I244" s="2">
        <v>100000</v>
      </c>
      <c r="J244" s="1">
        <v>-1</v>
      </c>
      <c r="K244" s="1">
        <v>0</v>
      </c>
      <c r="L244" s="3" t="s">
        <v>33</v>
      </c>
      <c r="M244" s="28" t="s">
        <v>34</v>
      </c>
      <c r="N244">
        <v>100000</v>
      </c>
      <c r="O244" s="15">
        <v>1990000</v>
      </c>
      <c r="Q244"/>
    </row>
    <row r="245" spans="1:19">
      <c r="A245" s="1">
        <v>20010121</v>
      </c>
      <c r="B245" s="4">
        <v>200101</v>
      </c>
      <c r="C245" s="4">
        <v>2</v>
      </c>
      <c r="D245" s="4" t="s">
        <v>77</v>
      </c>
      <c r="E245" s="13">
        <v>200101001</v>
      </c>
      <c r="F245" s="13" t="s">
        <v>78</v>
      </c>
      <c r="G245" s="1" t="s">
        <v>32</v>
      </c>
      <c r="H245" s="1">
        <v>21</v>
      </c>
      <c r="I245" s="2">
        <v>0</v>
      </c>
      <c r="J245" s="1">
        <v>-1</v>
      </c>
      <c r="K245" s="1">
        <v>0</v>
      </c>
      <c r="L245" s="3" t="s">
        <v>33</v>
      </c>
      <c r="M245" s="28" t="s">
        <v>34</v>
      </c>
      <c r="N245">
        <v>1000</v>
      </c>
      <c r="O245" s="15">
        <v>1990000</v>
      </c>
    </row>
    <row r="246" spans="1:19">
      <c r="A246" s="1">
        <v>20010122</v>
      </c>
      <c r="B246" s="4">
        <v>200101</v>
      </c>
      <c r="C246" s="4">
        <v>2</v>
      </c>
      <c r="D246" s="4" t="s">
        <v>77</v>
      </c>
      <c r="E246" s="13">
        <v>200101001</v>
      </c>
      <c r="F246" s="13" t="s">
        <v>78</v>
      </c>
      <c r="G246" s="1" t="s">
        <v>35</v>
      </c>
      <c r="H246" s="1">
        <v>22</v>
      </c>
      <c r="I246" s="2">
        <v>10000</v>
      </c>
      <c r="J246" s="1">
        <v>-1</v>
      </c>
      <c r="K246" s="1">
        <v>0</v>
      </c>
      <c r="L246" s="3" t="s">
        <v>33</v>
      </c>
      <c r="M246" s="28" t="s">
        <v>34</v>
      </c>
      <c r="N246">
        <v>10000</v>
      </c>
      <c r="O246" s="15">
        <v>1990000</v>
      </c>
      <c r="S246" s="1"/>
    </row>
    <row r="247" spans="1:19">
      <c r="A247" s="1">
        <v>20010123</v>
      </c>
      <c r="B247" s="4">
        <v>200101</v>
      </c>
      <c r="C247" s="4">
        <v>2</v>
      </c>
      <c r="D247" s="4" t="s">
        <v>77</v>
      </c>
      <c r="E247" s="13">
        <v>200101001</v>
      </c>
      <c r="F247" s="13" t="s">
        <v>78</v>
      </c>
      <c r="G247" s="1" t="s">
        <v>36</v>
      </c>
      <c r="H247" s="1">
        <v>23</v>
      </c>
      <c r="I247" s="2">
        <v>100000</v>
      </c>
      <c r="J247" s="1">
        <v>-1</v>
      </c>
      <c r="K247" s="1">
        <v>0</v>
      </c>
      <c r="L247" s="3" t="s">
        <v>33</v>
      </c>
      <c r="M247" s="28" t="s">
        <v>34</v>
      </c>
      <c r="N247">
        <v>100000</v>
      </c>
      <c r="O247" s="15">
        <v>1990000</v>
      </c>
      <c r="S247" s="1"/>
    </row>
    <row r="248" spans="1:19">
      <c r="A248" s="1">
        <v>20030021</v>
      </c>
      <c r="B248" s="4">
        <v>200300</v>
      </c>
      <c r="C248" s="4">
        <v>2</v>
      </c>
      <c r="D248" s="4" t="s">
        <v>79</v>
      </c>
      <c r="E248" s="13">
        <v>200300001</v>
      </c>
      <c r="F248" s="13" t="s">
        <v>80</v>
      </c>
      <c r="G248" s="1" t="s">
        <v>32</v>
      </c>
      <c r="H248" s="1">
        <v>21</v>
      </c>
      <c r="I248" s="2">
        <v>0</v>
      </c>
      <c r="J248" s="1">
        <v>-1</v>
      </c>
      <c r="K248" s="1">
        <v>0</v>
      </c>
      <c r="L248" s="3" t="s">
        <v>33</v>
      </c>
      <c r="M248" s="28" t="s">
        <v>34</v>
      </c>
      <c r="N248">
        <v>1000</v>
      </c>
      <c r="O248" s="15">
        <v>1990000</v>
      </c>
    </row>
    <row r="249" spans="1:19">
      <c r="A249" s="1">
        <v>20030022</v>
      </c>
      <c r="B249" s="4">
        <v>200300</v>
      </c>
      <c r="C249" s="4">
        <v>2</v>
      </c>
      <c r="D249" s="4" t="s">
        <v>79</v>
      </c>
      <c r="E249" s="13">
        <v>200300001</v>
      </c>
      <c r="F249" s="13" t="s">
        <v>80</v>
      </c>
      <c r="G249" s="1" t="s">
        <v>35</v>
      </c>
      <c r="H249" s="1">
        <v>22</v>
      </c>
      <c r="I249" s="2">
        <v>10000</v>
      </c>
      <c r="J249" s="1">
        <v>-1</v>
      </c>
      <c r="K249" s="1">
        <v>0</v>
      </c>
      <c r="L249" s="3" t="s">
        <v>33</v>
      </c>
      <c r="M249" s="28" t="s">
        <v>34</v>
      </c>
      <c r="N249">
        <v>10000</v>
      </c>
      <c r="O249" s="15">
        <v>1990000</v>
      </c>
      <c r="Q249" s="2"/>
      <c r="R249" s="4"/>
    </row>
    <row r="250" spans="1:19">
      <c r="A250" s="1">
        <v>20030023</v>
      </c>
      <c r="B250" s="4">
        <v>200300</v>
      </c>
      <c r="C250" s="4">
        <v>2</v>
      </c>
      <c r="D250" s="4" t="s">
        <v>79</v>
      </c>
      <c r="E250" s="13">
        <v>200300001</v>
      </c>
      <c r="F250" s="13" t="s">
        <v>80</v>
      </c>
      <c r="G250" s="1" t="s">
        <v>36</v>
      </c>
      <c r="H250" s="1">
        <v>23</v>
      </c>
      <c r="I250" s="2">
        <v>100000</v>
      </c>
      <c r="J250" s="1">
        <v>-1</v>
      </c>
      <c r="K250" s="1">
        <v>0</v>
      </c>
      <c r="L250" s="3" t="s">
        <v>33</v>
      </c>
      <c r="M250" s="28" t="s">
        <v>34</v>
      </c>
      <c r="N250">
        <v>100000</v>
      </c>
      <c r="O250" s="15">
        <v>1990000</v>
      </c>
      <c r="Q250" s="2"/>
      <c r="R250" s="2"/>
    </row>
    <row r="251" spans="1:19">
      <c r="A251" s="1">
        <v>20040021</v>
      </c>
      <c r="B251" s="4">
        <v>200400</v>
      </c>
      <c r="C251" s="4">
        <v>2</v>
      </c>
      <c r="D251" s="2" t="s">
        <v>81</v>
      </c>
      <c r="E251" s="13">
        <v>200400009</v>
      </c>
      <c r="F251" s="13" t="s">
        <v>82</v>
      </c>
      <c r="G251" s="1" t="s">
        <v>32</v>
      </c>
      <c r="H251" s="1">
        <v>21</v>
      </c>
      <c r="I251" s="2">
        <v>0</v>
      </c>
      <c r="J251" s="1">
        <v>-1</v>
      </c>
      <c r="K251" s="1">
        <v>0</v>
      </c>
      <c r="L251" s="3" t="s">
        <v>33</v>
      </c>
      <c r="M251" s="28" t="s">
        <v>34</v>
      </c>
      <c r="N251">
        <v>1000</v>
      </c>
      <c r="O251" s="15">
        <v>1990000</v>
      </c>
      <c r="Q251" s="2"/>
      <c r="R251" s="2"/>
    </row>
    <row r="252" spans="1:19">
      <c r="A252" s="1">
        <v>20040022</v>
      </c>
      <c r="B252" s="4">
        <v>200400</v>
      </c>
      <c r="C252" s="4">
        <v>2</v>
      </c>
      <c r="D252" s="2" t="s">
        <v>81</v>
      </c>
      <c r="E252" s="13">
        <v>200400009</v>
      </c>
      <c r="F252" s="13" t="s">
        <v>82</v>
      </c>
      <c r="G252" s="1" t="s">
        <v>35</v>
      </c>
      <c r="H252" s="1">
        <v>22</v>
      </c>
      <c r="I252" s="2">
        <v>10000</v>
      </c>
      <c r="J252" s="1">
        <v>-1</v>
      </c>
      <c r="K252" s="1">
        <v>0</v>
      </c>
      <c r="L252" s="3" t="s">
        <v>33</v>
      </c>
      <c r="M252" s="28" t="s">
        <v>34</v>
      </c>
      <c r="N252">
        <v>10000</v>
      </c>
      <c r="O252" s="15">
        <v>1990000</v>
      </c>
      <c r="Q252" s="2"/>
      <c r="R252" s="2"/>
    </row>
    <row r="253" spans="1:19">
      <c r="A253" s="1">
        <v>20040023</v>
      </c>
      <c r="B253" s="4">
        <v>200400</v>
      </c>
      <c r="C253" s="4">
        <v>2</v>
      </c>
      <c r="D253" s="2" t="s">
        <v>81</v>
      </c>
      <c r="E253" s="13">
        <v>200400009</v>
      </c>
      <c r="F253" s="13" t="s">
        <v>82</v>
      </c>
      <c r="G253" s="1" t="s">
        <v>36</v>
      </c>
      <c r="H253" s="1">
        <v>23</v>
      </c>
      <c r="I253" s="2">
        <v>100000</v>
      </c>
      <c r="J253" s="1">
        <v>-1</v>
      </c>
      <c r="K253" s="1">
        <v>0</v>
      </c>
      <c r="L253" s="3" t="s">
        <v>33</v>
      </c>
      <c r="M253" s="28" t="s">
        <v>34</v>
      </c>
      <c r="N253">
        <v>100000</v>
      </c>
      <c r="O253" s="15">
        <v>1990000</v>
      </c>
      <c r="Q253" s="2"/>
      <c r="R253" s="2"/>
    </row>
    <row r="254" spans="1:19">
      <c r="A254" s="1">
        <v>20050021</v>
      </c>
      <c r="B254" s="4">
        <v>200500</v>
      </c>
      <c r="C254" s="4">
        <v>2</v>
      </c>
      <c r="D254" s="4" t="s">
        <v>83</v>
      </c>
      <c r="E254" s="13">
        <v>200500025</v>
      </c>
      <c r="F254" s="13" t="s">
        <v>84</v>
      </c>
      <c r="G254" s="1" t="s">
        <v>32</v>
      </c>
      <c r="H254" s="1">
        <v>21</v>
      </c>
      <c r="I254" s="2">
        <v>0</v>
      </c>
      <c r="J254" s="1">
        <v>-1</v>
      </c>
      <c r="K254" s="1">
        <v>0</v>
      </c>
      <c r="L254" s="3" t="s">
        <v>33</v>
      </c>
      <c r="M254" s="28" t="s">
        <v>85</v>
      </c>
      <c r="N254">
        <v>1000</v>
      </c>
      <c r="O254" s="15">
        <v>1990000</v>
      </c>
      <c r="Q254" s="2"/>
      <c r="R254" s="2"/>
    </row>
    <row r="255" spans="1:19">
      <c r="A255" s="1">
        <v>20050022</v>
      </c>
      <c r="B255" s="4">
        <v>200500</v>
      </c>
      <c r="C255" s="4">
        <v>2</v>
      </c>
      <c r="D255" s="4" t="s">
        <v>83</v>
      </c>
      <c r="E255" s="13">
        <v>200500025</v>
      </c>
      <c r="F255" s="13" t="s">
        <v>84</v>
      </c>
      <c r="G255" s="1" t="s">
        <v>35</v>
      </c>
      <c r="H255" s="1">
        <v>22</v>
      </c>
      <c r="I255" s="2">
        <v>10000</v>
      </c>
      <c r="J255" s="1">
        <v>-1</v>
      </c>
      <c r="K255" s="1">
        <v>0</v>
      </c>
      <c r="L255" s="3" t="s">
        <v>33</v>
      </c>
      <c r="M255" s="28" t="s">
        <v>85</v>
      </c>
      <c r="N255">
        <v>10000</v>
      </c>
      <c r="O255" s="15">
        <v>1990000</v>
      </c>
      <c r="Q255" s="2"/>
      <c r="R255" s="2"/>
    </row>
    <row r="256" spans="1:19">
      <c r="A256" s="1">
        <v>20050023</v>
      </c>
      <c r="B256" s="4">
        <v>200500</v>
      </c>
      <c r="C256" s="4">
        <v>2</v>
      </c>
      <c r="D256" s="4" t="s">
        <v>83</v>
      </c>
      <c r="E256" s="13">
        <v>200500025</v>
      </c>
      <c r="F256" s="13" t="s">
        <v>84</v>
      </c>
      <c r="G256" s="1" t="s">
        <v>36</v>
      </c>
      <c r="H256" s="1">
        <v>23</v>
      </c>
      <c r="I256" s="2">
        <v>100000</v>
      </c>
      <c r="J256" s="1">
        <v>-1</v>
      </c>
      <c r="K256" s="1">
        <v>0</v>
      </c>
      <c r="L256" s="3" t="s">
        <v>33</v>
      </c>
      <c r="M256" s="28" t="s">
        <v>85</v>
      </c>
      <c r="N256">
        <v>100000</v>
      </c>
      <c r="O256" s="15">
        <v>1990000</v>
      </c>
      <c r="Q256" s="2"/>
      <c r="R256" s="2"/>
    </row>
    <row r="257" spans="1:18">
      <c r="A257" s="1">
        <v>20060021</v>
      </c>
      <c r="B257" s="4">
        <v>200600</v>
      </c>
      <c r="C257" s="4">
        <v>2</v>
      </c>
      <c r="D257" s="13" t="s">
        <v>86</v>
      </c>
      <c r="E257" s="13">
        <v>200600001</v>
      </c>
      <c r="F257" s="13" t="s">
        <v>87</v>
      </c>
      <c r="G257" s="1" t="s">
        <v>32</v>
      </c>
      <c r="H257" s="1">
        <v>21</v>
      </c>
      <c r="I257" s="2">
        <v>0</v>
      </c>
      <c r="J257" s="1">
        <v>-1</v>
      </c>
      <c r="K257" s="1">
        <v>0</v>
      </c>
      <c r="L257" s="3" t="s">
        <v>33</v>
      </c>
      <c r="M257" s="28" t="s">
        <v>34</v>
      </c>
      <c r="N257">
        <v>1000</v>
      </c>
      <c r="O257" s="15">
        <v>1990000</v>
      </c>
      <c r="Q257" s="2"/>
      <c r="R257" s="2"/>
    </row>
    <row r="258" spans="1:18">
      <c r="A258" s="1">
        <v>20060022</v>
      </c>
      <c r="B258" s="4">
        <v>200600</v>
      </c>
      <c r="C258" s="4">
        <v>2</v>
      </c>
      <c r="D258" s="13" t="s">
        <v>86</v>
      </c>
      <c r="E258" s="13">
        <v>200600001</v>
      </c>
      <c r="F258" s="13" t="s">
        <v>87</v>
      </c>
      <c r="G258" s="1" t="s">
        <v>35</v>
      </c>
      <c r="H258" s="1">
        <v>22</v>
      </c>
      <c r="I258" s="2">
        <v>10000</v>
      </c>
      <c r="J258" s="1">
        <v>-1</v>
      </c>
      <c r="K258" s="1">
        <v>0</v>
      </c>
      <c r="L258" s="3" t="s">
        <v>33</v>
      </c>
      <c r="M258" s="28" t="s">
        <v>34</v>
      </c>
      <c r="N258">
        <v>10000</v>
      </c>
      <c r="O258" s="15">
        <v>1990000</v>
      </c>
      <c r="Q258" s="2"/>
      <c r="R258" s="2"/>
    </row>
    <row r="259" spans="1:18">
      <c r="A259" s="1">
        <v>20060023</v>
      </c>
      <c r="B259" s="4">
        <v>200600</v>
      </c>
      <c r="C259" s="4">
        <v>2</v>
      </c>
      <c r="D259" s="13" t="s">
        <v>86</v>
      </c>
      <c r="E259" s="13">
        <v>200600001</v>
      </c>
      <c r="F259" s="13" t="s">
        <v>87</v>
      </c>
      <c r="G259" s="1" t="s">
        <v>36</v>
      </c>
      <c r="H259" s="1">
        <v>23</v>
      </c>
      <c r="I259" s="2">
        <v>100000</v>
      </c>
      <c r="J259" s="1">
        <v>-1</v>
      </c>
      <c r="K259" s="1">
        <v>0</v>
      </c>
      <c r="L259" s="3" t="s">
        <v>33</v>
      </c>
      <c r="M259" s="28" t="s">
        <v>34</v>
      </c>
      <c r="N259">
        <v>100000</v>
      </c>
      <c r="O259" s="15">
        <v>1990000</v>
      </c>
      <c r="Q259" s="2"/>
      <c r="R259"/>
    </row>
    <row r="260" spans="1:18">
      <c r="A260" s="1">
        <v>20070021</v>
      </c>
      <c r="B260" s="4">
        <v>200700</v>
      </c>
      <c r="C260" s="4">
        <v>2</v>
      </c>
      <c r="D260" s="4" t="s">
        <v>88</v>
      </c>
      <c r="E260" s="13">
        <v>200700001</v>
      </c>
      <c r="F260" s="13" t="s">
        <v>89</v>
      </c>
      <c r="G260" s="1" t="s">
        <v>32</v>
      </c>
      <c r="H260" s="1">
        <v>21</v>
      </c>
      <c r="I260" s="2">
        <v>0</v>
      </c>
      <c r="J260" s="1">
        <v>-1</v>
      </c>
      <c r="K260" s="1">
        <v>0</v>
      </c>
      <c r="L260" s="3" t="s">
        <v>33</v>
      </c>
      <c r="M260" s="28" t="s">
        <v>34</v>
      </c>
      <c r="N260">
        <v>1000</v>
      </c>
      <c r="O260" s="15">
        <v>1990000</v>
      </c>
      <c r="Q260" s="2"/>
      <c r="R260" s="2"/>
    </row>
    <row r="261" spans="1:18">
      <c r="A261" s="1">
        <v>20070022</v>
      </c>
      <c r="B261" s="4">
        <v>200700</v>
      </c>
      <c r="C261" s="4">
        <v>2</v>
      </c>
      <c r="D261" s="4" t="s">
        <v>88</v>
      </c>
      <c r="E261" s="13">
        <v>200700001</v>
      </c>
      <c r="F261" s="13" t="s">
        <v>89</v>
      </c>
      <c r="G261" s="1" t="s">
        <v>35</v>
      </c>
      <c r="H261" s="1">
        <v>22</v>
      </c>
      <c r="I261" s="2">
        <v>10000</v>
      </c>
      <c r="J261" s="1">
        <v>-1</v>
      </c>
      <c r="K261" s="1">
        <v>0</v>
      </c>
      <c r="L261" s="3" t="s">
        <v>33</v>
      </c>
      <c r="M261" s="28" t="s">
        <v>34</v>
      </c>
      <c r="N261">
        <v>10000</v>
      </c>
      <c r="O261" s="15">
        <v>1990000</v>
      </c>
      <c r="Q261" s="2"/>
      <c r="R261" s="2"/>
    </row>
    <row r="262" spans="1:18">
      <c r="A262" s="1">
        <v>20070023</v>
      </c>
      <c r="B262" s="4">
        <v>200700</v>
      </c>
      <c r="C262" s="4">
        <v>2</v>
      </c>
      <c r="D262" s="4" t="s">
        <v>88</v>
      </c>
      <c r="E262" s="13">
        <v>200700001</v>
      </c>
      <c r="F262" s="13" t="s">
        <v>89</v>
      </c>
      <c r="G262" s="1" t="s">
        <v>36</v>
      </c>
      <c r="H262" s="1">
        <v>23</v>
      </c>
      <c r="I262" s="2">
        <v>100000</v>
      </c>
      <c r="J262" s="1">
        <v>-1</v>
      </c>
      <c r="K262" s="1">
        <v>0</v>
      </c>
      <c r="L262" s="3" t="s">
        <v>33</v>
      </c>
      <c r="M262" s="28" t="s">
        <v>34</v>
      </c>
      <c r="N262">
        <v>100000</v>
      </c>
      <c r="O262" s="15">
        <v>1990000</v>
      </c>
    </row>
    <row r="263" spans="1:18">
      <c r="A263" s="1">
        <v>20080021</v>
      </c>
      <c r="B263" s="4">
        <v>200800</v>
      </c>
      <c r="C263" s="4">
        <v>2</v>
      </c>
      <c r="D263" s="13" t="s">
        <v>90</v>
      </c>
      <c r="E263" s="13">
        <v>200800001</v>
      </c>
      <c r="F263" s="13" t="s">
        <v>91</v>
      </c>
      <c r="G263" s="1" t="s">
        <v>32</v>
      </c>
      <c r="H263" s="1">
        <v>21</v>
      </c>
      <c r="I263" s="2">
        <v>0</v>
      </c>
      <c r="J263" s="1">
        <v>-1</v>
      </c>
      <c r="K263" s="1">
        <v>0</v>
      </c>
      <c r="L263" s="3" t="s">
        <v>33</v>
      </c>
      <c r="M263" s="28" t="s">
        <v>34</v>
      </c>
      <c r="N263">
        <v>1000</v>
      </c>
      <c r="O263" s="15">
        <v>1990000</v>
      </c>
    </row>
    <row r="264" spans="1:18">
      <c r="A264" s="1">
        <v>20080022</v>
      </c>
      <c r="B264" s="4">
        <v>200800</v>
      </c>
      <c r="C264" s="4">
        <v>2</v>
      </c>
      <c r="D264" s="13" t="s">
        <v>90</v>
      </c>
      <c r="E264" s="13">
        <v>200800001</v>
      </c>
      <c r="F264" s="13" t="s">
        <v>91</v>
      </c>
      <c r="G264" s="1" t="s">
        <v>35</v>
      </c>
      <c r="H264" s="1">
        <v>22</v>
      </c>
      <c r="I264" s="2">
        <v>10000</v>
      </c>
      <c r="J264" s="1">
        <v>-1</v>
      </c>
      <c r="K264" s="1">
        <v>0</v>
      </c>
      <c r="L264" s="3" t="s">
        <v>33</v>
      </c>
      <c r="M264" s="28" t="s">
        <v>34</v>
      </c>
      <c r="N264">
        <v>10000</v>
      </c>
      <c r="O264" s="15">
        <v>1990000</v>
      </c>
    </row>
    <row r="265" spans="1:18">
      <c r="A265" s="1">
        <v>20080023</v>
      </c>
      <c r="B265" s="4">
        <v>200800</v>
      </c>
      <c r="C265" s="4">
        <v>2</v>
      </c>
      <c r="D265" s="13" t="s">
        <v>90</v>
      </c>
      <c r="E265" s="13">
        <v>200800001</v>
      </c>
      <c r="F265" s="13" t="s">
        <v>91</v>
      </c>
      <c r="G265" s="1" t="s">
        <v>36</v>
      </c>
      <c r="H265" s="1">
        <v>23</v>
      </c>
      <c r="I265" s="2">
        <v>100000</v>
      </c>
      <c r="J265" s="1">
        <v>-1</v>
      </c>
      <c r="K265" s="1">
        <v>0</v>
      </c>
      <c r="L265" s="3" t="s">
        <v>33</v>
      </c>
      <c r="M265" s="28" t="s">
        <v>34</v>
      </c>
      <c r="N265">
        <v>100000</v>
      </c>
      <c r="O265" s="15">
        <v>1990000</v>
      </c>
    </row>
    <row r="266" spans="1:18">
      <c r="A266" s="1">
        <v>20090021</v>
      </c>
      <c r="B266" s="20">
        <v>200900</v>
      </c>
      <c r="C266" s="4">
        <v>2</v>
      </c>
      <c r="D266" s="20" t="s">
        <v>92</v>
      </c>
      <c r="E266" s="13">
        <v>200900001</v>
      </c>
      <c r="F266" s="13" t="s">
        <v>93</v>
      </c>
      <c r="G266" s="1" t="s">
        <v>32</v>
      </c>
      <c r="H266" s="1">
        <v>21</v>
      </c>
      <c r="I266" s="2">
        <v>0</v>
      </c>
      <c r="J266" s="1">
        <v>-1</v>
      </c>
      <c r="K266" s="1">
        <v>0</v>
      </c>
      <c r="L266" s="3" t="s">
        <v>33</v>
      </c>
      <c r="M266" s="28" t="s">
        <v>34</v>
      </c>
      <c r="N266">
        <v>1000</v>
      </c>
      <c r="O266" s="15">
        <v>1990000</v>
      </c>
    </row>
    <row r="267" spans="1:18">
      <c r="A267" s="1">
        <v>20090022</v>
      </c>
      <c r="B267" s="4">
        <v>200900</v>
      </c>
      <c r="C267" s="4">
        <v>2</v>
      </c>
      <c r="D267" s="4" t="s">
        <v>92</v>
      </c>
      <c r="E267" s="13">
        <v>200900001</v>
      </c>
      <c r="F267" s="13" t="s">
        <v>93</v>
      </c>
      <c r="G267" s="1" t="s">
        <v>35</v>
      </c>
      <c r="H267" s="1">
        <v>22</v>
      </c>
      <c r="I267" s="2">
        <v>10000</v>
      </c>
      <c r="J267" s="1">
        <v>-1</v>
      </c>
      <c r="K267" s="1">
        <v>0</v>
      </c>
      <c r="L267" s="3" t="s">
        <v>33</v>
      </c>
      <c r="M267" s="28" t="s">
        <v>34</v>
      </c>
      <c r="N267">
        <v>10000</v>
      </c>
      <c r="O267" s="15">
        <v>1990000</v>
      </c>
    </row>
    <row r="268" spans="1:18">
      <c r="A268" s="1">
        <v>20090023</v>
      </c>
      <c r="B268" s="4">
        <v>200900</v>
      </c>
      <c r="C268" s="4">
        <v>2</v>
      </c>
      <c r="D268" s="4" t="s">
        <v>92</v>
      </c>
      <c r="E268" s="13">
        <v>200900001</v>
      </c>
      <c r="F268" s="13" t="s">
        <v>93</v>
      </c>
      <c r="G268" s="1" t="s">
        <v>36</v>
      </c>
      <c r="H268" s="1">
        <v>23</v>
      </c>
      <c r="I268" s="2">
        <v>100000</v>
      </c>
      <c r="J268" s="1">
        <v>-1</v>
      </c>
      <c r="K268" s="1">
        <v>0</v>
      </c>
      <c r="L268" s="3" t="s">
        <v>33</v>
      </c>
      <c r="M268" s="28" t="s">
        <v>34</v>
      </c>
      <c r="N268">
        <v>100000</v>
      </c>
      <c r="O268" s="15">
        <v>1990000</v>
      </c>
    </row>
    <row r="269" spans="1:18">
      <c r="A269" s="1">
        <v>20120021</v>
      </c>
      <c r="B269" s="4">
        <v>201200</v>
      </c>
      <c r="C269" s="4">
        <v>2</v>
      </c>
      <c r="D269" s="4" t="s">
        <v>105</v>
      </c>
      <c r="E269" s="13">
        <v>201200001</v>
      </c>
      <c r="F269" s="22" t="s">
        <v>106</v>
      </c>
      <c r="G269" s="1" t="s">
        <v>32</v>
      </c>
      <c r="H269" s="1">
        <v>21</v>
      </c>
      <c r="I269" s="2">
        <v>0</v>
      </c>
      <c r="J269" s="1">
        <v>-1</v>
      </c>
      <c r="K269" s="1">
        <v>0</v>
      </c>
      <c r="L269" s="3" t="s">
        <v>33</v>
      </c>
      <c r="M269" s="28" t="s">
        <v>85</v>
      </c>
      <c r="N269">
        <v>1000</v>
      </c>
      <c r="O269" s="15">
        <v>1990000</v>
      </c>
    </row>
    <row r="270" spans="1:18">
      <c r="A270" s="1">
        <v>20120022</v>
      </c>
      <c r="B270" s="4">
        <v>201200</v>
      </c>
      <c r="C270" s="4">
        <v>2</v>
      </c>
      <c r="D270" s="4" t="s">
        <v>105</v>
      </c>
      <c r="E270" s="13">
        <v>201200001</v>
      </c>
      <c r="F270" s="22" t="s">
        <v>106</v>
      </c>
      <c r="G270" s="1" t="s">
        <v>35</v>
      </c>
      <c r="H270" s="1">
        <v>22</v>
      </c>
      <c r="I270" s="2">
        <v>10000</v>
      </c>
      <c r="J270" s="1">
        <v>-1</v>
      </c>
      <c r="K270" s="1">
        <v>0</v>
      </c>
      <c r="L270" s="3" t="s">
        <v>33</v>
      </c>
      <c r="M270" s="28" t="s">
        <v>85</v>
      </c>
      <c r="N270">
        <v>10000</v>
      </c>
      <c r="O270" s="15">
        <v>1990000</v>
      </c>
    </row>
    <row r="271" spans="1:18">
      <c r="A271" s="1">
        <v>20120023</v>
      </c>
      <c r="B271" s="4">
        <v>201200</v>
      </c>
      <c r="C271" s="4">
        <v>2</v>
      </c>
      <c r="D271" s="4" t="s">
        <v>105</v>
      </c>
      <c r="E271" s="13">
        <v>201200001</v>
      </c>
      <c r="F271" s="22" t="s">
        <v>106</v>
      </c>
      <c r="G271" s="1" t="s">
        <v>36</v>
      </c>
      <c r="H271" s="1">
        <v>23</v>
      </c>
      <c r="I271" s="2">
        <v>100000</v>
      </c>
      <c r="J271" s="1">
        <v>-1</v>
      </c>
      <c r="K271" s="1">
        <v>0</v>
      </c>
      <c r="L271" s="3" t="s">
        <v>33</v>
      </c>
      <c r="M271" s="28" t="s">
        <v>85</v>
      </c>
      <c r="N271">
        <v>100000</v>
      </c>
      <c r="O271" s="15">
        <v>1990000</v>
      </c>
    </row>
    <row r="272" spans="1:18">
      <c r="A272" s="1">
        <v>30040231</v>
      </c>
      <c r="B272" s="4">
        <v>300402</v>
      </c>
      <c r="C272" s="1">
        <v>3</v>
      </c>
      <c r="D272" s="4" t="s">
        <v>116</v>
      </c>
      <c r="E272" s="13">
        <v>300402001</v>
      </c>
      <c r="F272" s="22" t="s">
        <v>117</v>
      </c>
      <c r="G272" s="1" t="s">
        <v>32</v>
      </c>
      <c r="H272" s="1">
        <v>31</v>
      </c>
      <c r="I272" s="23">
        <f t="shared" ref="I269:I274" si="11">N272*52</f>
        <v>5200</v>
      </c>
      <c r="J272" s="1">
        <v>-1</v>
      </c>
      <c r="K272" s="1">
        <v>0</v>
      </c>
      <c r="L272" s="3" t="s">
        <v>103</v>
      </c>
      <c r="M272" s="28" t="s">
        <v>104</v>
      </c>
      <c r="N272" s="23">
        <v>100</v>
      </c>
      <c r="O272" s="15">
        <v>1970000</v>
      </c>
    </row>
    <row r="273" spans="1:15">
      <c r="A273" s="1">
        <v>30040232</v>
      </c>
      <c r="B273" s="4">
        <v>300402</v>
      </c>
      <c r="C273" s="4">
        <v>3</v>
      </c>
      <c r="D273" s="4" t="s">
        <v>116</v>
      </c>
      <c r="E273" s="13">
        <v>300402001</v>
      </c>
      <c r="F273" s="22" t="s">
        <v>117</v>
      </c>
      <c r="G273" s="1" t="s">
        <v>35</v>
      </c>
      <c r="H273" s="1">
        <v>32</v>
      </c>
      <c r="I273" s="23">
        <f t="shared" si="11"/>
        <v>52000</v>
      </c>
      <c r="J273" s="1">
        <v>-1</v>
      </c>
      <c r="K273" s="1">
        <v>0</v>
      </c>
      <c r="L273" s="3" t="s">
        <v>103</v>
      </c>
      <c r="M273" s="28" t="s">
        <v>104</v>
      </c>
      <c r="N273" s="23">
        <v>1000</v>
      </c>
      <c r="O273" s="15">
        <v>1970000</v>
      </c>
    </row>
    <row r="274" spans="1:15">
      <c r="A274" s="1">
        <v>30040233</v>
      </c>
      <c r="B274" s="4">
        <v>300402</v>
      </c>
      <c r="C274" s="4">
        <v>3</v>
      </c>
      <c r="D274" s="4" t="s">
        <v>116</v>
      </c>
      <c r="E274" s="13">
        <v>300402001</v>
      </c>
      <c r="F274" s="22" t="s">
        <v>117</v>
      </c>
      <c r="G274" s="1" t="s">
        <v>36</v>
      </c>
      <c r="H274" s="1">
        <v>33</v>
      </c>
      <c r="I274" s="23">
        <f t="shared" si="11"/>
        <v>520000</v>
      </c>
      <c r="J274" s="1">
        <v>-1</v>
      </c>
      <c r="K274" s="1">
        <v>0</v>
      </c>
      <c r="L274" s="3" t="s">
        <v>103</v>
      </c>
      <c r="M274" s="28" t="s">
        <v>104</v>
      </c>
      <c r="N274" s="23">
        <v>10000</v>
      </c>
      <c r="O274" s="15">
        <v>1970000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了不起的自己</cp:lastModifiedBy>
  <dcterms:created xsi:type="dcterms:W3CDTF">2015-06-06T02:19:00Z</dcterms:created>
  <dcterms:modified xsi:type="dcterms:W3CDTF">2026-04-28T08:39:14Z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2052-12.1.0.25865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