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<sst xmlns="http://schemas.openxmlformats.org/spreadsheetml/2006/main" count="832" uniqueCount="113">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</sst>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zoomScale="85" zoomScaleNormal="85" workbookViewId="0">
      <pane ySplit="4" topLeftCell="A77" activePane="bottomLeft" state="frozen"/>
      <selection/>
      <selection pane="bottomLeft" activeCell="A137" sqref="$A137:$XFD13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31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31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2000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20000</v>
      </c>
      <c r="J63" s="19">
        <v>-1</v>
      </c>
      <c r="K63" s="1">
        <v>0</v>
      </c>
      <c r="L63" s="3" t="s">
        <v>33</v>
      </c>
      <c r="M63" s="31" t="s">
        <v>34</v>
      </c>
      <c r="N63">
        <v>20000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200000</v>
      </c>
      <c r="J64" s="19">
        <v>-1</v>
      </c>
      <c r="K64" s="1">
        <v>0</v>
      </c>
      <c r="L64" s="3" t="s">
        <v>33</v>
      </c>
      <c r="M64" s="31" t="s">
        <v>34</v>
      </c>
      <c r="N64">
        <v>200000</v>
      </c>
      <c r="O64" s="17">
        <v>1990000</v>
      </c>
    </row>
    <row r="65" spans="1:19">
      <c r="A65" s="1">
        <v>1040001</v>
      </c>
      <c r="B65" s="14">
        <v>104000</v>
      </c>
      <c r="C65" s="14">
        <v>1</v>
      </c>
      <c r="D65" s="14" t="s">
        <v>75</v>
      </c>
      <c r="E65" s="15">
        <v>104000001</v>
      </c>
      <c r="F65" s="21" t="s">
        <v>76</v>
      </c>
      <c r="G65" s="1" t="s">
        <v>32</v>
      </c>
      <c r="H65" s="1">
        <v>1</v>
      </c>
      <c r="I65" s="2">
        <v>0</v>
      </c>
      <c r="J65" s="19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1040002</v>
      </c>
      <c r="B66" s="14">
        <v>104000</v>
      </c>
      <c r="C66" s="14">
        <v>1</v>
      </c>
      <c r="D66" s="14" t="s">
        <v>75</v>
      </c>
      <c r="E66" s="15">
        <v>104000001</v>
      </c>
      <c r="F66" s="21" t="s">
        <v>76</v>
      </c>
      <c r="G66" s="1" t="s">
        <v>35</v>
      </c>
      <c r="H66" s="1">
        <v>2</v>
      </c>
      <c r="I66" s="2">
        <v>10000</v>
      </c>
      <c r="J66" s="19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1040003</v>
      </c>
      <c r="B67" s="14">
        <v>104000</v>
      </c>
      <c r="C67" s="14">
        <v>1</v>
      </c>
      <c r="D67" s="14" t="s">
        <v>75</v>
      </c>
      <c r="E67" s="15">
        <v>104000001</v>
      </c>
      <c r="F67" s="21" t="s">
        <v>76</v>
      </c>
      <c r="G67" s="1" t="s">
        <v>36</v>
      </c>
      <c r="H67" s="1">
        <v>3</v>
      </c>
      <c r="I67" s="2">
        <v>100000</v>
      </c>
      <c r="J67" s="19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</row>
    <row r="68" spans="1:19">
      <c r="A68" s="1">
        <v>2001001</v>
      </c>
      <c r="B68" s="14">
        <v>200100</v>
      </c>
      <c r="C68" s="14">
        <v>2</v>
      </c>
      <c r="D68" s="14" t="s">
        <v>77</v>
      </c>
      <c r="E68" s="15">
        <v>200100038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pans="1:19">
      <c r="A69" s="1">
        <v>2001002</v>
      </c>
      <c r="B69" s="14">
        <v>200100</v>
      </c>
      <c r="C69" s="14">
        <v>2</v>
      </c>
      <c r="D69" s="14" t="s">
        <v>77</v>
      </c>
      <c r="E69" s="15">
        <v>200100038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pans="1:19">
      <c r="A70" s="1">
        <v>2001003</v>
      </c>
      <c r="B70" s="14">
        <v>200100</v>
      </c>
      <c r="C70" s="14">
        <v>2</v>
      </c>
      <c r="D70" s="14" t="s">
        <v>77</v>
      </c>
      <c r="E70" s="15">
        <v>200100038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  <c r="Q70"/>
    </row>
    <row r="71" spans="1:19">
      <c r="A71" s="1">
        <v>2001011</v>
      </c>
      <c r="B71" s="14">
        <v>200101</v>
      </c>
      <c r="C71" s="14">
        <v>2</v>
      </c>
      <c r="D71" s="14" t="s">
        <v>79</v>
      </c>
      <c r="E71" s="15">
        <v>200101001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2001012</v>
      </c>
      <c r="B72" s="14">
        <v>200101</v>
      </c>
      <c r="C72" s="14">
        <v>2</v>
      </c>
      <c r="D72" s="14" t="s">
        <v>79</v>
      </c>
      <c r="E72" s="15">
        <v>200101001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S72" s="2"/>
    </row>
    <row r="73" s="1" customFormat="1" spans="1:19">
      <c r="A73" s="1">
        <v>2001013</v>
      </c>
      <c r="B73" s="14">
        <v>200101</v>
      </c>
      <c r="C73" s="14">
        <v>2</v>
      </c>
      <c r="D73" s="14" t="s">
        <v>79</v>
      </c>
      <c r="E73" s="15">
        <v>200101001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S73" s="2"/>
    </row>
    <row r="74" spans="1:19">
      <c r="A74" s="1">
        <v>2003001</v>
      </c>
      <c r="B74" s="14">
        <v>200300</v>
      </c>
      <c r="C74" s="14">
        <v>2</v>
      </c>
      <c r="D74" s="14" t="s">
        <v>81</v>
      </c>
      <c r="E74" s="15">
        <v>200300001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</row>
    <row r="75" s="1" customFormat="1" spans="1:19">
      <c r="A75" s="1">
        <v>2003002</v>
      </c>
      <c r="B75" s="14">
        <v>200300</v>
      </c>
      <c r="C75" s="14">
        <v>2</v>
      </c>
      <c r="D75" s="14" t="s">
        <v>81</v>
      </c>
      <c r="E75" s="15">
        <v>200300001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14"/>
      <c r="S75" s="2"/>
    </row>
    <row r="76" s="1" customFormat="1" spans="1:19">
      <c r="A76" s="1">
        <v>2003003</v>
      </c>
      <c r="B76" s="14">
        <v>200300</v>
      </c>
      <c r="C76" s="14">
        <v>2</v>
      </c>
      <c r="D76" s="14" t="s">
        <v>81</v>
      </c>
      <c r="E76" s="15">
        <v>200300001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2004001</v>
      </c>
      <c r="B77" s="14">
        <v>200400</v>
      </c>
      <c r="C77" s="14">
        <v>2</v>
      </c>
      <c r="D77" s="22" t="s">
        <v>83</v>
      </c>
      <c r="E77" s="15">
        <v>200400009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34</v>
      </c>
      <c r="N77">
        <v>1000</v>
      </c>
      <c r="O77" s="17">
        <v>1990000</v>
      </c>
      <c r="Q77" s="2"/>
      <c r="R77" s="22"/>
      <c r="S77" s="22"/>
    </row>
    <row r="78" s="1" customFormat="1" spans="1:19">
      <c r="A78" s="1">
        <v>2004002</v>
      </c>
      <c r="B78" s="14">
        <v>200400</v>
      </c>
      <c r="C78" s="14">
        <v>2</v>
      </c>
      <c r="D78" s="22" t="s">
        <v>83</v>
      </c>
      <c r="E78" s="15">
        <v>200400009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34</v>
      </c>
      <c r="N78">
        <v>10000</v>
      </c>
      <c r="O78" s="17">
        <v>1990000</v>
      </c>
      <c r="Q78" s="2"/>
      <c r="R78" s="22"/>
      <c r="S78" s="22"/>
    </row>
    <row r="79" s="1" customFormat="1" spans="1:19">
      <c r="A79" s="1">
        <v>2004003</v>
      </c>
      <c r="B79" s="14">
        <v>200400</v>
      </c>
      <c r="C79" s="14">
        <v>2</v>
      </c>
      <c r="D79" s="22" t="s">
        <v>83</v>
      </c>
      <c r="E79" s="15">
        <v>200400009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34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2005001</v>
      </c>
      <c r="B80" s="14">
        <v>200500</v>
      </c>
      <c r="C80" s="14">
        <v>2</v>
      </c>
      <c r="D80" s="14" t="s">
        <v>85</v>
      </c>
      <c r="E80" s="15">
        <v>200500025</v>
      </c>
      <c r="F80" s="15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87</v>
      </c>
      <c r="N80">
        <v>1000</v>
      </c>
      <c r="O80" s="17">
        <v>1990000</v>
      </c>
      <c r="Q80" s="2"/>
      <c r="R80" s="22"/>
      <c r="S80" s="22"/>
    </row>
    <row r="81" spans="1:19">
      <c r="A81" s="1">
        <v>2005002</v>
      </c>
      <c r="B81" s="14">
        <v>200500</v>
      </c>
      <c r="C81" s="14">
        <v>2</v>
      </c>
      <c r="D81" s="14" t="s">
        <v>85</v>
      </c>
      <c r="E81" s="15">
        <v>200500025</v>
      </c>
      <c r="F81" s="15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87</v>
      </c>
      <c r="N81">
        <v>10000</v>
      </c>
      <c r="O81" s="17">
        <v>1990000</v>
      </c>
      <c r="Q81" s="2"/>
      <c r="R81" s="22"/>
      <c r="S81" s="22"/>
    </row>
    <row r="82" spans="1:19">
      <c r="A82" s="1">
        <v>2005003</v>
      </c>
      <c r="B82" s="14">
        <v>200500</v>
      </c>
      <c r="C82" s="14">
        <v>2</v>
      </c>
      <c r="D82" s="14" t="s">
        <v>85</v>
      </c>
      <c r="E82" s="15">
        <v>200500025</v>
      </c>
      <c r="F82" s="15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87</v>
      </c>
      <c r="N82">
        <v>100000</v>
      </c>
      <c r="O82" s="17">
        <v>1990000</v>
      </c>
      <c r="Q82" s="2"/>
      <c r="R82" s="22"/>
      <c r="S82" s="22"/>
    </row>
    <row r="83" spans="1:19">
      <c r="A83" s="1">
        <v>2006001</v>
      </c>
      <c r="B83" s="14">
        <v>200600</v>
      </c>
      <c r="C83" s="14">
        <v>2</v>
      </c>
      <c r="D83" s="15" t="s">
        <v>88</v>
      </c>
      <c r="E83" s="15">
        <v>200600001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2006002</v>
      </c>
      <c r="B84" s="14">
        <v>200600</v>
      </c>
      <c r="C84" s="14">
        <v>2</v>
      </c>
      <c r="D84" s="15" t="s">
        <v>88</v>
      </c>
      <c r="E84" s="15">
        <v>200600001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2006003</v>
      </c>
      <c r="B85" s="14">
        <v>200600</v>
      </c>
      <c r="C85" s="14">
        <v>2</v>
      </c>
      <c r="D85" s="15" t="s">
        <v>88</v>
      </c>
      <c r="E85" s="15">
        <v>200600001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Q85" s="2"/>
      <c r="R85"/>
      <c r="S85" s="22"/>
    </row>
    <row r="86" spans="1:19">
      <c r="A86" s="1">
        <v>2007001</v>
      </c>
      <c r="B86" s="14">
        <v>200700</v>
      </c>
      <c r="C86" s="14">
        <v>2</v>
      </c>
      <c r="D86" s="14" t="s">
        <v>90</v>
      </c>
      <c r="E86" s="15">
        <v>200700001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Q86" s="2"/>
      <c r="R86" s="22"/>
      <c r="S86" s="22"/>
    </row>
    <row r="87" s="1" customFormat="1" spans="1:19">
      <c r="A87" s="1">
        <v>2007002</v>
      </c>
      <c r="B87" s="14">
        <v>200700</v>
      </c>
      <c r="C87" s="14">
        <v>2</v>
      </c>
      <c r="D87" s="14" t="s">
        <v>90</v>
      </c>
      <c r="E87" s="15">
        <v>200700001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Q87" s="2"/>
      <c r="R87" s="22"/>
      <c r="S87" s="22"/>
    </row>
    <row r="88" s="1" customFormat="1" spans="1:19">
      <c r="A88" s="1">
        <v>2007003</v>
      </c>
      <c r="B88" s="14">
        <v>200700</v>
      </c>
      <c r="C88" s="14">
        <v>2</v>
      </c>
      <c r="D88" s="14" t="s">
        <v>90</v>
      </c>
      <c r="E88" s="15">
        <v>200700001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="1" customFormat="1" spans="1:19">
      <c r="A89" s="1">
        <v>2008001</v>
      </c>
      <c r="B89" s="14">
        <v>200800</v>
      </c>
      <c r="C89" s="14">
        <v>2</v>
      </c>
      <c r="D89" s="15" t="s">
        <v>92</v>
      </c>
      <c r="E89" s="15">
        <v>200800001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  <c r="S89" s="2"/>
    </row>
    <row r="90" s="1" customFormat="1" spans="1:19">
      <c r="A90" s="1">
        <v>2008002</v>
      </c>
      <c r="B90" s="14">
        <v>200800</v>
      </c>
      <c r="C90" s="14">
        <v>2</v>
      </c>
      <c r="D90" s="15" t="s">
        <v>92</v>
      </c>
      <c r="E90" s="15">
        <v>200800001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  <c r="S90" s="2"/>
    </row>
    <row r="91" s="1" customFormat="1" spans="1:19">
      <c r="A91" s="1">
        <v>2008003</v>
      </c>
      <c r="B91" s="14">
        <v>200800</v>
      </c>
      <c r="C91" s="14">
        <v>2</v>
      </c>
      <c r="D91" s="15" t="s">
        <v>92</v>
      </c>
      <c r="E91" s="15">
        <v>200800001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  <c r="S91" s="2"/>
    </row>
    <row r="92" spans="1:19">
      <c r="A92" s="1">
        <v>2009001</v>
      </c>
      <c r="B92" s="23">
        <v>200900</v>
      </c>
      <c r="C92" s="14">
        <v>2</v>
      </c>
      <c r="D92" s="23" t="s">
        <v>94</v>
      </c>
      <c r="E92" s="15">
        <v>200900001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31" t="s">
        <v>34</v>
      </c>
      <c r="N92">
        <v>1000</v>
      </c>
      <c r="O92" s="17">
        <v>1990000</v>
      </c>
    </row>
    <row r="93" spans="1:19">
      <c r="A93" s="1">
        <v>2009002</v>
      </c>
      <c r="B93" s="14">
        <v>200900</v>
      </c>
      <c r="C93" s="14">
        <v>2</v>
      </c>
      <c r="D93" s="14" t="s">
        <v>94</v>
      </c>
      <c r="E93" s="15">
        <v>200900001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31" t="s">
        <v>34</v>
      </c>
      <c r="N93">
        <v>10000</v>
      </c>
      <c r="O93" s="17">
        <v>1990000</v>
      </c>
    </row>
    <row r="94" spans="1:19">
      <c r="A94" s="1">
        <v>2009003</v>
      </c>
      <c r="B94" s="14">
        <v>200900</v>
      </c>
      <c r="C94" s="14">
        <v>2</v>
      </c>
      <c r="D94" s="14" t="s">
        <v>94</v>
      </c>
      <c r="E94" s="15">
        <v>200900001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31" t="s">
        <v>34</v>
      </c>
      <c r="N94">
        <v>100000</v>
      </c>
      <c r="O94" s="17">
        <v>1990000</v>
      </c>
    </row>
    <row r="95" spans="1:19">
      <c r="A95" s="1">
        <v>3001001</v>
      </c>
      <c r="B95" s="14">
        <v>300100</v>
      </c>
      <c r="C95" s="14">
        <v>3</v>
      </c>
      <c r="D95" s="14" t="s">
        <v>96</v>
      </c>
      <c r="E95" s="15">
        <v>300100001</v>
      </c>
      <c r="F95" s="15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31" t="s">
        <v>99</v>
      </c>
      <c r="N95">
        <v>1000</v>
      </c>
      <c r="O95" s="17">
        <v>1990000</v>
      </c>
    </row>
    <row r="96" s="1" customFormat="1" spans="1:19">
      <c r="A96" s="1">
        <v>3001002</v>
      </c>
      <c r="B96" s="14">
        <v>300100</v>
      </c>
      <c r="C96" s="14">
        <v>3</v>
      </c>
      <c r="D96" s="14" t="s">
        <v>96</v>
      </c>
      <c r="E96" s="15">
        <v>300100001</v>
      </c>
      <c r="F96" s="15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31" t="s">
        <v>99</v>
      </c>
      <c r="N96">
        <v>10000</v>
      </c>
      <c r="O96" s="17">
        <v>1990000</v>
      </c>
      <c r="S96" s="2"/>
    </row>
    <row r="97" s="1" customFormat="1" spans="1:19">
      <c r="A97" s="1">
        <v>3001003</v>
      </c>
      <c r="B97" s="14">
        <v>300100</v>
      </c>
      <c r="C97" s="14">
        <v>3</v>
      </c>
      <c r="D97" s="14" t="s">
        <v>96</v>
      </c>
      <c r="E97" s="15">
        <v>300100001</v>
      </c>
      <c r="F97" s="15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31" t="s">
        <v>99</v>
      </c>
      <c r="N97">
        <v>100000</v>
      </c>
      <c r="O97" s="17">
        <v>1990000</v>
      </c>
      <c r="S97" s="2"/>
    </row>
    <row r="98" s="1" customFormat="1" spans="1:19">
      <c r="A98" s="1">
        <v>3002001</v>
      </c>
      <c r="B98" s="14">
        <v>300200</v>
      </c>
      <c r="C98" s="14">
        <v>3</v>
      </c>
      <c r="D98" s="14" t="s">
        <v>100</v>
      </c>
      <c r="E98" s="15">
        <v>300200006</v>
      </c>
      <c r="F98" s="15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31" t="s">
        <v>99</v>
      </c>
      <c r="N98" s="24">
        <v>1000</v>
      </c>
      <c r="O98" s="17">
        <v>1990000</v>
      </c>
      <c r="S98" s="2"/>
    </row>
    <row r="99" s="1" customFormat="1" spans="1:19">
      <c r="A99" s="1">
        <v>3002002</v>
      </c>
      <c r="B99" s="14">
        <v>300200</v>
      </c>
      <c r="C99" s="14">
        <v>3</v>
      </c>
      <c r="D99" s="14" t="s">
        <v>100</v>
      </c>
      <c r="E99" s="15">
        <v>300200006</v>
      </c>
      <c r="F99" s="15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31" t="s">
        <v>99</v>
      </c>
      <c r="N99" s="24">
        <v>10000</v>
      </c>
      <c r="O99" s="17">
        <v>1990000</v>
      </c>
      <c r="S99" s="2"/>
    </row>
    <row r="100" s="1" customFormat="1" spans="1:19">
      <c r="A100" s="1">
        <v>3002003</v>
      </c>
      <c r="B100" s="14">
        <v>300200</v>
      </c>
      <c r="C100" s="14">
        <v>3</v>
      </c>
      <c r="D100" s="14" t="s">
        <v>100</v>
      </c>
      <c r="E100" s="15">
        <v>300200006</v>
      </c>
      <c r="F100" s="15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31" t="s">
        <v>99</v>
      </c>
      <c r="N100" s="24">
        <v>100000</v>
      </c>
      <c r="O100" s="17">
        <v>1990000</v>
      </c>
      <c r="S100" s="2"/>
    </row>
    <row r="101" s="1" customFormat="1" spans="1:19">
      <c r="A101" s="1">
        <v>3004001</v>
      </c>
      <c r="B101" s="14">
        <v>300400</v>
      </c>
      <c r="C101" s="1">
        <v>3</v>
      </c>
      <c r="D101" s="14" t="s">
        <v>103</v>
      </c>
      <c r="E101" s="15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3" t="s">
        <v>105</v>
      </c>
      <c r="M101" s="31" t="s">
        <v>99</v>
      </c>
      <c r="N101" s="26">
        <v>3000</v>
      </c>
      <c r="O101" s="17">
        <v>1990000</v>
      </c>
      <c r="S101" s="2"/>
    </row>
    <row r="102" s="1" customFormat="1" spans="1:19">
      <c r="A102" s="1">
        <v>3004002</v>
      </c>
      <c r="B102" s="14">
        <v>300400</v>
      </c>
      <c r="C102" s="14">
        <v>3</v>
      </c>
      <c r="D102" s="14" t="s">
        <v>103</v>
      </c>
      <c r="E102" s="15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3" t="s">
        <v>105</v>
      </c>
      <c r="M102" s="31" t="s">
        <v>99</v>
      </c>
      <c r="N102" s="26">
        <v>6000</v>
      </c>
      <c r="O102" s="17">
        <v>1990000</v>
      </c>
      <c r="S102" s="2"/>
    </row>
    <row r="103" s="1" customFormat="1" spans="1:19">
      <c r="A103" s="1">
        <v>3004003</v>
      </c>
      <c r="B103" s="14">
        <v>300400</v>
      </c>
      <c r="C103" s="14">
        <v>3</v>
      </c>
      <c r="D103" s="14" t="s">
        <v>103</v>
      </c>
      <c r="E103" s="15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3" t="s">
        <v>105</v>
      </c>
      <c r="M103" s="31" t="s">
        <v>99</v>
      </c>
      <c r="N103" s="26">
        <v>12000</v>
      </c>
      <c r="O103" s="17">
        <v>1990000</v>
      </c>
      <c r="S103" s="2"/>
    </row>
    <row r="104" s="1" customFormat="1" spans="1:19">
      <c r="A104" s="1">
        <v>2012001</v>
      </c>
      <c r="B104" s="14">
        <v>201200</v>
      </c>
      <c r="C104" s="14">
        <v>2</v>
      </c>
      <c r="D104" s="14" t="s">
        <v>106</v>
      </c>
      <c r="E104" s="15">
        <v>201200001</v>
      </c>
      <c r="F104" s="25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31" t="s">
        <v>87</v>
      </c>
      <c r="N104">
        <v>1000</v>
      </c>
      <c r="O104" s="17">
        <v>1990000</v>
      </c>
      <c r="S104" s="2"/>
    </row>
    <row r="105" s="1" customFormat="1" spans="1:19">
      <c r="A105" s="1">
        <v>2012002</v>
      </c>
      <c r="B105" s="14">
        <v>201200</v>
      </c>
      <c r="C105" s="14">
        <v>2</v>
      </c>
      <c r="D105" s="14" t="s">
        <v>106</v>
      </c>
      <c r="E105" s="15">
        <v>201200001</v>
      </c>
      <c r="F105" s="25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31" t="s">
        <v>87</v>
      </c>
      <c r="N105">
        <v>10000</v>
      </c>
      <c r="O105" s="17">
        <v>1990000</v>
      </c>
      <c r="S105" s="2"/>
    </row>
    <row r="106" s="1" customFormat="1" spans="1:19">
      <c r="A106" s="1">
        <v>2012003</v>
      </c>
      <c r="B106" s="14">
        <v>201200</v>
      </c>
      <c r="C106" s="14">
        <v>2</v>
      </c>
      <c r="D106" s="14" t="s">
        <v>106</v>
      </c>
      <c r="E106" s="15">
        <v>201200001</v>
      </c>
      <c r="F106" s="25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31" t="s">
        <v>87</v>
      </c>
      <c r="N106">
        <v>100000</v>
      </c>
      <c r="O106" s="17">
        <v>1990000</v>
      </c>
      <c r="S106" s="2"/>
    </row>
    <row r="107" s="1" customFormat="1" spans="1:19">
      <c r="A107" s="1">
        <v>20010010</v>
      </c>
      <c r="B107" s="18">
        <v>200100</v>
      </c>
      <c r="C107" s="18">
        <v>2</v>
      </c>
      <c r="D107" s="18" t="s">
        <v>77</v>
      </c>
      <c r="E107" s="18">
        <v>200100038</v>
      </c>
      <c r="F107" s="18" t="s">
        <v>78</v>
      </c>
      <c r="G107" s="19" t="s">
        <v>108</v>
      </c>
      <c r="H107" s="19">
        <v>10</v>
      </c>
      <c r="I107" s="27">
        <v>0</v>
      </c>
      <c r="J107" s="19">
        <v>-1</v>
      </c>
      <c r="K107" s="19">
        <v>0</v>
      </c>
      <c r="L107" s="28" t="s">
        <v>109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20010011</v>
      </c>
      <c r="B108" s="18">
        <v>200100</v>
      </c>
      <c r="C108" s="18">
        <v>2</v>
      </c>
      <c r="D108" s="18" t="s">
        <v>77</v>
      </c>
      <c r="E108" s="18">
        <v>200100038</v>
      </c>
      <c r="F108" s="18" t="s">
        <v>78</v>
      </c>
      <c r="G108" s="19" t="s">
        <v>110</v>
      </c>
      <c r="H108" s="19">
        <v>11</v>
      </c>
      <c r="I108" s="27">
        <v>0</v>
      </c>
      <c r="J108" s="19">
        <v>-1</v>
      </c>
      <c r="K108" s="19">
        <v>0</v>
      </c>
      <c r="L108" s="28" t="s">
        <v>109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20010012</v>
      </c>
      <c r="B109" s="18">
        <v>200100</v>
      </c>
      <c r="C109" s="18">
        <v>2</v>
      </c>
      <c r="D109" s="18" t="s">
        <v>77</v>
      </c>
      <c r="E109" s="18">
        <v>200100038</v>
      </c>
      <c r="F109" s="18" t="s">
        <v>78</v>
      </c>
      <c r="G109" s="19" t="s">
        <v>111</v>
      </c>
      <c r="H109" s="19">
        <v>12</v>
      </c>
      <c r="I109" s="27">
        <v>0</v>
      </c>
      <c r="J109" s="19">
        <v>-1</v>
      </c>
      <c r="K109" s="19">
        <v>0</v>
      </c>
      <c r="L109" s="28" t="s">
        <v>109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20010110</v>
      </c>
      <c r="B110" s="18">
        <v>200101</v>
      </c>
      <c r="C110" s="18">
        <v>2</v>
      </c>
      <c r="D110" s="18" t="s">
        <v>79</v>
      </c>
      <c r="E110" s="18">
        <v>200101001</v>
      </c>
      <c r="F110" s="18" t="s">
        <v>80</v>
      </c>
      <c r="G110" s="19" t="s">
        <v>108</v>
      </c>
      <c r="H110" s="19">
        <v>10</v>
      </c>
      <c r="I110" s="27">
        <v>0</v>
      </c>
      <c r="J110" s="19">
        <v>-1</v>
      </c>
      <c r="K110" s="19">
        <v>0</v>
      </c>
      <c r="L110" s="28" t="s">
        <v>109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20010111</v>
      </c>
      <c r="B111" s="18">
        <v>200101</v>
      </c>
      <c r="C111" s="18">
        <v>2</v>
      </c>
      <c r="D111" s="18" t="s">
        <v>79</v>
      </c>
      <c r="E111" s="18">
        <v>200101001</v>
      </c>
      <c r="F111" s="18" t="s">
        <v>80</v>
      </c>
      <c r="G111" s="19" t="s">
        <v>110</v>
      </c>
      <c r="H111" s="19">
        <v>11</v>
      </c>
      <c r="I111" s="27">
        <v>0</v>
      </c>
      <c r="J111" s="19">
        <v>-1</v>
      </c>
      <c r="K111" s="19">
        <v>0</v>
      </c>
      <c r="L111" s="28" t="s">
        <v>109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20010112</v>
      </c>
      <c r="B112" s="18">
        <v>200101</v>
      </c>
      <c r="C112" s="18">
        <v>2</v>
      </c>
      <c r="D112" s="18" t="s">
        <v>79</v>
      </c>
      <c r="E112" s="18">
        <v>200101001</v>
      </c>
      <c r="F112" s="18" t="s">
        <v>80</v>
      </c>
      <c r="G112" s="19" t="s">
        <v>111</v>
      </c>
      <c r="H112" s="19">
        <v>12</v>
      </c>
      <c r="I112" s="27">
        <v>0</v>
      </c>
      <c r="J112" s="19">
        <v>-1</v>
      </c>
      <c r="K112" s="19">
        <v>0</v>
      </c>
      <c r="L112" s="28" t="s">
        <v>109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20030010</v>
      </c>
      <c r="B113" s="18">
        <v>200300</v>
      </c>
      <c r="C113" s="18">
        <v>2</v>
      </c>
      <c r="D113" s="18" t="s">
        <v>81</v>
      </c>
      <c r="E113" s="18">
        <v>200300001</v>
      </c>
      <c r="F113" s="18" t="s">
        <v>82</v>
      </c>
      <c r="G113" s="19" t="s">
        <v>108</v>
      </c>
      <c r="H113" s="19">
        <v>10</v>
      </c>
      <c r="I113" s="27">
        <v>0</v>
      </c>
      <c r="J113" s="19">
        <v>-1</v>
      </c>
      <c r="K113" s="19">
        <v>0</v>
      </c>
      <c r="L113" s="28" t="s">
        <v>109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20030011</v>
      </c>
      <c r="B114" s="18">
        <v>200300</v>
      </c>
      <c r="C114" s="18">
        <v>2</v>
      </c>
      <c r="D114" s="18" t="s">
        <v>81</v>
      </c>
      <c r="E114" s="18">
        <v>200300001</v>
      </c>
      <c r="F114" s="18" t="s">
        <v>82</v>
      </c>
      <c r="G114" s="19" t="s">
        <v>110</v>
      </c>
      <c r="H114" s="19">
        <v>11</v>
      </c>
      <c r="I114" s="27">
        <v>0</v>
      </c>
      <c r="J114" s="19">
        <v>-1</v>
      </c>
      <c r="K114" s="19">
        <v>0</v>
      </c>
      <c r="L114" s="28" t="s">
        <v>109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20030012</v>
      </c>
      <c r="B115" s="18">
        <v>200300</v>
      </c>
      <c r="C115" s="18">
        <v>2</v>
      </c>
      <c r="D115" s="18" t="s">
        <v>81</v>
      </c>
      <c r="E115" s="18">
        <v>200300001</v>
      </c>
      <c r="F115" s="18" t="s">
        <v>82</v>
      </c>
      <c r="G115" s="19" t="s">
        <v>111</v>
      </c>
      <c r="H115" s="19">
        <v>12</v>
      </c>
      <c r="I115" s="27">
        <v>0</v>
      </c>
      <c r="J115" s="19">
        <v>-1</v>
      </c>
      <c r="K115" s="19">
        <v>0</v>
      </c>
      <c r="L115" s="28" t="s">
        <v>109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20040010</v>
      </c>
      <c r="B116" s="18">
        <v>200400</v>
      </c>
      <c r="C116" s="18">
        <v>2</v>
      </c>
      <c r="D116" s="30" t="s">
        <v>83</v>
      </c>
      <c r="E116" s="18">
        <v>200400009</v>
      </c>
      <c r="F116" s="18" t="s">
        <v>84</v>
      </c>
      <c r="G116" s="19" t="s">
        <v>108</v>
      </c>
      <c r="H116" s="19">
        <v>10</v>
      </c>
      <c r="I116" s="27">
        <v>0</v>
      </c>
      <c r="J116" s="19">
        <v>-1</v>
      </c>
      <c r="K116" s="19">
        <v>0</v>
      </c>
      <c r="L116" s="28" t="s">
        <v>109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20040011</v>
      </c>
      <c r="B117" s="18">
        <v>200400</v>
      </c>
      <c r="C117" s="18">
        <v>2</v>
      </c>
      <c r="D117" s="30" t="s">
        <v>83</v>
      </c>
      <c r="E117" s="18">
        <v>200400009</v>
      </c>
      <c r="F117" s="18" t="s">
        <v>84</v>
      </c>
      <c r="G117" s="19" t="s">
        <v>110</v>
      </c>
      <c r="H117" s="19">
        <v>11</v>
      </c>
      <c r="I117" s="27">
        <v>0</v>
      </c>
      <c r="J117" s="19">
        <v>-1</v>
      </c>
      <c r="K117" s="19">
        <v>0</v>
      </c>
      <c r="L117" s="28" t="s">
        <v>109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20040012</v>
      </c>
      <c r="B118" s="18">
        <v>200400</v>
      </c>
      <c r="C118" s="18">
        <v>2</v>
      </c>
      <c r="D118" s="30" t="s">
        <v>83</v>
      </c>
      <c r="E118" s="18">
        <v>200400009</v>
      </c>
      <c r="F118" s="18" t="s">
        <v>84</v>
      </c>
      <c r="G118" s="19" t="s">
        <v>111</v>
      </c>
      <c r="H118" s="19">
        <v>12</v>
      </c>
      <c r="I118" s="27">
        <v>0</v>
      </c>
      <c r="J118" s="19">
        <v>-1</v>
      </c>
      <c r="K118" s="19">
        <v>0</v>
      </c>
      <c r="L118" s="28" t="s">
        <v>109</v>
      </c>
      <c r="M118" s="19">
        <v>0</v>
      </c>
      <c r="N118">
        <v>100000</v>
      </c>
      <c r="O118" s="29">
        <v>1980000</v>
      </c>
      <c r="S118" s="2"/>
    </row>
    <row r="119" s="1" customFormat="1" spans="1:19">
      <c r="A119" s="1">
        <v>20050010</v>
      </c>
      <c r="B119" s="18">
        <v>200500</v>
      </c>
      <c r="C119" s="18">
        <v>2</v>
      </c>
      <c r="D119" s="18" t="s">
        <v>85</v>
      </c>
      <c r="E119" s="18">
        <v>200500025</v>
      </c>
      <c r="F119" s="18" t="s">
        <v>86</v>
      </c>
      <c r="G119" s="19" t="s">
        <v>108</v>
      </c>
      <c r="H119" s="19">
        <v>10</v>
      </c>
      <c r="I119" s="27">
        <v>0</v>
      </c>
      <c r="J119" s="19">
        <v>-1</v>
      </c>
      <c r="K119" s="19">
        <v>0</v>
      </c>
      <c r="L119" s="28" t="s">
        <v>109</v>
      </c>
      <c r="M119" s="19">
        <v>0</v>
      </c>
      <c r="N119">
        <v>1000</v>
      </c>
      <c r="O119" s="29">
        <v>1980000</v>
      </c>
      <c r="S119" s="2"/>
    </row>
    <row r="120" s="1" customFormat="1" spans="1:19">
      <c r="A120" s="1">
        <v>20050011</v>
      </c>
      <c r="B120" s="18">
        <v>200500</v>
      </c>
      <c r="C120" s="18">
        <v>2</v>
      </c>
      <c r="D120" s="18" t="s">
        <v>85</v>
      </c>
      <c r="E120" s="18">
        <v>200500025</v>
      </c>
      <c r="F120" s="18" t="s">
        <v>86</v>
      </c>
      <c r="G120" s="19" t="s">
        <v>110</v>
      </c>
      <c r="H120" s="19">
        <v>11</v>
      </c>
      <c r="I120" s="27">
        <v>0</v>
      </c>
      <c r="J120" s="19">
        <v>-1</v>
      </c>
      <c r="K120" s="19">
        <v>0</v>
      </c>
      <c r="L120" s="28" t="s">
        <v>109</v>
      </c>
      <c r="M120" s="19">
        <v>0</v>
      </c>
      <c r="N120">
        <v>10000</v>
      </c>
      <c r="O120" s="29">
        <v>1980000</v>
      </c>
      <c r="S120" s="2"/>
    </row>
    <row r="121" s="1" customFormat="1" spans="1:19">
      <c r="A121" s="1">
        <v>20050012</v>
      </c>
      <c r="B121" s="18">
        <v>200500</v>
      </c>
      <c r="C121" s="18">
        <v>2</v>
      </c>
      <c r="D121" s="18" t="s">
        <v>85</v>
      </c>
      <c r="E121" s="18">
        <v>200500025</v>
      </c>
      <c r="F121" s="18" t="s">
        <v>86</v>
      </c>
      <c r="G121" s="19" t="s">
        <v>111</v>
      </c>
      <c r="H121" s="19">
        <v>12</v>
      </c>
      <c r="I121" s="27">
        <v>0</v>
      </c>
      <c r="J121" s="19">
        <v>-1</v>
      </c>
      <c r="K121" s="19">
        <v>0</v>
      </c>
      <c r="L121" s="28" t="s">
        <v>109</v>
      </c>
      <c r="M121" s="19">
        <v>0</v>
      </c>
      <c r="N121">
        <v>100000</v>
      </c>
      <c r="O121" s="29">
        <v>1980000</v>
      </c>
      <c r="S121" s="2"/>
    </row>
    <row r="122" spans="1:19">
      <c r="A122" s="1">
        <v>20060010</v>
      </c>
      <c r="B122" s="18">
        <v>200600</v>
      </c>
      <c r="C122" s="18">
        <v>2</v>
      </c>
      <c r="D122" s="18" t="s">
        <v>88</v>
      </c>
      <c r="E122" s="18">
        <v>200600001</v>
      </c>
      <c r="F122" s="18" t="s">
        <v>89</v>
      </c>
      <c r="G122" s="19" t="s">
        <v>108</v>
      </c>
      <c r="H122" s="19">
        <v>10</v>
      </c>
      <c r="I122" s="27">
        <v>0</v>
      </c>
      <c r="J122" s="19">
        <v>-1</v>
      </c>
      <c r="K122" s="19">
        <v>0</v>
      </c>
      <c r="L122" s="28" t="s">
        <v>109</v>
      </c>
      <c r="M122" s="19">
        <v>0</v>
      </c>
      <c r="N122">
        <v>1000</v>
      </c>
      <c r="O122" s="29">
        <v>1980000</v>
      </c>
    </row>
    <row r="123" spans="1:19">
      <c r="A123" s="1">
        <v>20060011</v>
      </c>
      <c r="B123" s="18">
        <v>200600</v>
      </c>
      <c r="C123" s="18">
        <v>2</v>
      </c>
      <c r="D123" s="18" t="s">
        <v>88</v>
      </c>
      <c r="E123" s="18">
        <v>200600001</v>
      </c>
      <c r="F123" s="18" t="s">
        <v>89</v>
      </c>
      <c r="G123" s="19" t="s">
        <v>110</v>
      </c>
      <c r="H123" s="19">
        <v>11</v>
      </c>
      <c r="I123" s="27">
        <v>0</v>
      </c>
      <c r="J123" s="19">
        <v>-1</v>
      </c>
      <c r="K123" s="19">
        <v>0</v>
      </c>
      <c r="L123" s="28" t="s">
        <v>109</v>
      </c>
      <c r="M123" s="19">
        <v>0</v>
      </c>
      <c r="N123">
        <v>10000</v>
      </c>
      <c r="O123" s="29">
        <v>1980000</v>
      </c>
    </row>
    <row r="124" spans="1:19">
      <c r="A124" s="1">
        <v>20060012</v>
      </c>
      <c r="B124" s="18">
        <v>200600</v>
      </c>
      <c r="C124" s="18">
        <v>2</v>
      </c>
      <c r="D124" s="18" t="s">
        <v>88</v>
      </c>
      <c r="E124" s="18">
        <v>200600001</v>
      </c>
      <c r="F124" s="18" t="s">
        <v>89</v>
      </c>
      <c r="G124" s="19" t="s">
        <v>111</v>
      </c>
      <c r="H124" s="19">
        <v>12</v>
      </c>
      <c r="I124" s="27">
        <v>0</v>
      </c>
      <c r="J124" s="19">
        <v>-1</v>
      </c>
      <c r="K124" s="19">
        <v>0</v>
      </c>
      <c r="L124" s="28" t="s">
        <v>109</v>
      </c>
      <c r="M124" s="19">
        <v>0</v>
      </c>
      <c r="N124">
        <v>100000</v>
      </c>
      <c r="O124" s="29">
        <v>1980000</v>
      </c>
    </row>
    <row r="125" spans="1:19">
      <c r="A125" s="1">
        <v>20070010</v>
      </c>
      <c r="B125" s="18">
        <v>200700</v>
      </c>
      <c r="C125" s="18">
        <v>2</v>
      </c>
      <c r="D125" s="18" t="s">
        <v>90</v>
      </c>
      <c r="E125" s="18">
        <v>200700001</v>
      </c>
      <c r="F125" s="18" t="s">
        <v>91</v>
      </c>
      <c r="G125" s="19" t="s">
        <v>108</v>
      </c>
      <c r="H125" s="19">
        <v>10</v>
      </c>
      <c r="I125" s="27">
        <v>0</v>
      </c>
      <c r="J125" s="19">
        <v>-1</v>
      </c>
      <c r="K125" s="19">
        <v>0</v>
      </c>
      <c r="L125" s="28" t="s">
        <v>109</v>
      </c>
      <c r="M125" s="19">
        <v>0</v>
      </c>
      <c r="N125">
        <v>1000</v>
      </c>
      <c r="O125" s="29">
        <v>1980000</v>
      </c>
    </row>
    <row r="126" spans="1:19">
      <c r="A126" s="1">
        <v>20070011</v>
      </c>
      <c r="B126" s="18">
        <v>200700</v>
      </c>
      <c r="C126" s="18">
        <v>2</v>
      </c>
      <c r="D126" s="18" t="s">
        <v>90</v>
      </c>
      <c r="E126" s="18">
        <v>200700001</v>
      </c>
      <c r="F126" s="18" t="s">
        <v>91</v>
      </c>
      <c r="G126" s="19" t="s">
        <v>110</v>
      </c>
      <c r="H126" s="19">
        <v>11</v>
      </c>
      <c r="I126" s="27">
        <v>0</v>
      </c>
      <c r="J126" s="19">
        <v>-1</v>
      </c>
      <c r="K126" s="19">
        <v>0</v>
      </c>
      <c r="L126" s="28" t="s">
        <v>109</v>
      </c>
      <c r="M126" s="19">
        <v>0</v>
      </c>
      <c r="N126">
        <v>10000</v>
      </c>
      <c r="O126" s="29">
        <v>1980000</v>
      </c>
    </row>
    <row r="127" spans="1:19">
      <c r="A127" s="1">
        <v>20070012</v>
      </c>
      <c r="B127" s="18">
        <v>200700</v>
      </c>
      <c r="C127" s="18">
        <v>2</v>
      </c>
      <c r="D127" s="18" t="s">
        <v>90</v>
      </c>
      <c r="E127" s="18">
        <v>200700001</v>
      </c>
      <c r="F127" s="18" t="s">
        <v>91</v>
      </c>
      <c r="G127" s="19" t="s">
        <v>111</v>
      </c>
      <c r="H127" s="19">
        <v>12</v>
      </c>
      <c r="I127" s="27">
        <v>0</v>
      </c>
      <c r="J127" s="19">
        <v>-1</v>
      </c>
      <c r="K127" s="19">
        <v>0</v>
      </c>
      <c r="L127" s="28" t="s">
        <v>109</v>
      </c>
      <c r="M127" s="19">
        <v>0</v>
      </c>
      <c r="N127">
        <v>100000</v>
      </c>
      <c r="O127" s="29">
        <v>1980000</v>
      </c>
    </row>
    <row r="128" spans="1:19">
      <c r="A128" s="1">
        <v>20080010</v>
      </c>
      <c r="B128" s="18">
        <v>200800</v>
      </c>
      <c r="C128" s="18">
        <v>2</v>
      </c>
      <c r="D128" s="18" t="s">
        <v>92</v>
      </c>
      <c r="E128" s="18">
        <v>200800001</v>
      </c>
      <c r="F128" s="18" t="s">
        <v>93</v>
      </c>
      <c r="G128" s="19" t="s">
        <v>108</v>
      </c>
      <c r="H128" s="19">
        <v>10</v>
      </c>
      <c r="I128" s="27">
        <v>0</v>
      </c>
      <c r="J128" s="19">
        <v>-1</v>
      </c>
      <c r="K128" s="19">
        <v>0</v>
      </c>
      <c r="L128" s="28" t="s">
        <v>109</v>
      </c>
      <c r="M128" s="19">
        <v>0</v>
      </c>
      <c r="N128">
        <v>1000</v>
      </c>
      <c r="O128" s="29">
        <v>1980000</v>
      </c>
    </row>
    <row r="129" spans="1:19">
      <c r="A129" s="1">
        <v>20080011</v>
      </c>
      <c r="B129" s="18">
        <v>200800</v>
      </c>
      <c r="C129" s="18">
        <v>2</v>
      </c>
      <c r="D129" s="18" t="s">
        <v>92</v>
      </c>
      <c r="E129" s="18">
        <v>200800001</v>
      </c>
      <c r="F129" s="18" t="s">
        <v>93</v>
      </c>
      <c r="G129" s="19" t="s">
        <v>110</v>
      </c>
      <c r="H129" s="19">
        <v>11</v>
      </c>
      <c r="I129" s="27">
        <v>0</v>
      </c>
      <c r="J129" s="19">
        <v>-1</v>
      </c>
      <c r="K129" s="19">
        <v>0</v>
      </c>
      <c r="L129" s="28" t="s">
        <v>109</v>
      </c>
      <c r="M129" s="19">
        <v>0</v>
      </c>
      <c r="N129">
        <v>10000</v>
      </c>
      <c r="O129" s="29">
        <v>1980000</v>
      </c>
    </row>
    <row r="130" spans="1:19">
      <c r="A130" s="1">
        <v>20080012</v>
      </c>
      <c r="B130" s="18">
        <v>200800</v>
      </c>
      <c r="C130" s="18">
        <v>2</v>
      </c>
      <c r="D130" s="18" t="s">
        <v>92</v>
      </c>
      <c r="E130" s="18">
        <v>200800001</v>
      </c>
      <c r="F130" s="18" t="s">
        <v>93</v>
      </c>
      <c r="G130" s="19" t="s">
        <v>111</v>
      </c>
      <c r="H130" s="19">
        <v>12</v>
      </c>
      <c r="I130" s="27">
        <v>0</v>
      </c>
      <c r="J130" s="19">
        <v>-1</v>
      </c>
      <c r="K130" s="19">
        <v>0</v>
      </c>
      <c r="L130" s="28" t="s">
        <v>109</v>
      </c>
      <c r="M130" s="19">
        <v>0</v>
      </c>
      <c r="N130">
        <v>100000</v>
      </c>
      <c r="O130" s="29">
        <v>1980000</v>
      </c>
    </row>
    <row r="131" spans="1:19">
      <c r="A131" s="1">
        <v>20090010</v>
      </c>
      <c r="B131" s="18">
        <v>200900</v>
      </c>
      <c r="C131" s="18">
        <v>2</v>
      </c>
      <c r="D131" s="18" t="s">
        <v>94</v>
      </c>
      <c r="E131" s="18">
        <v>200900001</v>
      </c>
      <c r="F131" s="18" t="s">
        <v>95</v>
      </c>
      <c r="G131" s="19" t="s">
        <v>108</v>
      </c>
      <c r="H131" s="19">
        <v>10</v>
      </c>
      <c r="I131" s="27">
        <v>0</v>
      </c>
      <c r="J131" s="19">
        <v>-1</v>
      </c>
      <c r="K131" s="19">
        <v>0</v>
      </c>
      <c r="L131" s="28" t="s">
        <v>109</v>
      </c>
      <c r="M131" s="19">
        <v>0</v>
      </c>
      <c r="N131">
        <v>1000</v>
      </c>
      <c r="O131" s="29">
        <v>1980000</v>
      </c>
    </row>
    <row r="132" spans="1:19">
      <c r="A132" s="1">
        <v>20090011</v>
      </c>
      <c r="B132" s="18">
        <v>200900</v>
      </c>
      <c r="C132" s="18">
        <v>2</v>
      </c>
      <c r="D132" s="18" t="s">
        <v>94</v>
      </c>
      <c r="E132" s="18">
        <v>200900001</v>
      </c>
      <c r="F132" s="18" t="s">
        <v>95</v>
      </c>
      <c r="G132" s="19" t="s">
        <v>110</v>
      </c>
      <c r="H132" s="19">
        <v>11</v>
      </c>
      <c r="I132" s="27">
        <v>0</v>
      </c>
      <c r="J132" s="19">
        <v>-1</v>
      </c>
      <c r="K132" s="19">
        <v>0</v>
      </c>
      <c r="L132" s="28" t="s">
        <v>109</v>
      </c>
      <c r="M132" s="19">
        <v>0</v>
      </c>
      <c r="N132">
        <v>10000</v>
      </c>
      <c r="O132" s="29">
        <v>1980000</v>
      </c>
    </row>
    <row r="133" spans="1:19">
      <c r="A133" s="1">
        <v>20090012</v>
      </c>
      <c r="B133" s="18">
        <v>200900</v>
      </c>
      <c r="C133" s="18">
        <v>2</v>
      </c>
      <c r="D133" s="18" t="s">
        <v>94</v>
      </c>
      <c r="E133" s="18">
        <v>200900001</v>
      </c>
      <c r="F133" s="18" t="s">
        <v>95</v>
      </c>
      <c r="G133" s="19" t="s">
        <v>111</v>
      </c>
      <c r="H133" s="19">
        <v>12</v>
      </c>
      <c r="I133" s="27">
        <v>0</v>
      </c>
      <c r="J133" s="19">
        <v>-1</v>
      </c>
      <c r="K133" s="19">
        <v>0</v>
      </c>
      <c r="L133" s="28" t="s">
        <v>109</v>
      </c>
      <c r="M133" s="19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8">
        <v>300200</v>
      </c>
      <c r="C134" s="18">
        <v>3</v>
      </c>
      <c r="D134" s="18" t="s">
        <v>100</v>
      </c>
      <c r="E134" s="18">
        <v>300200006</v>
      </c>
      <c r="F134" s="18" t="s">
        <v>101</v>
      </c>
      <c r="G134" s="19" t="s">
        <v>108</v>
      </c>
      <c r="H134" s="19">
        <v>10</v>
      </c>
      <c r="I134" s="27">
        <v>0</v>
      </c>
      <c r="J134" s="19">
        <v>-1</v>
      </c>
      <c r="K134" s="19">
        <v>0</v>
      </c>
      <c r="L134" s="3" t="s">
        <v>112</v>
      </c>
      <c r="M134" s="19">
        <v>0</v>
      </c>
      <c r="N134" s="24">
        <v>1000</v>
      </c>
      <c r="O134" s="29">
        <v>1980000</v>
      </c>
      <c r="S134" s="2"/>
    </row>
    <row r="135" s="1" customFormat="1" spans="1:19">
      <c r="A135" s="1">
        <v>30020011</v>
      </c>
      <c r="B135" s="18">
        <v>300200</v>
      </c>
      <c r="C135" s="18">
        <v>3</v>
      </c>
      <c r="D135" s="18" t="s">
        <v>100</v>
      </c>
      <c r="E135" s="18">
        <v>300200006</v>
      </c>
      <c r="F135" s="18" t="s">
        <v>101</v>
      </c>
      <c r="G135" s="19" t="s">
        <v>110</v>
      </c>
      <c r="H135" s="19">
        <v>11</v>
      </c>
      <c r="I135" s="27">
        <v>0</v>
      </c>
      <c r="J135" s="19">
        <v>-1</v>
      </c>
      <c r="K135" s="19">
        <v>0</v>
      </c>
      <c r="L135" s="3" t="s">
        <v>112</v>
      </c>
      <c r="M135" s="19">
        <v>0</v>
      </c>
      <c r="N135" s="24">
        <v>10000</v>
      </c>
      <c r="O135" s="29">
        <v>1980000</v>
      </c>
      <c r="S135" s="2"/>
    </row>
    <row r="136" s="1" customFormat="1" spans="1:19">
      <c r="A136" s="1">
        <v>30020012</v>
      </c>
      <c r="B136" s="18">
        <v>300200</v>
      </c>
      <c r="C136" s="18">
        <v>3</v>
      </c>
      <c r="D136" s="18" t="s">
        <v>100</v>
      </c>
      <c r="E136" s="18">
        <v>300200006</v>
      </c>
      <c r="F136" s="18" t="s">
        <v>101</v>
      </c>
      <c r="G136" s="19" t="s">
        <v>111</v>
      </c>
      <c r="H136" s="19">
        <v>12</v>
      </c>
      <c r="I136" s="27">
        <v>0</v>
      </c>
      <c r="J136" s="19">
        <v>-1</v>
      </c>
      <c r="K136" s="19">
        <v>0</v>
      </c>
      <c r="L136" s="3" t="s">
        <v>112</v>
      </c>
      <c r="M136" s="19">
        <v>0</v>
      </c>
      <c r="N136" s="24">
        <v>100000</v>
      </c>
      <c r="O136" s="29">
        <v>1980000</v>
      </c>
      <c r="S136" s="2"/>
    </row>
    <row r="137" spans="1:19">
      <c r="A137" s="1">
        <f>B137*100+H137</f>
        <v>10010010</v>
      </c>
      <c r="B137" s="18">
        <v>100100</v>
      </c>
      <c r="C137" s="18">
        <v>1</v>
      </c>
      <c r="D137" s="18" t="s">
        <v>30</v>
      </c>
      <c r="E137" s="18">
        <v>100100026</v>
      </c>
      <c r="F137" s="18" t="s">
        <v>31</v>
      </c>
      <c r="G137" s="19" t="s">
        <v>108</v>
      </c>
      <c r="H137" s="19">
        <v>10</v>
      </c>
      <c r="I137" s="27">
        <v>0</v>
      </c>
      <c r="J137" s="19">
        <v>-1</v>
      </c>
      <c r="K137" s="19">
        <v>0</v>
      </c>
      <c r="L137" s="28" t="s">
        <v>109</v>
      </c>
      <c r="M137" s="19">
        <v>0</v>
      </c>
      <c r="N137">
        <v>1000</v>
      </c>
      <c r="O137" s="29">
        <v>1980000</v>
      </c>
    </row>
    <row r="138" spans="1:19">
      <c r="A138" s="1">
        <f>B138*100+H138</f>
        <v>10010011</v>
      </c>
      <c r="B138" s="18">
        <v>100100</v>
      </c>
      <c r="C138" s="18">
        <v>1</v>
      </c>
      <c r="D138" s="18" t="str">
        <f t="shared" ref="D138:D142" si="1">D137</f>
        <v>金礦大亨</v>
      </c>
      <c r="E138" s="18">
        <v>100100026</v>
      </c>
      <c r="F138" s="18" t="s">
        <v>31</v>
      </c>
      <c r="G138" s="19" t="s">
        <v>110</v>
      </c>
      <c r="H138" s="19">
        <v>11</v>
      </c>
      <c r="I138" s="27">
        <v>0</v>
      </c>
      <c r="J138" s="19">
        <v>-1</v>
      </c>
      <c r="K138" s="19">
        <v>0</v>
      </c>
      <c r="L138" s="28" t="s">
        <v>109</v>
      </c>
      <c r="M138" s="19">
        <v>0</v>
      </c>
      <c r="N138">
        <v>10000</v>
      </c>
      <c r="O138" s="29">
        <v>1980000</v>
      </c>
    </row>
    <row r="139" spans="1:19">
      <c r="A139" s="1">
        <f>B139*100+H139</f>
        <v>10010012</v>
      </c>
      <c r="B139" s="18">
        <v>100100</v>
      </c>
      <c r="C139" s="18">
        <v>1</v>
      </c>
      <c r="D139" s="18" t="str">
        <f t="shared" si="1"/>
        <v>金礦大亨</v>
      </c>
      <c r="E139" s="18">
        <v>100100026</v>
      </c>
      <c r="F139" s="18" t="s">
        <v>31</v>
      </c>
      <c r="G139" s="19" t="s">
        <v>111</v>
      </c>
      <c r="H139" s="19">
        <v>12</v>
      </c>
      <c r="I139" s="27">
        <v>0</v>
      </c>
      <c r="J139" s="19">
        <v>-1</v>
      </c>
      <c r="K139" s="19">
        <v>0</v>
      </c>
      <c r="L139" s="28" t="s">
        <v>109</v>
      </c>
      <c r="M139" s="19">
        <v>0</v>
      </c>
      <c r="N139">
        <v>100000</v>
      </c>
      <c r="O139" s="29">
        <v>1980000</v>
      </c>
    </row>
    <row r="140" spans="1:19">
      <c r="A140" s="1">
        <f t="shared" ref="A140:A190" si="2">B140*100+H140</f>
        <v>10030010</v>
      </c>
      <c r="B140" s="18">
        <v>100300</v>
      </c>
      <c r="C140" s="18">
        <v>1</v>
      </c>
      <c r="D140" s="18" t="s">
        <v>37</v>
      </c>
      <c r="E140" s="18">
        <v>100300001</v>
      </c>
      <c r="F140" s="18" t="s">
        <v>38</v>
      </c>
      <c r="G140" s="19" t="s">
        <v>108</v>
      </c>
      <c r="H140" s="19">
        <v>10</v>
      </c>
      <c r="I140" s="27">
        <v>0</v>
      </c>
      <c r="J140" s="19">
        <v>-1</v>
      </c>
      <c r="K140" s="19">
        <v>0</v>
      </c>
      <c r="L140" s="28" t="s">
        <v>109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10030011</v>
      </c>
      <c r="B141" s="18">
        <v>100300</v>
      </c>
      <c r="C141" s="18">
        <v>1</v>
      </c>
      <c r="D141" s="18" t="str">
        <f t="shared" si="1"/>
        <v>超级明星</v>
      </c>
      <c r="E141" s="18">
        <v>100300001</v>
      </c>
      <c r="F141" s="18" t="str">
        <f t="shared" ref="F141:F145" si="3">F140</f>
        <v>SuperStar</v>
      </c>
      <c r="G141" s="19" t="s">
        <v>110</v>
      </c>
      <c r="H141" s="19">
        <v>11</v>
      </c>
      <c r="I141" s="27">
        <v>0</v>
      </c>
      <c r="J141" s="19">
        <v>-1</v>
      </c>
      <c r="K141" s="19">
        <v>0</v>
      </c>
      <c r="L141" s="28" t="s">
        <v>109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10030012</v>
      </c>
      <c r="B142" s="18">
        <v>100300</v>
      </c>
      <c r="C142" s="18">
        <v>1</v>
      </c>
      <c r="D142" s="18" t="str">
        <f t="shared" si="1"/>
        <v>超级明星</v>
      </c>
      <c r="E142" s="18">
        <v>100300001</v>
      </c>
      <c r="F142" s="18" t="str">
        <f t="shared" si="3"/>
        <v>SuperStar</v>
      </c>
      <c r="G142" s="19" t="s">
        <v>111</v>
      </c>
      <c r="H142" s="19">
        <v>12</v>
      </c>
      <c r="I142" s="27">
        <v>0</v>
      </c>
      <c r="J142" s="19">
        <v>-1</v>
      </c>
      <c r="K142" s="19">
        <v>0</v>
      </c>
      <c r="L142" s="28" t="s">
        <v>109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10070010</v>
      </c>
      <c r="B143" s="18">
        <v>100700</v>
      </c>
      <c r="C143" s="18">
        <v>1</v>
      </c>
      <c r="D143" s="18" t="s">
        <v>39</v>
      </c>
      <c r="E143" s="18">
        <v>100700001</v>
      </c>
      <c r="F143" s="18" t="s">
        <v>40</v>
      </c>
      <c r="G143" s="19" t="s">
        <v>108</v>
      </c>
      <c r="H143" s="19">
        <v>10</v>
      </c>
      <c r="I143" s="27">
        <v>0</v>
      </c>
      <c r="J143" s="19">
        <v>-1</v>
      </c>
      <c r="K143" s="19">
        <v>0</v>
      </c>
      <c r="L143" s="28" t="s">
        <v>109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10070011</v>
      </c>
      <c r="B144" s="18">
        <v>100700</v>
      </c>
      <c r="C144" s="18">
        <v>1</v>
      </c>
      <c r="D144" s="18" t="str">
        <f t="shared" ref="D144:D148" si="4">D143</f>
        <v>麻将胡了</v>
      </c>
      <c r="E144" s="18">
        <v>100700001</v>
      </c>
      <c r="F144" s="18" t="str">
        <f t="shared" si="3"/>
        <v>MahjongWays</v>
      </c>
      <c r="G144" s="19" t="s">
        <v>110</v>
      </c>
      <c r="H144" s="19">
        <v>11</v>
      </c>
      <c r="I144" s="27">
        <v>0</v>
      </c>
      <c r="J144" s="19">
        <v>-1</v>
      </c>
      <c r="K144" s="19">
        <v>0</v>
      </c>
      <c r="L144" s="28" t="s">
        <v>109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10070012</v>
      </c>
      <c r="B145" s="18">
        <v>100700</v>
      </c>
      <c r="C145" s="18">
        <v>1</v>
      </c>
      <c r="D145" s="18" t="str">
        <f t="shared" si="4"/>
        <v>麻将胡了</v>
      </c>
      <c r="E145" s="18">
        <v>100700001</v>
      </c>
      <c r="F145" s="18" t="str">
        <f t="shared" si="3"/>
        <v>MahjongWays</v>
      </c>
      <c r="G145" s="19" t="s">
        <v>111</v>
      </c>
      <c r="H145" s="19">
        <v>12</v>
      </c>
      <c r="I145" s="27">
        <v>0</v>
      </c>
      <c r="J145" s="19">
        <v>-1</v>
      </c>
      <c r="K145" s="19">
        <v>0</v>
      </c>
      <c r="L145" s="28" t="s">
        <v>109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10120010</v>
      </c>
      <c r="B146" s="18">
        <v>101200</v>
      </c>
      <c r="C146" s="18">
        <v>1</v>
      </c>
      <c r="D146" s="18" t="s">
        <v>41</v>
      </c>
      <c r="E146" s="18">
        <v>101200001</v>
      </c>
      <c r="F146" s="18" t="s">
        <v>42</v>
      </c>
      <c r="G146" s="19" t="s">
        <v>108</v>
      </c>
      <c r="H146" s="19">
        <v>10</v>
      </c>
      <c r="I146" s="27">
        <v>0</v>
      </c>
      <c r="J146" s="19">
        <v>-1</v>
      </c>
      <c r="K146" s="19">
        <v>0</v>
      </c>
      <c r="L146" s="28" t="s">
        <v>109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10120011</v>
      </c>
      <c r="B147" s="18">
        <v>101200</v>
      </c>
      <c r="C147" s="18">
        <v>1</v>
      </c>
      <c r="D147" s="18" t="str">
        <f t="shared" si="4"/>
        <v>财神</v>
      </c>
      <c r="E147" s="18">
        <v>101200001</v>
      </c>
      <c r="F147" s="18" t="str">
        <f t="shared" ref="F147:F151" si="5">F146</f>
        <v>Godofwealth</v>
      </c>
      <c r="G147" s="19" t="s">
        <v>110</v>
      </c>
      <c r="H147" s="19">
        <v>11</v>
      </c>
      <c r="I147" s="27">
        <v>0</v>
      </c>
      <c r="J147" s="19">
        <v>-1</v>
      </c>
      <c r="K147" s="19">
        <v>0</v>
      </c>
      <c r="L147" s="28" t="s">
        <v>109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10120012</v>
      </c>
      <c r="B148" s="18">
        <v>101200</v>
      </c>
      <c r="C148" s="18">
        <v>1</v>
      </c>
      <c r="D148" s="18" t="str">
        <f t="shared" si="4"/>
        <v>财神</v>
      </c>
      <c r="E148" s="18">
        <v>101200001</v>
      </c>
      <c r="F148" s="18" t="str">
        <f t="shared" si="5"/>
        <v>Godofwealth</v>
      </c>
      <c r="G148" s="19" t="s">
        <v>111</v>
      </c>
      <c r="H148" s="19">
        <v>12</v>
      </c>
      <c r="I148" s="27">
        <v>0</v>
      </c>
      <c r="J148" s="19">
        <v>-1</v>
      </c>
      <c r="K148" s="19">
        <v>0</v>
      </c>
      <c r="L148" s="28" t="s">
        <v>109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10140010</v>
      </c>
      <c r="B149" s="18">
        <v>101400</v>
      </c>
      <c r="C149" s="18">
        <v>1</v>
      </c>
      <c r="D149" s="18" t="s">
        <v>43</v>
      </c>
      <c r="E149" s="18">
        <v>101400001</v>
      </c>
      <c r="F149" s="18" t="s">
        <v>44</v>
      </c>
      <c r="G149" s="19" t="s">
        <v>108</v>
      </c>
      <c r="H149" s="19">
        <v>10</v>
      </c>
      <c r="I149" s="27">
        <v>0</v>
      </c>
      <c r="J149" s="19">
        <v>-1</v>
      </c>
      <c r="K149" s="19">
        <v>0</v>
      </c>
      <c r="L149" s="28" t="s">
        <v>109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10140011</v>
      </c>
      <c r="B150" s="18">
        <v>101400</v>
      </c>
      <c r="C150" s="18">
        <v>1</v>
      </c>
      <c r="D150" s="18" t="str">
        <f t="shared" ref="D150:D154" si="6">D149</f>
        <v>埃及艳后</v>
      </c>
      <c r="E150" s="18">
        <v>101400001</v>
      </c>
      <c r="F150" s="18" t="str">
        <f t="shared" si="5"/>
        <v>Cleopatra</v>
      </c>
      <c r="G150" s="19" t="s">
        <v>110</v>
      </c>
      <c r="H150" s="19">
        <v>11</v>
      </c>
      <c r="I150" s="27">
        <v>0</v>
      </c>
      <c r="J150" s="19">
        <v>-1</v>
      </c>
      <c r="K150" s="19">
        <v>0</v>
      </c>
      <c r="L150" s="28" t="s">
        <v>109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10140012</v>
      </c>
      <c r="B151" s="18">
        <v>101400</v>
      </c>
      <c r="C151" s="18">
        <v>1</v>
      </c>
      <c r="D151" s="18" t="str">
        <f t="shared" si="6"/>
        <v>埃及艳后</v>
      </c>
      <c r="E151" s="18">
        <v>101400001</v>
      </c>
      <c r="F151" s="18" t="str">
        <f t="shared" si="5"/>
        <v>Cleopatra</v>
      </c>
      <c r="G151" s="19" t="s">
        <v>111</v>
      </c>
      <c r="H151" s="19">
        <v>12</v>
      </c>
      <c r="I151" s="27">
        <v>0</v>
      </c>
      <c r="J151" s="19">
        <v>-1</v>
      </c>
      <c r="K151" s="19">
        <v>0</v>
      </c>
      <c r="L151" s="28" t="s">
        <v>109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10240010</v>
      </c>
      <c r="B152" s="18">
        <v>102400</v>
      </c>
      <c r="C152" s="18">
        <v>1</v>
      </c>
      <c r="D152" s="18" t="s">
        <v>45</v>
      </c>
      <c r="E152" s="18">
        <v>102400026</v>
      </c>
      <c r="F152" s="18" t="s">
        <v>46</v>
      </c>
      <c r="G152" s="19" t="s">
        <v>108</v>
      </c>
      <c r="H152" s="19">
        <v>10</v>
      </c>
      <c r="I152" s="27">
        <v>0</v>
      </c>
      <c r="J152" s="19">
        <v>-1</v>
      </c>
      <c r="K152" s="19">
        <v>0</v>
      </c>
      <c r="L152" s="28" t="s">
        <v>109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10240011</v>
      </c>
      <c r="B153" s="18">
        <v>102400</v>
      </c>
      <c r="C153" s="18">
        <v>1</v>
      </c>
      <c r="D153" s="18" t="str">
        <f t="shared" si="6"/>
        <v>财富银行</v>
      </c>
      <c r="E153" s="18">
        <v>102400026</v>
      </c>
      <c r="F153" s="18" t="s">
        <v>46</v>
      </c>
      <c r="G153" s="19" t="s">
        <v>110</v>
      </c>
      <c r="H153" s="19">
        <v>11</v>
      </c>
      <c r="I153" s="27">
        <v>0</v>
      </c>
      <c r="J153" s="19">
        <v>-1</v>
      </c>
      <c r="K153" s="19">
        <v>0</v>
      </c>
      <c r="L153" s="28" t="s">
        <v>109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10240012</v>
      </c>
      <c r="B154" s="18">
        <v>102400</v>
      </c>
      <c r="C154" s="18">
        <v>1</v>
      </c>
      <c r="D154" s="18" t="str">
        <f t="shared" si="6"/>
        <v>财富银行</v>
      </c>
      <c r="E154" s="18">
        <v>102400026</v>
      </c>
      <c r="F154" s="18" t="s">
        <v>46</v>
      </c>
      <c r="G154" s="19" t="s">
        <v>111</v>
      </c>
      <c r="H154" s="19">
        <v>12</v>
      </c>
      <c r="I154" s="27">
        <v>0</v>
      </c>
      <c r="J154" s="19">
        <v>-1</v>
      </c>
      <c r="K154" s="19">
        <v>0</v>
      </c>
      <c r="L154" s="28" t="s">
        <v>109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10220010</v>
      </c>
      <c r="B155" s="18">
        <v>102200</v>
      </c>
      <c r="C155" s="18">
        <v>1</v>
      </c>
      <c r="D155" s="18" t="s">
        <v>47</v>
      </c>
      <c r="E155" s="18">
        <v>102200001</v>
      </c>
      <c r="F155" s="18" t="s">
        <v>48</v>
      </c>
      <c r="G155" s="19" t="s">
        <v>108</v>
      </c>
      <c r="H155" s="19">
        <v>10</v>
      </c>
      <c r="I155" s="27">
        <v>0</v>
      </c>
      <c r="J155" s="19">
        <v>-1</v>
      </c>
      <c r="K155" s="19">
        <v>0</v>
      </c>
      <c r="L155" s="28" t="s">
        <v>109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10220011</v>
      </c>
      <c r="B156" s="18">
        <v>102200</v>
      </c>
      <c r="C156" s="18">
        <v>1</v>
      </c>
      <c r="D156" s="18" t="s">
        <v>47</v>
      </c>
      <c r="E156" s="18">
        <v>102200001</v>
      </c>
      <c r="F156" s="18" t="s">
        <v>48</v>
      </c>
      <c r="G156" s="19" t="s">
        <v>110</v>
      </c>
      <c r="H156" s="19">
        <v>11</v>
      </c>
      <c r="I156" s="27">
        <v>0</v>
      </c>
      <c r="J156" s="19">
        <v>-1</v>
      </c>
      <c r="K156" s="19">
        <v>0</v>
      </c>
      <c r="L156" s="28" t="s">
        <v>109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10220012</v>
      </c>
      <c r="B157" s="18">
        <v>102200</v>
      </c>
      <c r="C157" s="18">
        <v>1</v>
      </c>
      <c r="D157" s="18" t="s">
        <v>47</v>
      </c>
      <c r="E157" s="18">
        <v>102200001</v>
      </c>
      <c r="F157" s="18" t="s">
        <v>48</v>
      </c>
      <c r="G157" s="19" t="s">
        <v>111</v>
      </c>
      <c r="H157" s="19">
        <v>12</v>
      </c>
      <c r="I157" s="27">
        <v>0</v>
      </c>
      <c r="J157" s="19">
        <v>-1</v>
      </c>
      <c r="K157" s="19">
        <v>0</v>
      </c>
      <c r="L157" s="28" t="s">
        <v>109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10170010</v>
      </c>
      <c r="B158" s="18">
        <v>101700</v>
      </c>
      <c r="C158" s="18">
        <v>1</v>
      </c>
      <c r="D158" s="18" t="s">
        <v>49</v>
      </c>
      <c r="E158" s="18">
        <v>101700001</v>
      </c>
      <c r="F158" s="18" t="s">
        <v>50</v>
      </c>
      <c r="G158" s="19" t="s">
        <v>108</v>
      </c>
      <c r="H158" s="19">
        <v>10</v>
      </c>
      <c r="I158" s="27">
        <v>0</v>
      </c>
      <c r="J158" s="19">
        <v>-1</v>
      </c>
      <c r="K158" s="19">
        <v>0</v>
      </c>
      <c r="L158" s="28" t="s">
        <v>109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10170011</v>
      </c>
      <c r="B159" s="18">
        <v>101700</v>
      </c>
      <c r="C159" s="18">
        <v>1</v>
      </c>
      <c r="D159" s="18" t="s">
        <v>49</v>
      </c>
      <c r="E159" s="18">
        <v>101700001</v>
      </c>
      <c r="F159" s="18" t="s">
        <v>50</v>
      </c>
      <c r="G159" s="19" t="s">
        <v>110</v>
      </c>
      <c r="H159" s="19">
        <v>11</v>
      </c>
      <c r="I159" s="27">
        <v>0</v>
      </c>
      <c r="J159" s="19">
        <v>-1</v>
      </c>
      <c r="K159" s="19">
        <v>0</v>
      </c>
      <c r="L159" s="28" t="s">
        <v>109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10170012</v>
      </c>
      <c r="B160" s="18">
        <v>101700</v>
      </c>
      <c r="C160" s="18">
        <v>1</v>
      </c>
      <c r="D160" s="18" t="s">
        <v>49</v>
      </c>
      <c r="E160" s="18">
        <v>101700001</v>
      </c>
      <c r="F160" s="18" t="s">
        <v>50</v>
      </c>
      <c r="G160" s="19" t="s">
        <v>111</v>
      </c>
      <c r="H160" s="19">
        <v>12</v>
      </c>
      <c r="I160" s="27">
        <v>0</v>
      </c>
      <c r="J160" s="19">
        <v>-1</v>
      </c>
      <c r="K160" s="19">
        <v>0</v>
      </c>
      <c r="L160" s="28" t="s">
        <v>109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10210010</v>
      </c>
      <c r="B161" s="18">
        <v>102100</v>
      </c>
      <c r="C161" s="18">
        <v>1</v>
      </c>
      <c r="D161" s="18" t="s">
        <v>51</v>
      </c>
      <c r="E161" s="18">
        <v>102100001</v>
      </c>
      <c r="F161" s="18" t="s">
        <v>52</v>
      </c>
      <c r="G161" s="19" t="s">
        <v>108</v>
      </c>
      <c r="H161" s="19">
        <v>10</v>
      </c>
      <c r="I161" s="27">
        <v>0</v>
      </c>
      <c r="J161" s="19">
        <v>-1</v>
      </c>
      <c r="K161" s="19">
        <v>0</v>
      </c>
      <c r="L161" s="28" t="s">
        <v>109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10210011</v>
      </c>
      <c r="B162" s="18">
        <v>102100</v>
      </c>
      <c r="C162" s="18">
        <v>1</v>
      </c>
      <c r="D162" s="18" t="s">
        <v>51</v>
      </c>
      <c r="E162" s="18">
        <v>102100001</v>
      </c>
      <c r="F162" s="18" t="s">
        <v>52</v>
      </c>
      <c r="G162" s="19" t="s">
        <v>110</v>
      </c>
      <c r="H162" s="19">
        <v>11</v>
      </c>
      <c r="I162" s="27">
        <v>0</v>
      </c>
      <c r="J162" s="19">
        <v>-1</v>
      </c>
      <c r="K162" s="19">
        <v>0</v>
      </c>
      <c r="L162" s="28" t="s">
        <v>109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10210012</v>
      </c>
      <c r="B163" s="18">
        <v>102100</v>
      </c>
      <c r="C163" s="18">
        <v>1</v>
      </c>
      <c r="D163" s="18" t="s">
        <v>51</v>
      </c>
      <c r="E163" s="18">
        <v>102100001</v>
      </c>
      <c r="F163" s="18" t="s">
        <v>52</v>
      </c>
      <c r="G163" s="19" t="s">
        <v>111</v>
      </c>
      <c r="H163" s="19">
        <v>12</v>
      </c>
      <c r="I163" s="27">
        <v>0</v>
      </c>
      <c r="J163" s="19">
        <v>-1</v>
      </c>
      <c r="K163" s="19">
        <v>0</v>
      </c>
      <c r="L163" s="28" t="s">
        <v>109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10180010</v>
      </c>
      <c r="B164" s="18">
        <v>101800</v>
      </c>
      <c r="C164" s="18">
        <v>1</v>
      </c>
      <c r="D164" s="18" t="s">
        <v>53</v>
      </c>
      <c r="E164" s="18">
        <v>101800001</v>
      </c>
      <c r="F164" s="18" t="s">
        <v>54</v>
      </c>
      <c r="G164" s="19" t="s">
        <v>108</v>
      </c>
      <c r="H164" s="19">
        <v>10</v>
      </c>
      <c r="I164" s="27">
        <v>0</v>
      </c>
      <c r="J164" s="19">
        <v>-1</v>
      </c>
      <c r="K164" s="19">
        <v>0</v>
      </c>
      <c r="L164" s="28" t="s">
        <v>109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10180011</v>
      </c>
      <c r="B165" s="18">
        <v>101800</v>
      </c>
      <c r="C165" s="18">
        <v>1</v>
      </c>
      <c r="D165" s="18" t="s">
        <v>53</v>
      </c>
      <c r="E165" s="18">
        <v>101800001</v>
      </c>
      <c r="F165" s="18" t="s">
        <v>54</v>
      </c>
      <c r="G165" s="19" t="s">
        <v>110</v>
      </c>
      <c r="H165" s="19">
        <v>11</v>
      </c>
      <c r="I165" s="27">
        <v>0</v>
      </c>
      <c r="J165" s="19">
        <v>-1</v>
      </c>
      <c r="K165" s="19">
        <v>0</v>
      </c>
      <c r="L165" s="28" t="s">
        <v>109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10180012</v>
      </c>
      <c r="B166" s="18">
        <v>101800</v>
      </c>
      <c r="C166" s="18">
        <v>1</v>
      </c>
      <c r="D166" s="18" t="s">
        <v>53</v>
      </c>
      <c r="E166" s="18">
        <v>101800001</v>
      </c>
      <c r="F166" s="18" t="s">
        <v>54</v>
      </c>
      <c r="G166" s="19" t="s">
        <v>111</v>
      </c>
      <c r="H166" s="19">
        <v>12</v>
      </c>
      <c r="I166" s="27">
        <v>0</v>
      </c>
      <c r="J166" s="19">
        <v>-1</v>
      </c>
      <c r="K166" s="19">
        <v>0</v>
      </c>
      <c r="L166" s="28" t="s">
        <v>109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10250010</v>
      </c>
      <c r="B167" s="18">
        <v>102500</v>
      </c>
      <c r="C167" s="18">
        <v>1</v>
      </c>
      <c r="D167" s="18" t="s">
        <v>55</v>
      </c>
      <c r="E167" s="18">
        <v>102500001</v>
      </c>
      <c r="F167" s="18" t="s">
        <v>56</v>
      </c>
      <c r="G167" s="19" t="s">
        <v>108</v>
      </c>
      <c r="H167" s="19">
        <v>10</v>
      </c>
      <c r="I167" s="27">
        <v>0</v>
      </c>
      <c r="J167" s="19">
        <v>-1</v>
      </c>
      <c r="K167" s="19">
        <v>0</v>
      </c>
      <c r="L167" s="28" t="s">
        <v>109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10250011</v>
      </c>
      <c r="B168" s="18">
        <v>102500</v>
      </c>
      <c r="C168" s="18">
        <v>1</v>
      </c>
      <c r="D168" s="18" t="s">
        <v>55</v>
      </c>
      <c r="E168" s="18">
        <v>102500001</v>
      </c>
      <c r="F168" s="18" t="s">
        <v>56</v>
      </c>
      <c r="G168" s="19" t="s">
        <v>110</v>
      </c>
      <c r="H168" s="19">
        <v>11</v>
      </c>
      <c r="I168" s="27">
        <v>0</v>
      </c>
      <c r="J168" s="19">
        <v>-1</v>
      </c>
      <c r="K168" s="19">
        <v>0</v>
      </c>
      <c r="L168" s="28" t="s">
        <v>109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10250012</v>
      </c>
      <c r="B169" s="18">
        <v>102500</v>
      </c>
      <c r="C169" s="18">
        <v>1</v>
      </c>
      <c r="D169" s="18" t="s">
        <v>55</v>
      </c>
      <c r="E169" s="18">
        <v>102500001</v>
      </c>
      <c r="F169" s="18" t="s">
        <v>56</v>
      </c>
      <c r="G169" s="19" t="s">
        <v>111</v>
      </c>
      <c r="H169" s="19">
        <v>12</v>
      </c>
      <c r="I169" s="27">
        <v>0</v>
      </c>
      <c r="J169" s="19">
        <v>-1</v>
      </c>
      <c r="K169" s="19">
        <v>0</v>
      </c>
      <c r="L169" s="28" t="s">
        <v>109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10230010</v>
      </c>
      <c r="B170" s="18">
        <v>102300</v>
      </c>
      <c r="C170" s="18">
        <v>1</v>
      </c>
      <c r="D170" s="18" t="s">
        <v>57</v>
      </c>
      <c r="E170" s="18">
        <v>102300001</v>
      </c>
      <c r="F170" s="18" t="s">
        <v>58</v>
      </c>
      <c r="G170" s="19" t="s">
        <v>108</v>
      </c>
      <c r="H170" s="19">
        <v>10</v>
      </c>
      <c r="I170" s="27">
        <v>0</v>
      </c>
      <c r="J170" s="19">
        <v>-1</v>
      </c>
      <c r="K170" s="19">
        <v>0</v>
      </c>
      <c r="L170" s="28" t="s">
        <v>109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10230011</v>
      </c>
      <c r="B171" s="18">
        <v>102300</v>
      </c>
      <c r="C171" s="18">
        <v>1</v>
      </c>
      <c r="D171" s="18" t="s">
        <v>57</v>
      </c>
      <c r="E171" s="18">
        <v>102300001</v>
      </c>
      <c r="F171" s="18" t="s">
        <v>58</v>
      </c>
      <c r="G171" s="19" t="s">
        <v>110</v>
      </c>
      <c r="H171" s="19">
        <v>11</v>
      </c>
      <c r="I171" s="27">
        <v>0</v>
      </c>
      <c r="J171" s="19">
        <v>-1</v>
      </c>
      <c r="K171" s="19">
        <v>0</v>
      </c>
      <c r="L171" s="28" t="s">
        <v>109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10230012</v>
      </c>
      <c r="B172" s="18">
        <v>102300</v>
      </c>
      <c r="C172" s="18">
        <v>1</v>
      </c>
      <c r="D172" s="18" t="s">
        <v>57</v>
      </c>
      <c r="E172" s="18">
        <v>102300001</v>
      </c>
      <c r="F172" s="18" t="s">
        <v>58</v>
      </c>
      <c r="G172" s="19" t="s">
        <v>111</v>
      </c>
      <c r="H172" s="19">
        <v>12</v>
      </c>
      <c r="I172" s="27">
        <v>0</v>
      </c>
      <c r="J172" s="19">
        <v>-1</v>
      </c>
      <c r="K172" s="19">
        <v>0</v>
      </c>
      <c r="L172" s="28" t="s">
        <v>109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10340010</v>
      </c>
      <c r="B173" s="14">
        <v>103400</v>
      </c>
      <c r="C173" s="14">
        <v>1</v>
      </c>
      <c r="D173" s="14" t="s">
        <v>59</v>
      </c>
      <c r="E173" s="15">
        <v>103000001</v>
      </c>
      <c r="F173" s="15" t="s">
        <v>60</v>
      </c>
      <c r="G173" s="19" t="s">
        <v>108</v>
      </c>
      <c r="H173" s="1">
        <v>10</v>
      </c>
      <c r="I173" s="2">
        <v>0</v>
      </c>
      <c r="J173" s="19">
        <v>-1</v>
      </c>
      <c r="K173" s="19">
        <v>0</v>
      </c>
      <c r="L173" s="28" t="s">
        <v>109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10340011</v>
      </c>
      <c r="B174" s="14">
        <v>103400</v>
      </c>
      <c r="C174" s="14">
        <v>1</v>
      </c>
      <c r="D174" s="14" t="s">
        <v>59</v>
      </c>
      <c r="E174" s="15">
        <v>103000001</v>
      </c>
      <c r="F174" s="15" t="s">
        <v>60</v>
      </c>
      <c r="G174" s="19" t="s">
        <v>110</v>
      </c>
      <c r="H174" s="1">
        <v>11</v>
      </c>
      <c r="I174" s="2">
        <v>0</v>
      </c>
      <c r="J174" s="19">
        <v>-1</v>
      </c>
      <c r="K174" s="19">
        <v>0</v>
      </c>
      <c r="L174" s="28" t="s">
        <v>109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10340012</v>
      </c>
      <c r="B175" s="14">
        <v>103400</v>
      </c>
      <c r="C175" s="14">
        <v>1</v>
      </c>
      <c r="D175" s="14" t="s">
        <v>59</v>
      </c>
      <c r="E175" s="15">
        <v>103000001</v>
      </c>
      <c r="F175" s="15" t="s">
        <v>60</v>
      </c>
      <c r="G175" s="19" t="s">
        <v>111</v>
      </c>
      <c r="H175" s="1">
        <v>12</v>
      </c>
      <c r="I175" s="2">
        <v>0</v>
      </c>
      <c r="J175" s="19">
        <v>-1</v>
      </c>
      <c r="K175" s="19">
        <v>0</v>
      </c>
      <c r="L175" s="28" t="s">
        <v>109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10350010</v>
      </c>
      <c r="B176" s="14">
        <v>103500</v>
      </c>
      <c r="C176" s="14">
        <v>1</v>
      </c>
      <c r="D176" s="14" t="s">
        <v>61</v>
      </c>
      <c r="E176" s="15">
        <v>102900001</v>
      </c>
      <c r="F176" s="15" t="s">
        <v>62</v>
      </c>
      <c r="G176" s="19" t="s">
        <v>108</v>
      </c>
      <c r="H176" s="1">
        <v>10</v>
      </c>
      <c r="I176" s="2">
        <v>0</v>
      </c>
      <c r="J176" s="19">
        <v>-1</v>
      </c>
      <c r="K176" s="19">
        <v>0</v>
      </c>
      <c r="L176" s="28" t="s">
        <v>109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10350011</v>
      </c>
      <c r="B177" s="14">
        <v>103500</v>
      </c>
      <c r="C177" s="14">
        <v>1</v>
      </c>
      <c r="D177" s="14" t="s">
        <v>61</v>
      </c>
      <c r="E177" s="15">
        <v>102900001</v>
      </c>
      <c r="F177" s="15" t="s">
        <v>62</v>
      </c>
      <c r="G177" s="19" t="s">
        <v>110</v>
      </c>
      <c r="H177" s="1">
        <v>11</v>
      </c>
      <c r="I177" s="2">
        <v>0</v>
      </c>
      <c r="J177" s="19">
        <v>-1</v>
      </c>
      <c r="K177" s="19">
        <v>0</v>
      </c>
      <c r="L177" s="28" t="s">
        <v>109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10350012</v>
      </c>
      <c r="B178" s="14">
        <v>103500</v>
      </c>
      <c r="C178" s="14">
        <v>1</v>
      </c>
      <c r="D178" s="14" t="s">
        <v>61</v>
      </c>
      <c r="E178" s="15">
        <v>102900001</v>
      </c>
      <c r="F178" s="15" t="s">
        <v>62</v>
      </c>
      <c r="G178" s="19" t="s">
        <v>111</v>
      </c>
      <c r="H178" s="1">
        <v>12</v>
      </c>
      <c r="I178" s="2">
        <v>0</v>
      </c>
      <c r="J178" s="19">
        <v>-1</v>
      </c>
      <c r="K178" s="19">
        <v>0</v>
      </c>
      <c r="L178" s="28" t="s">
        <v>109</v>
      </c>
      <c r="M178" s="19">
        <v>0</v>
      </c>
      <c r="N178">
        <v>100000</v>
      </c>
      <c r="O178" s="29">
        <v>1980000</v>
      </c>
    </row>
    <row r="179" spans="1:15">
      <c r="A179" s="1">
        <f t="shared" si="2"/>
        <v>10350110</v>
      </c>
      <c r="B179" s="14">
        <v>103501</v>
      </c>
      <c r="C179" s="14">
        <v>1</v>
      </c>
      <c r="D179" s="14" t="s">
        <v>63</v>
      </c>
      <c r="E179" s="15">
        <v>103501001</v>
      </c>
      <c r="F179" s="15" t="s">
        <v>64</v>
      </c>
      <c r="G179" s="19" t="s">
        <v>108</v>
      </c>
      <c r="H179" s="1">
        <v>10</v>
      </c>
      <c r="I179" s="2">
        <v>0</v>
      </c>
      <c r="J179" s="19">
        <v>-1</v>
      </c>
      <c r="K179" s="1">
        <v>0</v>
      </c>
      <c r="L179" s="28" t="s">
        <v>109</v>
      </c>
      <c r="M179" s="19">
        <v>0</v>
      </c>
      <c r="N179">
        <v>1000</v>
      </c>
      <c r="O179" s="29">
        <v>1980000</v>
      </c>
    </row>
    <row r="180" spans="1:15">
      <c r="A180" s="1">
        <f t="shared" si="2"/>
        <v>10350111</v>
      </c>
      <c r="B180" s="14">
        <v>103501</v>
      </c>
      <c r="C180" s="14">
        <v>1</v>
      </c>
      <c r="D180" s="14" t="s">
        <v>63</v>
      </c>
      <c r="E180" s="15">
        <v>103501001</v>
      </c>
      <c r="F180" s="15" t="s">
        <v>64</v>
      </c>
      <c r="G180" s="19" t="s">
        <v>110</v>
      </c>
      <c r="H180" s="1">
        <v>11</v>
      </c>
      <c r="I180" s="2">
        <v>0</v>
      </c>
      <c r="J180" s="19">
        <v>-1</v>
      </c>
      <c r="K180" s="1">
        <v>0</v>
      </c>
      <c r="L180" s="28" t="s">
        <v>109</v>
      </c>
      <c r="M180" s="19">
        <v>0</v>
      </c>
      <c r="N180">
        <v>10000</v>
      </c>
      <c r="O180" s="29">
        <v>1980000</v>
      </c>
    </row>
    <row r="181" spans="1:15">
      <c r="A181" s="1">
        <f t="shared" si="2"/>
        <v>10350112</v>
      </c>
      <c r="B181" s="14">
        <v>103501</v>
      </c>
      <c r="C181" s="14">
        <v>1</v>
      </c>
      <c r="D181" s="14" t="s">
        <v>63</v>
      </c>
      <c r="E181" s="15">
        <v>103501001</v>
      </c>
      <c r="F181" s="15" t="s">
        <v>64</v>
      </c>
      <c r="G181" s="19" t="s">
        <v>111</v>
      </c>
      <c r="H181" s="1">
        <v>12</v>
      </c>
      <c r="I181" s="2">
        <v>0</v>
      </c>
      <c r="J181" s="19">
        <v>-1</v>
      </c>
      <c r="K181" s="1">
        <v>0</v>
      </c>
      <c r="L181" s="28" t="s">
        <v>109</v>
      </c>
      <c r="M181" s="19">
        <v>0</v>
      </c>
      <c r="N181">
        <v>100000</v>
      </c>
      <c r="O181" s="29">
        <v>1980000</v>
      </c>
    </row>
    <row r="182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2026-03-25T02:29:18Z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