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<sst xmlns="http://schemas.openxmlformats.org/spreadsheetml/2006/main" count="940" uniqueCount="119">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</sst>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9"/>
  <sheetViews>
    <sheetView tabSelected="1" workbookViewId="0">
      <pane ySplit="4" topLeftCell="A158" activePane="bottomLeft" state="frozen"/>
      <selection/>
      <selection pane="bottomLeft" activeCell="D211" sqref="D211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1125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11250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112500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1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1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1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1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4">
        <v>1000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4">
        <v>10000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4">
        <v>100000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4" t="s">
        <v>105</v>
      </c>
      <c r="M101" s="31" t="s">
        <v>99</v>
      </c>
      <c r="N101" s="26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4" t="s">
        <v>105</v>
      </c>
      <c r="M102" s="31" t="s">
        <v>99</v>
      </c>
      <c r="N102" s="26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4" t="s">
        <v>105</v>
      </c>
      <c r="M103" s="31" t="s">
        <v>99</v>
      </c>
      <c r="N103" s="26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5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1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5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1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5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1" t="s">
        <v>87</v>
      </c>
      <c r="N106">
        <v>100000</v>
      </c>
      <c r="O106" s="18">
        <v>1990000</v>
      </c>
      <c r="S106" s="3"/>
    </row>
    <row r="107" s="1" customFormat="1" spans="1:19">
      <c r="A107" s="1">
        <v>4002001</v>
      </c>
      <c r="B107" s="15">
        <v>400200</v>
      </c>
      <c r="C107" s="15">
        <v>4</v>
      </c>
      <c r="D107" s="15" t="s">
        <v>108</v>
      </c>
      <c r="E107" s="16">
        <v>400200001</v>
      </c>
      <c r="F107" s="25"/>
      <c r="G107" s="1" t="s">
        <v>109</v>
      </c>
      <c r="H107" s="1">
        <v>1</v>
      </c>
      <c r="I107" s="3">
        <v>0</v>
      </c>
      <c r="J107" s="1">
        <v>-1</v>
      </c>
      <c r="K107" s="1">
        <v>0</v>
      </c>
      <c r="L107" s="4" t="s">
        <v>110</v>
      </c>
      <c r="M107" s="31" t="s">
        <v>34</v>
      </c>
      <c r="N107">
        <v>1000</v>
      </c>
      <c r="O107" s="18">
        <v>1990000</v>
      </c>
      <c r="P107" s="1"/>
      <c r="Q107" s="1"/>
      <c r="R107" s="1"/>
      <c r="S107" s="3"/>
    </row>
    <row r="108" s="1" customFormat="1" spans="1:19">
      <c r="A108" s="1">
        <v>4007001</v>
      </c>
      <c r="B108" s="15">
        <v>400700</v>
      </c>
      <c r="C108" s="15">
        <v>4</v>
      </c>
      <c r="D108" s="15" t="s">
        <v>111</v>
      </c>
      <c r="E108" s="16">
        <v>400700001</v>
      </c>
      <c r="F108" s="25"/>
      <c r="G108" s="1" t="s">
        <v>109</v>
      </c>
      <c r="H108" s="1">
        <v>1</v>
      </c>
      <c r="I108" s="3">
        <v>0</v>
      </c>
      <c r="J108" s="1">
        <v>-1</v>
      </c>
      <c r="K108" s="1">
        <v>0</v>
      </c>
      <c r="L108" s="4" t="s">
        <v>110</v>
      </c>
      <c r="M108" s="31" t="s">
        <v>34</v>
      </c>
      <c r="N108">
        <v>1000</v>
      </c>
      <c r="O108" s="18">
        <v>1990000</v>
      </c>
      <c r="P108" s="1"/>
      <c r="Q108" s="1"/>
      <c r="R108" s="1"/>
      <c r="S108" s="3"/>
    </row>
    <row r="109" s="1" customFormat="1" spans="1:19">
      <c r="A109" s="1">
        <v>4005001</v>
      </c>
      <c r="B109" s="15">
        <v>400500</v>
      </c>
      <c r="C109" s="15">
        <v>4</v>
      </c>
      <c r="D109" s="15" t="s">
        <v>112</v>
      </c>
      <c r="E109" s="15">
        <v>400500001</v>
      </c>
      <c r="F109" s="15"/>
      <c r="G109" s="1" t="s">
        <v>109</v>
      </c>
      <c r="H109" s="1">
        <v>1</v>
      </c>
      <c r="I109" s="3">
        <v>0</v>
      </c>
      <c r="J109" s="1">
        <v>-1</v>
      </c>
      <c r="K109" s="1">
        <v>0</v>
      </c>
      <c r="L109" s="4" t="s">
        <v>110</v>
      </c>
      <c r="M109" s="31" t="s">
        <v>34</v>
      </c>
      <c r="N109">
        <v>1000</v>
      </c>
      <c r="O109" s="18">
        <v>1990000</v>
      </c>
      <c r="S109" s="3"/>
    </row>
    <row r="110" s="1" customFormat="1" spans="1:19">
      <c r="A110" s="1">
        <v>20010010</v>
      </c>
      <c r="B110" s="19">
        <v>200100</v>
      </c>
      <c r="C110" s="19">
        <v>2</v>
      </c>
      <c r="D110" s="19" t="s">
        <v>77</v>
      </c>
      <c r="E110" s="19">
        <v>200100038</v>
      </c>
      <c r="F110" s="19" t="s">
        <v>78</v>
      </c>
      <c r="G110" s="20" t="s">
        <v>113</v>
      </c>
      <c r="H110" s="20">
        <v>10</v>
      </c>
      <c r="I110" s="27">
        <v>0</v>
      </c>
      <c r="J110" s="20">
        <v>-1</v>
      </c>
      <c r="K110" s="20">
        <v>0</v>
      </c>
      <c r="L110" s="28" t="s">
        <v>114</v>
      </c>
      <c r="M110" s="20">
        <v>0</v>
      </c>
      <c r="N110">
        <v>1000</v>
      </c>
      <c r="O110" s="29">
        <v>1980000</v>
      </c>
      <c r="S110" s="3"/>
    </row>
    <row r="111" s="1" customFormat="1" spans="1:19">
      <c r="A111" s="1">
        <v>20010011</v>
      </c>
      <c r="B111" s="19">
        <v>200100</v>
      </c>
      <c r="C111" s="19">
        <v>2</v>
      </c>
      <c r="D111" s="19" t="s">
        <v>77</v>
      </c>
      <c r="E111" s="19">
        <v>200100038</v>
      </c>
      <c r="F111" s="19" t="s">
        <v>78</v>
      </c>
      <c r="G111" s="20" t="s">
        <v>115</v>
      </c>
      <c r="H111" s="20">
        <v>11</v>
      </c>
      <c r="I111" s="27">
        <v>0</v>
      </c>
      <c r="J111" s="20">
        <v>-1</v>
      </c>
      <c r="K111" s="20">
        <v>0</v>
      </c>
      <c r="L111" s="28" t="s">
        <v>114</v>
      </c>
      <c r="M111" s="20">
        <v>0</v>
      </c>
      <c r="N111">
        <v>10000</v>
      </c>
      <c r="O111" s="29">
        <v>1980000</v>
      </c>
      <c r="S111" s="3"/>
    </row>
    <row r="112" s="1" customFormat="1" spans="1:19">
      <c r="A112" s="1">
        <v>20010012</v>
      </c>
      <c r="B112" s="19">
        <v>200100</v>
      </c>
      <c r="C112" s="19">
        <v>2</v>
      </c>
      <c r="D112" s="19" t="s">
        <v>77</v>
      </c>
      <c r="E112" s="19">
        <v>200100038</v>
      </c>
      <c r="F112" s="19" t="s">
        <v>78</v>
      </c>
      <c r="G112" s="20" t="s">
        <v>116</v>
      </c>
      <c r="H112" s="20">
        <v>12</v>
      </c>
      <c r="I112" s="27">
        <v>0</v>
      </c>
      <c r="J112" s="20">
        <v>-1</v>
      </c>
      <c r="K112" s="20">
        <v>0</v>
      </c>
      <c r="L112" s="28" t="s">
        <v>114</v>
      </c>
      <c r="M112" s="20">
        <v>0</v>
      </c>
      <c r="N112">
        <v>100000</v>
      </c>
      <c r="O112" s="29">
        <v>1980000</v>
      </c>
      <c r="S112" s="3"/>
    </row>
    <row r="113" s="1" customFormat="1" spans="1:19">
      <c r="A113" s="1">
        <v>20010110</v>
      </c>
      <c r="B113" s="19">
        <v>200101</v>
      </c>
      <c r="C113" s="19">
        <v>2</v>
      </c>
      <c r="D113" s="19" t="s">
        <v>79</v>
      </c>
      <c r="E113" s="19">
        <v>200101001</v>
      </c>
      <c r="F113" s="19" t="s">
        <v>80</v>
      </c>
      <c r="G113" s="20" t="s">
        <v>113</v>
      </c>
      <c r="H113" s="20">
        <v>10</v>
      </c>
      <c r="I113" s="27">
        <v>0</v>
      </c>
      <c r="J113" s="20">
        <v>-1</v>
      </c>
      <c r="K113" s="20">
        <v>0</v>
      </c>
      <c r="L113" s="28" t="s">
        <v>114</v>
      </c>
      <c r="M113" s="20">
        <v>0</v>
      </c>
      <c r="N113">
        <v>1000</v>
      </c>
      <c r="O113" s="29">
        <v>1980000</v>
      </c>
      <c r="S113" s="3"/>
    </row>
    <row r="114" s="1" customFormat="1" spans="1:19">
      <c r="A114" s="1">
        <v>20010111</v>
      </c>
      <c r="B114" s="19">
        <v>200101</v>
      </c>
      <c r="C114" s="19">
        <v>2</v>
      </c>
      <c r="D114" s="19" t="s">
        <v>79</v>
      </c>
      <c r="E114" s="19">
        <v>200101001</v>
      </c>
      <c r="F114" s="19" t="s">
        <v>80</v>
      </c>
      <c r="G114" s="20" t="s">
        <v>115</v>
      </c>
      <c r="H114" s="20">
        <v>11</v>
      </c>
      <c r="I114" s="27">
        <v>0</v>
      </c>
      <c r="J114" s="20">
        <v>-1</v>
      </c>
      <c r="K114" s="20">
        <v>0</v>
      </c>
      <c r="L114" s="28" t="s">
        <v>114</v>
      </c>
      <c r="M114" s="20">
        <v>0</v>
      </c>
      <c r="N114">
        <v>10000</v>
      </c>
      <c r="O114" s="29">
        <v>1980000</v>
      </c>
      <c r="S114" s="3"/>
    </row>
    <row r="115" s="1" customFormat="1" spans="1:19">
      <c r="A115" s="1">
        <v>20010112</v>
      </c>
      <c r="B115" s="19">
        <v>200101</v>
      </c>
      <c r="C115" s="19">
        <v>2</v>
      </c>
      <c r="D115" s="19" t="s">
        <v>79</v>
      </c>
      <c r="E115" s="19">
        <v>200101001</v>
      </c>
      <c r="F115" s="19" t="s">
        <v>80</v>
      </c>
      <c r="G115" s="20" t="s">
        <v>116</v>
      </c>
      <c r="H115" s="20">
        <v>12</v>
      </c>
      <c r="I115" s="27">
        <v>0</v>
      </c>
      <c r="J115" s="20">
        <v>-1</v>
      </c>
      <c r="K115" s="20">
        <v>0</v>
      </c>
      <c r="L115" s="28" t="s">
        <v>114</v>
      </c>
      <c r="M115" s="20">
        <v>0</v>
      </c>
      <c r="N115">
        <v>100000</v>
      </c>
      <c r="O115" s="29">
        <v>1980000</v>
      </c>
      <c r="S115" s="3"/>
    </row>
    <row r="116" s="1" customFormat="1" spans="1:19">
      <c r="A116" s="1">
        <v>20030010</v>
      </c>
      <c r="B116" s="19">
        <v>200300</v>
      </c>
      <c r="C116" s="19">
        <v>2</v>
      </c>
      <c r="D116" s="19" t="s">
        <v>81</v>
      </c>
      <c r="E116" s="19">
        <v>200300001</v>
      </c>
      <c r="F116" s="19" t="s">
        <v>82</v>
      </c>
      <c r="G116" s="20" t="s">
        <v>113</v>
      </c>
      <c r="H116" s="20">
        <v>10</v>
      </c>
      <c r="I116" s="27">
        <v>0</v>
      </c>
      <c r="J116" s="20">
        <v>-1</v>
      </c>
      <c r="K116" s="20">
        <v>0</v>
      </c>
      <c r="L116" s="28" t="s">
        <v>114</v>
      </c>
      <c r="M116" s="20">
        <v>0</v>
      </c>
      <c r="N116">
        <v>1000</v>
      </c>
      <c r="O116" s="29">
        <v>1980000</v>
      </c>
      <c r="S116" s="3"/>
    </row>
    <row r="117" s="1" customFormat="1" spans="1:19">
      <c r="A117" s="1">
        <v>20030011</v>
      </c>
      <c r="B117" s="19">
        <v>200300</v>
      </c>
      <c r="C117" s="19">
        <v>2</v>
      </c>
      <c r="D117" s="19" t="s">
        <v>81</v>
      </c>
      <c r="E117" s="19">
        <v>200300001</v>
      </c>
      <c r="F117" s="19" t="s">
        <v>82</v>
      </c>
      <c r="G117" s="20" t="s">
        <v>115</v>
      </c>
      <c r="H117" s="20">
        <v>11</v>
      </c>
      <c r="I117" s="27">
        <v>0</v>
      </c>
      <c r="J117" s="20">
        <v>-1</v>
      </c>
      <c r="K117" s="20">
        <v>0</v>
      </c>
      <c r="L117" s="28" t="s">
        <v>114</v>
      </c>
      <c r="M117" s="20">
        <v>0</v>
      </c>
      <c r="N117">
        <v>10000</v>
      </c>
      <c r="O117" s="29">
        <v>1980000</v>
      </c>
      <c r="S117" s="3"/>
    </row>
    <row r="118" s="1" customFormat="1" spans="1:19">
      <c r="A118" s="1">
        <v>20030012</v>
      </c>
      <c r="B118" s="19">
        <v>200300</v>
      </c>
      <c r="C118" s="19">
        <v>2</v>
      </c>
      <c r="D118" s="19" t="s">
        <v>81</v>
      </c>
      <c r="E118" s="19">
        <v>200300001</v>
      </c>
      <c r="F118" s="19" t="s">
        <v>82</v>
      </c>
      <c r="G118" s="20" t="s">
        <v>116</v>
      </c>
      <c r="H118" s="20">
        <v>12</v>
      </c>
      <c r="I118" s="27">
        <v>0</v>
      </c>
      <c r="J118" s="20">
        <v>-1</v>
      </c>
      <c r="K118" s="20">
        <v>0</v>
      </c>
      <c r="L118" s="28" t="s">
        <v>114</v>
      </c>
      <c r="M118" s="20">
        <v>0</v>
      </c>
      <c r="N118">
        <v>100000</v>
      </c>
      <c r="O118" s="29">
        <v>1980000</v>
      </c>
      <c r="S118" s="3"/>
    </row>
    <row r="119" s="1" customFormat="1" spans="1:19">
      <c r="A119" s="1">
        <v>20040010</v>
      </c>
      <c r="B119" s="19">
        <v>200400</v>
      </c>
      <c r="C119" s="19">
        <v>2</v>
      </c>
      <c r="D119" s="30" t="s">
        <v>83</v>
      </c>
      <c r="E119" s="19">
        <v>200400009</v>
      </c>
      <c r="F119" s="19" t="s">
        <v>84</v>
      </c>
      <c r="G119" s="20" t="s">
        <v>113</v>
      </c>
      <c r="H119" s="20">
        <v>10</v>
      </c>
      <c r="I119" s="27">
        <v>0</v>
      </c>
      <c r="J119" s="20">
        <v>-1</v>
      </c>
      <c r="K119" s="20">
        <v>0</v>
      </c>
      <c r="L119" s="28" t="s">
        <v>114</v>
      </c>
      <c r="M119" s="20">
        <v>0</v>
      </c>
      <c r="N119">
        <v>1000</v>
      </c>
      <c r="O119" s="29">
        <v>1980000</v>
      </c>
      <c r="S119" s="3"/>
    </row>
    <row r="120" s="1" customFormat="1" spans="1:19">
      <c r="A120" s="1">
        <v>20040011</v>
      </c>
      <c r="B120" s="19">
        <v>200400</v>
      </c>
      <c r="C120" s="19">
        <v>2</v>
      </c>
      <c r="D120" s="30" t="s">
        <v>83</v>
      </c>
      <c r="E120" s="19">
        <v>200400009</v>
      </c>
      <c r="F120" s="19" t="s">
        <v>84</v>
      </c>
      <c r="G120" s="20" t="s">
        <v>115</v>
      </c>
      <c r="H120" s="20">
        <v>11</v>
      </c>
      <c r="I120" s="27">
        <v>0</v>
      </c>
      <c r="J120" s="20">
        <v>-1</v>
      </c>
      <c r="K120" s="20">
        <v>0</v>
      </c>
      <c r="L120" s="28" t="s">
        <v>114</v>
      </c>
      <c r="M120" s="20">
        <v>0</v>
      </c>
      <c r="N120">
        <v>10000</v>
      </c>
      <c r="O120" s="29">
        <v>1980000</v>
      </c>
      <c r="S120" s="3"/>
    </row>
    <row r="121" s="1" customFormat="1" spans="1:19">
      <c r="A121" s="1">
        <v>20040012</v>
      </c>
      <c r="B121" s="19">
        <v>200400</v>
      </c>
      <c r="C121" s="19">
        <v>2</v>
      </c>
      <c r="D121" s="30" t="s">
        <v>83</v>
      </c>
      <c r="E121" s="19">
        <v>200400009</v>
      </c>
      <c r="F121" s="19" t="s">
        <v>84</v>
      </c>
      <c r="G121" s="20" t="s">
        <v>116</v>
      </c>
      <c r="H121" s="20">
        <v>12</v>
      </c>
      <c r="I121" s="27">
        <v>0</v>
      </c>
      <c r="J121" s="20">
        <v>-1</v>
      </c>
      <c r="K121" s="20">
        <v>0</v>
      </c>
      <c r="L121" s="28" t="s">
        <v>114</v>
      </c>
      <c r="M121" s="20">
        <v>0</v>
      </c>
      <c r="N121">
        <v>100000</v>
      </c>
      <c r="O121" s="29">
        <v>1980000</v>
      </c>
      <c r="S121" s="3"/>
    </row>
    <row r="122" s="1" customFormat="1" spans="1:19">
      <c r="A122" s="1">
        <v>20050010</v>
      </c>
      <c r="B122" s="19">
        <v>200500</v>
      </c>
      <c r="C122" s="19">
        <v>2</v>
      </c>
      <c r="D122" s="19" t="s">
        <v>85</v>
      </c>
      <c r="E122" s="19">
        <v>200500025</v>
      </c>
      <c r="F122" s="19" t="s">
        <v>86</v>
      </c>
      <c r="G122" s="20" t="s">
        <v>113</v>
      </c>
      <c r="H122" s="20">
        <v>10</v>
      </c>
      <c r="I122" s="27">
        <v>0</v>
      </c>
      <c r="J122" s="20">
        <v>-1</v>
      </c>
      <c r="K122" s="20">
        <v>0</v>
      </c>
      <c r="L122" s="28" t="s">
        <v>114</v>
      </c>
      <c r="M122" s="20">
        <v>0</v>
      </c>
      <c r="N122">
        <v>1000</v>
      </c>
      <c r="O122" s="29">
        <v>1980000</v>
      </c>
      <c r="S122" s="3"/>
    </row>
    <row r="123" s="1" customFormat="1" spans="1:19">
      <c r="A123" s="1">
        <v>20050011</v>
      </c>
      <c r="B123" s="19">
        <v>200500</v>
      </c>
      <c r="C123" s="19">
        <v>2</v>
      </c>
      <c r="D123" s="19" t="s">
        <v>85</v>
      </c>
      <c r="E123" s="19">
        <v>200500025</v>
      </c>
      <c r="F123" s="19" t="s">
        <v>86</v>
      </c>
      <c r="G123" s="20" t="s">
        <v>115</v>
      </c>
      <c r="H123" s="20">
        <v>11</v>
      </c>
      <c r="I123" s="27">
        <v>0</v>
      </c>
      <c r="J123" s="20">
        <v>-1</v>
      </c>
      <c r="K123" s="20">
        <v>0</v>
      </c>
      <c r="L123" s="28" t="s">
        <v>114</v>
      </c>
      <c r="M123" s="20">
        <v>0</v>
      </c>
      <c r="N123">
        <v>10000</v>
      </c>
      <c r="O123" s="29">
        <v>1980000</v>
      </c>
      <c r="S123" s="3"/>
    </row>
    <row r="124" s="1" customFormat="1" spans="1:19">
      <c r="A124" s="1">
        <v>20050012</v>
      </c>
      <c r="B124" s="19">
        <v>200500</v>
      </c>
      <c r="C124" s="19">
        <v>2</v>
      </c>
      <c r="D124" s="19" t="s">
        <v>85</v>
      </c>
      <c r="E124" s="19">
        <v>200500025</v>
      </c>
      <c r="F124" s="19" t="s">
        <v>86</v>
      </c>
      <c r="G124" s="20" t="s">
        <v>116</v>
      </c>
      <c r="H124" s="20">
        <v>12</v>
      </c>
      <c r="I124" s="27">
        <v>0</v>
      </c>
      <c r="J124" s="20">
        <v>-1</v>
      </c>
      <c r="K124" s="20">
        <v>0</v>
      </c>
      <c r="L124" s="28" t="s">
        <v>114</v>
      </c>
      <c r="M124" s="20">
        <v>0</v>
      </c>
      <c r="N124">
        <v>100000</v>
      </c>
      <c r="O124" s="29">
        <v>1980000</v>
      </c>
      <c r="S124" s="3"/>
    </row>
    <row r="125" spans="1:19">
      <c r="A125" s="1">
        <v>20060010</v>
      </c>
      <c r="B125" s="19">
        <v>200600</v>
      </c>
      <c r="C125" s="19">
        <v>2</v>
      </c>
      <c r="D125" s="19" t="s">
        <v>88</v>
      </c>
      <c r="E125" s="19">
        <v>200600001</v>
      </c>
      <c r="F125" s="19" t="s">
        <v>89</v>
      </c>
      <c r="G125" s="20" t="s">
        <v>113</v>
      </c>
      <c r="H125" s="20">
        <v>10</v>
      </c>
      <c r="I125" s="27">
        <v>0</v>
      </c>
      <c r="J125" s="20">
        <v>-1</v>
      </c>
      <c r="K125" s="20">
        <v>0</v>
      </c>
      <c r="L125" s="28" t="s">
        <v>114</v>
      </c>
      <c r="M125" s="20">
        <v>0</v>
      </c>
      <c r="N125">
        <v>1000</v>
      </c>
      <c r="O125" s="29">
        <v>1980000</v>
      </c>
    </row>
    <row r="126" spans="1:19">
      <c r="A126" s="1">
        <v>20060011</v>
      </c>
      <c r="B126" s="19">
        <v>200600</v>
      </c>
      <c r="C126" s="19">
        <v>2</v>
      </c>
      <c r="D126" s="19" t="s">
        <v>88</v>
      </c>
      <c r="E126" s="19">
        <v>200600001</v>
      </c>
      <c r="F126" s="19" t="s">
        <v>89</v>
      </c>
      <c r="G126" s="20" t="s">
        <v>115</v>
      </c>
      <c r="H126" s="20">
        <v>11</v>
      </c>
      <c r="I126" s="27">
        <v>0</v>
      </c>
      <c r="J126" s="20">
        <v>-1</v>
      </c>
      <c r="K126" s="20">
        <v>0</v>
      </c>
      <c r="L126" s="28" t="s">
        <v>114</v>
      </c>
      <c r="M126" s="20">
        <v>0</v>
      </c>
      <c r="N126">
        <v>10000</v>
      </c>
      <c r="O126" s="29">
        <v>1980000</v>
      </c>
    </row>
    <row r="127" spans="1:19">
      <c r="A127" s="1">
        <v>20060012</v>
      </c>
      <c r="B127" s="19">
        <v>200600</v>
      </c>
      <c r="C127" s="19">
        <v>2</v>
      </c>
      <c r="D127" s="19" t="s">
        <v>88</v>
      </c>
      <c r="E127" s="19">
        <v>200600001</v>
      </c>
      <c r="F127" s="19" t="s">
        <v>89</v>
      </c>
      <c r="G127" s="20" t="s">
        <v>116</v>
      </c>
      <c r="H127" s="20">
        <v>12</v>
      </c>
      <c r="I127" s="27">
        <v>0</v>
      </c>
      <c r="J127" s="20">
        <v>-1</v>
      </c>
      <c r="K127" s="20">
        <v>0</v>
      </c>
      <c r="L127" s="28" t="s">
        <v>114</v>
      </c>
      <c r="M127" s="20">
        <v>0</v>
      </c>
      <c r="N127">
        <v>100000</v>
      </c>
      <c r="O127" s="29">
        <v>1980000</v>
      </c>
    </row>
    <row r="128" spans="1:19">
      <c r="A128" s="1">
        <v>20070010</v>
      </c>
      <c r="B128" s="19">
        <v>200700</v>
      </c>
      <c r="C128" s="19">
        <v>2</v>
      </c>
      <c r="D128" s="19" t="s">
        <v>90</v>
      </c>
      <c r="E128" s="19">
        <v>200700001</v>
      </c>
      <c r="F128" s="19" t="s">
        <v>91</v>
      </c>
      <c r="G128" s="20" t="s">
        <v>113</v>
      </c>
      <c r="H128" s="20">
        <v>10</v>
      </c>
      <c r="I128" s="27">
        <v>0</v>
      </c>
      <c r="J128" s="20">
        <v>-1</v>
      </c>
      <c r="K128" s="20">
        <v>0</v>
      </c>
      <c r="L128" s="28" t="s">
        <v>114</v>
      </c>
      <c r="M128" s="20">
        <v>0</v>
      </c>
      <c r="N128">
        <v>1000</v>
      </c>
      <c r="O128" s="29">
        <v>1980000</v>
      </c>
    </row>
    <row r="129" spans="1:19">
      <c r="A129" s="1">
        <v>20070011</v>
      </c>
      <c r="B129" s="19">
        <v>200700</v>
      </c>
      <c r="C129" s="19">
        <v>2</v>
      </c>
      <c r="D129" s="19" t="s">
        <v>90</v>
      </c>
      <c r="E129" s="19">
        <v>200700001</v>
      </c>
      <c r="F129" s="19" t="s">
        <v>91</v>
      </c>
      <c r="G129" s="20" t="s">
        <v>115</v>
      </c>
      <c r="H129" s="20">
        <v>11</v>
      </c>
      <c r="I129" s="27">
        <v>0</v>
      </c>
      <c r="J129" s="20">
        <v>-1</v>
      </c>
      <c r="K129" s="20">
        <v>0</v>
      </c>
      <c r="L129" s="28" t="s">
        <v>114</v>
      </c>
      <c r="M129" s="20">
        <v>0</v>
      </c>
      <c r="N129">
        <v>10000</v>
      </c>
      <c r="O129" s="29">
        <v>1980000</v>
      </c>
    </row>
    <row r="130" spans="1:19">
      <c r="A130" s="1">
        <v>20070012</v>
      </c>
      <c r="B130" s="19">
        <v>200700</v>
      </c>
      <c r="C130" s="19">
        <v>2</v>
      </c>
      <c r="D130" s="19" t="s">
        <v>90</v>
      </c>
      <c r="E130" s="19">
        <v>200700001</v>
      </c>
      <c r="F130" s="19" t="s">
        <v>91</v>
      </c>
      <c r="G130" s="20" t="s">
        <v>116</v>
      </c>
      <c r="H130" s="20">
        <v>12</v>
      </c>
      <c r="I130" s="27">
        <v>0</v>
      </c>
      <c r="J130" s="20">
        <v>-1</v>
      </c>
      <c r="K130" s="20">
        <v>0</v>
      </c>
      <c r="L130" s="28" t="s">
        <v>114</v>
      </c>
      <c r="M130" s="20">
        <v>0</v>
      </c>
      <c r="N130">
        <v>100000</v>
      </c>
      <c r="O130" s="29">
        <v>1980000</v>
      </c>
    </row>
    <row r="131" spans="1:19">
      <c r="A131" s="1">
        <v>20080010</v>
      </c>
      <c r="B131" s="19">
        <v>200800</v>
      </c>
      <c r="C131" s="19">
        <v>2</v>
      </c>
      <c r="D131" s="19" t="s">
        <v>92</v>
      </c>
      <c r="E131" s="19">
        <v>200800001</v>
      </c>
      <c r="F131" s="19" t="s">
        <v>93</v>
      </c>
      <c r="G131" s="20" t="s">
        <v>113</v>
      </c>
      <c r="H131" s="20">
        <v>10</v>
      </c>
      <c r="I131" s="27">
        <v>0</v>
      </c>
      <c r="J131" s="20">
        <v>-1</v>
      </c>
      <c r="K131" s="20">
        <v>0</v>
      </c>
      <c r="L131" s="28" t="s">
        <v>114</v>
      </c>
      <c r="M131" s="20">
        <v>0</v>
      </c>
      <c r="N131">
        <v>1000</v>
      </c>
      <c r="O131" s="29">
        <v>1980000</v>
      </c>
    </row>
    <row r="132" spans="1:19">
      <c r="A132" s="1">
        <v>20080011</v>
      </c>
      <c r="B132" s="19">
        <v>200800</v>
      </c>
      <c r="C132" s="19">
        <v>2</v>
      </c>
      <c r="D132" s="19" t="s">
        <v>92</v>
      </c>
      <c r="E132" s="19">
        <v>200800001</v>
      </c>
      <c r="F132" s="19" t="s">
        <v>93</v>
      </c>
      <c r="G132" s="20" t="s">
        <v>115</v>
      </c>
      <c r="H132" s="20">
        <v>11</v>
      </c>
      <c r="I132" s="27">
        <v>0</v>
      </c>
      <c r="J132" s="20">
        <v>-1</v>
      </c>
      <c r="K132" s="20">
        <v>0</v>
      </c>
      <c r="L132" s="28" t="s">
        <v>114</v>
      </c>
      <c r="M132" s="20">
        <v>0</v>
      </c>
      <c r="N132">
        <v>10000</v>
      </c>
      <c r="O132" s="29">
        <v>1980000</v>
      </c>
    </row>
    <row r="133" spans="1:19">
      <c r="A133" s="1">
        <v>20080012</v>
      </c>
      <c r="B133" s="19">
        <v>200800</v>
      </c>
      <c r="C133" s="19">
        <v>2</v>
      </c>
      <c r="D133" s="19" t="s">
        <v>92</v>
      </c>
      <c r="E133" s="19">
        <v>200800001</v>
      </c>
      <c r="F133" s="19" t="s">
        <v>93</v>
      </c>
      <c r="G133" s="20" t="s">
        <v>116</v>
      </c>
      <c r="H133" s="20">
        <v>12</v>
      </c>
      <c r="I133" s="27">
        <v>0</v>
      </c>
      <c r="J133" s="20">
        <v>-1</v>
      </c>
      <c r="K133" s="20">
        <v>0</v>
      </c>
      <c r="L133" s="28" t="s">
        <v>114</v>
      </c>
      <c r="M133" s="20">
        <v>0</v>
      </c>
      <c r="N133">
        <v>100000</v>
      </c>
      <c r="O133" s="29">
        <v>1980000</v>
      </c>
    </row>
    <row r="134" spans="1:19">
      <c r="A134" s="1">
        <v>20090010</v>
      </c>
      <c r="B134" s="19">
        <v>200900</v>
      </c>
      <c r="C134" s="19">
        <v>2</v>
      </c>
      <c r="D134" s="19" t="s">
        <v>94</v>
      </c>
      <c r="E134" s="19">
        <v>200900001</v>
      </c>
      <c r="F134" s="19" t="s">
        <v>95</v>
      </c>
      <c r="G134" s="20" t="s">
        <v>113</v>
      </c>
      <c r="H134" s="20">
        <v>10</v>
      </c>
      <c r="I134" s="27">
        <v>0</v>
      </c>
      <c r="J134" s="20">
        <v>-1</v>
      </c>
      <c r="K134" s="20">
        <v>0</v>
      </c>
      <c r="L134" s="28" t="s">
        <v>114</v>
      </c>
      <c r="M134" s="20">
        <v>0</v>
      </c>
      <c r="N134">
        <v>1000</v>
      </c>
      <c r="O134" s="29">
        <v>1980000</v>
      </c>
    </row>
    <row r="135" spans="1:19">
      <c r="A135" s="1">
        <v>20090011</v>
      </c>
      <c r="B135" s="19">
        <v>200900</v>
      </c>
      <c r="C135" s="19">
        <v>2</v>
      </c>
      <c r="D135" s="19" t="s">
        <v>94</v>
      </c>
      <c r="E135" s="19">
        <v>200900001</v>
      </c>
      <c r="F135" s="19" t="s">
        <v>95</v>
      </c>
      <c r="G135" s="20" t="s">
        <v>115</v>
      </c>
      <c r="H135" s="20">
        <v>11</v>
      </c>
      <c r="I135" s="27">
        <v>0</v>
      </c>
      <c r="J135" s="20">
        <v>-1</v>
      </c>
      <c r="K135" s="20">
        <v>0</v>
      </c>
      <c r="L135" s="28" t="s">
        <v>114</v>
      </c>
      <c r="M135" s="20">
        <v>0</v>
      </c>
      <c r="N135">
        <v>10000</v>
      </c>
      <c r="O135" s="29">
        <v>1980000</v>
      </c>
    </row>
    <row r="136" spans="1:19">
      <c r="A136" s="1">
        <v>20090012</v>
      </c>
      <c r="B136" s="19">
        <v>200900</v>
      </c>
      <c r="C136" s="19">
        <v>2</v>
      </c>
      <c r="D136" s="19" t="s">
        <v>94</v>
      </c>
      <c r="E136" s="19">
        <v>200900001</v>
      </c>
      <c r="F136" s="19" t="s">
        <v>95</v>
      </c>
      <c r="G136" s="20" t="s">
        <v>116</v>
      </c>
      <c r="H136" s="20">
        <v>12</v>
      </c>
      <c r="I136" s="27">
        <v>0</v>
      </c>
      <c r="J136" s="20">
        <v>-1</v>
      </c>
      <c r="K136" s="20">
        <v>0</v>
      </c>
      <c r="L136" s="28" t="s">
        <v>114</v>
      </c>
      <c r="M136" s="20">
        <v>0</v>
      </c>
      <c r="N136">
        <v>100000</v>
      </c>
      <c r="O136" s="29">
        <v>1980000</v>
      </c>
    </row>
    <row r="137" s="1" customFormat="1" spans="1:19">
      <c r="A137" s="1">
        <v>30020010</v>
      </c>
      <c r="B137" s="19">
        <v>300200</v>
      </c>
      <c r="C137" s="19">
        <v>3</v>
      </c>
      <c r="D137" s="19" t="s">
        <v>100</v>
      </c>
      <c r="E137" s="19">
        <v>300200006</v>
      </c>
      <c r="F137" s="19" t="s">
        <v>101</v>
      </c>
      <c r="G137" s="20" t="s">
        <v>113</v>
      </c>
      <c r="H137" s="20">
        <v>10</v>
      </c>
      <c r="I137" s="27">
        <v>0</v>
      </c>
      <c r="J137" s="20">
        <v>-1</v>
      </c>
      <c r="K137" s="20">
        <v>0</v>
      </c>
      <c r="L137" s="4" t="s">
        <v>117</v>
      </c>
      <c r="M137" s="20">
        <v>0</v>
      </c>
      <c r="N137" s="24">
        <v>1000</v>
      </c>
      <c r="O137" s="29">
        <v>1980000</v>
      </c>
      <c r="S137" s="3"/>
    </row>
    <row r="138" s="1" customFormat="1" spans="1:19">
      <c r="A138" s="1">
        <v>30020011</v>
      </c>
      <c r="B138" s="19">
        <v>300200</v>
      </c>
      <c r="C138" s="19">
        <v>3</v>
      </c>
      <c r="D138" s="19" t="s">
        <v>100</v>
      </c>
      <c r="E138" s="19">
        <v>300200006</v>
      </c>
      <c r="F138" s="19" t="s">
        <v>101</v>
      </c>
      <c r="G138" s="20" t="s">
        <v>115</v>
      </c>
      <c r="H138" s="20">
        <v>11</v>
      </c>
      <c r="I138" s="27">
        <v>0</v>
      </c>
      <c r="J138" s="20">
        <v>-1</v>
      </c>
      <c r="K138" s="20">
        <v>0</v>
      </c>
      <c r="L138" s="4" t="s">
        <v>117</v>
      </c>
      <c r="M138" s="20">
        <v>0</v>
      </c>
      <c r="N138" s="24">
        <v>10000</v>
      </c>
      <c r="O138" s="29">
        <v>1980000</v>
      </c>
      <c r="S138" s="3"/>
    </row>
    <row r="139" s="1" customFormat="1" spans="1:19">
      <c r="A139" s="1">
        <v>30020012</v>
      </c>
      <c r="B139" s="19">
        <v>300200</v>
      </c>
      <c r="C139" s="19">
        <v>3</v>
      </c>
      <c r="D139" s="19" t="s">
        <v>100</v>
      </c>
      <c r="E139" s="19">
        <v>300200006</v>
      </c>
      <c r="F139" s="19" t="s">
        <v>101</v>
      </c>
      <c r="G139" s="20" t="s">
        <v>116</v>
      </c>
      <c r="H139" s="20">
        <v>12</v>
      </c>
      <c r="I139" s="27">
        <v>0</v>
      </c>
      <c r="J139" s="20">
        <v>-1</v>
      </c>
      <c r="K139" s="20">
        <v>0</v>
      </c>
      <c r="L139" s="4" t="s">
        <v>117</v>
      </c>
      <c r="M139" s="20">
        <v>0</v>
      </c>
      <c r="N139" s="24">
        <v>100000</v>
      </c>
      <c r="O139" s="29">
        <v>1980000</v>
      </c>
      <c r="S139" s="3"/>
    </row>
    <row r="140" customFormat="1" spans="1:19">
      <c r="A140" s="1">
        <v>30040010</v>
      </c>
      <c r="B140" s="15">
        <v>300400</v>
      </c>
      <c r="C140" s="19">
        <v>3</v>
      </c>
      <c r="D140" s="15" t="s">
        <v>103</v>
      </c>
      <c r="E140" s="16">
        <v>300400001</v>
      </c>
      <c r="F140" s="25" t="s">
        <v>104</v>
      </c>
      <c r="G140" s="20" t="s">
        <v>113</v>
      </c>
      <c r="H140" s="20">
        <v>10</v>
      </c>
      <c r="I140" s="27">
        <v>0</v>
      </c>
      <c r="J140" s="20">
        <v>-1</v>
      </c>
      <c r="K140" s="20">
        <v>0</v>
      </c>
      <c r="L140" s="4" t="s">
        <v>118</v>
      </c>
      <c r="M140" s="20">
        <v>0</v>
      </c>
      <c r="N140" s="26">
        <v>3000</v>
      </c>
      <c r="O140" s="29">
        <v>1980000</v>
      </c>
      <c r="S140" s="3"/>
    </row>
    <row r="141" customFormat="1" spans="1:19">
      <c r="A141" s="1">
        <v>30040011</v>
      </c>
      <c r="B141" s="15">
        <v>300400</v>
      </c>
      <c r="C141" s="19">
        <v>3</v>
      </c>
      <c r="D141" s="15" t="s">
        <v>103</v>
      </c>
      <c r="E141" s="16">
        <v>300400001</v>
      </c>
      <c r="F141" s="25" t="s">
        <v>104</v>
      </c>
      <c r="G141" s="20" t="s">
        <v>115</v>
      </c>
      <c r="H141" s="20">
        <v>11</v>
      </c>
      <c r="I141" s="27">
        <v>0</v>
      </c>
      <c r="J141" s="20">
        <v>-1</v>
      </c>
      <c r="K141" s="20">
        <v>0</v>
      </c>
      <c r="L141" s="4" t="s">
        <v>118</v>
      </c>
      <c r="M141" s="20">
        <v>0</v>
      </c>
      <c r="N141" s="26">
        <v>6000</v>
      </c>
      <c r="O141" s="29">
        <v>1980000</v>
      </c>
      <c r="S141" s="3"/>
    </row>
    <row r="142" customFormat="1" spans="1:19">
      <c r="A142" s="1">
        <v>30040012</v>
      </c>
      <c r="B142" s="15">
        <v>300400</v>
      </c>
      <c r="C142" s="19">
        <v>3</v>
      </c>
      <c r="D142" s="15" t="s">
        <v>103</v>
      </c>
      <c r="E142" s="16">
        <v>300400001</v>
      </c>
      <c r="F142" s="25" t="s">
        <v>104</v>
      </c>
      <c r="G142" s="20" t="s">
        <v>116</v>
      </c>
      <c r="H142" s="20">
        <v>12</v>
      </c>
      <c r="I142" s="27">
        <v>0</v>
      </c>
      <c r="J142" s="20">
        <v>-1</v>
      </c>
      <c r="K142" s="20">
        <v>0</v>
      </c>
      <c r="L142" s="4" t="s">
        <v>118</v>
      </c>
      <c r="M142" s="20">
        <v>0</v>
      </c>
      <c r="N142" s="26">
        <v>12000</v>
      </c>
      <c r="O142" s="29">
        <v>1980000</v>
      </c>
      <c r="S142" s="3"/>
    </row>
    <row r="143" customFormat="1" spans="1:19">
      <c r="A143" s="1">
        <v>20120010</v>
      </c>
      <c r="B143" s="15">
        <v>201200</v>
      </c>
      <c r="C143" s="19">
        <v>2</v>
      </c>
      <c r="D143" s="15" t="s">
        <v>106</v>
      </c>
      <c r="E143" s="16">
        <v>201200001</v>
      </c>
      <c r="F143" s="25" t="s">
        <v>107</v>
      </c>
      <c r="G143" s="20" t="s">
        <v>113</v>
      </c>
      <c r="H143" s="20">
        <v>10</v>
      </c>
      <c r="I143" s="27">
        <v>0</v>
      </c>
      <c r="J143" s="20">
        <v>-1</v>
      </c>
      <c r="K143" s="20">
        <v>0</v>
      </c>
      <c r="L143" s="28" t="s">
        <v>114</v>
      </c>
      <c r="M143" s="20">
        <v>0</v>
      </c>
      <c r="N143">
        <v>1000</v>
      </c>
      <c r="O143" s="29">
        <v>1980000</v>
      </c>
      <c r="S143" s="3"/>
    </row>
    <row r="144" customFormat="1" spans="1:19">
      <c r="A144" s="1">
        <v>20120011</v>
      </c>
      <c r="B144" s="15">
        <v>201200</v>
      </c>
      <c r="C144" s="19">
        <v>2</v>
      </c>
      <c r="D144" s="15" t="s">
        <v>106</v>
      </c>
      <c r="E144" s="16">
        <v>201200001</v>
      </c>
      <c r="F144" s="25" t="s">
        <v>107</v>
      </c>
      <c r="G144" s="20" t="s">
        <v>115</v>
      </c>
      <c r="H144" s="20">
        <v>11</v>
      </c>
      <c r="I144" s="27">
        <v>0</v>
      </c>
      <c r="J144" s="20">
        <v>-1</v>
      </c>
      <c r="K144" s="20">
        <v>0</v>
      </c>
      <c r="L144" s="28" t="s">
        <v>114</v>
      </c>
      <c r="M144" s="20">
        <v>0</v>
      </c>
      <c r="N144">
        <v>10000</v>
      </c>
      <c r="O144" s="29">
        <v>1980000</v>
      </c>
      <c r="S144" s="3"/>
    </row>
    <row r="145" customFormat="1" spans="1:19">
      <c r="A145" s="1">
        <v>20120012</v>
      </c>
      <c r="B145" s="15">
        <v>201200</v>
      </c>
      <c r="C145" s="19">
        <v>2</v>
      </c>
      <c r="D145" s="15" t="s">
        <v>106</v>
      </c>
      <c r="E145" s="16">
        <v>201200001</v>
      </c>
      <c r="F145" s="25" t="s">
        <v>107</v>
      </c>
      <c r="G145" s="20" t="s">
        <v>116</v>
      </c>
      <c r="H145" s="20">
        <v>12</v>
      </c>
      <c r="I145" s="27">
        <v>0</v>
      </c>
      <c r="J145" s="20">
        <v>-1</v>
      </c>
      <c r="K145" s="20">
        <v>0</v>
      </c>
      <c r="L145" s="28" t="s">
        <v>114</v>
      </c>
      <c r="M145" s="20">
        <v>0</v>
      </c>
      <c r="N145">
        <v>100000</v>
      </c>
      <c r="O145" s="29">
        <v>1980000</v>
      </c>
      <c r="S145" s="3"/>
    </row>
    <row r="146" spans="1:19">
      <c r="A146" s="1">
        <f>B146*100+H146</f>
        <v>10010010</v>
      </c>
      <c r="B146" s="19">
        <v>100100</v>
      </c>
      <c r="C146" s="19">
        <v>1</v>
      </c>
      <c r="D146" s="19" t="s">
        <v>30</v>
      </c>
      <c r="E146" s="19">
        <v>100100026</v>
      </c>
      <c r="F146" s="19" t="s">
        <v>31</v>
      </c>
      <c r="G146" s="20" t="s">
        <v>113</v>
      </c>
      <c r="H146" s="20">
        <v>10</v>
      </c>
      <c r="I146" s="27">
        <v>0</v>
      </c>
      <c r="J146" s="20">
        <v>-1</v>
      </c>
      <c r="K146" s="20">
        <v>0</v>
      </c>
      <c r="L146" s="28" t="s">
        <v>114</v>
      </c>
      <c r="M146" s="20">
        <v>0</v>
      </c>
      <c r="N146">
        <v>1000</v>
      </c>
      <c r="O146" s="29">
        <v>1980000</v>
      </c>
    </row>
    <row r="147" spans="1:19">
      <c r="A147" s="1">
        <f>B147*100+H147</f>
        <v>10010011</v>
      </c>
      <c r="B147" s="19">
        <v>100100</v>
      </c>
      <c r="C147" s="19">
        <v>1</v>
      </c>
      <c r="D147" s="19" t="str">
        <f t="shared" ref="D147:D151" si="1">D146</f>
        <v>金礦大亨</v>
      </c>
      <c r="E147" s="19">
        <v>100100026</v>
      </c>
      <c r="F147" s="19" t="s">
        <v>31</v>
      </c>
      <c r="G147" s="20" t="s">
        <v>115</v>
      </c>
      <c r="H147" s="20">
        <v>11</v>
      </c>
      <c r="I147" s="27">
        <v>0</v>
      </c>
      <c r="J147" s="20">
        <v>-1</v>
      </c>
      <c r="K147" s="20">
        <v>0</v>
      </c>
      <c r="L147" s="28" t="s">
        <v>114</v>
      </c>
      <c r="M147" s="20">
        <v>0</v>
      </c>
      <c r="N147">
        <v>10000</v>
      </c>
      <c r="O147" s="29">
        <v>1980000</v>
      </c>
    </row>
    <row r="148" spans="1:19">
      <c r="A148" s="1">
        <f>B148*100+H148</f>
        <v>10010012</v>
      </c>
      <c r="B148" s="19">
        <v>100100</v>
      </c>
      <c r="C148" s="19">
        <v>1</v>
      </c>
      <c r="D148" s="19" t="str">
        <f t="shared" si="1"/>
        <v>金礦大亨</v>
      </c>
      <c r="E148" s="19">
        <v>100100026</v>
      </c>
      <c r="F148" s="19" t="s">
        <v>31</v>
      </c>
      <c r="G148" s="20" t="s">
        <v>116</v>
      </c>
      <c r="H148" s="20">
        <v>12</v>
      </c>
      <c r="I148" s="27">
        <v>0</v>
      </c>
      <c r="J148" s="20">
        <v>-1</v>
      </c>
      <c r="K148" s="20">
        <v>0</v>
      </c>
      <c r="L148" s="28" t="s">
        <v>114</v>
      </c>
      <c r="M148" s="20">
        <v>0</v>
      </c>
      <c r="N148">
        <v>100000</v>
      </c>
      <c r="O148" s="29">
        <v>1980000</v>
      </c>
    </row>
    <row r="149" spans="1:19">
      <c r="A149" s="1">
        <f t="shared" ref="A149:A199" si="2">B149*100+H149</f>
        <v>10030010</v>
      </c>
      <c r="B149" s="19">
        <v>100300</v>
      </c>
      <c r="C149" s="19">
        <v>1</v>
      </c>
      <c r="D149" s="19" t="s">
        <v>37</v>
      </c>
      <c r="E149" s="19">
        <v>100300001</v>
      </c>
      <c r="F149" s="19" t="s">
        <v>38</v>
      </c>
      <c r="G149" s="20" t="s">
        <v>113</v>
      </c>
      <c r="H149" s="20">
        <v>10</v>
      </c>
      <c r="I149" s="27">
        <v>0</v>
      </c>
      <c r="J149" s="20">
        <v>-1</v>
      </c>
      <c r="K149" s="20">
        <v>0</v>
      </c>
      <c r="L149" s="28" t="s">
        <v>114</v>
      </c>
      <c r="M149" s="20">
        <v>0</v>
      </c>
      <c r="N149">
        <v>1000</v>
      </c>
      <c r="O149" s="29">
        <v>1980000</v>
      </c>
    </row>
    <row r="150" spans="1:19">
      <c r="A150" s="1">
        <f t="shared" si="2"/>
        <v>10030011</v>
      </c>
      <c r="B150" s="19">
        <v>100300</v>
      </c>
      <c r="C150" s="19">
        <v>1</v>
      </c>
      <c r="D150" s="19" t="str">
        <f t="shared" si="1"/>
        <v>超级明星</v>
      </c>
      <c r="E150" s="19">
        <v>100300001</v>
      </c>
      <c r="F150" s="19" t="str">
        <f t="shared" ref="F150:F154" si="3">F149</f>
        <v>SuperStar</v>
      </c>
      <c r="G150" s="20" t="s">
        <v>115</v>
      </c>
      <c r="H150" s="20">
        <v>11</v>
      </c>
      <c r="I150" s="27">
        <v>0</v>
      </c>
      <c r="J150" s="20">
        <v>-1</v>
      </c>
      <c r="K150" s="20">
        <v>0</v>
      </c>
      <c r="L150" s="28" t="s">
        <v>114</v>
      </c>
      <c r="M150" s="20">
        <v>0</v>
      </c>
      <c r="N150">
        <v>10000</v>
      </c>
      <c r="O150" s="29">
        <v>1980000</v>
      </c>
    </row>
    <row r="151" spans="1:19">
      <c r="A151" s="1">
        <f t="shared" si="2"/>
        <v>10030012</v>
      </c>
      <c r="B151" s="19">
        <v>100300</v>
      </c>
      <c r="C151" s="19">
        <v>1</v>
      </c>
      <c r="D151" s="19" t="str">
        <f t="shared" si="1"/>
        <v>超级明星</v>
      </c>
      <c r="E151" s="19">
        <v>100300001</v>
      </c>
      <c r="F151" s="19" t="str">
        <f t="shared" si="3"/>
        <v>SuperStar</v>
      </c>
      <c r="G151" s="20" t="s">
        <v>116</v>
      </c>
      <c r="H151" s="20">
        <v>12</v>
      </c>
      <c r="I151" s="27">
        <v>0</v>
      </c>
      <c r="J151" s="20">
        <v>-1</v>
      </c>
      <c r="K151" s="20">
        <v>0</v>
      </c>
      <c r="L151" s="28" t="s">
        <v>114</v>
      </c>
      <c r="M151" s="20">
        <v>0</v>
      </c>
      <c r="N151">
        <v>100000</v>
      </c>
      <c r="O151" s="29">
        <v>1980000</v>
      </c>
    </row>
    <row r="152" spans="1:19">
      <c r="A152" s="1">
        <f t="shared" si="2"/>
        <v>10070010</v>
      </c>
      <c r="B152" s="19">
        <v>100700</v>
      </c>
      <c r="C152" s="19">
        <v>1</v>
      </c>
      <c r="D152" s="19" t="s">
        <v>39</v>
      </c>
      <c r="E152" s="19">
        <v>100700001</v>
      </c>
      <c r="F152" s="19" t="s">
        <v>40</v>
      </c>
      <c r="G152" s="20" t="s">
        <v>113</v>
      </c>
      <c r="H152" s="20">
        <v>10</v>
      </c>
      <c r="I152" s="27">
        <v>0</v>
      </c>
      <c r="J152" s="20">
        <v>-1</v>
      </c>
      <c r="K152" s="20">
        <v>0</v>
      </c>
      <c r="L152" s="28" t="s">
        <v>114</v>
      </c>
      <c r="M152" s="20">
        <v>0</v>
      </c>
      <c r="N152">
        <v>1000</v>
      </c>
      <c r="O152" s="29">
        <v>1980000</v>
      </c>
    </row>
    <row r="153" spans="1:19">
      <c r="A153" s="1">
        <f t="shared" si="2"/>
        <v>10070011</v>
      </c>
      <c r="B153" s="19">
        <v>100700</v>
      </c>
      <c r="C153" s="19">
        <v>1</v>
      </c>
      <c r="D153" s="19" t="str">
        <f t="shared" ref="D153:D157" si="4">D152</f>
        <v>麻将胡了</v>
      </c>
      <c r="E153" s="19">
        <v>100700001</v>
      </c>
      <c r="F153" s="19" t="str">
        <f t="shared" si="3"/>
        <v>MahjongWays</v>
      </c>
      <c r="G153" s="20" t="s">
        <v>115</v>
      </c>
      <c r="H153" s="20">
        <v>11</v>
      </c>
      <c r="I153" s="27">
        <v>0</v>
      </c>
      <c r="J153" s="20">
        <v>-1</v>
      </c>
      <c r="K153" s="20">
        <v>0</v>
      </c>
      <c r="L153" s="28" t="s">
        <v>114</v>
      </c>
      <c r="M153" s="20">
        <v>0</v>
      </c>
      <c r="N153">
        <v>10000</v>
      </c>
      <c r="O153" s="29">
        <v>1980000</v>
      </c>
    </row>
    <row r="154" spans="1:19">
      <c r="A154" s="1">
        <f t="shared" si="2"/>
        <v>10070012</v>
      </c>
      <c r="B154" s="19">
        <v>100700</v>
      </c>
      <c r="C154" s="19">
        <v>1</v>
      </c>
      <c r="D154" s="19" t="str">
        <f t="shared" si="4"/>
        <v>麻将胡了</v>
      </c>
      <c r="E154" s="19">
        <v>100700001</v>
      </c>
      <c r="F154" s="19" t="str">
        <f t="shared" si="3"/>
        <v>MahjongWays</v>
      </c>
      <c r="G154" s="20" t="s">
        <v>116</v>
      </c>
      <c r="H154" s="20">
        <v>12</v>
      </c>
      <c r="I154" s="27">
        <v>0</v>
      </c>
      <c r="J154" s="20">
        <v>-1</v>
      </c>
      <c r="K154" s="20">
        <v>0</v>
      </c>
      <c r="L154" s="28" t="s">
        <v>114</v>
      </c>
      <c r="M154" s="20">
        <v>0</v>
      </c>
      <c r="N154">
        <v>100000</v>
      </c>
      <c r="O154" s="29">
        <v>1980000</v>
      </c>
    </row>
    <row r="155" spans="1:19">
      <c r="A155" s="1">
        <f t="shared" si="2"/>
        <v>10120010</v>
      </c>
      <c r="B155" s="19">
        <v>101200</v>
      </c>
      <c r="C155" s="19">
        <v>1</v>
      </c>
      <c r="D155" s="19" t="s">
        <v>41</v>
      </c>
      <c r="E155" s="19">
        <v>101200001</v>
      </c>
      <c r="F155" s="19" t="s">
        <v>42</v>
      </c>
      <c r="G155" s="20" t="s">
        <v>113</v>
      </c>
      <c r="H155" s="20">
        <v>10</v>
      </c>
      <c r="I155" s="27">
        <v>0</v>
      </c>
      <c r="J155" s="20">
        <v>-1</v>
      </c>
      <c r="K155" s="20">
        <v>0</v>
      </c>
      <c r="L155" s="28" t="s">
        <v>114</v>
      </c>
      <c r="M155" s="20">
        <v>0</v>
      </c>
      <c r="N155">
        <v>1000</v>
      </c>
      <c r="O155" s="29">
        <v>1980000</v>
      </c>
    </row>
    <row r="156" spans="1:19">
      <c r="A156" s="1">
        <f t="shared" si="2"/>
        <v>10120011</v>
      </c>
      <c r="B156" s="19">
        <v>101200</v>
      </c>
      <c r="C156" s="19">
        <v>1</v>
      </c>
      <c r="D156" s="19" t="str">
        <f t="shared" si="4"/>
        <v>财神</v>
      </c>
      <c r="E156" s="19">
        <v>101200001</v>
      </c>
      <c r="F156" s="19" t="str">
        <f t="shared" ref="F156:F160" si="5">F155</f>
        <v>Godofwealth</v>
      </c>
      <c r="G156" s="20" t="s">
        <v>115</v>
      </c>
      <c r="H156" s="20">
        <v>11</v>
      </c>
      <c r="I156" s="27">
        <v>0</v>
      </c>
      <c r="J156" s="20">
        <v>-1</v>
      </c>
      <c r="K156" s="20">
        <v>0</v>
      </c>
      <c r="L156" s="28" t="s">
        <v>114</v>
      </c>
      <c r="M156" s="20">
        <v>0</v>
      </c>
      <c r="N156">
        <v>10000</v>
      </c>
      <c r="O156" s="29">
        <v>1980000</v>
      </c>
    </row>
    <row r="157" spans="1:19">
      <c r="A157" s="1">
        <f t="shared" si="2"/>
        <v>10120012</v>
      </c>
      <c r="B157" s="19">
        <v>101200</v>
      </c>
      <c r="C157" s="19">
        <v>1</v>
      </c>
      <c r="D157" s="19" t="str">
        <f t="shared" si="4"/>
        <v>财神</v>
      </c>
      <c r="E157" s="19">
        <v>101200001</v>
      </c>
      <c r="F157" s="19" t="str">
        <f t="shared" si="5"/>
        <v>Godofwealth</v>
      </c>
      <c r="G157" s="20" t="s">
        <v>116</v>
      </c>
      <c r="H157" s="20">
        <v>12</v>
      </c>
      <c r="I157" s="27">
        <v>0</v>
      </c>
      <c r="J157" s="20">
        <v>-1</v>
      </c>
      <c r="K157" s="20">
        <v>0</v>
      </c>
      <c r="L157" s="28" t="s">
        <v>114</v>
      </c>
      <c r="M157" s="20">
        <v>0</v>
      </c>
      <c r="N157">
        <v>100000</v>
      </c>
      <c r="O157" s="29">
        <v>1980000</v>
      </c>
    </row>
    <row r="158" spans="1:19">
      <c r="A158" s="1">
        <f t="shared" si="2"/>
        <v>10140010</v>
      </c>
      <c r="B158" s="19">
        <v>101400</v>
      </c>
      <c r="C158" s="19">
        <v>1</v>
      </c>
      <c r="D158" s="19" t="s">
        <v>43</v>
      </c>
      <c r="E158" s="19">
        <v>101400001</v>
      </c>
      <c r="F158" s="19" t="s">
        <v>44</v>
      </c>
      <c r="G158" s="20" t="s">
        <v>113</v>
      </c>
      <c r="H158" s="20">
        <v>10</v>
      </c>
      <c r="I158" s="27">
        <v>0</v>
      </c>
      <c r="J158" s="20">
        <v>-1</v>
      </c>
      <c r="K158" s="20">
        <v>0</v>
      </c>
      <c r="L158" s="28" t="s">
        <v>114</v>
      </c>
      <c r="M158" s="20">
        <v>0</v>
      </c>
      <c r="N158">
        <v>1000</v>
      </c>
      <c r="O158" s="29">
        <v>1980000</v>
      </c>
    </row>
    <row r="159" spans="1:19">
      <c r="A159" s="1">
        <f t="shared" si="2"/>
        <v>10140011</v>
      </c>
      <c r="B159" s="19">
        <v>101400</v>
      </c>
      <c r="C159" s="19">
        <v>1</v>
      </c>
      <c r="D159" s="19" t="str">
        <f t="shared" ref="D159:D163" si="6">D158</f>
        <v>埃及艳后</v>
      </c>
      <c r="E159" s="19">
        <v>101400001</v>
      </c>
      <c r="F159" s="19" t="str">
        <f t="shared" si="5"/>
        <v>Cleopatra</v>
      </c>
      <c r="G159" s="20" t="s">
        <v>115</v>
      </c>
      <c r="H159" s="20">
        <v>11</v>
      </c>
      <c r="I159" s="27">
        <v>0</v>
      </c>
      <c r="J159" s="20">
        <v>-1</v>
      </c>
      <c r="K159" s="20">
        <v>0</v>
      </c>
      <c r="L159" s="28" t="s">
        <v>114</v>
      </c>
      <c r="M159" s="20">
        <v>0</v>
      </c>
      <c r="N159">
        <v>10000</v>
      </c>
      <c r="O159" s="29">
        <v>1980000</v>
      </c>
    </row>
    <row r="160" spans="1:19">
      <c r="A160" s="1">
        <f t="shared" si="2"/>
        <v>10140012</v>
      </c>
      <c r="B160" s="19">
        <v>101400</v>
      </c>
      <c r="C160" s="19">
        <v>1</v>
      </c>
      <c r="D160" s="19" t="str">
        <f t="shared" si="6"/>
        <v>埃及艳后</v>
      </c>
      <c r="E160" s="19">
        <v>101400001</v>
      </c>
      <c r="F160" s="19" t="str">
        <f t="shared" si="5"/>
        <v>Cleopatra</v>
      </c>
      <c r="G160" s="20" t="s">
        <v>116</v>
      </c>
      <c r="H160" s="20">
        <v>12</v>
      </c>
      <c r="I160" s="27">
        <v>0</v>
      </c>
      <c r="J160" s="20">
        <v>-1</v>
      </c>
      <c r="K160" s="20">
        <v>0</v>
      </c>
      <c r="L160" s="28" t="s">
        <v>114</v>
      </c>
      <c r="M160" s="20">
        <v>0</v>
      </c>
      <c r="N160">
        <v>100000</v>
      </c>
      <c r="O160" s="29">
        <v>1980000</v>
      </c>
    </row>
    <row r="161" spans="1:15">
      <c r="A161" s="1">
        <f t="shared" si="2"/>
        <v>10240010</v>
      </c>
      <c r="B161" s="19">
        <v>102400</v>
      </c>
      <c r="C161" s="19">
        <v>1</v>
      </c>
      <c r="D161" s="19" t="s">
        <v>45</v>
      </c>
      <c r="E161" s="19">
        <v>102400026</v>
      </c>
      <c r="F161" s="19" t="s">
        <v>46</v>
      </c>
      <c r="G161" s="20" t="s">
        <v>113</v>
      </c>
      <c r="H161" s="20">
        <v>10</v>
      </c>
      <c r="I161" s="27">
        <v>0</v>
      </c>
      <c r="J161" s="20">
        <v>-1</v>
      </c>
      <c r="K161" s="20">
        <v>0</v>
      </c>
      <c r="L161" s="28" t="s">
        <v>114</v>
      </c>
      <c r="M161" s="20">
        <v>0</v>
      </c>
      <c r="N161">
        <v>1000</v>
      </c>
      <c r="O161" s="29">
        <v>1980000</v>
      </c>
    </row>
    <row r="162" spans="1:15">
      <c r="A162" s="1">
        <f t="shared" si="2"/>
        <v>10240011</v>
      </c>
      <c r="B162" s="19">
        <v>102400</v>
      </c>
      <c r="C162" s="19">
        <v>1</v>
      </c>
      <c r="D162" s="19" t="str">
        <f t="shared" si="6"/>
        <v>财富银行</v>
      </c>
      <c r="E162" s="19">
        <v>102400026</v>
      </c>
      <c r="F162" s="19" t="s">
        <v>46</v>
      </c>
      <c r="G162" s="20" t="s">
        <v>115</v>
      </c>
      <c r="H162" s="20">
        <v>11</v>
      </c>
      <c r="I162" s="27">
        <v>0</v>
      </c>
      <c r="J162" s="20">
        <v>-1</v>
      </c>
      <c r="K162" s="20">
        <v>0</v>
      </c>
      <c r="L162" s="28" t="s">
        <v>114</v>
      </c>
      <c r="M162" s="20">
        <v>0</v>
      </c>
      <c r="N162">
        <v>10000</v>
      </c>
      <c r="O162" s="29">
        <v>1980000</v>
      </c>
    </row>
    <row r="163" spans="1:15">
      <c r="A163" s="1">
        <f t="shared" si="2"/>
        <v>10240012</v>
      </c>
      <c r="B163" s="19">
        <v>102400</v>
      </c>
      <c r="C163" s="19">
        <v>1</v>
      </c>
      <c r="D163" s="19" t="str">
        <f t="shared" si="6"/>
        <v>财富银行</v>
      </c>
      <c r="E163" s="19">
        <v>102400026</v>
      </c>
      <c r="F163" s="19" t="s">
        <v>46</v>
      </c>
      <c r="G163" s="20" t="s">
        <v>116</v>
      </c>
      <c r="H163" s="20">
        <v>12</v>
      </c>
      <c r="I163" s="27">
        <v>0</v>
      </c>
      <c r="J163" s="20">
        <v>-1</v>
      </c>
      <c r="K163" s="20">
        <v>0</v>
      </c>
      <c r="L163" s="28" t="s">
        <v>114</v>
      </c>
      <c r="M163" s="20">
        <v>0</v>
      </c>
      <c r="N163">
        <v>100000</v>
      </c>
      <c r="O163" s="29">
        <v>1980000</v>
      </c>
    </row>
    <row r="164" spans="1:15">
      <c r="A164" s="1">
        <f t="shared" si="2"/>
        <v>10220010</v>
      </c>
      <c r="B164" s="19">
        <v>102200</v>
      </c>
      <c r="C164" s="19">
        <v>1</v>
      </c>
      <c r="D164" s="19" t="s">
        <v>47</v>
      </c>
      <c r="E164" s="19">
        <v>102200001</v>
      </c>
      <c r="F164" s="19" t="s">
        <v>48</v>
      </c>
      <c r="G164" s="20" t="s">
        <v>113</v>
      </c>
      <c r="H164" s="20">
        <v>10</v>
      </c>
      <c r="I164" s="27">
        <v>0</v>
      </c>
      <c r="J164" s="20">
        <v>-1</v>
      </c>
      <c r="K164" s="20">
        <v>0</v>
      </c>
      <c r="L164" s="28" t="s">
        <v>114</v>
      </c>
      <c r="M164" s="20">
        <v>0</v>
      </c>
      <c r="N164">
        <v>1000</v>
      </c>
      <c r="O164" s="29">
        <v>1980000</v>
      </c>
    </row>
    <row r="165" spans="1:15">
      <c r="A165" s="1">
        <f t="shared" si="2"/>
        <v>10220011</v>
      </c>
      <c r="B165" s="19">
        <v>102200</v>
      </c>
      <c r="C165" s="19">
        <v>1</v>
      </c>
      <c r="D165" s="19" t="s">
        <v>47</v>
      </c>
      <c r="E165" s="19">
        <v>102200001</v>
      </c>
      <c r="F165" s="19" t="s">
        <v>48</v>
      </c>
      <c r="G165" s="20" t="s">
        <v>115</v>
      </c>
      <c r="H165" s="20">
        <v>11</v>
      </c>
      <c r="I165" s="27">
        <v>0</v>
      </c>
      <c r="J165" s="20">
        <v>-1</v>
      </c>
      <c r="K165" s="20">
        <v>0</v>
      </c>
      <c r="L165" s="28" t="s">
        <v>114</v>
      </c>
      <c r="M165" s="20">
        <v>0</v>
      </c>
      <c r="N165">
        <v>10000</v>
      </c>
      <c r="O165" s="29">
        <v>1980000</v>
      </c>
    </row>
    <row r="166" spans="1:15">
      <c r="A166" s="1">
        <f t="shared" si="2"/>
        <v>10220012</v>
      </c>
      <c r="B166" s="19">
        <v>102200</v>
      </c>
      <c r="C166" s="19">
        <v>1</v>
      </c>
      <c r="D166" s="19" t="s">
        <v>47</v>
      </c>
      <c r="E166" s="19">
        <v>102200001</v>
      </c>
      <c r="F166" s="19" t="s">
        <v>48</v>
      </c>
      <c r="G166" s="20" t="s">
        <v>116</v>
      </c>
      <c r="H166" s="20">
        <v>12</v>
      </c>
      <c r="I166" s="27">
        <v>0</v>
      </c>
      <c r="J166" s="20">
        <v>-1</v>
      </c>
      <c r="K166" s="20">
        <v>0</v>
      </c>
      <c r="L166" s="28" t="s">
        <v>114</v>
      </c>
      <c r="M166" s="20">
        <v>0</v>
      </c>
      <c r="N166">
        <v>100000</v>
      </c>
      <c r="O166" s="29">
        <v>1980000</v>
      </c>
    </row>
    <row r="167" spans="1:15">
      <c r="A167" s="1">
        <f t="shared" si="2"/>
        <v>10170010</v>
      </c>
      <c r="B167" s="19">
        <v>101700</v>
      </c>
      <c r="C167" s="19">
        <v>1</v>
      </c>
      <c r="D167" s="19" t="s">
        <v>49</v>
      </c>
      <c r="E167" s="19">
        <v>101700001</v>
      </c>
      <c r="F167" s="19" t="s">
        <v>50</v>
      </c>
      <c r="G167" s="20" t="s">
        <v>113</v>
      </c>
      <c r="H167" s="20">
        <v>10</v>
      </c>
      <c r="I167" s="27">
        <v>0</v>
      </c>
      <c r="J167" s="20">
        <v>-1</v>
      </c>
      <c r="K167" s="20">
        <v>0</v>
      </c>
      <c r="L167" s="28" t="s">
        <v>114</v>
      </c>
      <c r="M167" s="20">
        <v>0</v>
      </c>
      <c r="N167">
        <v>1000</v>
      </c>
      <c r="O167" s="29">
        <v>1980000</v>
      </c>
    </row>
    <row r="168" spans="1:15">
      <c r="A168" s="1">
        <f t="shared" si="2"/>
        <v>10170011</v>
      </c>
      <c r="B168" s="19">
        <v>101700</v>
      </c>
      <c r="C168" s="19">
        <v>1</v>
      </c>
      <c r="D168" s="19" t="s">
        <v>49</v>
      </c>
      <c r="E168" s="19">
        <v>101700001</v>
      </c>
      <c r="F168" s="19" t="s">
        <v>50</v>
      </c>
      <c r="G168" s="20" t="s">
        <v>115</v>
      </c>
      <c r="H168" s="20">
        <v>11</v>
      </c>
      <c r="I168" s="27">
        <v>0</v>
      </c>
      <c r="J168" s="20">
        <v>-1</v>
      </c>
      <c r="K168" s="20">
        <v>0</v>
      </c>
      <c r="L168" s="28" t="s">
        <v>114</v>
      </c>
      <c r="M168" s="20">
        <v>0</v>
      </c>
      <c r="N168">
        <v>10000</v>
      </c>
      <c r="O168" s="29">
        <v>1980000</v>
      </c>
    </row>
    <row r="169" spans="1:15">
      <c r="A169" s="1">
        <f t="shared" si="2"/>
        <v>10170012</v>
      </c>
      <c r="B169" s="19">
        <v>101700</v>
      </c>
      <c r="C169" s="19">
        <v>1</v>
      </c>
      <c r="D169" s="19" t="s">
        <v>49</v>
      </c>
      <c r="E169" s="19">
        <v>101700001</v>
      </c>
      <c r="F169" s="19" t="s">
        <v>50</v>
      </c>
      <c r="G169" s="20" t="s">
        <v>116</v>
      </c>
      <c r="H169" s="20">
        <v>12</v>
      </c>
      <c r="I169" s="27">
        <v>0</v>
      </c>
      <c r="J169" s="20">
        <v>-1</v>
      </c>
      <c r="K169" s="20">
        <v>0</v>
      </c>
      <c r="L169" s="28" t="s">
        <v>114</v>
      </c>
      <c r="M169" s="20">
        <v>0</v>
      </c>
      <c r="N169">
        <v>100000</v>
      </c>
      <c r="O169" s="29">
        <v>1980000</v>
      </c>
    </row>
    <row r="170" spans="1:15">
      <c r="A170" s="1">
        <f t="shared" si="2"/>
        <v>10210010</v>
      </c>
      <c r="B170" s="19">
        <v>102100</v>
      </c>
      <c r="C170" s="19">
        <v>1</v>
      </c>
      <c r="D170" s="19" t="s">
        <v>51</v>
      </c>
      <c r="E170" s="19">
        <v>102100001</v>
      </c>
      <c r="F170" s="19" t="s">
        <v>52</v>
      </c>
      <c r="G170" s="20" t="s">
        <v>113</v>
      </c>
      <c r="H170" s="20">
        <v>10</v>
      </c>
      <c r="I170" s="27">
        <v>0</v>
      </c>
      <c r="J170" s="20">
        <v>-1</v>
      </c>
      <c r="K170" s="20">
        <v>0</v>
      </c>
      <c r="L170" s="28" t="s">
        <v>114</v>
      </c>
      <c r="M170" s="20">
        <v>0</v>
      </c>
      <c r="N170">
        <v>1000</v>
      </c>
      <c r="O170" s="29">
        <v>1980000</v>
      </c>
    </row>
    <row r="171" spans="1:15">
      <c r="A171" s="1">
        <f t="shared" si="2"/>
        <v>10210011</v>
      </c>
      <c r="B171" s="19">
        <v>102100</v>
      </c>
      <c r="C171" s="19">
        <v>1</v>
      </c>
      <c r="D171" s="19" t="s">
        <v>51</v>
      </c>
      <c r="E171" s="19">
        <v>102100001</v>
      </c>
      <c r="F171" s="19" t="s">
        <v>52</v>
      </c>
      <c r="G171" s="20" t="s">
        <v>115</v>
      </c>
      <c r="H171" s="20">
        <v>11</v>
      </c>
      <c r="I171" s="27">
        <v>0</v>
      </c>
      <c r="J171" s="20">
        <v>-1</v>
      </c>
      <c r="K171" s="20">
        <v>0</v>
      </c>
      <c r="L171" s="28" t="s">
        <v>114</v>
      </c>
      <c r="M171" s="20">
        <v>0</v>
      </c>
      <c r="N171">
        <v>10000</v>
      </c>
      <c r="O171" s="29">
        <v>1980000</v>
      </c>
    </row>
    <row r="172" spans="1:15">
      <c r="A172" s="1">
        <f t="shared" si="2"/>
        <v>10210012</v>
      </c>
      <c r="B172" s="19">
        <v>102100</v>
      </c>
      <c r="C172" s="19">
        <v>1</v>
      </c>
      <c r="D172" s="19" t="s">
        <v>51</v>
      </c>
      <c r="E172" s="19">
        <v>102100001</v>
      </c>
      <c r="F172" s="19" t="s">
        <v>52</v>
      </c>
      <c r="G172" s="20" t="s">
        <v>116</v>
      </c>
      <c r="H172" s="20">
        <v>12</v>
      </c>
      <c r="I172" s="27">
        <v>0</v>
      </c>
      <c r="J172" s="20">
        <v>-1</v>
      </c>
      <c r="K172" s="20">
        <v>0</v>
      </c>
      <c r="L172" s="28" t="s">
        <v>114</v>
      </c>
      <c r="M172" s="20">
        <v>0</v>
      </c>
      <c r="N172">
        <v>100000</v>
      </c>
      <c r="O172" s="29">
        <v>1980000</v>
      </c>
    </row>
    <row r="173" spans="1:15">
      <c r="A173" s="1">
        <f t="shared" si="2"/>
        <v>10180010</v>
      </c>
      <c r="B173" s="19">
        <v>101800</v>
      </c>
      <c r="C173" s="19">
        <v>1</v>
      </c>
      <c r="D173" s="19" t="s">
        <v>53</v>
      </c>
      <c r="E173" s="19">
        <v>101800001</v>
      </c>
      <c r="F173" s="19" t="s">
        <v>54</v>
      </c>
      <c r="G173" s="20" t="s">
        <v>113</v>
      </c>
      <c r="H173" s="20">
        <v>10</v>
      </c>
      <c r="I173" s="27">
        <v>0</v>
      </c>
      <c r="J173" s="20">
        <v>-1</v>
      </c>
      <c r="K173" s="20">
        <v>0</v>
      </c>
      <c r="L173" s="28" t="s">
        <v>114</v>
      </c>
      <c r="M173" s="20">
        <v>0</v>
      </c>
      <c r="N173">
        <v>1000</v>
      </c>
      <c r="O173" s="29">
        <v>1980000</v>
      </c>
    </row>
    <row r="174" spans="1:15">
      <c r="A174" s="1">
        <f t="shared" si="2"/>
        <v>10180011</v>
      </c>
      <c r="B174" s="19">
        <v>101800</v>
      </c>
      <c r="C174" s="19">
        <v>1</v>
      </c>
      <c r="D174" s="19" t="s">
        <v>53</v>
      </c>
      <c r="E174" s="19">
        <v>101800001</v>
      </c>
      <c r="F174" s="19" t="s">
        <v>54</v>
      </c>
      <c r="G174" s="20" t="s">
        <v>115</v>
      </c>
      <c r="H174" s="20">
        <v>11</v>
      </c>
      <c r="I174" s="27">
        <v>0</v>
      </c>
      <c r="J174" s="20">
        <v>-1</v>
      </c>
      <c r="K174" s="20">
        <v>0</v>
      </c>
      <c r="L174" s="28" t="s">
        <v>114</v>
      </c>
      <c r="M174" s="20">
        <v>0</v>
      </c>
      <c r="N174">
        <v>10000</v>
      </c>
      <c r="O174" s="29">
        <v>1980000</v>
      </c>
    </row>
    <row r="175" spans="1:15">
      <c r="A175" s="1">
        <f t="shared" si="2"/>
        <v>10180012</v>
      </c>
      <c r="B175" s="19">
        <v>101800</v>
      </c>
      <c r="C175" s="19">
        <v>1</v>
      </c>
      <c r="D175" s="19" t="s">
        <v>53</v>
      </c>
      <c r="E175" s="19">
        <v>101800001</v>
      </c>
      <c r="F175" s="19" t="s">
        <v>54</v>
      </c>
      <c r="G175" s="20" t="s">
        <v>116</v>
      </c>
      <c r="H175" s="20">
        <v>12</v>
      </c>
      <c r="I175" s="27">
        <v>0</v>
      </c>
      <c r="J175" s="20">
        <v>-1</v>
      </c>
      <c r="K175" s="20">
        <v>0</v>
      </c>
      <c r="L175" s="28" t="s">
        <v>114</v>
      </c>
      <c r="M175" s="20">
        <v>0</v>
      </c>
      <c r="N175">
        <v>100000</v>
      </c>
      <c r="O175" s="29">
        <v>1980000</v>
      </c>
    </row>
    <row r="176" spans="1:15">
      <c r="A176" s="1">
        <f t="shared" si="2"/>
        <v>10250010</v>
      </c>
      <c r="B176" s="19">
        <v>102500</v>
      </c>
      <c r="C176" s="19">
        <v>1</v>
      </c>
      <c r="D176" s="19" t="s">
        <v>55</v>
      </c>
      <c r="E176" s="19">
        <v>102500001</v>
      </c>
      <c r="F176" s="19" t="s">
        <v>56</v>
      </c>
      <c r="G176" s="20" t="s">
        <v>113</v>
      </c>
      <c r="H176" s="20">
        <v>10</v>
      </c>
      <c r="I176" s="27">
        <v>0</v>
      </c>
      <c r="J176" s="20">
        <v>-1</v>
      </c>
      <c r="K176" s="20">
        <v>0</v>
      </c>
      <c r="L176" s="28" t="s">
        <v>114</v>
      </c>
      <c r="M176" s="20">
        <v>0</v>
      </c>
      <c r="N176">
        <v>1000</v>
      </c>
      <c r="O176" s="29">
        <v>1980000</v>
      </c>
    </row>
    <row r="177" spans="1:15">
      <c r="A177" s="1">
        <f t="shared" si="2"/>
        <v>10250011</v>
      </c>
      <c r="B177" s="19">
        <v>102500</v>
      </c>
      <c r="C177" s="19">
        <v>1</v>
      </c>
      <c r="D177" s="19" t="s">
        <v>55</v>
      </c>
      <c r="E177" s="19">
        <v>102500001</v>
      </c>
      <c r="F177" s="19" t="s">
        <v>56</v>
      </c>
      <c r="G177" s="20" t="s">
        <v>115</v>
      </c>
      <c r="H177" s="20">
        <v>11</v>
      </c>
      <c r="I177" s="27">
        <v>0</v>
      </c>
      <c r="J177" s="20">
        <v>-1</v>
      </c>
      <c r="K177" s="20">
        <v>0</v>
      </c>
      <c r="L177" s="28" t="s">
        <v>114</v>
      </c>
      <c r="M177" s="20">
        <v>0</v>
      </c>
      <c r="N177">
        <v>10000</v>
      </c>
      <c r="O177" s="29">
        <v>1980000</v>
      </c>
    </row>
    <row r="178" spans="1:15">
      <c r="A178" s="1">
        <f t="shared" si="2"/>
        <v>10250012</v>
      </c>
      <c r="B178" s="19">
        <v>102500</v>
      </c>
      <c r="C178" s="19">
        <v>1</v>
      </c>
      <c r="D178" s="19" t="s">
        <v>55</v>
      </c>
      <c r="E178" s="19">
        <v>102500001</v>
      </c>
      <c r="F178" s="19" t="s">
        <v>56</v>
      </c>
      <c r="G178" s="20" t="s">
        <v>116</v>
      </c>
      <c r="H178" s="20">
        <v>12</v>
      </c>
      <c r="I178" s="27">
        <v>0</v>
      </c>
      <c r="J178" s="20">
        <v>-1</v>
      </c>
      <c r="K178" s="20">
        <v>0</v>
      </c>
      <c r="L178" s="28" t="s">
        <v>114</v>
      </c>
      <c r="M178" s="20">
        <v>0</v>
      </c>
      <c r="N178">
        <v>100000</v>
      </c>
      <c r="O178" s="29">
        <v>1980000</v>
      </c>
    </row>
    <row r="179" spans="1:15">
      <c r="A179" s="1">
        <f t="shared" si="2"/>
        <v>10230010</v>
      </c>
      <c r="B179" s="19">
        <v>102300</v>
      </c>
      <c r="C179" s="19">
        <v>1</v>
      </c>
      <c r="D179" s="19" t="s">
        <v>57</v>
      </c>
      <c r="E179" s="19">
        <v>102300001</v>
      </c>
      <c r="F179" s="19" t="s">
        <v>58</v>
      </c>
      <c r="G179" s="20" t="s">
        <v>113</v>
      </c>
      <c r="H179" s="20">
        <v>10</v>
      </c>
      <c r="I179" s="27">
        <v>0</v>
      </c>
      <c r="J179" s="20">
        <v>-1</v>
      </c>
      <c r="K179" s="20">
        <v>0</v>
      </c>
      <c r="L179" s="28" t="s">
        <v>114</v>
      </c>
      <c r="M179" s="20">
        <v>0</v>
      </c>
      <c r="N179">
        <v>1000</v>
      </c>
      <c r="O179" s="29">
        <v>1980000</v>
      </c>
    </row>
    <row r="180" spans="1:15">
      <c r="A180" s="1">
        <f t="shared" si="2"/>
        <v>10230011</v>
      </c>
      <c r="B180" s="19">
        <v>102300</v>
      </c>
      <c r="C180" s="19">
        <v>1</v>
      </c>
      <c r="D180" s="19" t="s">
        <v>57</v>
      </c>
      <c r="E180" s="19">
        <v>102300001</v>
      </c>
      <c r="F180" s="19" t="s">
        <v>58</v>
      </c>
      <c r="G180" s="20" t="s">
        <v>115</v>
      </c>
      <c r="H180" s="20">
        <v>11</v>
      </c>
      <c r="I180" s="27">
        <v>0</v>
      </c>
      <c r="J180" s="20">
        <v>-1</v>
      </c>
      <c r="K180" s="20">
        <v>0</v>
      </c>
      <c r="L180" s="28" t="s">
        <v>114</v>
      </c>
      <c r="M180" s="20">
        <v>0</v>
      </c>
      <c r="N180">
        <v>10000</v>
      </c>
      <c r="O180" s="29">
        <v>1980000</v>
      </c>
    </row>
    <row r="181" spans="1:15">
      <c r="A181" s="1">
        <f t="shared" si="2"/>
        <v>10230012</v>
      </c>
      <c r="B181" s="19">
        <v>102300</v>
      </c>
      <c r="C181" s="19">
        <v>1</v>
      </c>
      <c r="D181" s="19" t="s">
        <v>57</v>
      </c>
      <c r="E181" s="19">
        <v>102300001</v>
      </c>
      <c r="F181" s="19" t="s">
        <v>58</v>
      </c>
      <c r="G181" s="20" t="s">
        <v>116</v>
      </c>
      <c r="H181" s="20">
        <v>12</v>
      </c>
      <c r="I181" s="27">
        <v>0</v>
      </c>
      <c r="J181" s="20">
        <v>-1</v>
      </c>
      <c r="K181" s="20">
        <v>0</v>
      </c>
      <c r="L181" s="28" t="s">
        <v>114</v>
      </c>
      <c r="M181" s="20">
        <v>0</v>
      </c>
      <c r="N181">
        <v>100000</v>
      </c>
      <c r="O181" s="29">
        <v>1980000</v>
      </c>
    </row>
    <row r="182" spans="1:15">
      <c r="A182" s="1">
        <f t="shared" si="2"/>
        <v>10340010</v>
      </c>
      <c r="B182" s="15">
        <v>103400</v>
      </c>
      <c r="C182" s="15">
        <v>1</v>
      </c>
      <c r="D182" s="15" t="s">
        <v>59</v>
      </c>
      <c r="E182" s="16">
        <v>103000001</v>
      </c>
      <c r="F182" s="16" t="s">
        <v>60</v>
      </c>
      <c r="G182" s="20" t="s">
        <v>113</v>
      </c>
      <c r="H182" s="1">
        <v>10</v>
      </c>
      <c r="I182" s="3">
        <v>0</v>
      </c>
      <c r="J182" s="20">
        <v>-1</v>
      </c>
      <c r="K182" s="20">
        <v>0</v>
      </c>
      <c r="L182" s="28" t="s">
        <v>114</v>
      </c>
      <c r="M182" s="20">
        <v>0</v>
      </c>
      <c r="N182">
        <v>1000</v>
      </c>
      <c r="O182" s="29">
        <v>1980000</v>
      </c>
    </row>
    <row r="183" spans="1:15">
      <c r="A183" s="1">
        <f t="shared" si="2"/>
        <v>10340011</v>
      </c>
      <c r="B183" s="15">
        <v>103400</v>
      </c>
      <c r="C183" s="15">
        <v>1</v>
      </c>
      <c r="D183" s="15" t="s">
        <v>59</v>
      </c>
      <c r="E183" s="16">
        <v>103000001</v>
      </c>
      <c r="F183" s="16" t="s">
        <v>60</v>
      </c>
      <c r="G183" s="20" t="s">
        <v>115</v>
      </c>
      <c r="H183" s="1">
        <v>11</v>
      </c>
      <c r="I183" s="3">
        <v>0</v>
      </c>
      <c r="J183" s="20">
        <v>-1</v>
      </c>
      <c r="K183" s="20">
        <v>0</v>
      </c>
      <c r="L183" s="28" t="s">
        <v>114</v>
      </c>
      <c r="M183" s="20">
        <v>0</v>
      </c>
      <c r="N183">
        <v>10000</v>
      </c>
      <c r="O183" s="29">
        <v>1980000</v>
      </c>
    </row>
    <row r="184" spans="1:15">
      <c r="A184" s="1">
        <f t="shared" si="2"/>
        <v>10340012</v>
      </c>
      <c r="B184" s="15">
        <v>103400</v>
      </c>
      <c r="C184" s="15">
        <v>1</v>
      </c>
      <c r="D184" s="15" t="s">
        <v>59</v>
      </c>
      <c r="E184" s="16">
        <v>103000001</v>
      </c>
      <c r="F184" s="16" t="s">
        <v>60</v>
      </c>
      <c r="G184" s="20" t="s">
        <v>116</v>
      </c>
      <c r="H184" s="1">
        <v>12</v>
      </c>
      <c r="I184" s="3">
        <v>0</v>
      </c>
      <c r="J184" s="20">
        <v>-1</v>
      </c>
      <c r="K184" s="20">
        <v>0</v>
      </c>
      <c r="L184" s="28" t="s">
        <v>114</v>
      </c>
      <c r="M184" s="20">
        <v>0</v>
      </c>
      <c r="N184">
        <v>100000</v>
      </c>
      <c r="O184" s="29">
        <v>1980000</v>
      </c>
    </row>
    <row r="185" spans="1:15">
      <c r="A185" s="1">
        <f t="shared" si="2"/>
        <v>10350010</v>
      </c>
      <c r="B185" s="15">
        <v>103500</v>
      </c>
      <c r="C185" s="15">
        <v>1</v>
      </c>
      <c r="D185" s="15" t="s">
        <v>61</v>
      </c>
      <c r="E185" s="16">
        <v>102900001</v>
      </c>
      <c r="F185" s="16" t="s">
        <v>62</v>
      </c>
      <c r="G185" s="20" t="s">
        <v>113</v>
      </c>
      <c r="H185" s="1">
        <v>10</v>
      </c>
      <c r="I185" s="3">
        <v>0</v>
      </c>
      <c r="J185" s="20">
        <v>-1</v>
      </c>
      <c r="K185" s="20">
        <v>0</v>
      </c>
      <c r="L185" s="28" t="s">
        <v>114</v>
      </c>
      <c r="M185" s="20">
        <v>0</v>
      </c>
      <c r="N185">
        <v>1000</v>
      </c>
      <c r="O185" s="29">
        <v>1980000</v>
      </c>
    </row>
    <row r="186" spans="1:15">
      <c r="A186" s="1">
        <f t="shared" si="2"/>
        <v>10350011</v>
      </c>
      <c r="B186" s="15">
        <v>103500</v>
      </c>
      <c r="C186" s="15">
        <v>1</v>
      </c>
      <c r="D186" s="15" t="s">
        <v>61</v>
      </c>
      <c r="E186" s="16">
        <v>102900001</v>
      </c>
      <c r="F186" s="16" t="s">
        <v>62</v>
      </c>
      <c r="G186" s="20" t="s">
        <v>115</v>
      </c>
      <c r="H186" s="1">
        <v>11</v>
      </c>
      <c r="I186" s="3">
        <v>0</v>
      </c>
      <c r="J186" s="20">
        <v>-1</v>
      </c>
      <c r="K186" s="20">
        <v>0</v>
      </c>
      <c r="L186" s="28" t="s">
        <v>114</v>
      </c>
      <c r="M186" s="20">
        <v>0</v>
      </c>
      <c r="N186">
        <v>10000</v>
      </c>
      <c r="O186" s="29">
        <v>1980000</v>
      </c>
    </row>
    <row r="187" spans="1:15">
      <c r="A187" s="1">
        <f t="shared" si="2"/>
        <v>10350012</v>
      </c>
      <c r="B187" s="15">
        <v>103500</v>
      </c>
      <c r="C187" s="15">
        <v>1</v>
      </c>
      <c r="D187" s="15" t="s">
        <v>61</v>
      </c>
      <c r="E187" s="16">
        <v>102900001</v>
      </c>
      <c r="F187" s="16" t="s">
        <v>62</v>
      </c>
      <c r="G187" s="20" t="s">
        <v>116</v>
      </c>
      <c r="H187" s="1">
        <v>12</v>
      </c>
      <c r="I187" s="3">
        <v>0</v>
      </c>
      <c r="J187" s="20">
        <v>-1</v>
      </c>
      <c r="K187" s="20">
        <v>0</v>
      </c>
      <c r="L187" s="28" t="s">
        <v>114</v>
      </c>
      <c r="M187" s="20">
        <v>0</v>
      </c>
      <c r="N187">
        <v>100000</v>
      </c>
      <c r="O187" s="29">
        <v>1980000</v>
      </c>
    </row>
    <row r="188" spans="1:15">
      <c r="A188" s="1">
        <f t="shared" si="2"/>
        <v>10350110</v>
      </c>
      <c r="B188" s="15">
        <v>103501</v>
      </c>
      <c r="C188" s="15">
        <v>1</v>
      </c>
      <c r="D188" s="15" t="s">
        <v>63</v>
      </c>
      <c r="E188" s="16">
        <v>103501001</v>
      </c>
      <c r="F188" s="16" t="s">
        <v>64</v>
      </c>
      <c r="G188" s="20" t="s">
        <v>113</v>
      </c>
      <c r="H188" s="1">
        <v>10</v>
      </c>
      <c r="I188" s="3">
        <v>0</v>
      </c>
      <c r="J188" s="20">
        <v>-1</v>
      </c>
      <c r="K188" s="1">
        <v>0</v>
      </c>
      <c r="L188" s="28" t="s">
        <v>114</v>
      </c>
      <c r="M188" s="20">
        <v>0</v>
      </c>
      <c r="N188">
        <v>1000</v>
      </c>
      <c r="O188" s="29">
        <v>1980000</v>
      </c>
    </row>
    <row r="189" spans="1:15">
      <c r="A189" s="1">
        <f t="shared" si="2"/>
        <v>10350111</v>
      </c>
      <c r="B189" s="15">
        <v>103501</v>
      </c>
      <c r="C189" s="15">
        <v>1</v>
      </c>
      <c r="D189" s="15" t="s">
        <v>63</v>
      </c>
      <c r="E189" s="16">
        <v>103501001</v>
      </c>
      <c r="F189" s="16" t="s">
        <v>64</v>
      </c>
      <c r="G189" s="20" t="s">
        <v>115</v>
      </c>
      <c r="H189" s="1">
        <v>11</v>
      </c>
      <c r="I189" s="3">
        <v>0</v>
      </c>
      <c r="J189" s="20">
        <v>-1</v>
      </c>
      <c r="K189" s="1">
        <v>0</v>
      </c>
      <c r="L189" s="28" t="s">
        <v>114</v>
      </c>
      <c r="M189" s="20">
        <v>0</v>
      </c>
      <c r="N189">
        <v>10000</v>
      </c>
      <c r="O189" s="29">
        <v>1980000</v>
      </c>
    </row>
    <row r="190" spans="1:15">
      <c r="A190" s="1">
        <f t="shared" si="2"/>
        <v>10350112</v>
      </c>
      <c r="B190" s="15">
        <v>103501</v>
      </c>
      <c r="C190" s="15">
        <v>1</v>
      </c>
      <c r="D190" s="15" t="s">
        <v>63</v>
      </c>
      <c r="E190" s="16">
        <v>103501001</v>
      </c>
      <c r="F190" s="16" t="s">
        <v>64</v>
      </c>
      <c r="G190" s="20" t="s">
        <v>116</v>
      </c>
      <c r="H190" s="1">
        <v>12</v>
      </c>
      <c r="I190" s="3">
        <v>0</v>
      </c>
      <c r="J190" s="20">
        <v>-1</v>
      </c>
      <c r="K190" s="1">
        <v>0</v>
      </c>
      <c r="L190" s="28" t="s">
        <v>114</v>
      </c>
      <c r="M190" s="20">
        <v>0</v>
      </c>
      <c r="N190">
        <v>100000</v>
      </c>
      <c r="O190" s="29">
        <v>1980000</v>
      </c>
    </row>
    <row r="191" spans="1:15">
      <c r="A191" s="1">
        <f t="shared" si="2"/>
        <v>10200010</v>
      </c>
      <c r="B191" s="15">
        <v>102000</v>
      </c>
      <c r="C191" s="15">
        <v>1</v>
      </c>
      <c r="D191" s="15" t="s">
        <v>65</v>
      </c>
      <c r="E191" s="16">
        <v>102000001</v>
      </c>
      <c r="F191" s="16" t="s">
        <v>66</v>
      </c>
      <c r="G191" s="20" t="s">
        <v>113</v>
      </c>
      <c r="H191" s="1">
        <v>10</v>
      </c>
      <c r="I191" s="3">
        <v>0</v>
      </c>
      <c r="J191" s="20">
        <v>-1</v>
      </c>
      <c r="K191" s="1">
        <v>0</v>
      </c>
      <c r="L191" s="28" t="s">
        <v>114</v>
      </c>
      <c r="M191" s="20">
        <v>0</v>
      </c>
      <c r="N191">
        <v>1000</v>
      </c>
      <c r="O191" s="29">
        <v>1980000</v>
      </c>
    </row>
    <row r="192" spans="1:15">
      <c r="A192" s="1">
        <f t="shared" si="2"/>
        <v>10200011</v>
      </c>
      <c r="B192" s="15">
        <v>102000</v>
      </c>
      <c r="C192" s="15">
        <v>1</v>
      </c>
      <c r="D192" s="15" t="s">
        <v>65</v>
      </c>
      <c r="E192" s="16">
        <v>102000001</v>
      </c>
      <c r="F192" s="16" t="s">
        <v>66</v>
      </c>
      <c r="G192" s="20" t="s">
        <v>115</v>
      </c>
      <c r="H192" s="1">
        <v>11</v>
      </c>
      <c r="I192" s="3">
        <v>0</v>
      </c>
      <c r="J192" s="20">
        <v>-1</v>
      </c>
      <c r="K192" s="1">
        <v>0</v>
      </c>
      <c r="L192" s="28" t="s">
        <v>114</v>
      </c>
      <c r="M192" s="20">
        <v>0</v>
      </c>
      <c r="N192">
        <v>10000</v>
      </c>
      <c r="O192" s="29">
        <v>1980000</v>
      </c>
    </row>
    <row r="193" spans="1:19">
      <c r="A193" s="1">
        <f t="shared" si="2"/>
        <v>10200012</v>
      </c>
      <c r="B193" s="15">
        <v>102000</v>
      </c>
      <c r="C193" s="15">
        <v>1</v>
      </c>
      <c r="D193" s="15" t="s">
        <v>65</v>
      </c>
      <c r="E193" s="16">
        <v>102000001</v>
      </c>
      <c r="F193" s="16" t="s">
        <v>66</v>
      </c>
      <c r="G193" s="20" t="s">
        <v>116</v>
      </c>
      <c r="H193" s="1">
        <v>12</v>
      </c>
      <c r="I193" s="3">
        <v>0</v>
      </c>
      <c r="J193" s="20">
        <v>-1</v>
      </c>
      <c r="K193" s="1">
        <v>0</v>
      </c>
      <c r="L193" s="28" t="s">
        <v>114</v>
      </c>
      <c r="M193" s="20">
        <v>0</v>
      </c>
      <c r="N193">
        <v>100000</v>
      </c>
      <c r="O193" s="29">
        <v>1980000</v>
      </c>
    </row>
    <row r="194" spans="1:19">
      <c r="A194" s="1">
        <f t="shared" si="2"/>
        <v>10360010</v>
      </c>
      <c r="B194" s="15">
        <v>103600</v>
      </c>
      <c r="C194" s="15">
        <v>1</v>
      </c>
      <c r="D194" s="15" t="s">
        <v>67</v>
      </c>
      <c r="E194" s="16">
        <v>103600001</v>
      </c>
      <c r="F194" s="16" t="s">
        <v>68</v>
      </c>
      <c r="G194" s="20" t="s">
        <v>113</v>
      </c>
      <c r="H194" s="1">
        <v>10</v>
      </c>
      <c r="I194" s="3">
        <v>0</v>
      </c>
      <c r="J194" s="20">
        <v>-1</v>
      </c>
      <c r="K194" s="1">
        <v>0</v>
      </c>
      <c r="L194" s="28" t="s">
        <v>114</v>
      </c>
      <c r="M194" s="20">
        <v>0</v>
      </c>
      <c r="N194">
        <v>1000</v>
      </c>
      <c r="O194" s="29">
        <v>1980000</v>
      </c>
    </row>
    <row r="195" spans="1:19">
      <c r="A195" s="1">
        <f t="shared" si="2"/>
        <v>10360011</v>
      </c>
      <c r="B195" s="15">
        <v>103600</v>
      </c>
      <c r="C195" s="15">
        <v>1</v>
      </c>
      <c r="D195" s="15" t="s">
        <v>67</v>
      </c>
      <c r="E195" s="16">
        <v>103600001</v>
      </c>
      <c r="F195" s="16" t="s">
        <v>68</v>
      </c>
      <c r="G195" s="20" t="s">
        <v>115</v>
      </c>
      <c r="H195" s="1">
        <v>11</v>
      </c>
      <c r="I195" s="3">
        <v>0</v>
      </c>
      <c r="J195" s="20">
        <v>-1</v>
      </c>
      <c r="K195" s="1">
        <v>0</v>
      </c>
      <c r="L195" s="28" t="s">
        <v>114</v>
      </c>
      <c r="M195" s="20">
        <v>0</v>
      </c>
      <c r="N195">
        <v>10000</v>
      </c>
      <c r="O195" s="29">
        <v>1980000</v>
      </c>
    </row>
    <row r="196" spans="1:19">
      <c r="A196" s="1">
        <f t="shared" si="2"/>
        <v>10360012</v>
      </c>
      <c r="B196" s="15">
        <v>103600</v>
      </c>
      <c r="C196" s="15">
        <v>1</v>
      </c>
      <c r="D196" s="15" t="s">
        <v>67</v>
      </c>
      <c r="E196" s="16">
        <v>103600001</v>
      </c>
      <c r="F196" s="16" t="s">
        <v>68</v>
      </c>
      <c r="G196" s="20" t="s">
        <v>116</v>
      </c>
      <c r="H196" s="1">
        <v>12</v>
      </c>
      <c r="I196" s="3">
        <v>0</v>
      </c>
      <c r="J196" s="20">
        <v>-1</v>
      </c>
      <c r="K196" s="1">
        <v>0</v>
      </c>
      <c r="L196" s="28" t="s">
        <v>114</v>
      </c>
      <c r="M196" s="20">
        <v>0</v>
      </c>
      <c r="N196">
        <v>100000</v>
      </c>
      <c r="O196" s="29">
        <v>1980000</v>
      </c>
    </row>
    <row r="197" spans="1:19">
      <c r="A197" s="1">
        <f t="shared" si="2"/>
        <v>10280010</v>
      </c>
      <c r="B197" s="15">
        <v>102800</v>
      </c>
      <c r="C197" s="15">
        <v>1</v>
      </c>
      <c r="D197" s="15" t="s">
        <v>69</v>
      </c>
      <c r="E197" s="16">
        <v>102800001</v>
      </c>
      <c r="F197" s="16" t="s">
        <v>70</v>
      </c>
      <c r="G197" s="20" t="s">
        <v>113</v>
      </c>
      <c r="H197" s="1">
        <v>10</v>
      </c>
      <c r="I197" s="3">
        <v>0</v>
      </c>
      <c r="J197" s="20">
        <v>-1</v>
      </c>
      <c r="K197" s="1">
        <v>0</v>
      </c>
      <c r="L197" s="28" t="s">
        <v>114</v>
      </c>
      <c r="M197" s="20">
        <v>0</v>
      </c>
      <c r="N197">
        <v>1000</v>
      </c>
      <c r="O197" s="29">
        <v>1980000</v>
      </c>
    </row>
    <row r="198" spans="1:19">
      <c r="A198" s="1">
        <f t="shared" si="2"/>
        <v>10280011</v>
      </c>
      <c r="B198" s="15">
        <v>102800</v>
      </c>
      <c r="C198" s="15">
        <v>1</v>
      </c>
      <c r="D198" s="15" t="s">
        <v>69</v>
      </c>
      <c r="E198" s="16">
        <v>102800001</v>
      </c>
      <c r="F198" s="16" t="s">
        <v>70</v>
      </c>
      <c r="G198" s="20" t="s">
        <v>115</v>
      </c>
      <c r="H198" s="1">
        <v>11</v>
      </c>
      <c r="I198" s="3">
        <v>0</v>
      </c>
      <c r="J198" s="20">
        <v>-1</v>
      </c>
      <c r="K198" s="1">
        <v>0</v>
      </c>
      <c r="L198" s="28" t="s">
        <v>114</v>
      </c>
      <c r="M198" s="20">
        <v>0</v>
      </c>
      <c r="N198">
        <v>10000</v>
      </c>
      <c r="O198" s="29">
        <v>1980000</v>
      </c>
    </row>
    <row r="199" spans="1:19">
      <c r="A199" s="1">
        <f t="shared" si="2"/>
        <v>10280012</v>
      </c>
      <c r="B199" s="15">
        <v>102800</v>
      </c>
      <c r="C199" s="15">
        <v>1</v>
      </c>
      <c r="D199" s="15" t="s">
        <v>69</v>
      </c>
      <c r="E199" s="16">
        <v>102800001</v>
      </c>
      <c r="F199" s="16" t="s">
        <v>70</v>
      </c>
      <c r="G199" s="20" t="s">
        <v>116</v>
      </c>
      <c r="H199" s="1">
        <v>12</v>
      </c>
      <c r="I199" s="3">
        <v>0</v>
      </c>
      <c r="J199" s="20">
        <v>-1</v>
      </c>
      <c r="K199" s="1">
        <v>0</v>
      </c>
      <c r="L199" s="28" t="s">
        <v>114</v>
      </c>
      <c r="M199" s="20">
        <v>0</v>
      </c>
      <c r="N199">
        <v>100000</v>
      </c>
      <c r="O199" s="29">
        <v>1980000</v>
      </c>
    </row>
    <row r="200" spans="1:19">
      <c r="A200" s="1">
        <v>10340110</v>
      </c>
      <c r="B200" s="15">
        <v>103401</v>
      </c>
      <c r="C200" s="15">
        <v>1</v>
      </c>
      <c r="D200" s="15" t="s">
        <v>71</v>
      </c>
      <c r="E200" s="16">
        <v>103401001</v>
      </c>
      <c r="F200" s="16" t="s">
        <v>72</v>
      </c>
      <c r="G200" s="20" t="s">
        <v>113</v>
      </c>
      <c r="H200" s="1">
        <v>10</v>
      </c>
      <c r="I200" s="3">
        <v>0</v>
      </c>
      <c r="J200" s="20">
        <v>-1</v>
      </c>
      <c r="K200" s="1">
        <v>0</v>
      </c>
      <c r="L200" s="28" t="s">
        <v>114</v>
      </c>
      <c r="M200" s="20">
        <v>0</v>
      </c>
      <c r="N200">
        <v>1000</v>
      </c>
      <c r="O200" s="29">
        <v>1980000</v>
      </c>
    </row>
    <row r="201" spans="1:19">
      <c r="A201" s="1">
        <v>10340111</v>
      </c>
      <c r="B201" s="15">
        <v>103401</v>
      </c>
      <c r="C201" s="15">
        <v>1</v>
      </c>
      <c r="D201" s="15" t="s">
        <v>71</v>
      </c>
      <c r="E201" s="16">
        <v>103401001</v>
      </c>
      <c r="F201" s="16" t="s">
        <v>72</v>
      </c>
      <c r="G201" s="20" t="s">
        <v>115</v>
      </c>
      <c r="H201" s="1">
        <v>11</v>
      </c>
      <c r="I201" s="3">
        <v>0</v>
      </c>
      <c r="J201" s="20">
        <v>-1</v>
      </c>
      <c r="K201" s="1">
        <v>0</v>
      </c>
      <c r="L201" s="28" t="s">
        <v>114</v>
      </c>
      <c r="M201" s="20">
        <v>0</v>
      </c>
      <c r="N201">
        <v>10000</v>
      </c>
      <c r="O201" s="29">
        <v>1980000</v>
      </c>
    </row>
    <row r="202" spans="1:19">
      <c r="A202" s="1">
        <v>10340112</v>
      </c>
      <c r="B202" s="15">
        <v>103401</v>
      </c>
      <c r="C202" s="15">
        <v>1</v>
      </c>
      <c r="D202" s="15" t="s">
        <v>71</v>
      </c>
      <c r="E202" s="16">
        <v>103401001</v>
      </c>
      <c r="F202" s="16" t="s">
        <v>72</v>
      </c>
      <c r="G202" s="20" t="s">
        <v>116</v>
      </c>
      <c r="H202" s="1">
        <v>12</v>
      </c>
      <c r="I202" s="3">
        <v>0</v>
      </c>
      <c r="J202" s="20">
        <v>-1</v>
      </c>
      <c r="K202" s="1">
        <v>0</v>
      </c>
      <c r="L202" s="28" t="s">
        <v>114</v>
      </c>
      <c r="M202" s="20">
        <v>0</v>
      </c>
      <c r="N202">
        <v>100000</v>
      </c>
      <c r="O202" s="29">
        <v>1980000</v>
      </c>
    </row>
    <row r="203" spans="1:19">
      <c r="A203" s="1">
        <v>10380010</v>
      </c>
      <c r="B203" s="15">
        <v>103800</v>
      </c>
      <c r="C203" s="15">
        <v>1</v>
      </c>
      <c r="D203" s="15" t="s">
        <v>73</v>
      </c>
      <c r="E203" s="16">
        <v>103800001</v>
      </c>
      <c r="F203" s="16" t="s">
        <v>74</v>
      </c>
      <c r="G203" s="20" t="s">
        <v>113</v>
      </c>
      <c r="H203" s="1">
        <v>10</v>
      </c>
      <c r="I203" s="3">
        <v>0</v>
      </c>
      <c r="J203" s="20">
        <v>-1</v>
      </c>
      <c r="K203" s="1">
        <v>0</v>
      </c>
      <c r="L203" s="28" t="s">
        <v>114</v>
      </c>
      <c r="M203" s="20">
        <v>0</v>
      </c>
      <c r="N203">
        <v>2000</v>
      </c>
      <c r="O203" s="29">
        <v>1980000</v>
      </c>
    </row>
    <row r="204" spans="1:19">
      <c r="A204" s="1">
        <v>10380011</v>
      </c>
      <c r="B204" s="15">
        <v>103800</v>
      </c>
      <c r="C204" s="15">
        <v>1</v>
      </c>
      <c r="D204" s="15" t="s">
        <v>73</v>
      </c>
      <c r="E204" s="16">
        <v>103800001</v>
      </c>
      <c r="F204" s="16" t="s">
        <v>74</v>
      </c>
      <c r="G204" s="20" t="s">
        <v>115</v>
      </c>
      <c r="H204" s="1">
        <v>11</v>
      </c>
      <c r="I204" s="3">
        <v>0</v>
      </c>
      <c r="J204" s="20">
        <v>-1</v>
      </c>
      <c r="K204" s="1">
        <v>0</v>
      </c>
      <c r="L204" s="28" t="s">
        <v>114</v>
      </c>
      <c r="M204" s="20">
        <v>0</v>
      </c>
      <c r="N204">
        <v>20000</v>
      </c>
      <c r="O204" s="29">
        <v>1980000</v>
      </c>
    </row>
    <row r="205" spans="1:19">
      <c r="A205" s="1">
        <v>10380012</v>
      </c>
      <c r="B205" s="15">
        <v>103800</v>
      </c>
      <c r="C205" s="15">
        <v>1</v>
      </c>
      <c r="D205" s="15" t="s">
        <v>73</v>
      </c>
      <c r="E205" s="16">
        <v>103800001</v>
      </c>
      <c r="F205" s="16" t="s">
        <v>74</v>
      </c>
      <c r="G205" s="20" t="s">
        <v>116</v>
      </c>
      <c r="H205" s="1">
        <v>12</v>
      </c>
      <c r="I205" s="3">
        <v>0</v>
      </c>
      <c r="J205" s="20">
        <v>-1</v>
      </c>
      <c r="K205" s="1">
        <v>0</v>
      </c>
      <c r="L205" s="28" t="s">
        <v>114</v>
      </c>
      <c r="M205" s="20">
        <v>0</v>
      </c>
      <c r="N205">
        <v>200000</v>
      </c>
      <c r="O205" s="29">
        <v>1980000</v>
      </c>
    </row>
    <row r="206" s="2" customFormat="1" spans="1:19">
      <c r="A206" s="1">
        <v>10400010</v>
      </c>
      <c r="B206" s="2">
        <v>104000</v>
      </c>
      <c r="C206" s="2">
        <v>1</v>
      </c>
      <c r="D206" s="2" t="s">
        <v>75</v>
      </c>
      <c r="E206" s="2">
        <v>104000001</v>
      </c>
      <c r="F206" s="2" t="s">
        <v>76</v>
      </c>
      <c r="G206" s="20" t="s">
        <v>113</v>
      </c>
      <c r="H206" s="1">
        <v>10</v>
      </c>
      <c r="I206" s="3">
        <v>0</v>
      </c>
      <c r="J206" s="20">
        <v>-1</v>
      </c>
      <c r="K206" s="1">
        <v>0</v>
      </c>
      <c r="L206" s="28" t="s">
        <v>114</v>
      </c>
      <c r="M206" s="20">
        <v>0</v>
      </c>
      <c r="N206">
        <v>1000</v>
      </c>
      <c r="O206" s="29">
        <v>1980000</v>
      </c>
      <c r="P206" s="2"/>
      <c r="Q206" s="2"/>
      <c r="R206" s="2"/>
      <c r="S206" s="26"/>
    </row>
    <row r="207" s="2" customFormat="1" spans="1:19">
      <c r="A207" s="1">
        <v>10400011</v>
      </c>
      <c r="B207" s="2">
        <v>104000</v>
      </c>
      <c r="C207" s="2">
        <v>1</v>
      </c>
      <c r="D207" s="2" t="s">
        <v>75</v>
      </c>
      <c r="E207" s="2">
        <v>104000001</v>
      </c>
      <c r="F207" s="2" t="s">
        <v>76</v>
      </c>
      <c r="G207" s="20" t="s">
        <v>115</v>
      </c>
      <c r="H207" s="1">
        <v>11</v>
      </c>
      <c r="I207" s="3">
        <v>0</v>
      </c>
      <c r="J207" s="20">
        <v>-1</v>
      </c>
      <c r="K207" s="1">
        <v>0</v>
      </c>
      <c r="L207" s="28" t="s">
        <v>114</v>
      </c>
      <c r="M207" s="20">
        <v>0</v>
      </c>
      <c r="N207">
        <v>10000</v>
      </c>
      <c r="O207" s="29">
        <v>1980000</v>
      </c>
      <c r="P207" s="2"/>
      <c r="Q207" s="2"/>
      <c r="R207" s="2"/>
      <c r="S207" s="26"/>
    </row>
    <row r="208" s="2" customFormat="1" spans="1:19">
      <c r="A208" s="1">
        <v>10400012</v>
      </c>
      <c r="B208" s="2">
        <v>104000</v>
      </c>
      <c r="C208" s="2">
        <v>1</v>
      </c>
      <c r="D208" s="2" t="s">
        <v>75</v>
      </c>
      <c r="E208" s="2">
        <v>104000001</v>
      </c>
      <c r="F208" s="2" t="s">
        <v>76</v>
      </c>
      <c r="G208" s="20" t="s">
        <v>116</v>
      </c>
      <c r="H208" s="1">
        <v>12</v>
      </c>
      <c r="I208" s="3">
        <v>0</v>
      </c>
      <c r="J208" s="20">
        <v>-1</v>
      </c>
      <c r="K208" s="1">
        <v>0</v>
      </c>
      <c r="L208" s="28" t="s">
        <v>114</v>
      </c>
      <c r="M208" s="20">
        <v>0</v>
      </c>
      <c r="N208">
        <v>100000</v>
      </c>
      <c r="O208" s="29">
        <v>1980000</v>
      </c>
      <c r="P208" s="2"/>
      <c r="Q208" s="2"/>
      <c r="R208" s="2"/>
      <c r="S208" s="26"/>
    </row>
    <row r="209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2026-03-25T02:12:24Z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