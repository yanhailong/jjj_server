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794"/>
  </bookViews>
  <sheets>
    <sheet name="BetArea" sheetId="21" r:id="rId1"/>
  </sheets>
  <definedNames>
    <definedName name="_xlnm._FilterDatabase" localSheetId="0" hidden="1">BetArea!$C$1:$C$70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chuge</author>
    <author>g8s8chenkaijia</author>
  </authors>
  <commentList>
    <comment ref="A1" authorId="0">
      <text>
        <r>
          <rPr>
            <sz val="9"/>
            <rFont val="宋体"/>
            <charset val="134"/>
          </rPr>
          <t>游戏ID*100+2位数 = 游戏押注区域ID
比如 200400*100+1 = 奔驰宝马游戏中的第一个押注区域-宝马</t>
        </r>
      </text>
    </comment>
    <comment ref="E1" authorId="1">
      <text>
        <r>
          <rPr>
            <sz val="9"/>
            <rFont val="宋体"/>
            <charset val="134"/>
          </rPr>
          <t>0表示无下注区</t>
        </r>
      </text>
    </comment>
    <comment ref="G1" authorId="0">
      <text>
        <r>
          <rPr>
            <sz val="9"/>
            <rFont val="宋体"/>
            <charset val="134"/>
          </rPr>
          <t>系统下注上限:房间底注倍率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当前场次最大押注的倍数
总下注上限金额 = 上限倍数 * 场次最大押注金额</t>
        </r>
      </text>
    </comment>
    <comment ref="J1" authorId="2">
      <text>
        <r>
          <rPr>
            <sz val="9"/>
            <rFont val="宋体"/>
            <charset val="134"/>
          </rPr>
          <t xml:space="preserve">下注前置区域:
下注当前区域时, 需要先下注该列表区域中的某一个
</t>
        </r>
      </text>
    </comment>
  </commentList>
</comments>
</file>

<file path=xl/sharedStrings.xml><?xml version="1.0" encoding="utf-8"?>
<sst xmlns="http://schemas.openxmlformats.org/spreadsheetml/2006/main" count="346" uniqueCount="183">
  <si>
    <t>下注区域ID</t>
  </si>
  <si>
    <t>游戏ID</t>
  </si>
  <si>
    <t>游戏名称</t>
  </si>
  <si>
    <t>下注区位置名称</t>
  </si>
  <si>
    <t>下注区位置</t>
  </si>
  <si>
    <t>互斥组ID</t>
  </si>
  <si>
    <t>总下注上限倍数</t>
  </si>
  <si>
    <t>总下注上限倍数-个人</t>
  </si>
  <si>
    <t>对应开奖位置列表</t>
  </si>
  <si>
    <t>下注前置区域</t>
  </si>
  <si>
    <t>描述</t>
  </si>
  <si>
    <t>int</t>
  </si>
  <si>
    <t>list&lt;int&gt;{,}</t>
  </si>
  <si>
    <t>id</t>
  </si>
  <si>
    <t>gameID</t>
  </si>
  <si>
    <t>areaID</t>
  </si>
  <si>
    <t>repulsionID</t>
  </si>
  <si>
    <t>tbUpperLimit</t>
  </si>
  <si>
    <t>tbPlayerUpperLimit</t>
  </si>
  <si>
    <t>posWin</t>
  </si>
  <si>
    <t>preBetArea</t>
  </si>
  <si>
    <t>红黑大战</t>
  </si>
  <si>
    <t>红赢</t>
  </si>
  <si>
    <t>200100001,200100007,200100008,200100009,200100010,200100011</t>
  </si>
  <si>
    <t>无</t>
  </si>
  <si>
    <t>黑赢</t>
  </si>
  <si>
    <t>200100012,200100018,200100019,200100020,200100021,200100022</t>
  </si>
  <si>
    <t>幸运一击</t>
  </si>
  <si>
    <t>200100002,200100003,200100004,200100005,200100006,200100013,200100014,200100015,200100016,200100017</t>
  </si>
  <si>
    <t>龙虎斗</t>
  </si>
  <si>
    <t>龙方</t>
  </si>
  <si>
    <t>200101001,200101003</t>
  </si>
  <si>
    <t>虎方</t>
  </si>
  <si>
    <t>200101002,200101003</t>
  </si>
  <si>
    <t>和</t>
  </si>
  <si>
    <t>200101004</t>
  </si>
  <si>
    <t>飞禽走兽</t>
  </si>
  <si>
    <t>燕子</t>
  </si>
  <si>
    <t>200300003,200300004,200300005</t>
  </si>
  <si>
    <t>鸽子</t>
  </si>
  <si>
    <t>200300001,200300002,2003000028</t>
  </si>
  <si>
    <t>飞禽</t>
  </si>
  <si>
    <t>200300029,200300030,200300031,200300032,200300033,200300046,200300047,200300048,200300049,200300050,200300051,200300052</t>
  </si>
  <si>
    <t>走兽</t>
  </si>
  <si>
    <t>200300034,200300035,200300036,200300037,200300038,200300039,200300040,200300041,200300042,200300043,200300044,200300045</t>
  </si>
  <si>
    <t>猴子</t>
  </si>
  <si>
    <t>200300010,200300011,200300012</t>
  </si>
  <si>
    <t>兔子</t>
  </si>
  <si>
    <t>200300007,200300008,200300009</t>
  </si>
  <si>
    <t>孔雀</t>
  </si>
  <si>
    <t>200300024,200300025,200300026</t>
  </si>
  <si>
    <t>鹰</t>
  </si>
  <si>
    <t>200300021,200300022,200300023</t>
  </si>
  <si>
    <t>金鲨</t>
  </si>
  <si>
    <t>200300006</t>
  </si>
  <si>
    <t>银鲨</t>
  </si>
  <si>
    <t>200300020</t>
  </si>
  <si>
    <t>狮子</t>
  </si>
  <si>
    <t>200300017,200300018,200300019</t>
  </si>
  <si>
    <t>熊猫</t>
  </si>
  <si>
    <t>200300014,200300015,200300016</t>
  </si>
  <si>
    <t>豪车俱乐部</t>
  </si>
  <si>
    <t>法拉利</t>
  </si>
  <si>
    <t>200400004,200400016</t>
  </si>
  <si>
    <t>保时捷</t>
  </si>
  <si>
    <t>200400010,200400022</t>
  </si>
  <si>
    <t>玛莎拉蒂</t>
  </si>
  <si>
    <t>200400001,200400013</t>
  </si>
  <si>
    <t>奔驰</t>
  </si>
  <si>
    <t>200400007,200400019</t>
  </si>
  <si>
    <t>宝马</t>
  </si>
  <si>
    <t>200400003,200400009,200400015,200400021</t>
  </si>
  <si>
    <t>凯迪拉克</t>
  </si>
  <si>
    <t>200400006,200400012,200400018,200400024</t>
  </si>
  <si>
    <t>大众</t>
  </si>
  <si>
    <t>200400005,200400011,200400017,200400023</t>
  </si>
  <si>
    <t>马自达</t>
  </si>
  <si>
    <t>200400002,200400008,200400014,200400020</t>
  </si>
  <si>
    <t>百家乐</t>
  </si>
  <si>
    <t>B Pair</t>
  </si>
  <si>
    <t>Tie</t>
  </si>
  <si>
    <t>P Pair</t>
  </si>
  <si>
    <t>Player</t>
  </si>
  <si>
    <t>Banker</t>
  </si>
  <si>
    <t>三个骰子</t>
  </si>
  <si>
    <t>200600001</t>
  </si>
  <si>
    <t>200600022</t>
  </si>
  <si>
    <t>200600037</t>
  </si>
  <si>
    <t>全围</t>
  </si>
  <si>
    <t>200600101,200600133,200600159,200600178,200600191,200600199</t>
  </si>
  <si>
    <t>200600047</t>
  </si>
  <si>
    <t>200600053</t>
  </si>
  <si>
    <t>200600056</t>
  </si>
  <si>
    <t>小</t>
  </si>
  <si>
    <t>200600103,200600105,200600107,200600109,200600111,200600113,200600115,200600116,200600117,200600118,200600119,200600121,200600122,200600123,200600124,200600126,200600136,200600137,200600139,200600141,200600143,200600145,200600147,200600148,200600150,200600162,200600163</t>
  </si>
  <si>
    <t>4点</t>
  </si>
  <si>
    <t>200600002</t>
  </si>
  <si>
    <t>5点</t>
  </si>
  <si>
    <t>200600003,200600007</t>
  </si>
  <si>
    <t>6点</t>
  </si>
  <si>
    <t>200600004,200600008,200600174</t>
  </si>
  <si>
    <t>7点</t>
  </si>
  <si>
    <t>200600005,200600009,200600012,200600023</t>
  </si>
  <si>
    <t>8点</t>
  </si>
  <si>
    <t>200600006,200600010,200600013,200600024,200600027</t>
  </si>
  <si>
    <t>9点</t>
  </si>
  <si>
    <t>200600011,200600014,200600016,200600025,200600028,200600160</t>
  </si>
  <si>
    <t>10点</t>
  </si>
  <si>
    <t>200600015,200600017,200600026,200600029,200600031,200600038</t>
  </si>
  <si>
    <t>11点</t>
  </si>
  <si>
    <t>200600018,200600019,200600030,200600032,200600039,200600041</t>
  </si>
  <si>
    <t>12点</t>
  </si>
  <si>
    <t>200600020,200600033,200600034,200600040,200600042,200600179</t>
  </si>
  <si>
    <t>13点</t>
  </si>
  <si>
    <t>200600021,200600035,200600043,200600044,200600048</t>
  </si>
  <si>
    <t>14点</t>
  </si>
  <si>
    <t>200600036,200600045,200600049,200600050</t>
  </si>
  <si>
    <t>15点</t>
  </si>
  <si>
    <t>200600046,200600051,200600192</t>
  </si>
  <si>
    <t>16点</t>
  </si>
  <si>
    <t>200600052,200600054</t>
  </si>
  <si>
    <t>17点</t>
  </si>
  <si>
    <t>200600055</t>
  </si>
  <si>
    <t>猜1</t>
  </si>
  <si>
    <t>200600102,200600104,200600106,200600108,200600110,200600112,200600113,200600115,200600116,200600117,200600118,200600119,200600121,200600122,200600123,200600124,200600126,200600127,200600128,200600130,200600131</t>
  </si>
  <si>
    <t>猜2</t>
  </si>
  <si>
    <t>200600103,200600114,200600115,200600116,200600117,200600118,200600135,200600138,200600140,200600142,200600144,200600145,200600147,200600148,200600149,200600150,200600152,200600153,200600154,200600156,200600157</t>
  </si>
  <si>
    <t>猜3</t>
  </si>
  <si>
    <t>200600105,200600115,200600120,200600121,200600122,200600123,200600137,200600146,200600147,200600148,200600149,200600161,200600164,200600166,200600168,200600169,200600171,200600172,200600173,200600175,200600176</t>
  </si>
  <si>
    <t>猜4</t>
  </si>
  <si>
    <t>200600107,200600116,200600121,200600125,200600126,200600127,200600139,200600147,200600151,200600152,200600153,200600163,200600170,200600171,200600172,200600180,200600183,200600185,200600186,200600188,200600189</t>
  </si>
  <si>
    <t>猜5</t>
  </si>
  <si>
    <t>200600109,200600117,200600122,200600126,200600129,200600130,200600141,200600148,200600152,200600155,200600156,200600165,200600171,200600174,200600175,200600182,200600187,200600188,200600193,200600196,200600197</t>
  </si>
  <si>
    <t>猜6</t>
  </si>
  <si>
    <t>200600111,200600118,200600123,200600127,200600130,200600132,200600143,200600149,200600153,200600156,200600158,200600167,200600172,200600175,200600177,200600184,200600188,200600190,200600195,200600198,200600200</t>
  </si>
  <si>
    <t>大</t>
  </si>
  <si>
    <t>200600127,200600128,200600130,200600131,200600149,200600152,200600153,200600154,200600156,200600157,200600165,200600167,200600169,200600171,200600172,200600173,200600175,200600176,200600181,200600182,200600184,200600186,200600188,200600189,200600194,200600195,200600197</t>
  </si>
  <si>
    <t>色碟</t>
  </si>
  <si>
    <t>四黑</t>
  </si>
  <si>
    <t>四红</t>
  </si>
  <si>
    <t>200700003</t>
  </si>
  <si>
    <t>双</t>
  </si>
  <si>
    <t>200700004,200700008,200700009</t>
  </si>
  <si>
    <t>单</t>
  </si>
  <si>
    <t>200700006,200700007</t>
  </si>
  <si>
    <t>3个黑</t>
  </si>
  <si>
    <t>200700001</t>
  </si>
  <si>
    <t>3个红</t>
  </si>
  <si>
    <t>200700002</t>
  </si>
  <si>
    <t>大小骰子</t>
  </si>
  <si>
    <t>200800111,200800112,200800113,200800114,200800115,200800116,200800122,200800123,200800124,200800125,200800126,200800133,200800134,200800135,200800136,200800144,200800145,200800222,200800223,200800224,200800225,200800226,200800233,200800234,200800235,200800244,200800333,200800334</t>
  </si>
  <si>
    <t>200800146,200800155,200800156,200800166,200800236,200800245,200800246,200800255,200800256,200800266,200800335,200800336,200800344,200800345,200800346,200800355,200800356,200800366,200800444,200800445,200800446,200800455,200800456,200800466,200800555,200800556,200800566,200800666</t>
  </si>
  <si>
    <t>鱼虾蟹</t>
  </si>
  <si>
    <t>梅花鹿</t>
  </si>
  <si>
    <t>200900001,200900002,200900003,200900004,200900005,200900006,200900008,200900009,200900010,200900011,200900013,200900014,200900015,200900017,200900018,200900020,200900062,200900063,200900064,200900065,200900066</t>
  </si>
  <si>
    <t>葫芦</t>
  </si>
  <si>
    <t>200900007,200900008,200900009,200900010,200900011,200900022,200900023,200900024,200900025,200900026,200900028,200900029,200900030,200900032,200900033,200900035,200900057,200900071,200900072,200900073,200900074</t>
  </si>
  <si>
    <t>鸡</t>
  </si>
  <si>
    <t>200900008,200900012,200900013,200900014,200900015,200900027,200900028,200900029,200900030,200900037,200900038,200900039,200900040,200900042,200900043,200900045,200900058,200900067,200900078,200900079,200900080</t>
  </si>
  <si>
    <t>鱼</t>
  </si>
  <si>
    <t>200900009,200900013,200900016,200900017,200900018,200900028,200900031,200900032,200900033,200900041,200900042,200900043,200900047,200900048,200900049,200900051,200900059,200900068,200900075,200900083,200900084</t>
  </si>
  <si>
    <t>螃蟹</t>
  </si>
  <si>
    <t>200900010,200900014,200900017,200900019,200900020,200900029,200900032,200900034,200900035,200900042,200900044,200900045,200900050,200900051,200900053,200900054,200900060,200900069,200900076,200900081,200900086</t>
  </si>
  <si>
    <t>虾</t>
  </si>
  <si>
    <t>200900011,200900015,200900018,200900020,200900021,200900030,200900033,200900035,200900036,200900043,200900045,200900046,200900051,200900052,200900055,200900056,200900061,200900070,200900077,200900082,200900085</t>
  </si>
  <si>
    <t>水果机</t>
  </si>
  <si>
    <t>无下注区</t>
  </si>
  <si>
    <t>20100010,20100022</t>
  </si>
  <si>
    <t>苹果</t>
  </si>
  <si>
    <t>20100005,20100006,20100011,20100017,20100023,20100029,20100030,20100034,20100040,20100045</t>
  </si>
  <si>
    <t>橘子</t>
  </si>
  <si>
    <t>20100001,20100012,20100013,20100025,20100035,20100036</t>
  </si>
  <si>
    <t>芒果</t>
  </si>
  <si>
    <t>20100007,20100018,20100019,20100031,20100041,20100042</t>
  </si>
  <si>
    <t>铃铛</t>
  </si>
  <si>
    <t>20100002,20100014,20100024,20100026,20100037,20100046</t>
  </si>
  <si>
    <t>西瓜</t>
  </si>
  <si>
    <t>20100008,20100009,20100032,20100033</t>
  </si>
  <si>
    <t>星</t>
  </si>
  <si>
    <t>20100020,20100021,20100043,20100044</t>
  </si>
  <si>
    <t>20100015,20100016,20100038,20100039</t>
  </si>
  <si>
    <t>bar</t>
  </si>
  <si>
    <t>20100003,20100004,20100027,20100028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</si>
</sst>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</cellStyleXfs>
  <cellXfs count="17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50" applyFont="1" applyAlignment="1">
      <alignment horizontal="center" vertical="center"/>
    </xf>
    <xf numFmtId="0" fontId="2" fillId="0" borderId="0" xfId="0" applyFont="1" applyAlignment="1">
      <alignment horizontal="center"/>
    </xf>
    <xf numFmtId="176" fontId="2" fillId="0" borderId="0" xfId="50" applyNumberFormat="1" applyFont="1" applyAlignment="1">
      <alignment horizontal="center" vertical="center"/>
    </xf>
    <xf numFmtId="0" fontId="3" fillId="2" borderId="0" xfId="56" applyFont="1" applyFill="1" applyAlignment="1">
      <alignment horizontal="center" vertical="center"/>
    </xf>
    <xf numFmtId="0" fontId="1" fillId="3" borderId="0" xfId="56" applyFont="1" applyFill="1" applyAlignment="1">
      <alignment horizontal="center" vertical="center"/>
    </xf>
    <xf numFmtId="0" fontId="3" fillId="4" borderId="0" xfId="56" applyFont="1" applyFill="1" applyAlignment="1">
      <alignment horizontal="center" vertical="center"/>
    </xf>
    <xf numFmtId="176" fontId="1" fillId="5" borderId="0" xfId="56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2" fillId="0" borderId="0" xfId="50" applyFont="1" applyFill="1" applyAlignment="1">
      <alignment horizontal="center" vertical="center"/>
    </xf>
    <xf numFmtId="0" fontId="2" fillId="0" borderId="0" xfId="50" applyNumberFormat="1" applyFont="1" applyAlignment="1">
      <alignment horizontal="center" vertical="center"/>
    </xf>
    <xf numFmtId="176" fontId="2" fillId="0" borderId="0" xfId="50" applyNumberFormat="1" applyFont="1" applyFill="1" applyAlignment="1">
      <alignment horizontal="center" vertical="center"/>
    </xf>
    <xf numFmtId="0" fontId="1" fillId="2" borderId="0" xfId="56" applyFont="1" applyFill="1" applyAlignment="1">
      <alignment horizontal="center" vertical="center"/>
    </xf>
    <xf numFmtId="0" fontId="2" fillId="0" borderId="0" xfId="50" applyNumberFormat="1" applyFont="1" applyAlignment="1">
      <alignment horizontal="left" vertical="center"/>
    </xf>
    <xf numFmtId="49" fontId="2" fillId="0" borderId="0" xfId="50" applyNumberFormat="1" applyFont="1" applyAlignment="1">
      <alignment horizontal="left" vertical="center"/>
    </xf>
    <xf numFmtId="0" fontId="2" fillId="0" borderId="0" xfId="50" applyNumberFormat="1" applyFont="1" applyAlignment="1">
      <alignment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dxfs count="8"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表3" displayName="表3" ref="B1:K87" totalsRowShown="0">
  <autoFilter xmlns:etc="http://www.wps.cn/officeDocument/2017/etCustomData" ref="B1:K87" etc:filterBottomFollowUsedRange="0"/>
  <tableColumns count="10">
    <tableColumn id="1" name="游戏ID" dataDxfId="0"/>
    <tableColumn id="2" name="游戏名称" dataDxfId="1">
      <calculatedColumnFormula>IFERROR(IF(B:B=0,"公共",VLOOKUP(B:B,#REF!,2,0))&amp;"","游戏不存在")</calculatedColumnFormula>
    </tableColumn>
    <tableColumn id="3" name="下注区位置名称" dataDxfId="2"/>
    <tableColumn id="8" name="下注区位置"/>
    <tableColumn id="4" name="互斥组ID" dataDxfId="3"/>
    <tableColumn id="9" name="总下注上限倍数"/>
    <tableColumn id="10" name="总下注上限倍数-个人"/>
    <tableColumn id="5" name="对应开奖位置列表" dataDxfId="4"/>
    <tableColumn id="6" name="下注前置区域" dataDxfId="5"/>
    <tableColumn id="7" name="描述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7" tint="0.397839289529099"/>
  </sheetPr>
  <dimension ref="A1:K87"/>
  <sheetViews>
    <sheetView tabSelected="1" zoomScale="160" zoomScaleNormal="160" topLeftCell="D1" workbookViewId="0">
      <pane ySplit="4" topLeftCell="A8" activePane="bottomLeft" state="frozen"/>
      <selection/>
      <selection pane="bottomLeft" activeCell="G1" sqref="G1"/>
    </sheetView>
  </sheetViews>
  <sheetFormatPr defaultColWidth="9" defaultRowHeight="16.5"/>
  <cols>
    <col min="1" max="1" width="11.625" style="2"/>
    <col min="2" max="2" width="11.5" style="2" customWidth="1"/>
    <col min="3" max="3" width="20.625" style="3" customWidth="1"/>
    <col min="4" max="4" width="15" style="2" customWidth="1"/>
    <col min="5" max="5" width="10.875" style="2" customWidth="1"/>
    <col min="6" max="6" width="12" style="4" customWidth="1"/>
    <col min="7" max="7" width="17.25" style="4" customWidth="1"/>
    <col min="8" max="8" width="20" style="4" customWidth="1"/>
    <col min="9" max="9" width="23.05" style="2" customWidth="1"/>
    <col min="10" max="10" width="21.375" style="2" customWidth="1"/>
    <col min="11" max="11" width="17.875" style="2" customWidth="1"/>
    <col min="12" max="16384" width="9" style="2"/>
  </cols>
  <sheetData>
    <row r="1" s="1" customFormat="1" spans="1:11">
      <c r="A1" s="1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13" t="s">
        <v>8</v>
      </c>
      <c r="J1" s="6" t="s">
        <v>9</v>
      </c>
      <c r="K1" s="1" t="s">
        <v>10</v>
      </c>
    </row>
    <row r="2" s="1" customFormat="1" spans="1:10">
      <c r="A2" s="1" t="s">
        <v>11</v>
      </c>
      <c r="B2" s="2" t="s">
        <v>11</v>
      </c>
      <c r="C2" s="3"/>
      <c r="D2" s="2"/>
      <c r="E2" s="2" t="s">
        <v>11</v>
      </c>
      <c r="F2" s="4" t="s">
        <v>11</v>
      </c>
      <c r="G2" s="4" t="s">
        <v>11</v>
      </c>
      <c r="H2" s="4" t="s">
        <v>11</v>
      </c>
      <c r="I2" s="4" t="s">
        <v>12</v>
      </c>
      <c r="J2" s="4" t="s">
        <v>12</v>
      </c>
    </row>
    <row r="3" s="1" customFormat="1" spans="1:10">
      <c r="A3" s="1" t="s">
        <v>13</v>
      </c>
      <c r="B3" s="2" t="s">
        <v>14</v>
      </c>
      <c r="C3" s="3"/>
      <c r="D3" s="2"/>
      <c r="E3" s="2" t="s">
        <v>15</v>
      </c>
      <c r="F3" s="4" t="s">
        <v>16</v>
      </c>
      <c r="G3" s="4" t="s">
        <v>17</v>
      </c>
      <c r="H3" s="4" t="s">
        <v>18</v>
      </c>
      <c r="I3" s="2" t="s">
        <v>19</v>
      </c>
      <c r="J3" s="2" t="s">
        <v>20</v>
      </c>
    </row>
    <row r="4" s="1" customFormat="1" spans="2:10">
      <c r="B4" s="2"/>
      <c r="C4" s="3"/>
      <c r="D4" s="2"/>
      <c r="E4" s="2"/>
      <c r="F4" s="4"/>
      <c r="G4" s="4"/>
      <c r="H4" s="4"/>
      <c r="I4" s="2"/>
      <c r="J4" s="2"/>
    </row>
    <row r="5" spans="1:11">
      <c r="A5" s="2">
        <f t="shared" ref="A5:A10" si="0">B5*100+E5</f>
        <v>20010001</v>
      </c>
      <c r="B5" s="3">
        <v>200100</v>
      </c>
      <c r="C5" s="3" t="s">
        <v>21</v>
      </c>
      <c r="D5" s="2" t="s">
        <v>22</v>
      </c>
      <c r="E5" s="2">
        <v>1</v>
      </c>
      <c r="G5" s="4">
        <v>900000</v>
      </c>
      <c r="H5" s="4">
        <v>10000</v>
      </c>
      <c r="I5" s="14" t="s">
        <v>23</v>
      </c>
      <c r="K5" s="2" t="s">
        <v>24</v>
      </c>
    </row>
    <row r="6" spans="1:11">
      <c r="A6" s="2">
        <f t="shared" si="0"/>
        <v>20010002</v>
      </c>
      <c r="B6" s="3">
        <v>200100</v>
      </c>
      <c r="C6" s="3" t="s">
        <v>21</v>
      </c>
      <c r="D6" s="2" t="s">
        <v>25</v>
      </c>
      <c r="E6" s="2">
        <v>2</v>
      </c>
      <c r="G6" s="4">
        <v>900000</v>
      </c>
      <c r="H6" s="4">
        <v>10000</v>
      </c>
      <c r="I6" s="14" t="s">
        <v>26</v>
      </c>
      <c r="K6" s="2" t="s">
        <v>24</v>
      </c>
    </row>
    <row r="7" spans="1:11">
      <c r="A7" s="2">
        <f t="shared" si="0"/>
        <v>20010003</v>
      </c>
      <c r="B7" s="3">
        <v>200100</v>
      </c>
      <c r="C7" s="3" t="s">
        <v>21</v>
      </c>
      <c r="D7" s="2" t="s">
        <v>27</v>
      </c>
      <c r="E7" s="2">
        <v>3</v>
      </c>
      <c r="G7" s="4">
        <v>900000</v>
      </c>
      <c r="H7" s="4">
        <v>1500</v>
      </c>
      <c r="I7" s="14" t="s">
        <v>28</v>
      </c>
      <c r="K7" s="2" t="s">
        <v>24</v>
      </c>
    </row>
    <row r="8" spans="1:11">
      <c r="A8" s="2">
        <f t="shared" si="0"/>
        <v>20010101</v>
      </c>
      <c r="B8" s="9">
        <v>200101</v>
      </c>
      <c r="C8" s="9" t="s">
        <v>29</v>
      </c>
      <c r="D8" s="2" t="s">
        <v>30</v>
      </c>
      <c r="E8" s="2">
        <v>1</v>
      </c>
      <c r="G8" s="4">
        <v>900000</v>
      </c>
      <c r="H8" s="4">
        <v>10000</v>
      </c>
      <c r="I8" s="15" t="s">
        <v>31</v>
      </c>
      <c r="K8" s="2" t="s">
        <v>24</v>
      </c>
    </row>
    <row r="9" spans="1:11">
      <c r="A9" s="2">
        <f t="shared" si="0"/>
        <v>20010102</v>
      </c>
      <c r="B9" s="9">
        <v>200101</v>
      </c>
      <c r="C9" s="9" t="s">
        <v>29</v>
      </c>
      <c r="D9" s="2" t="s">
        <v>32</v>
      </c>
      <c r="E9" s="2">
        <v>2</v>
      </c>
      <c r="G9" s="4">
        <v>900000</v>
      </c>
      <c r="H9" s="4">
        <v>10000</v>
      </c>
      <c r="I9" s="15" t="s">
        <v>33</v>
      </c>
      <c r="K9" s="2" t="s">
        <v>24</v>
      </c>
    </row>
    <row r="10" spans="1:11">
      <c r="A10" s="2">
        <f t="shared" si="0"/>
        <v>20010103</v>
      </c>
      <c r="B10" s="9">
        <v>200101</v>
      </c>
      <c r="C10" s="9" t="s">
        <v>29</v>
      </c>
      <c r="D10" s="2" t="s">
        <v>34</v>
      </c>
      <c r="E10" s="2">
        <v>3</v>
      </c>
      <c r="G10" s="4">
        <v>900000</v>
      </c>
      <c r="H10" s="4">
        <v>1500</v>
      </c>
      <c r="I10" s="15" t="s">
        <v>35</v>
      </c>
      <c r="K10" s="2" t="s">
        <v>24</v>
      </c>
    </row>
    <row r="11" spans="1:11">
      <c r="A11" s="2">
        <f t="shared" ref="A11:A71" si="1">B11*100+E11</f>
        <v>20030001</v>
      </c>
      <c r="B11" s="3">
        <v>200300</v>
      </c>
      <c r="C11" s="3" t="s">
        <v>36</v>
      </c>
      <c r="D11" s="2" t="s">
        <v>37</v>
      </c>
      <c r="E11" s="2">
        <v>1</v>
      </c>
      <c r="G11" s="4">
        <v>900000</v>
      </c>
      <c r="H11" s="4">
        <v>100000</v>
      </c>
      <c r="I11" s="15" t="s">
        <v>38</v>
      </c>
      <c r="K11" s="2" t="s">
        <v>24</v>
      </c>
    </row>
    <row r="12" spans="1:11">
      <c r="A12" s="2">
        <f t="shared" si="1"/>
        <v>20030002</v>
      </c>
      <c r="B12" s="3">
        <v>200300</v>
      </c>
      <c r="C12" s="3" t="s">
        <v>36</v>
      </c>
      <c r="D12" s="10" t="s">
        <v>39</v>
      </c>
      <c r="E12" s="2">
        <v>2</v>
      </c>
      <c r="G12" s="4">
        <v>900000</v>
      </c>
      <c r="H12" s="4">
        <v>100000</v>
      </c>
      <c r="I12" s="15" t="s">
        <v>40</v>
      </c>
      <c r="K12" s="2" t="s">
        <v>24</v>
      </c>
    </row>
    <row r="13" spans="1:11">
      <c r="A13" s="2">
        <f t="shared" si="1"/>
        <v>20030003</v>
      </c>
      <c r="B13" s="3">
        <v>200300</v>
      </c>
      <c r="C13" s="3" t="s">
        <v>36</v>
      </c>
      <c r="D13" s="10" t="s">
        <v>41</v>
      </c>
      <c r="E13" s="2">
        <v>3</v>
      </c>
      <c r="G13" s="4">
        <v>900000</v>
      </c>
      <c r="H13" s="4">
        <v>100000</v>
      </c>
      <c r="I13" s="15" t="s">
        <v>42</v>
      </c>
      <c r="K13" s="2" t="s">
        <v>24</v>
      </c>
    </row>
    <row r="14" spans="1:11">
      <c r="A14" s="2">
        <f t="shared" si="1"/>
        <v>20030004</v>
      </c>
      <c r="B14" s="3">
        <v>200300</v>
      </c>
      <c r="C14" s="3" t="s">
        <v>36</v>
      </c>
      <c r="D14" s="10" t="s">
        <v>43</v>
      </c>
      <c r="E14" s="2">
        <v>4</v>
      </c>
      <c r="G14" s="4">
        <v>900000</v>
      </c>
      <c r="H14" s="4">
        <v>100000</v>
      </c>
      <c r="I14" s="15" t="s">
        <v>44</v>
      </c>
      <c r="K14" s="2" t="s">
        <v>24</v>
      </c>
    </row>
    <row r="15" spans="1:11">
      <c r="A15" s="2">
        <f t="shared" si="1"/>
        <v>20030005</v>
      </c>
      <c r="B15" s="3">
        <v>200300</v>
      </c>
      <c r="C15" s="3" t="s">
        <v>36</v>
      </c>
      <c r="D15" s="2" t="s">
        <v>45</v>
      </c>
      <c r="E15" s="2">
        <v>5</v>
      </c>
      <c r="G15" s="4">
        <v>900000</v>
      </c>
      <c r="H15" s="4">
        <v>100000</v>
      </c>
      <c r="I15" s="15" t="s">
        <v>46</v>
      </c>
      <c r="K15" s="2" t="s">
        <v>24</v>
      </c>
    </row>
    <row r="16" spans="1:11">
      <c r="A16" s="2">
        <f t="shared" si="1"/>
        <v>20030006</v>
      </c>
      <c r="B16" s="3">
        <v>200300</v>
      </c>
      <c r="C16" s="3" t="s">
        <v>36</v>
      </c>
      <c r="D16" s="10" t="s">
        <v>47</v>
      </c>
      <c r="E16" s="2">
        <v>6</v>
      </c>
      <c r="G16" s="4">
        <v>900000</v>
      </c>
      <c r="H16" s="4">
        <v>100000</v>
      </c>
      <c r="I16" s="15" t="s">
        <v>48</v>
      </c>
      <c r="K16" s="2" t="s">
        <v>24</v>
      </c>
    </row>
    <row r="17" spans="1:11">
      <c r="A17" s="2">
        <f t="shared" si="1"/>
        <v>20030007</v>
      </c>
      <c r="B17" s="3">
        <v>200300</v>
      </c>
      <c r="C17" s="3" t="s">
        <v>36</v>
      </c>
      <c r="D17" s="2" t="s">
        <v>49</v>
      </c>
      <c r="E17" s="2">
        <v>7</v>
      </c>
      <c r="G17" s="4">
        <v>900000</v>
      </c>
      <c r="H17" s="4">
        <v>100000</v>
      </c>
      <c r="I17" s="15" t="s">
        <v>50</v>
      </c>
      <c r="K17" s="2" t="s">
        <v>24</v>
      </c>
    </row>
    <row r="18" spans="1:11">
      <c r="A18" s="2">
        <f t="shared" si="1"/>
        <v>20030008</v>
      </c>
      <c r="B18" s="3">
        <v>200300</v>
      </c>
      <c r="C18" s="3" t="s">
        <v>36</v>
      </c>
      <c r="D18" s="2" t="s">
        <v>51</v>
      </c>
      <c r="E18" s="2">
        <v>8</v>
      </c>
      <c r="G18" s="4">
        <v>900000</v>
      </c>
      <c r="H18" s="4">
        <v>100000</v>
      </c>
      <c r="I18" s="15" t="s">
        <v>52</v>
      </c>
      <c r="K18" s="2" t="s">
        <v>24</v>
      </c>
    </row>
    <row r="19" spans="1:11">
      <c r="A19" s="2">
        <f t="shared" si="1"/>
        <v>20030009</v>
      </c>
      <c r="B19" s="3">
        <v>200300</v>
      </c>
      <c r="C19" s="3" t="s">
        <v>36</v>
      </c>
      <c r="D19" s="10" t="s">
        <v>53</v>
      </c>
      <c r="E19" s="2">
        <v>9</v>
      </c>
      <c r="G19" s="4">
        <v>900000</v>
      </c>
      <c r="H19" s="4">
        <v>100000</v>
      </c>
      <c r="I19" s="15" t="s">
        <v>54</v>
      </c>
      <c r="K19" s="2" t="s">
        <v>24</v>
      </c>
    </row>
    <row r="20" spans="1:11">
      <c r="A20" s="2">
        <f t="shared" si="1"/>
        <v>20030010</v>
      </c>
      <c r="B20" s="3">
        <v>200300</v>
      </c>
      <c r="C20" s="3" t="s">
        <v>36</v>
      </c>
      <c r="D20" s="10" t="s">
        <v>55</v>
      </c>
      <c r="E20" s="2">
        <v>10</v>
      </c>
      <c r="G20" s="4">
        <v>900000</v>
      </c>
      <c r="H20" s="4">
        <v>100000</v>
      </c>
      <c r="I20" s="15" t="s">
        <v>56</v>
      </c>
      <c r="K20" s="2" t="s">
        <v>24</v>
      </c>
    </row>
    <row r="21" spans="1:11">
      <c r="A21" s="2">
        <f t="shared" si="1"/>
        <v>20030011</v>
      </c>
      <c r="B21" s="3">
        <v>200300</v>
      </c>
      <c r="C21" s="3" t="s">
        <v>36</v>
      </c>
      <c r="D21" s="2" t="s">
        <v>57</v>
      </c>
      <c r="E21" s="2">
        <v>11</v>
      </c>
      <c r="G21" s="4">
        <v>900000</v>
      </c>
      <c r="H21" s="4">
        <v>100000</v>
      </c>
      <c r="I21" s="15" t="s">
        <v>58</v>
      </c>
      <c r="K21" s="2" t="s">
        <v>24</v>
      </c>
    </row>
    <row r="22" spans="1:11">
      <c r="A22" s="2">
        <f t="shared" si="1"/>
        <v>20030012</v>
      </c>
      <c r="B22" s="3">
        <v>200300</v>
      </c>
      <c r="C22" s="3" t="s">
        <v>36</v>
      </c>
      <c r="D22" s="10" t="s">
        <v>59</v>
      </c>
      <c r="E22" s="2">
        <v>12</v>
      </c>
      <c r="G22" s="4">
        <v>900000</v>
      </c>
      <c r="H22" s="4">
        <v>100000</v>
      </c>
      <c r="I22" s="15" t="s">
        <v>60</v>
      </c>
      <c r="K22" s="2" t="s">
        <v>24</v>
      </c>
    </row>
    <row r="23" spans="1:11">
      <c r="A23" s="2">
        <f t="shared" si="1"/>
        <v>20040001</v>
      </c>
      <c r="B23" s="3">
        <v>200400</v>
      </c>
      <c r="C23" s="3" t="s">
        <v>61</v>
      </c>
      <c r="D23" s="11" t="s">
        <v>62</v>
      </c>
      <c r="E23" s="2">
        <v>1</v>
      </c>
      <c r="G23" s="4">
        <v>900000</v>
      </c>
      <c r="H23" s="4">
        <v>100000</v>
      </c>
      <c r="I23" s="15" t="s">
        <v>63</v>
      </c>
      <c r="K23" s="2" t="s">
        <v>24</v>
      </c>
    </row>
    <row r="24" spans="1:11">
      <c r="A24" s="2">
        <f t="shared" si="1"/>
        <v>20040002</v>
      </c>
      <c r="B24" s="3">
        <v>200400</v>
      </c>
      <c r="C24" s="3" t="s">
        <v>61</v>
      </c>
      <c r="D24" s="11" t="s">
        <v>64</v>
      </c>
      <c r="E24" s="2">
        <v>2</v>
      </c>
      <c r="G24" s="4">
        <v>900000</v>
      </c>
      <c r="H24" s="4">
        <v>100000</v>
      </c>
      <c r="I24" s="15" t="s">
        <v>65</v>
      </c>
      <c r="K24" s="2" t="s">
        <v>24</v>
      </c>
    </row>
    <row r="25" spans="1:11">
      <c r="A25" s="2">
        <f t="shared" si="1"/>
        <v>20040003</v>
      </c>
      <c r="B25" s="3">
        <v>200400</v>
      </c>
      <c r="C25" s="3" t="s">
        <v>61</v>
      </c>
      <c r="D25" s="2" t="s">
        <v>66</v>
      </c>
      <c r="E25" s="2">
        <v>3</v>
      </c>
      <c r="G25" s="4">
        <v>900000</v>
      </c>
      <c r="H25" s="4">
        <v>100000</v>
      </c>
      <c r="I25" s="15" t="s">
        <v>67</v>
      </c>
      <c r="K25" s="2" t="s">
        <v>24</v>
      </c>
    </row>
    <row r="26" spans="1:11">
      <c r="A26" s="2">
        <f t="shared" si="1"/>
        <v>20040004</v>
      </c>
      <c r="B26" s="3">
        <v>200400</v>
      </c>
      <c r="C26" s="3" t="s">
        <v>61</v>
      </c>
      <c r="D26" s="11" t="s">
        <v>68</v>
      </c>
      <c r="E26" s="2">
        <v>4</v>
      </c>
      <c r="G26" s="4">
        <v>900000</v>
      </c>
      <c r="H26" s="4">
        <v>100000</v>
      </c>
      <c r="I26" s="15" t="s">
        <v>69</v>
      </c>
      <c r="K26" s="2" t="s">
        <v>24</v>
      </c>
    </row>
    <row r="27" spans="1:11">
      <c r="A27" s="2">
        <f t="shared" si="1"/>
        <v>20040005</v>
      </c>
      <c r="B27" s="3">
        <v>200400</v>
      </c>
      <c r="C27" s="3" t="s">
        <v>61</v>
      </c>
      <c r="D27" s="11" t="s">
        <v>70</v>
      </c>
      <c r="E27" s="2">
        <v>5</v>
      </c>
      <c r="G27" s="4">
        <v>900000</v>
      </c>
      <c r="H27" s="4">
        <v>100000</v>
      </c>
      <c r="I27" s="15" t="s">
        <v>71</v>
      </c>
      <c r="K27" s="2" t="s">
        <v>24</v>
      </c>
    </row>
    <row r="28" spans="1:11">
      <c r="A28" s="2">
        <f t="shared" si="1"/>
        <v>20040006</v>
      </c>
      <c r="B28" s="3">
        <v>200400</v>
      </c>
      <c r="C28" s="3" t="s">
        <v>61</v>
      </c>
      <c r="D28" s="11" t="s">
        <v>72</v>
      </c>
      <c r="E28" s="2">
        <v>6</v>
      </c>
      <c r="G28" s="4">
        <v>900000</v>
      </c>
      <c r="H28" s="4">
        <v>100000</v>
      </c>
      <c r="I28" s="15" t="s">
        <v>73</v>
      </c>
      <c r="K28" s="2" t="s">
        <v>24</v>
      </c>
    </row>
    <row r="29" spans="1:11">
      <c r="A29" s="2">
        <f t="shared" si="1"/>
        <v>20040007</v>
      </c>
      <c r="B29" s="3">
        <v>200400</v>
      </c>
      <c r="C29" s="3" t="s">
        <v>61</v>
      </c>
      <c r="D29" s="2" t="s">
        <v>74</v>
      </c>
      <c r="E29" s="2">
        <v>7</v>
      </c>
      <c r="G29" s="4">
        <v>900000</v>
      </c>
      <c r="H29" s="4">
        <v>100000</v>
      </c>
      <c r="I29" s="15" t="s">
        <v>75</v>
      </c>
      <c r="K29" s="2" t="s">
        <v>24</v>
      </c>
    </row>
    <row r="30" spans="1:11">
      <c r="A30" s="2">
        <f t="shared" si="1"/>
        <v>20040008</v>
      </c>
      <c r="B30" s="3">
        <v>200400</v>
      </c>
      <c r="C30" s="3" t="s">
        <v>61</v>
      </c>
      <c r="D30" s="2" t="s">
        <v>76</v>
      </c>
      <c r="E30" s="2">
        <v>8</v>
      </c>
      <c r="G30" s="4">
        <v>900000</v>
      </c>
      <c r="H30" s="4">
        <v>100000</v>
      </c>
      <c r="I30" s="15" t="s">
        <v>77</v>
      </c>
      <c r="K30" s="2" t="s">
        <v>24</v>
      </c>
    </row>
    <row r="31" spans="1:11">
      <c r="A31" s="2">
        <f t="shared" si="1"/>
        <v>20050001</v>
      </c>
      <c r="B31" s="2">
        <v>200500</v>
      </c>
      <c r="C31" s="3" t="s">
        <v>78</v>
      </c>
      <c r="D31" s="2" t="s">
        <v>79</v>
      </c>
      <c r="E31" s="2">
        <v>1</v>
      </c>
      <c r="G31" s="4">
        <v>900000</v>
      </c>
      <c r="H31" s="4">
        <v>100000</v>
      </c>
      <c r="I31" s="15">
        <v>200500001</v>
      </c>
      <c r="K31" s="2" t="s">
        <v>24</v>
      </c>
    </row>
    <row r="32" spans="1:11">
      <c r="A32" s="2">
        <f t="shared" si="1"/>
        <v>20050002</v>
      </c>
      <c r="B32" s="2">
        <v>200500</v>
      </c>
      <c r="C32" s="3" t="s">
        <v>78</v>
      </c>
      <c r="D32" s="2" t="s">
        <v>80</v>
      </c>
      <c r="E32" s="2">
        <v>2</v>
      </c>
      <c r="G32" s="4">
        <v>900000</v>
      </c>
      <c r="H32" s="4">
        <v>100000</v>
      </c>
      <c r="I32" s="15">
        <v>200500002</v>
      </c>
      <c r="K32" s="2" t="s">
        <v>24</v>
      </c>
    </row>
    <row r="33" spans="1:11">
      <c r="A33" s="2">
        <f t="shared" si="1"/>
        <v>20050003</v>
      </c>
      <c r="B33" s="2">
        <v>200500</v>
      </c>
      <c r="C33" s="3" t="s">
        <v>78</v>
      </c>
      <c r="D33" s="2" t="s">
        <v>81</v>
      </c>
      <c r="E33" s="2">
        <v>3</v>
      </c>
      <c r="G33" s="4">
        <v>900000</v>
      </c>
      <c r="H33" s="4">
        <v>100000</v>
      </c>
      <c r="I33" s="15">
        <v>200500003</v>
      </c>
      <c r="K33" s="2" t="s">
        <v>24</v>
      </c>
    </row>
    <row r="34" spans="1:11">
      <c r="A34" s="2">
        <f t="shared" si="1"/>
        <v>20050004</v>
      </c>
      <c r="B34" s="2">
        <v>200500</v>
      </c>
      <c r="C34" s="3" t="s">
        <v>78</v>
      </c>
      <c r="D34" s="2" t="s">
        <v>82</v>
      </c>
      <c r="E34" s="11">
        <v>4</v>
      </c>
      <c r="G34" s="4">
        <v>900000</v>
      </c>
      <c r="H34" s="4">
        <v>100000</v>
      </c>
      <c r="I34" s="15">
        <v>200500004</v>
      </c>
      <c r="K34" s="2" t="s">
        <v>24</v>
      </c>
    </row>
    <row r="35" spans="1:11">
      <c r="A35" s="2">
        <f t="shared" si="1"/>
        <v>20050005</v>
      </c>
      <c r="B35" s="2">
        <v>200500</v>
      </c>
      <c r="C35" s="3" t="s">
        <v>78</v>
      </c>
      <c r="D35" s="2" t="s">
        <v>83</v>
      </c>
      <c r="E35" s="2">
        <v>5</v>
      </c>
      <c r="G35" s="4">
        <v>900000</v>
      </c>
      <c r="H35" s="4">
        <v>100000</v>
      </c>
      <c r="I35" s="15">
        <v>200500005</v>
      </c>
      <c r="K35" s="2" t="s">
        <v>24</v>
      </c>
    </row>
    <row r="36" spans="1:11">
      <c r="A36" s="2">
        <f t="shared" si="1"/>
        <v>20060001</v>
      </c>
      <c r="B36" s="2">
        <v>200600</v>
      </c>
      <c r="C36" s="3" t="s">
        <v>84</v>
      </c>
      <c r="D36" s="10">
        <v>111</v>
      </c>
      <c r="E36" s="12">
        <v>1</v>
      </c>
      <c r="F36" s="10"/>
      <c r="G36" s="4">
        <v>900000</v>
      </c>
      <c r="H36" s="4">
        <v>100000</v>
      </c>
      <c r="I36" s="15" t="s">
        <v>85</v>
      </c>
      <c r="K36" s="2" t="s">
        <v>24</v>
      </c>
    </row>
    <row r="37" spans="1:11">
      <c r="A37" s="2">
        <f t="shared" si="1"/>
        <v>20060002</v>
      </c>
      <c r="B37" s="2">
        <v>200600</v>
      </c>
      <c r="C37" s="3" t="s">
        <v>84</v>
      </c>
      <c r="D37" s="10">
        <v>222</v>
      </c>
      <c r="E37" s="12">
        <v>2</v>
      </c>
      <c r="F37" s="10"/>
      <c r="G37" s="4">
        <v>900000</v>
      </c>
      <c r="H37" s="4">
        <v>100000</v>
      </c>
      <c r="I37" s="15" t="s">
        <v>86</v>
      </c>
      <c r="K37" s="2" t="s">
        <v>24</v>
      </c>
    </row>
    <row r="38" spans="1:11">
      <c r="A38" s="2">
        <f t="shared" si="1"/>
        <v>20060003</v>
      </c>
      <c r="B38" s="2">
        <v>200600</v>
      </c>
      <c r="C38" s="3" t="s">
        <v>84</v>
      </c>
      <c r="D38" s="10">
        <v>333</v>
      </c>
      <c r="E38" s="12">
        <v>3</v>
      </c>
      <c r="G38" s="4">
        <v>900000</v>
      </c>
      <c r="H38" s="4">
        <v>100000</v>
      </c>
      <c r="I38" s="15" t="s">
        <v>87</v>
      </c>
      <c r="K38" s="2" t="s">
        <v>24</v>
      </c>
    </row>
    <row r="39" spans="1:11">
      <c r="A39" s="2">
        <f t="shared" si="1"/>
        <v>20060004</v>
      </c>
      <c r="B39" s="2">
        <v>200600</v>
      </c>
      <c r="C39" s="3" t="s">
        <v>84</v>
      </c>
      <c r="D39" s="10" t="s">
        <v>88</v>
      </c>
      <c r="E39" s="12">
        <v>4</v>
      </c>
      <c r="G39" s="4">
        <v>900000</v>
      </c>
      <c r="H39" s="4">
        <v>100000</v>
      </c>
      <c r="I39" s="15" t="s">
        <v>89</v>
      </c>
      <c r="K39" s="2" t="s">
        <v>24</v>
      </c>
    </row>
    <row r="40" spans="1:11">
      <c r="A40" s="2">
        <f t="shared" si="1"/>
        <v>20060005</v>
      </c>
      <c r="B40" s="2">
        <v>200600</v>
      </c>
      <c r="C40" s="3" t="s">
        <v>84</v>
      </c>
      <c r="D40" s="2">
        <v>444</v>
      </c>
      <c r="E40" s="12">
        <v>5</v>
      </c>
      <c r="G40" s="4">
        <v>900000</v>
      </c>
      <c r="H40" s="4">
        <v>100000</v>
      </c>
      <c r="I40" s="15" t="s">
        <v>90</v>
      </c>
      <c r="K40" s="2" t="s">
        <v>24</v>
      </c>
    </row>
    <row r="41" spans="1:11">
      <c r="A41" s="2">
        <f t="shared" si="1"/>
        <v>20060006</v>
      </c>
      <c r="B41" s="2">
        <v>200600</v>
      </c>
      <c r="C41" s="3" t="s">
        <v>84</v>
      </c>
      <c r="D41" s="2">
        <v>555</v>
      </c>
      <c r="E41" s="12">
        <v>6</v>
      </c>
      <c r="G41" s="4">
        <v>900000</v>
      </c>
      <c r="H41" s="4">
        <v>100000</v>
      </c>
      <c r="I41" s="15" t="s">
        <v>91</v>
      </c>
      <c r="K41" s="2" t="s">
        <v>24</v>
      </c>
    </row>
    <row r="42" spans="1:11">
      <c r="A42" s="2">
        <f t="shared" si="1"/>
        <v>20060007</v>
      </c>
      <c r="B42" s="2">
        <v>200600</v>
      </c>
      <c r="C42" s="3" t="s">
        <v>84</v>
      </c>
      <c r="D42" s="2">
        <v>666</v>
      </c>
      <c r="E42" s="12">
        <v>7</v>
      </c>
      <c r="F42" s="10"/>
      <c r="G42" s="4">
        <v>900000</v>
      </c>
      <c r="H42" s="4">
        <v>100000</v>
      </c>
      <c r="I42" s="15" t="s">
        <v>92</v>
      </c>
      <c r="K42" s="2" t="s">
        <v>24</v>
      </c>
    </row>
    <row r="43" spans="1:11">
      <c r="A43" s="2">
        <f t="shared" si="1"/>
        <v>20060008</v>
      </c>
      <c r="B43" s="2">
        <v>200600</v>
      </c>
      <c r="C43" s="3" t="s">
        <v>84</v>
      </c>
      <c r="D43" s="2" t="s">
        <v>93</v>
      </c>
      <c r="E43" s="12">
        <v>8</v>
      </c>
      <c r="F43" s="10"/>
      <c r="G43" s="4">
        <v>900000</v>
      </c>
      <c r="H43" s="4">
        <v>100000</v>
      </c>
      <c r="I43" s="15" t="s">
        <v>94</v>
      </c>
      <c r="K43" s="2" t="s">
        <v>24</v>
      </c>
    </row>
    <row r="44" spans="1:11">
      <c r="A44" s="2">
        <f t="shared" si="1"/>
        <v>20060009</v>
      </c>
      <c r="B44" s="2">
        <v>200600</v>
      </c>
      <c r="C44" s="3" t="s">
        <v>84</v>
      </c>
      <c r="D44" s="2" t="s">
        <v>95</v>
      </c>
      <c r="E44" s="12">
        <v>9</v>
      </c>
      <c r="F44" s="10"/>
      <c r="G44" s="4">
        <v>900000</v>
      </c>
      <c r="H44" s="4">
        <v>100000</v>
      </c>
      <c r="I44" s="15" t="s">
        <v>96</v>
      </c>
      <c r="K44" s="2" t="s">
        <v>24</v>
      </c>
    </row>
    <row r="45" spans="1:11">
      <c r="A45" s="2">
        <f t="shared" si="1"/>
        <v>20060010</v>
      </c>
      <c r="B45" s="2">
        <v>200600</v>
      </c>
      <c r="C45" s="3" t="s">
        <v>84</v>
      </c>
      <c r="D45" s="2" t="s">
        <v>97</v>
      </c>
      <c r="E45" s="12">
        <v>10</v>
      </c>
      <c r="F45" s="10"/>
      <c r="G45" s="4">
        <v>900000</v>
      </c>
      <c r="H45" s="4">
        <v>100000</v>
      </c>
      <c r="I45" s="15" t="s">
        <v>98</v>
      </c>
      <c r="K45" s="2" t="s">
        <v>24</v>
      </c>
    </row>
    <row r="46" spans="1:11">
      <c r="A46" s="2">
        <f t="shared" si="1"/>
        <v>20060011</v>
      </c>
      <c r="B46" s="2">
        <v>200600</v>
      </c>
      <c r="C46" s="3" t="s">
        <v>84</v>
      </c>
      <c r="D46" s="2" t="s">
        <v>99</v>
      </c>
      <c r="E46" s="12">
        <v>11</v>
      </c>
      <c r="F46" s="10"/>
      <c r="G46" s="4">
        <v>900000</v>
      </c>
      <c r="H46" s="4">
        <v>100000</v>
      </c>
      <c r="I46" s="15" t="s">
        <v>100</v>
      </c>
      <c r="K46" s="2" t="s">
        <v>24</v>
      </c>
    </row>
    <row r="47" spans="1:11">
      <c r="A47" s="2">
        <f t="shared" si="1"/>
        <v>20060012</v>
      </c>
      <c r="B47" s="2">
        <v>200600</v>
      </c>
      <c r="C47" s="3" t="s">
        <v>84</v>
      </c>
      <c r="D47" s="2" t="s">
        <v>101</v>
      </c>
      <c r="E47" s="12">
        <v>12</v>
      </c>
      <c r="F47" s="10"/>
      <c r="G47" s="4">
        <v>900000</v>
      </c>
      <c r="H47" s="4">
        <v>100000</v>
      </c>
      <c r="I47" s="15" t="s">
        <v>102</v>
      </c>
      <c r="K47" s="2" t="s">
        <v>24</v>
      </c>
    </row>
    <row r="48" spans="1:11">
      <c r="A48" s="2">
        <f t="shared" si="1"/>
        <v>20060013</v>
      </c>
      <c r="B48" s="2">
        <v>200600</v>
      </c>
      <c r="C48" s="3" t="s">
        <v>84</v>
      </c>
      <c r="D48" s="2" t="s">
        <v>103</v>
      </c>
      <c r="E48" s="12">
        <v>13</v>
      </c>
      <c r="F48" s="10"/>
      <c r="G48" s="4">
        <v>900000</v>
      </c>
      <c r="H48" s="4">
        <v>100000</v>
      </c>
      <c r="I48" s="15" t="s">
        <v>104</v>
      </c>
      <c r="K48" s="2" t="s">
        <v>24</v>
      </c>
    </row>
    <row r="49" spans="1:11">
      <c r="A49" s="2">
        <f t="shared" si="1"/>
        <v>20060014</v>
      </c>
      <c r="B49" s="2">
        <v>200600</v>
      </c>
      <c r="C49" s="3" t="s">
        <v>84</v>
      </c>
      <c r="D49" s="2" t="s">
        <v>105</v>
      </c>
      <c r="E49" s="12">
        <v>14</v>
      </c>
      <c r="F49" s="10"/>
      <c r="G49" s="4">
        <v>900000</v>
      </c>
      <c r="H49" s="4">
        <v>100000</v>
      </c>
      <c r="I49" s="15" t="s">
        <v>106</v>
      </c>
      <c r="K49" s="2" t="s">
        <v>24</v>
      </c>
    </row>
    <row r="50" spans="1:11">
      <c r="A50" s="2">
        <f t="shared" si="1"/>
        <v>20060015</v>
      </c>
      <c r="B50" s="2">
        <v>200600</v>
      </c>
      <c r="C50" s="3" t="s">
        <v>84</v>
      </c>
      <c r="D50" s="2" t="s">
        <v>107</v>
      </c>
      <c r="E50" s="12">
        <v>15</v>
      </c>
      <c r="F50" s="10"/>
      <c r="G50" s="4">
        <v>900000</v>
      </c>
      <c r="H50" s="4">
        <v>100000</v>
      </c>
      <c r="I50" s="15" t="s">
        <v>108</v>
      </c>
      <c r="K50" s="2" t="s">
        <v>24</v>
      </c>
    </row>
    <row r="51" spans="1:11">
      <c r="A51" s="2">
        <f t="shared" si="1"/>
        <v>20060016</v>
      </c>
      <c r="B51" s="2">
        <v>200600</v>
      </c>
      <c r="C51" s="3" t="s">
        <v>84</v>
      </c>
      <c r="D51" s="2" t="s">
        <v>109</v>
      </c>
      <c r="E51" s="12">
        <v>16</v>
      </c>
      <c r="F51" s="10"/>
      <c r="G51" s="4">
        <v>900000</v>
      </c>
      <c r="H51" s="4">
        <v>100000</v>
      </c>
      <c r="I51" s="15" t="s">
        <v>110</v>
      </c>
      <c r="K51" s="2" t="s">
        <v>24</v>
      </c>
    </row>
    <row r="52" spans="1:11">
      <c r="A52" s="2">
        <f t="shared" si="1"/>
        <v>20060017</v>
      </c>
      <c r="B52" s="2">
        <v>200600</v>
      </c>
      <c r="C52" s="3" t="s">
        <v>84</v>
      </c>
      <c r="D52" s="2" t="s">
        <v>111</v>
      </c>
      <c r="E52" s="12">
        <v>17</v>
      </c>
      <c r="F52" s="10"/>
      <c r="G52" s="4">
        <v>900000</v>
      </c>
      <c r="H52" s="4">
        <v>100000</v>
      </c>
      <c r="I52" s="15" t="s">
        <v>112</v>
      </c>
      <c r="K52" s="2" t="s">
        <v>24</v>
      </c>
    </row>
    <row r="53" spans="1:11">
      <c r="A53" s="2">
        <f t="shared" si="1"/>
        <v>20060018</v>
      </c>
      <c r="B53" s="2">
        <v>200600</v>
      </c>
      <c r="C53" s="3" t="s">
        <v>84</v>
      </c>
      <c r="D53" s="2" t="s">
        <v>113</v>
      </c>
      <c r="E53" s="12">
        <v>18</v>
      </c>
      <c r="F53" s="10"/>
      <c r="G53" s="4">
        <v>900000</v>
      </c>
      <c r="H53" s="4">
        <v>100000</v>
      </c>
      <c r="I53" s="15" t="s">
        <v>114</v>
      </c>
      <c r="K53" s="2" t="s">
        <v>24</v>
      </c>
    </row>
    <row r="54" spans="1:11">
      <c r="A54" s="2">
        <f t="shared" si="1"/>
        <v>20060019</v>
      </c>
      <c r="B54" s="2">
        <v>200600</v>
      </c>
      <c r="C54" s="3" t="s">
        <v>84</v>
      </c>
      <c r="D54" s="2" t="s">
        <v>115</v>
      </c>
      <c r="E54" s="12">
        <v>19</v>
      </c>
      <c r="F54" s="10"/>
      <c r="G54" s="4">
        <v>900000</v>
      </c>
      <c r="H54" s="4">
        <v>100000</v>
      </c>
      <c r="I54" s="15" t="s">
        <v>116</v>
      </c>
      <c r="K54" s="2" t="s">
        <v>24</v>
      </c>
    </row>
    <row r="55" spans="1:11">
      <c r="A55" s="2">
        <f t="shared" si="1"/>
        <v>20060020</v>
      </c>
      <c r="B55" s="2">
        <v>200600</v>
      </c>
      <c r="C55" s="3" t="s">
        <v>84</v>
      </c>
      <c r="D55" s="2" t="s">
        <v>117</v>
      </c>
      <c r="E55" s="12">
        <v>20</v>
      </c>
      <c r="F55" s="10"/>
      <c r="G55" s="4">
        <v>900000</v>
      </c>
      <c r="H55" s="4">
        <v>100000</v>
      </c>
      <c r="I55" s="15" t="s">
        <v>118</v>
      </c>
      <c r="K55" s="2" t="s">
        <v>24</v>
      </c>
    </row>
    <row r="56" spans="1:11">
      <c r="A56" s="2">
        <f t="shared" si="1"/>
        <v>20060021</v>
      </c>
      <c r="B56" s="2">
        <v>200600</v>
      </c>
      <c r="C56" s="3" t="s">
        <v>84</v>
      </c>
      <c r="D56" s="2" t="s">
        <v>119</v>
      </c>
      <c r="E56" s="12">
        <v>21</v>
      </c>
      <c r="F56" s="10"/>
      <c r="G56" s="4">
        <v>900000</v>
      </c>
      <c r="H56" s="4">
        <v>100000</v>
      </c>
      <c r="I56" s="15" t="s">
        <v>120</v>
      </c>
      <c r="K56" s="2" t="s">
        <v>24</v>
      </c>
    </row>
    <row r="57" spans="1:11">
      <c r="A57" s="2">
        <f t="shared" si="1"/>
        <v>20060022</v>
      </c>
      <c r="B57" s="2">
        <v>200600</v>
      </c>
      <c r="C57" s="3" t="s">
        <v>84</v>
      </c>
      <c r="D57" s="2" t="s">
        <v>121</v>
      </c>
      <c r="E57" s="12">
        <v>22</v>
      </c>
      <c r="F57" s="10"/>
      <c r="G57" s="4">
        <v>900000</v>
      </c>
      <c r="H57" s="4">
        <v>100000</v>
      </c>
      <c r="I57" s="15" t="s">
        <v>122</v>
      </c>
      <c r="K57" s="2" t="s">
        <v>24</v>
      </c>
    </row>
    <row r="58" spans="1:11">
      <c r="A58" s="2">
        <f t="shared" si="1"/>
        <v>20060023</v>
      </c>
      <c r="B58" s="2">
        <v>200600</v>
      </c>
      <c r="C58" s="3" t="s">
        <v>84</v>
      </c>
      <c r="D58" s="2" t="s">
        <v>123</v>
      </c>
      <c r="E58" s="12">
        <v>23</v>
      </c>
      <c r="F58" s="10"/>
      <c r="G58" s="4">
        <v>900000</v>
      </c>
      <c r="H58" s="4">
        <v>100000</v>
      </c>
      <c r="I58" s="15" t="s">
        <v>124</v>
      </c>
      <c r="K58" s="2" t="s">
        <v>24</v>
      </c>
    </row>
    <row r="59" spans="1:11">
      <c r="A59" s="2">
        <f t="shared" si="1"/>
        <v>20060024</v>
      </c>
      <c r="B59" s="2">
        <v>200600</v>
      </c>
      <c r="C59" s="3" t="s">
        <v>84</v>
      </c>
      <c r="D59" s="2" t="s">
        <v>125</v>
      </c>
      <c r="E59" s="12">
        <v>24</v>
      </c>
      <c r="F59" s="10"/>
      <c r="G59" s="4">
        <v>900000</v>
      </c>
      <c r="H59" s="4">
        <v>100000</v>
      </c>
      <c r="I59" s="15" t="s">
        <v>126</v>
      </c>
      <c r="K59" s="2" t="s">
        <v>24</v>
      </c>
    </row>
    <row r="60" spans="1:11">
      <c r="A60" s="2">
        <f t="shared" si="1"/>
        <v>20060025</v>
      </c>
      <c r="B60" s="2">
        <v>200600</v>
      </c>
      <c r="C60" s="3" t="s">
        <v>84</v>
      </c>
      <c r="D60" s="2" t="s">
        <v>127</v>
      </c>
      <c r="E60" s="12">
        <v>25</v>
      </c>
      <c r="F60" s="10"/>
      <c r="G60" s="4">
        <v>900000</v>
      </c>
      <c r="H60" s="4">
        <v>100000</v>
      </c>
      <c r="I60" s="15" t="s">
        <v>128</v>
      </c>
      <c r="K60" s="2" t="s">
        <v>24</v>
      </c>
    </row>
    <row r="61" spans="1:11">
      <c r="A61" s="2">
        <f t="shared" si="1"/>
        <v>20060026</v>
      </c>
      <c r="B61" s="2">
        <v>200600</v>
      </c>
      <c r="C61" s="3" t="s">
        <v>84</v>
      </c>
      <c r="D61" s="2" t="s">
        <v>129</v>
      </c>
      <c r="E61" s="12">
        <v>26</v>
      </c>
      <c r="F61" s="10"/>
      <c r="G61" s="4">
        <v>900000</v>
      </c>
      <c r="H61" s="4">
        <v>100000</v>
      </c>
      <c r="I61" s="15" t="s">
        <v>130</v>
      </c>
      <c r="K61" s="2" t="s">
        <v>24</v>
      </c>
    </row>
    <row r="62" spans="1:11">
      <c r="A62" s="2">
        <f t="shared" si="1"/>
        <v>20060027</v>
      </c>
      <c r="B62" s="2">
        <v>200600</v>
      </c>
      <c r="C62" s="3" t="s">
        <v>84</v>
      </c>
      <c r="D62" s="2" t="s">
        <v>131</v>
      </c>
      <c r="E62" s="12">
        <v>27</v>
      </c>
      <c r="F62" s="10"/>
      <c r="G62" s="4">
        <v>900000</v>
      </c>
      <c r="H62" s="4">
        <v>100000</v>
      </c>
      <c r="I62" s="15" t="s">
        <v>132</v>
      </c>
      <c r="K62" s="2" t="s">
        <v>24</v>
      </c>
    </row>
    <row r="63" spans="1:11">
      <c r="A63" s="2">
        <f t="shared" si="1"/>
        <v>20060028</v>
      </c>
      <c r="B63" s="2">
        <v>200600</v>
      </c>
      <c r="C63" s="3" t="s">
        <v>84</v>
      </c>
      <c r="D63" s="2" t="s">
        <v>133</v>
      </c>
      <c r="E63" s="12">
        <v>28</v>
      </c>
      <c r="F63" s="10"/>
      <c r="G63" s="4">
        <v>900000</v>
      </c>
      <c r="H63" s="4">
        <v>100000</v>
      </c>
      <c r="I63" s="15" t="s">
        <v>134</v>
      </c>
      <c r="K63" s="2" t="s">
        <v>24</v>
      </c>
    </row>
    <row r="64" spans="1:11">
      <c r="A64" s="2">
        <f t="shared" si="1"/>
        <v>20060029</v>
      </c>
      <c r="B64" s="2">
        <v>200600</v>
      </c>
      <c r="C64" s="3" t="s">
        <v>84</v>
      </c>
      <c r="D64" s="2" t="s">
        <v>135</v>
      </c>
      <c r="E64" s="12">
        <v>29</v>
      </c>
      <c r="F64" s="10"/>
      <c r="G64" s="4">
        <v>900000</v>
      </c>
      <c r="H64" s="4">
        <v>100000</v>
      </c>
      <c r="I64" s="15" t="s">
        <v>136</v>
      </c>
      <c r="K64" s="2" t="s">
        <v>24</v>
      </c>
    </row>
    <row r="65" spans="1:11">
      <c r="A65" s="2">
        <f t="shared" si="1"/>
        <v>20070001</v>
      </c>
      <c r="B65" s="2">
        <v>200700</v>
      </c>
      <c r="C65" s="3" t="s">
        <v>137</v>
      </c>
      <c r="D65" s="2" t="s">
        <v>138</v>
      </c>
      <c r="E65" s="2">
        <v>1</v>
      </c>
      <c r="G65" s="4">
        <v>900000</v>
      </c>
      <c r="H65" s="4">
        <v>100000</v>
      </c>
      <c r="I65" s="15">
        <v>200700005</v>
      </c>
      <c r="K65" s="2" t="s">
        <v>24</v>
      </c>
    </row>
    <row r="66" spans="1:11">
      <c r="A66" s="2">
        <f t="shared" si="1"/>
        <v>20070002</v>
      </c>
      <c r="B66" s="2">
        <v>200700</v>
      </c>
      <c r="C66" s="3" t="s">
        <v>137</v>
      </c>
      <c r="D66" s="2" t="s">
        <v>139</v>
      </c>
      <c r="E66" s="2">
        <v>2</v>
      </c>
      <c r="G66" s="4">
        <v>900000</v>
      </c>
      <c r="H66" s="4">
        <v>100000</v>
      </c>
      <c r="I66" s="15" t="s">
        <v>140</v>
      </c>
      <c r="K66" s="2" t="s">
        <v>24</v>
      </c>
    </row>
    <row r="67" spans="1:11">
      <c r="A67" s="2">
        <f t="shared" si="1"/>
        <v>20070003</v>
      </c>
      <c r="B67" s="2">
        <v>200700</v>
      </c>
      <c r="C67" s="3" t="s">
        <v>137</v>
      </c>
      <c r="D67" s="2" t="s">
        <v>141</v>
      </c>
      <c r="E67" s="2">
        <v>3</v>
      </c>
      <c r="G67" s="4">
        <v>900000</v>
      </c>
      <c r="H67" s="4">
        <v>100000</v>
      </c>
      <c r="I67" s="15" t="s">
        <v>142</v>
      </c>
      <c r="K67" s="2" t="s">
        <v>24</v>
      </c>
    </row>
    <row r="68" spans="1:11">
      <c r="A68" s="2">
        <f t="shared" si="1"/>
        <v>20070004</v>
      </c>
      <c r="B68" s="2">
        <v>200700</v>
      </c>
      <c r="C68" s="3" t="s">
        <v>137</v>
      </c>
      <c r="D68" s="2" t="s">
        <v>143</v>
      </c>
      <c r="E68" s="2">
        <v>4</v>
      </c>
      <c r="G68" s="4">
        <v>900000</v>
      </c>
      <c r="H68" s="4">
        <v>100000</v>
      </c>
      <c r="I68" s="15" t="s">
        <v>144</v>
      </c>
      <c r="K68" s="2" t="s">
        <v>24</v>
      </c>
    </row>
    <row r="69" spans="1:11">
      <c r="A69" s="2">
        <f t="shared" si="1"/>
        <v>20070005</v>
      </c>
      <c r="B69" s="2">
        <v>200700</v>
      </c>
      <c r="C69" s="3" t="s">
        <v>137</v>
      </c>
      <c r="D69" s="2" t="s">
        <v>145</v>
      </c>
      <c r="E69" s="2">
        <v>5</v>
      </c>
      <c r="G69" s="4">
        <v>900000</v>
      </c>
      <c r="H69" s="4">
        <v>100000</v>
      </c>
      <c r="I69" s="15" t="s">
        <v>146</v>
      </c>
      <c r="K69" s="2" t="s">
        <v>24</v>
      </c>
    </row>
    <row r="70" spans="1:11">
      <c r="A70" s="2">
        <f t="shared" si="1"/>
        <v>20070006</v>
      </c>
      <c r="B70" s="2">
        <v>200700</v>
      </c>
      <c r="C70" s="3" t="s">
        <v>137</v>
      </c>
      <c r="D70" s="2" t="s">
        <v>147</v>
      </c>
      <c r="E70" s="2">
        <v>6</v>
      </c>
      <c r="G70" s="4">
        <v>900000</v>
      </c>
      <c r="H70" s="4">
        <v>100000</v>
      </c>
      <c r="I70" s="15" t="s">
        <v>148</v>
      </c>
      <c r="K70" s="2" t="s">
        <v>24</v>
      </c>
    </row>
    <row r="71" spans="1:11">
      <c r="A71" s="2">
        <f t="shared" si="1"/>
        <v>20080001</v>
      </c>
      <c r="B71" s="2">
        <v>200800</v>
      </c>
      <c r="C71" s="3" t="s">
        <v>149</v>
      </c>
      <c r="D71" s="2" t="s">
        <v>93</v>
      </c>
      <c r="E71" s="12">
        <v>1</v>
      </c>
      <c r="G71" s="4">
        <v>900000</v>
      </c>
      <c r="H71" s="4">
        <v>100000</v>
      </c>
      <c r="I71" s="15" t="s">
        <v>150</v>
      </c>
      <c r="K71" s="2" t="s">
        <v>24</v>
      </c>
    </row>
    <row r="72" spans="1:11">
      <c r="A72" s="2">
        <f t="shared" ref="A72:A87" si="2">B72*100+E72</f>
        <v>20080002</v>
      </c>
      <c r="B72" s="2">
        <v>200800</v>
      </c>
      <c r="C72" s="3" t="s">
        <v>149</v>
      </c>
      <c r="D72" s="2" t="s">
        <v>135</v>
      </c>
      <c r="E72" s="12">
        <v>2</v>
      </c>
      <c r="G72" s="4">
        <v>900000</v>
      </c>
      <c r="H72" s="4">
        <v>100000</v>
      </c>
      <c r="I72" s="15" t="s">
        <v>151</v>
      </c>
      <c r="K72" s="2" t="s">
        <v>24</v>
      </c>
    </row>
    <row r="73" spans="1:11">
      <c r="A73" s="2">
        <f t="shared" si="2"/>
        <v>20090001</v>
      </c>
      <c r="B73" s="2">
        <v>200900</v>
      </c>
      <c r="C73" s="3" t="s">
        <v>152</v>
      </c>
      <c r="D73" s="2" t="s">
        <v>153</v>
      </c>
      <c r="E73" s="2">
        <v>1</v>
      </c>
      <c r="G73" s="4">
        <v>900000</v>
      </c>
      <c r="H73" s="4">
        <v>100000</v>
      </c>
      <c r="I73" s="15" t="s">
        <v>154</v>
      </c>
      <c r="K73" s="2" t="s">
        <v>24</v>
      </c>
    </row>
    <row r="74" spans="1:11">
      <c r="A74" s="2">
        <f t="shared" si="2"/>
        <v>20090002</v>
      </c>
      <c r="B74" s="2">
        <v>200900</v>
      </c>
      <c r="C74" s="3" t="s">
        <v>152</v>
      </c>
      <c r="D74" s="2" t="s">
        <v>155</v>
      </c>
      <c r="E74" s="2">
        <v>2</v>
      </c>
      <c r="G74" s="4">
        <v>900000</v>
      </c>
      <c r="H74" s="4">
        <v>100000</v>
      </c>
      <c r="I74" s="15" t="s">
        <v>156</v>
      </c>
      <c r="K74" s="2" t="s">
        <v>24</v>
      </c>
    </row>
    <row r="75" spans="1:11">
      <c r="A75" s="2">
        <f t="shared" si="2"/>
        <v>20090003</v>
      </c>
      <c r="B75" s="2">
        <v>200900</v>
      </c>
      <c r="C75" s="3" t="s">
        <v>152</v>
      </c>
      <c r="D75" s="2" t="s">
        <v>157</v>
      </c>
      <c r="E75" s="2">
        <v>3</v>
      </c>
      <c r="G75" s="4">
        <v>900000</v>
      </c>
      <c r="H75" s="4">
        <v>100000</v>
      </c>
      <c r="I75" s="15" t="s">
        <v>158</v>
      </c>
      <c r="K75" s="2" t="s">
        <v>24</v>
      </c>
    </row>
    <row r="76" spans="1:11">
      <c r="A76" s="2">
        <f t="shared" si="2"/>
        <v>20090004</v>
      </c>
      <c r="B76" s="2">
        <v>200900</v>
      </c>
      <c r="C76" s="3" t="s">
        <v>152</v>
      </c>
      <c r="D76" s="2" t="s">
        <v>159</v>
      </c>
      <c r="E76" s="2">
        <v>4</v>
      </c>
      <c r="G76" s="4">
        <v>900000</v>
      </c>
      <c r="H76" s="4">
        <v>100000</v>
      </c>
      <c r="I76" s="15" t="s">
        <v>160</v>
      </c>
      <c r="K76" s="2" t="s">
        <v>24</v>
      </c>
    </row>
    <row r="77" spans="1:11">
      <c r="A77" s="2">
        <f t="shared" si="2"/>
        <v>20090005</v>
      </c>
      <c r="B77" s="2">
        <v>200900</v>
      </c>
      <c r="C77" s="3" t="s">
        <v>152</v>
      </c>
      <c r="D77" s="2" t="s">
        <v>161</v>
      </c>
      <c r="E77" s="2">
        <v>5</v>
      </c>
      <c r="G77" s="4">
        <v>900000</v>
      </c>
      <c r="H77" s="4">
        <v>100000</v>
      </c>
      <c r="I77" s="15" t="s">
        <v>162</v>
      </c>
      <c r="K77" s="2" t="s">
        <v>24</v>
      </c>
    </row>
    <row r="78" spans="1:11">
      <c r="A78" s="2">
        <f t="shared" si="2"/>
        <v>20090006</v>
      </c>
      <c r="B78" s="2">
        <v>200900</v>
      </c>
      <c r="C78" s="3" t="s">
        <v>152</v>
      </c>
      <c r="D78" s="2" t="s">
        <v>163</v>
      </c>
      <c r="E78" s="2">
        <v>6</v>
      </c>
      <c r="G78" s="4">
        <v>900000</v>
      </c>
      <c r="H78" s="4">
        <v>100000</v>
      </c>
      <c r="I78" s="15" t="s">
        <v>164</v>
      </c>
      <c r="K78" s="2" t="s">
        <v>24</v>
      </c>
    </row>
    <row r="79" spans="1:11">
      <c r="A79" s="2">
        <f t="shared" si="2"/>
        <v>20100000</v>
      </c>
      <c r="B79" s="2">
        <v>201000</v>
      </c>
      <c r="C79" s="3" t="s">
        <v>165</v>
      </c>
      <c r="D79" s="2" t="s">
        <v>166</v>
      </c>
      <c r="E79" s="2">
        <v>0</v>
      </c>
      <c r="G79" s="4">
        <v>900000</v>
      </c>
      <c r="H79" s="4">
        <v>100000</v>
      </c>
      <c r="I79" s="14" t="s">
        <v>167</v>
      </c>
      <c r="K79" s="2" t="s">
        <v>24</v>
      </c>
    </row>
    <row r="80" spans="1:11">
      <c r="A80" s="2">
        <f t="shared" si="2"/>
        <v>20100001</v>
      </c>
      <c r="B80" s="2">
        <v>201000</v>
      </c>
      <c r="C80" s="3" t="s">
        <v>165</v>
      </c>
      <c r="D80" s="2" t="s">
        <v>168</v>
      </c>
      <c r="E80" s="2">
        <v>1</v>
      </c>
      <c r="G80" s="4">
        <v>900000</v>
      </c>
      <c r="H80" s="4">
        <v>100000</v>
      </c>
      <c r="I80" s="16" t="s">
        <v>169</v>
      </c>
      <c r="K80" s="2" t="s">
        <v>24</v>
      </c>
    </row>
    <row r="81" spans="1:11">
      <c r="A81" s="2">
        <f t="shared" si="2"/>
        <v>20100002</v>
      </c>
      <c r="B81" s="2">
        <v>201000</v>
      </c>
      <c r="C81" s="3" t="s">
        <v>165</v>
      </c>
      <c r="D81" s="2" t="s">
        <v>170</v>
      </c>
      <c r="E81" s="2">
        <v>2</v>
      </c>
      <c r="G81" s="4">
        <v>900000</v>
      </c>
      <c r="H81" s="4">
        <v>100000</v>
      </c>
      <c r="I81" s="16" t="s">
        <v>171</v>
      </c>
      <c r="K81" s="2" t="s">
        <v>24</v>
      </c>
    </row>
    <row r="82" spans="1:11">
      <c r="A82" s="2">
        <f t="shared" si="2"/>
        <v>20100003</v>
      </c>
      <c r="B82" s="2">
        <v>201000</v>
      </c>
      <c r="C82" s="3" t="s">
        <v>165</v>
      </c>
      <c r="D82" s="2" t="s">
        <v>172</v>
      </c>
      <c r="E82" s="2">
        <v>3</v>
      </c>
      <c r="G82" s="4">
        <v>900000</v>
      </c>
      <c r="H82" s="4">
        <v>100000</v>
      </c>
      <c r="I82" s="16" t="s">
        <v>173</v>
      </c>
      <c r="K82" s="2" t="s">
        <v>24</v>
      </c>
    </row>
    <row r="83" spans="1:11">
      <c r="A83" s="2">
        <f t="shared" si="2"/>
        <v>20100004</v>
      </c>
      <c r="B83" s="2">
        <v>201000</v>
      </c>
      <c r="C83" s="3" t="s">
        <v>165</v>
      </c>
      <c r="D83" s="2" t="s">
        <v>174</v>
      </c>
      <c r="E83" s="2">
        <v>4</v>
      </c>
      <c r="G83" s="4">
        <v>900000</v>
      </c>
      <c r="H83" s="4">
        <v>100000</v>
      </c>
      <c r="I83" s="16" t="s">
        <v>175</v>
      </c>
      <c r="K83" s="2" t="s">
        <v>24</v>
      </c>
    </row>
    <row r="84" spans="1:11">
      <c r="A84" s="2">
        <f t="shared" si="2"/>
        <v>20100005</v>
      </c>
      <c r="B84" s="2">
        <v>201000</v>
      </c>
      <c r="C84" s="3" t="s">
        <v>165</v>
      </c>
      <c r="D84" s="2" t="s">
        <v>176</v>
      </c>
      <c r="E84" s="2">
        <v>5</v>
      </c>
      <c r="G84" s="4">
        <v>900000</v>
      </c>
      <c r="H84" s="4">
        <v>100000</v>
      </c>
      <c r="I84" s="16" t="s">
        <v>177</v>
      </c>
      <c r="K84" s="2" t="s">
        <v>24</v>
      </c>
    </row>
    <row r="85" spans="1:11">
      <c r="A85" s="2">
        <f t="shared" si="2"/>
        <v>20100006</v>
      </c>
      <c r="B85" s="2">
        <v>201000</v>
      </c>
      <c r="C85" s="3" t="s">
        <v>165</v>
      </c>
      <c r="D85" s="2" t="s">
        <v>178</v>
      </c>
      <c r="E85" s="2">
        <v>6</v>
      </c>
      <c r="G85" s="4">
        <v>900000</v>
      </c>
      <c r="H85" s="4">
        <v>100000</v>
      </c>
      <c r="I85" s="16" t="s">
        <v>179</v>
      </c>
      <c r="K85" s="2" t="s">
        <v>24</v>
      </c>
    </row>
    <row r="86" spans="1:11">
      <c r="A86" s="2">
        <f t="shared" si="2"/>
        <v>20100007</v>
      </c>
      <c r="B86" s="2">
        <v>201000</v>
      </c>
      <c r="C86" s="3" t="s">
        <v>165</v>
      </c>
      <c r="D86" s="2">
        <v>77</v>
      </c>
      <c r="E86" s="2">
        <v>7</v>
      </c>
      <c r="G86" s="4">
        <v>900000</v>
      </c>
      <c r="H86" s="4">
        <v>100000</v>
      </c>
      <c r="I86" s="16" t="s">
        <v>180</v>
      </c>
      <c r="K86" s="2" t="s">
        <v>24</v>
      </c>
    </row>
    <row r="87" spans="1:11">
      <c r="A87" s="2">
        <f t="shared" si="2"/>
        <v>20100008</v>
      </c>
      <c r="B87" s="2">
        <v>201000</v>
      </c>
      <c r="C87" s="3" t="s">
        <v>165</v>
      </c>
      <c r="D87" s="2" t="s">
        <v>181</v>
      </c>
      <c r="E87" s="2">
        <v>8</v>
      </c>
      <c r="G87" s="4">
        <v>900000</v>
      </c>
      <c r="H87" s="4">
        <v>100000</v>
      </c>
      <c r="I87" s="16" t="s">
        <v>182</v>
      </c>
      <c r="K87" s="2" t="s">
        <v>24</v>
      </c>
    </row>
  </sheetData>
  <conditionalFormatting sqref="A5:A87">
    <cfRule type="duplicateValues" dxfId="7" priority="2"/>
  </conditionalFormatting>
  <pageMargins left="0.699305555555556" right="0.699305555555556" top="0.75" bottom="0.75" header="0.3" footer="0.3"/>
  <pageSetup paperSize="9" orientation="portrait"/>
  <headerFooter/>
  <ignoredErrors>
    <ignoredError sqref="C5:C87" calculatedColumn="1"/>
  </ignoredError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BetArea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Cheng CL.96</cp:lastModifiedBy>
  <dcterms:created xsi:type="dcterms:W3CDTF">2015-06-06T02:19:00Z</dcterms:created>
  <dcterms:modified xsi:type="dcterms:W3CDTF">2025-07-31T08:18:44Z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