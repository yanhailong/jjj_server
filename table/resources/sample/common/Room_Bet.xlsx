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794"/>
  </bookViews>
  <sheets>
    <sheet name="Room_Bet" sheetId="18" r:id="rId1"/>
  </sheets>
  <definedNames>
    <definedName name="_xlnm._FilterDatabase" localSheetId="0" hidden="1">Room_Bet!$A$1:$Q$51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g8s8chenkaijia</author>
    <author>C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格式：其实时间X点，截至时间Y点，机器人数量上限Z
当房间内机器人数量大于Z时，不再往房间内加入机器人</t>
        </r>
      </text>
    </comment>
    <comment ref="G1" authorId="0">
      <text>
        <r>
          <rPr>
            <sz val="9"/>
            <rFont val="宋体"/>
            <charset val="134"/>
          </rPr>
          <t xml:space="preserve">普通场 1
中级场 2 
高级场 3
</t>
        </r>
      </text>
    </comment>
    <comment ref="H1" authorId="1">
      <text>
        <r>
          <rPr>
            <sz val="9"/>
            <rFont val="宋体"/>
            <charset val="134"/>
          </rPr>
          <t>押分筹码列表</t>
        </r>
      </text>
    </comment>
    <comment ref="I1" authorId="2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0：直接，对应一个出奖结果，比如大、小
1：组合，对应多个出奖结果，比如333，结果为【小、豹子】类似牌型结果需要特殊逻辑的类型</t>
        </r>
      </text>
    </comment>
    <comment ref="K1" authorId="1">
      <text>
        <r>
          <rPr>
            <sz val="9"/>
            <rFont val="宋体"/>
            <charset val="134"/>
          </rPr>
          <t>阶段信息:[准备阶段时间-毫秒，押分阶段时间-毫秒，亮牌阶段时间-毫秒，结算阶段-毫秒]
2.时间: 毫秒</t>
        </r>
      </text>
    </comment>
    <comment ref="L1" authorId="1">
      <text>
        <r>
          <rPr>
            <sz val="9"/>
            <rFont val="宋体"/>
            <charset val="134"/>
          </rPr>
          <t>每笔投注进入房间水池比例
万分比
进入水池金额 = 押注总分 * 抽水万分比 / 10000
需要校验，此值不能大于10000</t>
        </r>
      </text>
    </comment>
    <comment ref="M1" authorId="0">
      <text>
        <r>
          <rPr>
            <sz val="9"/>
            <rFont val="宋体"/>
            <charset val="134"/>
          </rPr>
          <t>净赢分*抽水比例</t>
        </r>
      </text>
    </comment>
    <comment ref="N1" authorId="2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长时间不投注持续X毫秒后，客户端显示提示，进入退出倒计时
</t>
        </r>
      </text>
    </comment>
    <comment ref="O1" authorId="2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多语言id
</t>
        </r>
      </text>
    </comment>
    <comment ref="P1" authorId="2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倒计时结束后提出房间
倒计时期间用户下注，终止倒计时
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多语言ID
</t>
        </r>
      </text>
    </comment>
    <comment ref="S1" authorId="2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0:覆盖，即只保留最新的X场数据
1:清空，即达到记录上限时清空所有数据，重新记录</t>
        </r>
      </text>
    </comment>
  </commentList>
</comments>
</file>

<file path=xl/sharedStrings.xml><?xml version="1.0" encoding="utf-8"?>
<sst xmlns="http://schemas.openxmlformats.org/spreadsheetml/2006/main" count="288" uniqueCount="65">
  <si>
    <t>游戏ID</t>
  </si>
  <si>
    <t>游戏名称</t>
  </si>
  <si>
    <t>机器人加入房间间隔（毫秒）</t>
  </si>
  <si>
    <t>机器人人数（时间段:机器人人数|……）</t>
  </si>
  <si>
    <t>倍场ID</t>
  </si>
  <si>
    <t>押分筹码列表</t>
  </si>
  <si>
    <t>结果类型</t>
  </si>
  <si>
    <t>阶段信息</t>
  </si>
  <si>
    <t>系统抽水万分比</t>
  </si>
  <si>
    <t>中奖时扣除比例万分比</t>
  </si>
  <si>
    <t>不操作提示倒计时秒</t>
  </si>
  <si>
    <t>不操作提示</t>
  </si>
  <si>
    <t>不操作退出倒计时秒</t>
  </si>
  <si>
    <t>踢出房间提示</t>
  </si>
  <si>
    <t>当前房间显示最大记录数量</t>
  </si>
  <si>
    <t>历史记录清除方式</t>
  </si>
  <si>
    <t>int</t>
  </si>
  <si>
    <t>list&lt;int&gt;{,}</t>
  </si>
  <si>
    <t>list&lt;list&lt;int&gt;{:}&gt;{|}</t>
  </si>
  <si>
    <t>id</t>
  </si>
  <si>
    <t>gameID</t>
  </si>
  <si>
    <t>IntervalTime</t>
  </si>
  <si>
    <t>robot_num</t>
  </si>
  <si>
    <t>roomID</t>
  </si>
  <si>
    <t>betList</t>
  </si>
  <si>
    <t>resultType</t>
  </si>
  <si>
    <t>StageTime</t>
  </si>
  <si>
    <t>EffectiveRatio</t>
  </si>
  <si>
    <t>WinRatio</t>
  </si>
  <si>
    <t>WaitTime</t>
  </si>
  <si>
    <t>TipText</t>
  </si>
  <si>
    <t>EscText</t>
  </si>
  <si>
    <t>EscTipText</t>
  </si>
  <si>
    <t>records_num</t>
  </si>
  <si>
    <t>RecordDeleteType</t>
  </si>
  <si>
    <t>红黑大战</t>
  </si>
  <si>
    <t>普通场</t>
  </si>
  <si>
    <t>2000,5000</t>
  </si>
  <si>
    <t>0:6:28|6:12:36|12:18:45|18:24:43</t>
  </si>
  <si>
    <t>10,50,100,500,1000,5000,10000</t>
  </si>
  <si>
    <t>组合</t>
  </si>
  <si>
    <t>2000,13000,13000,0</t>
  </si>
  <si>
    <t>覆盖</t>
  </si>
  <si>
    <t>中级场</t>
  </si>
  <si>
    <t>20000,5000,10000,20000,50000,100000,200000</t>
  </si>
  <si>
    <t>高级场</t>
  </si>
  <si>
    <t>300000,500000,1000000,2000000,5000000,10000000,20000000</t>
  </si>
  <si>
    <t>龙虎斗</t>
  </si>
  <si>
    <t>直接</t>
  </si>
  <si>
    <t>飞禽走兽</t>
  </si>
  <si>
    <t>0,15000,16000,0</t>
  </si>
  <si>
    <t>豪车俱乐部</t>
  </si>
  <si>
    <t>0,15000,11000,0</t>
  </si>
  <si>
    <t>百家乐</t>
  </si>
  <si>
    <t>0,13000,15000,0</t>
  </si>
  <si>
    <t>三个骰子</t>
  </si>
  <si>
    <t>5000,14000,11000,0</t>
  </si>
  <si>
    <t>色碟</t>
  </si>
  <si>
    <t>3000,14000,11000,0</t>
  </si>
  <si>
    <t>清空</t>
  </si>
  <si>
    <t>大小骰子</t>
  </si>
  <si>
    <t>鱼虾蟹</t>
  </si>
  <si>
    <t>水果机</t>
  </si>
  <si>
    <t>0:24:0</t>
  </si>
  <si>
    <t>0,15000,10000,4000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</si>
</sst>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</cellStyleXfs>
  <cellXfs count="40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3" borderId="0" xfId="56" applyNumberFormat="1" applyFont="1" applyFill="1" applyBorder="1" applyAlignment="1" applyProtection="1">
      <alignment horizontal="center" vertical="center"/>
      <protection locked="0"/>
    </xf>
    <xf numFmtId="0" fontId="1" fillId="4" borderId="0" xfId="56" applyNumberFormat="1" applyFont="1" applyFill="1" applyBorder="1" applyAlignment="1" applyProtection="1">
      <alignment horizontal="center" vertical="center"/>
      <protection locked="0"/>
    </xf>
    <xf numFmtId="0" fontId="3" fillId="5" borderId="0" xfId="56" applyNumberFormat="1" applyFont="1" applyFill="1" applyBorder="1" applyAlignment="1" applyProtection="1">
      <alignment horizontal="center" vertical="center"/>
      <protection locked="0"/>
    </xf>
    <xf numFmtId="0" fontId="3" fillId="0" borderId="0" xfId="56" applyNumberFormat="1" applyFont="1" applyFill="1" applyBorder="1" applyAlignment="1" applyProtection="1">
      <alignment horizontal="center" vertical="center"/>
      <protection locked="0"/>
    </xf>
    <xf numFmtId="0" fontId="1" fillId="0" borderId="0" xfId="56" applyNumberFormat="1" applyFont="1" applyFill="1" applyBorder="1" applyAlignment="1" applyProtection="1">
      <alignment horizontal="center" vertical="center"/>
      <protection locked="0"/>
    </xf>
    <xf numFmtId="0" fontId="3" fillId="0" borderId="0" xfId="56" applyNumberFormat="1" applyFont="1" applyFill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/>
      <protection locked="0"/>
    </xf>
    <xf numFmtId="3" fontId="2" fillId="0" borderId="0" xfId="0" applyNumberFormat="1" applyFont="1" applyFill="1" applyAlignment="1" applyProtection="1">
      <alignment horizontal="center"/>
      <protection locked="0"/>
    </xf>
    <xf numFmtId="20" fontId="0" fillId="0" borderId="0" xfId="0" applyNumberFormat="1" applyFill="1" applyAlignment="1">
      <alignment horizontal="center" vertical="center"/>
    </xf>
    <xf numFmtId="49" fontId="2" fillId="0" borderId="0" xfId="0" applyNumberFormat="1" applyFont="1" applyFill="1" applyBorder="1" applyAlignment="1" applyProtection="1">
      <alignment horizontal="center"/>
      <protection locked="0"/>
    </xf>
    <xf numFmtId="0" fontId="2" fillId="6" borderId="0" xfId="0" applyNumberFormat="1" applyFont="1" applyFill="1" applyBorder="1" applyAlignment="1" applyProtection="1">
      <alignment horizontal="center"/>
      <protection locked="0"/>
    </xf>
    <xf numFmtId="49" fontId="2" fillId="6" borderId="0" xfId="0" applyNumberFormat="1" applyFont="1" applyFill="1" applyBorder="1" applyAlignment="1" applyProtection="1">
      <alignment horizontal="center"/>
      <protection locked="0"/>
    </xf>
    <xf numFmtId="0" fontId="2" fillId="0" borderId="0" xfId="56" applyNumberFormat="1" applyFont="1" applyFill="1" applyBorder="1" applyAlignment="1" applyProtection="1">
      <alignment horizontal="center" vertical="center"/>
      <protection locked="0"/>
    </xf>
    <xf numFmtId="0" fontId="2" fillId="0" borderId="0" xfId="56" applyNumberFormat="1" applyFont="1" applyFill="1" applyBorder="1" applyAlignment="1" applyProtection="1">
      <alignment horizontal="center" vertical="top"/>
      <protection locked="0"/>
    </xf>
    <xf numFmtId="0" fontId="4" fillId="0" borderId="0" xfId="0" applyNumberFormat="1" applyFont="1" applyFill="1" applyBorder="1" applyAlignment="1" applyProtection="1">
      <alignment horizontal="center"/>
      <protection locked="0"/>
    </xf>
    <xf numFmtId="0" fontId="4" fillId="6" borderId="0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50" applyFont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1" fillId="7" borderId="0" xfId="56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2" borderId="0" xfId="0" applyFont="1" applyFill="1" applyAlignment="1">
      <alignment horizontal="center"/>
    </xf>
    <xf numFmtId="3" fontId="2" fillId="0" borderId="0" xfId="0" applyNumberFormat="1" applyFont="1" applyFill="1" applyAlignment="1" applyProtection="1" quotePrefix="1">
      <alignment horizontal="center"/>
      <protection locked="0"/>
    </xf>
    <xf numFmtId="20" fontId="0" fillId="0" borderId="0" xfId="0" applyNumberFormat="1" applyFill="1" applyAlignment="1" quotePrefix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autoPageBreaks="0"/>
  </sheetPr>
  <dimension ref="A1:T51"/>
  <sheetViews>
    <sheetView tabSelected="1" zoomScale="85" zoomScaleNormal="85" workbookViewId="0">
      <pane ySplit="4" topLeftCell="A5" activePane="bottomLeft" state="frozen"/>
      <selection/>
      <selection pane="bottomLeft" activeCell="H17" sqref="H17"/>
    </sheetView>
  </sheetViews>
  <sheetFormatPr defaultColWidth="9" defaultRowHeight="16.5"/>
  <cols>
    <col min="1" max="1" width="9.25" style="3"/>
    <col min="2" max="2" width="12" style="3" customWidth="1"/>
    <col min="3" max="3" width="20.625" style="3" customWidth="1"/>
    <col min="4" max="4" width="8.625" style="3" customWidth="1"/>
    <col min="5" max="5" width="15.1416666666667" style="3" customWidth="1"/>
    <col min="6" max="6" width="28.2333333333333" style="3" customWidth="1"/>
    <col min="7" max="7" width="8.625" style="3" customWidth="1"/>
    <col min="8" max="8" width="56.5" style="3" customWidth="1"/>
    <col min="9" max="9" width="8.875" style="3" customWidth="1"/>
    <col min="10" max="10" width="5.125" style="3" customWidth="1"/>
    <col min="11" max="11" width="24.75" style="3" customWidth="1"/>
    <col min="12" max="17" width="9.81666666666667" style="3" customWidth="1"/>
    <col min="18" max="18" width="17.2166666666667" style="4" customWidth="1"/>
    <col min="19" max="19" width="19.5" style="5" customWidth="1"/>
    <col min="20" max="20" width="8.96666666666667" style="4" customWidth="1"/>
    <col min="21" max="16384" width="9" style="2"/>
  </cols>
  <sheetData>
    <row r="1" s="1" customFormat="1" ht="27" customHeight="1" spans="1:20">
      <c r="A1" s="6"/>
      <c r="B1" s="7" t="s">
        <v>0</v>
      </c>
      <c r="C1" s="8" t="s">
        <v>1</v>
      </c>
      <c r="D1" s="6"/>
      <c r="E1" s="6" t="s">
        <v>2</v>
      </c>
      <c r="F1" s="4" t="s">
        <v>3</v>
      </c>
      <c r="G1" s="9" t="s">
        <v>4</v>
      </c>
      <c r="H1" s="8" t="s">
        <v>5</v>
      </c>
      <c r="I1" s="27" t="s">
        <v>6</v>
      </c>
      <c r="J1" s="27"/>
      <c r="K1" s="28" t="s">
        <v>7</v>
      </c>
      <c r="L1" s="29" t="s">
        <v>8</v>
      </c>
      <c r="M1" s="29" t="s">
        <v>9</v>
      </c>
      <c r="N1" s="30" t="s">
        <v>10</v>
      </c>
      <c r="O1" s="31" t="s">
        <v>11</v>
      </c>
      <c r="P1" s="32" t="s">
        <v>12</v>
      </c>
      <c r="Q1" s="37" t="s">
        <v>13</v>
      </c>
      <c r="R1" s="4" t="s">
        <v>14</v>
      </c>
      <c r="S1" s="4" t="s">
        <v>15</v>
      </c>
      <c r="T1" s="4"/>
    </row>
    <row r="2" s="1" customFormat="1" spans="1:20">
      <c r="A2" s="1" t="s">
        <v>16</v>
      </c>
      <c r="B2" s="3" t="s">
        <v>16</v>
      </c>
      <c r="C2" s="3"/>
      <c r="D2" s="3"/>
      <c r="E2" s="3" t="s">
        <v>17</v>
      </c>
      <c r="F2" s="4" t="s">
        <v>18</v>
      </c>
      <c r="G2" s="3" t="s">
        <v>16</v>
      </c>
      <c r="H2" s="3" t="s">
        <v>17</v>
      </c>
      <c r="I2" s="3" t="s">
        <v>16</v>
      </c>
      <c r="J2" s="3"/>
      <c r="K2" s="3" t="s">
        <v>17</v>
      </c>
      <c r="L2" s="3" t="s">
        <v>16</v>
      </c>
      <c r="M2" s="3" t="s">
        <v>16</v>
      </c>
      <c r="N2" s="3" t="s">
        <v>16</v>
      </c>
      <c r="O2" s="3" t="s">
        <v>16</v>
      </c>
      <c r="P2" s="3" t="s">
        <v>16</v>
      </c>
      <c r="Q2" s="3" t="s">
        <v>16</v>
      </c>
      <c r="R2" s="4" t="s">
        <v>16</v>
      </c>
      <c r="S2" s="4" t="s">
        <v>16</v>
      </c>
      <c r="T2" s="4"/>
    </row>
    <row r="3" s="1" customFormat="1" spans="1:20">
      <c r="A3" s="1" t="s">
        <v>19</v>
      </c>
      <c r="B3" s="3" t="s">
        <v>20</v>
      </c>
      <c r="C3" s="3"/>
      <c r="D3" s="3"/>
      <c r="E3" s="3" t="s">
        <v>21</v>
      </c>
      <c r="F3" s="4" t="s">
        <v>22</v>
      </c>
      <c r="G3" s="3" t="s">
        <v>23</v>
      </c>
      <c r="H3" s="3" t="s">
        <v>24</v>
      </c>
      <c r="I3" s="3" t="s">
        <v>25</v>
      </c>
      <c r="J3" s="3"/>
      <c r="K3" s="3" t="s">
        <v>26</v>
      </c>
      <c r="L3" s="3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32</v>
      </c>
      <c r="R3" s="4" t="s">
        <v>33</v>
      </c>
      <c r="S3" s="4" t="s">
        <v>34</v>
      </c>
      <c r="T3" s="4"/>
    </row>
    <row r="4" s="1" customFormat="1" spans="2:20">
      <c r="B4" s="10"/>
      <c r="C4" s="11"/>
      <c r="D4" s="10"/>
      <c r="E4" s="12"/>
      <c r="F4" s="4"/>
      <c r="G4" s="10"/>
      <c r="H4" s="11"/>
      <c r="I4" s="11"/>
      <c r="J4" s="11"/>
      <c r="K4" s="33"/>
      <c r="L4" s="33"/>
      <c r="M4" s="33"/>
      <c r="N4" s="34"/>
      <c r="O4" s="34"/>
      <c r="P4" s="34"/>
      <c r="Q4" s="34"/>
      <c r="R4" s="4"/>
      <c r="S4" s="5"/>
      <c r="T4" s="4"/>
    </row>
    <row r="5" spans="1:20">
      <c r="A5" s="3">
        <f t="shared" ref="A5:A34" si="0">B5*10+G5</f>
        <v>2001001</v>
      </c>
      <c r="B5" s="13">
        <v>200100</v>
      </c>
      <c r="C5" s="13" t="s">
        <v>35</v>
      </c>
      <c r="D5" s="13" t="s">
        <v>36</v>
      </c>
      <c r="E5" s="40" t="s">
        <v>37</v>
      </c>
      <c r="F5" s="15" t="s">
        <v>38</v>
      </c>
      <c r="G5" s="13">
        <v>1</v>
      </c>
      <c r="H5" s="16" t="s">
        <v>39</v>
      </c>
      <c r="I5" s="3">
        <v>1</v>
      </c>
      <c r="J5" s="3" t="s">
        <v>40</v>
      </c>
      <c r="K5" s="35" t="s">
        <v>41</v>
      </c>
      <c r="L5" s="3">
        <v>9700</v>
      </c>
      <c r="M5" s="3">
        <v>300</v>
      </c>
      <c r="N5" s="3">
        <v>60000</v>
      </c>
      <c r="O5" s="3">
        <v>15000</v>
      </c>
      <c r="P5" s="3">
        <v>15000</v>
      </c>
      <c r="Q5" s="38">
        <v>15001</v>
      </c>
      <c r="R5" s="4">
        <v>48</v>
      </c>
      <c r="S5" s="39">
        <v>0</v>
      </c>
      <c r="T5" s="3" t="s">
        <v>42</v>
      </c>
    </row>
    <row r="6" spans="1:20">
      <c r="A6" s="3">
        <f t="shared" si="0"/>
        <v>2001002</v>
      </c>
      <c r="B6" s="17">
        <v>200100</v>
      </c>
      <c r="C6" s="17" t="s">
        <v>35</v>
      </c>
      <c r="D6" s="17" t="s">
        <v>43</v>
      </c>
      <c r="E6" s="40" t="s">
        <v>37</v>
      </c>
      <c r="F6" s="15" t="s">
        <v>38</v>
      </c>
      <c r="G6" s="17">
        <v>2</v>
      </c>
      <c r="H6" s="18" t="s">
        <v>44</v>
      </c>
      <c r="I6" s="3">
        <v>1</v>
      </c>
      <c r="J6" s="3" t="s">
        <v>40</v>
      </c>
      <c r="K6" s="35" t="s">
        <v>41</v>
      </c>
      <c r="L6" s="3">
        <v>9700</v>
      </c>
      <c r="M6" s="3">
        <v>300</v>
      </c>
      <c r="N6" s="3">
        <v>60000</v>
      </c>
      <c r="O6" s="3">
        <v>15000</v>
      </c>
      <c r="P6" s="3">
        <v>15000</v>
      </c>
      <c r="Q6" s="38">
        <v>15001</v>
      </c>
      <c r="R6" s="4">
        <v>48</v>
      </c>
      <c r="S6" s="39">
        <v>0</v>
      </c>
      <c r="T6" s="3" t="s">
        <v>42</v>
      </c>
    </row>
    <row r="7" s="2" customFormat="1" spans="1:20">
      <c r="A7" s="3">
        <f t="shared" si="0"/>
        <v>2001003</v>
      </c>
      <c r="B7" s="13">
        <v>200100</v>
      </c>
      <c r="C7" s="13" t="s">
        <v>35</v>
      </c>
      <c r="D7" s="13" t="s">
        <v>45</v>
      </c>
      <c r="E7" s="40" t="s">
        <v>37</v>
      </c>
      <c r="F7" s="15" t="s">
        <v>38</v>
      </c>
      <c r="G7" s="13">
        <v>3</v>
      </c>
      <c r="H7" s="16" t="s">
        <v>46</v>
      </c>
      <c r="I7" s="3">
        <v>1</v>
      </c>
      <c r="J7" s="3" t="s">
        <v>40</v>
      </c>
      <c r="K7" s="35" t="s">
        <v>41</v>
      </c>
      <c r="L7" s="3">
        <v>9700</v>
      </c>
      <c r="M7" s="3">
        <v>300</v>
      </c>
      <c r="N7" s="3">
        <v>60000</v>
      </c>
      <c r="O7" s="3">
        <v>15000</v>
      </c>
      <c r="P7" s="3">
        <v>15000</v>
      </c>
      <c r="Q7" s="38">
        <v>15001</v>
      </c>
      <c r="R7" s="4">
        <v>48</v>
      </c>
      <c r="S7" s="39">
        <v>0</v>
      </c>
      <c r="T7" s="3" t="s">
        <v>42</v>
      </c>
    </row>
    <row r="8" s="2" customFormat="1" spans="1:20">
      <c r="A8" s="3">
        <f t="shared" si="0"/>
        <v>2001011</v>
      </c>
      <c r="B8" s="13">
        <v>200101</v>
      </c>
      <c r="C8" s="13" t="s">
        <v>47</v>
      </c>
      <c r="D8" s="19" t="s">
        <v>36</v>
      </c>
      <c r="E8" s="40" t="s">
        <v>37</v>
      </c>
      <c r="F8" s="15" t="s">
        <v>38</v>
      </c>
      <c r="G8" s="13">
        <v>1</v>
      </c>
      <c r="H8" s="16" t="s">
        <v>39</v>
      </c>
      <c r="I8" s="3">
        <v>0</v>
      </c>
      <c r="J8" s="3" t="s">
        <v>48</v>
      </c>
      <c r="K8" s="35" t="s">
        <v>41</v>
      </c>
      <c r="L8" s="3">
        <v>9700</v>
      </c>
      <c r="M8" s="3">
        <v>300</v>
      </c>
      <c r="N8" s="3">
        <v>60000</v>
      </c>
      <c r="O8" s="3">
        <v>15000</v>
      </c>
      <c r="P8" s="3">
        <v>15000</v>
      </c>
      <c r="Q8" s="38">
        <v>15001</v>
      </c>
      <c r="R8" s="4">
        <v>48</v>
      </c>
      <c r="S8" s="39">
        <v>0</v>
      </c>
      <c r="T8" s="3" t="s">
        <v>42</v>
      </c>
    </row>
    <row r="9" spans="1:20">
      <c r="A9" s="3">
        <f t="shared" si="0"/>
        <v>2001012</v>
      </c>
      <c r="B9" s="17">
        <v>200101</v>
      </c>
      <c r="C9" s="17" t="s">
        <v>47</v>
      </c>
      <c r="D9" s="17" t="s">
        <v>43</v>
      </c>
      <c r="E9" s="40" t="s">
        <v>37</v>
      </c>
      <c r="F9" s="15" t="s">
        <v>38</v>
      </c>
      <c r="G9" s="17">
        <v>2</v>
      </c>
      <c r="H9" s="18" t="s">
        <v>44</v>
      </c>
      <c r="I9" s="3">
        <v>0</v>
      </c>
      <c r="J9" s="3" t="s">
        <v>48</v>
      </c>
      <c r="K9" s="35" t="s">
        <v>41</v>
      </c>
      <c r="L9" s="3">
        <v>9700</v>
      </c>
      <c r="M9" s="3">
        <v>300</v>
      </c>
      <c r="N9" s="3">
        <v>60000</v>
      </c>
      <c r="O9" s="3">
        <v>15000</v>
      </c>
      <c r="P9" s="3">
        <v>15000</v>
      </c>
      <c r="Q9" s="38">
        <v>15001</v>
      </c>
      <c r="R9" s="4">
        <v>48</v>
      </c>
      <c r="S9" s="39">
        <v>0</v>
      </c>
      <c r="T9" s="3" t="s">
        <v>42</v>
      </c>
    </row>
    <row r="10" spans="1:20">
      <c r="A10" s="3">
        <f t="shared" si="0"/>
        <v>2001013</v>
      </c>
      <c r="B10" s="13">
        <v>200101</v>
      </c>
      <c r="C10" s="13" t="s">
        <v>47</v>
      </c>
      <c r="D10" s="13" t="s">
        <v>45</v>
      </c>
      <c r="E10" s="40" t="s">
        <v>37</v>
      </c>
      <c r="F10" s="15" t="s">
        <v>38</v>
      </c>
      <c r="G10" s="13">
        <v>3</v>
      </c>
      <c r="H10" s="16" t="s">
        <v>46</v>
      </c>
      <c r="I10" s="3">
        <v>0</v>
      </c>
      <c r="J10" s="3" t="s">
        <v>48</v>
      </c>
      <c r="K10" s="35" t="s">
        <v>41</v>
      </c>
      <c r="L10" s="3">
        <v>9700</v>
      </c>
      <c r="M10" s="3">
        <v>300</v>
      </c>
      <c r="N10" s="3">
        <v>60000</v>
      </c>
      <c r="O10" s="3">
        <v>15000</v>
      </c>
      <c r="P10" s="3">
        <v>15000</v>
      </c>
      <c r="Q10" s="38">
        <v>15001</v>
      </c>
      <c r="R10" s="4">
        <v>48</v>
      </c>
      <c r="S10" s="39">
        <v>0</v>
      </c>
      <c r="T10" s="3" t="s">
        <v>42</v>
      </c>
    </row>
    <row r="11" spans="1:20">
      <c r="A11" s="3">
        <f t="shared" si="0"/>
        <v>2003001</v>
      </c>
      <c r="B11" s="13">
        <v>200300</v>
      </c>
      <c r="C11" s="13" t="s">
        <v>49</v>
      </c>
      <c r="D11" s="20" t="s">
        <v>36</v>
      </c>
      <c r="E11" s="40" t="s">
        <v>37</v>
      </c>
      <c r="F11" s="15" t="s">
        <v>38</v>
      </c>
      <c r="G11" s="13">
        <v>1</v>
      </c>
      <c r="H11" s="16" t="s">
        <v>39</v>
      </c>
      <c r="I11" s="3">
        <v>0</v>
      </c>
      <c r="J11" s="3" t="s">
        <v>48</v>
      </c>
      <c r="K11" s="35" t="s">
        <v>50</v>
      </c>
      <c r="L11" s="3">
        <v>9700</v>
      </c>
      <c r="M11" s="3">
        <v>300</v>
      </c>
      <c r="N11" s="3">
        <v>60000</v>
      </c>
      <c r="O11" s="3">
        <v>15000</v>
      </c>
      <c r="P11" s="3">
        <v>15000</v>
      </c>
      <c r="Q11" s="38">
        <v>15001</v>
      </c>
      <c r="R11" s="4">
        <v>50</v>
      </c>
      <c r="S11" s="39">
        <v>0</v>
      </c>
      <c r="T11" s="3" t="s">
        <v>42</v>
      </c>
    </row>
    <row r="12" s="2" customFormat="1" spans="1:20">
      <c r="A12" s="3">
        <f t="shared" si="0"/>
        <v>2003002</v>
      </c>
      <c r="B12" s="17">
        <v>200300</v>
      </c>
      <c r="C12" s="17" t="s">
        <v>49</v>
      </c>
      <c r="D12" s="17" t="s">
        <v>43</v>
      </c>
      <c r="E12" s="40" t="s">
        <v>37</v>
      </c>
      <c r="F12" s="15" t="s">
        <v>38</v>
      </c>
      <c r="G12" s="17">
        <v>2</v>
      </c>
      <c r="H12" s="18" t="s">
        <v>44</v>
      </c>
      <c r="I12" s="3">
        <v>0</v>
      </c>
      <c r="J12" s="3" t="s">
        <v>48</v>
      </c>
      <c r="K12" s="35" t="s">
        <v>50</v>
      </c>
      <c r="L12" s="3">
        <v>9700</v>
      </c>
      <c r="M12" s="3">
        <v>300</v>
      </c>
      <c r="N12" s="3">
        <v>60000</v>
      </c>
      <c r="O12" s="3">
        <v>15000</v>
      </c>
      <c r="P12" s="3">
        <v>15000</v>
      </c>
      <c r="Q12" s="38">
        <v>15001</v>
      </c>
      <c r="R12" s="4">
        <v>50</v>
      </c>
      <c r="S12" s="39">
        <v>0</v>
      </c>
      <c r="T12" s="3" t="s">
        <v>42</v>
      </c>
    </row>
    <row r="13" spans="1:20">
      <c r="A13" s="3">
        <f t="shared" si="0"/>
        <v>2003003</v>
      </c>
      <c r="B13" s="13">
        <v>200300</v>
      </c>
      <c r="C13" s="13" t="s">
        <v>49</v>
      </c>
      <c r="D13" s="13" t="s">
        <v>45</v>
      </c>
      <c r="E13" s="40" t="s">
        <v>37</v>
      </c>
      <c r="F13" s="15" t="s">
        <v>38</v>
      </c>
      <c r="G13" s="13">
        <v>3</v>
      </c>
      <c r="H13" s="16" t="s">
        <v>46</v>
      </c>
      <c r="I13" s="3">
        <v>0</v>
      </c>
      <c r="J13" s="3" t="s">
        <v>48</v>
      </c>
      <c r="K13" s="35" t="s">
        <v>50</v>
      </c>
      <c r="L13" s="3">
        <v>9700</v>
      </c>
      <c r="M13" s="3">
        <v>300</v>
      </c>
      <c r="N13" s="3">
        <v>60000</v>
      </c>
      <c r="O13" s="3">
        <v>15000</v>
      </c>
      <c r="P13" s="3">
        <v>15000</v>
      </c>
      <c r="Q13" s="38">
        <v>15001</v>
      </c>
      <c r="R13" s="4">
        <v>50</v>
      </c>
      <c r="S13" s="39">
        <v>0</v>
      </c>
      <c r="T13" s="3" t="s">
        <v>42</v>
      </c>
    </row>
    <row r="14" spans="1:20">
      <c r="A14" s="3">
        <f t="shared" si="0"/>
        <v>2004001</v>
      </c>
      <c r="B14" s="13">
        <v>200400</v>
      </c>
      <c r="C14" s="13" t="s">
        <v>51</v>
      </c>
      <c r="D14" s="19" t="s">
        <v>36</v>
      </c>
      <c r="E14" s="40" t="s">
        <v>37</v>
      </c>
      <c r="F14" s="15" t="s">
        <v>38</v>
      </c>
      <c r="G14" s="13">
        <v>1</v>
      </c>
      <c r="H14" s="16" t="s">
        <v>39</v>
      </c>
      <c r="I14" s="3">
        <v>0</v>
      </c>
      <c r="J14" s="3" t="s">
        <v>48</v>
      </c>
      <c r="K14" s="35" t="s">
        <v>52</v>
      </c>
      <c r="L14" s="3">
        <v>9700</v>
      </c>
      <c r="M14" s="3">
        <v>300</v>
      </c>
      <c r="N14" s="3">
        <v>60000</v>
      </c>
      <c r="O14" s="3">
        <v>15000</v>
      </c>
      <c r="P14" s="3">
        <v>15000</v>
      </c>
      <c r="Q14" s="38">
        <v>15001</v>
      </c>
      <c r="R14" s="4">
        <v>50</v>
      </c>
      <c r="S14" s="39">
        <v>0</v>
      </c>
      <c r="T14" s="3" t="s">
        <v>42</v>
      </c>
    </row>
    <row r="15" spans="1:20">
      <c r="A15" s="3">
        <f t="shared" si="0"/>
        <v>2004002</v>
      </c>
      <c r="B15" s="17">
        <v>200400</v>
      </c>
      <c r="C15" s="17" t="s">
        <v>51</v>
      </c>
      <c r="D15" s="17" t="s">
        <v>43</v>
      </c>
      <c r="E15" s="40" t="s">
        <v>37</v>
      </c>
      <c r="F15" s="15" t="s">
        <v>38</v>
      </c>
      <c r="G15" s="17">
        <v>2</v>
      </c>
      <c r="H15" s="18" t="s">
        <v>44</v>
      </c>
      <c r="I15" s="3">
        <v>0</v>
      </c>
      <c r="J15" s="3" t="s">
        <v>48</v>
      </c>
      <c r="K15" s="35" t="s">
        <v>52</v>
      </c>
      <c r="L15" s="3">
        <v>9700</v>
      </c>
      <c r="M15" s="3">
        <v>300</v>
      </c>
      <c r="N15" s="3">
        <v>60000</v>
      </c>
      <c r="O15" s="3">
        <v>15000</v>
      </c>
      <c r="P15" s="3">
        <v>15000</v>
      </c>
      <c r="Q15" s="38">
        <v>15001</v>
      </c>
      <c r="R15" s="4">
        <v>50</v>
      </c>
      <c r="S15" s="39">
        <v>0</v>
      </c>
      <c r="T15" s="3" t="s">
        <v>42</v>
      </c>
    </row>
    <row r="16" s="2" customFormat="1" spans="1:20">
      <c r="A16" s="3">
        <f t="shared" si="0"/>
        <v>2004003</v>
      </c>
      <c r="B16" s="13">
        <v>200400</v>
      </c>
      <c r="C16" s="13" t="s">
        <v>51</v>
      </c>
      <c r="D16" s="13" t="s">
        <v>45</v>
      </c>
      <c r="E16" s="40" t="s">
        <v>37</v>
      </c>
      <c r="F16" s="15" t="s">
        <v>38</v>
      </c>
      <c r="G16" s="13">
        <v>3</v>
      </c>
      <c r="H16" s="16" t="s">
        <v>46</v>
      </c>
      <c r="I16" s="3">
        <v>0</v>
      </c>
      <c r="J16" s="3" t="s">
        <v>48</v>
      </c>
      <c r="K16" s="35" t="s">
        <v>52</v>
      </c>
      <c r="L16" s="3">
        <v>9700</v>
      </c>
      <c r="M16" s="3">
        <v>300</v>
      </c>
      <c r="N16" s="3">
        <v>60000</v>
      </c>
      <c r="O16" s="3">
        <v>15000</v>
      </c>
      <c r="P16" s="3">
        <v>15000</v>
      </c>
      <c r="Q16" s="38">
        <v>15001</v>
      </c>
      <c r="R16" s="4">
        <v>50</v>
      </c>
      <c r="S16" s="39">
        <v>0</v>
      </c>
      <c r="T16" s="3" t="s">
        <v>42</v>
      </c>
    </row>
    <row r="17" s="2" customFormat="1" spans="1:20">
      <c r="A17" s="3">
        <f t="shared" si="0"/>
        <v>2005001</v>
      </c>
      <c r="B17" s="13">
        <v>200500</v>
      </c>
      <c r="C17" s="13" t="s">
        <v>53</v>
      </c>
      <c r="D17" s="13" t="s">
        <v>36</v>
      </c>
      <c r="E17" s="40" t="s">
        <v>37</v>
      </c>
      <c r="F17" s="15" t="s">
        <v>38</v>
      </c>
      <c r="G17" s="13">
        <v>1</v>
      </c>
      <c r="H17" s="16" t="s">
        <v>39</v>
      </c>
      <c r="I17" s="3">
        <v>1</v>
      </c>
      <c r="J17" s="3" t="s">
        <v>40</v>
      </c>
      <c r="K17" s="35" t="s">
        <v>54</v>
      </c>
      <c r="L17" s="3">
        <v>9700</v>
      </c>
      <c r="M17" s="3">
        <v>300</v>
      </c>
      <c r="N17" s="3">
        <v>60000</v>
      </c>
      <c r="O17" s="3">
        <v>15000</v>
      </c>
      <c r="P17" s="3">
        <v>15000</v>
      </c>
      <c r="Q17" s="38">
        <v>15001</v>
      </c>
      <c r="R17" s="4">
        <v>48</v>
      </c>
      <c r="S17" s="39">
        <v>0</v>
      </c>
      <c r="T17" s="3" t="s">
        <v>42</v>
      </c>
    </row>
    <row r="18" spans="1:20">
      <c r="A18" s="3">
        <f t="shared" si="0"/>
        <v>2005002</v>
      </c>
      <c r="B18" s="17">
        <v>200500</v>
      </c>
      <c r="C18" s="17" t="s">
        <v>53</v>
      </c>
      <c r="D18" s="17" t="s">
        <v>43</v>
      </c>
      <c r="E18" s="40" t="s">
        <v>37</v>
      </c>
      <c r="F18" s="15" t="s">
        <v>38</v>
      </c>
      <c r="G18" s="17">
        <v>2</v>
      </c>
      <c r="H18" s="18" t="s">
        <v>44</v>
      </c>
      <c r="I18" s="3">
        <v>1</v>
      </c>
      <c r="J18" s="3" t="s">
        <v>40</v>
      </c>
      <c r="K18" s="35" t="s">
        <v>54</v>
      </c>
      <c r="L18" s="3">
        <v>9700</v>
      </c>
      <c r="M18" s="3">
        <v>300</v>
      </c>
      <c r="N18" s="3">
        <v>60000</v>
      </c>
      <c r="O18" s="3">
        <v>15000</v>
      </c>
      <c r="P18" s="3">
        <v>15000</v>
      </c>
      <c r="Q18" s="38">
        <v>15001</v>
      </c>
      <c r="R18" s="4">
        <v>48</v>
      </c>
      <c r="S18" s="39">
        <v>0</v>
      </c>
      <c r="T18" s="3" t="s">
        <v>42</v>
      </c>
    </row>
    <row r="19" spans="1:20">
      <c r="A19" s="3">
        <f t="shared" si="0"/>
        <v>2005003</v>
      </c>
      <c r="B19" s="13">
        <v>200500</v>
      </c>
      <c r="C19" s="13" t="s">
        <v>53</v>
      </c>
      <c r="D19" s="13" t="s">
        <v>45</v>
      </c>
      <c r="E19" s="40" t="s">
        <v>37</v>
      </c>
      <c r="F19" s="15" t="s">
        <v>38</v>
      </c>
      <c r="G19" s="13">
        <v>3</v>
      </c>
      <c r="H19" s="16" t="s">
        <v>46</v>
      </c>
      <c r="I19" s="3">
        <v>1</v>
      </c>
      <c r="J19" s="3" t="s">
        <v>40</v>
      </c>
      <c r="K19" s="35" t="s">
        <v>54</v>
      </c>
      <c r="L19" s="3">
        <v>9700</v>
      </c>
      <c r="M19" s="3">
        <v>300</v>
      </c>
      <c r="N19" s="3">
        <v>60000</v>
      </c>
      <c r="O19" s="3">
        <v>15000</v>
      </c>
      <c r="P19" s="3">
        <v>15000</v>
      </c>
      <c r="Q19" s="38">
        <v>15001</v>
      </c>
      <c r="R19" s="4">
        <v>48</v>
      </c>
      <c r="S19" s="39">
        <v>0</v>
      </c>
      <c r="T19" s="3" t="s">
        <v>42</v>
      </c>
    </row>
    <row r="20" spans="1:20">
      <c r="A20" s="3">
        <f t="shared" si="0"/>
        <v>2006001</v>
      </c>
      <c r="B20" s="13">
        <v>200600</v>
      </c>
      <c r="C20" s="13" t="s">
        <v>55</v>
      </c>
      <c r="D20" s="20" t="s">
        <v>36</v>
      </c>
      <c r="E20" s="40" t="s">
        <v>37</v>
      </c>
      <c r="F20" s="15" t="s">
        <v>38</v>
      </c>
      <c r="G20" s="13">
        <v>1</v>
      </c>
      <c r="H20" s="16" t="s">
        <v>39</v>
      </c>
      <c r="I20" s="3">
        <v>0</v>
      </c>
      <c r="J20" s="3" t="s">
        <v>48</v>
      </c>
      <c r="K20" s="35" t="s">
        <v>56</v>
      </c>
      <c r="L20" s="3">
        <v>9700</v>
      </c>
      <c r="M20" s="3">
        <v>300</v>
      </c>
      <c r="N20" s="3">
        <v>60000</v>
      </c>
      <c r="O20" s="3">
        <v>15000</v>
      </c>
      <c r="P20" s="3">
        <v>15000</v>
      </c>
      <c r="Q20" s="38">
        <v>15001</v>
      </c>
      <c r="R20" s="4">
        <v>500</v>
      </c>
      <c r="S20" s="39">
        <v>0</v>
      </c>
      <c r="T20" s="3" t="s">
        <v>42</v>
      </c>
    </row>
    <row r="21" s="2" customFormat="1" spans="1:20">
      <c r="A21" s="3">
        <f t="shared" si="0"/>
        <v>2006002</v>
      </c>
      <c r="B21" s="17">
        <v>200600</v>
      </c>
      <c r="C21" s="17" t="s">
        <v>55</v>
      </c>
      <c r="D21" s="17" t="s">
        <v>43</v>
      </c>
      <c r="E21" s="40" t="s">
        <v>37</v>
      </c>
      <c r="F21" s="15" t="s">
        <v>38</v>
      </c>
      <c r="G21" s="17">
        <v>2</v>
      </c>
      <c r="H21" s="18" t="s">
        <v>44</v>
      </c>
      <c r="I21" s="3">
        <v>0</v>
      </c>
      <c r="J21" s="3" t="s">
        <v>48</v>
      </c>
      <c r="K21" s="35" t="s">
        <v>56</v>
      </c>
      <c r="L21" s="3">
        <v>9700</v>
      </c>
      <c r="M21" s="3">
        <v>300</v>
      </c>
      <c r="N21" s="3">
        <v>60000</v>
      </c>
      <c r="O21" s="3">
        <v>15000</v>
      </c>
      <c r="P21" s="3">
        <v>15000</v>
      </c>
      <c r="Q21" s="38">
        <v>15001</v>
      </c>
      <c r="R21" s="4">
        <v>500</v>
      </c>
      <c r="S21" s="39">
        <v>0</v>
      </c>
      <c r="T21" s="3" t="s">
        <v>42</v>
      </c>
    </row>
    <row r="22" spans="1:20">
      <c r="A22" s="3">
        <f t="shared" si="0"/>
        <v>2006003</v>
      </c>
      <c r="B22" s="13">
        <v>200600</v>
      </c>
      <c r="C22" s="13" t="s">
        <v>55</v>
      </c>
      <c r="D22" s="13" t="s">
        <v>45</v>
      </c>
      <c r="E22" s="40" t="s">
        <v>37</v>
      </c>
      <c r="F22" s="15" t="s">
        <v>38</v>
      </c>
      <c r="G22" s="13">
        <v>3</v>
      </c>
      <c r="H22" s="16" t="s">
        <v>46</v>
      </c>
      <c r="I22" s="3">
        <v>0</v>
      </c>
      <c r="J22" s="3" t="s">
        <v>48</v>
      </c>
      <c r="K22" s="35" t="s">
        <v>56</v>
      </c>
      <c r="L22" s="3">
        <v>9700</v>
      </c>
      <c r="M22" s="3">
        <v>300</v>
      </c>
      <c r="N22" s="3">
        <v>60000</v>
      </c>
      <c r="O22" s="3">
        <v>15000</v>
      </c>
      <c r="P22" s="3">
        <v>15000</v>
      </c>
      <c r="Q22" s="38">
        <v>15001</v>
      </c>
      <c r="R22" s="4">
        <v>500</v>
      </c>
      <c r="S22" s="39">
        <v>0</v>
      </c>
      <c r="T22" s="3" t="s">
        <v>42</v>
      </c>
    </row>
    <row r="23" spans="1:20">
      <c r="A23" s="3">
        <f t="shared" si="0"/>
        <v>2007001</v>
      </c>
      <c r="B23" s="13">
        <v>200700</v>
      </c>
      <c r="C23" s="13" t="s">
        <v>57</v>
      </c>
      <c r="D23" s="13" t="s">
        <v>36</v>
      </c>
      <c r="E23" s="40" t="s">
        <v>37</v>
      </c>
      <c r="F23" s="15" t="s">
        <v>38</v>
      </c>
      <c r="G23" s="13">
        <v>1</v>
      </c>
      <c r="H23" s="16" t="s">
        <v>39</v>
      </c>
      <c r="I23" s="3">
        <v>1</v>
      </c>
      <c r="J23" s="3" t="s">
        <v>48</v>
      </c>
      <c r="K23" s="35" t="s">
        <v>58</v>
      </c>
      <c r="L23" s="3">
        <v>9700</v>
      </c>
      <c r="M23" s="3">
        <v>300</v>
      </c>
      <c r="N23" s="3">
        <v>60000</v>
      </c>
      <c r="O23" s="3">
        <v>15000</v>
      </c>
      <c r="P23" s="3">
        <v>15000</v>
      </c>
      <c r="Q23" s="38">
        <v>15001</v>
      </c>
      <c r="R23" s="4">
        <v>30</v>
      </c>
      <c r="S23" s="39">
        <v>1</v>
      </c>
      <c r="T23" s="3" t="s">
        <v>59</v>
      </c>
    </row>
    <row r="24" spans="1:20">
      <c r="A24" s="3">
        <f t="shared" si="0"/>
        <v>2007002</v>
      </c>
      <c r="B24" s="17">
        <v>200700</v>
      </c>
      <c r="C24" s="17" t="s">
        <v>57</v>
      </c>
      <c r="D24" s="17" t="s">
        <v>43</v>
      </c>
      <c r="E24" s="40" t="s">
        <v>37</v>
      </c>
      <c r="F24" s="15" t="s">
        <v>38</v>
      </c>
      <c r="G24" s="17">
        <v>2</v>
      </c>
      <c r="H24" s="18" t="s">
        <v>44</v>
      </c>
      <c r="I24" s="3">
        <v>1</v>
      </c>
      <c r="J24" s="3" t="s">
        <v>48</v>
      </c>
      <c r="K24" s="35" t="s">
        <v>58</v>
      </c>
      <c r="L24" s="3">
        <v>9700</v>
      </c>
      <c r="M24" s="3">
        <v>300</v>
      </c>
      <c r="N24" s="3">
        <v>60000</v>
      </c>
      <c r="O24" s="3">
        <v>15000</v>
      </c>
      <c r="P24" s="3">
        <v>15000</v>
      </c>
      <c r="Q24" s="38">
        <v>15001</v>
      </c>
      <c r="R24" s="4">
        <v>30</v>
      </c>
      <c r="S24" s="39">
        <v>1</v>
      </c>
      <c r="T24" s="3" t="s">
        <v>59</v>
      </c>
    </row>
    <row r="25" s="2" customFormat="1" spans="1:20">
      <c r="A25" s="3">
        <f t="shared" si="0"/>
        <v>2007003</v>
      </c>
      <c r="B25" s="13">
        <v>200700</v>
      </c>
      <c r="C25" s="13" t="s">
        <v>57</v>
      </c>
      <c r="D25" s="13" t="s">
        <v>45</v>
      </c>
      <c r="E25" s="40" t="s">
        <v>37</v>
      </c>
      <c r="F25" s="15" t="s">
        <v>38</v>
      </c>
      <c r="G25" s="13">
        <v>3</v>
      </c>
      <c r="H25" s="16" t="s">
        <v>46</v>
      </c>
      <c r="I25" s="3">
        <v>1</v>
      </c>
      <c r="J25" s="3" t="s">
        <v>48</v>
      </c>
      <c r="K25" s="35" t="s">
        <v>58</v>
      </c>
      <c r="L25" s="3">
        <v>9700</v>
      </c>
      <c r="M25" s="3">
        <v>300</v>
      </c>
      <c r="N25" s="3">
        <v>60000</v>
      </c>
      <c r="O25" s="3">
        <v>15000</v>
      </c>
      <c r="P25" s="3">
        <v>15000</v>
      </c>
      <c r="Q25" s="38">
        <v>15001</v>
      </c>
      <c r="R25" s="4">
        <v>30</v>
      </c>
      <c r="S25" s="39">
        <v>1</v>
      </c>
      <c r="T25" s="3" t="s">
        <v>59</v>
      </c>
    </row>
    <row r="26" s="2" customFormat="1" spans="1:20">
      <c r="A26" s="3">
        <f t="shared" si="0"/>
        <v>2008001</v>
      </c>
      <c r="B26" s="13">
        <v>200800</v>
      </c>
      <c r="C26" s="13" t="s">
        <v>60</v>
      </c>
      <c r="D26" s="20" t="s">
        <v>36</v>
      </c>
      <c r="E26" s="40" t="s">
        <v>37</v>
      </c>
      <c r="F26" s="15" t="s">
        <v>38</v>
      </c>
      <c r="G26" s="13">
        <v>1</v>
      </c>
      <c r="H26" s="16" t="s">
        <v>39</v>
      </c>
      <c r="I26" s="3">
        <v>0</v>
      </c>
      <c r="J26" s="3" t="s">
        <v>48</v>
      </c>
      <c r="K26" s="35" t="s">
        <v>58</v>
      </c>
      <c r="L26" s="3">
        <v>9700</v>
      </c>
      <c r="M26" s="3">
        <v>300</v>
      </c>
      <c r="N26" s="3">
        <v>60000</v>
      </c>
      <c r="O26" s="3">
        <v>15000</v>
      </c>
      <c r="P26" s="3">
        <v>15000</v>
      </c>
      <c r="Q26" s="38">
        <v>15001</v>
      </c>
      <c r="R26" s="4">
        <v>500</v>
      </c>
      <c r="S26" s="39">
        <v>0</v>
      </c>
      <c r="T26" s="3" t="s">
        <v>42</v>
      </c>
    </row>
    <row r="27" s="2" customFormat="1" spans="1:20">
      <c r="A27" s="3">
        <f t="shared" si="0"/>
        <v>2008002</v>
      </c>
      <c r="B27" s="13">
        <v>200800</v>
      </c>
      <c r="C27" s="13" t="s">
        <v>60</v>
      </c>
      <c r="D27" s="17" t="s">
        <v>43</v>
      </c>
      <c r="E27" s="40" t="s">
        <v>37</v>
      </c>
      <c r="F27" s="15" t="s">
        <v>38</v>
      </c>
      <c r="G27" s="17">
        <v>2</v>
      </c>
      <c r="H27" s="18" t="s">
        <v>44</v>
      </c>
      <c r="I27" s="3">
        <v>0</v>
      </c>
      <c r="J27" s="3" t="s">
        <v>48</v>
      </c>
      <c r="K27" s="35" t="s">
        <v>58</v>
      </c>
      <c r="L27" s="3">
        <v>9700</v>
      </c>
      <c r="M27" s="3">
        <v>300</v>
      </c>
      <c r="N27" s="3">
        <v>60000</v>
      </c>
      <c r="O27" s="3">
        <v>15000</v>
      </c>
      <c r="P27" s="3">
        <v>15000</v>
      </c>
      <c r="Q27" s="38">
        <v>15001</v>
      </c>
      <c r="R27" s="4">
        <v>500</v>
      </c>
      <c r="S27" s="39">
        <v>0</v>
      </c>
      <c r="T27" s="3" t="s">
        <v>42</v>
      </c>
    </row>
    <row r="28" s="2" customFormat="1" spans="1:20">
      <c r="A28" s="3">
        <f t="shared" si="0"/>
        <v>2008003</v>
      </c>
      <c r="B28" s="13">
        <v>200800</v>
      </c>
      <c r="C28" s="13" t="s">
        <v>60</v>
      </c>
      <c r="D28" s="13" t="s">
        <v>45</v>
      </c>
      <c r="E28" s="40" t="s">
        <v>37</v>
      </c>
      <c r="F28" s="15" t="s">
        <v>38</v>
      </c>
      <c r="G28" s="13">
        <v>3</v>
      </c>
      <c r="H28" s="16" t="s">
        <v>46</v>
      </c>
      <c r="I28" s="3">
        <v>0</v>
      </c>
      <c r="J28" s="3" t="s">
        <v>48</v>
      </c>
      <c r="K28" s="35" t="s">
        <v>58</v>
      </c>
      <c r="L28" s="3">
        <v>9700</v>
      </c>
      <c r="M28" s="3">
        <v>300</v>
      </c>
      <c r="N28" s="3">
        <v>60000</v>
      </c>
      <c r="O28" s="3">
        <v>15000</v>
      </c>
      <c r="P28" s="3">
        <v>15000</v>
      </c>
      <c r="Q28" s="38">
        <v>15001</v>
      </c>
      <c r="R28" s="4">
        <v>500</v>
      </c>
      <c r="S28" s="39">
        <v>0</v>
      </c>
      <c r="T28" s="3" t="s">
        <v>42</v>
      </c>
    </row>
    <row r="29" s="2" customFormat="1" spans="1:20">
      <c r="A29" s="3">
        <f t="shared" si="0"/>
        <v>2009001</v>
      </c>
      <c r="B29" s="21">
        <v>200900</v>
      </c>
      <c r="C29" s="13" t="s">
        <v>61</v>
      </c>
      <c r="D29" s="19" t="s">
        <v>36</v>
      </c>
      <c r="E29" s="40" t="s">
        <v>37</v>
      </c>
      <c r="F29" s="15" t="s">
        <v>38</v>
      </c>
      <c r="G29" s="13">
        <v>1</v>
      </c>
      <c r="H29" s="16" t="s">
        <v>39</v>
      </c>
      <c r="I29" s="36">
        <v>0</v>
      </c>
      <c r="J29" s="3" t="s">
        <v>48</v>
      </c>
      <c r="K29" s="35" t="s">
        <v>58</v>
      </c>
      <c r="L29" s="3">
        <v>9700</v>
      </c>
      <c r="M29" s="3">
        <v>300</v>
      </c>
      <c r="N29" s="3">
        <v>60000</v>
      </c>
      <c r="O29" s="3">
        <v>15000</v>
      </c>
      <c r="P29" s="3">
        <v>15000</v>
      </c>
      <c r="Q29" s="38">
        <v>15001</v>
      </c>
      <c r="R29" s="4">
        <v>500</v>
      </c>
      <c r="S29" s="39">
        <v>0</v>
      </c>
      <c r="T29" s="3" t="s">
        <v>42</v>
      </c>
    </row>
    <row r="30" spans="1:20">
      <c r="A30" s="3">
        <f t="shared" si="0"/>
        <v>2009002</v>
      </c>
      <c r="B30" s="22">
        <v>200900</v>
      </c>
      <c r="C30" s="17" t="s">
        <v>61</v>
      </c>
      <c r="D30" s="17" t="s">
        <v>43</v>
      </c>
      <c r="E30" s="40" t="s">
        <v>37</v>
      </c>
      <c r="F30" s="15" t="s">
        <v>38</v>
      </c>
      <c r="G30" s="17">
        <v>2</v>
      </c>
      <c r="H30" s="18" t="s">
        <v>44</v>
      </c>
      <c r="I30" s="36">
        <v>0</v>
      </c>
      <c r="J30" s="3" t="s">
        <v>48</v>
      </c>
      <c r="K30" s="35" t="s">
        <v>58</v>
      </c>
      <c r="L30" s="3">
        <v>9700</v>
      </c>
      <c r="M30" s="3">
        <v>300</v>
      </c>
      <c r="N30" s="3">
        <v>60000</v>
      </c>
      <c r="O30" s="3">
        <v>15000</v>
      </c>
      <c r="P30" s="3">
        <v>15000</v>
      </c>
      <c r="Q30" s="38">
        <v>15001</v>
      </c>
      <c r="R30" s="4">
        <v>500</v>
      </c>
      <c r="S30" s="39">
        <v>0</v>
      </c>
      <c r="T30" s="3" t="s">
        <v>42</v>
      </c>
    </row>
    <row r="31" spans="1:20">
      <c r="A31" s="3">
        <f t="shared" si="0"/>
        <v>2009003</v>
      </c>
      <c r="B31" s="23">
        <v>200900</v>
      </c>
      <c r="C31" s="24" t="s">
        <v>61</v>
      </c>
      <c r="D31" s="24" t="s">
        <v>45</v>
      </c>
      <c r="E31" s="40" t="s">
        <v>37</v>
      </c>
      <c r="F31" s="15" t="s">
        <v>38</v>
      </c>
      <c r="G31" s="13">
        <v>3</v>
      </c>
      <c r="H31" s="16" t="s">
        <v>46</v>
      </c>
      <c r="I31" s="36">
        <v>0</v>
      </c>
      <c r="J31" s="3" t="s">
        <v>48</v>
      </c>
      <c r="K31" s="35" t="s">
        <v>58</v>
      </c>
      <c r="L31" s="3">
        <v>9700</v>
      </c>
      <c r="M31" s="3">
        <v>300</v>
      </c>
      <c r="N31" s="3">
        <v>60000</v>
      </c>
      <c r="O31" s="3">
        <v>15000</v>
      </c>
      <c r="P31" s="3">
        <v>15000</v>
      </c>
      <c r="Q31" s="38">
        <v>15001</v>
      </c>
      <c r="R31" s="4">
        <v>500</v>
      </c>
      <c r="S31" s="39">
        <v>0</v>
      </c>
      <c r="T31" s="3" t="s">
        <v>42</v>
      </c>
    </row>
    <row r="32" spans="1:20">
      <c r="A32" s="3">
        <f t="shared" si="0"/>
        <v>2010001</v>
      </c>
      <c r="B32" s="25">
        <v>201000</v>
      </c>
      <c r="C32" s="3" t="s">
        <v>62</v>
      </c>
      <c r="D32" s="19" t="s">
        <v>36</v>
      </c>
      <c r="E32" s="40" t="s">
        <v>37</v>
      </c>
      <c r="F32" s="41" t="s">
        <v>63</v>
      </c>
      <c r="G32" s="13">
        <v>1</v>
      </c>
      <c r="H32" s="16" t="s">
        <v>39</v>
      </c>
      <c r="I32" s="36">
        <v>0</v>
      </c>
      <c r="J32" s="3" t="s">
        <v>48</v>
      </c>
      <c r="K32" s="35" t="s">
        <v>64</v>
      </c>
      <c r="L32" s="3">
        <v>9700</v>
      </c>
      <c r="M32" s="3">
        <v>300</v>
      </c>
      <c r="N32" s="3">
        <v>60000</v>
      </c>
      <c r="O32" s="3">
        <v>15000</v>
      </c>
      <c r="P32" s="3">
        <v>15000</v>
      </c>
      <c r="Q32" s="38">
        <v>15001</v>
      </c>
      <c r="R32" s="4">
        <v>50</v>
      </c>
      <c r="S32" s="39">
        <v>0</v>
      </c>
      <c r="T32" s="3" t="s">
        <v>42</v>
      </c>
    </row>
    <row r="33" spans="1:20">
      <c r="A33" s="3">
        <f t="shared" si="0"/>
        <v>2010002</v>
      </c>
      <c r="B33" s="25">
        <v>201000</v>
      </c>
      <c r="C33" s="3" t="s">
        <v>62</v>
      </c>
      <c r="D33" s="17" t="s">
        <v>43</v>
      </c>
      <c r="E33" s="40" t="s">
        <v>37</v>
      </c>
      <c r="F33" s="41" t="s">
        <v>63</v>
      </c>
      <c r="G33" s="17">
        <v>2</v>
      </c>
      <c r="H33" s="18" t="s">
        <v>44</v>
      </c>
      <c r="I33" s="36">
        <v>0</v>
      </c>
      <c r="J33" s="3" t="s">
        <v>48</v>
      </c>
      <c r="K33" s="35" t="s">
        <v>64</v>
      </c>
      <c r="L33" s="3">
        <v>9700</v>
      </c>
      <c r="M33" s="3">
        <v>300</v>
      </c>
      <c r="N33" s="3">
        <v>60000</v>
      </c>
      <c r="O33" s="3">
        <v>15000</v>
      </c>
      <c r="P33" s="3">
        <v>15000</v>
      </c>
      <c r="Q33" s="38">
        <v>15001</v>
      </c>
      <c r="R33" s="4">
        <v>50</v>
      </c>
      <c r="S33" s="39">
        <v>0</v>
      </c>
      <c r="T33" s="3" t="s">
        <v>42</v>
      </c>
    </row>
    <row r="34" spans="1:20">
      <c r="A34" s="3">
        <f t="shared" si="0"/>
        <v>2010003</v>
      </c>
      <c r="B34" s="25">
        <v>201000</v>
      </c>
      <c r="C34" s="3" t="s">
        <v>62</v>
      </c>
      <c r="D34" s="24" t="s">
        <v>45</v>
      </c>
      <c r="E34" s="40" t="s">
        <v>37</v>
      </c>
      <c r="F34" s="41" t="s">
        <v>63</v>
      </c>
      <c r="G34" s="13">
        <v>3</v>
      </c>
      <c r="H34" s="16" t="s">
        <v>46</v>
      </c>
      <c r="I34" s="36">
        <v>0</v>
      </c>
      <c r="J34" s="3" t="s">
        <v>48</v>
      </c>
      <c r="K34" s="35" t="s">
        <v>64</v>
      </c>
      <c r="L34" s="3">
        <v>9700</v>
      </c>
      <c r="M34" s="3">
        <v>300</v>
      </c>
      <c r="N34" s="3">
        <v>60000</v>
      </c>
      <c r="O34" s="3">
        <v>15000</v>
      </c>
      <c r="P34" s="3">
        <v>15000</v>
      </c>
      <c r="Q34" s="38">
        <v>15001</v>
      </c>
      <c r="R34" s="4">
        <v>50</v>
      </c>
      <c r="S34" s="39">
        <v>0</v>
      </c>
      <c r="T34" s="3" t="s">
        <v>42</v>
      </c>
    </row>
    <row r="35" spans="19:20">
      <c r="S35" s="39"/>
      <c r="T35" s="3"/>
    </row>
    <row r="36" spans="3:20">
      <c r="C36"/>
      <c r="S36" s="39"/>
      <c r="T36" s="3"/>
    </row>
    <row r="37" spans="19:20">
      <c r="S37" s="39"/>
      <c r="T37" s="3"/>
    </row>
    <row r="38" spans="18:20">
      <c r="R38" s="5"/>
      <c r="S38" s="39"/>
      <c r="T38" s="3"/>
    </row>
    <row r="39" spans="18:20">
      <c r="R39" s="5"/>
      <c r="S39" s="39"/>
      <c r="T39" s="3"/>
    </row>
    <row r="40" spans="18:20">
      <c r="R40" s="5"/>
      <c r="S40" s="39"/>
      <c r="T40" s="3"/>
    </row>
    <row r="41" spans="18:20">
      <c r="R41" s="5"/>
      <c r="S41" s="39"/>
      <c r="T41" s="3"/>
    </row>
    <row r="42" spans="18:20">
      <c r="R42" s="5"/>
      <c r="S42" s="39"/>
      <c r="T42" s="3"/>
    </row>
    <row r="43" spans="8:20"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5"/>
      <c r="S43" s="39"/>
      <c r="T43" s="3"/>
    </row>
    <row r="44" spans="8:20"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5"/>
      <c r="S44" s="39"/>
      <c r="T44" s="3"/>
    </row>
    <row r="45" spans="8:20"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5"/>
      <c r="S45" s="39"/>
      <c r="T45" s="3"/>
    </row>
    <row r="46" spans="8:20"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5"/>
      <c r="S46" s="39"/>
      <c r="T46" s="3"/>
    </row>
    <row r="47" spans="8:17">
      <c r="H47" s="26"/>
      <c r="I47" s="26"/>
      <c r="J47" s="26"/>
      <c r="K47" s="26"/>
      <c r="L47" s="26"/>
      <c r="M47" s="26"/>
      <c r="N47" s="26"/>
      <c r="O47" s="26"/>
      <c r="P47" s="26"/>
      <c r="Q47" s="26"/>
    </row>
    <row r="48" spans="8:17">
      <c r="H48" s="26"/>
      <c r="I48" s="26"/>
      <c r="J48" s="26"/>
      <c r="K48" s="26"/>
      <c r="L48" s="26"/>
      <c r="M48" s="26"/>
      <c r="N48" s="26"/>
      <c r="O48" s="26"/>
      <c r="P48" s="26"/>
      <c r="Q48" s="26"/>
    </row>
    <row r="49" spans="8:17">
      <c r="H49" s="26"/>
      <c r="I49" s="26"/>
      <c r="J49" s="26"/>
      <c r="K49" s="26"/>
      <c r="L49" s="26"/>
      <c r="M49" s="26"/>
      <c r="N49" s="26"/>
      <c r="O49" s="26"/>
      <c r="P49" s="26"/>
      <c r="Q49" s="26"/>
    </row>
    <row r="50" spans="8:17">
      <c r="H50" s="26"/>
      <c r="I50" s="26"/>
      <c r="J50" s="26"/>
      <c r="K50" s="26"/>
      <c r="L50" s="26"/>
      <c r="M50" s="26"/>
      <c r="N50" s="26"/>
      <c r="O50" s="26"/>
      <c r="P50" s="26"/>
      <c r="Q50" s="26"/>
    </row>
    <row r="51" spans="8:17">
      <c r="H51" s="26"/>
      <c r="I51" s="26"/>
      <c r="J51" s="26"/>
      <c r="K51" s="26"/>
      <c r="L51" s="26"/>
      <c r="M51" s="26"/>
      <c r="N51" s="26"/>
      <c r="O51" s="26"/>
      <c r="P51" s="26"/>
      <c r="Q51" s="26"/>
    </row>
  </sheetData>
  <autoFilter xmlns:etc="http://www.wps.cn/officeDocument/2017/etCustomData" ref="A1:Q51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Room_Bet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WPS_1545318235</cp:lastModifiedBy>
  <dcterms:created xsi:type="dcterms:W3CDTF">2015-06-06T02:19:00Z</dcterms:created>
  <dcterms:modified xsi:type="dcterms:W3CDTF">2025-07-22T09:54:33Z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