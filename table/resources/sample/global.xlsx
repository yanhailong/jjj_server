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List>
</comments>
</file>

<file path=xl/sharedStrings.xml><?xml version="1.0" encoding="utf-8"?>
<sst xmlns="http://schemas.openxmlformats.org/spreadsheetml/2006/main" count="107" uniqueCount="99">
  <si>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</si>
  <si>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</si>
  <si>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</si>
  <si>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</si>
  <si>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</si>
  <si>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</si>
  <si>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</si>
  <si>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</si>
  <si>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</si>
  <si>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</si>
  <si>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</si>
  <si>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</si>
  <si>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</si>
  <si>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</si>
  <si>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</si>
  <si>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</si>
  <si>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</si>
  <si>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</si>
  <si>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</si>
  <si>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</si>
  <si>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</si>
  <si>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</si>
  <si>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</si>
  <si>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</si>
  <si>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</si>
  <si>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</si>
  <si>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</si>
  <si>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</si>
  <si>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</si>
  <si>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</si>
  <si>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</si>
  <si>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</si>
  <si>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</si>
  <si>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</si>
  <si>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</si>
  <si>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</si>
  <si>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</si>
  <si>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</si>
  <si>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</si>
  <si>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</si>
  <si>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</si>
  <si>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</si>
  <si>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</si>
  <si>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</si>
  <si>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</si>
  <si>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</si>
  <si>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</si>
  <si>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</si>
  <si>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</si>
  <si>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</si>
  <si>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</si>
  <si>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</si>
  <si>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</si>
  <si>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</si>
  <si>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</si>
  <si>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</si>
  <si>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</si>
  <si>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</si>
  <si>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</si>
  <si>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</si>
  <si>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</si>
  <si>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</si>
  <si>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</si>
  <si>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</si>
  <si>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</si>
  <si>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</si>
  <si>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</si>
  <si>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</si>
  <si>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</si>
  <si>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</si>
  <si>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</si>
  <si>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</si>
  <si>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</si>
  <si>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</si>
  <si>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</si>
  <si>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</si>
  <si>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</si>
  <si>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</si>
  <si>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</si>
  <si>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</si>
  <si>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</si>
  <si>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</si>
  <si>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</si>
  <si>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</si>
  <si>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</si>
  <si>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</si>
  <si>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</si>
  <si>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</si>
  <si>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</si>
  <si>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</si>
  <si>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</si>
  <si>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</si>
  <si>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积分大奖：实物奖励兑换码过期时间（天）</t>
  </si>
  <si>
    <t>新手奖励</t>
  </si>
  <si>
    <t>1990000_700000</t>
  </si>
  <si>
    <t>手机短信区号</t>
  </si>
  <si>
    <r>
      <rPr>
        <sz val="11"/>
        <color theme="1"/>
        <rFont val="Times New Roman"/>
        <charset val="134"/>
      </rPr>
      <t>‌</t>
    </r>
    <r>
      <rPr>
        <sz val="11"/>
        <color theme="1"/>
        <rFont val="微软雅黑"/>
        <charset val="134"/>
      </rPr>
      <t>84</t>
    </r>
    <r>
      <rPr>
        <sz val="11"/>
        <color theme="1"/>
        <rFont val="Times New Roman"/>
        <charset val="134"/>
      </rPr>
      <t>‌</t>
    </r>
    <r>
      <rPr>
        <sz val="11"/>
        <color theme="1"/>
        <rFont val="微软雅黑"/>
        <charset val="134"/>
      </rPr>
      <t>_91_351</t>
    </r>
  </si>
  <si>
    <t>VIP充值返利给金币时的金币数量，金币数量 = 返利金额 * 此值</t>
  </si>
  <si>
    <t>推广分享给金币时的金币数量，金币数量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</si>
</sst>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1"/>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1"/>
  <sheetViews>
    <sheetView tabSelected="1" workbookViewId="0">
      <pane ySplit="3" topLeftCell="A29" activePane="bottomLeft" state="frozen"/>
      <selection/>
      <selection pane="bottomLeft" activeCell="C45" sqref="C45"/>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9900</v>
      </c>
      <c r="G31" s="1" t="s">
        <v>61</v>
      </c>
    </row>
    <row r="32" spans="1:7">
      <c r="A32" s="1">
        <v>28</v>
      </c>
      <c r="B32" s="1" t="s">
        <v>62</v>
      </c>
      <c r="C32" s="1" t="s">
        <v>63</v>
      </c>
    </row>
    <row r="33" spans="1:23">
      <c r="A33" s="1">
        <v>29</v>
      </c>
      <c r="B33" s="1" t="s">
        <v>64</v>
      </c>
      <c r="D33" s="1">
        <v>6</v>
      </c>
    </row>
    <row r="34" s="2" customFormat="1" spans="1:23">
      <c r="A34" s="11">
        <v>30</v>
      </c>
      <c r="B34" s="11" t="s">
        <v>65</v>
      </c>
      <c r="C34" s="2" t="s">
        <v>66</v>
      </c>
    </row>
    <row r="35" s="2" customFormat="1" spans="1:23">
      <c r="A35" s="11">
        <v>31</v>
      </c>
      <c r="B35" s="11" t="s">
        <v>67</v>
      </c>
      <c r="E35" s="2">
        <v>1000000000</v>
      </c>
      <c r="G35" s="2" t="s">
        <v>68</v>
      </c>
      <c r="H35" s="2">
        <v>718000</v>
      </c>
      <c r="I35" s="2" t="s">
        <v>69</v>
      </c>
      <c r="J35" s="2">
        <v>30</v>
      </c>
      <c r="K35" s="2" t="s">
        <v>70</v>
      </c>
      <c r="L35" s="2">
        <f>J35*24*60*60*1000</f>
        <v>2592000000</v>
      </c>
      <c r="M35" s="2" t="s">
        <v>71</v>
      </c>
    </row>
    <row r="36" spans="1:23">
      <c r="A36" s="11">
        <v>32</v>
      </c>
      <c r="B36" s="11" t="s">
        <v>72</v>
      </c>
      <c r="C36" s="2" t="s">
        <v>73</v>
      </c>
    </row>
    <row r="37" spans="1:23">
      <c r="A37" s="12">
        <v>33</v>
      </c>
      <c r="B37" s="12" t="s">
        <v>74</v>
      </c>
      <c r="C37" s="1" t="s">
        <v>75</v>
      </c>
    </row>
    <row r="38" s="2" customFormat="1" spans="1:23">
      <c r="A38" s="11">
        <v>34</v>
      </c>
      <c r="B38" s="11" t="s">
        <v>76</v>
      </c>
      <c r="C38" s="2" t="s">
        <v>77</v>
      </c>
      <c r="G38" s="2" t="s">
        <v>78</v>
      </c>
      <c r="H38" s="2">
        <f>VALUE(MID(C38,FIND("_",C38)+1,4))</f>
        <v>90</v>
      </c>
    </row>
    <row r="39" spans="1:23">
      <c r="A39" s="12">
        <v>35</v>
      </c>
      <c r="B39" s="12" t="s">
        <v>79</v>
      </c>
      <c r="C39" s="1" t="str">
        <f>_xlfn.TEXTJOIN("|",TRUE,S39:W39)</f>
        <v>3101760_1000|2584800_1000|2067840_1000|1550880_1000|1033920_1000</v>
      </c>
      <c r="G39" s="1" t="s">
        <v>80</v>
      </c>
      <c r="H39" s="1">
        <f>ROUND(L35/(E35*H38/100/H35),0)</f>
        <v>2067840</v>
      </c>
      <c r="I39" s="1" t="s">
        <v>71</v>
      </c>
      <c r="J39" s="1" t="s">
        <v>81</v>
      </c>
      <c r="K39" s="13" t="s">
        <v>82</v>
      </c>
      <c r="L39" s="13">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23">
      <c r="A40" s="14">
        <v>40</v>
      </c>
      <c r="B40" s="14" t="s">
        <v>84</v>
      </c>
      <c r="D40" s="1">
        <v>50</v>
      </c>
    </row>
    <row r="41" spans="1:23">
      <c r="A41" s="14">
        <v>41</v>
      </c>
      <c r="B41" s="14" t="s">
        <v>85</v>
      </c>
      <c r="D41" s="1">
        <v>50</v>
      </c>
    </row>
    <row r="42" spans="1:23">
      <c r="A42" s="14">
        <v>42</v>
      </c>
      <c r="B42" s="14" t="s">
        <v>86</v>
      </c>
      <c r="D42" s="1">
        <v>500</v>
      </c>
    </row>
    <row r="43" spans="1:23">
      <c r="A43" s="14">
        <v>43</v>
      </c>
      <c r="B43" s="14" t="s">
        <v>87</v>
      </c>
      <c r="D43" s="1">
        <v>1</v>
      </c>
    </row>
    <row r="44" spans="1:23">
      <c r="A44" s="14">
        <v>44</v>
      </c>
      <c r="B44" s="1" t="s">
        <v>88</v>
      </c>
      <c r="D44" s="1">
        <v>10</v>
      </c>
    </row>
    <row r="45" spans="1:23">
      <c r="A45" s="14">
        <v>45</v>
      </c>
      <c r="B45" s="1" t="s">
        <v>89</v>
      </c>
      <c r="C45" s="1" t="s">
        <v>90</v>
      </c>
    </row>
    <row r="46" spans="1:23">
      <c r="A46" s="1">
        <v>46</v>
      </c>
      <c r="B46" s="1" t="s">
        <v>91</v>
      </c>
      <c r="C46" s="1" t="s">
        <v>75</v>
      </c>
    </row>
    <row r="47" spans="1:23">
      <c r="A47" s="1">
        <v>47</v>
      </c>
      <c r="B47" s="1" t="s">
        <v>92</v>
      </c>
      <c r="D47" s="1">
        <v>3</v>
      </c>
    </row>
    <row r="48" spans="1:23">
      <c r="A48" s="1">
        <v>50</v>
      </c>
      <c r="B48" s="1" t="s">
        <v>93</v>
      </c>
      <c r="C48" s="1" t="s">
        <v>94</v>
      </c>
    </row>
    <row r="49" spans="1:4">
      <c r="A49" s="1">
        <v>51</v>
      </c>
      <c r="B49" s="1" t="s">
        <v>95</v>
      </c>
      <c r="C49" s="15" t="s">
        <v>96</v>
      </c>
    </row>
    <row r="50" spans="1:4">
      <c r="A50" s="1">
        <v>52</v>
      </c>
      <c r="B50" s="1" t="s">
        <v>97</v>
      </c>
      <c r="D50" s="1">
        <v>700000</v>
      </c>
    </row>
    <row r="51" spans="1:4">
      <c r="A51" s="1">
        <v>53</v>
      </c>
      <c r="B51" s="1" t="s">
        <v>98</v>
      </c>
      <c r="D51" s="1">
        <v>700000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2025-11-04T11:54:43Z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