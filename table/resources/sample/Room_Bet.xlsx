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735" windowHeight="12270" tabRatio="794"/>
  </bookViews>
  <sheets>
    <sheet name="Room_Bet" sheetId="18" r:id="rId1"/>
  </sheets>
  <definedNames>
    <definedName name="_xlnm._FilterDatabase" localSheetId="0" hidden="1">Room_Bet!$A$1:$S$58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  <author>C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H1" authorId="0">
      <text>
        <r>
          <rPr>
            <sz val="9"/>
            <rFont val="宋体"/>
            <charset val="134"/>
          </rPr>
          <t xml:space="preserve">普通场 1
中级场 2 
高级场 3
</t>
        </r>
      </text>
    </comment>
    <comment ref="J1" authorId="1">
      <text>
        <r>
          <rPr>
            <sz val="9"/>
            <rFont val="宋体"/>
            <charset val="134"/>
          </rPr>
          <t>押分筹码列表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0：直接，对应一个出奖结果，比如大、小
1：组合，对应多个出奖结果，比如333，结果为【小、豹子】类似牌型结果需要特殊逻辑的类型</t>
        </r>
      </text>
    </comment>
    <comment ref="M1" authorId="1">
      <text>
        <r>
          <rPr>
            <sz val="9"/>
            <rFont val="宋体"/>
            <charset val="134"/>
          </rPr>
          <t>阶段信息:[准备阶段时间-毫秒，押分阶段时间-毫秒，亮牌阶段时间-毫秒，结算阶段-毫秒]
2.时间: 毫秒
参考游戏荣耀中是有数到0得，而我们这没有，所以将时间加了1秒</t>
        </r>
      </text>
    </comment>
    <comment ref="N1" authorId="1">
      <text>
        <r>
          <rPr>
            <sz val="9"/>
            <rFont val="宋体"/>
            <charset val="134"/>
          </rPr>
          <t>每笔投注进入房间水池比例
万分比
进入水池金额 = 押注总分 * 抽水万分比 / 10000
需要校验，此值不能大于10000</t>
        </r>
      </text>
    </comment>
    <comment ref="O1" authorId="0">
      <text>
        <r>
          <rPr>
            <sz val="9"/>
            <rFont val="宋体"/>
            <charset val="134"/>
          </rPr>
          <t>净赢分*抽水比例</t>
        </r>
      </text>
    </comment>
    <comment ref="P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长时间不投注持续X毫秒后，客户端显示提示，进入退出倒计时
</t>
        </r>
      </text>
    </comment>
    <comment ref="Q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多语言id
</t>
        </r>
      </text>
    </comment>
    <comment ref="R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倒计时结束后提出房间
倒计时期间用户下注，终止倒计时
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
</t>
        </r>
      </text>
    </comment>
    <comment ref="U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0:覆盖，即只保留最新的X场数据
1:清空，即达到记录上限时清空所有数据，重新记录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Y1" authorId="0">
      <text>
        <r>
          <rPr>
            <sz val="9"/>
            <rFont val="宋体"/>
            <charset val="134"/>
          </rPr>
          <t>最大押分值*10000</t>
        </r>
      </text>
    </comment>
  </commentList>
</comments>
</file>

<file path=xl/sharedStrings.xml><?xml version="1.0" encoding="utf-8"?>
<sst xmlns="http://schemas.openxmlformats.org/spreadsheetml/2006/main" count="552" uniqueCount="87">
  <si>
    <t>游戏ID</t>
  </si>
  <si>
    <t>游戏名称</t>
  </si>
  <si>
    <t>多语言表ID</t>
  </si>
  <si>
    <t>机器人加入房间间隔（毫秒）</t>
  </si>
  <si>
    <t>机器人人数（时间段:机器人人数|……）</t>
  </si>
  <si>
    <t>倍场ID</t>
  </si>
  <si>
    <t>交易项目ID</t>
  </si>
  <si>
    <t>押分筹码列表</t>
  </si>
  <si>
    <t>结果类型</t>
  </si>
  <si>
    <t>阶段信息</t>
  </si>
  <si>
    <t>系统抽水万分比</t>
  </si>
  <si>
    <t>中奖时扣除比例万分比</t>
  </si>
  <si>
    <t>不操作提示倒计时秒</t>
  </si>
  <si>
    <t>不操作提示</t>
  </si>
  <si>
    <t>不操作退出倒计时秒</t>
  </si>
  <si>
    <t>踢出房间提示</t>
  </si>
  <si>
    <t>当前房间显示最大记录数量</t>
  </si>
  <si>
    <t>历史记录清除方式</t>
  </si>
  <si>
    <t>跑马触发金额</t>
  </si>
  <si>
    <t>上庄最低金额</t>
  </si>
  <si>
    <t>是否允许庄家参与游戏</t>
  </si>
  <si>
    <t>初始化标准池</t>
  </si>
  <si>
    <t>int</t>
  </si>
  <si>
    <t>list&lt;int&gt;{,}</t>
  </si>
  <si>
    <t>list&lt;list&lt;int&gt;{:}&gt;{|}</t>
  </si>
  <si>
    <t>list&lt;int&gt;{_}</t>
  </si>
  <si>
    <t>List&lt;long&gt;{_}</t>
  </si>
  <si>
    <t>long</t>
  </si>
  <si>
    <t>id</t>
  </si>
  <si>
    <t>gameID</t>
  </si>
  <si>
    <t>nameid</t>
  </si>
  <si>
    <t>IntervalTime</t>
  </si>
  <si>
    <t>robot_num</t>
  </si>
  <si>
    <t>roomID</t>
  </si>
  <si>
    <t>transactionItemId</t>
  </si>
  <si>
    <t>betList</t>
  </si>
  <si>
    <t>resultType</t>
  </si>
  <si>
    <t>StageTime</t>
  </si>
  <si>
    <t>EffectiveRatio</t>
  </si>
  <si>
    <t>WinRatio</t>
  </si>
  <si>
    <t>WaitTime</t>
  </si>
  <si>
    <t>TipText</t>
  </si>
  <si>
    <t>EscTime</t>
  </si>
  <si>
    <t>EscTipText</t>
  </si>
  <si>
    <t>records_num</t>
  </si>
  <si>
    <t>RecordDeleteType</t>
  </si>
  <si>
    <t>marqueeTrigger</t>
  </si>
  <si>
    <t>minBankerAmount</t>
  </si>
  <si>
    <t>bankerBets</t>
  </si>
  <si>
    <t>initBasePool</t>
  </si>
  <si>
    <t>红黑大战</t>
  </si>
  <si>
    <t>普通场</t>
  </si>
  <si>
    <t>2000,5000</t>
  </si>
  <si>
    <t>0:6:48|6:12:42|12:18:52|18:24:62</t>
  </si>
  <si>
    <t>1000_2000_5000_10000_20000_50000_100000</t>
  </si>
  <si>
    <t>组合</t>
  </si>
  <si>
    <t>1000,16000,8000,0</t>
  </si>
  <si>
    <t>5000000_17001</t>
  </si>
  <si>
    <t>1990000_500000</t>
  </si>
  <si>
    <t>中级场</t>
  </si>
  <si>
    <t>10000_20000_50000_100000_200000_500000_1000000</t>
  </si>
  <si>
    <t>50000000_17001</t>
  </si>
  <si>
    <t>1990000_5000000</t>
  </si>
  <si>
    <t>高级场</t>
  </si>
  <si>
    <t>100000_200000_500000_1000000_2000000_5000000_10000000</t>
  </si>
  <si>
    <t>500000000_17001</t>
  </si>
  <si>
    <t>1990000_50000000</t>
  </si>
  <si>
    <t>龙虎斗</t>
  </si>
  <si>
    <t>直接</t>
  </si>
  <si>
    <t>1000,16000,10000,0</t>
  </si>
  <si>
    <t>飞禽走兽</t>
  </si>
  <si>
    <t>0,16000,13000,0</t>
  </si>
  <si>
    <t>豪车俱乐部</t>
  </si>
  <si>
    <t>1000,16000,12000,0</t>
  </si>
  <si>
    <t>百家乐</t>
  </si>
  <si>
    <t>2000,16000,10000,0</t>
  </si>
  <si>
    <t>三个骰子</t>
  </si>
  <si>
    <t>4000,16000,11000,0</t>
  </si>
  <si>
    <t>色碟</t>
  </si>
  <si>
    <t>2000,16000,8000,0</t>
  </si>
  <si>
    <t>大小骰子</t>
  </si>
  <si>
    <t>4000,16000,8000,0</t>
  </si>
  <si>
    <t>鱼虾蟹</t>
  </si>
  <si>
    <t>0:6:0|6:12:0|12:18:0|18:24:0</t>
  </si>
  <si>
    <t>1980000_500000</t>
  </si>
  <si>
    <t>1980000_5000000</t>
  </si>
  <si>
    <t>1980000_50000000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</si>
</sst>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31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1" borderId="4" applyNumberFormat="0" applyAlignment="0" applyProtection="0">
      <alignment vertical="center"/>
    </xf>
    <xf numFmtId="0" fontId="17" fillId="12" borderId="5" applyNumberFormat="0" applyAlignment="0" applyProtection="0">
      <alignment vertical="center"/>
    </xf>
    <xf numFmtId="0" fontId="18" fillId="12" borderId="4" applyNumberFormat="0" applyAlignment="0" applyProtection="0">
      <alignment vertical="center"/>
    </xf>
    <xf numFmtId="0" fontId="19" fillId="13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7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0" fillId="0" borderId="0">
      <alignment vertical="center"/>
    </xf>
  </cellStyleXfs>
  <cellXfs count="59">
    <xf numFmtId="0" fontId="0" fillId="0" borderId="0" xfId="0"/>
    <xf numFmtId="0" fontId="1" fillId="0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" fillId="0" borderId="0" xfId="0" applyFont="1" applyFill="1" applyAlignment="1">
      <alignment horizontal="left"/>
    </xf>
    <xf numFmtId="0" fontId="1" fillId="0" borderId="0" xfId="0" applyFont="1" applyAlignment="1">
      <alignment horizontal="center"/>
    </xf>
    <xf numFmtId="0" fontId="3" fillId="4" borderId="0" xfId="56" applyNumberFormat="1" applyFont="1" applyFill="1" applyBorder="1" applyAlignment="1" applyProtection="1">
      <alignment horizontal="center" vertical="center"/>
      <protection locked="0"/>
    </xf>
    <xf numFmtId="0" fontId="1" fillId="5" borderId="0" xfId="56" applyNumberFormat="1" applyFont="1" applyFill="1" applyBorder="1" applyAlignment="1" applyProtection="1">
      <alignment horizontal="center" vertical="center"/>
      <protection locked="0"/>
    </xf>
    <xf numFmtId="0" fontId="3" fillId="6" borderId="0" xfId="56" applyNumberFormat="1" applyFont="1" applyFill="1" applyBorder="1" applyAlignment="1" applyProtection="1">
      <alignment horizontal="center" vertical="center"/>
      <protection locked="0"/>
    </xf>
    <xf numFmtId="0" fontId="1" fillId="7" borderId="0" xfId="56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horizontal="left"/>
    </xf>
    <xf numFmtId="176" fontId="4" fillId="0" borderId="0" xfId="0" applyNumberFormat="1" applyFont="1" applyFill="1" applyAlignment="1">
      <alignment horizontal="left"/>
    </xf>
    <xf numFmtId="0" fontId="5" fillId="0" borderId="0" xfId="0" applyFont="1" applyFill="1" applyAlignment="1">
      <alignment horizontal="center" vertical="top"/>
    </xf>
    <xf numFmtId="0" fontId="5" fillId="0" borderId="0" xfId="0" applyFont="1" applyFill="1" applyAlignment="1">
      <alignment horizontal="left" vertical="top"/>
    </xf>
    <xf numFmtId="0" fontId="0" fillId="0" borderId="0" xfId="0" applyFill="1" applyAlignment="1">
      <alignment horizontal="left" vertical="center"/>
    </xf>
    <xf numFmtId="176" fontId="6" fillId="0" borderId="0" xfId="0" applyNumberFormat="1" applyFont="1" applyFill="1" applyAlignment="1">
      <alignment horizontal="left" vertical="top"/>
    </xf>
    <xf numFmtId="0" fontId="3" fillId="0" borderId="0" xfId="56" applyNumberFormat="1" applyFont="1" applyFill="1" applyBorder="1" applyAlignment="1" applyProtection="1">
      <alignment horizontal="center" vertical="center"/>
      <protection locked="0"/>
    </xf>
    <xf numFmtId="0" fontId="1" fillId="0" borderId="0" xfId="56" applyNumberFormat="1" applyFont="1" applyFill="1" applyBorder="1" applyAlignment="1" applyProtection="1">
      <alignment horizontal="center" vertical="center"/>
      <protection locked="0"/>
    </xf>
    <xf numFmtId="0" fontId="3" fillId="0" borderId="0" xfId="56" applyNumberFormat="1" applyFont="1" applyFill="1" applyAlignment="1" applyProtection="1">
      <alignment horizontal="center" vertical="center"/>
      <protection locked="0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 wrapText="1"/>
    </xf>
    <xf numFmtId="0" fontId="2" fillId="0" borderId="0" xfId="0" applyNumberFormat="1" applyFont="1" applyFill="1" applyBorder="1" applyAlignment="1" applyProtection="1">
      <alignment horizontal="center"/>
      <protection locked="0"/>
    </xf>
    <xf numFmtId="3" fontId="2" fillId="0" borderId="0" xfId="0" applyNumberFormat="1" applyFont="1" applyFill="1" applyAlignment="1" applyProtection="1">
      <alignment horizontal="center"/>
      <protection locked="0"/>
    </xf>
    <xf numFmtId="20" fontId="0" fillId="0" borderId="0" xfId="0" applyNumberFormat="1" applyFill="1" applyAlignment="1">
      <alignment horizontal="center" vertical="center"/>
    </xf>
    <xf numFmtId="0" fontId="2" fillId="8" borderId="0" xfId="0" applyNumberFormat="1" applyFont="1" applyFill="1" applyBorder="1" applyAlignment="1" applyProtection="1">
      <alignment horizontal="center"/>
      <protection locked="0"/>
    </xf>
    <xf numFmtId="49" fontId="2" fillId="0" borderId="0" xfId="0" applyNumberFormat="1" applyFont="1" applyFill="1" applyBorder="1" applyAlignment="1" applyProtection="1">
      <alignment horizontal="center"/>
      <protection locked="0"/>
    </xf>
    <xf numFmtId="49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wrapText="1"/>
    </xf>
    <xf numFmtId="0" fontId="0" fillId="3" borderId="0" xfId="0" applyFont="1" applyFill="1" applyAlignment="1">
      <alignment horizontal="center"/>
    </xf>
    <xf numFmtId="0" fontId="2" fillId="9" borderId="0" xfId="0" applyNumberFormat="1" applyFont="1" applyFill="1" applyBorder="1" applyAlignment="1" applyProtection="1">
      <alignment horizontal="center"/>
      <protection locked="0"/>
    </xf>
    <xf numFmtId="49" fontId="2" fillId="9" borderId="0" xfId="0" applyNumberFormat="1" applyFont="1" applyFill="1" applyBorder="1" applyAlignment="1" applyProtection="1">
      <alignment horizontal="center"/>
      <protection locked="0"/>
    </xf>
    <xf numFmtId="176" fontId="2" fillId="0" borderId="0" xfId="0" applyNumberFormat="1" applyFont="1" applyFill="1" applyAlignment="1">
      <alignment horizontal="left"/>
    </xf>
    <xf numFmtId="0" fontId="2" fillId="0" borderId="0" xfId="56" applyNumberFormat="1" applyFont="1" applyFill="1" applyBorder="1" applyAlignment="1" applyProtection="1">
      <alignment horizontal="center" vertical="center"/>
      <protection locked="0"/>
    </xf>
    <xf numFmtId="0" fontId="2" fillId="0" borderId="0" xfId="56" applyNumberFormat="1" applyFont="1" applyFill="1" applyBorder="1" applyAlignment="1" applyProtection="1">
      <alignment horizontal="center" vertical="top"/>
      <protection locked="0"/>
    </xf>
    <xf numFmtId="0" fontId="7" fillId="0" borderId="0" xfId="0" applyNumberFormat="1" applyFont="1" applyFill="1" applyBorder="1" applyAlignment="1" applyProtection="1">
      <alignment horizontal="center"/>
      <protection locked="0"/>
    </xf>
    <xf numFmtId="0" fontId="7" fillId="0" borderId="0" xfId="0" applyFont="1" applyAlignment="1">
      <alignment horizontal="center"/>
    </xf>
    <xf numFmtId="0" fontId="7" fillId="9" borderId="0" xfId="0" applyNumberFormat="1" applyFont="1" applyFill="1" applyBorder="1" applyAlignment="1" applyProtection="1">
      <alignment horizont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0" fillId="2" borderId="0" xfId="0" applyFill="1" applyAlignment="1">
      <alignment horizontal="center" vertical="center"/>
    </xf>
    <xf numFmtId="0" fontId="2" fillId="2" borderId="0" xfId="0" applyNumberFormat="1" applyFont="1" applyFill="1" applyBorder="1" applyAlignment="1" applyProtection="1">
      <alignment horizontal="center"/>
      <protection locked="0"/>
    </xf>
    <xf numFmtId="3" fontId="2" fillId="2" borderId="0" xfId="0" applyNumberFormat="1" applyFont="1" applyFill="1" applyAlignment="1" applyProtection="1">
      <alignment horizontal="center"/>
      <protection locked="0"/>
    </xf>
    <xf numFmtId="20" fontId="0" fillId="2" borderId="0" xfId="0" applyNumberFormat="1" applyFill="1" applyAlignment="1">
      <alignment horizontal="center" vertical="center"/>
    </xf>
    <xf numFmtId="49" fontId="2" fillId="2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center" wrapText="1"/>
    </xf>
    <xf numFmtId="0" fontId="0" fillId="2" borderId="0" xfId="0" applyFont="1" applyFill="1" applyAlignment="1">
      <alignment horizontal="center"/>
    </xf>
    <xf numFmtId="176" fontId="6" fillId="2" borderId="0" xfId="0" applyNumberFormat="1" applyFont="1" applyFill="1" applyAlignment="1">
      <alignment horizontal="left" vertical="top"/>
    </xf>
    <xf numFmtId="0" fontId="2" fillId="2" borderId="0" xfId="0" applyNumberFormat="1" applyFont="1" applyFill="1" applyAlignment="1">
      <alignment horizontal="center"/>
    </xf>
    <xf numFmtId="3" fontId="2" fillId="0" borderId="0" xfId="0" applyNumberFormat="1" applyFont="1" applyFill="1" applyAlignment="1" applyProtection="1" quotePrefix="1">
      <alignment horizontal="center"/>
      <protection locked="0"/>
    </xf>
    <xf numFmtId="3" fontId="2" fillId="2" borderId="0" xfId="0" applyNumberFormat="1" applyFont="1" applyFill="1" applyAlignment="1" applyProtection="1" quotePrefix="1">
      <alignment horizontal="center"/>
      <protection locked="0"/>
    </xf>
    <xf numFmtId="0" fontId="2" fillId="2" borderId="0" xfId="0" applyFont="1" applyFill="1" applyAlignment="1" quotePrefix="1">
      <alignment horizont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pageSetUpPr autoPageBreaks="0"/>
  </sheetPr>
  <dimension ref="A1:Y58"/>
  <sheetViews>
    <sheetView tabSelected="1" zoomScale="70" zoomScaleNormal="70" workbookViewId="0">
      <pane ySplit="4" topLeftCell="A5" activePane="bottomLeft" state="frozen"/>
      <selection/>
      <selection pane="bottomLeft" activeCell="I20" sqref="I20"/>
    </sheetView>
  </sheetViews>
  <sheetFormatPr defaultColWidth="9" defaultRowHeight="16.5"/>
  <cols>
    <col min="1" max="1" width="9.375" style="4"/>
    <col min="2" max="2" width="12" style="4" customWidth="1"/>
    <col min="3" max="4" width="20.625" style="4" customWidth="1"/>
    <col min="5" max="5" width="8.625" style="4" customWidth="1"/>
    <col min="6" max="6" width="15.1416666666667" style="4" customWidth="1"/>
    <col min="7" max="7" width="28.2333333333333" style="4" customWidth="1"/>
    <col min="8" max="8" width="8.625" style="4" customWidth="1"/>
    <col min="9" max="9" width="21.025" style="4" customWidth="1"/>
    <col min="10" max="10" width="65" style="4" customWidth="1"/>
    <col min="11" max="11" width="8.875" style="4" customWidth="1"/>
    <col min="12" max="12" width="5.125" style="4" customWidth="1"/>
    <col min="13" max="13" width="24.75" style="5" customWidth="1"/>
    <col min="14" max="14" width="19.2833333333333" style="4" customWidth="1"/>
    <col min="15" max="15" width="18.75" style="4" customWidth="1"/>
    <col min="16" max="19" width="9.81666666666667" style="4" customWidth="1"/>
    <col min="20" max="20" width="17.2166666666667" style="6" customWidth="1"/>
    <col min="21" max="22" width="19.5" style="7" customWidth="1"/>
    <col min="23" max="23" width="19.125" style="8" customWidth="1"/>
    <col min="24" max="24" width="12.875" style="2" customWidth="1"/>
    <col min="25" max="25" width="20.125" style="8" customWidth="1"/>
  </cols>
  <sheetData>
    <row r="1" s="1" customFormat="1" ht="41" customHeight="1" spans="1:25">
      <c r="A1" s="9"/>
      <c r="B1" s="10" t="s">
        <v>0</v>
      </c>
      <c r="C1" s="11" t="s">
        <v>1</v>
      </c>
      <c r="D1" s="6" t="s">
        <v>2</v>
      </c>
      <c r="E1" s="9"/>
      <c r="F1" s="9" t="s">
        <v>3</v>
      </c>
      <c r="G1" s="6" t="s">
        <v>4</v>
      </c>
      <c r="H1" s="12" t="s">
        <v>5</v>
      </c>
      <c r="I1" s="12" t="s">
        <v>6</v>
      </c>
      <c r="J1" s="11" t="s">
        <v>7</v>
      </c>
      <c r="K1" s="13" t="s">
        <v>8</v>
      </c>
      <c r="L1" s="13"/>
      <c r="M1" s="14" t="s">
        <v>9</v>
      </c>
      <c r="N1" s="15" t="s">
        <v>10</v>
      </c>
      <c r="O1" s="15" t="s">
        <v>11</v>
      </c>
      <c r="P1" s="16" t="s">
        <v>12</v>
      </c>
      <c r="Q1" s="17" t="s">
        <v>13</v>
      </c>
      <c r="R1" s="18" t="s">
        <v>14</v>
      </c>
      <c r="S1" s="19" t="s">
        <v>15</v>
      </c>
      <c r="T1" s="6" t="s">
        <v>16</v>
      </c>
      <c r="U1" s="6" t="s">
        <v>17</v>
      </c>
      <c r="V1" t="s">
        <v>18</v>
      </c>
      <c r="W1" s="20" t="s">
        <v>19</v>
      </c>
      <c r="X1" s="1" t="s">
        <v>20</v>
      </c>
      <c r="Y1" s="21" t="s">
        <v>21</v>
      </c>
    </row>
    <row r="2" s="1" customFormat="1" spans="1:25">
      <c r="A2" s="1" t="s">
        <v>22</v>
      </c>
      <c r="B2" s="4" t="s">
        <v>22</v>
      </c>
      <c r="C2" s="4"/>
      <c r="D2" s="22" t="s">
        <v>22</v>
      </c>
      <c r="E2" s="4"/>
      <c r="F2" s="4" t="s">
        <v>23</v>
      </c>
      <c r="G2" s="6" t="s">
        <v>24</v>
      </c>
      <c r="H2" s="4" t="s">
        <v>22</v>
      </c>
      <c r="I2" s="4" t="s">
        <v>22</v>
      </c>
      <c r="J2" s="4" t="s">
        <v>25</v>
      </c>
      <c r="K2" s="4" t="s">
        <v>22</v>
      </c>
      <c r="L2" s="4"/>
      <c r="M2" s="5" t="s">
        <v>23</v>
      </c>
      <c r="N2" s="4" t="s">
        <v>22</v>
      </c>
      <c r="O2" s="4" t="s">
        <v>22</v>
      </c>
      <c r="P2" s="4" t="s">
        <v>22</v>
      </c>
      <c r="Q2" s="4" t="s">
        <v>22</v>
      </c>
      <c r="R2" s="4" t="s">
        <v>22</v>
      </c>
      <c r="S2" s="4" t="s">
        <v>22</v>
      </c>
      <c r="T2" s="6" t="s">
        <v>22</v>
      </c>
      <c r="U2" s="6" t="s">
        <v>22</v>
      </c>
      <c r="V2" s="23" t="s">
        <v>26</v>
      </c>
      <c r="W2" s="24" t="s">
        <v>25</v>
      </c>
      <c r="X2" s="6" t="s">
        <v>22</v>
      </c>
      <c r="Y2" s="25" t="s">
        <v>27</v>
      </c>
    </row>
    <row r="3" s="1" customFormat="1" spans="1:25">
      <c r="A3" s="1" t="s">
        <v>28</v>
      </c>
      <c r="B3" s="4" t="s">
        <v>29</v>
      </c>
      <c r="C3" s="4"/>
      <c r="D3" s="6" t="s">
        <v>30</v>
      </c>
      <c r="E3" s="4"/>
      <c r="F3" s="4" t="s">
        <v>31</v>
      </c>
      <c r="G3" s="6" t="s">
        <v>32</v>
      </c>
      <c r="H3" s="4" t="s">
        <v>33</v>
      </c>
      <c r="I3" s="4" t="s">
        <v>34</v>
      </c>
      <c r="J3" s="4" t="s">
        <v>35</v>
      </c>
      <c r="K3" s="4" t="s">
        <v>36</v>
      </c>
      <c r="L3" s="4"/>
      <c r="M3" s="5" t="s">
        <v>37</v>
      </c>
      <c r="N3" s="4" t="s">
        <v>38</v>
      </c>
      <c r="O3" s="4" t="s">
        <v>39</v>
      </c>
      <c r="P3" s="4" t="s">
        <v>40</v>
      </c>
      <c r="Q3" s="4" t="s">
        <v>41</v>
      </c>
      <c r="R3" s="4" t="s">
        <v>42</v>
      </c>
      <c r="S3" s="4" t="s">
        <v>43</v>
      </c>
      <c r="T3" s="6" t="s">
        <v>44</v>
      </c>
      <c r="U3" s="6" t="s">
        <v>45</v>
      </c>
      <c r="V3" t="s">
        <v>46</v>
      </c>
      <c r="W3" s="20" t="s">
        <v>47</v>
      </c>
      <c r="X3" s="1" t="s">
        <v>48</v>
      </c>
      <c r="Y3" s="25" t="s">
        <v>49</v>
      </c>
    </row>
    <row r="4" s="1" customFormat="1" spans="1:25">
      <c r="B4" s="26"/>
      <c r="C4" s="27"/>
      <c r="D4" s="27"/>
      <c r="E4" s="26"/>
      <c r="F4" s="28"/>
      <c r="G4" s="6"/>
      <c r="H4" s="26"/>
      <c r="I4" s="26"/>
      <c r="J4" s="27"/>
      <c r="K4" s="27"/>
      <c r="L4" s="27"/>
      <c r="M4" s="29"/>
      <c r="N4" s="30"/>
      <c r="O4" s="30"/>
      <c r="P4" s="31"/>
      <c r="Q4" s="31"/>
      <c r="R4" s="31"/>
      <c r="S4" s="31"/>
      <c r="T4" s="6"/>
      <c r="U4" s="7"/>
      <c r="V4" s="7"/>
      <c r="W4" s="20"/>
      <c r="Y4" s="20"/>
    </row>
    <row r="5" spans="1:25">
      <c r="A5" s="4">
        <f t="shared" ref="A5:A34" si="0">B5*10+H5</f>
        <v>2001001</v>
      </c>
      <c r="B5" s="32">
        <v>200100</v>
      </c>
      <c r="C5" s="32" t="s">
        <v>50</v>
      </c>
      <c r="D5" s="32">
        <v>200100038</v>
      </c>
      <c r="E5" s="32" t="s">
        <v>51</v>
      </c>
      <c r="F5" s="59" t="s">
        <v>52</v>
      </c>
      <c r="G5" s="34" t="s">
        <v>53</v>
      </c>
      <c r="H5" s="32">
        <v>1</v>
      </c>
      <c r="I5" s="35">
        <v>1990000</v>
      </c>
      <c r="J5" s="36" t="s">
        <v>54</v>
      </c>
      <c r="K5" s="4">
        <v>1</v>
      </c>
      <c r="L5" s="4" t="s">
        <v>55</v>
      </c>
      <c r="M5" s="37" t="s">
        <v>56</v>
      </c>
      <c r="N5" s="4">
        <v>9500</v>
      </c>
      <c r="O5" s="4">
        <v>300</v>
      </c>
      <c r="P5" s="4">
        <v>180000</v>
      </c>
      <c r="Q5" s="4">
        <v>16000</v>
      </c>
      <c r="R5" s="4">
        <v>15000</v>
      </c>
      <c r="S5" s="38">
        <v>16008</v>
      </c>
      <c r="T5" s="6">
        <v>48</v>
      </c>
      <c r="U5" s="39">
        <v>0</v>
      </c>
      <c r="V5" t="s">
        <v>57</v>
      </c>
      <c r="W5" s="8" t="s">
        <v>58</v>
      </c>
      <c r="X5" s="2">
        <v>0</v>
      </c>
      <c r="Y5" s="8">
        <f>1000*100000</f>
        <v>100000000</v>
      </c>
    </row>
    <row r="6" spans="1:25">
      <c r="A6" s="4">
        <f t="shared" si="0"/>
        <v>2001002</v>
      </c>
      <c r="B6" s="40">
        <v>200100</v>
      </c>
      <c r="C6" s="40" t="s">
        <v>50</v>
      </c>
      <c r="D6" s="40">
        <v>200100038</v>
      </c>
      <c r="E6" s="40" t="s">
        <v>59</v>
      </c>
      <c r="F6" s="59" t="s">
        <v>52</v>
      </c>
      <c r="G6" s="34" t="s">
        <v>53</v>
      </c>
      <c r="H6" s="40">
        <v>2</v>
      </c>
      <c r="I6" s="35">
        <v>1990000</v>
      </c>
      <c r="J6" s="41" t="s">
        <v>60</v>
      </c>
      <c r="K6" s="4">
        <v>1</v>
      </c>
      <c r="L6" s="4" t="s">
        <v>55</v>
      </c>
      <c r="M6" s="37" t="s">
        <v>56</v>
      </c>
      <c r="N6" s="4">
        <v>9500</v>
      </c>
      <c r="O6" s="4">
        <v>300</v>
      </c>
      <c r="P6" s="4">
        <v>180000</v>
      </c>
      <c r="Q6" s="4">
        <v>16000</v>
      </c>
      <c r="R6" s="4">
        <v>15000</v>
      </c>
      <c r="S6" s="38">
        <v>16008</v>
      </c>
      <c r="T6" s="6">
        <v>48</v>
      </c>
      <c r="U6" s="39">
        <v>0</v>
      </c>
      <c r="V6" t="s">
        <v>61</v>
      </c>
      <c r="W6" s="8" t="s">
        <v>62</v>
      </c>
      <c r="X6" s="2">
        <v>0</v>
      </c>
      <c r="Y6" s="8">
        <f>1000000*1000</f>
        <v>1000000000</v>
      </c>
    </row>
    <row r="7" s="2" customFormat="1" spans="1:25">
      <c r="A7" s="4">
        <f t="shared" si="0"/>
        <v>2001003</v>
      </c>
      <c r="B7" s="32">
        <v>200100</v>
      </c>
      <c r="C7" s="32" t="s">
        <v>50</v>
      </c>
      <c r="D7" s="32">
        <v>200100038</v>
      </c>
      <c r="E7" s="32" t="s">
        <v>63</v>
      </c>
      <c r="F7" s="59" t="s">
        <v>52</v>
      </c>
      <c r="G7" s="34" t="s">
        <v>53</v>
      </c>
      <c r="H7" s="32">
        <v>3</v>
      </c>
      <c r="I7" s="35">
        <v>1990000</v>
      </c>
      <c r="J7" s="36" t="s">
        <v>64</v>
      </c>
      <c r="K7" s="4">
        <v>1</v>
      </c>
      <c r="L7" s="4" t="s">
        <v>55</v>
      </c>
      <c r="M7" s="37" t="s">
        <v>56</v>
      </c>
      <c r="N7" s="4">
        <v>9500</v>
      </c>
      <c r="O7" s="4">
        <v>300</v>
      </c>
      <c r="P7" s="4">
        <v>180000</v>
      </c>
      <c r="Q7" s="4">
        <v>16000</v>
      </c>
      <c r="R7" s="4">
        <v>15000</v>
      </c>
      <c r="S7" s="38">
        <v>16008</v>
      </c>
      <c r="T7" s="6">
        <v>48</v>
      </c>
      <c r="U7" s="39">
        <v>0</v>
      </c>
      <c r="V7" t="s">
        <v>65</v>
      </c>
      <c r="W7" s="8" t="s">
        <v>66</v>
      </c>
      <c r="X7" s="2">
        <v>0</v>
      </c>
      <c r="Y7" s="42">
        <f>10000000*1000</f>
        <v>10000000000</v>
      </c>
    </row>
    <row r="8" s="2" customFormat="1" spans="1:25">
      <c r="A8" s="4">
        <f t="shared" si="0"/>
        <v>2001011</v>
      </c>
      <c r="B8" s="32">
        <v>200101</v>
      </c>
      <c r="C8" s="32" t="s">
        <v>67</v>
      </c>
      <c r="D8" s="32">
        <v>200101001</v>
      </c>
      <c r="E8" s="43" t="s">
        <v>51</v>
      </c>
      <c r="F8" s="59" t="s">
        <v>52</v>
      </c>
      <c r="G8" s="34" t="s">
        <v>53</v>
      </c>
      <c r="H8" s="32">
        <v>1</v>
      </c>
      <c r="I8" s="35">
        <v>1990000</v>
      </c>
      <c r="J8" s="36" t="s">
        <v>54</v>
      </c>
      <c r="K8" s="4">
        <v>0</v>
      </c>
      <c r="L8" s="4" t="s">
        <v>68</v>
      </c>
      <c r="M8" s="37" t="s">
        <v>69</v>
      </c>
      <c r="N8" s="4">
        <v>9500</v>
      </c>
      <c r="O8" s="4">
        <v>300</v>
      </c>
      <c r="P8" s="4">
        <v>180000</v>
      </c>
      <c r="Q8" s="4">
        <v>16000</v>
      </c>
      <c r="R8" s="4">
        <v>15000</v>
      </c>
      <c r="S8" s="38">
        <v>16008</v>
      </c>
      <c r="T8" s="6">
        <v>48</v>
      </c>
      <c r="U8" s="39">
        <v>0</v>
      </c>
      <c r="V8" t="s">
        <v>57</v>
      </c>
      <c r="W8" s="8" t="s">
        <v>58</v>
      </c>
      <c r="X8" s="2">
        <v>0</v>
      </c>
      <c r="Y8" s="8">
        <f>1000*100000</f>
        <v>100000000</v>
      </c>
    </row>
    <row r="9" spans="1:25">
      <c r="A9" s="4">
        <f t="shared" si="0"/>
        <v>2001012</v>
      </c>
      <c r="B9" s="40">
        <v>200101</v>
      </c>
      <c r="C9" s="40" t="s">
        <v>67</v>
      </c>
      <c r="D9" s="40">
        <v>200101001</v>
      </c>
      <c r="E9" s="40" t="s">
        <v>59</v>
      </c>
      <c r="F9" s="59" t="s">
        <v>52</v>
      </c>
      <c r="G9" s="34" t="s">
        <v>53</v>
      </c>
      <c r="H9" s="40">
        <v>2</v>
      </c>
      <c r="I9" s="35">
        <v>1990000</v>
      </c>
      <c r="J9" s="41" t="s">
        <v>60</v>
      </c>
      <c r="K9" s="4">
        <v>0</v>
      </c>
      <c r="L9" s="4" t="s">
        <v>68</v>
      </c>
      <c r="M9" s="37" t="s">
        <v>69</v>
      </c>
      <c r="N9" s="4">
        <v>9500</v>
      </c>
      <c r="O9" s="4">
        <v>300</v>
      </c>
      <c r="P9" s="4">
        <v>180000</v>
      </c>
      <c r="Q9" s="4">
        <v>16000</v>
      </c>
      <c r="R9" s="4">
        <v>15000</v>
      </c>
      <c r="S9" s="38">
        <v>16008</v>
      </c>
      <c r="T9" s="6">
        <v>48</v>
      </c>
      <c r="U9" s="39">
        <v>0</v>
      </c>
      <c r="V9" t="s">
        <v>61</v>
      </c>
      <c r="W9" s="8" t="s">
        <v>62</v>
      </c>
      <c r="X9" s="2">
        <v>0</v>
      </c>
      <c r="Y9" s="8">
        <f>1000000*1000</f>
        <v>1000000000</v>
      </c>
    </row>
    <row r="10" spans="1:25">
      <c r="A10" s="4">
        <f t="shared" si="0"/>
        <v>2001013</v>
      </c>
      <c r="B10" s="32">
        <v>200101</v>
      </c>
      <c r="C10" s="32" t="s">
        <v>67</v>
      </c>
      <c r="D10" s="32">
        <v>200101001</v>
      </c>
      <c r="E10" s="32" t="s">
        <v>63</v>
      </c>
      <c r="F10" s="59" t="s">
        <v>52</v>
      </c>
      <c r="G10" s="34" t="s">
        <v>53</v>
      </c>
      <c r="H10" s="32">
        <v>3</v>
      </c>
      <c r="I10" s="35">
        <v>1990000</v>
      </c>
      <c r="J10" s="36" t="s">
        <v>64</v>
      </c>
      <c r="K10" s="4">
        <v>0</v>
      </c>
      <c r="L10" s="4" t="s">
        <v>68</v>
      </c>
      <c r="M10" s="37" t="s">
        <v>69</v>
      </c>
      <c r="N10" s="4">
        <v>9500</v>
      </c>
      <c r="O10" s="4">
        <v>300</v>
      </c>
      <c r="P10" s="4">
        <v>180000</v>
      </c>
      <c r="Q10" s="4">
        <v>16000</v>
      </c>
      <c r="R10" s="4">
        <v>15000</v>
      </c>
      <c r="S10" s="38">
        <v>16008</v>
      </c>
      <c r="T10" s="6">
        <v>48</v>
      </c>
      <c r="U10" s="39">
        <v>0</v>
      </c>
      <c r="V10" t="s">
        <v>65</v>
      </c>
      <c r="W10" s="8" t="s">
        <v>66</v>
      </c>
      <c r="X10" s="2">
        <v>0</v>
      </c>
      <c r="Y10" s="42">
        <f>10000000*1000</f>
        <v>10000000000</v>
      </c>
    </row>
    <row r="11" spans="1:25">
      <c r="A11" s="4">
        <f t="shared" si="0"/>
        <v>2003001</v>
      </c>
      <c r="B11" s="32">
        <v>200300</v>
      </c>
      <c r="C11" s="32" t="s">
        <v>70</v>
      </c>
      <c r="D11" s="32">
        <v>200300001</v>
      </c>
      <c r="E11" s="44" t="s">
        <v>51</v>
      </c>
      <c r="F11" s="59" t="s">
        <v>52</v>
      </c>
      <c r="G11" s="34" t="s">
        <v>53</v>
      </c>
      <c r="H11" s="32">
        <v>1</v>
      </c>
      <c r="I11" s="35">
        <v>1990000</v>
      </c>
      <c r="J11" s="36" t="s">
        <v>54</v>
      </c>
      <c r="K11" s="4">
        <v>0</v>
      </c>
      <c r="L11" s="4" t="s">
        <v>68</v>
      </c>
      <c r="M11" s="37" t="s">
        <v>71</v>
      </c>
      <c r="N11" s="4">
        <v>9500</v>
      </c>
      <c r="O11" s="4">
        <v>300</v>
      </c>
      <c r="P11" s="4">
        <v>180000</v>
      </c>
      <c r="Q11" s="4">
        <v>16000</v>
      </c>
      <c r="R11" s="4">
        <v>15000</v>
      </c>
      <c r="S11" s="38">
        <v>16008</v>
      </c>
      <c r="T11" s="6">
        <v>50</v>
      </c>
      <c r="U11" s="39">
        <v>0</v>
      </c>
      <c r="V11" t="s">
        <v>57</v>
      </c>
      <c r="W11" s="8" t="s">
        <v>58</v>
      </c>
      <c r="X11" s="2">
        <v>0</v>
      </c>
      <c r="Y11" s="8">
        <f>1000*100000</f>
        <v>100000000</v>
      </c>
    </row>
    <row r="12" s="2" customFormat="1" spans="1:25">
      <c r="A12" s="4">
        <f t="shared" si="0"/>
        <v>2003002</v>
      </c>
      <c r="B12" s="40">
        <v>200300</v>
      </c>
      <c r="C12" s="40" t="s">
        <v>70</v>
      </c>
      <c r="D12" s="40">
        <v>200300001</v>
      </c>
      <c r="E12" s="40" t="s">
        <v>59</v>
      </c>
      <c r="F12" s="59" t="s">
        <v>52</v>
      </c>
      <c r="G12" s="34" t="s">
        <v>53</v>
      </c>
      <c r="H12" s="40">
        <v>2</v>
      </c>
      <c r="I12" s="35">
        <v>1990000</v>
      </c>
      <c r="J12" s="41" t="s">
        <v>60</v>
      </c>
      <c r="K12" s="4">
        <v>0</v>
      </c>
      <c r="L12" s="4" t="s">
        <v>68</v>
      </c>
      <c r="M12" s="37" t="s">
        <v>71</v>
      </c>
      <c r="N12" s="4">
        <v>9500</v>
      </c>
      <c r="O12" s="4">
        <v>300</v>
      </c>
      <c r="P12" s="4">
        <v>180000</v>
      </c>
      <c r="Q12" s="4">
        <v>16000</v>
      </c>
      <c r="R12" s="4">
        <v>15000</v>
      </c>
      <c r="S12" s="38">
        <v>16008</v>
      </c>
      <c r="T12" s="6">
        <v>50</v>
      </c>
      <c r="U12" s="39">
        <v>0</v>
      </c>
      <c r="V12" t="s">
        <v>61</v>
      </c>
      <c r="W12" s="8" t="s">
        <v>62</v>
      </c>
      <c r="X12" s="2">
        <v>0</v>
      </c>
      <c r="Y12" s="8">
        <f>1000000*1000</f>
        <v>1000000000</v>
      </c>
    </row>
    <row r="13" spans="1:25">
      <c r="A13" s="4">
        <f t="shared" si="0"/>
        <v>2003003</v>
      </c>
      <c r="B13" s="32">
        <v>200300</v>
      </c>
      <c r="C13" s="32" t="s">
        <v>70</v>
      </c>
      <c r="D13" s="32">
        <v>200300001</v>
      </c>
      <c r="E13" s="32" t="s">
        <v>63</v>
      </c>
      <c r="F13" s="59" t="s">
        <v>52</v>
      </c>
      <c r="G13" s="34" t="s">
        <v>53</v>
      </c>
      <c r="H13" s="32">
        <v>3</v>
      </c>
      <c r="I13" s="35">
        <v>1990000</v>
      </c>
      <c r="J13" s="36" t="s">
        <v>64</v>
      </c>
      <c r="K13" s="4">
        <v>0</v>
      </c>
      <c r="L13" s="4" t="s">
        <v>68</v>
      </c>
      <c r="M13" s="37" t="s">
        <v>71</v>
      </c>
      <c r="N13" s="4">
        <v>9500</v>
      </c>
      <c r="O13" s="4">
        <v>300</v>
      </c>
      <c r="P13" s="4">
        <v>180000</v>
      </c>
      <c r="Q13" s="4">
        <v>16000</v>
      </c>
      <c r="R13" s="4">
        <v>15000</v>
      </c>
      <c r="S13" s="38">
        <v>16008</v>
      </c>
      <c r="T13" s="6">
        <v>50</v>
      </c>
      <c r="U13" s="39">
        <v>0</v>
      </c>
      <c r="V13" t="s">
        <v>65</v>
      </c>
      <c r="W13" s="8" t="s">
        <v>66</v>
      </c>
      <c r="X13" s="2">
        <v>0</v>
      </c>
      <c r="Y13" s="42">
        <f>10000000*1000</f>
        <v>10000000000</v>
      </c>
    </row>
    <row r="14" spans="1:25">
      <c r="A14" s="4">
        <f t="shared" si="0"/>
        <v>2004001</v>
      </c>
      <c r="B14" s="32">
        <v>200400</v>
      </c>
      <c r="C14" s="32" t="s">
        <v>72</v>
      </c>
      <c r="D14" s="32">
        <v>200400009</v>
      </c>
      <c r="E14" s="43" t="s">
        <v>51</v>
      </c>
      <c r="F14" s="59" t="s">
        <v>52</v>
      </c>
      <c r="G14" s="34" t="s">
        <v>53</v>
      </c>
      <c r="H14" s="32">
        <v>1</v>
      </c>
      <c r="I14" s="35">
        <v>1990000</v>
      </c>
      <c r="J14" s="36" t="s">
        <v>54</v>
      </c>
      <c r="K14" s="4">
        <v>0</v>
      </c>
      <c r="L14" s="4" t="s">
        <v>68</v>
      </c>
      <c r="M14" s="37" t="s">
        <v>73</v>
      </c>
      <c r="N14" s="4">
        <v>9500</v>
      </c>
      <c r="O14" s="4">
        <v>300</v>
      </c>
      <c r="P14" s="4">
        <v>180000</v>
      </c>
      <c r="Q14" s="4">
        <v>16000</v>
      </c>
      <c r="R14" s="4">
        <v>15000</v>
      </c>
      <c r="S14" s="38">
        <v>16008</v>
      </c>
      <c r="T14" s="6">
        <v>50</v>
      </c>
      <c r="U14" s="39">
        <v>0</v>
      </c>
      <c r="V14" t="s">
        <v>57</v>
      </c>
      <c r="W14" s="8" t="s">
        <v>58</v>
      </c>
      <c r="X14" s="2">
        <v>0</v>
      </c>
      <c r="Y14" s="8">
        <f>1000*100000</f>
        <v>100000000</v>
      </c>
    </row>
    <row r="15" spans="1:25">
      <c r="A15" s="4">
        <f t="shared" si="0"/>
        <v>2004002</v>
      </c>
      <c r="B15" s="40">
        <v>200400</v>
      </c>
      <c r="C15" s="40" t="s">
        <v>72</v>
      </c>
      <c r="D15" s="40">
        <v>200400009</v>
      </c>
      <c r="E15" s="40" t="s">
        <v>59</v>
      </c>
      <c r="F15" s="59" t="s">
        <v>52</v>
      </c>
      <c r="G15" s="34" t="s">
        <v>53</v>
      </c>
      <c r="H15" s="40">
        <v>2</v>
      </c>
      <c r="I15" s="35">
        <v>1990000</v>
      </c>
      <c r="J15" s="41" t="s">
        <v>60</v>
      </c>
      <c r="K15" s="4">
        <v>0</v>
      </c>
      <c r="L15" s="4" t="s">
        <v>68</v>
      </c>
      <c r="M15" s="37" t="s">
        <v>73</v>
      </c>
      <c r="N15" s="4">
        <v>9500</v>
      </c>
      <c r="O15" s="4">
        <v>300</v>
      </c>
      <c r="P15" s="4">
        <v>180000</v>
      </c>
      <c r="Q15" s="4">
        <v>16000</v>
      </c>
      <c r="R15" s="4">
        <v>15000</v>
      </c>
      <c r="S15" s="38">
        <v>16008</v>
      </c>
      <c r="T15" s="6">
        <v>50</v>
      </c>
      <c r="U15" s="39">
        <v>0</v>
      </c>
      <c r="V15" t="s">
        <v>61</v>
      </c>
      <c r="W15" s="8" t="s">
        <v>62</v>
      </c>
      <c r="X15" s="2">
        <v>0</v>
      </c>
      <c r="Y15" s="8">
        <f>1000000*1000</f>
        <v>1000000000</v>
      </c>
    </row>
    <row r="16" s="2" customFormat="1" spans="1:25">
      <c r="A16" s="4">
        <f t="shared" si="0"/>
        <v>2004003</v>
      </c>
      <c r="B16" s="32">
        <v>200400</v>
      </c>
      <c r="C16" s="32" t="s">
        <v>72</v>
      </c>
      <c r="D16" s="32">
        <v>200400009</v>
      </c>
      <c r="E16" s="32" t="s">
        <v>63</v>
      </c>
      <c r="F16" s="59" t="s">
        <v>52</v>
      </c>
      <c r="G16" s="34" t="s">
        <v>53</v>
      </c>
      <c r="H16" s="32">
        <v>3</v>
      </c>
      <c r="I16" s="35">
        <v>1990000</v>
      </c>
      <c r="J16" s="36" t="s">
        <v>64</v>
      </c>
      <c r="K16" s="4">
        <v>0</v>
      </c>
      <c r="L16" s="4" t="s">
        <v>68</v>
      </c>
      <c r="M16" s="37" t="s">
        <v>73</v>
      </c>
      <c r="N16" s="4">
        <v>9500</v>
      </c>
      <c r="O16" s="4">
        <v>300</v>
      </c>
      <c r="P16" s="4">
        <v>180000</v>
      </c>
      <c r="Q16" s="4">
        <v>16000</v>
      </c>
      <c r="R16" s="4">
        <v>15000</v>
      </c>
      <c r="S16" s="38">
        <v>16008</v>
      </c>
      <c r="T16" s="6">
        <v>50</v>
      </c>
      <c r="U16" s="39">
        <v>0</v>
      </c>
      <c r="V16" t="s">
        <v>65</v>
      </c>
      <c r="W16" s="8" t="s">
        <v>66</v>
      </c>
      <c r="X16" s="2">
        <v>0</v>
      </c>
      <c r="Y16" s="42">
        <f>10000000*1000</f>
        <v>10000000000</v>
      </c>
    </row>
    <row r="17" s="2" customFormat="1" spans="1:25">
      <c r="A17" s="4">
        <f t="shared" si="0"/>
        <v>2005001</v>
      </c>
      <c r="B17" s="32">
        <v>200500</v>
      </c>
      <c r="C17" s="32" t="s">
        <v>74</v>
      </c>
      <c r="D17" s="32">
        <v>200500025</v>
      </c>
      <c r="E17" s="32" t="s">
        <v>51</v>
      </c>
      <c r="F17" s="59" t="s">
        <v>52</v>
      </c>
      <c r="G17" s="34" t="s">
        <v>53</v>
      </c>
      <c r="H17" s="32">
        <v>1</v>
      </c>
      <c r="I17" s="35">
        <v>1990000</v>
      </c>
      <c r="J17" s="36" t="s">
        <v>54</v>
      </c>
      <c r="K17" s="4">
        <v>1</v>
      </c>
      <c r="L17" s="4" t="s">
        <v>55</v>
      </c>
      <c r="M17" s="37" t="s">
        <v>75</v>
      </c>
      <c r="N17" s="4">
        <v>9500</v>
      </c>
      <c r="O17" s="4">
        <v>300</v>
      </c>
      <c r="P17" s="4">
        <v>180000</v>
      </c>
      <c r="Q17" s="4">
        <v>16000</v>
      </c>
      <c r="R17" s="4">
        <v>15000</v>
      </c>
      <c r="S17" s="38">
        <v>16008</v>
      </c>
      <c r="T17" s="6">
        <v>48</v>
      </c>
      <c r="U17" s="39">
        <v>0</v>
      </c>
      <c r="V17" t="s">
        <v>57</v>
      </c>
      <c r="W17" s="8" t="s">
        <v>58</v>
      </c>
      <c r="X17" s="2">
        <v>0</v>
      </c>
      <c r="Y17" s="8">
        <f>1000*100000</f>
        <v>100000000</v>
      </c>
    </row>
    <row r="18" spans="1:25">
      <c r="A18" s="4">
        <f t="shared" si="0"/>
        <v>2005002</v>
      </c>
      <c r="B18" s="40">
        <v>200500</v>
      </c>
      <c r="C18" s="40" t="s">
        <v>74</v>
      </c>
      <c r="D18" s="40">
        <v>200500025</v>
      </c>
      <c r="E18" s="40" t="s">
        <v>59</v>
      </c>
      <c r="F18" s="59" t="s">
        <v>52</v>
      </c>
      <c r="G18" s="34" t="s">
        <v>53</v>
      </c>
      <c r="H18" s="40">
        <v>2</v>
      </c>
      <c r="I18" s="35">
        <v>1990000</v>
      </c>
      <c r="J18" s="41" t="s">
        <v>60</v>
      </c>
      <c r="K18" s="4">
        <v>1</v>
      </c>
      <c r="L18" s="4" t="s">
        <v>55</v>
      </c>
      <c r="M18" s="37" t="s">
        <v>75</v>
      </c>
      <c r="N18" s="4">
        <v>9500</v>
      </c>
      <c r="O18" s="4">
        <v>300</v>
      </c>
      <c r="P18" s="4">
        <v>180000</v>
      </c>
      <c r="Q18" s="4">
        <v>16000</v>
      </c>
      <c r="R18" s="4">
        <v>15000</v>
      </c>
      <c r="S18" s="38">
        <v>16008</v>
      </c>
      <c r="T18" s="6">
        <v>48</v>
      </c>
      <c r="U18" s="39">
        <v>0</v>
      </c>
      <c r="V18" t="s">
        <v>61</v>
      </c>
      <c r="W18" s="8" t="s">
        <v>62</v>
      </c>
      <c r="X18" s="2">
        <v>0</v>
      </c>
      <c r="Y18" s="8">
        <f>1000000*1000</f>
        <v>1000000000</v>
      </c>
    </row>
    <row r="19" spans="1:25">
      <c r="A19" s="4">
        <f t="shared" si="0"/>
        <v>2005003</v>
      </c>
      <c r="B19" s="32">
        <v>200500</v>
      </c>
      <c r="C19" s="32" t="s">
        <v>74</v>
      </c>
      <c r="D19" s="32">
        <v>200500025</v>
      </c>
      <c r="E19" s="32" t="s">
        <v>63</v>
      </c>
      <c r="F19" s="59" t="s">
        <v>52</v>
      </c>
      <c r="G19" s="34" t="s">
        <v>53</v>
      </c>
      <c r="H19" s="32">
        <v>3</v>
      </c>
      <c r="I19" s="35">
        <v>1990000</v>
      </c>
      <c r="J19" s="36" t="s">
        <v>64</v>
      </c>
      <c r="K19" s="4">
        <v>1</v>
      </c>
      <c r="L19" s="4" t="s">
        <v>55</v>
      </c>
      <c r="M19" s="37" t="s">
        <v>75</v>
      </c>
      <c r="N19" s="4">
        <v>9500</v>
      </c>
      <c r="O19" s="4">
        <v>300</v>
      </c>
      <c r="P19" s="4">
        <v>180000</v>
      </c>
      <c r="Q19" s="4">
        <v>16000</v>
      </c>
      <c r="R19" s="4">
        <v>15000</v>
      </c>
      <c r="S19" s="38">
        <v>16008</v>
      </c>
      <c r="T19" s="6">
        <v>48</v>
      </c>
      <c r="U19" s="39">
        <v>0</v>
      </c>
      <c r="V19" t="s">
        <v>65</v>
      </c>
      <c r="W19" s="8" t="s">
        <v>66</v>
      </c>
      <c r="X19" s="2">
        <v>0</v>
      </c>
      <c r="Y19" s="42">
        <f>10000000*1000</f>
        <v>10000000000</v>
      </c>
    </row>
    <row r="20" spans="1:25">
      <c r="A20" s="4">
        <f t="shared" si="0"/>
        <v>2006001</v>
      </c>
      <c r="B20" s="32">
        <v>200600</v>
      </c>
      <c r="C20" s="32" t="s">
        <v>76</v>
      </c>
      <c r="D20" s="32">
        <v>200600001</v>
      </c>
      <c r="E20" s="44" t="s">
        <v>51</v>
      </c>
      <c r="F20" s="59" t="s">
        <v>52</v>
      </c>
      <c r="G20" s="34" t="s">
        <v>53</v>
      </c>
      <c r="H20" s="32">
        <v>1</v>
      </c>
      <c r="I20" s="35">
        <v>1990000</v>
      </c>
      <c r="J20" s="36" t="s">
        <v>54</v>
      </c>
      <c r="K20" s="4">
        <v>0</v>
      </c>
      <c r="L20" s="4" t="s">
        <v>68</v>
      </c>
      <c r="M20" s="37" t="s">
        <v>77</v>
      </c>
      <c r="N20" s="4">
        <v>9500</v>
      </c>
      <c r="O20" s="4">
        <v>300</v>
      </c>
      <c r="P20" s="4">
        <v>180000</v>
      </c>
      <c r="Q20" s="4">
        <v>16000</v>
      </c>
      <c r="R20" s="4">
        <v>15000</v>
      </c>
      <c r="S20" s="38">
        <v>16008</v>
      </c>
      <c r="T20" s="6">
        <v>20</v>
      </c>
      <c r="U20" s="39">
        <v>0</v>
      </c>
      <c r="V20" t="s">
        <v>57</v>
      </c>
      <c r="W20" s="8" t="s">
        <v>58</v>
      </c>
      <c r="X20" s="2">
        <v>0</v>
      </c>
      <c r="Y20" s="8">
        <f>1000*100000</f>
        <v>100000000</v>
      </c>
    </row>
    <row r="21" s="2" customFormat="1" spans="1:25">
      <c r="A21" s="4">
        <f t="shared" si="0"/>
        <v>2006002</v>
      </c>
      <c r="B21" s="40">
        <v>200600</v>
      </c>
      <c r="C21" s="40" t="s">
        <v>76</v>
      </c>
      <c r="D21" s="40">
        <v>200600001</v>
      </c>
      <c r="E21" s="40" t="s">
        <v>59</v>
      </c>
      <c r="F21" s="59" t="s">
        <v>52</v>
      </c>
      <c r="G21" s="34" t="s">
        <v>53</v>
      </c>
      <c r="H21" s="40">
        <v>2</v>
      </c>
      <c r="I21" s="35">
        <v>1990000</v>
      </c>
      <c r="J21" s="41" t="s">
        <v>60</v>
      </c>
      <c r="K21" s="4">
        <v>0</v>
      </c>
      <c r="L21" s="4" t="s">
        <v>68</v>
      </c>
      <c r="M21" s="37" t="s">
        <v>77</v>
      </c>
      <c r="N21" s="4">
        <v>9500</v>
      </c>
      <c r="O21" s="4">
        <v>300</v>
      </c>
      <c r="P21" s="4">
        <v>180000</v>
      </c>
      <c r="Q21" s="4">
        <v>16000</v>
      </c>
      <c r="R21" s="4">
        <v>15000</v>
      </c>
      <c r="S21" s="38">
        <v>16008</v>
      </c>
      <c r="T21" s="6">
        <v>20</v>
      </c>
      <c r="U21" s="39">
        <v>0</v>
      </c>
      <c r="V21" t="s">
        <v>61</v>
      </c>
      <c r="W21" s="8" t="s">
        <v>62</v>
      </c>
      <c r="X21" s="2">
        <v>0</v>
      </c>
      <c r="Y21" s="8">
        <f>1000000*1000</f>
        <v>1000000000</v>
      </c>
    </row>
    <row r="22" spans="1:25">
      <c r="A22" s="4">
        <f t="shared" si="0"/>
        <v>2006003</v>
      </c>
      <c r="B22" s="32">
        <v>200600</v>
      </c>
      <c r="C22" s="32" t="s">
        <v>76</v>
      </c>
      <c r="D22" s="32">
        <v>200600001</v>
      </c>
      <c r="E22" s="32" t="s">
        <v>63</v>
      </c>
      <c r="F22" s="59" t="s">
        <v>52</v>
      </c>
      <c r="G22" s="34" t="s">
        <v>53</v>
      </c>
      <c r="H22" s="32">
        <v>3</v>
      </c>
      <c r="I22" s="35">
        <v>1990000</v>
      </c>
      <c r="J22" s="36" t="s">
        <v>64</v>
      </c>
      <c r="K22" s="4">
        <v>0</v>
      </c>
      <c r="L22" s="4" t="s">
        <v>68</v>
      </c>
      <c r="M22" s="37" t="s">
        <v>77</v>
      </c>
      <c r="N22" s="4">
        <v>9500</v>
      </c>
      <c r="O22" s="4">
        <v>300</v>
      </c>
      <c r="P22" s="4">
        <v>180000</v>
      </c>
      <c r="Q22" s="4">
        <v>16000</v>
      </c>
      <c r="R22" s="4">
        <v>15000</v>
      </c>
      <c r="S22" s="38">
        <v>16008</v>
      </c>
      <c r="T22" s="6">
        <v>20</v>
      </c>
      <c r="U22" s="39">
        <v>0</v>
      </c>
      <c r="V22" t="s">
        <v>65</v>
      </c>
      <c r="W22" s="8" t="s">
        <v>66</v>
      </c>
      <c r="X22" s="2">
        <v>0</v>
      </c>
      <c r="Y22" s="42">
        <f>10000000*1000</f>
        <v>10000000000</v>
      </c>
    </row>
    <row r="23" spans="1:25">
      <c r="A23" s="4">
        <f t="shared" si="0"/>
        <v>2007001</v>
      </c>
      <c r="B23" s="32">
        <v>200700</v>
      </c>
      <c r="C23" s="32" t="s">
        <v>78</v>
      </c>
      <c r="D23" s="32">
        <v>200700001</v>
      </c>
      <c r="E23" s="32" t="s">
        <v>51</v>
      </c>
      <c r="F23" s="59" t="s">
        <v>52</v>
      </c>
      <c r="G23" s="34" t="s">
        <v>53</v>
      </c>
      <c r="H23" s="32">
        <v>1</v>
      </c>
      <c r="I23" s="35">
        <v>1990000</v>
      </c>
      <c r="J23" s="36" t="s">
        <v>54</v>
      </c>
      <c r="K23" s="4">
        <v>1</v>
      </c>
      <c r="L23" s="4" t="s">
        <v>68</v>
      </c>
      <c r="M23" s="37" t="s">
        <v>79</v>
      </c>
      <c r="N23" s="4">
        <v>9500</v>
      </c>
      <c r="O23" s="4">
        <v>0</v>
      </c>
      <c r="P23" s="4">
        <v>180000</v>
      </c>
      <c r="Q23" s="4">
        <v>16000</v>
      </c>
      <c r="R23" s="4">
        <v>15000</v>
      </c>
      <c r="S23" s="38">
        <v>16008</v>
      </c>
      <c r="T23" s="6">
        <v>30</v>
      </c>
      <c r="U23" s="39">
        <v>1</v>
      </c>
      <c r="V23" t="s">
        <v>57</v>
      </c>
      <c r="W23" s="8" t="s">
        <v>58</v>
      </c>
      <c r="X23" s="2">
        <v>0</v>
      </c>
      <c r="Y23" s="8">
        <f>1000*100000</f>
        <v>100000000</v>
      </c>
    </row>
    <row r="24" spans="1:25">
      <c r="A24" s="4">
        <f t="shared" si="0"/>
        <v>2007002</v>
      </c>
      <c r="B24" s="40">
        <v>200700</v>
      </c>
      <c r="C24" s="40" t="s">
        <v>78</v>
      </c>
      <c r="D24" s="40">
        <v>200700001</v>
      </c>
      <c r="E24" s="40" t="s">
        <v>59</v>
      </c>
      <c r="F24" s="59" t="s">
        <v>52</v>
      </c>
      <c r="G24" s="34" t="s">
        <v>53</v>
      </c>
      <c r="H24" s="40">
        <v>2</v>
      </c>
      <c r="I24" s="35">
        <v>1990000</v>
      </c>
      <c r="J24" s="41" t="s">
        <v>60</v>
      </c>
      <c r="K24" s="4">
        <v>1</v>
      </c>
      <c r="L24" s="4" t="s">
        <v>68</v>
      </c>
      <c r="M24" s="37" t="s">
        <v>79</v>
      </c>
      <c r="N24" s="4">
        <v>9500</v>
      </c>
      <c r="O24" s="4">
        <v>0</v>
      </c>
      <c r="P24" s="4">
        <v>180000</v>
      </c>
      <c r="Q24" s="4">
        <v>16000</v>
      </c>
      <c r="R24" s="4">
        <v>15000</v>
      </c>
      <c r="S24" s="38">
        <v>16008</v>
      </c>
      <c r="T24" s="6">
        <v>30</v>
      </c>
      <c r="U24" s="39">
        <v>1</v>
      </c>
      <c r="V24" t="s">
        <v>61</v>
      </c>
      <c r="W24" s="8" t="s">
        <v>62</v>
      </c>
      <c r="X24" s="2">
        <v>0</v>
      </c>
      <c r="Y24" s="8">
        <f>1000000*1000</f>
        <v>1000000000</v>
      </c>
    </row>
    <row r="25" s="2" customFormat="1" spans="1:25">
      <c r="A25" s="4">
        <f t="shared" si="0"/>
        <v>2007003</v>
      </c>
      <c r="B25" s="32">
        <v>200700</v>
      </c>
      <c r="C25" s="32" t="s">
        <v>78</v>
      </c>
      <c r="D25" s="32">
        <v>200700001</v>
      </c>
      <c r="E25" s="32" t="s">
        <v>63</v>
      </c>
      <c r="F25" s="59" t="s">
        <v>52</v>
      </c>
      <c r="G25" s="34" t="s">
        <v>53</v>
      </c>
      <c r="H25" s="32">
        <v>3</v>
      </c>
      <c r="I25" s="35">
        <v>1990000</v>
      </c>
      <c r="J25" s="36" t="s">
        <v>64</v>
      </c>
      <c r="K25" s="4">
        <v>1</v>
      </c>
      <c r="L25" s="4" t="s">
        <v>68</v>
      </c>
      <c r="M25" s="37" t="s">
        <v>79</v>
      </c>
      <c r="N25" s="4">
        <v>9500</v>
      </c>
      <c r="O25" s="4">
        <v>0</v>
      </c>
      <c r="P25" s="4">
        <v>180000</v>
      </c>
      <c r="Q25" s="4">
        <v>16000</v>
      </c>
      <c r="R25" s="4">
        <v>15000</v>
      </c>
      <c r="S25" s="38">
        <v>16008</v>
      </c>
      <c r="T25" s="6">
        <v>30</v>
      </c>
      <c r="U25" s="39">
        <v>1</v>
      </c>
      <c r="V25" t="s">
        <v>65</v>
      </c>
      <c r="W25" s="8" t="s">
        <v>66</v>
      </c>
      <c r="X25" s="2">
        <v>0</v>
      </c>
      <c r="Y25" s="42">
        <f>10000000*1000</f>
        <v>10000000000</v>
      </c>
    </row>
    <row r="26" s="2" customFormat="1" spans="1:25">
      <c r="A26" s="4">
        <f t="shared" si="0"/>
        <v>2008001</v>
      </c>
      <c r="B26" s="32">
        <v>200800</v>
      </c>
      <c r="C26" s="32" t="s">
        <v>80</v>
      </c>
      <c r="D26" s="32">
        <v>200800001</v>
      </c>
      <c r="E26" s="44" t="s">
        <v>51</v>
      </c>
      <c r="F26" s="59" t="s">
        <v>52</v>
      </c>
      <c r="G26" s="34" t="s">
        <v>53</v>
      </c>
      <c r="H26" s="32">
        <v>1</v>
      </c>
      <c r="I26" s="35">
        <v>1990000</v>
      </c>
      <c r="J26" s="36" t="s">
        <v>54</v>
      </c>
      <c r="K26" s="4">
        <v>0</v>
      </c>
      <c r="L26" s="4" t="s">
        <v>68</v>
      </c>
      <c r="M26" s="37" t="s">
        <v>81</v>
      </c>
      <c r="N26" s="4">
        <v>9500</v>
      </c>
      <c r="O26" s="4">
        <v>300</v>
      </c>
      <c r="P26" s="4">
        <v>180000</v>
      </c>
      <c r="Q26" s="4">
        <v>16000</v>
      </c>
      <c r="R26" s="4">
        <v>15000</v>
      </c>
      <c r="S26" s="38">
        <v>16008</v>
      </c>
      <c r="T26" s="6">
        <v>20</v>
      </c>
      <c r="U26" s="39">
        <v>0</v>
      </c>
      <c r="V26" t="s">
        <v>57</v>
      </c>
      <c r="W26" s="8" t="s">
        <v>58</v>
      </c>
      <c r="X26" s="2">
        <v>0</v>
      </c>
      <c r="Y26" s="8">
        <f>1000*100000</f>
        <v>100000000</v>
      </c>
    </row>
    <row r="27" s="2" customFormat="1" spans="1:25">
      <c r="A27" s="4">
        <f t="shared" si="0"/>
        <v>2008002</v>
      </c>
      <c r="B27" s="32">
        <v>200800</v>
      </c>
      <c r="C27" s="32" t="s">
        <v>80</v>
      </c>
      <c r="D27" s="32">
        <v>200800001</v>
      </c>
      <c r="E27" s="40" t="s">
        <v>59</v>
      </c>
      <c r="F27" s="59" t="s">
        <v>52</v>
      </c>
      <c r="G27" s="34" t="s">
        <v>53</v>
      </c>
      <c r="H27" s="40">
        <v>2</v>
      </c>
      <c r="I27" s="35">
        <v>1990000</v>
      </c>
      <c r="J27" s="41" t="s">
        <v>60</v>
      </c>
      <c r="K27" s="4">
        <v>0</v>
      </c>
      <c r="L27" s="4" t="s">
        <v>68</v>
      </c>
      <c r="M27" s="37" t="s">
        <v>81</v>
      </c>
      <c r="N27" s="4">
        <v>9500</v>
      </c>
      <c r="O27" s="4">
        <v>300</v>
      </c>
      <c r="P27" s="4">
        <v>180000</v>
      </c>
      <c r="Q27" s="4">
        <v>16000</v>
      </c>
      <c r="R27" s="4">
        <v>15000</v>
      </c>
      <c r="S27" s="38">
        <v>16008</v>
      </c>
      <c r="T27" s="6">
        <v>20</v>
      </c>
      <c r="U27" s="39">
        <v>0</v>
      </c>
      <c r="V27" t="s">
        <v>61</v>
      </c>
      <c r="W27" s="8" t="s">
        <v>62</v>
      </c>
      <c r="X27" s="2">
        <v>0</v>
      </c>
      <c r="Y27" s="8">
        <f>1000000*1000</f>
        <v>1000000000</v>
      </c>
    </row>
    <row r="28" s="2" customFormat="1" spans="1:25">
      <c r="A28" s="4">
        <f t="shared" si="0"/>
        <v>2008003</v>
      </c>
      <c r="B28" s="32">
        <v>200800</v>
      </c>
      <c r="C28" s="32" t="s">
        <v>80</v>
      </c>
      <c r="D28" s="32">
        <v>200800001</v>
      </c>
      <c r="E28" s="32" t="s">
        <v>63</v>
      </c>
      <c r="F28" s="59" t="s">
        <v>52</v>
      </c>
      <c r="G28" s="34" t="s">
        <v>53</v>
      </c>
      <c r="H28" s="32">
        <v>3</v>
      </c>
      <c r="I28" s="35">
        <v>1990000</v>
      </c>
      <c r="J28" s="36" t="s">
        <v>64</v>
      </c>
      <c r="K28" s="4">
        <v>0</v>
      </c>
      <c r="L28" s="4" t="s">
        <v>68</v>
      </c>
      <c r="M28" s="37" t="s">
        <v>81</v>
      </c>
      <c r="N28" s="4">
        <v>9500</v>
      </c>
      <c r="O28" s="4">
        <v>300</v>
      </c>
      <c r="P28" s="4">
        <v>180000</v>
      </c>
      <c r="Q28" s="4">
        <v>16000</v>
      </c>
      <c r="R28" s="4">
        <v>15000</v>
      </c>
      <c r="S28" s="38">
        <v>16008</v>
      </c>
      <c r="T28" s="6">
        <v>20</v>
      </c>
      <c r="U28" s="39">
        <v>0</v>
      </c>
      <c r="V28" t="s">
        <v>65</v>
      </c>
      <c r="W28" s="8" t="s">
        <v>66</v>
      </c>
      <c r="X28" s="2">
        <v>0</v>
      </c>
      <c r="Y28" s="42">
        <f>10000000*1000</f>
        <v>10000000000</v>
      </c>
    </row>
    <row r="29" s="2" customFormat="1" spans="1:25">
      <c r="A29" s="4">
        <f t="shared" si="0"/>
        <v>2009001</v>
      </c>
      <c r="B29" s="45">
        <v>200900</v>
      </c>
      <c r="C29" s="32" t="s">
        <v>82</v>
      </c>
      <c r="D29" s="32">
        <v>200900001</v>
      </c>
      <c r="E29" s="43" t="s">
        <v>51</v>
      </c>
      <c r="F29" s="59" t="s">
        <v>52</v>
      </c>
      <c r="G29" s="34" t="s">
        <v>53</v>
      </c>
      <c r="H29" s="32">
        <v>1</v>
      </c>
      <c r="I29" s="35">
        <v>1990000</v>
      </c>
      <c r="J29" s="36" t="s">
        <v>54</v>
      </c>
      <c r="K29" s="46">
        <v>0</v>
      </c>
      <c r="L29" s="4" t="s">
        <v>68</v>
      </c>
      <c r="M29" s="37" t="s">
        <v>81</v>
      </c>
      <c r="N29" s="4">
        <v>9500</v>
      </c>
      <c r="O29" s="4">
        <v>300</v>
      </c>
      <c r="P29" s="4">
        <v>180000</v>
      </c>
      <c r="Q29" s="4">
        <v>16000</v>
      </c>
      <c r="R29" s="4">
        <v>15000</v>
      </c>
      <c r="S29" s="38">
        <v>16008</v>
      </c>
      <c r="T29" s="6">
        <v>20</v>
      </c>
      <c r="U29" s="39">
        <v>0</v>
      </c>
      <c r="V29" t="s">
        <v>57</v>
      </c>
      <c r="W29" s="8" t="s">
        <v>58</v>
      </c>
      <c r="X29" s="2">
        <v>0</v>
      </c>
      <c r="Y29" s="8">
        <f>1000*100000</f>
        <v>100000000</v>
      </c>
    </row>
    <row r="30" spans="1:25">
      <c r="A30" s="4">
        <f t="shared" si="0"/>
        <v>2009002</v>
      </c>
      <c r="B30" s="47">
        <v>200900</v>
      </c>
      <c r="C30" s="40" t="s">
        <v>82</v>
      </c>
      <c r="D30" s="40">
        <v>200900001</v>
      </c>
      <c r="E30" s="40" t="s">
        <v>59</v>
      </c>
      <c r="F30" s="59" t="s">
        <v>52</v>
      </c>
      <c r="G30" s="34" t="s">
        <v>53</v>
      </c>
      <c r="H30" s="40">
        <v>2</v>
      </c>
      <c r="I30" s="35">
        <v>1990000</v>
      </c>
      <c r="J30" s="41" t="s">
        <v>60</v>
      </c>
      <c r="K30" s="46">
        <v>0</v>
      </c>
      <c r="L30" s="4" t="s">
        <v>68</v>
      </c>
      <c r="M30" s="37" t="s">
        <v>81</v>
      </c>
      <c r="N30" s="4">
        <v>9500</v>
      </c>
      <c r="O30" s="4">
        <v>300</v>
      </c>
      <c r="P30" s="4">
        <v>180000</v>
      </c>
      <c r="Q30" s="4">
        <v>16000</v>
      </c>
      <c r="R30" s="4">
        <v>15000</v>
      </c>
      <c r="S30" s="38">
        <v>16008</v>
      </c>
      <c r="T30" s="6">
        <v>20</v>
      </c>
      <c r="U30" s="39">
        <v>0</v>
      </c>
      <c r="V30" t="s">
        <v>61</v>
      </c>
      <c r="W30" s="8" t="s">
        <v>62</v>
      </c>
      <c r="X30" s="2">
        <v>0</v>
      </c>
      <c r="Y30" s="8">
        <f>1000000*1000</f>
        <v>1000000000</v>
      </c>
    </row>
    <row r="31" spans="1:25">
      <c r="A31" s="4">
        <f t="shared" si="0"/>
        <v>2009003</v>
      </c>
      <c r="B31" s="48">
        <v>200900</v>
      </c>
      <c r="C31" s="49" t="s">
        <v>82</v>
      </c>
      <c r="D31" s="49">
        <v>200900001</v>
      </c>
      <c r="E31" s="49" t="s">
        <v>63</v>
      </c>
      <c r="F31" s="59" t="s">
        <v>52</v>
      </c>
      <c r="G31" s="34" t="s">
        <v>53</v>
      </c>
      <c r="H31" s="32">
        <v>3</v>
      </c>
      <c r="I31" s="35">
        <v>1990000</v>
      </c>
      <c r="J31" s="36" t="s">
        <v>64</v>
      </c>
      <c r="K31" s="46">
        <v>0</v>
      </c>
      <c r="L31" s="4" t="s">
        <v>68</v>
      </c>
      <c r="M31" s="37" t="s">
        <v>81</v>
      </c>
      <c r="N31" s="4">
        <v>9500</v>
      </c>
      <c r="O31" s="4">
        <v>300</v>
      </c>
      <c r="P31" s="4">
        <v>180000</v>
      </c>
      <c r="Q31" s="4">
        <v>16000</v>
      </c>
      <c r="R31" s="4">
        <v>15000</v>
      </c>
      <c r="S31" s="38">
        <v>16008</v>
      </c>
      <c r="T31" s="6">
        <v>20</v>
      </c>
      <c r="U31" s="39">
        <v>0</v>
      </c>
      <c r="V31" t="s">
        <v>65</v>
      </c>
      <c r="W31" s="8" t="s">
        <v>66</v>
      </c>
      <c r="X31" s="2">
        <v>0</v>
      </c>
      <c r="Y31" s="42">
        <f>10000000*1000</f>
        <v>10000000000</v>
      </c>
    </row>
    <row r="32" s="3" customFormat="1" spans="1:25">
      <c r="A32" s="50">
        <v>20010010</v>
      </c>
      <c r="B32" s="3">
        <v>200100</v>
      </c>
      <c r="C32" s="51" t="s">
        <v>50</v>
      </c>
      <c r="D32" s="51">
        <v>200100038</v>
      </c>
      <c r="E32" s="51" t="s">
        <v>51</v>
      </c>
      <c r="F32" s="60" t="s">
        <v>52</v>
      </c>
      <c r="G32" s="53" t="s">
        <v>83</v>
      </c>
      <c r="H32" s="51">
        <v>1</v>
      </c>
      <c r="I32" s="51">
        <v>1980000</v>
      </c>
      <c r="J32" s="36" t="s">
        <v>54</v>
      </c>
      <c r="K32" s="3">
        <v>1</v>
      </c>
      <c r="L32" s="3" t="s">
        <v>55</v>
      </c>
      <c r="M32" s="54" t="s">
        <v>56</v>
      </c>
      <c r="N32" s="4">
        <v>9500</v>
      </c>
      <c r="O32" s="3">
        <v>300</v>
      </c>
      <c r="P32" s="3">
        <v>180000</v>
      </c>
      <c r="Q32" s="3">
        <v>16000</v>
      </c>
      <c r="R32" s="3">
        <v>15000</v>
      </c>
      <c r="S32" s="55">
        <v>16008</v>
      </c>
      <c r="T32" s="50">
        <v>48</v>
      </c>
      <c r="U32" s="56">
        <v>0</v>
      </c>
      <c r="V32" t="s">
        <v>57</v>
      </c>
      <c r="W32" s="8" t="s">
        <v>84</v>
      </c>
      <c r="X32" s="3">
        <v>1</v>
      </c>
      <c r="Y32" s="57">
        <v>0</v>
      </c>
    </row>
    <row r="33" s="3" customFormat="1" spans="1:25">
      <c r="A33" s="50">
        <v>20010011</v>
      </c>
      <c r="B33" s="3">
        <v>200100</v>
      </c>
      <c r="C33" s="51" t="s">
        <v>50</v>
      </c>
      <c r="D33" s="51">
        <v>200100038</v>
      </c>
      <c r="E33" s="51" t="s">
        <v>59</v>
      </c>
      <c r="F33" s="60" t="s">
        <v>52</v>
      </c>
      <c r="G33" s="53" t="s">
        <v>83</v>
      </c>
      <c r="H33" s="51">
        <v>2</v>
      </c>
      <c r="I33" s="51">
        <v>1980000</v>
      </c>
      <c r="J33" s="41" t="s">
        <v>60</v>
      </c>
      <c r="K33" s="3">
        <v>1</v>
      </c>
      <c r="L33" s="3" t="s">
        <v>55</v>
      </c>
      <c r="M33" s="54" t="s">
        <v>56</v>
      </c>
      <c r="N33" s="4">
        <v>9500</v>
      </c>
      <c r="O33" s="3">
        <v>300</v>
      </c>
      <c r="P33" s="3">
        <v>180000</v>
      </c>
      <c r="Q33" s="3">
        <v>16000</v>
      </c>
      <c r="R33" s="3">
        <v>15000</v>
      </c>
      <c r="S33" s="55">
        <v>16008</v>
      </c>
      <c r="T33" s="50">
        <v>48</v>
      </c>
      <c r="U33" s="56">
        <v>0</v>
      </c>
      <c r="V33" t="s">
        <v>61</v>
      </c>
      <c r="W33" s="8" t="s">
        <v>85</v>
      </c>
      <c r="X33" s="3">
        <v>1</v>
      </c>
      <c r="Y33" s="57">
        <v>0</v>
      </c>
    </row>
    <row r="34" s="3" customFormat="1" spans="1:25">
      <c r="A34" s="50">
        <v>20010012</v>
      </c>
      <c r="B34" s="3">
        <v>200100</v>
      </c>
      <c r="C34" s="51" t="s">
        <v>50</v>
      </c>
      <c r="D34" s="51">
        <v>200100038</v>
      </c>
      <c r="E34" s="51" t="s">
        <v>63</v>
      </c>
      <c r="F34" s="60" t="s">
        <v>52</v>
      </c>
      <c r="G34" s="53" t="s">
        <v>83</v>
      </c>
      <c r="H34" s="51">
        <v>3</v>
      </c>
      <c r="I34" s="51">
        <v>1980000</v>
      </c>
      <c r="J34" s="36" t="s">
        <v>64</v>
      </c>
      <c r="K34" s="3">
        <v>1</v>
      </c>
      <c r="L34" s="3" t="s">
        <v>55</v>
      </c>
      <c r="M34" s="54" t="s">
        <v>56</v>
      </c>
      <c r="N34" s="4">
        <v>9500</v>
      </c>
      <c r="O34" s="3">
        <v>300</v>
      </c>
      <c r="P34" s="3">
        <v>180000</v>
      </c>
      <c r="Q34" s="3">
        <v>16000</v>
      </c>
      <c r="R34" s="3">
        <v>15000</v>
      </c>
      <c r="S34" s="55">
        <v>16008</v>
      </c>
      <c r="T34" s="50">
        <v>48</v>
      </c>
      <c r="U34" s="56">
        <v>0</v>
      </c>
      <c r="V34" t="s">
        <v>65</v>
      </c>
      <c r="W34" s="8" t="s">
        <v>86</v>
      </c>
      <c r="X34" s="3">
        <v>1</v>
      </c>
      <c r="Y34" s="57">
        <v>0</v>
      </c>
    </row>
    <row r="35" s="3" customFormat="1" spans="1:25">
      <c r="A35" s="50">
        <v>20010110</v>
      </c>
      <c r="B35" s="3">
        <v>200101</v>
      </c>
      <c r="C35" s="3" t="s">
        <v>67</v>
      </c>
      <c r="D35" s="3">
        <v>200101001</v>
      </c>
      <c r="E35" s="3" t="s">
        <v>51</v>
      </c>
      <c r="F35" s="61" t="s">
        <v>52</v>
      </c>
      <c r="G35" s="53" t="s">
        <v>83</v>
      </c>
      <c r="H35" s="3">
        <v>1</v>
      </c>
      <c r="I35" s="51">
        <v>1980000</v>
      </c>
      <c r="J35" s="36" t="s">
        <v>54</v>
      </c>
      <c r="K35" s="3">
        <v>0</v>
      </c>
      <c r="L35" s="3" t="s">
        <v>68</v>
      </c>
      <c r="M35" s="54" t="s">
        <v>69</v>
      </c>
      <c r="N35" s="4">
        <v>9500</v>
      </c>
      <c r="O35" s="3">
        <v>300</v>
      </c>
      <c r="P35" s="3">
        <v>180000</v>
      </c>
      <c r="Q35" s="3">
        <v>16000</v>
      </c>
      <c r="R35" s="3">
        <v>15000</v>
      </c>
      <c r="S35" s="3">
        <v>16008</v>
      </c>
      <c r="T35" s="50">
        <v>48</v>
      </c>
      <c r="U35" s="56">
        <v>0</v>
      </c>
      <c r="V35" t="s">
        <v>57</v>
      </c>
      <c r="W35" s="8" t="s">
        <v>84</v>
      </c>
      <c r="X35" s="3">
        <v>1</v>
      </c>
      <c r="Y35" s="57">
        <v>0</v>
      </c>
    </row>
    <row r="36" s="3" customFormat="1" spans="1:25">
      <c r="A36" s="50">
        <v>20010111</v>
      </c>
      <c r="B36" s="3">
        <v>200101</v>
      </c>
      <c r="C36" s="3" t="s">
        <v>67</v>
      </c>
      <c r="D36" s="3">
        <v>200101001</v>
      </c>
      <c r="E36" s="3" t="s">
        <v>59</v>
      </c>
      <c r="F36" s="61" t="s">
        <v>52</v>
      </c>
      <c r="G36" s="53" t="s">
        <v>83</v>
      </c>
      <c r="H36" s="3">
        <v>2</v>
      </c>
      <c r="I36" s="51">
        <v>1980000</v>
      </c>
      <c r="J36" s="41" t="s">
        <v>60</v>
      </c>
      <c r="K36" s="3">
        <v>0</v>
      </c>
      <c r="L36" s="3" t="s">
        <v>68</v>
      </c>
      <c r="M36" s="54" t="s">
        <v>69</v>
      </c>
      <c r="N36" s="4">
        <v>9500</v>
      </c>
      <c r="O36" s="3">
        <v>300</v>
      </c>
      <c r="P36" s="3">
        <v>180000</v>
      </c>
      <c r="Q36" s="3">
        <v>16000</v>
      </c>
      <c r="R36" s="3">
        <v>15000</v>
      </c>
      <c r="S36" s="3">
        <v>16008</v>
      </c>
      <c r="T36" s="50">
        <v>48</v>
      </c>
      <c r="U36" s="56">
        <v>0</v>
      </c>
      <c r="V36" t="s">
        <v>61</v>
      </c>
      <c r="W36" s="8" t="s">
        <v>85</v>
      </c>
      <c r="X36" s="3">
        <v>1</v>
      </c>
      <c r="Y36" s="57">
        <v>0</v>
      </c>
    </row>
    <row r="37" s="3" customFormat="1" spans="1:25">
      <c r="A37" s="50">
        <v>20010112</v>
      </c>
      <c r="B37" s="3">
        <v>200101</v>
      </c>
      <c r="C37" s="3" t="s">
        <v>67</v>
      </c>
      <c r="D37" s="3">
        <v>200101001</v>
      </c>
      <c r="E37" s="3" t="s">
        <v>63</v>
      </c>
      <c r="F37" s="61" t="s">
        <v>52</v>
      </c>
      <c r="G37" s="53" t="s">
        <v>83</v>
      </c>
      <c r="H37" s="3">
        <v>3</v>
      </c>
      <c r="I37" s="51">
        <v>1980000</v>
      </c>
      <c r="J37" s="36" t="s">
        <v>64</v>
      </c>
      <c r="K37" s="3">
        <v>0</v>
      </c>
      <c r="L37" s="3" t="s">
        <v>68</v>
      </c>
      <c r="M37" s="54" t="s">
        <v>69</v>
      </c>
      <c r="N37" s="4">
        <v>9500</v>
      </c>
      <c r="O37" s="3">
        <v>300</v>
      </c>
      <c r="P37" s="3">
        <v>180000</v>
      </c>
      <c r="Q37" s="3">
        <v>16000</v>
      </c>
      <c r="R37" s="3">
        <v>15000</v>
      </c>
      <c r="S37" s="3">
        <v>16008</v>
      </c>
      <c r="T37" s="50">
        <v>48</v>
      </c>
      <c r="U37" s="56">
        <v>0</v>
      </c>
      <c r="V37" t="s">
        <v>65</v>
      </c>
      <c r="W37" s="8" t="s">
        <v>86</v>
      </c>
      <c r="X37" s="3">
        <v>1</v>
      </c>
      <c r="Y37" s="57">
        <v>0</v>
      </c>
    </row>
    <row r="38" s="3" customFormat="1" spans="1:25">
      <c r="A38" s="50">
        <v>20030010</v>
      </c>
      <c r="B38" s="3">
        <v>200300</v>
      </c>
      <c r="C38" s="3" t="s">
        <v>70</v>
      </c>
      <c r="D38" s="3">
        <v>200300001</v>
      </c>
      <c r="E38" s="3" t="s">
        <v>51</v>
      </c>
      <c r="F38" s="61" t="s">
        <v>52</v>
      </c>
      <c r="G38" s="53" t="s">
        <v>83</v>
      </c>
      <c r="H38" s="3">
        <v>1</v>
      </c>
      <c r="I38" s="51">
        <v>1980000</v>
      </c>
      <c r="J38" s="36" t="s">
        <v>54</v>
      </c>
      <c r="K38" s="3">
        <v>0</v>
      </c>
      <c r="L38" s="3" t="s">
        <v>68</v>
      </c>
      <c r="M38" s="54" t="s">
        <v>71</v>
      </c>
      <c r="N38" s="4">
        <v>9500</v>
      </c>
      <c r="O38" s="3">
        <v>300</v>
      </c>
      <c r="P38" s="3">
        <v>180000</v>
      </c>
      <c r="Q38" s="3">
        <v>16000</v>
      </c>
      <c r="R38" s="3">
        <v>15000</v>
      </c>
      <c r="S38" s="3">
        <v>16008</v>
      </c>
      <c r="T38" s="50">
        <v>50</v>
      </c>
      <c r="U38" s="56">
        <v>0</v>
      </c>
      <c r="V38" t="s">
        <v>57</v>
      </c>
      <c r="W38" s="8" t="s">
        <v>84</v>
      </c>
      <c r="X38" s="3">
        <v>1</v>
      </c>
      <c r="Y38" s="57">
        <v>0</v>
      </c>
    </row>
    <row r="39" s="3" customFormat="1" spans="1:25">
      <c r="A39" s="50">
        <v>20030011</v>
      </c>
      <c r="B39" s="3">
        <v>200300</v>
      </c>
      <c r="C39" s="3" t="s">
        <v>70</v>
      </c>
      <c r="D39" s="3">
        <v>200300001</v>
      </c>
      <c r="E39" s="3" t="s">
        <v>59</v>
      </c>
      <c r="F39" s="61" t="s">
        <v>52</v>
      </c>
      <c r="G39" s="53" t="s">
        <v>83</v>
      </c>
      <c r="H39" s="3">
        <v>2</v>
      </c>
      <c r="I39" s="51">
        <v>1980000</v>
      </c>
      <c r="J39" s="41" t="s">
        <v>60</v>
      </c>
      <c r="K39" s="3">
        <v>0</v>
      </c>
      <c r="L39" s="3" t="s">
        <v>68</v>
      </c>
      <c r="M39" s="54" t="s">
        <v>71</v>
      </c>
      <c r="N39" s="4">
        <v>9500</v>
      </c>
      <c r="O39" s="3">
        <v>300</v>
      </c>
      <c r="P39" s="3">
        <v>180000</v>
      </c>
      <c r="Q39" s="3">
        <v>16000</v>
      </c>
      <c r="R39" s="3">
        <v>15000</v>
      </c>
      <c r="S39" s="3">
        <v>16008</v>
      </c>
      <c r="T39" s="50">
        <v>50</v>
      </c>
      <c r="U39" s="56">
        <v>0</v>
      </c>
      <c r="V39" t="s">
        <v>61</v>
      </c>
      <c r="W39" s="8" t="s">
        <v>85</v>
      </c>
      <c r="X39" s="3">
        <v>1</v>
      </c>
      <c r="Y39" s="57">
        <v>0</v>
      </c>
    </row>
    <row r="40" s="3" customFormat="1" spans="1:25">
      <c r="A40" s="50">
        <v>20030012</v>
      </c>
      <c r="B40" s="3">
        <v>200300</v>
      </c>
      <c r="C40" s="3" t="s">
        <v>70</v>
      </c>
      <c r="D40" s="3">
        <v>200300001</v>
      </c>
      <c r="E40" s="3" t="s">
        <v>63</v>
      </c>
      <c r="F40" s="61" t="s">
        <v>52</v>
      </c>
      <c r="G40" s="53" t="s">
        <v>83</v>
      </c>
      <c r="H40" s="3">
        <v>3</v>
      </c>
      <c r="I40" s="51">
        <v>1980000</v>
      </c>
      <c r="J40" s="36" t="s">
        <v>64</v>
      </c>
      <c r="K40" s="58">
        <v>0</v>
      </c>
      <c r="L40" s="58" t="s">
        <v>68</v>
      </c>
      <c r="M40" s="54" t="s">
        <v>71</v>
      </c>
      <c r="N40" s="4">
        <v>9500</v>
      </c>
      <c r="O40" s="3">
        <v>300</v>
      </c>
      <c r="P40" s="58">
        <v>180000</v>
      </c>
      <c r="Q40" s="58">
        <v>16000</v>
      </c>
      <c r="R40" s="58">
        <v>15000</v>
      </c>
      <c r="S40" s="58">
        <v>16008</v>
      </c>
      <c r="T40" s="50">
        <v>50</v>
      </c>
      <c r="U40" s="56">
        <v>0</v>
      </c>
      <c r="V40" t="s">
        <v>65</v>
      </c>
      <c r="W40" s="8" t="s">
        <v>86</v>
      </c>
      <c r="X40" s="3">
        <v>1</v>
      </c>
      <c r="Y40" s="57">
        <v>0</v>
      </c>
    </row>
    <row r="41" s="3" customFormat="1" spans="1:25">
      <c r="A41" s="50">
        <v>20040010</v>
      </c>
      <c r="B41" s="3">
        <v>200400</v>
      </c>
      <c r="C41" s="3" t="s">
        <v>72</v>
      </c>
      <c r="D41" s="3">
        <v>200400009</v>
      </c>
      <c r="E41" s="3" t="s">
        <v>51</v>
      </c>
      <c r="F41" s="61" t="s">
        <v>52</v>
      </c>
      <c r="G41" s="53" t="s">
        <v>83</v>
      </c>
      <c r="H41" s="3">
        <v>1</v>
      </c>
      <c r="I41" s="51">
        <v>1980000</v>
      </c>
      <c r="J41" s="36" t="s">
        <v>54</v>
      </c>
      <c r="K41" s="58">
        <v>0</v>
      </c>
      <c r="L41" s="58" t="s">
        <v>68</v>
      </c>
      <c r="M41" s="54" t="s">
        <v>73</v>
      </c>
      <c r="N41" s="4">
        <v>9500</v>
      </c>
      <c r="O41" s="3">
        <v>300</v>
      </c>
      <c r="P41" s="58">
        <v>180000</v>
      </c>
      <c r="Q41" s="58">
        <v>16000</v>
      </c>
      <c r="R41" s="58">
        <v>15000</v>
      </c>
      <c r="S41" s="58">
        <v>16008</v>
      </c>
      <c r="T41" s="50">
        <v>50</v>
      </c>
      <c r="U41" s="56">
        <v>0</v>
      </c>
      <c r="V41" t="s">
        <v>57</v>
      </c>
      <c r="W41" s="8" t="s">
        <v>84</v>
      </c>
      <c r="X41" s="3">
        <v>1</v>
      </c>
      <c r="Y41" s="57">
        <v>0</v>
      </c>
    </row>
    <row r="42" s="3" customFormat="1" spans="1:25">
      <c r="A42" s="50">
        <v>20040011</v>
      </c>
      <c r="B42" s="3">
        <v>200400</v>
      </c>
      <c r="C42" s="3" t="s">
        <v>72</v>
      </c>
      <c r="D42" s="3">
        <v>200400009</v>
      </c>
      <c r="E42" s="3" t="s">
        <v>59</v>
      </c>
      <c r="F42" s="61" t="s">
        <v>52</v>
      </c>
      <c r="G42" s="53" t="s">
        <v>83</v>
      </c>
      <c r="H42" s="3">
        <v>2</v>
      </c>
      <c r="I42" s="51">
        <v>1980000</v>
      </c>
      <c r="J42" s="41" t="s">
        <v>60</v>
      </c>
      <c r="K42" s="58">
        <v>0</v>
      </c>
      <c r="L42" s="58" t="s">
        <v>68</v>
      </c>
      <c r="M42" s="54" t="s">
        <v>73</v>
      </c>
      <c r="N42" s="4">
        <v>9500</v>
      </c>
      <c r="O42" s="3">
        <v>300</v>
      </c>
      <c r="P42" s="58">
        <v>180000</v>
      </c>
      <c r="Q42" s="58">
        <v>16000</v>
      </c>
      <c r="R42" s="58">
        <v>15000</v>
      </c>
      <c r="S42" s="58">
        <v>16008</v>
      </c>
      <c r="T42" s="50">
        <v>50</v>
      </c>
      <c r="U42" s="56">
        <v>0</v>
      </c>
      <c r="V42" t="s">
        <v>61</v>
      </c>
      <c r="W42" s="8" t="s">
        <v>85</v>
      </c>
      <c r="X42" s="3">
        <v>1</v>
      </c>
      <c r="Y42" s="57">
        <v>0</v>
      </c>
    </row>
    <row r="43" s="3" customFormat="1" spans="1:25">
      <c r="A43" s="50">
        <v>20040012</v>
      </c>
      <c r="B43" s="3">
        <v>200400</v>
      </c>
      <c r="C43" s="3" t="s">
        <v>72</v>
      </c>
      <c r="D43" s="3">
        <v>200400009</v>
      </c>
      <c r="E43" s="3" t="s">
        <v>63</v>
      </c>
      <c r="F43" s="61" t="s">
        <v>52</v>
      </c>
      <c r="G43" s="53" t="s">
        <v>83</v>
      </c>
      <c r="H43" s="3">
        <v>3</v>
      </c>
      <c r="I43" s="51">
        <v>1980000</v>
      </c>
      <c r="J43" s="36" t="s">
        <v>64</v>
      </c>
      <c r="K43" s="58">
        <v>0</v>
      </c>
      <c r="L43" s="58" t="s">
        <v>68</v>
      </c>
      <c r="M43" s="54" t="s">
        <v>73</v>
      </c>
      <c r="N43" s="4">
        <v>9500</v>
      </c>
      <c r="O43" s="3">
        <v>300</v>
      </c>
      <c r="P43" s="58">
        <v>180000</v>
      </c>
      <c r="Q43" s="58">
        <v>16000</v>
      </c>
      <c r="R43" s="58">
        <v>15000</v>
      </c>
      <c r="S43" s="58">
        <v>16008</v>
      </c>
      <c r="T43" s="50">
        <v>50</v>
      </c>
      <c r="U43" s="56">
        <v>0</v>
      </c>
      <c r="V43" t="s">
        <v>65</v>
      </c>
      <c r="W43" s="8" t="s">
        <v>86</v>
      </c>
      <c r="X43" s="3">
        <v>1</v>
      </c>
      <c r="Y43" s="57">
        <v>0</v>
      </c>
    </row>
    <row r="44" s="3" customFormat="1" spans="1:25">
      <c r="A44" s="50">
        <v>20050010</v>
      </c>
      <c r="B44" s="3">
        <v>200500</v>
      </c>
      <c r="C44" s="3" t="s">
        <v>74</v>
      </c>
      <c r="D44" s="3">
        <v>200500025</v>
      </c>
      <c r="E44" s="3" t="s">
        <v>51</v>
      </c>
      <c r="F44" s="61" t="s">
        <v>52</v>
      </c>
      <c r="G44" s="53" t="s">
        <v>83</v>
      </c>
      <c r="H44" s="3">
        <v>1</v>
      </c>
      <c r="I44" s="51">
        <v>1980000</v>
      </c>
      <c r="J44" s="36" t="s">
        <v>54</v>
      </c>
      <c r="K44" s="58">
        <v>1</v>
      </c>
      <c r="L44" s="58" t="s">
        <v>55</v>
      </c>
      <c r="M44" s="54" t="s">
        <v>75</v>
      </c>
      <c r="N44" s="4">
        <v>9500</v>
      </c>
      <c r="O44" s="3">
        <v>300</v>
      </c>
      <c r="P44" s="58">
        <v>180000</v>
      </c>
      <c r="Q44" s="58">
        <v>16000</v>
      </c>
      <c r="R44" s="58">
        <v>15000</v>
      </c>
      <c r="S44" s="58">
        <v>16008</v>
      </c>
      <c r="T44" s="50">
        <v>48</v>
      </c>
      <c r="U44" s="50">
        <v>0</v>
      </c>
      <c r="V44" t="s">
        <v>57</v>
      </c>
      <c r="W44" s="8" t="s">
        <v>84</v>
      </c>
      <c r="X44" s="3">
        <v>1</v>
      </c>
      <c r="Y44" s="57">
        <v>0</v>
      </c>
    </row>
    <row r="45" s="3" customFormat="1" spans="1:25">
      <c r="A45" s="50">
        <v>20050011</v>
      </c>
      <c r="B45" s="3">
        <v>200500</v>
      </c>
      <c r="C45" s="3" t="s">
        <v>74</v>
      </c>
      <c r="D45" s="3">
        <v>200500025</v>
      </c>
      <c r="E45" s="3" t="s">
        <v>59</v>
      </c>
      <c r="F45" s="61" t="s">
        <v>52</v>
      </c>
      <c r="G45" s="53" t="s">
        <v>83</v>
      </c>
      <c r="H45" s="3">
        <v>2</v>
      </c>
      <c r="I45" s="51">
        <v>1980000</v>
      </c>
      <c r="J45" s="41" t="s">
        <v>60</v>
      </c>
      <c r="K45" s="58">
        <v>1</v>
      </c>
      <c r="L45" s="58" t="s">
        <v>55</v>
      </c>
      <c r="M45" s="54" t="s">
        <v>75</v>
      </c>
      <c r="N45" s="4">
        <v>9500</v>
      </c>
      <c r="O45" s="3">
        <v>300</v>
      </c>
      <c r="P45" s="58">
        <v>180000</v>
      </c>
      <c r="Q45" s="58">
        <v>16000</v>
      </c>
      <c r="R45" s="58">
        <v>15000</v>
      </c>
      <c r="S45" s="58">
        <v>16008</v>
      </c>
      <c r="T45" s="50">
        <v>48</v>
      </c>
      <c r="U45" s="50">
        <v>0</v>
      </c>
      <c r="V45" t="s">
        <v>61</v>
      </c>
      <c r="W45" s="8" t="s">
        <v>85</v>
      </c>
      <c r="X45" s="3">
        <v>1</v>
      </c>
      <c r="Y45" s="57">
        <v>0</v>
      </c>
    </row>
    <row r="46" s="3" customFormat="1" spans="1:25">
      <c r="A46" s="50">
        <v>20050012</v>
      </c>
      <c r="B46" s="3">
        <v>200500</v>
      </c>
      <c r="C46" s="3" t="s">
        <v>74</v>
      </c>
      <c r="D46" s="3">
        <v>200500025</v>
      </c>
      <c r="E46" s="3" t="s">
        <v>63</v>
      </c>
      <c r="F46" s="61" t="s">
        <v>52</v>
      </c>
      <c r="G46" s="53" t="s">
        <v>83</v>
      </c>
      <c r="H46" s="3">
        <v>3</v>
      </c>
      <c r="I46" s="51">
        <v>1980000</v>
      </c>
      <c r="J46" s="36" t="s">
        <v>64</v>
      </c>
      <c r="K46" s="58">
        <v>1</v>
      </c>
      <c r="L46" s="58" t="s">
        <v>55</v>
      </c>
      <c r="M46" s="54" t="s">
        <v>75</v>
      </c>
      <c r="N46" s="4">
        <v>9500</v>
      </c>
      <c r="O46" s="3">
        <v>300</v>
      </c>
      <c r="P46" s="58">
        <v>180000</v>
      </c>
      <c r="Q46" s="58">
        <v>16000</v>
      </c>
      <c r="R46" s="58">
        <v>15000</v>
      </c>
      <c r="S46" s="58">
        <v>16008</v>
      </c>
      <c r="T46" s="50">
        <v>48</v>
      </c>
      <c r="U46" s="50">
        <v>0</v>
      </c>
      <c r="V46" t="s">
        <v>65</v>
      </c>
      <c r="W46" s="8" t="s">
        <v>86</v>
      </c>
      <c r="X46" s="3">
        <v>1</v>
      </c>
      <c r="Y46" s="57">
        <v>0</v>
      </c>
    </row>
    <row r="47" s="3" customFormat="1" spans="1:25">
      <c r="A47" s="50">
        <v>20060010</v>
      </c>
      <c r="B47" s="3">
        <v>200600</v>
      </c>
      <c r="C47" s="3" t="s">
        <v>76</v>
      </c>
      <c r="D47" s="3">
        <v>200600001</v>
      </c>
      <c r="E47" s="3" t="s">
        <v>51</v>
      </c>
      <c r="F47" s="61" t="s">
        <v>52</v>
      </c>
      <c r="G47" s="53" t="s">
        <v>83</v>
      </c>
      <c r="H47" s="3">
        <v>1</v>
      </c>
      <c r="I47" s="51">
        <v>1980000</v>
      </c>
      <c r="J47" s="36" t="s">
        <v>54</v>
      </c>
      <c r="K47" s="58">
        <v>0</v>
      </c>
      <c r="L47" s="58" t="s">
        <v>68</v>
      </c>
      <c r="M47" s="54" t="s">
        <v>77</v>
      </c>
      <c r="N47" s="4">
        <v>9500</v>
      </c>
      <c r="O47" s="3">
        <v>300</v>
      </c>
      <c r="P47" s="58">
        <v>180000</v>
      </c>
      <c r="Q47" s="58">
        <v>16000</v>
      </c>
      <c r="R47" s="58">
        <v>15000</v>
      </c>
      <c r="S47" s="58">
        <v>16008</v>
      </c>
      <c r="T47" s="50">
        <v>20</v>
      </c>
      <c r="U47" s="50">
        <v>0</v>
      </c>
      <c r="V47" t="s">
        <v>57</v>
      </c>
      <c r="W47" s="8" t="s">
        <v>84</v>
      </c>
      <c r="X47" s="3">
        <v>1</v>
      </c>
      <c r="Y47" s="57">
        <v>0</v>
      </c>
    </row>
    <row r="48" s="3" customFormat="1" spans="1:25">
      <c r="A48" s="50">
        <v>20060011</v>
      </c>
      <c r="B48" s="3">
        <v>200600</v>
      </c>
      <c r="C48" s="3" t="s">
        <v>76</v>
      </c>
      <c r="D48" s="3">
        <v>200600001</v>
      </c>
      <c r="E48" s="3" t="s">
        <v>59</v>
      </c>
      <c r="F48" s="61" t="s">
        <v>52</v>
      </c>
      <c r="G48" s="53" t="s">
        <v>83</v>
      </c>
      <c r="H48" s="3">
        <v>2</v>
      </c>
      <c r="I48" s="51">
        <v>1980000</v>
      </c>
      <c r="J48" s="41" t="s">
        <v>60</v>
      </c>
      <c r="K48" s="58">
        <v>0</v>
      </c>
      <c r="L48" s="58" t="s">
        <v>68</v>
      </c>
      <c r="M48" s="54" t="s">
        <v>77</v>
      </c>
      <c r="N48" s="4">
        <v>9500</v>
      </c>
      <c r="O48" s="3">
        <v>300</v>
      </c>
      <c r="P48" s="58">
        <v>180000</v>
      </c>
      <c r="Q48" s="58">
        <v>16000</v>
      </c>
      <c r="R48" s="58">
        <v>15000</v>
      </c>
      <c r="S48" s="58">
        <v>16008</v>
      </c>
      <c r="T48" s="50">
        <v>20</v>
      </c>
      <c r="U48" s="50">
        <v>0</v>
      </c>
      <c r="V48" t="s">
        <v>61</v>
      </c>
      <c r="W48" s="8" t="s">
        <v>85</v>
      </c>
      <c r="X48" s="3">
        <v>1</v>
      </c>
      <c r="Y48" s="57">
        <v>0</v>
      </c>
    </row>
    <row r="49" s="3" customFormat="1" spans="1:25">
      <c r="A49" s="50">
        <v>20060012</v>
      </c>
      <c r="B49" s="3">
        <v>200600</v>
      </c>
      <c r="C49" s="3" t="s">
        <v>76</v>
      </c>
      <c r="D49" s="3">
        <v>200600001</v>
      </c>
      <c r="E49" s="3" t="s">
        <v>63</v>
      </c>
      <c r="F49" s="61" t="s">
        <v>52</v>
      </c>
      <c r="G49" s="53" t="s">
        <v>83</v>
      </c>
      <c r="H49" s="3">
        <v>3</v>
      </c>
      <c r="I49" s="51">
        <v>1980000</v>
      </c>
      <c r="J49" s="36" t="s">
        <v>64</v>
      </c>
      <c r="K49" s="3">
        <v>0</v>
      </c>
      <c r="L49" s="3" t="s">
        <v>68</v>
      </c>
      <c r="M49" s="54" t="s">
        <v>77</v>
      </c>
      <c r="N49" s="4">
        <v>9500</v>
      </c>
      <c r="O49" s="3">
        <v>300</v>
      </c>
      <c r="P49" s="3">
        <v>180000</v>
      </c>
      <c r="Q49" s="3">
        <v>16000</v>
      </c>
      <c r="R49" s="3">
        <v>15000</v>
      </c>
      <c r="S49" s="3">
        <v>16008</v>
      </c>
      <c r="T49" s="50">
        <v>20</v>
      </c>
      <c r="U49" s="50">
        <v>0</v>
      </c>
      <c r="V49" t="s">
        <v>65</v>
      </c>
      <c r="W49" s="8" t="s">
        <v>86</v>
      </c>
      <c r="X49" s="3">
        <v>1</v>
      </c>
      <c r="Y49" s="57">
        <v>0</v>
      </c>
    </row>
    <row r="50" s="3" customFormat="1" spans="1:25">
      <c r="A50" s="50">
        <v>20070010</v>
      </c>
      <c r="B50" s="3">
        <v>200700</v>
      </c>
      <c r="C50" s="3" t="s">
        <v>78</v>
      </c>
      <c r="D50" s="3">
        <v>200700001</v>
      </c>
      <c r="E50" s="3" t="s">
        <v>51</v>
      </c>
      <c r="F50" s="61" t="s">
        <v>52</v>
      </c>
      <c r="G50" s="53" t="s">
        <v>83</v>
      </c>
      <c r="H50" s="3">
        <v>1</v>
      </c>
      <c r="I50" s="51">
        <v>1980000</v>
      </c>
      <c r="J50" s="36" t="s">
        <v>54</v>
      </c>
      <c r="K50" s="3">
        <v>1</v>
      </c>
      <c r="L50" s="3" t="s">
        <v>68</v>
      </c>
      <c r="M50" s="54" t="s">
        <v>79</v>
      </c>
      <c r="N50" s="4">
        <v>9500</v>
      </c>
      <c r="O50" s="3">
        <v>0</v>
      </c>
      <c r="P50" s="3">
        <v>180000</v>
      </c>
      <c r="Q50" s="3">
        <v>16000</v>
      </c>
      <c r="R50" s="3">
        <v>15000</v>
      </c>
      <c r="S50" s="3">
        <v>16008</v>
      </c>
      <c r="T50" s="50">
        <v>30</v>
      </c>
      <c r="U50" s="50">
        <v>1</v>
      </c>
      <c r="V50" t="s">
        <v>57</v>
      </c>
      <c r="W50" s="8" t="s">
        <v>84</v>
      </c>
      <c r="X50" s="3">
        <v>1</v>
      </c>
      <c r="Y50" s="57">
        <v>0</v>
      </c>
    </row>
    <row r="51" s="3" customFormat="1" spans="1:25">
      <c r="A51" s="50">
        <v>20070011</v>
      </c>
      <c r="B51" s="3">
        <v>200700</v>
      </c>
      <c r="C51" s="3" t="s">
        <v>78</v>
      </c>
      <c r="D51" s="3">
        <v>200700001</v>
      </c>
      <c r="E51" s="3" t="s">
        <v>59</v>
      </c>
      <c r="F51" s="61" t="s">
        <v>52</v>
      </c>
      <c r="G51" s="53" t="s">
        <v>83</v>
      </c>
      <c r="H51" s="3">
        <v>2</v>
      </c>
      <c r="I51" s="51">
        <v>1980000</v>
      </c>
      <c r="J51" s="41" t="s">
        <v>60</v>
      </c>
      <c r="K51" s="3">
        <v>1</v>
      </c>
      <c r="L51" s="3" t="s">
        <v>68</v>
      </c>
      <c r="M51" s="54" t="s">
        <v>79</v>
      </c>
      <c r="N51" s="4">
        <v>9500</v>
      </c>
      <c r="O51" s="3">
        <v>0</v>
      </c>
      <c r="P51" s="3">
        <v>180000</v>
      </c>
      <c r="Q51" s="3">
        <v>16000</v>
      </c>
      <c r="R51" s="3">
        <v>15000</v>
      </c>
      <c r="S51" s="3">
        <v>16008</v>
      </c>
      <c r="T51" s="50">
        <v>30</v>
      </c>
      <c r="U51" s="50">
        <v>1</v>
      </c>
      <c r="V51" t="s">
        <v>61</v>
      </c>
      <c r="W51" s="8" t="s">
        <v>85</v>
      </c>
      <c r="X51" s="3">
        <v>1</v>
      </c>
      <c r="Y51" s="57">
        <v>0</v>
      </c>
    </row>
    <row r="52" s="3" customFormat="1" spans="1:25">
      <c r="A52" s="50">
        <v>20070012</v>
      </c>
      <c r="B52" s="3">
        <v>200700</v>
      </c>
      <c r="C52" s="3" t="s">
        <v>78</v>
      </c>
      <c r="D52" s="3">
        <v>200700001</v>
      </c>
      <c r="E52" s="3" t="s">
        <v>63</v>
      </c>
      <c r="F52" s="61" t="s">
        <v>52</v>
      </c>
      <c r="G52" s="53" t="s">
        <v>83</v>
      </c>
      <c r="H52" s="3">
        <v>3</v>
      </c>
      <c r="I52" s="51">
        <v>1980000</v>
      </c>
      <c r="J52" s="36" t="s">
        <v>64</v>
      </c>
      <c r="K52" s="3">
        <v>1</v>
      </c>
      <c r="L52" s="3" t="s">
        <v>68</v>
      </c>
      <c r="M52" s="54" t="s">
        <v>79</v>
      </c>
      <c r="N52" s="4">
        <v>9500</v>
      </c>
      <c r="O52" s="3">
        <v>0</v>
      </c>
      <c r="P52" s="3">
        <v>180000</v>
      </c>
      <c r="Q52" s="3">
        <v>16000</v>
      </c>
      <c r="R52" s="3">
        <v>15000</v>
      </c>
      <c r="S52" s="3">
        <v>16008</v>
      </c>
      <c r="T52" s="50">
        <v>30</v>
      </c>
      <c r="U52" s="50">
        <v>1</v>
      </c>
      <c r="V52" t="s">
        <v>65</v>
      </c>
      <c r="W52" s="8" t="s">
        <v>86</v>
      </c>
      <c r="X52" s="3">
        <v>1</v>
      </c>
      <c r="Y52" s="57">
        <v>0</v>
      </c>
    </row>
    <row r="53" s="3" customFormat="1" spans="1:25">
      <c r="A53" s="50">
        <v>20080010</v>
      </c>
      <c r="B53" s="3">
        <v>200800</v>
      </c>
      <c r="C53" s="3" t="s">
        <v>80</v>
      </c>
      <c r="D53" s="3">
        <v>200800001</v>
      </c>
      <c r="E53" s="3" t="s">
        <v>51</v>
      </c>
      <c r="F53" s="61" t="s">
        <v>52</v>
      </c>
      <c r="G53" s="53" t="s">
        <v>83</v>
      </c>
      <c r="H53" s="3">
        <v>1</v>
      </c>
      <c r="I53" s="51">
        <v>1980000</v>
      </c>
      <c r="J53" s="36" t="s">
        <v>54</v>
      </c>
      <c r="K53" s="3">
        <v>0</v>
      </c>
      <c r="L53" s="3" t="s">
        <v>68</v>
      </c>
      <c r="M53" s="54" t="s">
        <v>81</v>
      </c>
      <c r="N53" s="4">
        <v>9500</v>
      </c>
      <c r="O53" s="3">
        <v>300</v>
      </c>
      <c r="P53" s="3">
        <v>180000</v>
      </c>
      <c r="Q53" s="3">
        <v>16000</v>
      </c>
      <c r="R53" s="3">
        <v>15000</v>
      </c>
      <c r="S53" s="3">
        <v>16008</v>
      </c>
      <c r="T53" s="50">
        <v>20</v>
      </c>
      <c r="U53" s="50">
        <v>0</v>
      </c>
      <c r="V53" t="s">
        <v>57</v>
      </c>
      <c r="W53" s="8" t="s">
        <v>84</v>
      </c>
      <c r="X53" s="3">
        <v>1</v>
      </c>
      <c r="Y53" s="57">
        <v>0</v>
      </c>
    </row>
    <row r="54" s="3" customFormat="1" spans="1:25">
      <c r="A54" s="50">
        <v>20080011</v>
      </c>
      <c r="B54" s="3">
        <v>200800</v>
      </c>
      <c r="C54" s="3" t="s">
        <v>80</v>
      </c>
      <c r="D54" s="3">
        <v>200800001</v>
      </c>
      <c r="E54" s="3" t="s">
        <v>59</v>
      </c>
      <c r="F54" s="61" t="s">
        <v>52</v>
      </c>
      <c r="G54" s="53" t="s">
        <v>83</v>
      </c>
      <c r="H54" s="3">
        <v>2</v>
      </c>
      <c r="I54" s="51">
        <v>1980000</v>
      </c>
      <c r="J54" s="41" t="s">
        <v>60</v>
      </c>
      <c r="K54" s="3">
        <v>0</v>
      </c>
      <c r="L54" s="3" t="s">
        <v>68</v>
      </c>
      <c r="M54" s="54" t="s">
        <v>81</v>
      </c>
      <c r="N54" s="4">
        <v>9500</v>
      </c>
      <c r="O54" s="3">
        <v>300</v>
      </c>
      <c r="P54" s="3">
        <v>180000</v>
      </c>
      <c r="Q54" s="3">
        <v>16000</v>
      </c>
      <c r="R54" s="3">
        <v>15000</v>
      </c>
      <c r="S54" s="3">
        <v>16008</v>
      </c>
      <c r="T54" s="50">
        <v>20</v>
      </c>
      <c r="U54" s="50">
        <v>0</v>
      </c>
      <c r="V54" t="s">
        <v>61</v>
      </c>
      <c r="W54" s="8" t="s">
        <v>85</v>
      </c>
      <c r="X54" s="3">
        <v>1</v>
      </c>
      <c r="Y54" s="57">
        <v>0</v>
      </c>
    </row>
    <row r="55" s="3" customFormat="1" spans="1:25">
      <c r="A55" s="50">
        <v>20080012</v>
      </c>
      <c r="B55" s="3">
        <v>200800</v>
      </c>
      <c r="C55" s="3" t="s">
        <v>80</v>
      </c>
      <c r="D55" s="3">
        <v>200800001</v>
      </c>
      <c r="E55" s="3" t="s">
        <v>63</v>
      </c>
      <c r="F55" s="61" t="s">
        <v>52</v>
      </c>
      <c r="G55" s="53" t="s">
        <v>83</v>
      </c>
      <c r="H55" s="3">
        <v>3</v>
      </c>
      <c r="I55" s="51">
        <v>1980000</v>
      </c>
      <c r="J55" s="36" t="s">
        <v>64</v>
      </c>
      <c r="K55" s="3">
        <v>0</v>
      </c>
      <c r="L55" s="3" t="s">
        <v>68</v>
      </c>
      <c r="M55" s="54" t="s">
        <v>81</v>
      </c>
      <c r="N55" s="4">
        <v>9500</v>
      </c>
      <c r="O55" s="3">
        <v>300</v>
      </c>
      <c r="P55" s="3">
        <v>180000</v>
      </c>
      <c r="Q55" s="3">
        <v>16000</v>
      </c>
      <c r="R55" s="3">
        <v>15000</v>
      </c>
      <c r="S55" s="3">
        <v>16008</v>
      </c>
      <c r="T55" s="50">
        <v>20</v>
      </c>
      <c r="U55" s="50">
        <v>0</v>
      </c>
      <c r="V55" t="s">
        <v>65</v>
      </c>
      <c r="W55" s="8" t="s">
        <v>86</v>
      </c>
      <c r="X55" s="3">
        <v>1</v>
      </c>
      <c r="Y55" s="57">
        <v>0</v>
      </c>
    </row>
    <row r="56" s="3" customFormat="1" spans="1:25">
      <c r="A56" s="50">
        <v>20090010</v>
      </c>
      <c r="B56" s="3">
        <v>200900</v>
      </c>
      <c r="C56" s="3" t="s">
        <v>82</v>
      </c>
      <c r="D56" s="3">
        <v>200900001</v>
      </c>
      <c r="E56" s="3" t="s">
        <v>51</v>
      </c>
      <c r="F56" s="61" t="s">
        <v>52</v>
      </c>
      <c r="G56" s="53" t="s">
        <v>83</v>
      </c>
      <c r="H56" s="3">
        <v>1</v>
      </c>
      <c r="I56" s="51">
        <v>1980000</v>
      </c>
      <c r="J56" s="36" t="s">
        <v>54</v>
      </c>
      <c r="K56" s="3">
        <v>0</v>
      </c>
      <c r="L56" s="3" t="s">
        <v>68</v>
      </c>
      <c r="M56" s="54" t="s">
        <v>81</v>
      </c>
      <c r="N56" s="4">
        <v>9500</v>
      </c>
      <c r="O56" s="3">
        <v>300</v>
      </c>
      <c r="P56" s="3">
        <v>180000</v>
      </c>
      <c r="Q56" s="3">
        <v>16000</v>
      </c>
      <c r="R56" s="3">
        <v>15000</v>
      </c>
      <c r="S56" s="3">
        <v>16008</v>
      </c>
      <c r="T56" s="50">
        <v>20</v>
      </c>
      <c r="U56" s="50">
        <v>0</v>
      </c>
      <c r="V56" t="s">
        <v>57</v>
      </c>
      <c r="W56" s="8" t="s">
        <v>84</v>
      </c>
      <c r="X56" s="3">
        <v>1</v>
      </c>
      <c r="Y56" s="57">
        <v>0</v>
      </c>
    </row>
    <row r="57" s="3" customFormat="1" spans="1:25">
      <c r="A57" s="50">
        <v>20090011</v>
      </c>
      <c r="B57" s="3">
        <v>200900</v>
      </c>
      <c r="C57" s="3" t="s">
        <v>82</v>
      </c>
      <c r="D57" s="3">
        <v>200900001</v>
      </c>
      <c r="E57" s="3" t="s">
        <v>59</v>
      </c>
      <c r="F57" s="61" t="s">
        <v>52</v>
      </c>
      <c r="G57" s="53" t="s">
        <v>83</v>
      </c>
      <c r="H57" s="3">
        <v>2</v>
      </c>
      <c r="I57" s="51">
        <v>1980000</v>
      </c>
      <c r="J57" s="41" t="s">
        <v>60</v>
      </c>
      <c r="K57" s="3">
        <v>0</v>
      </c>
      <c r="L57" s="3" t="s">
        <v>68</v>
      </c>
      <c r="M57" s="54" t="s">
        <v>81</v>
      </c>
      <c r="N57" s="4">
        <v>9500</v>
      </c>
      <c r="O57" s="3">
        <v>300</v>
      </c>
      <c r="P57" s="3">
        <v>180000</v>
      </c>
      <c r="Q57" s="3">
        <v>16000</v>
      </c>
      <c r="R57" s="3">
        <v>15000</v>
      </c>
      <c r="S57" s="3">
        <v>16008</v>
      </c>
      <c r="T57" s="50">
        <v>20</v>
      </c>
      <c r="U57" s="50">
        <v>0</v>
      </c>
      <c r="V57" t="s">
        <v>61</v>
      </c>
      <c r="W57" s="8" t="s">
        <v>85</v>
      </c>
      <c r="X57" s="3">
        <v>1</v>
      </c>
      <c r="Y57" s="57">
        <v>0</v>
      </c>
    </row>
    <row r="58" s="3" customFormat="1" spans="1:25">
      <c r="A58" s="50">
        <v>20090012</v>
      </c>
      <c r="B58" s="3">
        <v>200900</v>
      </c>
      <c r="C58" s="3" t="s">
        <v>82</v>
      </c>
      <c r="D58" s="3">
        <v>200900001</v>
      </c>
      <c r="E58" s="3" t="s">
        <v>63</v>
      </c>
      <c r="F58" s="61" t="s">
        <v>52</v>
      </c>
      <c r="G58" s="53" t="s">
        <v>83</v>
      </c>
      <c r="H58" s="3">
        <v>3</v>
      </c>
      <c r="I58" s="51">
        <v>1980000</v>
      </c>
      <c r="J58" s="36" t="s">
        <v>64</v>
      </c>
      <c r="K58" s="3">
        <v>0</v>
      </c>
      <c r="L58" s="3" t="s">
        <v>68</v>
      </c>
      <c r="M58" s="54" t="s">
        <v>81</v>
      </c>
      <c r="N58" s="4">
        <v>9500</v>
      </c>
      <c r="O58" s="3">
        <v>300</v>
      </c>
      <c r="P58" s="3">
        <v>180000</v>
      </c>
      <c r="Q58" s="3">
        <v>16000</v>
      </c>
      <c r="R58" s="3">
        <v>15000</v>
      </c>
      <c r="S58" s="3">
        <v>16008</v>
      </c>
      <c r="T58" s="50">
        <v>20</v>
      </c>
      <c r="U58" s="50">
        <v>0</v>
      </c>
      <c r="V58" t="s">
        <v>65</v>
      </c>
      <c r="W58" s="8" t="s">
        <v>86</v>
      </c>
      <c r="X58" s="3">
        <v>1</v>
      </c>
      <c r="Y58" s="57">
        <v>0</v>
      </c>
    </row>
  </sheetData>
  <autoFilter xmlns:etc="http://www.wps.cn/officeDocument/2017/etCustomData" ref="A1:S58" etc:filterBottomFollowUsedRange="0">
    <extLst/>
  </autoFilter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Room_Bet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2025-12-31T07:54:05Z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