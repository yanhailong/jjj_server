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<sst xmlns="http://schemas.openxmlformats.org/spreadsheetml/2006/main" count="2138" uniqueCount="370">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</sst>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49" fontId="1" fillId="6" borderId="0" xfId="56" applyNumberFormat="1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0" fontId="2" fillId="5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7" borderId="0" xfId="52" applyFont="1" applyFill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0"/>
  <sheetViews>
    <sheetView tabSelected="1" zoomScale="90" zoomScaleNormal="90" workbookViewId="0">
      <pane ySplit="4" topLeftCell="A251" activePane="bottomLeft" state="frozen"/>
      <selection/>
      <selection pane="bottomLeft" activeCell="I268" sqref="I268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9" t="s">
        <v>9</v>
      </c>
      <c r="L1" s="8" t="s">
        <v>10</v>
      </c>
      <c r="M1" s="10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</row>
    <row r="2" s="1" customFormat="1" spans="1:21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12" t="s">
        <v>21</v>
      </c>
      <c r="L2" s="2" t="s">
        <v>20</v>
      </c>
      <c r="M2" s="2" t="s">
        <v>22</v>
      </c>
      <c r="N2" s="13"/>
      <c r="O2" s="2"/>
      <c r="P2" s="13"/>
      <c r="Q2" s="13"/>
      <c r="R2" s="2"/>
    </row>
    <row r="3" s="1" customFormat="1" spans="1:21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12" t="s">
        <v>30</v>
      </c>
      <c r="L3" s="2" t="s">
        <v>31</v>
      </c>
      <c r="M3" s="2" t="s">
        <v>32</v>
      </c>
      <c r="N3" s="13"/>
      <c r="O3" s="2"/>
      <c r="P3" s="13"/>
      <c r="Q3" s="13"/>
      <c r="R3" s="2"/>
    </row>
    <row r="4" s="1" customFormat="1" spans="1:21">
      <c r="A4" s="2"/>
      <c r="B4" s="2"/>
      <c r="C4" s="3"/>
      <c r="D4" s="2"/>
      <c r="E4" s="2"/>
      <c r="F4" s="2"/>
      <c r="G4" s="2"/>
      <c r="H4" s="2"/>
      <c r="I4" s="2"/>
      <c r="J4" s="2"/>
      <c r="K4" s="12"/>
      <c r="L4" s="2"/>
      <c r="M4" s="4"/>
      <c r="N4" s="13"/>
      <c r="O4" s="2"/>
      <c r="P4" s="13"/>
      <c r="Q4" s="13"/>
      <c r="R4" s="2"/>
    </row>
    <row r="5" spans="1:21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4" t="s">
        <v>36</v>
      </c>
      <c r="N5" s="15" t="s">
        <v>37</v>
      </c>
      <c r="O5" s="2">
        <v>20010001</v>
      </c>
      <c r="P5" s="15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4" t="s">
        <v>40</v>
      </c>
      <c r="N6" s="15" t="s">
        <v>41</v>
      </c>
      <c r="O6" s="2">
        <v>20010003</v>
      </c>
      <c r="R6" s="2" t="s">
        <v>38</v>
      </c>
      <c r="U6" s="16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4" t="s">
        <v>40</v>
      </c>
      <c r="N7" s="15" t="s">
        <v>41</v>
      </c>
      <c r="O7" s="2">
        <v>20010003</v>
      </c>
      <c r="R7" s="2" t="s">
        <v>38</v>
      </c>
      <c r="U7" s="16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4" t="s">
        <v>40</v>
      </c>
      <c r="N8" s="15" t="s">
        <v>41</v>
      </c>
      <c r="O8" s="2">
        <v>20010003</v>
      </c>
      <c r="R8" s="2" t="s">
        <v>38</v>
      </c>
      <c r="U8" s="16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4" t="s">
        <v>40</v>
      </c>
      <c r="N9" s="15" t="s">
        <v>41</v>
      </c>
      <c r="O9" s="2">
        <v>20010003</v>
      </c>
      <c r="R9" s="2" t="s">
        <v>38</v>
      </c>
      <c r="U9" s="16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4" t="s">
        <v>40</v>
      </c>
      <c r="N10" s="15" t="s">
        <v>41</v>
      </c>
      <c r="O10" s="2">
        <v>20010003</v>
      </c>
      <c r="R10" s="2" t="s">
        <v>38</v>
      </c>
      <c r="U10" s="16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4" t="s">
        <v>36</v>
      </c>
      <c r="N11" s="15" t="s">
        <v>37</v>
      </c>
      <c r="O11" s="2">
        <v>20010001</v>
      </c>
      <c r="P11" s="15"/>
      <c r="R11" s="2" t="s">
        <v>38</v>
      </c>
      <c r="U11" s="16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4" t="s">
        <v>36</v>
      </c>
      <c r="N12" s="15" t="s">
        <v>37</v>
      </c>
      <c r="O12" s="2">
        <v>20010001</v>
      </c>
      <c r="P12" s="15"/>
      <c r="R12" s="2" t="s">
        <v>38</v>
      </c>
      <c r="U12" s="16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4" t="s">
        <v>36</v>
      </c>
      <c r="N13" s="15" t="s">
        <v>37</v>
      </c>
      <c r="O13" s="2">
        <v>20010001</v>
      </c>
      <c r="P13" s="15"/>
      <c r="R13" s="2" t="s">
        <v>38</v>
      </c>
      <c r="U13" s="16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4" t="s">
        <v>36</v>
      </c>
      <c r="N14" s="15" t="s">
        <v>37</v>
      </c>
      <c r="O14" s="2">
        <v>20010001</v>
      </c>
      <c r="P14" s="15"/>
      <c r="R14" s="2" t="s">
        <v>38</v>
      </c>
      <c r="U14" s="16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4" t="s">
        <v>36</v>
      </c>
      <c r="N15" s="15" t="s">
        <v>37</v>
      </c>
      <c r="O15" s="2">
        <v>20010001</v>
      </c>
      <c r="P15" s="15"/>
      <c r="R15" s="2" t="s">
        <v>38</v>
      </c>
      <c r="U15" s="16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4" t="s">
        <v>47</v>
      </c>
      <c r="N16" s="15" t="s">
        <v>48</v>
      </c>
      <c r="O16" s="2">
        <v>20010002</v>
      </c>
      <c r="P16" s="15"/>
      <c r="R16" s="2" t="s">
        <v>38</v>
      </c>
      <c r="U16" s="16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4" t="s">
        <v>40</v>
      </c>
      <c r="N17" s="15" t="s">
        <v>41</v>
      </c>
      <c r="O17" s="2">
        <v>20010003</v>
      </c>
      <c r="R17" s="2" t="s">
        <v>38</v>
      </c>
      <c r="U17" s="16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4" t="s">
        <v>40</v>
      </c>
      <c r="N18" s="15" t="s">
        <v>41</v>
      </c>
      <c r="O18" s="2">
        <v>20010003</v>
      </c>
      <c r="R18" s="2" t="s">
        <v>38</v>
      </c>
      <c r="U18" s="16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4" t="s">
        <v>40</v>
      </c>
      <c r="N19" s="15" t="s">
        <v>41</v>
      </c>
      <c r="O19" s="2">
        <v>20010003</v>
      </c>
      <c r="R19" s="2" t="s">
        <v>38</v>
      </c>
      <c r="U19" s="16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4" t="s">
        <v>40</v>
      </c>
      <c r="N20" s="15" t="s">
        <v>41</v>
      </c>
      <c r="O20" s="2">
        <v>20010003</v>
      </c>
      <c r="R20" s="2" t="s">
        <v>38</v>
      </c>
      <c r="U20" s="16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4" t="s">
        <v>40</v>
      </c>
      <c r="N21" s="15" t="s">
        <v>41</v>
      </c>
      <c r="O21" s="2">
        <v>20010003</v>
      </c>
      <c r="R21" s="2" t="s">
        <v>38</v>
      </c>
      <c r="U21" s="16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4" t="s">
        <v>47</v>
      </c>
      <c r="N22" s="15" t="s">
        <v>48</v>
      </c>
      <c r="O22" s="2">
        <v>20010002</v>
      </c>
      <c r="P22" s="15"/>
      <c r="R22" s="2" t="s">
        <v>38</v>
      </c>
      <c r="U22" s="16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4" t="s">
        <v>47</v>
      </c>
      <c r="N23" s="15" t="s">
        <v>48</v>
      </c>
      <c r="O23" s="2">
        <v>20010002</v>
      </c>
      <c r="P23" s="15"/>
      <c r="R23" s="2" t="s">
        <v>38</v>
      </c>
      <c r="U23" s="16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4" t="s">
        <v>47</v>
      </c>
      <c r="N24" s="15" t="s">
        <v>48</v>
      </c>
      <c r="O24" s="2">
        <v>20010002</v>
      </c>
      <c r="P24" s="15"/>
      <c r="R24" s="2" t="s">
        <v>38</v>
      </c>
      <c r="U24" s="16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4" t="s">
        <v>47</v>
      </c>
      <c r="N25" s="15" t="s">
        <v>48</v>
      </c>
      <c r="O25" s="2">
        <v>20010002</v>
      </c>
      <c r="P25" s="15"/>
      <c r="R25" s="2" t="s">
        <v>38</v>
      </c>
      <c r="U25" s="16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4" t="s">
        <v>47</v>
      </c>
      <c r="N26" s="15" t="s">
        <v>48</v>
      </c>
      <c r="O26" s="2">
        <v>20010002</v>
      </c>
      <c r="P26" s="15"/>
      <c r="R26" s="2" t="s">
        <v>38</v>
      </c>
      <c r="U26" s="16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4" t="s">
        <v>56</v>
      </c>
      <c r="N27" s="2" t="s">
        <v>55</v>
      </c>
      <c r="P27" s="15"/>
      <c r="R27" s="2" t="s">
        <v>38</v>
      </c>
      <c r="U27" s="16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4" t="s">
        <v>58</v>
      </c>
      <c r="N28" s="2" t="s">
        <v>57</v>
      </c>
      <c r="R28" s="2" t="s">
        <v>38</v>
      </c>
      <c r="U28" s="16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4" t="s">
        <v>60</v>
      </c>
      <c r="N29" s="2" t="s">
        <v>55</v>
      </c>
      <c r="O29" s="16">
        <v>20010101</v>
      </c>
      <c r="P29" s="2" t="s">
        <v>57</v>
      </c>
      <c r="Q29" s="16">
        <v>20010102</v>
      </c>
      <c r="R29" s="2" t="s">
        <v>38</v>
      </c>
      <c r="U29" s="16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4">
        <v>20010103</v>
      </c>
      <c r="N30" s="2" t="s">
        <v>59</v>
      </c>
      <c r="P30" s="15"/>
      <c r="R30" s="2" t="s">
        <v>38</v>
      </c>
      <c r="U30" s="16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4">
        <v>20030002</v>
      </c>
      <c r="N31" s="15" t="s">
        <v>63</v>
      </c>
      <c r="O31" s="2">
        <v>20030002</v>
      </c>
      <c r="P31" s="15"/>
      <c r="R31" s="2" t="s">
        <v>38</v>
      </c>
      <c r="U31" s="16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4">
        <v>20030002</v>
      </c>
      <c r="N32" s="15" t="s">
        <v>63</v>
      </c>
      <c r="O32" s="2">
        <v>20030002</v>
      </c>
      <c r="P32" s="15"/>
      <c r="R32" s="2" t="s">
        <v>38</v>
      </c>
      <c r="U32" s="16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4">
        <v>20030001</v>
      </c>
      <c r="N33" s="15" t="s">
        <v>66</v>
      </c>
      <c r="O33" s="2">
        <v>20030001</v>
      </c>
      <c r="P33" s="15"/>
      <c r="R33" s="2" t="s">
        <v>38</v>
      </c>
      <c r="U33" s="16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4">
        <v>20030001</v>
      </c>
      <c r="N34" s="15" t="s">
        <v>66</v>
      </c>
      <c r="O34" s="2">
        <v>20030001</v>
      </c>
      <c r="P34" s="15"/>
      <c r="R34" s="2" t="s">
        <v>38</v>
      </c>
      <c r="U34" s="16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4">
        <v>20030001</v>
      </c>
      <c r="N35" s="15" t="s">
        <v>66</v>
      </c>
      <c r="O35" s="2">
        <v>20030001</v>
      </c>
      <c r="P35" s="15"/>
      <c r="R35" s="2" t="s">
        <v>38</v>
      </c>
      <c r="U35" s="16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4">
        <v>20030009</v>
      </c>
      <c r="N36" s="15" t="s">
        <v>69</v>
      </c>
      <c r="O36" s="2">
        <v>20030009</v>
      </c>
      <c r="P36" s="15"/>
      <c r="R36" s="2" t="s">
        <v>38</v>
      </c>
      <c r="U36" s="16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4">
        <v>20030006</v>
      </c>
      <c r="N37" s="15" t="s">
        <v>71</v>
      </c>
      <c r="O37" s="2">
        <v>20030006</v>
      </c>
      <c r="P37" s="15"/>
      <c r="R37" s="2" t="s">
        <v>38</v>
      </c>
      <c r="U37" s="16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4">
        <v>20030006</v>
      </c>
      <c r="N38" s="15" t="s">
        <v>71</v>
      </c>
      <c r="O38" s="2">
        <v>20030006</v>
      </c>
      <c r="P38" s="15"/>
      <c r="R38" s="2" t="s">
        <v>38</v>
      </c>
      <c r="U38" s="16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4">
        <v>20030006</v>
      </c>
      <c r="N39" s="15" t="s">
        <v>71</v>
      </c>
      <c r="O39" s="2">
        <v>20030006</v>
      </c>
      <c r="P39" s="15"/>
      <c r="R39" s="2" t="s">
        <v>38</v>
      </c>
      <c r="U39" s="16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4">
        <v>20030005</v>
      </c>
      <c r="N40" s="15" t="s">
        <v>75</v>
      </c>
      <c r="O40" s="2">
        <v>20030005</v>
      </c>
      <c r="P40" s="15"/>
      <c r="R40" s="2" t="s">
        <v>38</v>
      </c>
      <c r="U40" s="16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4">
        <v>20030005</v>
      </c>
      <c r="N41" s="15" t="s">
        <v>75</v>
      </c>
      <c r="O41" s="2">
        <v>20030005</v>
      </c>
      <c r="P41" s="15"/>
      <c r="R41" s="2" t="s">
        <v>38</v>
      </c>
      <c r="U41" s="16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4">
        <v>20030005</v>
      </c>
      <c r="N42" s="15" t="s">
        <v>75</v>
      </c>
      <c r="O42" s="2">
        <v>20030005</v>
      </c>
      <c r="P42" s="15"/>
      <c r="R42" s="2" t="s">
        <v>38</v>
      </c>
      <c r="U42" s="16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17">
        <v>2</v>
      </c>
      <c r="H43" s="2" t="s">
        <v>79</v>
      </c>
      <c r="I43" s="2">
        <v>0</v>
      </c>
      <c r="J43" s="2">
        <v>0</v>
      </c>
      <c r="L43" s="2">
        <v>1</v>
      </c>
      <c r="M43" s="14" t="s">
        <v>80</v>
      </c>
      <c r="N43" s="15"/>
      <c r="O43" s="2" t="s">
        <v>81</v>
      </c>
      <c r="P43" s="15"/>
      <c r="R43" s="2" t="s">
        <v>38</v>
      </c>
      <c r="U43" s="16"/>
    </row>
    <row r="44" spans="1:21">
      <c r="A44" s="2">
        <v>200300014</v>
      </c>
      <c r="B44" s="3">
        <v>200300</v>
      </c>
      <c r="C44" s="3" t="s">
        <v>61</v>
      </c>
      <c r="D44" s="2" t="s">
        <v>82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4">
        <v>20030012</v>
      </c>
      <c r="N44" s="15" t="s">
        <v>83</v>
      </c>
      <c r="O44" s="2">
        <v>20030012</v>
      </c>
      <c r="P44" s="15"/>
      <c r="R44" s="2" t="s">
        <v>38</v>
      </c>
      <c r="U44" s="16"/>
    </row>
    <row r="45" spans="1:21">
      <c r="A45" s="2">
        <v>200300015</v>
      </c>
      <c r="B45" s="3">
        <v>200300</v>
      </c>
      <c r="C45" s="3" t="s">
        <v>61</v>
      </c>
      <c r="D45" s="2" t="s">
        <v>84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4">
        <v>20030012</v>
      </c>
      <c r="N45" s="15" t="s">
        <v>83</v>
      </c>
      <c r="O45" s="2">
        <v>20030012</v>
      </c>
      <c r="P45" s="15"/>
      <c r="R45" s="2" t="s">
        <v>38</v>
      </c>
      <c r="U45" s="16"/>
    </row>
    <row r="46" spans="1:21">
      <c r="A46" s="2">
        <v>200300016</v>
      </c>
      <c r="B46" s="3">
        <v>200300</v>
      </c>
      <c r="C46" s="3" t="s">
        <v>61</v>
      </c>
      <c r="D46" s="2" t="s">
        <v>85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4">
        <v>20030012</v>
      </c>
      <c r="N46" s="15" t="s">
        <v>83</v>
      </c>
      <c r="O46" s="2">
        <v>20030012</v>
      </c>
      <c r="P46" s="15"/>
      <c r="R46" s="2" t="s">
        <v>38</v>
      </c>
      <c r="U46" s="16"/>
    </row>
    <row r="47" spans="1:21">
      <c r="A47" s="2">
        <v>200300017</v>
      </c>
      <c r="B47" s="3">
        <v>200300</v>
      </c>
      <c r="C47" s="3" t="s">
        <v>61</v>
      </c>
      <c r="D47" s="2" t="s">
        <v>86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4">
        <v>20030011</v>
      </c>
      <c r="N47" s="15" t="s">
        <v>87</v>
      </c>
      <c r="O47" s="2">
        <v>20030011</v>
      </c>
      <c r="P47" s="15"/>
      <c r="R47" s="2" t="s">
        <v>38</v>
      </c>
      <c r="U47" s="16"/>
    </row>
    <row r="48" spans="1:21">
      <c r="A48" s="2">
        <v>200300018</v>
      </c>
      <c r="B48" s="3">
        <v>200300</v>
      </c>
      <c r="C48" s="3" t="s">
        <v>61</v>
      </c>
      <c r="D48" s="2" t="s">
        <v>88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4">
        <v>20030011</v>
      </c>
      <c r="N48" s="15" t="s">
        <v>87</v>
      </c>
      <c r="O48" s="2">
        <v>20030011</v>
      </c>
      <c r="P48" s="15"/>
      <c r="R48" s="2" t="s">
        <v>38</v>
      </c>
      <c r="U48" s="16"/>
    </row>
    <row r="49" spans="1:21">
      <c r="A49" s="2">
        <v>200300019</v>
      </c>
      <c r="B49" s="3">
        <v>200300</v>
      </c>
      <c r="C49" s="3" t="s">
        <v>61</v>
      </c>
      <c r="D49" s="2" t="s">
        <v>89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4">
        <v>20030011</v>
      </c>
      <c r="N49" s="15" t="s">
        <v>87</v>
      </c>
      <c r="O49" s="2">
        <v>20030011</v>
      </c>
      <c r="P49" s="15"/>
      <c r="R49" s="2" t="s">
        <v>38</v>
      </c>
      <c r="U49" s="16"/>
    </row>
    <row r="50" spans="1:21">
      <c r="A50" s="2">
        <v>200300020</v>
      </c>
      <c r="B50" s="3">
        <v>200300</v>
      </c>
      <c r="C50" s="3" t="s">
        <v>61</v>
      </c>
      <c r="D50" s="2" t="s">
        <v>90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4">
        <v>20030010</v>
      </c>
      <c r="N50" s="15" t="s">
        <v>90</v>
      </c>
      <c r="O50" s="2">
        <v>20030010</v>
      </c>
      <c r="P50" s="15"/>
      <c r="R50" s="2" t="s">
        <v>38</v>
      </c>
      <c r="U50" s="16"/>
    </row>
    <row r="51" spans="1:21">
      <c r="A51" s="2">
        <v>200300021</v>
      </c>
      <c r="B51" s="3">
        <v>200300</v>
      </c>
      <c r="C51" s="3" t="s">
        <v>61</v>
      </c>
      <c r="D51" s="2" t="s">
        <v>91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4">
        <v>20030008</v>
      </c>
      <c r="N51" s="15" t="s">
        <v>92</v>
      </c>
      <c r="O51" s="2">
        <v>20030008</v>
      </c>
      <c r="P51" s="15"/>
      <c r="R51" s="2" t="s">
        <v>38</v>
      </c>
      <c r="U51" s="16"/>
    </row>
    <row r="52" spans="1:21">
      <c r="A52" s="2">
        <v>200300022</v>
      </c>
      <c r="B52" s="3">
        <v>200300</v>
      </c>
      <c r="C52" s="3" t="s">
        <v>61</v>
      </c>
      <c r="D52" s="2" t="s">
        <v>93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4">
        <v>20030008</v>
      </c>
      <c r="N52" s="15" t="s">
        <v>92</v>
      </c>
      <c r="O52" s="2">
        <v>20030008</v>
      </c>
      <c r="P52" s="15"/>
      <c r="R52" s="2" t="s">
        <v>38</v>
      </c>
      <c r="U52" s="16"/>
    </row>
    <row r="53" spans="1:21">
      <c r="A53" s="2">
        <v>200300023</v>
      </c>
      <c r="B53" s="3">
        <v>200300</v>
      </c>
      <c r="C53" s="3" t="s">
        <v>61</v>
      </c>
      <c r="D53" s="2" t="s">
        <v>94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4">
        <v>20030008</v>
      </c>
      <c r="N53" s="15" t="s">
        <v>92</v>
      </c>
      <c r="O53" s="2">
        <v>20030008</v>
      </c>
      <c r="P53" s="15"/>
      <c r="R53" s="2" t="s">
        <v>38</v>
      </c>
      <c r="U53" s="16"/>
    </row>
    <row r="54" spans="1:21">
      <c r="A54" s="2">
        <v>200300024</v>
      </c>
      <c r="B54" s="3">
        <v>200300</v>
      </c>
      <c r="C54" s="3" t="s">
        <v>61</v>
      </c>
      <c r="D54" s="2" t="s">
        <v>95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4">
        <v>20030007</v>
      </c>
      <c r="N54" s="15" t="s">
        <v>96</v>
      </c>
      <c r="O54" s="2">
        <v>20030007</v>
      </c>
      <c r="P54" s="15"/>
      <c r="R54" s="2" t="s">
        <v>38</v>
      </c>
      <c r="U54" s="16"/>
    </row>
    <row r="55" spans="1:21">
      <c r="A55" s="2">
        <v>200300025</v>
      </c>
      <c r="B55" s="3">
        <v>200300</v>
      </c>
      <c r="C55" s="3" t="s">
        <v>61</v>
      </c>
      <c r="D55" s="2" t="s">
        <v>97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4">
        <v>20030007</v>
      </c>
      <c r="N55" s="15" t="s">
        <v>96</v>
      </c>
      <c r="O55" s="2">
        <v>20030007</v>
      </c>
      <c r="P55" s="15"/>
      <c r="R55" s="2" t="s">
        <v>38</v>
      </c>
      <c r="U55" s="16"/>
    </row>
    <row r="56" spans="1:21">
      <c r="A56" s="2">
        <v>200300026</v>
      </c>
      <c r="B56" s="3">
        <v>200300</v>
      </c>
      <c r="C56" s="3" t="s">
        <v>61</v>
      </c>
      <c r="D56" s="2" t="s">
        <v>98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4">
        <v>20030007</v>
      </c>
      <c r="N56" s="15" t="s">
        <v>96</v>
      </c>
      <c r="O56" s="2">
        <v>20030007</v>
      </c>
      <c r="P56" s="15"/>
      <c r="R56" s="2" t="s">
        <v>38</v>
      </c>
      <c r="U56" s="16"/>
    </row>
    <row r="57" spans="1:21">
      <c r="A57" s="2">
        <v>200300027</v>
      </c>
      <c r="B57" s="3">
        <v>200300</v>
      </c>
      <c r="C57" s="3" t="s">
        <v>61</v>
      </c>
      <c r="D57" s="2" t="s">
        <v>99</v>
      </c>
      <c r="E57" s="2">
        <v>27</v>
      </c>
      <c r="F57" s="2">
        <v>3</v>
      </c>
      <c r="G57" s="17">
        <v>1</v>
      </c>
      <c r="H57" s="2" t="s">
        <v>79</v>
      </c>
      <c r="I57" s="2">
        <v>0</v>
      </c>
      <c r="J57" s="2">
        <v>0</v>
      </c>
      <c r="L57" s="2">
        <v>1</v>
      </c>
      <c r="M57" s="14"/>
      <c r="N57" s="15"/>
      <c r="O57" s="2" t="s">
        <v>81</v>
      </c>
      <c r="P57" s="15"/>
      <c r="R57" s="2" t="s">
        <v>38</v>
      </c>
      <c r="U57" s="16"/>
    </row>
    <row r="58" spans="1:21">
      <c r="A58" s="2">
        <v>200300028</v>
      </c>
      <c r="B58" s="3">
        <v>200300</v>
      </c>
      <c r="C58" s="3" t="s">
        <v>61</v>
      </c>
      <c r="D58" s="2" t="s">
        <v>100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4">
        <v>20030002</v>
      </c>
      <c r="N58" s="15" t="s">
        <v>63</v>
      </c>
      <c r="O58" s="2">
        <v>20030002</v>
      </c>
      <c r="P58" s="15"/>
      <c r="R58" s="2" t="s">
        <v>38</v>
      </c>
      <c r="U58" s="16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4">
        <v>20030003</v>
      </c>
      <c r="N59" s="15" t="s">
        <v>101</v>
      </c>
      <c r="O59" s="2">
        <v>20030003</v>
      </c>
      <c r="R59" s="2" t="s">
        <v>38</v>
      </c>
      <c r="U59" s="16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4">
        <v>20030003</v>
      </c>
      <c r="N60" s="15" t="s">
        <v>101</v>
      </c>
      <c r="O60" s="2">
        <v>20030003</v>
      </c>
      <c r="R60" s="2" t="s">
        <v>38</v>
      </c>
      <c r="U60" s="16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4">
        <v>20030003</v>
      </c>
      <c r="N61" s="15" t="s">
        <v>101</v>
      </c>
      <c r="O61" s="2">
        <v>20030003</v>
      </c>
      <c r="R61" s="2" t="s">
        <v>38</v>
      </c>
      <c r="U61" s="16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4">
        <v>20030003</v>
      </c>
      <c r="N62" s="15" t="s">
        <v>101</v>
      </c>
      <c r="O62" s="2">
        <v>20030003</v>
      </c>
      <c r="R62" s="2" t="s">
        <v>38</v>
      </c>
      <c r="U62" s="16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4">
        <v>20030003</v>
      </c>
      <c r="N63" s="15" t="s">
        <v>101</v>
      </c>
      <c r="O63" s="2">
        <v>20030003</v>
      </c>
      <c r="R63" s="2" t="s">
        <v>38</v>
      </c>
      <c r="U63" s="16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4">
        <v>20030004</v>
      </c>
      <c r="N64" s="15" t="s">
        <v>102</v>
      </c>
      <c r="O64" s="2">
        <v>20030004</v>
      </c>
      <c r="R64" s="2" t="s">
        <v>38</v>
      </c>
      <c r="U64" s="16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4">
        <v>20030004</v>
      </c>
      <c r="N65" s="15" t="s">
        <v>102</v>
      </c>
      <c r="O65" s="2">
        <v>20030004</v>
      </c>
      <c r="R65" s="2" t="s">
        <v>38</v>
      </c>
      <c r="U65" s="16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4">
        <v>20030004</v>
      </c>
      <c r="N66" s="15" t="s">
        <v>102</v>
      </c>
      <c r="O66" s="2">
        <v>20030004</v>
      </c>
      <c r="R66" s="2" t="s">
        <v>38</v>
      </c>
      <c r="U66" s="16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4">
        <v>20030004</v>
      </c>
      <c r="N67" s="15" t="s">
        <v>102</v>
      </c>
      <c r="O67" s="2">
        <v>20030004</v>
      </c>
      <c r="R67" s="2" t="s">
        <v>38</v>
      </c>
      <c r="U67" s="16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4">
        <v>20030004</v>
      </c>
      <c r="N68" s="15" t="s">
        <v>102</v>
      </c>
      <c r="O68" s="2">
        <v>20030004</v>
      </c>
      <c r="R68" s="2" t="s">
        <v>38</v>
      </c>
      <c r="U68" s="16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4">
        <v>20030004</v>
      </c>
      <c r="N69" s="15" t="s">
        <v>102</v>
      </c>
      <c r="O69" s="2">
        <v>20030004</v>
      </c>
      <c r="R69" s="2" t="s">
        <v>38</v>
      </c>
      <c r="U69" s="16"/>
    </row>
    <row r="70" spans="1:21">
      <c r="A70" s="2">
        <v>200300040</v>
      </c>
      <c r="B70" s="3">
        <v>200300</v>
      </c>
      <c r="C70" s="3" t="s">
        <v>61</v>
      </c>
      <c r="D70" s="2" t="s">
        <v>82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4">
        <v>20030004</v>
      </c>
      <c r="N70" s="15" t="s">
        <v>102</v>
      </c>
      <c r="O70" s="2">
        <v>20030004</v>
      </c>
      <c r="R70" s="2" t="s">
        <v>38</v>
      </c>
      <c r="U70" s="16"/>
    </row>
    <row r="71" spans="1:21">
      <c r="A71" s="2">
        <v>200300041</v>
      </c>
      <c r="B71" s="3">
        <v>200300</v>
      </c>
      <c r="C71" s="3" t="s">
        <v>61</v>
      </c>
      <c r="D71" s="2" t="s">
        <v>84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4">
        <v>20030004</v>
      </c>
      <c r="N71" s="15" t="s">
        <v>102</v>
      </c>
      <c r="O71" s="2">
        <v>20030004</v>
      </c>
      <c r="R71" s="2" t="s">
        <v>38</v>
      </c>
      <c r="U71" s="16"/>
    </row>
    <row r="72" spans="1:21">
      <c r="A72" s="2">
        <v>200300042</v>
      </c>
      <c r="B72" s="3">
        <v>200300</v>
      </c>
      <c r="C72" s="3" t="s">
        <v>61</v>
      </c>
      <c r="D72" s="2" t="s">
        <v>85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4">
        <v>20030004</v>
      </c>
      <c r="N72" s="15" t="s">
        <v>102</v>
      </c>
      <c r="O72" s="2">
        <v>20030004</v>
      </c>
      <c r="R72" s="2" t="s">
        <v>38</v>
      </c>
      <c r="U72" s="16"/>
    </row>
    <row r="73" spans="1:21">
      <c r="A73" s="2">
        <v>200300043</v>
      </c>
      <c r="B73" s="3">
        <v>200300</v>
      </c>
      <c r="C73" s="3" t="s">
        <v>61</v>
      </c>
      <c r="D73" s="2" t="s">
        <v>86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4">
        <v>20030004</v>
      </c>
      <c r="N73" s="15" t="s">
        <v>102</v>
      </c>
      <c r="O73" s="2">
        <v>20030004</v>
      </c>
      <c r="R73" s="2" t="s">
        <v>38</v>
      </c>
      <c r="U73" s="16"/>
    </row>
    <row r="74" spans="1:21">
      <c r="A74" s="2">
        <v>200300044</v>
      </c>
      <c r="B74" s="3">
        <v>200300</v>
      </c>
      <c r="C74" s="3" t="s">
        <v>61</v>
      </c>
      <c r="D74" s="2" t="s">
        <v>88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4">
        <v>20030004</v>
      </c>
      <c r="N74" s="15" t="s">
        <v>102</v>
      </c>
      <c r="O74" s="2">
        <v>20030004</v>
      </c>
      <c r="R74" s="2" t="s">
        <v>38</v>
      </c>
      <c r="U74" s="16"/>
    </row>
    <row r="75" spans="1:21">
      <c r="A75" s="2">
        <v>200300045</v>
      </c>
      <c r="B75" s="3">
        <v>200300</v>
      </c>
      <c r="C75" s="3" t="s">
        <v>61</v>
      </c>
      <c r="D75" s="2" t="s">
        <v>89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4">
        <v>20030004</v>
      </c>
      <c r="N75" s="15" t="s">
        <v>102</v>
      </c>
      <c r="O75" s="2">
        <v>20030004</v>
      </c>
      <c r="R75" s="2" t="s">
        <v>38</v>
      </c>
      <c r="U75" s="16"/>
    </row>
    <row r="76" spans="1:21">
      <c r="A76" s="2">
        <v>200300046</v>
      </c>
      <c r="B76" s="3">
        <v>200300</v>
      </c>
      <c r="C76" s="3" t="s">
        <v>61</v>
      </c>
      <c r="D76" s="2" t="s">
        <v>91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4">
        <v>20030003</v>
      </c>
      <c r="N76" s="15" t="s">
        <v>101</v>
      </c>
      <c r="O76" s="2">
        <v>20030003</v>
      </c>
      <c r="R76" s="2" t="s">
        <v>38</v>
      </c>
      <c r="U76" s="16"/>
    </row>
    <row r="77" spans="1:21">
      <c r="A77" s="2">
        <v>200300047</v>
      </c>
      <c r="B77" s="3">
        <v>200300</v>
      </c>
      <c r="C77" s="3" t="s">
        <v>61</v>
      </c>
      <c r="D77" s="2" t="s">
        <v>93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4">
        <v>20030003</v>
      </c>
      <c r="N77" s="15" t="s">
        <v>101</v>
      </c>
      <c r="O77" s="2">
        <v>20030003</v>
      </c>
      <c r="R77" s="2" t="s">
        <v>38</v>
      </c>
      <c r="U77" s="16"/>
    </row>
    <row r="78" spans="1:21">
      <c r="A78" s="2">
        <v>200300048</v>
      </c>
      <c r="B78" s="3">
        <v>200300</v>
      </c>
      <c r="C78" s="3" t="s">
        <v>61</v>
      </c>
      <c r="D78" s="2" t="s">
        <v>94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4">
        <v>20030003</v>
      </c>
      <c r="N78" s="15" t="s">
        <v>101</v>
      </c>
      <c r="O78" s="2">
        <v>20030003</v>
      </c>
      <c r="R78" s="2" t="s">
        <v>38</v>
      </c>
      <c r="U78" s="16"/>
    </row>
    <row r="79" spans="1:21">
      <c r="A79" s="2">
        <v>200300049</v>
      </c>
      <c r="B79" s="3">
        <v>200300</v>
      </c>
      <c r="C79" s="3" t="s">
        <v>61</v>
      </c>
      <c r="D79" s="2" t="s">
        <v>95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4">
        <v>20030003</v>
      </c>
      <c r="N79" s="15" t="s">
        <v>101</v>
      </c>
      <c r="O79" s="2">
        <v>20030003</v>
      </c>
      <c r="R79" s="2" t="s">
        <v>38</v>
      </c>
      <c r="U79" s="16"/>
    </row>
    <row r="80" spans="1:21">
      <c r="A80" s="2">
        <v>200300050</v>
      </c>
      <c r="B80" s="3">
        <v>200300</v>
      </c>
      <c r="C80" s="3" t="s">
        <v>61</v>
      </c>
      <c r="D80" s="2" t="s">
        <v>97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4">
        <v>20030003</v>
      </c>
      <c r="N80" s="15" t="s">
        <v>101</v>
      </c>
      <c r="O80" s="2">
        <v>20030003</v>
      </c>
      <c r="R80" s="2" t="s">
        <v>38</v>
      </c>
      <c r="U80" s="16"/>
    </row>
    <row r="81" spans="1:21">
      <c r="A81" s="2">
        <v>200300051</v>
      </c>
      <c r="B81" s="3">
        <v>200300</v>
      </c>
      <c r="C81" s="3" t="s">
        <v>61</v>
      </c>
      <c r="D81" s="2" t="s">
        <v>98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4">
        <v>20030003</v>
      </c>
      <c r="N81" s="15" t="s">
        <v>101</v>
      </c>
      <c r="O81" s="2">
        <v>20030003</v>
      </c>
      <c r="R81" s="2" t="s">
        <v>38</v>
      </c>
      <c r="U81" s="16"/>
    </row>
    <row r="82" spans="1:21">
      <c r="A82" s="2">
        <v>200300052</v>
      </c>
      <c r="B82" s="3">
        <v>200300</v>
      </c>
      <c r="C82" s="3" t="s">
        <v>61</v>
      </c>
      <c r="D82" s="2" t="s">
        <v>100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4">
        <v>20030003</v>
      </c>
      <c r="N82" s="15" t="s">
        <v>101</v>
      </c>
      <c r="O82" s="2">
        <v>20030003</v>
      </c>
      <c r="R82" s="2" t="s">
        <v>38</v>
      </c>
      <c r="U82" s="16"/>
    </row>
    <row r="83" spans="1:21">
      <c r="A83" s="2">
        <v>200400001</v>
      </c>
      <c r="B83" s="3">
        <v>200400</v>
      </c>
      <c r="C83" s="3" t="s">
        <v>103</v>
      </c>
      <c r="D83" s="2" t="s">
        <v>104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4">
        <v>20040003</v>
      </c>
      <c r="N83" s="2" t="s">
        <v>105</v>
      </c>
      <c r="O83" s="2">
        <v>20040003</v>
      </c>
      <c r="R83" s="2" t="s">
        <v>38</v>
      </c>
    </row>
    <row r="84" spans="1:21">
      <c r="A84" s="2">
        <v>200400002</v>
      </c>
      <c r="B84" s="3">
        <v>200400</v>
      </c>
      <c r="C84" s="3" t="s">
        <v>103</v>
      </c>
      <c r="D84" s="2" t="s">
        <v>106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4">
        <v>20040008</v>
      </c>
      <c r="N84" s="2" t="s">
        <v>107</v>
      </c>
      <c r="O84" s="2">
        <v>20040008</v>
      </c>
      <c r="R84" s="2" t="s">
        <v>38</v>
      </c>
    </row>
    <row r="85" spans="1:21">
      <c r="A85" s="2">
        <v>200400003</v>
      </c>
      <c r="B85" s="3">
        <v>200400</v>
      </c>
      <c r="C85" s="3" t="s">
        <v>103</v>
      </c>
      <c r="D85" s="2" t="s">
        <v>108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4">
        <v>20040005</v>
      </c>
      <c r="N85" s="2" t="s">
        <v>109</v>
      </c>
      <c r="O85" s="2">
        <v>20040005</v>
      </c>
      <c r="R85" s="2" t="s">
        <v>38</v>
      </c>
    </row>
    <row r="86" spans="1:21">
      <c r="A86" s="2">
        <v>200400004</v>
      </c>
      <c r="B86" s="3">
        <v>200400</v>
      </c>
      <c r="C86" s="3" t="s">
        <v>103</v>
      </c>
      <c r="D86" s="2" t="s">
        <v>110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4">
        <v>20040001</v>
      </c>
      <c r="N86" s="2" t="s">
        <v>111</v>
      </c>
      <c r="O86" s="2">
        <v>20040001</v>
      </c>
      <c r="R86" s="2" t="s">
        <v>38</v>
      </c>
    </row>
    <row r="87" spans="1:21">
      <c r="A87" s="2">
        <v>200400005</v>
      </c>
      <c r="B87" s="3">
        <v>200400</v>
      </c>
      <c r="C87" s="3" t="s">
        <v>103</v>
      </c>
      <c r="D87" s="2" t="s">
        <v>112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4">
        <v>20040007</v>
      </c>
      <c r="N87" s="2" t="s">
        <v>113</v>
      </c>
      <c r="O87" s="2">
        <v>20040007</v>
      </c>
      <c r="R87" s="2" t="s">
        <v>38</v>
      </c>
    </row>
    <row r="88" spans="1:21">
      <c r="A88" s="2">
        <v>200400006</v>
      </c>
      <c r="B88" s="3">
        <v>200400</v>
      </c>
      <c r="C88" s="3" t="s">
        <v>103</v>
      </c>
      <c r="D88" s="2" t="s">
        <v>114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4">
        <v>20040006</v>
      </c>
      <c r="N88" s="2" t="s">
        <v>115</v>
      </c>
      <c r="O88" s="2">
        <v>20040006</v>
      </c>
      <c r="R88" s="2" t="s">
        <v>38</v>
      </c>
    </row>
    <row r="89" spans="1:21">
      <c r="A89" s="2">
        <v>200400007</v>
      </c>
      <c r="B89" s="3">
        <v>200400</v>
      </c>
      <c r="C89" s="3" t="s">
        <v>103</v>
      </c>
      <c r="D89" s="2" t="s">
        <v>116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4">
        <v>20040004</v>
      </c>
      <c r="N89" s="2" t="s">
        <v>117</v>
      </c>
      <c r="O89" s="2">
        <v>20040004</v>
      </c>
      <c r="R89" s="2" t="s">
        <v>38</v>
      </c>
    </row>
    <row r="90" spans="1:21">
      <c r="A90" s="2">
        <v>200400008</v>
      </c>
      <c r="B90" s="3">
        <v>200400</v>
      </c>
      <c r="C90" s="3" t="s">
        <v>103</v>
      </c>
      <c r="D90" s="2" t="s">
        <v>118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4">
        <v>20040008</v>
      </c>
      <c r="N90" s="2" t="s">
        <v>107</v>
      </c>
      <c r="O90" s="2">
        <v>20040008</v>
      </c>
      <c r="R90" s="2" t="s">
        <v>38</v>
      </c>
    </row>
    <row r="91" spans="1:21">
      <c r="A91" s="2">
        <v>200400009</v>
      </c>
      <c r="B91" s="3">
        <v>200400</v>
      </c>
      <c r="C91" s="3" t="s">
        <v>103</v>
      </c>
      <c r="D91" s="2" t="s">
        <v>119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4">
        <v>20040005</v>
      </c>
      <c r="N91" s="2" t="s">
        <v>109</v>
      </c>
      <c r="O91" s="2">
        <v>20040005</v>
      </c>
      <c r="R91" s="2" t="s">
        <v>38</v>
      </c>
    </row>
    <row r="92" spans="1:21">
      <c r="A92" s="2">
        <v>200400010</v>
      </c>
      <c r="B92" s="3">
        <v>200400</v>
      </c>
      <c r="C92" s="3" t="s">
        <v>103</v>
      </c>
      <c r="D92" s="2" t="s">
        <v>120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4">
        <v>20040002</v>
      </c>
      <c r="N92" s="2" t="s">
        <v>121</v>
      </c>
      <c r="O92" s="2">
        <v>20040002</v>
      </c>
      <c r="R92" s="2" t="s">
        <v>38</v>
      </c>
    </row>
    <row r="93" spans="1:21">
      <c r="A93" s="2">
        <v>200400011</v>
      </c>
      <c r="B93" s="3">
        <v>200400</v>
      </c>
      <c r="C93" s="3" t="s">
        <v>103</v>
      </c>
      <c r="D93" s="2" t="s">
        <v>122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4">
        <v>20040007</v>
      </c>
      <c r="N93" s="2" t="s">
        <v>113</v>
      </c>
      <c r="O93" s="2">
        <v>20040007</v>
      </c>
      <c r="R93" s="2" t="s">
        <v>38</v>
      </c>
    </row>
    <row r="94" spans="1:21">
      <c r="A94" s="2">
        <v>200400012</v>
      </c>
      <c r="B94" s="3">
        <v>200400</v>
      </c>
      <c r="C94" s="3" t="s">
        <v>103</v>
      </c>
      <c r="D94" s="2" t="s">
        <v>123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4">
        <v>20040006</v>
      </c>
      <c r="N94" s="2" t="s">
        <v>115</v>
      </c>
      <c r="O94" s="2">
        <v>20040006</v>
      </c>
      <c r="R94" s="2" t="s">
        <v>38</v>
      </c>
    </row>
    <row r="95" spans="1:21">
      <c r="A95" s="2">
        <v>200400013</v>
      </c>
      <c r="B95" s="3">
        <v>200400</v>
      </c>
      <c r="C95" s="3" t="s">
        <v>103</v>
      </c>
      <c r="D95" s="2" t="s">
        <v>124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4">
        <v>20040003</v>
      </c>
      <c r="N95" s="2" t="s">
        <v>105</v>
      </c>
      <c r="O95" s="2">
        <v>20040003</v>
      </c>
      <c r="R95" s="2" t="s">
        <v>38</v>
      </c>
    </row>
    <row r="96" spans="1:21">
      <c r="A96" s="2">
        <v>200400014</v>
      </c>
      <c r="B96" s="3">
        <v>200400</v>
      </c>
      <c r="C96" s="3" t="s">
        <v>103</v>
      </c>
      <c r="D96" s="2" t="s">
        <v>125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4">
        <v>20040008</v>
      </c>
      <c r="N96" s="2" t="s">
        <v>107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103</v>
      </c>
      <c r="D97" s="2" t="s">
        <v>126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4">
        <v>20040005</v>
      </c>
      <c r="N97" s="2" t="s">
        <v>109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103</v>
      </c>
      <c r="D98" s="2" t="s">
        <v>127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4">
        <v>20040001</v>
      </c>
      <c r="N98" s="2" t="s">
        <v>111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103</v>
      </c>
      <c r="D99" s="2" t="s">
        <v>128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4">
        <v>20040007</v>
      </c>
      <c r="N99" s="2" t="s">
        <v>113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103</v>
      </c>
      <c r="D100" s="2" t="s">
        <v>129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4">
        <v>20040006</v>
      </c>
      <c r="N100" s="2" t="s">
        <v>115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103</v>
      </c>
      <c r="D101" s="2" t="s">
        <v>130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4">
        <v>20040004</v>
      </c>
      <c r="N101" s="2" t="s">
        <v>117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103</v>
      </c>
      <c r="D102" s="2" t="s">
        <v>131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4">
        <v>20040008</v>
      </c>
      <c r="N102" s="2" t="s">
        <v>107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103</v>
      </c>
      <c r="D103" s="2" t="s">
        <v>132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4">
        <v>20040005</v>
      </c>
      <c r="N103" s="2" t="s">
        <v>109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103</v>
      </c>
      <c r="D104" s="2" t="s">
        <v>133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4">
        <v>20040002</v>
      </c>
      <c r="N104" s="2" t="s">
        <v>121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103</v>
      </c>
      <c r="D105" s="2" t="s">
        <v>134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4">
        <v>20040007</v>
      </c>
      <c r="N105" s="2" t="s">
        <v>113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103</v>
      </c>
      <c r="D106" s="2" t="s">
        <v>135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4">
        <v>20040006</v>
      </c>
      <c r="N106" s="2" t="s">
        <v>115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136</v>
      </c>
      <c r="D107" s="2" t="s">
        <v>137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4">
        <v>20050001</v>
      </c>
      <c r="N107" s="2" t="s">
        <v>137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136</v>
      </c>
      <c r="D108" s="2" t="s">
        <v>138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4">
        <v>20050002</v>
      </c>
      <c r="N108" s="2" t="s">
        <v>138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136</v>
      </c>
      <c r="D109" s="2" t="s">
        <v>139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4">
        <v>20050003</v>
      </c>
      <c r="N109" s="2" t="s">
        <v>139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136</v>
      </c>
      <c r="D110" s="2" t="s">
        <v>140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4">
        <v>20050004</v>
      </c>
      <c r="N110" s="2" t="s">
        <v>140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136</v>
      </c>
      <c r="D111" s="2" t="s">
        <v>141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4">
        <v>20050005</v>
      </c>
      <c r="N111" s="2" t="s">
        <v>141</v>
      </c>
      <c r="O111" s="2">
        <v>20050005</v>
      </c>
      <c r="R111" s="2" t="s">
        <v>38</v>
      </c>
    </row>
    <row r="112" spans="1:18">
      <c r="A112" s="2">
        <v>200600001</v>
      </c>
      <c r="B112" s="15">
        <v>200600</v>
      </c>
      <c r="C112" s="3" t="s">
        <v>142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4" t="s">
        <v>143</v>
      </c>
      <c r="N112" s="2">
        <v>111</v>
      </c>
      <c r="O112" s="16">
        <v>20060001</v>
      </c>
    </row>
    <row r="113" spans="1:15">
      <c r="A113" s="2">
        <v>200600002</v>
      </c>
      <c r="B113" s="15">
        <v>200600</v>
      </c>
      <c r="C113" s="3" t="s">
        <v>142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4" t="s">
        <v>144</v>
      </c>
      <c r="N113" s="2" t="s">
        <v>145</v>
      </c>
      <c r="O113" s="16">
        <v>20060009</v>
      </c>
    </row>
    <row r="114" spans="1:15">
      <c r="A114" s="2">
        <v>200600003</v>
      </c>
      <c r="B114" s="15">
        <v>200600</v>
      </c>
      <c r="C114" s="3" t="s">
        <v>142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4" t="s">
        <v>146</v>
      </c>
      <c r="N114" s="2" t="s">
        <v>147</v>
      </c>
      <c r="O114" s="16">
        <v>20060010</v>
      </c>
    </row>
    <row r="115" spans="1:15">
      <c r="A115" s="2">
        <v>200600004</v>
      </c>
      <c r="B115" s="15">
        <v>200600</v>
      </c>
      <c r="C115" s="3" t="s">
        <v>142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4" t="s">
        <v>148</v>
      </c>
      <c r="N115" s="2" t="s">
        <v>149</v>
      </c>
      <c r="O115" s="16">
        <v>20060011</v>
      </c>
    </row>
    <row r="116" spans="1:15">
      <c r="A116" s="2">
        <v>200600005</v>
      </c>
      <c r="B116" s="15">
        <v>200600</v>
      </c>
      <c r="C116" s="3" t="s">
        <v>142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4" t="s">
        <v>150</v>
      </c>
      <c r="N116" s="2" t="s">
        <v>151</v>
      </c>
      <c r="O116" s="16">
        <v>20060012</v>
      </c>
    </row>
    <row r="117" spans="1:15">
      <c r="A117" s="2">
        <v>200600006</v>
      </c>
      <c r="B117" s="15">
        <v>200600</v>
      </c>
      <c r="C117" s="3" t="s">
        <v>142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4" t="s">
        <v>152</v>
      </c>
      <c r="N117" s="2" t="s">
        <v>153</v>
      </c>
      <c r="O117" s="16">
        <v>20060013</v>
      </c>
    </row>
    <row r="118" spans="1:15">
      <c r="A118" s="2">
        <v>200600007</v>
      </c>
      <c r="B118" s="15">
        <v>200600</v>
      </c>
      <c r="C118" s="3" t="s">
        <v>142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4" t="s">
        <v>146</v>
      </c>
      <c r="N118" s="2" t="s">
        <v>147</v>
      </c>
      <c r="O118" s="16">
        <v>20060010</v>
      </c>
    </row>
    <row r="119" spans="1:15">
      <c r="A119" s="2">
        <v>200600008</v>
      </c>
      <c r="B119" s="15">
        <v>200600</v>
      </c>
      <c r="C119" s="3" t="s">
        <v>142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4" t="s">
        <v>148</v>
      </c>
      <c r="N119" s="2" t="s">
        <v>149</v>
      </c>
      <c r="O119" s="16">
        <v>20060011</v>
      </c>
    </row>
    <row r="120" spans="1:15">
      <c r="A120" s="2">
        <v>200600009</v>
      </c>
      <c r="B120" s="15">
        <v>200600</v>
      </c>
      <c r="C120" s="3" t="s">
        <v>142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4" t="s">
        <v>150</v>
      </c>
      <c r="N120" s="2" t="s">
        <v>151</v>
      </c>
      <c r="O120" s="16">
        <v>20060012</v>
      </c>
    </row>
    <row r="121" spans="1:15">
      <c r="A121" s="2">
        <v>200600010</v>
      </c>
      <c r="B121" s="15">
        <v>200600</v>
      </c>
      <c r="C121" s="3" t="s">
        <v>142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4" t="s">
        <v>152</v>
      </c>
      <c r="N121" s="2" t="s">
        <v>153</v>
      </c>
      <c r="O121" s="16">
        <v>20060013</v>
      </c>
    </row>
    <row r="122" spans="1:15">
      <c r="A122" s="2">
        <v>200600011</v>
      </c>
      <c r="B122" s="15">
        <v>200600</v>
      </c>
      <c r="C122" s="3" t="s">
        <v>142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4" t="s">
        <v>154</v>
      </c>
      <c r="N122" s="2" t="s">
        <v>155</v>
      </c>
      <c r="O122" s="16">
        <v>20060014</v>
      </c>
    </row>
    <row r="123" spans="1:15">
      <c r="A123" s="2">
        <v>200600012</v>
      </c>
      <c r="B123" s="15">
        <v>200600</v>
      </c>
      <c r="C123" s="3" t="s">
        <v>142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4" t="s">
        <v>150</v>
      </c>
      <c r="N123" s="2" t="s">
        <v>151</v>
      </c>
      <c r="O123" s="16">
        <v>20060012</v>
      </c>
    </row>
    <row r="124" spans="1:15">
      <c r="A124" s="2">
        <v>200600013</v>
      </c>
      <c r="B124" s="15">
        <v>200600</v>
      </c>
      <c r="C124" s="3" t="s">
        <v>142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4" t="s">
        <v>152</v>
      </c>
      <c r="N124" s="2" t="s">
        <v>153</v>
      </c>
      <c r="O124" s="16">
        <v>20060013</v>
      </c>
    </row>
    <row r="125" spans="1:15">
      <c r="A125" s="2">
        <v>200600014</v>
      </c>
      <c r="B125" s="15">
        <v>200600</v>
      </c>
      <c r="C125" s="3" t="s">
        <v>142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4" t="s">
        <v>154</v>
      </c>
      <c r="N125" s="2" t="s">
        <v>155</v>
      </c>
      <c r="O125" s="16">
        <v>20060014</v>
      </c>
    </row>
    <row r="126" spans="1:15">
      <c r="A126" s="2">
        <v>200600015</v>
      </c>
      <c r="B126" s="15">
        <v>200600</v>
      </c>
      <c r="C126" s="3" t="s">
        <v>142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4" t="s">
        <v>156</v>
      </c>
      <c r="N126" s="2" t="s">
        <v>157</v>
      </c>
      <c r="O126" s="16">
        <v>20060015</v>
      </c>
    </row>
    <row r="127" spans="1:15">
      <c r="A127" s="2">
        <v>200600016</v>
      </c>
      <c r="B127" s="15">
        <v>200600</v>
      </c>
      <c r="C127" s="3" t="s">
        <v>142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4" t="s">
        <v>154</v>
      </c>
      <c r="N127" s="2" t="s">
        <v>155</v>
      </c>
      <c r="O127" s="16">
        <v>20060014</v>
      </c>
    </row>
    <row r="128" spans="1:15">
      <c r="A128" s="2">
        <v>200600017</v>
      </c>
      <c r="B128" s="15">
        <v>200600</v>
      </c>
      <c r="C128" s="3" t="s">
        <v>142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4" t="s">
        <v>156</v>
      </c>
      <c r="N128" s="2" t="s">
        <v>157</v>
      </c>
      <c r="O128" s="16">
        <v>20060015</v>
      </c>
    </row>
    <row r="129" spans="1:15">
      <c r="A129" s="2">
        <v>200600018</v>
      </c>
      <c r="B129" s="15">
        <v>200600</v>
      </c>
      <c r="C129" s="3" t="s">
        <v>142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4" t="s">
        <v>158</v>
      </c>
      <c r="N129" s="2" t="s">
        <v>159</v>
      </c>
      <c r="O129" s="16">
        <v>20060016</v>
      </c>
    </row>
    <row r="130" spans="1:15">
      <c r="A130" s="2">
        <v>200600019</v>
      </c>
      <c r="B130" s="15">
        <v>200600</v>
      </c>
      <c r="C130" s="3" t="s">
        <v>142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4" t="s">
        <v>158</v>
      </c>
      <c r="N130" s="2" t="s">
        <v>159</v>
      </c>
      <c r="O130" s="16">
        <v>20060016</v>
      </c>
    </row>
    <row r="131" spans="1:15">
      <c r="A131" s="2">
        <v>200600020</v>
      </c>
      <c r="B131" s="15">
        <v>200600</v>
      </c>
      <c r="C131" s="3" t="s">
        <v>142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4" t="s">
        <v>160</v>
      </c>
      <c r="N131" s="2" t="s">
        <v>161</v>
      </c>
      <c r="O131" s="16">
        <v>20060017</v>
      </c>
    </row>
    <row r="132" spans="1:15">
      <c r="A132" s="2">
        <v>200600021</v>
      </c>
      <c r="B132" s="15">
        <v>200600</v>
      </c>
      <c r="C132" s="3" t="s">
        <v>142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4" t="s">
        <v>162</v>
      </c>
      <c r="N132" s="2" t="s">
        <v>163</v>
      </c>
      <c r="O132" s="16">
        <v>20060018</v>
      </c>
    </row>
    <row r="133" spans="1:15">
      <c r="A133" s="2">
        <v>200600022</v>
      </c>
      <c r="B133" s="15">
        <v>200600</v>
      </c>
      <c r="C133" s="3" t="s">
        <v>142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4" t="s">
        <v>164</v>
      </c>
      <c r="N133" s="2">
        <v>222</v>
      </c>
      <c r="O133" s="16">
        <v>20060002</v>
      </c>
    </row>
    <row r="134" spans="1:15">
      <c r="A134" s="2">
        <v>200600023</v>
      </c>
      <c r="B134" s="15">
        <v>200600</v>
      </c>
      <c r="C134" s="3" t="s">
        <v>142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4" t="s">
        <v>150</v>
      </c>
      <c r="N134" s="2" t="s">
        <v>151</v>
      </c>
      <c r="O134" s="16">
        <v>20060012</v>
      </c>
    </row>
    <row r="135" spans="1:15">
      <c r="A135" s="2">
        <v>200600024</v>
      </c>
      <c r="B135" s="15">
        <v>200600</v>
      </c>
      <c r="C135" s="3" t="s">
        <v>142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4" t="s">
        <v>152</v>
      </c>
      <c r="N135" s="2" t="s">
        <v>153</v>
      </c>
      <c r="O135" s="16">
        <v>20060013</v>
      </c>
    </row>
    <row r="136" spans="1:15">
      <c r="A136" s="2">
        <v>200600025</v>
      </c>
      <c r="B136" s="15">
        <v>200600</v>
      </c>
      <c r="C136" s="3" t="s">
        <v>142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4" t="s">
        <v>154</v>
      </c>
      <c r="N136" s="2" t="s">
        <v>155</v>
      </c>
      <c r="O136" s="16">
        <v>20060014</v>
      </c>
    </row>
    <row r="137" spans="1:15">
      <c r="A137" s="2">
        <v>200600026</v>
      </c>
      <c r="B137" s="15">
        <v>200600</v>
      </c>
      <c r="C137" s="3" t="s">
        <v>142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4" t="s">
        <v>156</v>
      </c>
      <c r="N137" s="2" t="s">
        <v>157</v>
      </c>
      <c r="O137" s="16">
        <v>20060015</v>
      </c>
    </row>
    <row r="138" spans="1:15">
      <c r="A138" s="2">
        <v>200600027</v>
      </c>
      <c r="B138" s="15">
        <v>200600</v>
      </c>
      <c r="C138" s="3" t="s">
        <v>142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4" t="s">
        <v>152</v>
      </c>
      <c r="N138" s="2" t="s">
        <v>153</v>
      </c>
      <c r="O138" s="16">
        <v>20060013</v>
      </c>
    </row>
    <row r="139" spans="1:15">
      <c r="A139" s="2">
        <v>200600028</v>
      </c>
      <c r="B139" s="15">
        <v>200600</v>
      </c>
      <c r="C139" s="3" t="s">
        <v>142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4" t="s">
        <v>154</v>
      </c>
      <c r="N139" s="2" t="s">
        <v>155</v>
      </c>
      <c r="O139" s="16">
        <v>20060014</v>
      </c>
    </row>
    <row r="140" spans="1:15">
      <c r="A140" s="2">
        <v>200600029</v>
      </c>
      <c r="B140" s="15">
        <v>200600</v>
      </c>
      <c r="C140" s="3" t="s">
        <v>142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4" t="s">
        <v>156</v>
      </c>
      <c r="N140" s="2" t="s">
        <v>157</v>
      </c>
      <c r="O140" s="16">
        <v>20060015</v>
      </c>
    </row>
    <row r="141" spans="1:15">
      <c r="A141" s="2">
        <v>200600030</v>
      </c>
      <c r="B141" s="15">
        <v>200600</v>
      </c>
      <c r="C141" s="3" t="s">
        <v>142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4" t="s">
        <v>158</v>
      </c>
      <c r="N141" s="2" t="s">
        <v>159</v>
      </c>
      <c r="O141" s="16">
        <v>20060016</v>
      </c>
    </row>
    <row r="142" spans="1:15">
      <c r="A142" s="2">
        <v>200600031</v>
      </c>
      <c r="B142" s="15">
        <v>200600</v>
      </c>
      <c r="C142" s="3" t="s">
        <v>142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4" t="s">
        <v>156</v>
      </c>
      <c r="N142" s="2" t="s">
        <v>157</v>
      </c>
      <c r="O142" s="16">
        <v>20060015</v>
      </c>
    </row>
    <row r="143" spans="1:15">
      <c r="A143" s="2">
        <v>200600032</v>
      </c>
      <c r="B143" s="15">
        <v>200600</v>
      </c>
      <c r="C143" s="3" t="s">
        <v>142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4" t="s">
        <v>158</v>
      </c>
      <c r="N143" s="2" t="s">
        <v>159</v>
      </c>
      <c r="O143" s="16">
        <v>20060016</v>
      </c>
    </row>
    <row r="144" spans="1:15">
      <c r="A144" s="2">
        <v>200600033</v>
      </c>
      <c r="B144" s="15">
        <v>200600</v>
      </c>
      <c r="C144" s="3" t="s">
        <v>142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4" t="s">
        <v>160</v>
      </c>
      <c r="N144" s="2" t="s">
        <v>161</v>
      </c>
      <c r="O144" s="16">
        <v>20060017</v>
      </c>
    </row>
    <row r="145" spans="1:15">
      <c r="A145" s="2">
        <v>200600034</v>
      </c>
      <c r="B145" s="15">
        <v>200600</v>
      </c>
      <c r="C145" s="3" t="s">
        <v>142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4" t="s">
        <v>160</v>
      </c>
      <c r="N145" s="2" t="s">
        <v>161</v>
      </c>
      <c r="O145" s="16">
        <v>20060017</v>
      </c>
    </row>
    <row r="146" spans="1:15">
      <c r="A146" s="2">
        <v>200600035</v>
      </c>
      <c r="B146" s="15">
        <v>200600</v>
      </c>
      <c r="C146" s="3" t="s">
        <v>142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4" t="s">
        <v>162</v>
      </c>
      <c r="N146" s="2" t="s">
        <v>163</v>
      </c>
      <c r="O146" s="16">
        <v>20060018</v>
      </c>
    </row>
    <row r="147" spans="1:15">
      <c r="A147" s="2">
        <v>200600036</v>
      </c>
      <c r="B147" s="15">
        <v>200600</v>
      </c>
      <c r="C147" s="3" t="s">
        <v>142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4" t="s">
        <v>165</v>
      </c>
      <c r="N147" s="2" t="s">
        <v>166</v>
      </c>
      <c r="O147" s="16">
        <v>20060019</v>
      </c>
    </row>
    <row r="148" spans="1:15">
      <c r="A148" s="2">
        <v>200600037</v>
      </c>
      <c r="B148" s="15">
        <v>200600</v>
      </c>
      <c r="C148" s="3" t="s">
        <v>142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20000</v>
      </c>
      <c r="J148" s="2">
        <v>10000</v>
      </c>
      <c r="L148" s="2">
        <v>1</v>
      </c>
      <c r="M148" s="14" t="s">
        <v>167</v>
      </c>
      <c r="N148" s="2">
        <v>333</v>
      </c>
      <c r="O148" s="16">
        <v>20060003</v>
      </c>
    </row>
    <row r="149" spans="1:15">
      <c r="A149" s="2">
        <v>200600038</v>
      </c>
      <c r="B149" s="15">
        <v>200600</v>
      </c>
      <c r="C149" s="3" t="s">
        <v>142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4" t="s">
        <v>156</v>
      </c>
      <c r="N149" s="2" t="s">
        <v>157</v>
      </c>
      <c r="O149" s="16">
        <v>20060015</v>
      </c>
    </row>
    <row r="150" spans="1:15">
      <c r="A150" s="2">
        <v>200600039</v>
      </c>
      <c r="B150" s="15">
        <v>200600</v>
      </c>
      <c r="C150" s="3" t="s">
        <v>142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4" t="s">
        <v>158</v>
      </c>
      <c r="N150" s="2" t="s">
        <v>159</v>
      </c>
      <c r="O150" s="16">
        <v>20060016</v>
      </c>
    </row>
    <row r="151" spans="1:15">
      <c r="A151" s="2">
        <v>200600040</v>
      </c>
      <c r="B151" s="15">
        <v>200600</v>
      </c>
      <c r="C151" s="3" t="s">
        <v>142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4" t="s">
        <v>160</v>
      </c>
      <c r="N151" s="2" t="s">
        <v>161</v>
      </c>
      <c r="O151" s="16">
        <v>20060017</v>
      </c>
    </row>
    <row r="152" spans="1:15">
      <c r="A152" s="2">
        <v>200600041</v>
      </c>
      <c r="B152" s="15">
        <v>200600</v>
      </c>
      <c r="C152" s="3" t="s">
        <v>142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4" t="s">
        <v>158</v>
      </c>
      <c r="N152" s="2" t="s">
        <v>159</v>
      </c>
      <c r="O152" s="16">
        <v>20060016</v>
      </c>
    </row>
    <row r="153" spans="1:15">
      <c r="A153" s="2">
        <v>200600042</v>
      </c>
      <c r="B153" s="15">
        <v>200600</v>
      </c>
      <c r="C153" s="3" t="s">
        <v>142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4" t="s">
        <v>160</v>
      </c>
      <c r="N153" s="2" t="s">
        <v>161</v>
      </c>
      <c r="O153" s="16">
        <v>20060017</v>
      </c>
    </row>
    <row r="154" spans="1:15">
      <c r="A154" s="2">
        <v>200600043</v>
      </c>
      <c r="B154" s="15">
        <v>200600</v>
      </c>
      <c r="C154" s="3" t="s">
        <v>142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4" t="s">
        <v>162</v>
      </c>
      <c r="N154" s="2" t="s">
        <v>163</v>
      </c>
      <c r="O154" s="16">
        <v>20060018</v>
      </c>
    </row>
    <row r="155" spans="1:15">
      <c r="A155" s="2">
        <v>200600044</v>
      </c>
      <c r="B155" s="15">
        <v>200600</v>
      </c>
      <c r="C155" s="3" t="s">
        <v>142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4" t="s">
        <v>162</v>
      </c>
      <c r="N155" s="2" t="s">
        <v>163</v>
      </c>
      <c r="O155" s="16">
        <v>20060018</v>
      </c>
    </row>
    <row r="156" spans="1:15">
      <c r="A156" s="2">
        <v>200600045</v>
      </c>
      <c r="B156" s="15">
        <v>200600</v>
      </c>
      <c r="C156" s="3" t="s">
        <v>142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4" t="s">
        <v>165</v>
      </c>
      <c r="N156" s="2" t="s">
        <v>166</v>
      </c>
      <c r="O156" s="16">
        <v>20060019</v>
      </c>
    </row>
    <row r="157" spans="1:15">
      <c r="A157" s="2">
        <v>200600046</v>
      </c>
      <c r="B157" s="15">
        <v>200600</v>
      </c>
      <c r="C157" s="3" t="s">
        <v>142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4" t="s">
        <v>168</v>
      </c>
      <c r="N157" s="2" t="s">
        <v>169</v>
      </c>
      <c r="O157" s="16">
        <v>20060020</v>
      </c>
    </row>
    <row r="158" spans="1:15">
      <c r="A158" s="2">
        <v>200600047</v>
      </c>
      <c r="B158" s="15">
        <v>200600</v>
      </c>
      <c r="C158" s="3" t="s">
        <v>142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4" t="s">
        <v>170</v>
      </c>
      <c r="N158" s="2">
        <v>444</v>
      </c>
      <c r="O158" s="16">
        <v>20060005</v>
      </c>
    </row>
    <row r="159" spans="1:15">
      <c r="A159" s="2">
        <v>200600048</v>
      </c>
      <c r="B159" s="15">
        <v>200600</v>
      </c>
      <c r="C159" s="3" t="s">
        <v>142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4" t="s">
        <v>162</v>
      </c>
      <c r="N159" s="2" t="s">
        <v>163</v>
      </c>
      <c r="O159" s="16">
        <v>20060018</v>
      </c>
    </row>
    <row r="160" spans="1:15">
      <c r="A160" s="2">
        <v>200600049</v>
      </c>
      <c r="B160" s="15">
        <v>200600</v>
      </c>
      <c r="C160" s="3" t="s">
        <v>142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4" t="s">
        <v>165</v>
      </c>
      <c r="N160" s="2" t="s">
        <v>166</v>
      </c>
      <c r="O160" s="16">
        <v>20060019</v>
      </c>
    </row>
    <row r="161" spans="1:17">
      <c r="A161" s="2">
        <v>200600050</v>
      </c>
      <c r="B161" s="15">
        <v>200600</v>
      </c>
      <c r="C161" s="3" t="s">
        <v>142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4" t="s">
        <v>165</v>
      </c>
      <c r="N161" s="2" t="s">
        <v>166</v>
      </c>
      <c r="O161" s="16">
        <v>20060019</v>
      </c>
    </row>
    <row r="162" spans="1:17">
      <c r="A162" s="2">
        <v>200600051</v>
      </c>
      <c r="B162" s="15">
        <v>200600</v>
      </c>
      <c r="C162" s="3" t="s">
        <v>142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4" t="s">
        <v>168</v>
      </c>
      <c r="N162" s="2" t="s">
        <v>169</v>
      </c>
      <c r="O162" s="16">
        <v>20060020</v>
      </c>
    </row>
    <row r="163" spans="1:17">
      <c r="A163" s="2">
        <v>200600052</v>
      </c>
      <c r="B163" s="15">
        <v>200600</v>
      </c>
      <c r="C163" s="3" t="s">
        <v>142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4" t="s">
        <v>171</v>
      </c>
      <c r="N163" s="2" t="s">
        <v>172</v>
      </c>
      <c r="O163" s="16">
        <v>20060021</v>
      </c>
    </row>
    <row r="164" spans="1:17">
      <c r="A164" s="2">
        <v>200600053</v>
      </c>
      <c r="B164" s="15">
        <v>200600</v>
      </c>
      <c r="C164" s="3" t="s">
        <v>142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4" t="s">
        <v>173</v>
      </c>
      <c r="N164" s="2">
        <v>555</v>
      </c>
      <c r="O164" s="16">
        <v>20060006</v>
      </c>
    </row>
    <row r="165" spans="1:17">
      <c r="A165" s="2">
        <v>200600054</v>
      </c>
      <c r="B165" s="15">
        <v>200600</v>
      </c>
      <c r="C165" s="3" t="s">
        <v>142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4" t="s">
        <v>171</v>
      </c>
      <c r="N165" s="2" t="s">
        <v>172</v>
      </c>
      <c r="O165" s="16">
        <v>20060021</v>
      </c>
    </row>
    <row r="166" spans="1:17">
      <c r="A166" s="2">
        <v>200600055</v>
      </c>
      <c r="B166" s="15">
        <v>200600</v>
      </c>
      <c r="C166" s="3" t="s">
        <v>142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4" t="s">
        <v>174</v>
      </c>
      <c r="N166" s="2" t="s">
        <v>175</v>
      </c>
      <c r="O166" s="16">
        <v>20060022</v>
      </c>
    </row>
    <row r="167" spans="1:17">
      <c r="A167" s="2">
        <v>200600056</v>
      </c>
      <c r="B167" s="15">
        <v>200600</v>
      </c>
      <c r="C167" s="3" t="s">
        <v>142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4" t="s">
        <v>176</v>
      </c>
      <c r="N167" s="2">
        <v>666</v>
      </c>
      <c r="O167" s="16">
        <v>20060007</v>
      </c>
    </row>
    <row r="168" spans="1:17">
      <c r="A168" s="2">
        <v>200600101</v>
      </c>
      <c r="B168" s="15">
        <v>200600</v>
      </c>
      <c r="C168" s="3" t="s">
        <v>142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4" t="s">
        <v>177</v>
      </c>
      <c r="N168" s="2" t="s">
        <v>178</v>
      </c>
      <c r="O168" s="16">
        <v>20060004</v>
      </c>
    </row>
    <row r="169" spans="1:17">
      <c r="A169" s="2">
        <v>200600102</v>
      </c>
      <c r="B169" s="15">
        <v>200600</v>
      </c>
      <c r="C169" s="3" t="s">
        <v>142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4" t="s">
        <v>179</v>
      </c>
      <c r="N169" s="2" t="s">
        <v>180</v>
      </c>
      <c r="O169" s="16">
        <v>20060023</v>
      </c>
    </row>
    <row r="170" spans="1:17">
      <c r="A170" s="2">
        <v>200600103</v>
      </c>
      <c r="B170" s="15">
        <v>200600</v>
      </c>
      <c r="C170" s="3" t="s">
        <v>142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4" t="s">
        <v>181</v>
      </c>
      <c r="N170" s="2" t="s">
        <v>182</v>
      </c>
      <c r="O170" s="16">
        <v>20060008</v>
      </c>
      <c r="P170" s="2" t="s">
        <v>183</v>
      </c>
      <c r="Q170" s="16">
        <v>20060024</v>
      </c>
    </row>
    <row r="171" spans="1:17">
      <c r="A171" s="2">
        <v>200600104</v>
      </c>
      <c r="B171" s="15">
        <v>200600</v>
      </c>
      <c r="C171" s="3" t="s">
        <v>142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4" t="s">
        <v>179</v>
      </c>
      <c r="N171" s="2" t="s">
        <v>180</v>
      </c>
      <c r="O171" s="16">
        <v>20060023</v>
      </c>
    </row>
    <row r="172" spans="1:17">
      <c r="A172" s="2">
        <v>200600105</v>
      </c>
      <c r="B172" s="15">
        <v>200600</v>
      </c>
      <c r="C172" s="3" t="s">
        <v>142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4" t="s">
        <v>184</v>
      </c>
      <c r="N172" s="2" t="s">
        <v>182</v>
      </c>
      <c r="O172" s="16">
        <v>20060008</v>
      </c>
      <c r="P172" s="2" t="s">
        <v>185</v>
      </c>
      <c r="Q172" s="16">
        <v>20060025</v>
      </c>
    </row>
    <row r="173" spans="1:17">
      <c r="A173" s="2">
        <v>200600106</v>
      </c>
      <c r="B173" s="15">
        <v>200600</v>
      </c>
      <c r="C173" s="3" t="s">
        <v>142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4" t="s">
        <v>179</v>
      </c>
      <c r="N173" s="2" t="s">
        <v>180</v>
      </c>
      <c r="O173" s="16">
        <v>20060023</v>
      </c>
    </row>
    <row r="174" spans="1:17">
      <c r="A174" s="2">
        <v>200600107</v>
      </c>
      <c r="B174" s="15">
        <v>200600</v>
      </c>
      <c r="C174" s="3" t="s">
        <v>142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4" t="s">
        <v>186</v>
      </c>
      <c r="N174" s="2" t="s">
        <v>182</v>
      </c>
      <c r="O174" s="16">
        <v>20060008</v>
      </c>
      <c r="P174" s="2" t="s">
        <v>187</v>
      </c>
      <c r="Q174" s="16">
        <v>20060026</v>
      </c>
    </row>
    <row r="175" spans="1:17">
      <c r="A175" s="2">
        <v>200600108</v>
      </c>
      <c r="B175" s="15">
        <v>200600</v>
      </c>
      <c r="C175" s="3" t="s">
        <v>142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4" t="s">
        <v>179</v>
      </c>
      <c r="N175" s="2" t="s">
        <v>180</v>
      </c>
      <c r="O175" s="16">
        <v>20060023</v>
      </c>
    </row>
    <row r="176" spans="1:17">
      <c r="A176" s="2">
        <v>200600109</v>
      </c>
      <c r="B176" s="15">
        <v>200600</v>
      </c>
      <c r="C176" s="3" t="s">
        <v>142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4" t="s">
        <v>188</v>
      </c>
      <c r="N176" s="2" t="s">
        <v>182</v>
      </c>
      <c r="O176" s="16">
        <v>20060008</v>
      </c>
      <c r="P176" s="2" t="s">
        <v>189</v>
      </c>
      <c r="Q176" s="16">
        <v>20060027</v>
      </c>
    </row>
    <row r="177" spans="1:21">
      <c r="A177" s="2">
        <v>200600110</v>
      </c>
      <c r="B177" s="15">
        <v>200600</v>
      </c>
      <c r="C177" s="3" t="s">
        <v>142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4" t="s">
        <v>179</v>
      </c>
      <c r="N177" s="2" t="s">
        <v>180</v>
      </c>
      <c r="O177" s="16">
        <v>20060023</v>
      </c>
    </row>
    <row r="178" spans="1:21">
      <c r="A178" s="2">
        <v>200600111</v>
      </c>
      <c r="B178" s="15">
        <v>200600</v>
      </c>
      <c r="C178" s="3" t="s">
        <v>142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4" t="s">
        <v>190</v>
      </c>
      <c r="N178" s="2" t="s">
        <v>182</v>
      </c>
      <c r="O178" s="16">
        <v>20060008</v>
      </c>
      <c r="P178" s="2" t="s">
        <v>191</v>
      </c>
      <c r="Q178" s="16">
        <v>20060028</v>
      </c>
    </row>
    <row r="179" spans="1:21">
      <c r="A179" s="2">
        <v>200600112</v>
      </c>
      <c r="B179" s="15">
        <v>200600</v>
      </c>
      <c r="C179" s="3" t="s">
        <v>142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4" t="s">
        <v>179</v>
      </c>
      <c r="N179" s="2" t="s">
        <v>180</v>
      </c>
      <c r="O179" s="16">
        <v>20060023</v>
      </c>
    </row>
    <row r="180" spans="1:21">
      <c r="A180" s="2">
        <v>200600113</v>
      </c>
      <c r="B180" s="15">
        <v>200600</v>
      </c>
      <c r="C180" s="3" t="s">
        <v>142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4" t="s">
        <v>192</v>
      </c>
      <c r="N180" s="2" t="s">
        <v>182</v>
      </c>
      <c r="O180" s="16">
        <v>20060008</v>
      </c>
      <c r="P180" s="2" t="s">
        <v>180</v>
      </c>
      <c r="Q180" s="16">
        <v>20060023</v>
      </c>
    </row>
    <row r="181" spans="1:21">
      <c r="A181" s="2">
        <v>200600114</v>
      </c>
      <c r="B181" s="15">
        <v>200600</v>
      </c>
      <c r="C181" s="3" t="s">
        <v>142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4" t="s">
        <v>193</v>
      </c>
      <c r="N181" s="2" t="s">
        <v>183</v>
      </c>
      <c r="O181" s="16">
        <v>20060024</v>
      </c>
    </row>
    <row r="182" spans="1:21">
      <c r="A182" s="2">
        <v>200600115</v>
      </c>
      <c r="B182" s="15">
        <v>200600</v>
      </c>
      <c r="C182" s="3" t="s">
        <v>142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4" t="s">
        <v>194</v>
      </c>
      <c r="N182" s="2" t="s">
        <v>182</v>
      </c>
      <c r="O182" s="16">
        <v>20060008</v>
      </c>
      <c r="P182" s="2" t="s">
        <v>180</v>
      </c>
      <c r="Q182" s="16">
        <v>20060023</v>
      </c>
      <c r="R182" s="2" t="s">
        <v>183</v>
      </c>
      <c r="S182" s="16">
        <v>20060024</v>
      </c>
      <c r="T182" s="2" t="s">
        <v>185</v>
      </c>
      <c r="U182" s="16">
        <v>20060025</v>
      </c>
    </row>
    <row r="183" spans="1:21">
      <c r="A183" s="2">
        <v>200600116</v>
      </c>
      <c r="B183" s="15">
        <v>200600</v>
      </c>
      <c r="C183" s="3" t="s">
        <v>142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4" t="s">
        <v>195</v>
      </c>
      <c r="N183" s="2" t="s">
        <v>182</v>
      </c>
      <c r="O183" s="16">
        <v>20060008</v>
      </c>
      <c r="P183" s="2" t="s">
        <v>180</v>
      </c>
      <c r="Q183" s="16">
        <v>20060023</v>
      </c>
      <c r="R183" s="2" t="s">
        <v>183</v>
      </c>
      <c r="S183" s="16">
        <v>20060024</v>
      </c>
      <c r="T183" s="2" t="s">
        <v>187</v>
      </c>
      <c r="U183" s="16">
        <v>20060026</v>
      </c>
    </row>
    <row r="184" spans="1:21">
      <c r="A184" s="2">
        <v>200600117</v>
      </c>
      <c r="B184" s="15">
        <v>200600</v>
      </c>
      <c r="C184" s="3" t="s">
        <v>142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4" t="s">
        <v>196</v>
      </c>
      <c r="N184" s="2" t="s">
        <v>182</v>
      </c>
      <c r="O184" s="16">
        <v>20060008</v>
      </c>
      <c r="P184" s="2" t="s">
        <v>180</v>
      </c>
      <c r="Q184" s="16">
        <v>20060023</v>
      </c>
      <c r="R184" s="2" t="s">
        <v>183</v>
      </c>
      <c r="S184" s="16">
        <v>20060024</v>
      </c>
      <c r="T184" s="2" t="s">
        <v>189</v>
      </c>
      <c r="U184" s="16">
        <v>20060027</v>
      </c>
    </row>
    <row r="185" spans="1:21">
      <c r="A185" s="2">
        <v>200600118</v>
      </c>
      <c r="B185" s="15">
        <v>200600</v>
      </c>
      <c r="C185" s="3" t="s">
        <v>142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4" t="s">
        <v>197</v>
      </c>
      <c r="N185" s="2" t="s">
        <v>182</v>
      </c>
      <c r="O185" s="16">
        <v>20060008</v>
      </c>
      <c r="P185" s="2" t="s">
        <v>180</v>
      </c>
      <c r="Q185" s="16">
        <v>20060023</v>
      </c>
      <c r="R185" s="2" t="s">
        <v>183</v>
      </c>
      <c r="S185" s="16">
        <v>20060024</v>
      </c>
      <c r="T185" s="2" t="s">
        <v>191</v>
      </c>
      <c r="U185" s="16">
        <v>20060028</v>
      </c>
    </row>
    <row r="186" spans="1:21">
      <c r="A186" s="2">
        <v>200600119</v>
      </c>
      <c r="B186" s="15">
        <v>200600</v>
      </c>
      <c r="C186" s="3" t="s">
        <v>142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4" t="s">
        <v>192</v>
      </c>
      <c r="N186" s="2" t="s">
        <v>182</v>
      </c>
      <c r="O186" s="16">
        <v>20060008</v>
      </c>
      <c r="P186" s="2" t="s">
        <v>180</v>
      </c>
      <c r="Q186" s="16">
        <v>20060023</v>
      </c>
    </row>
    <row r="187" spans="1:21">
      <c r="A187" s="2">
        <v>200600120</v>
      </c>
      <c r="B187" s="15">
        <v>200600</v>
      </c>
      <c r="C187" s="3" t="s">
        <v>142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4" t="s">
        <v>198</v>
      </c>
      <c r="N187" s="2" t="s">
        <v>185</v>
      </c>
      <c r="O187" s="16">
        <v>20060025</v>
      </c>
    </row>
    <row r="188" spans="1:21">
      <c r="A188" s="2">
        <v>200600121</v>
      </c>
      <c r="B188" s="15">
        <v>200600</v>
      </c>
      <c r="C188" s="3" t="s">
        <v>142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4" t="s">
        <v>199</v>
      </c>
      <c r="N188" s="2" t="s">
        <v>182</v>
      </c>
      <c r="O188" s="16">
        <v>20060008</v>
      </c>
      <c r="P188" s="2" t="s">
        <v>180</v>
      </c>
      <c r="Q188" s="16">
        <v>20060023</v>
      </c>
      <c r="R188" s="2" t="s">
        <v>185</v>
      </c>
      <c r="S188" s="16">
        <v>20060025</v>
      </c>
      <c r="T188" s="2" t="s">
        <v>187</v>
      </c>
      <c r="U188" s="16">
        <v>20060026</v>
      </c>
    </row>
    <row r="189" spans="1:21">
      <c r="A189" s="2">
        <v>200600122</v>
      </c>
      <c r="B189" s="15">
        <v>200600</v>
      </c>
      <c r="C189" s="3" t="s">
        <v>142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4" t="s">
        <v>200</v>
      </c>
      <c r="N189" s="2" t="s">
        <v>182</v>
      </c>
      <c r="O189" s="16">
        <v>20060008</v>
      </c>
      <c r="P189" s="2" t="s">
        <v>180</v>
      </c>
      <c r="Q189" s="16">
        <v>20060023</v>
      </c>
      <c r="R189" s="2" t="s">
        <v>185</v>
      </c>
      <c r="S189" s="16">
        <v>20060025</v>
      </c>
      <c r="T189" s="2" t="s">
        <v>189</v>
      </c>
      <c r="U189" s="16">
        <v>20060027</v>
      </c>
    </row>
    <row r="190" spans="1:21">
      <c r="A190" s="2">
        <v>200600123</v>
      </c>
      <c r="B190" s="15">
        <v>200600</v>
      </c>
      <c r="C190" s="3" t="s">
        <v>142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4" t="s">
        <v>201</v>
      </c>
      <c r="N190" s="2" t="s">
        <v>182</v>
      </c>
      <c r="O190" s="16">
        <v>20060008</v>
      </c>
      <c r="P190" s="2" t="s">
        <v>180</v>
      </c>
      <c r="Q190" s="16">
        <v>20060023</v>
      </c>
      <c r="R190" s="2" t="s">
        <v>185</v>
      </c>
      <c r="S190" s="16">
        <v>20060025</v>
      </c>
      <c r="T190" s="2" t="s">
        <v>191</v>
      </c>
      <c r="U190" s="16">
        <v>20060028</v>
      </c>
    </row>
    <row r="191" spans="1:21">
      <c r="A191" s="2">
        <v>200600124</v>
      </c>
      <c r="B191" s="15">
        <v>200600</v>
      </c>
      <c r="C191" s="3" t="s">
        <v>142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4" t="s">
        <v>192</v>
      </c>
      <c r="N191" s="2" t="s">
        <v>182</v>
      </c>
      <c r="O191" s="16">
        <v>20060008</v>
      </c>
      <c r="P191" s="2" t="s">
        <v>180</v>
      </c>
      <c r="Q191" s="16">
        <v>20060023</v>
      </c>
    </row>
    <row r="192" spans="1:21">
      <c r="A192" s="2">
        <v>200600125</v>
      </c>
      <c r="B192" s="15">
        <v>200600</v>
      </c>
      <c r="C192" s="3" t="s">
        <v>142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4" t="s">
        <v>202</v>
      </c>
      <c r="N192" s="2" t="s">
        <v>187</v>
      </c>
      <c r="O192" s="16">
        <v>20060026</v>
      </c>
    </row>
    <row r="193" spans="1:21">
      <c r="A193" s="2">
        <v>200600126</v>
      </c>
      <c r="B193" s="15">
        <v>200600</v>
      </c>
      <c r="C193" s="3" t="s">
        <v>142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4" t="s">
        <v>203</v>
      </c>
      <c r="N193" s="2" t="s">
        <v>182</v>
      </c>
      <c r="O193" s="16">
        <v>20060008</v>
      </c>
      <c r="P193" s="2" t="s">
        <v>180</v>
      </c>
      <c r="Q193" s="16">
        <v>20060023</v>
      </c>
      <c r="R193" s="2" t="s">
        <v>187</v>
      </c>
      <c r="S193" s="16">
        <v>20060026</v>
      </c>
      <c r="T193" s="2" t="s">
        <v>189</v>
      </c>
      <c r="U193" s="16">
        <v>20060027</v>
      </c>
    </row>
    <row r="194" spans="1:21">
      <c r="A194" s="2">
        <v>200600127</v>
      </c>
      <c r="B194" s="15">
        <v>200600</v>
      </c>
      <c r="C194" s="3" t="s">
        <v>142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4" t="s">
        <v>204</v>
      </c>
      <c r="N194" s="2" t="s">
        <v>205</v>
      </c>
      <c r="O194" s="16">
        <v>20060029</v>
      </c>
      <c r="P194" s="2" t="s">
        <v>180</v>
      </c>
      <c r="Q194" s="16">
        <v>20060023</v>
      </c>
      <c r="R194" s="2" t="s">
        <v>187</v>
      </c>
      <c r="S194" s="16">
        <v>20060026</v>
      </c>
      <c r="T194" s="2" t="s">
        <v>191</v>
      </c>
      <c r="U194" s="16">
        <v>20060028</v>
      </c>
    </row>
    <row r="195" spans="1:21">
      <c r="A195" s="2">
        <v>200600128</v>
      </c>
      <c r="B195" s="15">
        <v>200600</v>
      </c>
      <c r="C195" s="3" t="s">
        <v>142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4" t="s">
        <v>206</v>
      </c>
      <c r="N195" s="2" t="s">
        <v>205</v>
      </c>
      <c r="O195" s="16">
        <v>20060029</v>
      </c>
      <c r="P195" s="2" t="s">
        <v>180</v>
      </c>
      <c r="Q195" s="16">
        <v>20060023</v>
      </c>
    </row>
    <row r="196" spans="1:21">
      <c r="A196" s="2">
        <v>200600129</v>
      </c>
      <c r="B196" s="15">
        <v>200600</v>
      </c>
      <c r="C196" s="3" t="s">
        <v>142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4" t="s">
        <v>207</v>
      </c>
      <c r="N196" s="2" t="s">
        <v>189</v>
      </c>
      <c r="O196" s="16">
        <v>20060027</v>
      </c>
    </row>
    <row r="197" spans="1:21">
      <c r="A197" s="2">
        <v>200600130</v>
      </c>
      <c r="B197" s="15">
        <v>200600</v>
      </c>
      <c r="C197" s="3" t="s">
        <v>142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4" t="s">
        <v>208</v>
      </c>
      <c r="N197" s="2" t="s">
        <v>205</v>
      </c>
      <c r="O197" s="16">
        <v>20060029</v>
      </c>
      <c r="P197" s="2" t="s">
        <v>180</v>
      </c>
      <c r="Q197" s="16">
        <v>20060023</v>
      </c>
      <c r="R197" s="2" t="s">
        <v>189</v>
      </c>
      <c r="S197" s="16">
        <v>20060027</v>
      </c>
      <c r="T197" s="2" t="s">
        <v>191</v>
      </c>
      <c r="U197" s="16">
        <v>20060028</v>
      </c>
    </row>
    <row r="198" spans="1:21">
      <c r="A198" s="2">
        <v>200600131</v>
      </c>
      <c r="B198" s="15">
        <v>200600</v>
      </c>
      <c r="C198" s="3" t="s">
        <v>142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4" t="s">
        <v>206</v>
      </c>
      <c r="N198" s="2" t="s">
        <v>205</v>
      </c>
      <c r="O198" s="16">
        <v>20060029</v>
      </c>
      <c r="P198" s="2" t="s">
        <v>180</v>
      </c>
      <c r="Q198" s="16">
        <v>20060023</v>
      </c>
    </row>
    <row r="199" spans="1:21">
      <c r="A199" s="2">
        <v>200600132</v>
      </c>
      <c r="B199" s="15">
        <v>200600</v>
      </c>
      <c r="C199" s="3" t="s">
        <v>142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4" t="s">
        <v>209</v>
      </c>
      <c r="N199" s="2" t="s">
        <v>191</v>
      </c>
      <c r="O199" s="16">
        <v>20060028</v>
      </c>
    </row>
    <row r="200" spans="1:21">
      <c r="A200" s="2">
        <v>200600133</v>
      </c>
      <c r="B200" s="15">
        <v>200600</v>
      </c>
      <c r="C200" s="3" t="s">
        <v>142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4" t="s">
        <v>177</v>
      </c>
      <c r="N200" s="2" t="s">
        <v>178</v>
      </c>
      <c r="O200" s="16">
        <v>20060004</v>
      </c>
    </row>
    <row r="201" spans="1:21">
      <c r="A201" s="2">
        <v>200600134</v>
      </c>
      <c r="B201" s="15">
        <v>200600</v>
      </c>
      <c r="C201" s="3" t="s">
        <v>142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4" t="s">
        <v>148</v>
      </c>
      <c r="N201" s="2" t="s">
        <v>149</v>
      </c>
      <c r="O201" s="16">
        <v>20060011</v>
      </c>
    </row>
    <row r="202" spans="1:21">
      <c r="A202" s="2">
        <v>200600135</v>
      </c>
      <c r="B202" s="15">
        <v>200600</v>
      </c>
      <c r="C202" s="3" t="s">
        <v>142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4" t="s">
        <v>193</v>
      </c>
      <c r="N202" s="2" t="s">
        <v>183</v>
      </c>
      <c r="O202" s="16">
        <v>20060024</v>
      </c>
    </row>
    <row r="203" spans="1:21">
      <c r="A203" s="2">
        <v>200600137</v>
      </c>
      <c r="B203" s="15">
        <v>200600</v>
      </c>
      <c r="C203" s="3" t="s">
        <v>142</v>
      </c>
      <c r="D203" s="2">
        <v>223</v>
      </c>
      <c r="E203" s="2">
        <v>223</v>
      </c>
      <c r="F203" s="2">
        <v>1</v>
      </c>
      <c r="G203" s="2">
        <v>0</v>
      </c>
      <c r="H203" s="2" t="s">
        <v>35</v>
      </c>
      <c r="I203" s="2">
        <v>100</v>
      </c>
      <c r="J203" s="2">
        <v>10000</v>
      </c>
      <c r="L203" s="2">
        <v>1</v>
      </c>
      <c r="M203" s="14" t="s">
        <v>184</v>
      </c>
      <c r="N203" s="2" t="s">
        <v>182</v>
      </c>
      <c r="O203" s="16">
        <v>20060008</v>
      </c>
      <c r="P203" s="2" t="s">
        <v>185</v>
      </c>
      <c r="Q203" s="16">
        <v>20060025</v>
      </c>
    </row>
    <row r="204" spans="1:21">
      <c r="A204" s="2">
        <v>200600138</v>
      </c>
      <c r="B204" s="15">
        <v>200600</v>
      </c>
      <c r="C204" s="3" t="s">
        <v>142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200</v>
      </c>
      <c r="J204" s="2">
        <v>10000</v>
      </c>
      <c r="L204" s="2">
        <v>1</v>
      </c>
      <c r="M204" s="14" t="s">
        <v>193</v>
      </c>
      <c r="N204" s="2" t="s">
        <v>183</v>
      </c>
      <c r="O204" s="16">
        <v>20060024</v>
      </c>
    </row>
    <row r="205" spans="1:21">
      <c r="A205" s="2">
        <v>200600139</v>
      </c>
      <c r="B205" s="15">
        <v>200600</v>
      </c>
      <c r="C205" s="3" t="s">
        <v>142</v>
      </c>
      <c r="D205" s="2">
        <v>224</v>
      </c>
      <c r="E205" s="2">
        <v>224</v>
      </c>
      <c r="F205" s="2">
        <v>1</v>
      </c>
      <c r="G205" s="2">
        <v>0</v>
      </c>
      <c r="H205" s="2" t="s">
        <v>35</v>
      </c>
      <c r="I205" s="2">
        <v>100</v>
      </c>
      <c r="J205" s="2">
        <v>10000</v>
      </c>
      <c r="L205" s="2">
        <v>1</v>
      </c>
      <c r="M205" s="14" t="s">
        <v>186</v>
      </c>
      <c r="N205" s="2" t="s">
        <v>182</v>
      </c>
      <c r="O205" s="16">
        <v>20060008</v>
      </c>
      <c r="P205" s="2" t="s">
        <v>187</v>
      </c>
      <c r="Q205" s="16">
        <v>20060026</v>
      </c>
    </row>
    <row r="206" spans="1:21">
      <c r="A206" s="2">
        <v>200600140</v>
      </c>
      <c r="B206" s="15">
        <v>200600</v>
      </c>
      <c r="C206" s="3" t="s">
        <v>142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200</v>
      </c>
      <c r="J206" s="2">
        <v>10000</v>
      </c>
      <c r="L206" s="2">
        <v>1</v>
      </c>
      <c r="M206" s="14" t="s">
        <v>193</v>
      </c>
      <c r="N206" s="2" t="s">
        <v>183</v>
      </c>
      <c r="O206" s="16">
        <v>20060024</v>
      </c>
    </row>
    <row r="207" spans="1:21">
      <c r="A207" s="2">
        <v>200600141</v>
      </c>
      <c r="B207" s="15">
        <v>200600</v>
      </c>
      <c r="C207" s="3" t="s">
        <v>142</v>
      </c>
      <c r="D207" s="2">
        <v>225</v>
      </c>
      <c r="E207" s="2">
        <v>225</v>
      </c>
      <c r="F207" s="2">
        <v>1</v>
      </c>
      <c r="G207" s="2">
        <v>0</v>
      </c>
      <c r="H207" s="2" t="s">
        <v>35</v>
      </c>
      <c r="I207" s="2">
        <v>100</v>
      </c>
      <c r="J207" s="2">
        <v>10000</v>
      </c>
      <c r="L207" s="2">
        <v>1</v>
      </c>
      <c r="M207" s="14" t="s">
        <v>188</v>
      </c>
      <c r="N207" s="2" t="s">
        <v>182</v>
      </c>
      <c r="O207" s="16">
        <v>20060008</v>
      </c>
      <c r="P207" s="2" t="s">
        <v>189</v>
      </c>
      <c r="Q207" s="16">
        <v>20060027</v>
      </c>
    </row>
    <row r="208" spans="1:21">
      <c r="A208" s="2">
        <v>200600142</v>
      </c>
      <c r="B208" s="15">
        <v>200600</v>
      </c>
      <c r="C208" s="3" t="s">
        <v>142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200</v>
      </c>
      <c r="J208" s="2">
        <v>10000</v>
      </c>
      <c r="L208" s="2">
        <v>1</v>
      </c>
      <c r="M208" s="14" t="s">
        <v>193</v>
      </c>
      <c r="N208" s="2" t="s">
        <v>183</v>
      </c>
      <c r="O208" s="16">
        <v>20060024</v>
      </c>
    </row>
    <row r="209" spans="1:21">
      <c r="A209" s="2">
        <v>200600143</v>
      </c>
      <c r="B209" s="15">
        <v>200600</v>
      </c>
      <c r="C209" s="3" t="s">
        <v>142</v>
      </c>
      <c r="D209" s="2">
        <v>226</v>
      </c>
      <c r="E209" s="2">
        <v>226</v>
      </c>
      <c r="F209" s="2">
        <v>1</v>
      </c>
      <c r="G209" s="2">
        <v>0</v>
      </c>
      <c r="H209" s="2" t="s">
        <v>35</v>
      </c>
      <c r="I209" s="2">
        <v>100</v>
      </c>
      <c r="J209" s="2">
        <v>10000</v>
      </c>
      <c r="L209" s="2">
        <v>1</v>
      </c>
      <c r="M209" s="14" t="s">
        <v>190</v>
      </c>
      <c r="N209" s="2" t="s">
        <v>182</v>
      </c>
      <c r="O209" s="16">
        <v>20060008</v>
      </c>
      <c r="P209" s="2" t="s">
        <v>191</v>
      </c>
      <c r="Q209" s="16">
        <v>20060028</v>
      </c>
    </row>
    <row r="210" spans="1:21">
      <c r="A210" s="2">
        <v>200600144</v>
      </c>
      <c r="B210" s="15">
        <v>200600</v>
      </c>
      <c r="C210" s="3" t="s">
        <v>142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200</v>
      </c>
      <c r="J210" s="2">
        <v>10000</v>
      </c>
      <c r="L210" s="2">
        <v>1</v>
      </c>
      <c r="M210" s="14" t="s">
        <v>193</v>
      </c>
      <c r="N210" s="2" t="s">
        <v>183</v>
      </c>
      <c r="O210" s="16">
        <v>20060024</v>
      </c>
    </row>
    <row r="211" spans="1:21">
      <c r="A211" s="2">
        <v>200600145</v>
      </c>
      <c r="B211" s="15">
        <v>200600</v>
      </c>
      <c r="C211" s="3" t="s">
        <v>142</v>
      </c>
      <c r="D211" s="2">
        <v>233</v>
      </c>
      <c r="E211" s="2">
        <v>233</v>
      </c>
      <c r="F211" s="2">
        <v>1</v>
      </c>
      <c r="G211" s="2">
        <v>0</v>
      </c>
      <c r="H211" s="2" t="s">
        <v>35</v>
      </c>
      <c r="I211" s="2">
        <v>100</v>
      </c>
      <c r="J211" s="2">
        <v>10000</v>
      </c>
      <c r="L211" s="2">
        <v>1</v>
      </c>
      <c r="M211" s="14" t="s">
        <v>181</v>
      </c>
      <c r="N211" s="2" t="s">
        <v>182</v>
      </c>
      <c r="O211" s="16">
        <v>20060008</v>
      </c>
      <c r="P211" s="2" t="s">
        <v>183</v>
      </c>
      <c r="Q211" s="16">
        <v>20060024</v>
      </c>
    </row>
    <row r="212" spans="1:21">
      <c r="A212" s="2">
        <v>200600146</v>
      </c>
      <c r="B212" s="15">
        <v>200600</v>
      </c>
      <c r="C212" s="3" t="s">
        <v>142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200</v>
      </c>
      <c r="J212" s="2">
        <v>10000</v>
      </c>
      <c r="L212" s="2">
        <v>1</v>
      </c>
      <c r="M212" s="14" t="s">
        <v>198</v>
      </c>
      <c r="N212" s="2" t="s">
        <v>185</v>
      </c>
      <c r="O212" s="16">
        <v>20060025</v>
      </c>
    </row>
    <row r="213" spans="1:21">
      <c r="A213" s="2">
        <v>200600147</v>
      </c>
      <c r="B213" s="15">
        <v>200600</v>
      </c>
      <c r="C213" s="3" t="s">
        <v>142</v>
      </c>
      <c r="D213" s="2">
        <v>234</v>
      </c>
      <c r="E213" s="2">
        <v>234</v>
      </c>
      <c r="F213" s="2">
        <v>1</v>
      </c>
      <c r="G213" s="2">
        <v>0</v>
      </c>
      <c r="H213" s="2" t="s">
        <v>35</v>
      </c>
      <c r="I213" s="2">
        <v>100</v>
      </c>
      <c r="J213" s="2">
        <v>10000</v>
      </c>
      <c r="L213" s="2">
        <v>1</v>
      </c>
      <c r="M213" s="14" t="s">
        <v>210</v>
      </c>
      <c r="N213" s="2" t="s">
        <v>182</v>
      </c>
      <c r="O213" s="16">
        <v>20060008</v>
      </c>
      <c r="P213" s="2" t="s">
        <v>183</v>
      </c>
      <c r="Q213" s="16">
        <v>20060024</v>
      </c>
      <c r="R213" s="2" t="s">
        <v>185</v>
      </c>
      <c r="S213" s="16">
        <v>20060025</v>
      </c>
      <c r="T213" s="2" t="s">
        <v>187</v>
      </c>
      <c r="U213" s="16">
        <v>20060026</v>
      </c>
    </row>
    <row r="214" spans="1:21">
      <c r="A214" s="2">
        <v>200600148</v>
      </c>
      <c r="B214" s="15">
        <v>200600</v>
      </c>
      <c r="C214" s="3" t="s">
        <v>142</v>
      </c>
      <c r="D214" s="2">
        <v>235</v>
      </c>
      <c r="E214" s="2">
        <v>235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4" t="s">
        <v>211</v>
      </c>
      <c r="N214" s="2" t="s">
        <v>182</v>
      </c>
      <c r="O214" s="16">
        <v>20060008</v>
      </c>
      <c r="P214" s="2" t="s">
        <v>183</v>
      </c>
      <c r="Q214" s="16">
        <v>20060024</v>
      </c>
      <c r="R214" s="2" t="s">
        <v>185</v>
      </c>
      <c r="S214" s="16">
        <v>20060025</v>
      </c>
      <c r="T214" s="2" t="s">
        <v>189</v>
      </c>
      <c r="U214" s="16">
        <v>20060027</v>
      </c>
    </row>
    <row r="215" spans="1:21">
      <c r="A215" s="2">
        <v>200600149</v>
      </c>
      <c r="B215" s="15">
        <v>200600</v>
      </c>
      <c r="C215" s="3" t="s">
        <v>142</v>
      </c>
      <c r="D215" s="2">
        <v>236</v>
      </c>
      <c r="E215" s="2">
        <v>236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4" t="s">
        <v>212</v>
      </c>
      <c r="N215" s="2" t="s">
        <v>205</v>
      </c>
      <c r="O215" s="16">
        <v>20060029</v>
      </c>
      <c r="P215" s="2" t="s">
        <v>183</v>
      </c>
      <c r="Q215" s="16">
        <v>20060024</v>
      </c>
      <c r="R215" s="2" t="s">
        <v>185</v>
      </c>
      <c r="S215" s="16">
        <v>20060025</v>
      </c>
      <c r="T215" s="2" t="s">
        <v>191</v>
      </c>
      <c r="U215" s="16">
        <v>20060028</v>
      </c>
    </row>
    <row r="216" spans="1:21">
      <c r="A216" s="2">
        <v>200600150</v>
      </c>
      <c r="B216" s="15">
        <v>200600</v>
      </c>
      <c r="C216" s="3" t="s">
        <v>142</v>
      </c>
      <c r="D216" s="2">
        <v>244</v>
      </c>
      <c r="E216" s="2">
        <v>244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4" t="s">
        <v>181</v>
      </c>
      <c r="N216" s="2" t="s">
        <v>182</v>
      </c>
      <c r="O216" s="16">
        <v>20060008</v>
      </c>
      <c r="P216" s="2" t="s">
        <v>183</v>
      </c>
      <c r="Q216" s="16">
        <v>20060024</v>
      </c>
    </row>
    <row r="217" spans="1:21">
      <c r="A217" s="2">
        <v>200600151</v>
      </c>
      <c r="B217" s="15">
        <v>200600</v>
      </c>
      <c r="C217" s="3" t="s">
        <v>142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200</v>
      </c>
      <c r="J217" s="2">
        <v>10000</v>
      </c>
      <c r="L217" s="2">
        <v>1</v>
      </c>
      <c r="M217" s="14" t="s">
        <v>202</v>
      </c>
      <c r="N217" s="2" t="s">
        <v>187</v>
      </c>
      <c r="O217" s="16">
        <v>20060026</v>
      </c>
    </row>
    <row r="218" spans="1:21">
      <c r="A218" s="2">
        <v>200600152</v>
      </c>
      <c r="B218" s="15">
        <v>200600</v>
      </c>
      <c r="C218" s="3" t="s">
        <v>142</v>
      </c>
      <c r="D218" s="2">
        <v>245</v>
      </c>
      <c r="E218" s="2">
        <v>245</v>
      </c>
      <c r="F218" s="2">
        <v>1</v>
      </c>
      <c r="G218" s="2">
        <v>0</v>
      </c>
      <c r="H218" s="2" t="s">
        <v>35</v>
      </c>
      <c r="I218" s="2">
        <v>100</v>
      </c>
      <c r="J218" s="2">
        <v>10000</v>
      </c>
      <c r="L218" s="2">
        <v>1</v>
      </c>
      <c r="M218" s="14" t="s">
        <v>213</v>
      </c>
      <c r="N218" s="2" t="s">
        <v>205</v>
      </c>
      <c r="O218" s="16">
        <v>20060029</v>
      </c>
      <c r="P218" s="2" t="s">
        <v>183</v>
      </c>
      <c r="Q218" s="16">
        <v>20060024</v>
      </c>
      <c r="R218" s="2" t="s">
        <v>187</v>
      </c>
      <c r="S218" s="16">
        <v>20060026</v>
      </c>
      <c r="T218" s="2" t="s">
        <v>189</v>
      </c>
      <c r="U218" s="16">
        <v>20060027</v>
      </c>
    </row>
    <row r="219" spans="1:21">
      <c r="A219" s="2">
        <v>200600153</v>
      </c>
      <c r="B219" s="15">
        <v>200600</v>
      </c>
      <c r="C219" s="3" t="s">
        <v>142</v>
      </c>
      <c r="D219" s="2">
        <v>246</v>
      </c>
      <c r="E219" s="2">
        <v>246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4" t="s">
        <v>214</v>
      </c>
      <c r="N219" s="2" t="s">
        <v>205</v>
      </c>
      <c r="O219" s="16">
        <v>20060029</v>
      </c>
      <c r="P219" s="2" t="s">
        <v>183</v>
      </c>
      <c r="Q219" s="16">
        <v>20060024</v>
      </c>
      <c r="R219" s="2" t="s">
        <v>187</v>
      </c>
      <c r="S219" s="16">
        <v>20060026</v>
      </c>
      <c r="T219" s="2" t="s">
        <v>191</v>
      </c>
      <c r="U219" s="16">
        <v>20060028</v>
      </c>
    </row>
    <row r="220" spans="1:21">
      <c r="A220" s="2">
        <v>200600154</v>
      </c>
      <c r="B220" s="15">
        <v>200600</v>
      </c>
      <c r="C220" s="3" t="s">
        <v>142</v>
      </c>
      <c r="D220" s="2">
        <v>255</v>
      </c>
      <c r="E220" s="2">
        <v>255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4" t="s">
        <v>215</v>
      </c>
      <c r="N220" s="2" t="s">
        <v>205</v>
      </c>
      <c r="O220" s="16">
        <v>20060029</v>
      </c>
      <c r="P220" s="2" t="s">
        <v>183</v>
      </c>
      <c r="Q220" s="16">
        <v>20060024</v>
      </c>
    </row>
    <row r="221" spans="1:21">
      <c r="A221" s="2">
        <v>200600155</v>
      </c>
      <c r="B221" s="15">
        <v>200600</v>
      </c>
      <c r="C221" s="3" t="s">
        <v>142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200</v>
      </c>
      <c r="J221" s="2">
        <v>10000</v>
      </c>
      <c r="L221" s="2">
        <v>1</v>
      </c>
      <c r="M221" s="14" t="s">
        <v>207</v>
      </c>
      <c r="N221" s="2" t="s">
        <v>189</v>
      </c>
      <c r="O221" s="16">
        <v>20060027</v>
      </c>
    </row>
    <row r="222" spans="1:21">
      <c r="A222" s="2">
        <v>200600156</v>
      </c>
      <c r="B222" s="15">
        <v>200600</v>
      </c>
      <c r="C222" s="3" t="s">
        <v>142</v>
      </c>
      <c r="D222" s="2">
        <v>256</v>
      </c>
      <c r="E222" s="2">
        <v>256</v>
      </c>
      <c r="F222" s="2">
        <v>1</v>
      </c>
      <c r="G222" s="2">
        <v>0</v>
      </c>
      <c r="H222" s="2" t="s">
        <v>35</v>
      </c>
      <c r="I222" s="2">
        <v>100</v>
      </c>
      <c r="J222" s="2">
        <v>10000</v>
      </c>
      <c r="L222" s="2">
        <v>1</v>
      </c>
      <c r="M222" s="14" t="s">
        <v>216</v>
      </c>
      <c r="N222" s="2" t="s">
        <v>205</v>
      </c>
      <c r="O222" s="16">
        <v>20060029</v>
      </c>
      <c r="P222" s="2" t="s">
        <v>183</v>
      </c>
      <c r="Q222" s="16">
        <v>20060024</v>
      </c>
      <c r="R222" s="2" t="s">
        <v>189</v>
      </c>
      <c r="S222" s="16">
        <v>20060027</v>
      </c>
      <c r="T222" s="2" t="s">
        <v>191</v>
      </c>
      <c r="U222" s="16">
        <v>20060028</v>
      </c>
    </row>
    <row r="223" spans="1:21">
      <c r="A223" s="2">
        <v>200600157</v>
      </c>
      <c r="B223" s="15">
        <v>200600</v>
      </c>
      <c r="C223" s="3" t="s">
        <v>142</v>
      </c>
      <c r="D223" s="2">
        <v>266</v>
      </c>
      <c r="E223" s="2">
        <v>266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4" t="s">
        <v>215</v>
      </c>
      <c r="N223" s="2" t="s">
        <v>205</v>
      </c>
      <c r="O223" s="16">
        <v>20060029</v>
      </c>
      <c r="P223" s="2" t="s">
        <v>183</v>
      </c>
      <c r="Q223" s="16">
        <v>20060024</v>
      </c>
    </row>
    <row r="224" spans="1:21">
      <c r="A224" s="2">
        <v>200600158</v>
      </c>
      <c r="B224" s="15">
        <v>200600</v>
      </c>
      <c r="C224" s="3" t="s">
        <v>142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200</v>
      </c>
      <c r="J224" s="2">
        <v>10000</v>
      </c>
      <c r="L224" s="2">
        <v>1</v>
      </c>
      <c r="M224" s="14" t="s">
        <v>209</v>
      </c>
      <c r="N224" s="2" t="s">
        <v>191</v>
      </c>
      <c r="O224" s="16">
        <v>20060028</v>
      </c>
    </row>
    <row r="225" spans="1:21">
      <c r="A225" s="2">
        <v>200600159</v>
      </c>
      <c r="B225" s="15">
        <v>200600</v>
      </c>
      <c r="C225" s="3" t="s">
        <v>142</v>
      </c>
      <c r="D225" s="2">
        <v>333</v>
      </c>
      <c r="E225" s="2">
        <v>333</v>
      </c>
      <c r="F225" s="2">
        <v>1</v>
      </c>
      <c r="G225" s="2">
        <v>0</v>
      </c>
      <c r="H225" s="2" t="s">
        <v>35</v>
      </c>
      <c r="I225" s="2">
        <v>3200</v>
      </c>
      <c r="J225" s="2">
        <v>10000</v>
      </c>
      <c r="L225" s="2">
        <v>1</v>
      </c>
      <c r="M225" s="14" t="s">
        <v>177</v>
      </c>
      <c r="N225" s="2" t="s">
        <v>178</v>
      </c>
      <c r="O225" s="16">
        <v>20060004</v>
      </c>
    </row>
    <row r="226" spans="1:21">
      <c r="A226" s="2">
        <v>200600160</v>
      </c>
      <c r="B226" s="15">
        <v>200600</v>
      </c>
      <c r="C226" s="3" t="s">
        <v>142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1900</v>
      </c>
      <c r="J226" s="2">
        <v>10000</v>
      </c>
      <c r="L226" s="2">
        <v>1</v>
      </c>
      <c r="M226" s="14" t="s">
        <v>154</v>
      </c>
      <c r="N226" s="2" t="s">
        <v>155</v>
      </c>
      <c r="O226" s="16">
        <v>20060014</v>
      </c>
    </row>
    <row r="227" spans="1:21">
      <c r="A227" s="2">
        <v>200600161</v>
      </c>
      <c r="B227" s="15">
        <v>200600</v>
      </c>
      <c r="C227" s="3" t="s">
        <v>142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600</v>
      </c>
      <c r="J227" s="2">
        <v>10000</v>
      </c>
      <c r="L227" s="2">
        <v>1</v>
      </c>
      <c r="M227" s="14" t="s">
        <v>198</v>
      </c>
      <c r="N227" s="2" t="s">
        <v>185</v>
      </c>
      <c r="O227" s="16">
        <v>20060025</v>
      </c>
    </row>
    <row r="228" spans="1:21">
      <c r="A228" s="2">
        <v>200600163</v>
      </c>
      <c r="B228" s="15">
        <v>200600</v>
      </c>
      <c r="C228" s="3" t="s">
        <v>142</v>
      </c>
      <c r="D228" s="2">
        <v>334</v>
      </c>
      <c r="E228" s="2">
        <v>334</v>
      </c>
      <c r="F228" s="2">
        <v>1</v>
      </c>
      <c r="G228" s="2">
        <v>0</v>
      </c>
      <c r="H228" s="2" t="s">
        <v>35</v>
      </c>
      <c r="I228" s="2">
        <v>100</v>
      </c>
      <c r="J228" s="2">
        <v>10000</v>
      </c>
      <c r="L228" s="2">
        <v>1</v>
      </c>
      <c r="M228" s="14" t="s">
        <v>186</v>
      </c>
      <c r="N228" s="2" t="s">
        <v>182</v>
      </c>
      <c r="O228" s="16">
        <v>20060008</v>
      </c>
      <c r="P228" s="2" t="s">
        <v>187</v>
      </c>
      <c r="Q228" s="16">
        <v>20060026</v>
      </c>
    </row>
    <row r="229" spans="1:21">
      <c r="A229" s="2">
        <v>200600164</v>
      </c>
      <c r="B229" s="15">
        <v>200600</v>
      </c>
      <c r="C229" s="3" t="s">
        <v>142</v>
      </c>
      <c r="D229" s="2">
        <v>334</v>
      </c>
      <c r="E229" s="2">
        <v>334</v>
      </c>
      <c r="F229" s="2">
        <v>1</v>
      </c>
      <c r="G229" s="2">
        <v>0</v>
      </c>
      <c r="H229" s="2" t="s">
        <v>35</v>
      </c>
      <c r="I229" s="2">
        <v>200</v>
      </c>
      <c r="J229" s="2">
        <v>10000</v>
      </c>
      <c r="L229" s="2">
        <v>1</v>
      </c>
      <c r="M229" s="14" t="s">
        <v>198</v>
      </c>
      <c r="N229" s="2" t="s">
        <v>185</v>
      </c>
      <c r="O229" s="16">
        <v>20060025</v>
      </c>
    </row>
    <row r="230" spans="1:21">
      <c r="A230" s="2">
        <v>200600165</v>
      </c>
      <c r="B230" s="15">
        <v>200600</v>
      </c>
      <c r="C230" s="3" t="s">
        <v>142</v>
      </c>
      <c r="D230" s="2">
        <v>335</v>
      </c>
      <c r="E230" s="2">
        <v>335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4" t="s">
        <v>217</v>
      </c>
      <c r="N230" s="2" t="s">
        <v>205</v>
      </c>
      <c r="O230" s="16">
        <v>20060029</v>
      </c>
      <c r="P230" s="2" t="s">
        <v>189</v>
      </c>
      <c r="Q230" s="16">
        <v>20060027</v>
      </c>
    </row>
    <row r="231" spans="1:21">
      <c r="A231" s="2">
        <v>200600166</v>
      </c>
      <c r="B231" s="15">
        <v>200600</v>
      </c>
      <c r="C231" s="3" t="s">
        <v>142</v>
      </c>
      <c r="D231" s="2">
        <v>335</v>
      </c>
      <c r="E231" s="2">
        <v>335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4" t="s">
        <v>198</v>
      </c>
      <c r="N231" s="2" t="s">
        <v>185</v>
      </c>
      <c r="O231" s="16">
        <v>20060025</v>
      </c>
    </row>
    <row r="232" spans="1:21">
      <c r="A232" s="2">
        <v>200600167</v>
      </c>
      <c r="B232" s="15">
        <v>200600</v>
      </c>
      <c r="C232" s="3" t="s">
        <v>142</v>
      </c>
      <c r="D232" s="2">
        <v>336</v>
      </c>
      <c r="E232" s="2">
        <v>336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4" t="s">
        <v>218</v>
      </c>
      <c r="N232" s="2" t="s">
        <v>205</v>
      </c>
      <c r="O232" s="16">
        <v>20060029</v>
      </c>
      <c r="P232" s="2" t="s">
        <v>191</v>
      </c>
      <c r="Q232" s="16">
        <v>20060028</v>
      </c>
    </row>
    <row r="233" spans="1:21">
      <c r="A233" s="2">
        <v>200600168</v>
      </c>
      <c r="B233" s="15">
        <v>200600</v>
      </c>
      <c r="C233" s="3" t="s">
        <v>142</v>
      </c>
      <c r="D233" s="2">
        <v>336</v>
      </c>
      <c r="E233" s="2">
        <v>336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4" t="s">
        <v>198</v>
      </c>
      <c r="N233" s="2" t="s">
        <v>185</v>
      </c>
      <c r="O233" s="16">
        <v>20060025</v>
      </c>
    </row>
    <row r="234" spans="1:21">
      <c r="A234" s="2">
        <v>200600169</v>
      </c>
      <c r="B234" s="15">
        <v>200600</v>
      </c>
      <c r="C234" s="3" t="s">
        <v>142</v>
      </c>
      <c r="D234" s="2">
        <v>344</v>
      </c>
      <c r="E234" s="2">
        <v>344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4" t="s">
        <v>219</v>
      </c>
      <c r="N234" s="2" t="s">
        <v>205</v>
      </c>
      <c r="O234" s="16">
        <v>20060029</v>
      </c>
      <c r="P234" s="2" t="s">
        <v>185</v>
      </c>
      <c r="Q234" s="16">
        <v>20060025</v>
      </c>
    </row>
    <row r="235" spans="1:21">
      <c r="A235" s="2">
        <v>200600170</v>
      </c>
      <c r="B235" s="15">
        <v>200600</v>
      </c>
      <c r="C235" s="3" t="s">
        <v>142</v>
      </c>
      <c r="D235" s="2">
        <v>344</v>
      </c>
      <c r="E235" s="2">
        <v>344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4" t="s">
        <v>202</v>
      </c>
      <c r="N235" s="2" t="s">
        <v>187</v>
      </c>
      <c r="O235" s="16">
        <v>20060026</v>
      </c>
    </row>
    <row r="236" spans="1:21">
      <c r="A236" s="2">
        <v>200600171</v>
      </c>
      <c r="B236" s="15">
        <v>200600</v>
      </c>
      <c r="C236" s="3" t="s">
        <v>142</v>
      </c>
      <c r="D236" s="2">
        <v>345</v>
      </c>
      <c r="E236" s="2">
        <v>345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4" t="s">
        <v>220</v>
      </c>
      <c r="N236" s="2" t="s">
        <v>205</v>
      </c>
      <c r="O236" s="16">
        <v>20060029</v>
      </c>
      <c r="P236" s="2" t="s">
        <v>185</v>
      </c>
      <c r="Q236" s="16">
        <v>20060025</v>
      </c>
      <c r="R236" s="2" t="s">
        <v>187</v>
      </c>
      <c r="S236" s="16">
        <v>20060026</v>
      </c>
      <c r="T236" s="2" t="s">
        <v>189</v>
      </c>
      <c r="U236" s="16">
        <v>20060027</v>
      </c>
    </row>
    <row r="237" spans="1:21">
      <c r="A237" s="2">
        <v>200600172</v>
      </c>
      <c r="B237" s="15">
        <v>200600</v>
      </c>
      <c r="C237" s="3" t="s">
        <v>142</v>
      </c>
      <c r="D237" s="2">
        <v>346</v>
      </c>
      <c r="E237" s="2">
        <v>346</v>
      </c>
      <c r="F237" s="2">
        <v>1</v>
      </c>
      <c r="G237" s="2">
        <v>0</v>
      </c>
      <c r="H237" s="2" t="s">
        <v>35</v>
      </c>
      <c r="I237" s="2">
        <v>100</v>
      </c>
      <c r="J237" s="2">
        <v>10000</v>
      </c>
      <c r="L237" s="2">
        <v>1</v>
      </c>
      <c r="M237" s="14" t="s">
        <v>221</v>
      </c>
      <c r="N237" s="2" t="s">
        <v>205</v>
      </c>
      <c r="O237" s="16">
        <v>20060029</v>
      </c>
      <c r="P237" s="2" t="s">
        <v>185</v>
      </c>
      <c r="Q237" s="16">
        <v>20060025</v>
      </c>
      <c r="R237" s="2" t="s">
        <v>187</v>
      </c>
      <c r="S237" s="16">
        <v>20060026</v>
      </c>
      <c r="T237" s="2" t="s">
        <v>191</v>
      </c>
      <c r="U237" s="16">
        <v>20060028</v>
      </c>
    </row>
    <row r="238" spans="1:21">
      <c r="A238" s="2">
        <v>200600173</v>
      </c>
      <c r="B238" s="15">
        <v>200600</v>
      </c>
      <c r="C238" s="3" t="s">
        <v>142</v>
      </c>
      <c r="D238" s="2">
        <v>355</v>
      </c>
      <c r="E238" s="2">
        <v>355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4" t="s">
        <v>219</v>
      </c>
      <c r="N238" s="2" t="s">
        <v>205</v>
      </c>
      <c r="O238" s="16">
        <v>20060029</v>
      </c>
      <c r="P238" s="2" t="s">
        <v>185</v>
      </c>
      <c r="Q238" s="16">
        <v>20060025</v>
      </c>
    </row>
    <row r="239" spans="1:21">
      <c r="A239" s="2">
        <v>200600174</v>
      </c>
      <c r="B239" s="15">
        <v>200600</v>
      </c>
      <c r="C239" s="3" t="s">
        <v>142</v>
      </c>
      <c r="D239" s="2">
        <v>355</v>
      </c>
      <c r="E239" s="2">
        <v>355</v>
      </c>
      <c r="F239" s="2">
        <v>1</v>
      </c>
      <c r="G239" s="2">
        <v>0</v>
      </c>
      <c r="H239" s="2" t="s">
        <v>35</v>
      </c>
      <c r="I239" s="2">
        <v>200</v>
      </c>
      <c r="J239" s="2">
        <v>10000</v>
      </c>
      <c r="L239" s="2">
        <v>1</v>
      </c>
      <c r="M239" s="14" t="s">
        <v>207</v>
      </c>
      <c r="N239" s="2" t="s">
        <v>189</v>
      </c>
      <c r="O239" s="16">
        <v>20060027</v>
      </c>
    </row>
    <row r="240" spans="1:21">
      <c r="A240" s="2">
        <v>200600175</v>
      </c>
      <c r="B240" s="15">
        <v>200600</v>
      </c>
      <c r="C240" s="3" t="s">
        <v>142</v>
      </c>
      <c r="D240" s="2">
        <v>356</v>
      </c>
      <c r="E240" s="2">
        <v>356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4" t="s">
        <v>222</v>
      </c>
      <c r="N240" s="2" t="s">
        <v>205</v>
      </c>
      <c r="O240" s="16">
        <v>20060029</v>
      </c>
      <c r="P240" s="2" t="s">
        <v>185</v>
      </c>
      <c r="Q240" s="16">
        <v>20060025</v>
      </c>
      <c r="R240" s="2" t="s">
        <v>189</v>
      </c>
      <c r="S240" s="16">
        <v>20060027</v>
      </c>
      <c r="T240" s="2" t="s">
        <v>191</v>
      </c>
      <c r="U240" s="16">
        <v>20060028</v>
      </c>
    </row>
    <row r="241" spans="1:21">
      <c r="A241" s="2">
        <v>200600176</v>
      </c>
      <c r="B241" s="15">
        <v>200600</v>
      </c>
      <c r="C241" s="3" t="s">
        <v>142</v>
      </c>
      <c r="D241" s="2">
        <v>366</v>
      </c>
      <c r="E241" s="2">
        <v>366</v>
      </c>
      <c r="F241" s="2">
        <v>1</v>
      </c>
      <c r="G241" s="2">
        <v>0</v>
      </c>
      <c r="H241" s="2" t="s">
        <v>35</v>
      </c>
      <c r="I241" s="2">
        <v>100</v>
      </c>
      <c r="J241" s="2">
        <v>10000</v>
      </c>
      <c r="L241" s="2">
        <v>1</v>
      </c>
      <c r="M241" s="14" t="s">
        <v>219</v>
      </c>
      <c r="N241" s="2" t="s">
        <v>205</v>
      </c>
      <c r="O241" s="16">
        <v>20060029</v>
      </c>
      <c r="P241" s="2" t="s">
        <v>185</v>
      </c>
      <c r="Q241" s="16">
        <v>20060025</v>
      </c>
    </row>
    <row r="242" spans="1:21">
      <c r="A242" s="2">
        <v>200600177</v>
      </c>
      <c r="B242" s="15">
        <v>200600</v>
      </c>
      <c r="C242" s="3" t="s">
        <v>142</v>
      </c>
      <c r="D242" s="2">
        <v>366</v>
      </c>
      <c r="E242" s="2">
        <v>366</v>
      </c>
      <c r="F242" s="2">
        <v>1</v>
      </c>
      <c r="G242" s="2">
        <v>0</v>
      </c>
      <c r="H242" s="2" t="s">
        <v>35</v>
      </c>
      <c r="I242" s="2">
        <v>200</v>
      </c>
      <c r="J242" s="2">
        <v>10000</v>
      </c>
      <c r="L242" s="2">
        <v>1</v>
      </c>
      <c r="M242" s="14" t="s">
        <v>209</v>
      </c>
      <c r="N242" s="2" t="s">
        <v>191</v>
      </c>
      <c r="O242" s="16">
        <v>20060028</v>
      </c>
    </row>
    <row r="243" spans="1:21">
      <c r="A243" s="2">
        <v>200600178</v>
      </c>
      <c r="B243" s="15">
        <v>200600</v>
      </c>
      <c r="C243" s="3" t="s">
        <v>142</v>
      </c>
      <c r="D243" s="2">
        <v>444</v>
      </c>
      <c r="E243" s="2">
        <v>444</v>
      </c>
      <c r="F243" s="2">
        <v>1</v>
      </c>
      <c r="G243" s="2">
        <v>0</v>
      </c>
      <c r="H243" s="2" t="s">
        <v>35</v>
      </c>
      <c r="I243" s="2">
        <v>3200</v>
      </c>
      <c r="J243" s="2">
        <v>10000</v>
      </c>
      <c r="L243" s="2">
        <v>1</v>
      </c>
      <c r="M243" s="14" t="s">
        <v>177</v>
      </c>
      <c r="N243" s="2" t="s">
        <v>178</v>
      </c>
      <c r="O243" s="16">
        <v>20060004</v>
      </c>
    </row>
    <row r="244" spans="1:21">
      <c r="A244" s="2">
        <v>200600179</v>
      </c>
      <c r="B244" s="15">
        <v>200600</v>
      </c>
      <c r="C244" s="3" t="s">
        <v>142</v>
      </c>
      <c r="D244" s="2">
        <v>444</v>
      </c>
      <c r="E244" s="2">
        <v>444</v>
      </c>
      <c r="F244" s="2">
        <v>1</v>
      </c>
      <c r="G244" s="2">
        <v>0</v>
      </c>
      <c r="H244" s="2" t="s">
        <v>35</v>
      </c>
      <c r="I244" s="2">
        <v>1900</v>
      </c>
      <c r="J244" s="2">
        <v>10000</v>
      </c>
      <c r="L244" s="2">
        <v>1</v>
      </c>
      <c r="M244" s="14" t="s">
        <v>160</v>
      </c>
      <c r="N244" s="2" t="s">
        <v>161</v>
      </c>
      <c r="O244" s="16">
        <v>20060017</v>
      </c>
    </row>
    <row r="245" spans="1:21">
      <c r="A245" s="2">
        <v>200600180</v>
      </c>
      <c r="B245" s="15">
        <v>200600</v>
      </c>
      <c r="C245" s="3" t="s">
        <v>142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600</v>
      </c>
      <c r="J245" s="2">
        <v>10000</v>
      </c>
      <c r="L245" s="2">
        <v>1</v>
      </c>
      <c r="M245" s="14" t="s">
        <v>202</v>
      </c>
      <c r="N245" s="2" t="s">
        <v>187</v>
      </c>
      <c r="O245" s="16">
        <v>20060026</v>
      </c>
    </row>
    <row r="246" spans="1:21">
      <c r="A246" s="2">
        <v>200600182</v>
      </c>
      <c r="B246" s="15">
        <v>200600</v>
      </c>
      <c r="C246" s="3" t="s">
        <v>142</v>
      </c>
      <c r="D246" s="2">
        <v>445</v>
      </c>
      <c r="E246" s="2">
        <v>445</v>
      </c>
      <c r="F246" s="2">
        <v>1</v>
      </c>
      <c r="G246" s="2">
        <v>0</v>
      </c>
      <c r="H246" s="2" t="s">
        <v>35</v>
      </c>
      <c r="I246" s="2">
        <v>100</v>
      </c>
      <c r="J246" s="2">
        <v>10000</v>
      </c>
      <c r="L246" s="2">
        <v>1</v>
      </c>
      <c r="M246" s="14" t="s">
        <v>217</v>
      </c>
      <c r="N246" s="2" t="s">
        <v>205</v>
      </c>
      <c r="O246" s="16">
        <v>20060029</v>
      </c>
      <c r="P246" s="2" t="s">
        <v>189</v>
      </c>
      <c r="Q246" s="16">
        <v>20060027</v>
      </c>
    </row>
    <row r="247" spans="1:21">
      <c r="A247" s="2">
        <v>200600183</v>
      </c>
      <c r="B247" s="15">
        <v>200600</v>
      </c>
      <c r="C247" s="3" t="s">
        <v>142</v>
      </c>
      <c r="D247" s="2">
        <v>445</v>
      </c>
      <c r="E247" s="2">
        <v>445</v>
      </c>
      <c r="F247" s="2">
        <v>1</v>
      </c>
      <c r="G247" s="2">
        <v>0</v>
      </c>
      <c r="H247" s="2" t="s">
        <v>35</v>
      </c>
      <c r="I247" s="2">
        <v>200</v>
      </c>
      <c r="J247" s="2">
        <v>10000</v>
      </c>
      <c r="L247" s="2">
        <v>1</v>
      </c>
      <c r="M247" s="14" t="s">
        <v>202</v>
      </c>
      <c r="N247" s="2" t="s">
        <v>187</v>
      </c>
      <c r="O247" s="16">
        <v>20060026</v>
      </c>
    </row>
    <row r="248" spans="1:21">
      <c r="A248" s="2">
        <v>200600184</v>
      </c>
      <c r="B248" s="15">
        <v>200600</v>
      </c>
      <c r="C248" s="3" t="s">
        <v>142</v>
      </c>
      <c r="D248" s="2">
        <v>446</v>
      </c>
      <c r="E248" s="2">
        <v>446</v>
      </c>
      <c r="F248" s="2">
        <v>1</v>
      </c>
      <c r="G248" s="2">
        <v>0</v>
      </c>
      <c r="H248" s="2" t="s">
        <v>35</v>
      </c>
      <c r="I248" s="2">
        <v>100</v>
      </c>
      <c r="J248" s="2">
        <v>10000</v>
      </c>
      <c r="L248" s="2">
        <v>1</v>
      </c>
      <c r="M248" s="14" t="s">
        <v>218</v>
      </c>
      <c r="N248" s="2" t="s">
        <v>205</v>
      </c>
      <c r="O248" s="16">
        <v>20060029</v>
      </c>
      <c r="P248" s="2" t="s">
        <v>191</v>
      </c>
      <c r="Q248" s="16">
        <v>20060028</v>
      </c>
    </row>
    <row r="249" spans="1:21">
      <c r="A249" s="2">
        <v>200600185</v>
      </c>
      <c r="B249" s="15">
        <v>200600</v>
      </c>
      <c r="C249" s="3" t="s">
        <v>142</v>
      </c>
      <c r="D249" s="2">
        <v>446</v>
      </c>
      <c r="E249" s="2">
        <v>446</v>
      </c>
      <c r="F249" s="2">
        <v>1</v>
      </c>
      <c r="G249" s="2">
        <v>0</v>
      </c>
      <c r="H249" s="2" t="s">
        <v>35</v>
      </c>
      <c r="I249" s="2">
        <v>200</v>
      </c>
      <c r="J249" s="2">
        <v>10000</v>
      </c>
      <c r="L249" s="2">
        <v>1</v>
      </c>
      <c r="M249" s="14" t="s">
        <v>202</v>
      </c>
      <c r="N249" s="2" t="s">
        <v>187</v>
      </c>
      <c r="O249" s="16">
        <v>20060026</v>
      </c>
    </row>
    <row r="250" spans="1:21">
      <c r="A250" s="2">
        <v>200600186</v>
      </c>
      <c r="B250" s="15">
        <v>200600</v>
      </c>
      <c r="C250" s="3" t="s">
        <v>142</v>
      </c>
      <c r="D250" s="2">
        <v>455</v>
      </c>
      <c r="E250" s="2">
        <v>455</v>
      </c>
      <c r="F250" s="2">
        <v>1</v>
      </c>
      <c r="G250" s="2">
        <v>0</v>
      </c>
      <c r="H250" s="2" t="s">
        <v>35</v>
      </c>
      <c r="I250" s="2">
        <v>100</v>
      </c>
      <c r="J250" s="2">
        <v>10000</v>
      </c>
      <c r="L250" s="2">
        <v>1</v>
      </c>
      <c r="M250" s="14" t="s">
        <v>223</v>
      </c>
      <c r="N250" s="2" t="s">
        <v>205</v>
      </c>
      <c r="O250" s="16">
        <v>20060029</v>
      </c>
      <c r="P250" s="2" t="s">
        <v>187</v>
      </c>
      <c r="Q250" s="16">
        <v>20060026</v>
      </c>
    </row>
    <row r="251" spans="1:21">
      <c r="A251" s="2">
        <v>200600187</v>
      </c>
      <c r="B251" s="15">
        <v>200600</v>
      </c>
      <c r="C251" s="3" t="s">
        <v>142</v>
      </c>
      <c r="D251" s="2">
        <v>455</v>
      </c>
      <c r="E251" s="2">
        <v>455</v>
      </c>
      <c r="F251" s="2">
        <v>1</v>
      </c>
      <c r="G251" s="2">
        <v>0</v>
      </c>
      <c r="H251" s="2" t="s">
        <v>35</v>
      </c>
      <c r="I251" s="2">
        <v>200</v>
      </c>
      <c r="J251" s="2">
        <v>10000</v>
      </c>
      <c r="L251" s="2">
        <v>1</v>
      </c>
      <c r="M251" s="14" t="s">
        <v>207</v>
      </c>
      <c r="N251" s="2" t="s">
        <v>189</v>
      </c>
      <c r="O251" s="16">
        <v>20060027</v>
      </c>
    </row>
    <row r="252" spans="1:21">
      <c r="A252" s="2">
        <v>200600188</v>
      </c>
      <c r="B252" s="15">
        <v>200600</v>
      </c>
      <c r="C252" s="3" t="s">
        <v>142</v>
      </c>
      <c r="D252" s="2">
        <v>456</v>
      </c>
      <c r="E252" s="2">
        <v>456</v>
      </c>
      <c r="F252" s="2">
        <v>1</v>
      </c>
      <c r="G252" s="2">
        <v>0</v>
      </c>
      <c r="H252" s="2" t="s">
        <v>35</v>
      </c>
      <c r="I252" s="2">
        <v>100</v>
      </c>
      <c r="J252" s="2">
        <v>10000</v>
      </c>
      <c r="L252" s="2">
        <v>1</v>
      </c>
      <c r="M252" s="14" t="s">
        <v>224</v>
      </c>
      <c r="N252" s="2" t="s">
        <v>205</v>
      </c>
      <c r="O252" s="16">
        <v>20060029</v>
      </c>
      <c r="P252" s="2" t="s">
        <v>187</v>
      </c>
      <c r="Q252" s="16">
        <v>20060026</v>
      </c>
      <c r="R252" s="2" t="s">
        <v>189</v>
      </c>
      <c r="S252" s="16">
        <v>20060027</v>
      </c>
      <c r="T252" s="2" t="s">
        <v>191</v>
      </c>
      <c r="U252" s="16">
        <v>20060028</v>
      </c>
    </row>
    <row r="253" spans="1:21">
      <c r="A253" s="2">
        <v>200600189</v>
      </c>
      <c r="B253" s="15">
        <v>200600</v>
      </c>
      <c r="C253" s="3" t="s">
        <v>142</v>
      </c>
      <c r="D253" s="2">
        <v>466</v>
      </c>
      <c r="E253" s="2">
        <v>466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4" t="s">
        <v>223</v>
      </c>
      <c r="N253" s="2" t="s">
        <v>205</v>
      </c>
      <c r="O253" s="16">
        <v>20060029</v>
      </c>
      <c r="P253" s="2" t="s">
        <v>187</v>
      </c>
      <c r="Q253" s="16">
        <v>20060026</v>
      </c>
    </row>
    <row r="254" spans="1:21">
      <c r="A254" s="2">
        <v>200600190</v>
      </c>
      <c r="B254" s="15">
        <v>200600</v>
      </c>
      <c r="C254" s="3" t="s">
        <v>142</v>
      </c>
      <c r="D254" s="2">
        <v>466</v>
      </c>
      <c r="E254" s="2">
        <v>466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4" t="s">
        <v>209</v>
      </c>
      <c r="N254" s="2" t="s">
        <v>191</v>
      </c>
      <c r="O254" s="16">
        <v>20060028</v>
      </c>
    </row>
    <row r="255" spans="1:21">
      <c r="A255" s="2">
        <v>200600191</v>
      </c>
      <c r="B255" s="15">
        <v>200600</v>
      </c>
      <c r="C255" s="3" t="s">
        <v>142</v>
      </c>
      <c r="D255" s="2">
        <v>555</v>
      </c>
      <c r="E255" s="2">
        <v>555</v>
      </c>
      <c r="F255" s="2">
        <v>1</v>
      </c>
      <c r="G255" s="2">
        <v>0</v>
      </c>
      <c r="H255" s="2" t="s">
        <v>35</v>
      </c>
      <c r="I255" s="2">
        <v>3200</v>
      </c>
      <c r="J255" s="2">
        <v>10000</v>
      </c>
      <c r="L255" s="2">
        <v>1</v>
      </c>
      <c r="M255" s="14" t="s">
        <v>177</v>
      </c>
      <c r="N255" s="2" t="s">
        <v>178</v>
      </c>
      <c r="O255" s="16">
        <v>20060004</v>
      </c>
    </row>
    <row r="256" spans="1:21">
      <c r="A256" s="2">
        <v>200600192</v>
      </c>
      <c r="B256" s="15">
        <v>200600</v>
      </c>
      <c r="C256" s="3" t="s">
        <v>142</v>
      </c>
      <c r="D256" s="2">
        <v>555</v>
      </c>
      <c r="E256" s="2">
        <v>555</v>
      </c>
      <c r="F256" s="2">
        <v>1</v>
      </c>
      <c r="G256" s="2">
        <v>0</v>
      </c>
      <c r="H256" s="2" t="s">
        <v>35</v>
      </c>
      <c r="I256" s="2">
        <v>1900</v>
      </c>
      <c r="J256" s="2">
        <v>10000</v>
      </c>
      <c r="L256" s="2">
        <v>1</v>
      </c>
      <c r="M256" s="14" t="s">
        <v>168</v>
      </c>
      <c r="N256" s="2" t="s">
        <v>169</v>
      </c>
      <c r="O256" s="16">
        <v>20060020</v>
      </c>
    </row>
    <row r="257" spans="1:17">
      <c r="A257" s="2">
        <v>200600193</v>
      </c>
      <c r="B257" s="15">
        <v>200600</v>
      </c>
      <c r="C257" s="3" t="s">
        <v>142</v>
      </c>
      <c r="D257" s="2">
        <v>555</v>
      </c>
      <c r="E257" s="2">
        <v>555</v>
      </c>
      <c r="F257" s="2">
        <v>1</v>
      </c>
      <c r="G257" s="2">
        <v>0</v>
      </c>
      <c r="H257" s="2" t="s">
        <v>35</v>
      </c>
      <c r="I257" s="2">
        <v>600</v>
      </c>
      <c r="J257" s="2">
        <v>10000</v>
      </c>
      <c r="L257" s="2">
        <v>1</v>
      </c>
      <c r="M257" s="14" t="s">
        <v>207</v>
      </c>
      <c r="N257" s="2" t="s">
        <v>189</v>
      </c>
      <c r="O257" s="16">
        <v>20060027</v>
      </c>
    </row>
    <row r="258" spans="1:17">
      <c r="A258" s="2">
        <v>200600195</v>
      </c>
      <c r="B258" s="15">
        <v>200600</v>
      </c>
      <c r="C258" s="3" t="s">
        <v>142</v>
      </c>
      <c r="D258" s="2">
        <v>556</v>
      </c>
      <c r="E258" s="2">
        <v>556</v>
      </c>
      <c r="F258" s="2">
        <v>1</v>
      </c>
      <c r="G258" s="2">
        <v>0</v>
      </c>
      <c r="H258" s="2" t="s">
        <v>35</v>
      </c>
      <c r="I258" s="2">
        <v>100</v>
      </c>
      <c r="J258" s="2">
        <v>10000</v>
      </c>
      <c r="L258" s="2">
        <v>1</v>
      </c>
      <c r="M258" s="14" t="s">
        <v>218</v>
      </c>
      <c r="N258" s="2" t="s">
        <v>205</v>
      </c>
      <c r="O258" s="16">
        <v>20060029</v>
      </c>
      <c r="P258" s="2" t="s">
        <v>191</v>
      </c>
      <c r="Q258" s="16">
        <v>20060028</v>
      </c>
    </row>
    <row r="259" spans="1:17">
      <c r="A259" s="2">
        <v>200600196</v>
      </c>
      <c r="B259" s="15">
        <v>200600</v>
      </c>
      <c r="C259" s="3" t="s">
        <v>142</v>
      </c>
      <c r="D259" s="2">
        <v>556</v>
      </c>
      <c r="E259" s="2">
        <v>556</v>
      </c>
      <c r="F259" s="2">
        <v>1</v>
      </c>
      <c r="G259" s="2">
        <v>0</v>
      </c>
      <c r="H259" s="2" t="s">
        <v>35</v>
      </c>
      <c r="I259" s="2">
        <v>200</v>
      </c>
      <c r="J259" s="2">
        <v>10000</v>
      </c>
      <c r="L259" s="2">
        <v>1</v>
      </c>
      <c r="M259" s="14" t="s">
        <v>207</v>
      </c>
      <c r="N259" s="2" t="s">
        <v>189</v>
      </c>
      <c r="O259" s="16">
        <v>20060027</v>
      </c>
    </row>
    <row r="260" spans="1:17">
      <c r="A260" s="2">
        <v>200600197</v>
      </c>
      <c r="B260" s="15">
        <v>200600</v>
      </c>
      <c r="C260" s="3" t="s">
        <v>142</v>
      </c>
      <c r="D260" s="2">
        <v>566</v>
      </c>
      <c r="E260" s="2">
        <v>566</v>
      </c>
      <c r="F260" s="2">
        <v>1</v>
      </c>
      <c r="G260" s="2">
        <v>0</v>
      </c>
      <c r="H260" s="2" t="s">
        <v>35</v>
      </c>
      <c r="I260" s="2">
        <v>100</v>
      </c>
      <c r="J260" s="2">
        <v>10000</v>
      </c>
      <c r="L260" s="2">
        <v>1</v>
      </c>
      <c r="M260" s="14" t="s">
        <v>217</v>
      </c>
      <c r="N260" s="2" t="s">
        <v>205</v>
      </c>
      <c r="O260" s="16">
        <v>20060029</v>
      </c>
      <c r="P260" s="2" t="s">
        <v>189</v>
      </c>
      <c r="Q260" s="16">
        <v>20060027</v>
      </c>
    </row>
    <row r="261" spans="1:17">
      <c r="A261" s="2">
        <v>200600198</v>
      </c>
      <c r="B261" s="15">
        <v>200600</v>
      </c>
      <c r="C261" s="3" t="s">
        <v>142</v>
      </c>
      <c r="D261" s="2">
        <v>566</v>
      </c>
      <c r="E261" s="2">
        <v>566</v>
      </c>
      <c r="F261" s="2">
        <v>1</v>
      </c>
      <c r="G261" s="2">
        <v>0</v>
      </c>
      <c r="H261" s="2" t="s">
        <v>35</v>
      </c>
      <c r="I261" s="2">
        <v>200</v>
      </c>
      <c r="J261" s="2">
        <v>10000</v>
      </c>
      <c r="L261" s="2">
        <v>1</v>
      </c>
      <c r="M261" s="14" t="s">
        <v>209</v>
      </c>
      <c r="N261" s="2" t="s">
        <v>191</v>
      </c>
      <c r="O261" s="16">
        <v>20060028</v>
      </c>
    </row>
    <row r="262" spans="1:17">
      <c r="A262" s="2">
        <v>200600199</v>
      </c>
      <c r="B262" s="15">
        <v>200600</v>
      </c>
      <c r="C262" s="3" t="s">
        <v>142</v>
      </c>
      <c r="D262" s="2">
        <v>666</v>
      </c>
      <c r="E262" s="2">
        <v>666</v>
      </c>
      <c r="F262" s="2">
        <v>1</v>
      </c>
      <c r="G262" s="2">
        <v>0</v>
      </c>
      <c r="H262" s="2" t="s">
        <v>35</v>
      </c>
      <c r="I262" s="2">
        <v>3200</v>
      </c>
      <c r="J262" s="2">
        <v>10000</v>
      </c>
      <c r="L262" s="2">
        <v>1</v>
      </c>
      <c r="M262" s="14" t="s">
        <v>177</v>
      </c>
      <c r="N262" s="2" t="s">
        <v>178</v>
      </c>
      <c r="O262" s="16">
        <v>20060004</v>
      </c>
    </row>
    <row r="263" spans="1:17">
      <c r="A263" s="2">
        <v>200600200</v>
      </c>
      <c r="B263" s="15">
        <v>200600</v>
      </c>
      <c r="C263" s="3" t="s">
        <v>142</v>
      </c>
      <c r="D263" s="2">
        <v>666</v>
      </c>
      <c r="E263" s="2">
        <v>666</v>
      </c>
      <c r="F263" s="2">
        <v>1</v>
      </c>
      <c r="G263" s="2">
        <v>0</v>
      </c>
      <c r="H263" s="2" t="s">
        <v>35</v>
      </c>
      <c r="I263" s="2">
        <v>600</v>
      </c>
      <c r="J263" s="2">
        <v>10000</v>
      </c>
      <c r="L263" s="2">
        <v>1</v>
      </c>
      <c r="M263" s="14" t="s">
        <v>209</v>
      </c>
      <c r="N263" s="2" t="s">
        <v>191</v>
      </c>
      <c r="O263" s="16">
        <v>20060028</v>
      </c>
    </row>
    <row r="264" spans="1:17">
      <c r="A264" s="2">
        <v>200700001</v>
      </c>
      <c r="B264" s="15">
        <v>200700</v>
      </c>
      <c r="C264" s="3" t="s">
        <v>225</v>
      </c>
      <c r="D264" s="2" t="s">
        <v>226</v>
      </c>
      <c r="E264" s="2">
        <v>1112</v>
      </c>
      <c r="F264" s="2">
        <v>4</v>
      </c>
      <c r="G264" s="2">
        <v>0</v>
      </c>
      <c r="H264" s="2" t="s">
        <v>35</v>
      </c>
      <c r="I264" s="2">
        <v>400</v>
      </c>
      <c r="J264" s="2">
        <v>0</v>
      </c>
      <c r="L264" s="2">
        <v>1</v>
      </c>
      <c r="M264" s="14" t="s">
        <v>227</v>
      </c>
      <c r="N264" s="16" t="s">
        <v>226</v>
      </c>
      <c r="O264" s="2">
        <v>20070005</v>
      </c>
    </row>
    <row r="265" spans="1:17">
      <c r="A265" s="2">
        <v>200700002</v>
      </c>
      <c r="B265" s="15">
        <v>200700</v>
      </c>
      <c r="C265" s="3" t="s">
        <v>225</v>
      </c>
      <c r="D265" s="2" t="s">
        <v>228</v>
      </c>
      <c r="E265" s="2">
        <v>2221</v>
      </c>
      <c r="F265" s="2">
        <v>4</v>
      </c>
      <c r="G265" s="2">
        <v>0</v>
      </c>
      <c r="H265" s="2" t="s">
        <v>35</v>
      </c>
      <c r="I265" s="2">
        <v>400</v>
      </c>
      <c r="J265" s="2">
        <v>0</v>
      </c>
      <c r="L265" s="2">
        <v>1</v>
      </c>
      <c r="M265" s="14" t="s">
        <v>229</v>
      </c>
      <c r="N265" s="16" t="s">
        <v>228</v>
      </c>
      <c r="O265" s="2">
        <v>20070006</v>
      </c>
    </row>
    <row r="266" spans="1:17">
      <c r="A266" s="2">
        <v>200700003</v>
      </c>
      <c r="B266" s="15">
        <v>200700</v>
      </c>
      <c r="C266" s="3" t="s">
        <v>225</v>
      </c>
      <c r="D266" s="2" t="s">
        <v>230</v>
      </c>
      <c r="E266" s="2">
        <v>2222</v>
      </c>
      <c r="F266" s="2">
        <v>1</v>
      </c>
      <c r="G266" s="2">
        <v>0</v>
      </c>
      <c r="H266" s="2" t="s">
        <v>35</v>
      </c>
      <c r="I266" s="2">
        <v>1500</v>
      </c>
      <c r="J266" s="2">
        <v>0</v>
      </c>
      <c r="L266" s="2">
        <v>1</v>
      </c>
      <c r="M266" s="14" t="s">
        <v>231</v>
      </c>
      <c r="N266" s="16" t="s">
        <v>230</v>
      </c>
      <c r="O266" s="2">
        <v>20070002</v>
      </c>
    </row>
    <row r="267" spans="1:17">
      <c r="A267" s="2">
        <v>200700004</v>
      </c>
      <c r="B267" s="15">
        <v>200700</v>
      </c>
      <c r="C267" s="3" t="s">
        <v>225</v>
      </c>
      <c r="D267" s="2" t="s">
        <v>232</v>
      </c>
      <c r="E267" s="2">
        <v>1122</v>
      </c>
      <c r="F267" s="2">
        <v>6</v>
      </c>
      <c r="G267" s="2">
        <v>0</v>
      </c>
      <c r="H267" s="2" t="s">
        <v>35</v>
      </c>
      <c r="I267" s="2">
        <v>200</v>
      </c>
      <c r="J267" s="2">
        <v>0</v>
      </c>
      <c r="L267" s="2">
        <v>1</v>
      </c>
      <c r="M267" s="14" t="s">
        <v>233</v>
      </c>
      <c r="N267" s="16" t="s">
        <v>234</v>
      </c>
      <c r="O267" s="2">
        <v>20070003</v>
      </c>
    </row>
    <row r="268" spans="1:17">
      <c r="A268" s="2">
        <v>200700005</v>
      </c>
      <c r="B268" s="15">
        <v>200700</v>
      </c>
      <c r="C268" s="3" t="s">
        <v>225</v>
      </c>
      <c r="D268" s="2" t="s">
        <v>235</v>
      </c>
      <c r="E268" s="2">
        <v>1111</v>
      </c>
      <c r="F268" s="2">
        <v>1</v>
      </c>
      <c r="G268" s="2">
        <v>0</v>
      </c>
      <c r="H268" s="2" t="s">
        <v>35</v>
      </c>
      <c r="I268" s="2">
        <v>1500</v>
      </c>
      <c r="J268" s="2">
        <v>0</v>
      </c>
      <c r="L268" s="2">
        <v>1</v>
      </c>
      <c r="M268" s="14" t="s">
        <v>236</v>
      </c>
      <c r="N268" s="16" t="s">
        <v>235</v>
      </c>
      <c r="O268" s="2">
        <v>20070001</v>
      </c>
    </row>
    <row r="269" spans="1:17">
      <c r="A269" s="2">
        <v>200700006</v>
      </c>
      <c r="B269" s="15">
        <v>200700</v>
      </c>
      <c r="C269" s="3" t="s">
        <v>225</v>
      </c>
      <c r="D269" s="2" t="s">
        <v>226</v>
      </c>
      <c r="E269" s="2">
        <v>1112</v>
      </c>
      <c r="F269" s="2">
        <v>4</v>
      </c>
      <c r="G269" s="2">
        <v>0</v>
      </c>
      <c r="H269" s="2" t="s">
        <v>35</v>
      </c>
      <c r="I269" s="2">
        <v>200</v>
      </c>
      <c r="J269" s="2">
        <v>0</v>
      </c>
      <c r="L269" s="2">
        <v>1</v>
      </c>
      <c r="M269" s="14" t="s">
        <v>237</v>
      </c>
      <c r="N269" s="16" t="s">
        <v>238</v>
      </c>
      <c r="O269" s="2">
        <v>20070004</v>
      </c>
    </row>
    <row r="270" spans="1:17">
      <c r="A270" s="2">
        <v>200700007</v>
      </c>
      <c r="B270" s="15">
        <v>200700</v>
      </c>
      <c r="C270" s="3" t="s">
        <v>225</v>
      </c>
      <c r="D270" s="2" t="s">
        <v>228</v>
      </c>
      <c r="E270" s="2">
        <v>2221</v>
      </c>
      <c r="F270" s="2">
        <v>4</v>
      </c>
      <c r="G270" s="2">
        <v>0</v>
      </c>
      <c r="H270" s="2" t="s">
        <v>35</v>
      </c>
      <c r="I270" s="2">
        <v>200</v>
      </c>
      <c r="J270" s="2">
        <v>0</v>
      </c>
      <c r="L270" s="2">
        <v>1</v>
      </c>
      <c r="M270" s="14" t="s">
        <v>237</v>
      </c>
      <c r="N270" s="16" t="s">
        <v>238</v>
      </c>
      <c r="O270" s="2">
        <v>20070004</v>
      </c>
    </row>
    <row r="271" spans="1:17">
      <c r="A271" s="2">
        <v>200700008</v>
      </c>
      <c r="B271" s="15">
        <v>200700</v>
      </c>
      <c r="C271" s="3" t="s">
        <v>225</v>
      </c>
      <c r="D271" s="2" t="s">
        <v>230</v>
      </c>
      <c r="E271" s="2">
        <v>2222</v>
      </c>
      <c r="F271" s="2">
        <v>1</v>
      </c>
      <c r="G271" s="2">
        <v>0</v>
      </c>
      <c r="H271" s="2" t="s">
        <v>35</v>
      </c>
      <c r="I271" s="2">
        <v>200</v>
      </c>
      <c r="J271" s="2">
        <v>0</v>
      </c>
      <c r="L271" s="2">
        <v>1</v>
      </c>
      <c r="M271" s="14" t="s">
        <v>233</v>
      </c>
      <c r="N271" s="16" t="s">
        <v>234</v>
      </c>
      <c r="O271" s="2">
        <v>20070003</v>
      </c>
    </row>
    <row r="272" spans="1:17">
      <c r="A272" s="2">
        <v>200700009</v>
      </c>
      <c r="B272" s="15">
        <v>200700</v>
      </c>
      <c r="C272" s="3" t="s">
        <v>225</v>
      </c>
      <c r="D272" s="2" t="s">
        <v>235</v>
      </c>
      <c r="E272" s="2">
        <v>1111</v>
      </c>
      <c r="F272" s="2">
        <v>1</v>
      </c>
      <c r="G272" s="2">
        <v>0</v>
      </c>
      <c r="H272" s="2" t="s">
        <v>35</v>
      </c>
      <c r="I272" s="2">
        <v>200</v>
      </c>
      <c r="J272" s="2">
        <v>0</v>
      </c>
      <c r="L272" s="2">
        <v>1</v>
      </c>
      <c r="M272" s="14" t="s">
        <v>233</v>
      </c>
      <c r="N272" s="16" t="s">
        <v>234</v>
      </c>
      <c r="O272" s="2">
        <v>20070003</v>
      </c>
    </row>
    <row r="273" spans="1:15">
      <c r="A273" s="2">
        <f>B273*1000+D273</f>
        <v>200800111</v>
      </c>
      <c r="B273" s="18">
        <v>200800</v>
      </c>
      <c r="C273" s="18" t="s">
        <v>239</v>
      </c>
      <c r="D273" s="2">
        <v>111</v>
      </c>
      <c r="E273" s="2">
        <v>111</v>
      </c>
      <c r="F273" s="2">
        <v>1</v>
      </c>
      <c r="G273" s="2">
        <v>0</v>
      </c>
      <c r="H273" s="2" t="s">
        <v>35</v>
      </c>
      <c r="I273" s="2">
        <v>100</v>
      </c>
      <c r="J273" s="2">
        <v>10000</v>
      </c>
      <c r="L273" s="2">
        <v>1</v>
      </c>
      <c r="M273" s="14">
        <v>20080001</v>
      </c>
      <c r="N273" s="2" t="s">
        <v>182</v>
      </c>
      <c r="O273" s="2">
        <v>20080001</v>
      </c>
    </row>
    <row r="274" spans="1:15">
      <c r="A274" s="2">
        <f t="shared" ref="A274:A305" si="0">B274*1000+D274</f>
        <v>200800112</v>
      </c>
      <c r="B274" s="18">
        <v>200800</v>
      </c>
      <c r="C274" s="18" t="s">
        <v>239</v>
      </c>
      <c r="D274" s="2">
        <v>112</v>
      </c>
      <c r="E274" s="2">
        <v>112</v>
      </c>
      <c r="F274" s="2">
        <v>1</v>
      </c>
      <c r="G274" s="2">
        <v>0</v>
      </c>
      <c r="H274" s="2" t="s">
        <v>35</v>
      </c>
      <c r="I274" s="2">
        <v>100</v>
      </c>
      <c r="J274" s="2">
        <v>10000</v>
      </c>
      <c r="L274" s="2">
        <v>1</v>
      </c>
      <c r="M274" s="14">
        <v>20080001</v>
      </c>
      <c r="N274" s="2" t="s">
        <v>182</v>
      </c>
      <c r="O274" s="2">
        <v>20080001</v>
      </c>
    </row>
    <row r="275" spans="1:15">
      <c r="A275" s="2">
        <f t="shared" si="0"/>
        <v>200800113</v>
      </c>
      <c r="B275" s="18">
        <v>200800</v>
      </c>
      <c r="C275" s="18" t="s">
        <v>239</v>
      </c>
      <c r="D275" s="2">
        <v>113</v>
      </c>
      <c r="E275" s="2">
        <v>113</v>
      </c>
      <c r="F275" s="2">
        <v>1</v>
      </c>
      <c r="G275" s="2">
        <v>0</v>
      </c>
      <c r="H275" s="2" t="s">
        <v>35</v>
      </c>
      <c r="I275" s="2">
        <v>100</v>
      </c>
      <c r="J275" s="2">
        <v>10000</v>
      </c>
      <c r="L275" s="2">
        <v>1</v>
      </c>
      <c r="M275" s="14">
        <v>20080001</v>
      </c>
      <c r="N275" s="2" t="s">
        <v>182</v>
      </c>
      <c r="O275" s="2">
        <v>20080001</v>
      </c>
    </row>
    <row r="276" spans="1:15">
      <c r="A276" s="2">
        <f t="shared" si="0"/>
        <v>200800114</v>
      </c>
      <c r="B276" s="18">
        <v>200800</v>
      </c>
      <c r="C276" s="18" t="s">
        <v>239</v>
      </c>
      <c r="D276" s="2">
        <v>114</v>
      </c>
      <c r="E276" s="2">
        <v>114</v>
      </c>
      <c r="F276" s="2">
        <v>1</v>
      </c>
      <c r="G276" s="2">
        <v>0</v>
      </c>
      <c r="H276" s="2" t="s">
        <v>35</v>
      </c>
      <c r="I276" s="2">
        <v>100</v>
      </c>
      <c r="J276" s="2">
        <v>10000</v>
      </c>
      <c r="L276" s="2">
        <v>1</v>
      </c>
      <c r="M276" s="14">
        <v>20080001</v>
      </c>
      <c r="N276" s="2" t="s">
        <v>182</v>
      </c>
      <c r="O276" s="2">
        <v>20080001</v>
      </c>
    </row>
    <row r="277" spans="1:15">
      <c r="A277" s="2">
        <f t="shared" si="0"/>
        <v>200800115</v>
      </c>
      <c r="B277" s="18">
        <v>200800</v>
      </c>
      <c r="C277" s="18" t="s">
        <v>239</v>
      </c>
      <c r="D277" s="2">
        <v>115</v>
      </c>
      <c r="E277" s="2">
        <v>115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4">
        <v>20080001</v>
      </c>
      <c r="N277" s="2" t="s">
        <v>182</v>
      </c>
      <c r="O277" s="2">
        <v>20080001</v>
      </c>
    </row>
    <row r="278" spans="1:15">
      <c r="A278" s="2">
        <f t="shared" si="0"/>
        <v>200800116</v>
      </c>
      <c r="B278" s="18">
        <v>200800</v>
      </c>
      <c r="C278" s="18" t="s">
        <v>239</v>
      </c>
      <c r="D278" s="2">
        <v>116</v>
      </c>
      <c r="E278" s="2">
        <v>116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4">
        <v>20080001</v>
      </c>
      <c r="N278" s="2" t="s">
        <v>182</v>
      </c>
      <c r="O278" s="2">
        <v>20080001</v>
      </c>
    </row>
    <row r="279" spans="1:15">
      <c r="A279" s="2">
        <f t="shared" si="0"/>
        <v>200800122</v>
      </c>
      <c r="B279" s="18">
        <v>200800</v>
      </c>
      <c r="C279" s="18" t="s">
        <v>239</v>
      </c>
      <c r="D279" s="2">
        <v>122</v>
      </c>
      <c r="E279" s="2">
        <v>122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4">
        <v>20080001</v>
      </c>
      <c r="N279" s="2" t="s">
        <v>182</v>
      </c>
      <c r="O279" s="2">
        <v>20080001</v>
      </c>
    </row>
    <row r="280" spans="1:15">
      <c r="A280" s="2">
        <f t="shared" si="0"/>
        <v>200800123</v>
      </c>
      <c r="B280" s="18">
        <v>200800</v>
      </c>
      <c r="C280" s="18" t="s">
        <v>239</v>
      </c>
      <c r="D280" s="2">
        <v>123</v>
      </c>
      <c r="E280" s="2">
        <v>123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4">
        <v>20080001</v>
      </c>
      <c r="N280" s="2" t="s">
        <v>182</v>
      </c>
      <c r="O280" s="2">
        <v>20080001</v>
      </c>
    </row>
    <row r="281" spans="1:15">
      <c r="A281" s="2">
        <f t="shared" si="0"/>
        <v>200800124</v>
      </c>
      <c r="B281" s="18">
        <v>200800</v>
      </c>
      <c r="C281" s="18" t="s">
        <v>239</v>
      </c>
      <c r="D281" s="2">
        <v>124</v>
      </c>
      <c r="E281" s="2">
        <v>124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4">
        <v>20080001</v>
      </c>
      <c r="N281" s="2" t="s">
        <v>182</v>
      </c>
      <c r="O281" s="2">
        <v>20080001</v>
      </c>
    </row>
    <row r="282" spans="1:15">
      <c r="A282" s="2">
        <f t="shared" si="0"/>
        <v>200800125</v>
      </c>
      <c r="B282" s="18">
        <v>200800</v>
      </c>
      <c r="C282" s="18" t="s">
        <v>239</v>
      </c>
      <c r="D282" s="2">
        <v>125</v>
      </c>
      <c r="E282" s="2">
        <v>125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4">
        <v>20080001</v>
      </c>
      <c r="N282" s="2" t="s">
        <v>182</v>
      </c>
      <c r="O282" s="2">
        <v>20080001</v>
      </c>
    </row>
    <row r="283" spans="1:15">
      <c r="A283" s="2">
        <f t="shared" si="0"/>
        <v>200800126</v>
      </c>
      <c r="B283" s="18">
        <v>200800</v>
      </c>
      <c r="C283" s="18" t="s">
        <v>239</v>
      </c>
      <c r="D283" s="2">
        <v>126</v>
      </c>
      <c r="E283" s="2">
        <v>126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4">
        <v>20080001</v>
      </c>
      <c r="N283" s="2" t="s">
        <v>182</v>
      </c>
      <c r="O283" s="2">
        <v>20080001</v>
      </c>
    </row>
    <row r="284" spans="1:15">
      <c r="A284" s="2">
        <f t="shared" si="0"/>
        <v>200800133</v>
      </c>
      <c r="B284" s="18">
        <v>200800</v>
      </c>
      <c r="C284" s="18" t="s">
        <v>239</v>
      </c>
      <c r="D284" s="2">
        <v>133</v>
      </c>
      <c r="E284" s="2">
        <v>133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4">
        <v>20080001</v>
      </c>
      <c r="N284" s="2" t="s">
        <v>182</v>
      </c>
      <c r="O284" s="2">
        <v>20080001</v>
      </c>
    </row>
    <row r="285" spans="1:15">
      <c r="A285" s="2">
        <f t="shared" si="0"/>
        <v>200800134</v>
      </c>
      <c r="B285" s="18">
        <v>200800</v>
      </c>
      <c r="C285" s="18" t="s">
        <v>239</v>
      </c>
      <c r="D285" s="2">
        <v>134</v>
      </c>
      <c r="E285" s="2">
        <v>134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4">
        <v>20080001</v>
      </c>
      <c r="N285" s="2" t="s">
        <v>182</v>
      </c>
      <c r="O285" s="2">
        <v>20080001</v>
      </c>
    </row>
    <row r="286" spans="1:15">
      <c r="A286" s="2">
        <f t="shared" si="0"/>
        <v>200800135</v>
      </c>
      <c r="B286" s="18">
        <v>200800</v>
      </c>
      <c r="C286" s="18" t="s">
        <v>239</v>
      </c>
      <c r="D286" s="2">
        <v>135</v>
      </c>
      <c r="E286" s="2">
        <v>135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4">
        <v>20080001</v>
      </c>
      <c r="N286" s="2" t="s">
        <v>182</v>
      </c>
      <c r="O286" s="2">
        <v>20080001</v>
      </c>
    </row>
    <row r="287" spans="1:15">
      <c r="A287" s="2">
        <f t="shared" si="0"/>
        <v>200800136</v>
      </c>
      <c r="B287" s="18">
        <v>200800</v>
      </c>
      <c r="C287" s="18" t="s">
        <v>239</v>
      </c>
      <c r="D287" s="2">
        <v>136</v>
      </c>
      <c r="E287" s="2">
        <v>136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4">
        <v>20080001</v>
      </c>
      <c r="N287" s="2" t="s">
        <v>182</v>
      </c>
      <c r="O287" s="2">
        <v>20080001</v>
      </c>
    </row>
    <row r="288" spans="1:15">
      <c r="A288" s="2">
        <f t="shared" si="0"/>
        <v>200800144</v>
      </c>
      <c r="B288" s="18">
        <v>200800</v>
      </c>
      <c r="C288" s="18" t="s">
        <v>239</v>
      </c>
      <c r="D288" s="2">
        <v>144</v>
      </c>
      <c r="E288" s="2">
        <v>144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4">
        <v>20080001</v>
      </c>
      <c r="N288" s="2" t="s">
        <v>182</v>
      </c>
      <c r="O288" s="2">
        <v>20080001</v>
      </c>
    </row>
    <row r="289" spans="1:15">
      <c r="A289" s="2">
        <f t="shared" si="0"/>
        <v>200800145</v>
      </c>
      <c r="B289" s="18">
        <v>200800</v>
      </c>
      <c r="C289" s="18" t="s">
        <v>239</v>
      </c>
      <c r="D289" s="2">
        <v>145</v>
      </c>
      <c r="E289" s="2">
        <v>145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4">
        <v>20080001</v>
      </c>
      <c r="N289" s="2" t="s">
        <v>182</v>
      </c>
      <c r="O289" s="2">
        <v>20080001</v>
      </c>
    </row>
    <row r="290" spans="1:15">
      <c r="A290" s="2">
        <f t="shared" si="0"/>
        <v>200800146</v>
      </c>
      <c r="B290" s="18">
        <v>200800</v>
      </c>
      <c r="C290" s="18" t="s">
        <v>239</v>
      </c>
      <c r="D290" s="2">
        <v>146</v>
      </c>
      <c r="E290" s="2">
        <v>146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4">
        <v>20080002</v>
      </c>
      <c r="N290" s="2" t="s">
        <v>205</v>
      </c>
      <c r="O290" s="2">
        <v>20080002</v>
      </c>
    </row>
    <row r="291" spans="1:15">
      <c r="A291" s="2">
        <f t="shared" si="0"/>
        <v>200800155</v>
      </c>
      <c r="B291" s="18">
        <v>200800</v>
      </c>
      <c r="C291" s="18" t="s">
        <v>239</v>
      </c>
      <c r="D291" s="2">
        <v>155</v>
      </c>
      <c r="E291" s="2">
        <v>155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4">
        <v>20080002</v>
      </c>
      <c r="N291" s="2" t="s">
        <v>205</v>
      </c>
      <c r="O291" s="2">
        <v>20080002</v>
      </c>
    </row>
    <row r="292" spans="1:15">
      <c r="A292" s="2">
        <f t="shared" si="0"/>
        <v>200800156</v>
      </c>
      <c r="B292" s="18">
        <v>200800</v>
      </c>
      <c r="C292" s="18" t="s">
        <v>239</v>
      </c>
      <c r="D292" s="2">
        <v>156</v>
      </c>
      <c r="E292" s="2">
        <v>156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4">
        <v>20080002</v>
      </c>
      <c r="N292" s="2" t="s">
        <v>205</v>
      </c>
      <c r="O292" s="2">
        <v>20080002</v>
      </c>
    </row>
    <row r="293" spans="1:15">
      <c r="A293" s="2">
        <f t="shared" si="0"/>
        <v>200800166</v>
      </c>
      <c r="B293" s="18">
        <v>200800</v>
      </c>
      <c r="C293" s="18" t="s">
        <v>239</v>
      </c>
      <c r="D293" s="2">
        <v>166</v>
      </c>
      <c r="E293" s="2">
        <v>166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4">
        <v>20080002</v>
      </c>
      <c r="N293" s="2" t="s">
        <v>205</v>
      </c>
      <c r="O293" s="2">
        <v>20080002</v>
      </c>
    </row>
    <row r="294" spans="1:15">
      <c r="A294" s="2">
        <f t="shared" si="0"/>
        <v>200800222</v>
      </c>
      <c r="B294" s="18">
        <v>200800</v>
      </c>
      <c r="C294" s="18" t="s">
        <v>239</v>
      </c>
      <c r="D294" s="2">
        <v>222</v>
      </c>
      <c r="E294" s="2">
        <v>222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4">
        <v>20080001</v>
      </c>
      <c r="N294" s="2" t="s">
        <v>182</v>
      </c>
      <c r="O294" s="2">
        <v>20080001</v>
      </c>
    </row>
    <row r="295" spans="1:15">
      <c r="A295" s="2">
        <f t="shared" si="0"/>
        <v>200800223</v>
      </c>
      <c r="B295" s="18">
        <v>200800</v>
      </c>
      <c r="C295" s="18" t="s">
        <v>239</v>
      </c>
      <c r="D295" s="2">
        <v>223</v>
      </c>
      <c r="E295" s="2">
        <v>223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4">
        <v>20080001</v>
      </c>
      <c r="N295" s="2" t="s">
        <v>182</v>
      </c>
      <c r="O295" s="2">
        <v>20080001</v>
      </c>
    </row>
    <row r="296" spans="1:15">
      <c r="A296" s="2">
        <f t="shared" si="0"/>
        <v>200800224</v>
      </c>
      <c r="B296" s="18">
        <v>200800</v>
      </c>
      <c r="C296" s="18" t="s">
        <v>239</v>
      </c>
      <c r="D296" s="2">
        <v>224</v>
      </c>
      <c r="E296" s="2">
        <v>224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4">
        <v>20080001</v>
      </c>
      <c r="N296" s="2" t="s">
        <v>182</v>
      </c>
      <c r="O296" s="2">
        <v>20080001</v>
      </c>
    </row>
    <row r="297" spans="1:15">
      <c r="A297" s="2">
        <f t="shared" si="0"/>
        <v>200800225</v>
      </c>
      <c r="B297" s="18">
        <v>200800</v>
      </c>
      <c r="C297" s="18" t="s">
        <v>239</v>
      </c>
      <c r="D297" s="2">
        <v>225</v>
      </c>
      <c r="E297" s="2">
        <v>225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4">
        <v>20080001</v>
      </c>
      <c r="N297" s="2" t="s">
        <v>182</v>
      </c>
      <c r="O297" s="2">
        <v>20080001</v>
      </c>
    </row>
    <row r="298" spans="1:15">
      <c r="A298" s="2">
        <f t="shared" si="0"/>
        <v>200800226</v>
      </c>
      <c r="B298" s="18">
        <v>200800</v>
      </c>
      <c r="C298" s="18" t="s">
        <v>239</v>
      </c>
      <c r="D298" s="2">
        <v>226</v>
      </c>
      <c r="E298" s="2">
        <v>226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4">
        <v>20080001</v>
      </c>
      <c r="N298" s="2" t="s">
        <v>182</v>
      </c>
      <c r="O298" s="2">
        <v>20080001</v>
      </c>
    </row>
    <row r="299" spans="1:15">
      <c r="A299" s="2">
        <f t="shared" si="0"/>
        <v>200800233</v>
      </c>
      <c r="B299" s="18">
        <v>200800</v>
      </c>
      <c r="C299" s="18" t="s">
        <v>239</v>
      </c>
      <c r="D299" s="2">
        <v>233</v>
      </c>
      <c r="E299" s="2">
        <v>233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4">
        <v>20080001</v>
      </c>
      <c r="N299" s="2" t="s">
        <v>182</v>
      </c>
      <c r="O299" s="2">
        <v>20080001</v>
      </c>
    </row>
    <row r="300" spans="1:15">
      <c r="A300" s="2">
        <f t="shared" si="0"/>
        <v>200800234</v>
      </c>
      <c r="B300" s="18">
        <v>200800</v>
      </c>
      <c r="C300" s="18" t="s">
        <v>239</v>
      </c>
      <c r="D300" s="2">
        <v>234</v>
      </c>
      <c r="E300" s="2">
        <v>234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4">
        <v>20080001</v>
      </c>
      <c r="N300" s="2" t="s">
        <v>182</v>
      </c>
      <c r="O300" s="2">
        <v>20080001</v>
      </c>
    </row>
    <row r="301" spans="1:15">
      <c r="A301" s="2">
        <f t="shared" si="0"/>
        <v>200800235</v>
      </c>
      <c r="B301" s="18">
        <v>200800</v>
      </c>
      <c r="C301" s="18" t="s">
        <v>239</v>
      </c>
      <c r="D301" s="2">
        <v>235</v>
      </c>
      <c r="E301" s="2">
        <v>235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4">
        <v>20080001</v>
      </c>
      <c r="N301" s="2" t="s">
        <v>182</v>
      </c>
      <c r="O301" s="2">
        <v>20080001</v>
      </c>
    </row>
    <row r="302" spans="1:15">
      <c r="A302" s="2">
        <f t="shared" si="0"/>
        <v>200800236</v>
      </c>
      <c r="B302" s="18">
        <v>200800</v>
      </c>
      <c r="C302" s="18" t="s">
        <v>239</v>
      </c>
      <c r="D302" s="2">
        <v>236</v>
      </c>
      <c r="E302" s="2">
        <v>236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4">
        <v>20080002</v>
      </c>
      <c r="N302" s="2" t="s">
        <v>205</v>
      </c>
      <c r="O302" s="2">
        <v>20080002</v>
      </c>
    </row>
    <row r="303" spans="1:15">
      <c r="A303" s="2">
        <f t="shared" si="0"/>
        <v>200800244</v>
      </c>
      <c r="B303" s="18">
        <v>200800</v>
      </c>
      <c r="C303" s="18" t="s">
        <v>239</v>
      </c>
      <c r="D303" s="2">
        <v>244</v>
      </c>
      <c r="E303" s="2">
        <v>244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4">
        <v>20080001</v>
      </c>
      <c r="N303" s="2" t="s">
        <v>182</v>
      </c>
      <c r="O303" s="2">
        <v>20080001</v>
      </c>
    </row>
    <row r="304" spans="1:15">
      <c r="A304" s="2">
        <f t="shared" si="0"/>
        <v>200800245</v>
      </c>
      <c r="B304" s="18">
        <v>200800</v>
      </c>
      <c r="C304" s="18" t="s">
        <v>239</v>
      </c>
      <c r="D304" s="2">
        <v>245</v>
      </c>
      <c r="E304" s="2">
        <v>245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4">
        <v>20080002</v>
      </c>
      <c r="N304" s="2" t="s">
        <v>205</v>
      </c>
      <c r="O304" s="2">
        <v>20080002</v>
      </c>
    </row>
    <row r="305" spans="1:15">
      <c r="A305" s="2">
        <f t="shared" si="0"/>
        <v>200800246</v>
      </c>
      <c r="B305" s="18">
        <v>200800</v>
      </c>
      <c r="C305" s="18" t="s">
        <v>239</v>
      </c>
      <c r="D305" s="2">
        <v>246</v>
      </c>
      <c r="E305" s="2">
        <v>246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4">
        <v>20080002</v>
      </c>
      <c r="N305" s="2" t="s">
        <v>205</v>
      </c>
      <c r="O305" s="2">
        <v>20080002</v>
      </c>
    </row>
    <row r="306" spans="1:15">
      <c r="A306" s="2">
        <f t="shared" ref="A306:A328" si="1">B306*1000+D306</f>
        <v>200800255</v>
      </c>
      <c r="B306" s="18">
        <v>200800</v>
      </c>
      <c r="C306" s="18" t="s">
        <v>239</v>
      </c>
      <c r="D306" s="2">
        <v>255</v>
      </c>
      <c r="E306" s="2">
        <v>255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4">
        <v>20080002</v>
      </c>
      <c r="N306" s="2" t="s">
        <v>205</v>
      </c>
      <c r="O306" s="2">
        <v>20080002</v>
      </c>
    </row>
    <row r="307" spans="1:15">
      <c r="A307" s="2">
        <f t="shared" si="1"/>
        <v>200800256</v>
      </c>
      <c r="B307" s="18">
        <v>200800</v>
      </c>
      <c r="C307" s="18" t="s">
        <v>239</v>
      </c>
      <c r="D307" s="2">
        <v>256</v>
      </c>
      <c r="E307" s="2">
        <v>256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4">
        <v>20080002</v>
      </c>
      <c r="N307" s="2" t="s">
        <v>205</v>
      </c>
      <c r="O307" s="2">
        <v>20080002</v>
      </c>
    </row>
    <row r="308" spans="1:15">
      <c r="A308" s="2">
        <f t="shared" si="1"/>
        <v>200800266</v>
      </c>
      <c r="B308" s="18">
        <v>200800</v>
      </c>
      <c r="C308" s="18" t="s">
        <v>239</v>
      </c>
      <c r="D308" s="2">
        <v>266</v>
      </c>
      <c r="E308" s="2">
        <v>266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4">
        <v>20080002</v>
      </c>
      <c r="N308" s="2" t="s">
        <v>205</v>
      </c>
      <c r="O308" s="2">
        <v>20080002</v>
      </c>
    </row>
    <row r="309" spans="1:15">
      <c r="A309" s="2">
        <f t="shared" si="1"/>
        <v>200800333</v>
      </c>
      <c r="B309" s="18">
        <v>200800</v>
      </c>
      <c r="C309" s="18" t="s">
        <v>239</v>
      </c>
      <c r="D309" s="2">
        <v>333</v>
      </c>
      <c r="E309" s="2">
        <v>333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4">
        <v>20080001</v>
      </c>
      <c r="N309" s="2" t="s">
        <v>182</v>
      </c>
      <c r="O309" s="2">
        <v>20080001</v>
      </c>
    </row>
    <row r="310" spans="1:15">
      <c r="A310" s="2">
        <f t="shared" si="1"/>
        <v>200800334</v>
      </c>
      <c r="B310" s="18">
        <v>200800</v>
      </c>
      <c r="C310" s="18" t="s">
        <v>239</v>
      </c>
      <c r="D310" s="2">
        <v>334</v>
      </c>
      <c r="E310" s="2">
        <v>334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4">
        <v>20080001</v>
      </c>
      <c r="N310" s="2" t="s">
        <v>182</v>
      </c>
      <c r="O310" s="2">
        <v>20080001</v>
      </c>
    </row>
    <row r="311" spans="1:15">
      <c r="A311" s="2">
        <f t="shared" si="1"/>
        <v>200800335</v>
      </c>
      <c r="B311" s="18">
        <v>200800</v>
      </c>
      <c r="C311" s="18" t="s">
        <v>239</v>
      </c>
      <c r="D311" s="2">
        <v>335</v>
      </c>
      <c r="E311" s="2">
        <v>335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4">
        <v>20080002</v>
      </c>
      <c r="N311" s="2" t="s">
        <v>205</v>
      </c>
      <c r="O311" s="2">
        <v>20080002</v>
      </c>
    </row>
    <row r="312" spans="1:15">
      <c r="A312" s="2">
        <f t="shared" si="1"/>
        <v>200800336</v>
      </c>
      <c r="B312" s="18">
        <v>200800</v>
      </c>
      <c r="C312" s="18" t="s">
        <v>239</v>
      </c>
      <c r="D312" s="2">
        <v>336</v>
      </c>
      <c r="E312" s="2">
        <v>336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4">
        <v>20080002</v>
      </c>
      <c r="N312" s="2" t="s">
        <v>205</v>
      </c>
      <c r="O312" s="2">
        <v>20080002</v>
      </c>
    </row>
    <row r="313" spans="1:15">
      <c r="A313" s="2">
        <f t="shared" si="1"/>
        <v>200800344</v>
      </c>
      <c r="B313" s="18">
        <v>200800</v>
      </c>
      <c r="C313" s="18" t="s">
        <v>239</v>
      </c>
      <c r="D313" s="2">
        <v>344</v>
      </c>
      <c r="E313" s="2">
        <v>344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4">
        <v>20080002</v>
      </c>
      <c r="N313" s="2" t="s">
        <v>205</v>
      </c>
      <c r="O313" s="2">
        <v>20080002</v>
      </c>
    </row>
    <row r="314" spans="1:15">
      <c r="A314" s="2">
        <f t="shared" si="1"/>
        <v>200800345</v>
      </c>
      <c r="B314" s="18">
        <v>200800</v>
      </c>
      <c r="C314" s="18" t="s">
        <v>239</v>
      </c>
      <c r="D314" s="2">
        <v>345</v>
      </c>
      <c r="E314" s="2">
        <v>345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4">
        <v>20080002</v>
      </c>
      <c r="N314" s="2" t="s">
        <v>205</v>
      </c>
      <c r="O314" s="2">
        <v>20080002</v>
      </c>
    </row>
    <row r="315" spans="1:15">
      <c r="A315" s="2">
        <f t="shared" si="1"/>
        <v>200800346</v>
      </c>
      <c r="B315" s="18">
        <v>200800</v>
      </c>
      <c r="C315" s="18" t="s">
        <v>239</v>
      </c>
      <c r="D315" s="2">
        <v>346</v>
      </c>
      <c r="E315" s="2">
        <v>346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4">
        <v>20080002</v>
      </c>
      <c r="N315" s="2" t="s">
        <v>205</v>
      </c>
      <c r="O315" s="2">
        <v>20080002</v>
      </c>
    </row>
    <row r="316" spans="1:15">
      <c r="A316" s="2">
        <f t="shared" si="1"/>
        <v>200800355</v>
      </c>
      <c r="B316" s="18">
        <v>200800</v>
      </c>
      <c r="C316" s="18" t="s">
        <v>239</v>
      </c>
      <c r="D316" s="2">
        <v>355</v>
      </c>
      <c r="E316" s="2">
        <v>355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4">
        <v>20080002</v>
      </c>
      <c r="N316" s="2" t="s">
        <v>205</v>
      </c>
      <c r="O316" s="2">
        <v>20080002</v>
      </c>
    </row>
    <row r="317" spans="1:15">
      <c r="A317" s="2">
        <f t="shared" si="1"/>
        <v>200800356</v>
      </c>
      <c r="B317" s="18">
        <v>200800</v>
      </c>
      <c r="C317" s="18" t="s">
        <v>239</v>
      </c>
      <c r="D317" s="2">
        <v>356</v>
      </c>
      <c r="E317" s="2">
        <v>356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4">
        <v>20080002</v>
      </c>
      <c r="N317" s="2" t="s">
        <v>205</v>
      </c>
      <c r="O317" s="2">
        <v>20080002</v>
      </c>
    </row>
    <row r="318" spans="1:15">
      <c r="A318" s="2">
        <f t="shared" si="1"/>
        <v>200800366</v>
      </c>
      <c r="B318" s="18">
        <v>200800</v>
      </c>
      <c r="C318" s="18" t="s">
        <v>239</v>
      </c>
      <c r="D318" s="2">
        <v>366</v>
      </c>
      <c r="E318" s="2">
        <v>366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4">
        <v>20080002</v>
      </c>
      <c r="N318" s="2" t="s">
        <v>205</v>
      </c>
      <c r="O318" s="2">
        <v>20080002</v>
      </c>
    </row>
    <row r="319" spans="1:15">
      <c r="A319" s="2">
        <f t="shared" si="1"/>
        <v>200800444</v>
      </c>
      <c r="B319" s="18">
        <v>200800</v>
      </c>
      <c r="C319" s="18" t="s">
        <v>239</v>
      </c>
      <c r="D319" s="2">
        <v>444</v>
      </c>
      <c r="E319" s="2">
        <v>444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4">
        <v>20080002</v>
      </c>
      <c r="N319" s="2" t="s">
        <v>205</v>
      </c>
      <c r="O319" s="2">
        <v>20080002</v>
      </c>
    </row>
    <row r="320" spans="1:15">
      <c r="A320" s="2">
        <f t="shared" si="1"/>
        <v>200800445</v>
      </c>
      <c r="B320" s="18">
        <v>200800</v>
      </c>
      <c r="C320" s="18" t="s">
        <v>239</v>
      </c>
      <c r="D320" s="2">
        <v>445</v>
      </c>
      <c r="E320" s="2">
        <v>445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4">
        <v>20080002</v>
      </c>
      <c r="N320" s="2" t="s">
        <v>205</v>
      </c>
      <c r="O320" s="2">
        <v>20080002</v>
      </c>
    </row>
    <row r="321" spans="1:19">
      <c r="A321" s="2">
        <f t="shared" si="1"/>
        <v>200800446</v>
      </c>
      <c r="B321" s="18">
        <v>200800</v>
      </c>
      <c r="C321" s="18" t="s">
        <v>239</v>
      </c>
      <c r="D321" s="2">
        <v>446</v>
      </c>
      <c r="E321" s="2">
        <v>446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4">
        <v>20080002</v>
      </c>
      <c r="N321" s="2" t="s">
        <v>205</v>
      </c>
      <c r="O321" s="2">
        <v>20080002</v>
      </c>
    </row>
    <row r="322" spans="1:19">
      <c r="A322" s="2">
        <f t="shared" si="1"/>
        <v>200800455</v>
      </c>
      <c r="B322" s="18">
        <v>200800</v>
      </c>
      <c r="C322" s="18" t="s">
        <v>239</v>
      </c>
      <c r="D322" s="2">
        <v>455</v>
      </c>
      <c r="E322" s="2">
        <v>455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4">
        <v>20080002</v>
      </c>
      <c r="N322" s="2" t="s">
        <v>205</v>
      </c>
      <c r="O322" s="2">
        <v>20080002</v>
      </c>
    </row>
    <row r="323" spans="1:19">
      <c r="A323" s="2">
        <f t="shared" si="1"/>
        <v>200800456</v>
      </c>
      <c r="B323" s="18">
        <v>200800</v>
      </c>
      <c r="C323" s="18" t="s">
        <v>239</v>
      </c>
      <c r="D323" s="2">
        <v>456</v>
      </c>
      <c r="E323" s="2">
        <v>456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4">
        <v>20080002</v>
      </c>
      <c r="N323" s="2" t="s">
        <v>205</v>
      </c>
      <c r="O323" s="2">
        <v>20080002</v>
      </c>
    </row>
    <row r="324" spans="1:19">
      <c r="A324" s="2">
        <f t="shared" si="1"/>
        <v>200800466</v>
      </c>
      <c r="B324" s="18">
        <v>200800</v>
      </c>
      <c r="C324" s="18" t="s">
        <v>239</v>
      </c>
      <c r="D324" s="2">
        <v>466</v>
      </c>
      <c r="E324" s="2">
        <v>466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4">
        <v>20080002</v>
      </c>
      <c r="N324" s="2" t="s">
        <v>205</v>
      </c>
      <c r="O324" s="2">
        <v>20080002</v>
      </c>
    </row>
    <row r="325" spans="1:19">
      <c r="A325" s="2">
        <f t="shared" si="1"/>
        <v>200800555</v>
      </c>
      <c r="B325" s="18">
        <v>200800</v>
      </c>
      <c r="C325" s="18" t="s">
        <v>239</v>
      </c>
      <c r="D325" s="2">
        <v>555</v>
      </c>
      <c r="E325" s="2">
        <v>555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4">
        <v>20080002</v>
      </c>
      <c r="N325" s="2" t="s">
        <v>205</v>
      </c>
      <c r="O325" s="2">
        <v>20080002</v>
      </c>
    </row>
    <row r="326" spans="1:19">
      <c r="A326" s="2">
        <f t="shared" si="1"/>
        <v>200800556</v>
      </c>
      <c r="B326" s="18">
        <v>200800</v>
      </c>
      <c r="C326" s="18" t="s">
        <v>239</v>
      </c>
      <c r="D326" s="2">
        <v>556</v>
      </c>
      <c r="E326" s="2">
        <v>556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4">
        <v>20080002</v>
      </c>
      <c r="N326" s="2" t="s">
        <v>205</v>
      </c>
      <c r="O326" s="2">
        <v>20080002</v>
      </c>
    </row>
    <row r="327" spans="1:19">
      <c r="A327" s="2">
        <f t="shared" si="1"/>
        <v>200800566</v>
      </c>
      <c r="B327" s="18">
        <v>200800</v>
      </c>
      <c r="C327" s="18" t="s">
        <v>239</v>
      </c>
      <c r="D327" s="2">
        <v>566</v>
      </c>
      <c r="E327" s="2">
        <v>566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4">
        <v>20080002</v>
      </c>
      <c r="N327" s="2" t="s">
        <v>205</v>
      </c>
      <c r="O327" s="2">
        <v>20080002</v>
      </c>
    </row>
    <row r="328" spans="1:19">
      <c r="A328" s="2">
        <f t="shared" si="1"/>
        <v>200800666</v>
      </c>
      <c r="B328" s="18">
        <v>200800</v>
      </c>
      <c r="C328" s="18" t="s">
        <v>239</v>
      </c>
      <c r="D328" s="2">
        <v>666</v>
      </c>
      <c r="E328" s="2">
        <v>666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4">
        <v>20080002</v>
      </c>
      <c r="N328" s="2" t="s">
        <v>205</v>
      </c>
      <c r="O328" s="2">
        <v>20080002</v>
      </c>
    </row>
    <row r="329" spans="1:19">
      <c r="A329" s="2">
        <v>200900001</v>
      </c>
      <c r="B329" s="15">
        <v>200900</v>
      </c>
      <c r="C329" s="3" t="s">
        <v>240</v>
      </c>
      <c r="D329" s="2" t="s">
        <v>241</v>
      </c>
      <c r="E329" s="2">
        <v>111</v>
      </c>
      <c r="F329" s="2">
        <v>1</v>
      </c>
      <c r="G329" s="2">
        <v>0</v>
      </c>
      <c r="H329" s="2" t="s">
        <v>35</v>
      </c>
      <c r="I329" s="2">
        <v>300</v>
      </c>
      <c r="J329" s="2">
        <v>10000</v>
      </c>
      <c r="L329" s="2">
        <v>1</v>
      </c>
      <c r="M329" s="14" t="s">
        <v>242</v>
      </c>
      <c r="N329" s="15" t="s">
        <v>243</v>
      </c>
      <c r="O329" s="15">
        <v>20090001</v>
      </c>
      <c r="P329" s="15"/>
      <c r="Q329" s="15"/>
    </row>
    <row r="330" spans="1:19">
      <c r="A330" s="2">
        <v>200900002</v>
      </c>
      <c r="B330" s="15">
        <v>200900</v>
      </c>
      <c r="C330" s="3" t="s">
        <v>240</v>
      </c>
      <c r="D330" s="2" t="s">
        <v>244</v>
      </c>
      <c r="E330" s="2">
        <v>112</v>
      </c>
      <c r="F330" s="2">
        <v>1</v>
      </c>
      <c r="G330" s="2">
        <v>0</v>
      </c>
      <c r="H330" s="2" t="s">
        <v>35</v>
      </c>
      <c r="I330" s="2">
        <v>200</v>
      </c>
      <c r="J330" s="2">
        <v>10000</v>
      </c>
      <c r="L330" s="2">
        <v>1</v>
      </c>
      <c r="M330" s="14" t="s">
        <v>242</v>
      </c>
      <c r="N330" s="15" t="s">
        <v>243</v>
      </c>
      <c r="O330" s="15">
        <v>20090001</v>
      </c>
      <c r="P330" s="15"/>
      <c r="Q330" s="15"/>
    </row>
    <row r="331" spans="1:19">
      <c r="A331" s="2">
        <v>200900003</v>
      </c>
      <c r="B331" s="15">
        <v>200900</v>
      </c>
      <c r="C331" s="3" t="s">
        <v>240</v>
      </c>
      <c r="D331" s="2" t="s">
        <v>245</v>
      </c>
      <c r="E331" s="2">
        <v>113</v>
      </c>
      <c r="F331" s="2">
        <v>1</v>
      </c>
      <c r="G331" s="2">
        <v>0</v>
      </c>
      <c r="H331" s="2" t="s">
        <v>35</v>
      </c>
      <c r="I331" s="2">
        <v>200</v>
      </c>
      <c r="J331" s="2">
        <v>10000</v>
      </c>
      <c r="L331" s="2">
        <v>1</v>
      </c>
      <c r="M331" s="14" t="s">
        <v>242</v>
      </c>
      <c r="N331" s="15" t="s">
        <v>243</v>
      </c>
      <c r="O331" s="15">
        <v>20090001</v>
      </c>
      <c r="P331" s="15"/>
      <c r="Q331" s="15"/>
    </row>
    <row r="332" spans="1:19">
      <c r="A332" s="2">
        <v>200900004</v>
      </c>
      <c r="B332" s="15">
        <v>200900</v>
      </c>
      <c r="C332" s="3" t="s">
        <v>240</v>
      </c>
      <c r="D332" s="2" t="s">
        <v>246</v>
      </c>
      <c r="E332" s="2">
        <v>114</v>
      </c>
      <c r="F332" s="2">
        <v>1</v>
      </c>
      <c r="G332" s="2">
        <v>0</v>
      </c>
      <c r="H332" s="2" t="s">
        <v>35</v>
      </c>
      <c r="I332" s="2">
        <v>200</v>
      </c>
      <c r="J332" s="2">
        <v>10000</v>
      </c>
      <c r="L332" s="2">
        <v>1</v>
      </c>
      <c r="M332" s="14" t="s">
        <v>242</v>
      </c>
      <c r="N332" s="15" t="s">
        <v>243</v>
      </c>
      <c r="O332" s="15">
        <v>20090001</v>
      </c>
      <c r="P332" s="15"/>
      <c r="Q332" s="15"/>
    </row>
    <row r="333" spans="1:19">
      <c r="A333" s="2">
        <v>200900005</v>
      </c>
      <c r="B333" s="15">
        <v>200900</v>
      </c>
      <c r="C333" s="3" t="s">
        <v>240</v>
      </c>
      <c r="D333" s="2" t="s">
        <v>247</v>
      </c>
      <c r="E333" s="2">
        <v>115</v>
      </c>
      <c r="F333" s="2">
        <v>1</v>
      </c>
      <c r="G333" s="2">
        <v>0</v>
      </c>
      <c r="H333" s="2" t="s">
        <v>35</v>
      </c>
      <c r="I333" s="2">
        <v>200</v>
      </c>
      <c r="J333" s="2">
        <v>10000</v>
      </c>
      <c r="L333" s="2">
        <v>1</v>
      </c>
      <c r="M333" s="14" t="s">
        <v>242</v>
      </c>
      <c r="N333" s="15" t="s">
        <v>243</v>
      </c>
      <c r="O333" s="15">
        <v>20090001</v>
      </c>
      <c r="P333" s="15"/>
      <c r="Q333" s="15"/>
    </row>
    <row r="334" spans="1:19">
      <c r="A334" s="2">
        <v>200900006</v>
      </c>
      <c r="B334" s="15">
        <v>200900</v>
      </c>
      <c r="C334" s="3" t="s">
        <v>240</v>
      </c>
      <c r="D334" s="2" t="s">
        <v>248</v>
      </c>
      <c r="E334" s="2">
        <v>116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4" t="s">
        <v>242</v>
      </c>
      <c r="N334" s="15" t="s">
        <v>243</v>
      </c>
      <c r="O334" s="15">
        <v>20090001</v>
      </c>
      <c r="P334" s="15"/>
      <c r="Q334" s="15"/>
    </row>
    <row r="335" spans="1:19">
      <c r="A335" s="2">
        <v>200900007</v>
      </c>
      <c r="B335" s="15">
        <v>200900</v>
      </c>
      <c r="C335" s="3" t="s">
        <v>240</v>
      </c>
      <c r="D335" s="2" t="s">
        <v>249</v>
      </c>
      <c r="E335" s="2">
        <v>122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4" t="s">
        <v>250</v>
      </c>
      <c r="N335" s="15" t="s">
        <v>251</v>
      </c>
      <c r="O335" s="15">
        <v>20090002</v>
      </c>
    </row>
    <row r="336" spans="1:19">
      <c r="A336" s="2">
        <v>200900008</v>
      </c>
      <c r="B336" s="15">
        <v>200900</v>
      </c>
      <c r="C336" s="3" t="s">
        <v>240</v>
      </c>
      <c r="D336" s="2" t="s">
        <v>252</v>
      </c>
      <c r="E336" s="2">
        <v>123</v>
      </c>
      <c r="F336" s="2">
        <v>1</v>
      </c>
      <c r="G336" s="2">
        <v>0</v>
      </c>
      <c r="H336" s="2" t="s">
        <v>35</v>
      </c>
      <c r="I336" s="2">
        <v>100</v>
      </c>
      <c r="J336" s="2">
        <v>10000</v>
      </c>
      <c r="L336" s="2">
        <v>1</v>
      </c>
      <c r="M336" s="14" t="s">
        <v>253</v>
      </c>
      <c r="N336" s="15" t="s">
        <v>243</v>
      </c>
      <c r="O336" s="15">
        <v>20090001</v>
      </c>
      <c r="P336" s="15" t="s">
        <v>251</v>
      </c>
      <c r="Q336" s="15">
        <v>20090002</v>
      </c>
      <c r="R336" s="15" t="s">
        <v>254</v>
      </c>
      <c r="S336" s="15">
        <v>20090003</v>
      </c>
    </row>
    <row r="337" spans="1:19">
      <c r="A337" s="2">
        <v>200900009</v>
      </c>
      <c r="B337" s="15">
        <v>200900</v>
      </c>
      <c r="C337" s="3" t="s">
        <v>240</v>
      </c>
      <c r="D337" s="2" t="s">
        <v>255</v>
      </c>
      <c r="E337" s="2">
        <v>124</v>
      </c>
      <c r="F337" s="2">
        <v>1</v>
      </c>
      <c r="G337" s="2">
        <v>0</v>
      </c>
      <c r="H337" s="2" t="s">
        <v>35</v>
      </c>
      <c r="I337" s="2">
        <v>100</v>
      </c>
      <c r="J337" s="2">
        <v>10000</v>
      </c>
      <c r="L337" s="2">
        <v>1</v>
      </c>
      <c r="M337" s="14" t="s">
        <v>256</v>
      </c>
      <c r="N337" s="15" t="s">
        <v>243</v>
      </c>
      <c r="O337" s="15">
        <v>20090001</v>
      </c>
      <c r="P337" s="15" t="s">
        <v>251</v>
      </c>
      <c r="Q337" s="15">
        <v>20090002</v>
      </c>
      <c r="R337" s="15" t="s">
        <v>257</v>
      </c>
      <c r="S337" s="15">
        <v>20090004</v>
      </c>
    </row>
    <row r="338" spans="1:19">
      <c r="A338" s="2">
        <v>200900010</v>
      </c>
      <c r="B338" s="15">
        <v>200900</v>
      </c>
      <c r="C338" s="3" t="s">
        <v>240</v>
      </c>
      <c r="D338" s="2" t="s">
        <v>258</v>
      </c>
      <c r="E338" s="2">
        <v>125</v>
      </c>
      <c r="F338" s="2">
        <v>1</v>
      </c>
      <c r="G338" s="2">
        <v>0</v>
      </c>
      <c r="H338" s="2" t="s">
        <v>35</v>
      </c>
      <c r="I338" s="2">
        <v>100</v>
      </c>
      <c r="J338" s="2">
        <v>10000</v>
      </c>
      <c r="L338" s="2">
        <v>1</v>
      </c>
      <c r="M338" s="14" t="s">
        <v>259</v>
      </c>
      <c r="N338" s="15" t="s">
        <v>243</v>
      </c>
      <c r="O338" s="15">
        <v>20090001</v>
      </c>
      <c r="P338" s="15" t="s">
        <v>251</v>
      </c>
      <c r="Q338" s="15">
        <v>20090002</v>
      </c>
      <c r="R338" s="15" t="s">
        <v>260</v>
      </c>
      <c r="S338" s="15">
        <v>20090005</v>
      </c>
    </row>
    <row r="339" spans="1:19">
      <c r="A339" s="2">
        <v>200900011</v>
      </c>
      <c r="B339" s="15">
        <v>200900</v>
      </c>
      <c r="C339" s="3" t="s">
        <v>240</v>
      </c>
      <c r="D339" s="2" t="s">
        <v>261</v>
      </c>
      <c r="E339" s="2">
        <v>126</v>
      </c>
      <c r="F339" s="2">
        <v>1</v>
      </c>
      <c r="G339" s="2">
        <v>0</v>
      </c>
      <c r="H339" s="2" t="s">
        <v>35</v>
      </c>
      <c r="I339" s="2">
        <v>100</v>
      </c>
      <c r="J339" s="2">
        <v>10000</v>
      </c>
      <c r="L339" s="2">
        <v>1</v>
      </c>
      <c r="M339" s="14" t="s">
        <v>262</v>
      </c>
      <c r="N339" s="15" t="s">
        <v>243</v>
      </c>
      <c r="O339" s="15">
        <v>20090001</v>
      </c>
      <c r="P339" s="15" t="s">
        <v>251</v>
      </c>
      <c r="Q339" s="15">
        <v>20090002</v>
      </c>
      <c r="R339" s="15" t="s">
        <v>263</v>
      </c>
      <c r="S339" s="15">
        <v>20090006</v>
      </c>
    </row>
    <row r="340" spans="1:19">
      <c r="A340" s="2">
        <v>200900012</v>
      </c>
      <c r="B340" s="15">
        <v>200900</v>
      </c>
      <c r="C340" s="3" t="s">
        <v>240</v>
      </c>
      <c r="D340" s="2" t="s">
        <v>264</v>
      </c>
      <c r="E340" s="2">
        <v>133</v>
      </c>
      <c r="F340" s="2">
        <v>1</v>
      </c>
      <c r="G340" s="2">
        <v>0</v>
      </c>
      <c r="H340" s="2" t="s">
        <v>35</v>
      </c>
      <c r="I340" s="2">
        <v>200</v>
      </c>
      <c r="J340" s="2">
        <v>10000</v>
      </c>
      <c r="L340" s="2">
        <v>1</v>
      </c>
      <c r="M340" s="14">
        <v>20090003</v>
      </c>
      <c r="N340" s="15" t="s">
        <v>254</v>
      </c>
      <c r="O340" s="15">
        <v>20090003</v>
      </c>
    </row>
    <row r="341" spans="1:19">
      <c r="A341" s="2">
        <v>200900013</v>
      </c>
      <c r="B341" s="15">
        <v>200900</v>
      </c>
      <c r="C341" s="3" t="s">
        <v>240</v>
      </c>
      <c r="D341" s="2" t="s">
        <v>265</v>
      </c>
      <c r="E341" s="2">
        <v>134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4" t="s">
        <v>266</v>
      </c>
      <c r="N341" s="15" t="s">
        <v>243</v>
      </c>
      <c r="O341" s="15">
        <v>20090001</v>
      </c>
      <c r="P341" s="15" t="s">
        <v>254</v>
      </c>
      <c r="Q341" s="15">
        <v>20090003</v>
      </c>
      <c r="R341" s="15" t="s">
        <v>257</v>
      </c>
      <c r="S341" s="15">
        <v>20090004</v>
      </c>
    </row>
    <row r="342" spans="1:19">
      <c r="A342" s="2">
        <v>200900014</v>
      </c>
      <c r="B342" s="15">
        <v>200900</v>
      </c>
      <c r="C342" s="3" t="s">
        <v>240</v>
      </c>
      <c r="D342" s="2" t="s">
        <v>267</v>
      </c>
      <c r="E342" s="2">
        <v>135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4" t="s">
        <v>268</v>
      </c>
      <c r="N342" s="15" t="s">
        <v>243</v>
      </c>
      <c r="O342" s="15">
        <v>20090001</v>
      </c>
      <c r="P342" s="15" t="s">
        <v>254</v>
      </c>
      <c r="Q342" s="15">
        <v>20090003</v>
      </c>
      <c r="R342" s="15" t="s">
        <v>260</v>
      </c>
      <c r="S342" s="15">
        <v>20090005</v>
      </c>
    </row>
    <row r="343" spans="1:19">
      <c r="A343" s="2">
        <v>200900015</v>
      </c>
      <c r="B343" s="15">
        <v>200900</v>
      </c>
      <c r="C343" s="3" t="s">
        <v>240</v>
      </c>
      <c r="D343" s="2" t="s">
        <v>269</v>
      </c>
      <c r="E343" s="2">
        <v>136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4" t="s">
        <v>270</v>
      </c>
      <c r="N343" s="15" t="s">
        <v>243</v>
      </c>
      <c r="O343" s="15">
        <v>20090001</v>
      </c>
      <c r="P343" s="15" t="s">
        <v>254</v>
      </c>
      <c r="Q343" s="15">
        <v>20090003</v>
      </c>
      <c r="R343" s="15" t="s">
        <v>263</v>
      </c>
      <c r="S343" s="15">
        <v>20090006</v>
      </c>
    </row>
    <row r="344" spans="1:19">
      <c r="A344" s="2">
        <v>200900016</v>
      </c>
      <c r="B344" s="15">
        <v>200900</v>
      </c>
      <c r="C344" s="3" t="s">
        <v>240</v>
      </c>
      <c r="D344" s="2" t="s">
        <v>271</v>
      </c>
      <c r="E344" s="2">
        <v>144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4" t="s">
        <v>272</v>
      </c>
      <c r="N344" s="15" t="s">
        <v>257</v>
      </c>
      <c r="O344" s="15">
        <v>20090004</v>
      </c>
    </row>
    <row r="345" spans="1:19">
      <c r="A345" s="2">
        <v>200900017</v>
      </c>
      <c r="B345" s="15">
        <v>200900</v>
      </c>
      <c r="C345" s="3" t="s">
        <v>240</v>
      </c>
      <c r="D345" s="2" t="s">
        <v>273</v>
      </c>
      <c r="E345" s="2">
        <v>145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4" t="s">
        <v>274</v>
      </c>
      <c r="N345" s="15" t="s">
        <v>243</v>
      </c>
      <c r="O345" s="15">
        <v>20090001</v>
      </c>
      <c r="P345" s="15" t="s">
        <v>257</v>
      </c>
      <c r="Q345" s="15">
        <v>20090004</v>
      </c>
      <c r="R345" s="15" t="s">
        <v>260</v>
      </c>
      <c r="S345" s="15">
        <v>20090005</v>
      </c>
    </row>
    <row r="346" spans="1:19">
      <c r="A346" s="2">
        <v>200900018</v>
      </c>
      <c r="B346" s="15">
        <v>200900</v>
      </c>
      <c r="C346" s="3" t="s">
        <v>240</v>
      </c>
      <c r="D346" s="2" t="s">
        <v>275</v>
      </c>
      <c r="E346" s="2">
        <v>146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4" t="s">
        <v>276</v>
      </c>
      <c r="N346" s="15" t="s">
        <v>243</v>
      </c>
      <c r="O346" s="15">
        <v>20090001</v>
      </c>
      <c r="P346" s="15" t="s">
        <v>257</v>
      </c>
      <c r="Q346" s="15">
        <v>20090004</v>
      </c>
      <c r="R346" s="15" t="s">
        <v>263</v>
      </c>
      <c r="S346" s="15">
        <v>20090006</v>
      </c>
    </row>
    <row r="347" spans="1:19">
      <c r="A347" s="2">
        <v>200900019</v>
      </c>
      <c r="B347" s="15">
        <v>200900</v>
      </c>
      <c r="C347" s="3" t="s">
        <v>240</v>
      </c>
      <c r="D347" s="2" t="s">
        <v>277</v>
      </c>
      <c r="E347" s="2">
        <v>155</v>
      </c>
      <c r="F347" s="2">
        <v>1</v>
      </c>
      <c r="G347" s="2">
        <v>0</v>
      </c>
      <c r="H347" s="2" t="s">
        <v>35</v>
      </c>
      <c r="I347" s="2">
        <v>200</v>
      </c>
      <c r="J347" s="2">
        <v>10000</v>
      </c>
      <c r="L347" s="2">
        <v>1</v>
      </c>
      <c r="M347" s="14" t="s">
        <v>278</v>
      </c>
      <c r="N347" s="15" t="s">
        <v>260</v>
      </c>
      <c r="O347" s="15">
        <v>20090005</v>
      </c>
    </row>
    <row r="348" spans="1:19">
      <c r="A348" s="2">
        <v>200900020</v>
      </c>
      <c r="B348" s="15">
        <v>200900</v>
      </c>
      <c r="C348" s="3" t="s">
        <v>240</v>
      </c>
      <c r="D348" s="2" t="s">
        <v>279</v>
      </c>
      <c r="E348" s="2">
        <v>156</v>
      </c>
      <c r="F348" s="2">
        <v>1</v>
      </c>
      <c r="G348" s="2">
        <v>0</v>
      </c>
      <c r="H348" s="2" t="s">
        <v>35</v>
      </c>
      <c r="I348" s="2">
        <v>100</v>
      </c>
      <c r="J348" s="2">
        <v>10000</v>
      </c>
      <c r="L348" s="2">
        <v>1</v>
      </c>
      <c r="M348" s="14" t="s">
        <v>280</v>
      </c>
      <c r="N348" s="15" t="s">
        <v>243</v>
      </c>
      <c r="O348" s="15">
        <v>20090001</v>
      </c>
      <c r="P348" s="15" t="s">
        <v>260</v>
      </c>
      <c r="Q348" s="15">
        <v>20090005</v>
      </c>
      <c r="R348" s="15" t="s">
        <v>263</v>
      </c>
      <c r="S348" s="15">
        <v>20090006</v>
      </c>
    </row>
    <row r="349" spans="1:19">
      <c r="A349" s="2">
        <v>200900021</v>
      </c>
      <c r="B349" s="15">
        <v>200900</v>
      </c>
      <c r="C349" s="3" t="s">
        <v>240</v>
      </c>
      <c r="D349" s="2" t="s">
        <v>281</v>
      </c>
      <c r="E349" s="2">
        <v>166</v>
      </c>
      <c r="F349" s="2">
        <v>1</v>
      </c>
      <c r="G349" s="2">
        <v>0</v>
      </c>
      <c r="H349" s="2" t="s">
        <v>35</v>
      </c>
      <c r="I349" s="2">
        <v>200</v>
      </c>
      <c r="J349" s="2">
        <v>10000</v>
      </c>
      <c r="L349" s="2">
        <v>1</v>
      </c>
      <c r="M349" s="14" t="s">
        <v>282</v>
      </c>
      <c r="N349" s="15" t="s">
        <v>263</v>
      </c>
      <c r="O349" s="15">
        <v>20090006</v>
      </c>
    </row>
    <row r="350" spans="1:19">
      <c r="A350" s="2">
        <v>200900022</v>
      </c>
      <c r="B350" s="15">
        <v>200900</v>
      </c>
      <c r="C350" s="3" t="s">
        <v>240</v>
      </c>
      <c r="D350" s="2" t="s">
        <v>283</v>
      </c>
      <c r="E350" s="2">
        <v>222</v>
      </c>
      <c r="F350" s="2">
        <v>1</v>
      </c>
      <c r="G350" s="2">
        <v>0</v>
      </c>
      <c r="H350" s="2" t="s">
        <v>35</v>
      </c>
      <c r="I350" s="2">
        <v>300</v>
      </c>
      <c r="J350" s="2">
        <v>10000</v>
      </c>
      <c r="L350" s="2">
        <v>1</v>
      </c>
      <c r="M350" s="14">
        <v>20090002</v>
      </c>
      <c r="N350" s="15" t="s">
        <v>251</v>
      </c>
      <c r="O350" s="15">
        <v>20090002</v>
      </c>
    </row>
    <row r="351" spans="1:19">
      <c r="A351" s="2">
        <v>200900023</v>
      </c>
      <c r="B351" s="15">
        <v>200900</v>
      </c>
      <c r="C351" s="3" t="s">
        <v>240</v>
      </c>
      <c r="D351" s="2" t="s">
        <v>284</v>
      </c>
      <c r="E351" s="2">
        <v>223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4">
        <v>20090002</v>
      </c>
      <c r="N351" s="15" t="s">
        <v>251</v>
      </c>
      <c r="O351" s="15">
        <v>20090002</v>
      </c>
    </row>
    <row r="352" spans="1:19">
      <c r="A352" s="2">
        <v>200900024</v>
      </c>
      <c r="B352" s="15">
        <v>200900</v>
      </c>
      <c r="C352" s="3" t="s">
        <v>240</v>
      </c>
      <c r="D352" s="2" t="s">
        <v>285</v>
      </c>
      <c r="E352" s="2">
        <v>224</v>
      </c>
      <c r="F352" s="2">
        <v>1</v>
      </c>
      <c r="G352" s="2">
        <v>0</v>
      </c>
      <c r="H352" s="2" t="s">
        <v>35</v>
      </c>
      <c r="I352" s="2">
        <v>200</v>
      </c>
      <c r="J352" s="2">
        <v>10000</v>
      </c>
      <c r="L352" s="2">
        <v>1</v>
      </c>
      <c r="M352" s="14">
        <v>20090002</v>
      </c>
      <c r="N352" s="15" t="s">
        <v>251</v>
      </c>
      <c r="O352" s="15">
        <v>20090002</v>
      </c>
    </row>
    <row r="353" spans="1:19">
      <c r="A353" s="2">
        <v>200900025</v>
      </c>
      <c r="B353" s="15">
        <v>200900</v>
      </c>
      <c r="C353" s="3" t="s">
        <v>240</v>
      </c>
      <c r="D353" s="2" t="s">
        <v>286</v>
      </c>
      <c r="E353" s="2">
        <v>225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4">
        <v>20090002</v>
      </c>
      <c r="N353" s="15" t="s">
        <v>251</v>
      </c>
      <c r="O353" s="15">
        <v>20090002</v>
      </c>
    </row>
    <row r="354" spans="1:19">
      <c r="A354" s="2">
        <v>200900026</v>
      </c>
      <c r="B354" s="15">
        <v>200900</v>
      </c>
      <c r="C354" s="3" t="s">
        <v>240</v>
      </c>
      <c r="D354" s="2" t="s">
        <v>287</v>
      </c>
      <c r="E354" s="2">
        <v>226</v>
      </c>
      <c r="F354" s="2">
        <v>1</v>
      </c>
      <c r="G354" s="2">
        <v>0</v>
      </c>
      <c r="H354" s="2" t="s">
        <v>35</v>
      </c>
      <c r="I354" s="2">
        <v>200</v>
      </c>
      <c r="J354" s="2">
        <v>10000</v>
      </c>
      <c r="L354" s="2">
        <v>1</v>
      </c>
      <c r="M354" s="14">
        <v>20090002</v>
      </c>
      <c r="N354" s="15" t="s">
        <v>251</v>
      </c>
      <c r="O354" s="15">
        <v>20090002</v>
      </c>
    </row>
    <row r="355" spans="1:19">
      <c r="A355" s="2">
        <v>200900027</v>
      </c>
      <c r="B355" s="15">
        <v>200900</v>
      </c>
      <c r="C355" s="3" t="s">
        <v>240</v>
      </c>
      <c r="D355" s="2" t="s">
        <v>288</v>
      </c>
      <c r="E355" s="2">
        <v>233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4">
        <v>20090003</v>
      </c>
      <c r="N355" s="15" t="s">
        <v>254</v>
      </c>
      <c r="O355" s="15">
        <v>20090003</v>
      </c>
    </row>
    <row r="356" spans="1:19">
      <c r="A356" s="2">
        <v>200900028</v>
      </c>
      <c r="B356" s="15">
        <v>200900</v>
      </c>
      <c r="C356" s="3" t="s">
        <v>240</v>
      </c>
      <c r="D356" s="2" t="s">
        <v>289</v>
      </c>
      <c r="E356" s="2">
        <v>234</v>
      </c>
      <c r="F356" s="2">
        <v>1</v>
      </c>
      <c r="G356" s="2">
        <v>0</v>
      </c>
      <c r="H356" s="2" t="s">
        <v>35</v>
      </c>
      <c r="I356" s="2">
        <v>100</v>
      </c>
      <c r="J356" s="2">
        <v>10000</v>
      </c>
      <c r="L356" s="2">
        <v>1</v>
      </c>
      <c r="M356" s="14" t="s">
        <v>290</v>
      </c>
      <c r="N356" s="15" t="s">
        <v>251</v>
      </c>
      <c r="O356" s="15">
        <v>20090002</v>
      </c>
      <c r="P356" s="15" t="s">
        <v>254</v>
      </c>
      <c r="Q356" s="15">
        <v>20090003</v>
      </c>
      <c r="R356" s="15" t="s">
        <v>257</v>
      </c>
      <c r="S356" s="15">
        <v>20090004</v>
      </c>
    </row>
    <row r="357" spans="1:19">
      <c r="A357" s="2">
        <v>200900029</v>
      </c>
      <c r="B357" s="15">
        <v>200900</v>
      </c>
      <c r="C357" s="3" t="s">
        <v>240</v>
      </c>
      <c r="D357" s="2" t="s">
        <v>291</v>
      </c>
      <c r="E357" s="2">
        <v>235</v>
      </c>
      <c r="F357" s="2">
        <v>1</v>
      </c>
      <c r="G357" s="2">
        <v>0</v>
      </c>
      <c r="H357" s="2" t="s">
        <v>35</v>
      </c>
      <c r="I357" s="2">
        <v>100</v>
      </c>
      <c r="J357" s="2">
        <v>10000</v>
      </c>
      <c r="L357" s="2">
        <v>1</v>
      </c>
      <c r="M357" s="14" t="s">
        <v>292</v>
      </c>
      <c r="N357" s="15" t="s">
        <v>251</v>
      </c>
      <c r="O357" s="15">
        <v>20090002</v>
      </c>
      <c r="P357" s="15" t="s">
        <v>254</v>
      </c>
      <c r="Q357" s="15">
        <v>20090003</v>
      </c>
      <c r="R357" s="15" t="s">
        <v>260</v>
      </c>
      <c r="S357" s="15">
        <v>20090005</v>
      </c>
    </row>
    <row r="358" spans="1:19">
      <c r="A358" s="2">
        <v>200900030</v>
      </c>
      <c r="B358" s="15">
        <v>200900</v>
      </c>
      <c r="C358" s="3" t="s">
        <v>240</v>
      </c>
      <c r="D358" s="2" t="s">
        <v>293</v>
      </c>
      <c r="E358" s="2">
        <v>236</v>
      </c>
      <c r="F358" s="2">
        <v>1</v>
      </c>
      <c r="G358" s="2">
        <v>0</v>
      </c>
      <c r="H358" s="2" t="s">
        <v>35</v>
      </c>
      <c r="I358" s="2">
        <v>100</v>
      </c>
      <c r="J358" s="2">
        <v>10000</v>
      </c>
      <c r="L358" s="2">
        <v>1</v>
      </c>
      <c r="M358" s="14" t="s">
        <v>294</v>
      </c>
      <c r="N358" s="15" t="s">
        <v>251</v>
      </c>
      <c r="O358" s="15">
        <v>20090002</v>
      </c>
      <c r="P358" s="15" t="s">
        <v>254</v>
      </c>
      <c r="Q358" s="15">
        <v>20090003</v>
      </c>
      <c r="R358" s="15" t="s">
        <v>263</v>
      </c>
      <c r="S358" s="15">
        <v>20090006</v>
      </c>
    </row>
    <row r="359" spans="1:19">
      <c r="A359" s="2">
        <v>200900031</v>
      </c>
      <c r="B359" s="15">
        <v>200900</v>
      </c>
      <c r="C359" s="3" t="s">
        <v>240</v>
      </c>
      <c r="D359" s="2" t="s">
        <v>295</v>
      </c>
      <c r="E359" s="2">
        <v>244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4">
        <v>20090004</v>
      </c>
      <c r="N359" s="15" t="s">
        <v>257</v>
      </c>
      <c r="O359" s="15">
        <v>20090004</v>
      </c>
    </row>
    <row r="360" spans="1:19">
      <c r="A360" s="2">
        <v>200900032</v>
      </c>
      <c r="B360" s="15">
        <v>200900</v>
      </c>
      <c r="C360" s="3" t="s">
        <v>240</v>
      </c>
      <c r="D360" s="2" t="s">
        <v>296</v>
      </c>
      <c r="E360" s="2">
        <v>245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4" t="s">
        <v>297</v>
      </c>
      <c r="N360" s="15" t="s">
        <v>251</v>
      </c>
      <c r="O360" s="15">
        <v>20090002</v>
      </c>
      <c r="P360" s="15" t="s">
        <v>257</v>
      </c>
      <c r="Q360" s="15">
        <v>20090004</v>
      </c>
      <c r="R360" s="15" t="s">
        <v>260</v>
      </c>
      <c r="S360" s="15">
        <v>20090005</v>
      </c>
    </row>
    <row r="361" spans="1:19">
      <c r="A361" s="2">
        <v>200900033</v>
      </c>
      <c r="B361" s="15">
        <v>200900</v>
      </c>
      <c r="C361" s="3" t="s">
        <v>240</v>
      </c>
      <c r="D361" s="2" t="s">
        <v>298</v>
      </c>
      <c r="E361" s="2">
        <v>246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4" t="s">
        <v>299</v>
      </c>
      <c r="N361" s="15" t="s">
        <v>251</v>
      </c>
      <c r="O361" s="15">
        <v>20090002</v>
      </c>
      <c r="P361" s="15" t="s">
        <v>257</v>
      </c>
      <c r="Q361" s="15">
        <v>20090004</v>
      </c>
      <c r="R361" s="15" t="s">
        <v>263</v>
      </c>
      <c r="S361" s="15">
        <v>20090006</v>
      </c>
    </row>
    <row r="362" spans="1:19">
      <c r="A362" s="2">
        <v>200900034</v>
      </c>
      <c r="B362" s="15">
        <v>200900</v>
      </c>
      <c r="C362" s="3" t="s">
        <v>240</v>
      </c>
      <c r="D362" s="2" t="s">
        <v>300</v>
      </c>
      <c r="E362" s="2">
        <v>255</v>
      </c>
      <c r="F362" s="2">
        <v>1</v>
      </c>
      <c r="G362" s="2">
        <v>0</v>
      </c>
      <c r="H362" s="2" t="s">
        <v>35</v>
      </c>
      <c r="I362" s="2">
        <v>200</v>
      </c>
      <c r="J362" s="2">
        <v>10000</v>
      </c>
      <c r="L362" s="2">
        <v>1</v>
      </c>
      <c r="M362" s="14" t="s">
        <v>278</v>
      </c>
      <c r="N362" s="15" t="s">
        <v>260</v>
      </c>
      <c r="O362" s="15">
        <v>20090005</v>
      </c>
    </row>
    <row r="363" spans="1:19">
      <c r="A363" s="2">
        <v>200900035</v>
      </c>
      <c r="B363" s="15">
        <v>200900</v>
      </c>
      <c r="C363" s="3" t="s">
        <v>240</v>
      </c>
      <c r="D363" s="2" t="s">
        <v>301</v>
      </c>
      <c r="E363" s="2">
        <v>256</v>
      </c>
      <c r="F363" s="2">
        <v>1</v>
      </c>
      <c r="G363" s="2">
        <v>0</v>
      </c>
      <c r="H363" s="2" t="s">
        <v>35</v>
      </c>
      <c r="I363" s="2">
        <v>100</v>
      </c>
      <c r="J363" s="2">
        <v>10000</v>
      </c>
      <c r="L363" s="2">
        <v>1</v>
      </c>
      <c r="M363" s="14" t="s">
        <v>302</v>
      </c>
      <c r="N363" s="15" t="s">
        <v>251</v>
      </c>
      <c r="O363" s="15">
        <v>20090002</v>
      </c>
      <c r="P363" s="15" t="s">
        <v>260</v>
      </c>
      <c r="Q363" s="15">
        <v>20090005</v>
      </c>
      <c r="R363" s="15" t="s">
        <v>263</v>
      </c>
      <c r="S363" s="15">
        <v>20090006</v>
      </c>
    </row>
    <row r="364" spans="1:19">
      <c r="A364" s="2">
        <v>200900036</v>
      </c>
      <c r="B364" s="15">
        <v>200900</v>
      </c>
      <c r="C364" s="3" t="s">
        <v>240</v>
      </c>
      <c r="D364" s="2" t="s">
        <v>303</v>
      </c>
      <c r="E364" s="2">
        <v>266</v>
      </c>
      <c r="F364" s="2">
        <v>1</v>
      </c>
      <c r="G364" s="2">
        <v>0</v>
      </c>
      <c r="H364" s="2" t="s">
        <v>35</v>
      </c>
      <c r="I364" s="2">
        <v>200</v>
      </c>
      <c r="J364" s="2">
        <v>10000</v>
      </c>
      <c r="L364" s="2">
        <v>1</v>
      </c>
      <c r="M364" s="14" t="s">
        <v>282</v>
      </c>
      <c r="N364" s="15" t="s">
        <v>263</v>
      </c>
      <c r="O364" s="15">
        <v>20090006</v>
      </c>
    </row>
    <row r="365" spans="1:19">
      <c r="A365" s="2">
        <v>200900037</v>
      </c>
      <c r="B365" s="15">
        <v>200900</v>
      </c>
      <c r="C365" s="3" t="s">
        <v>240</v>
      </c>
      <c r="D365" s="2" t="s">
        <v>304</v>
      </c>
      <c r="E365" s="2">
        <v>333</v>
      </c>
      <c r="F365" s="2">
        <v>1</v>
      </c>
      <c r="G365" s="2">
        <v>0</v>
      </c>
      <c r="H365" s="2" t="s">
        <v>35</v>
      </c>
      <c r="I365" s="2">
        <v>300</v>
      </c>
      <c r="J365" s="2">
        <v>10000</v>
      </c>
      <c r="L365" s="2">
        <v>1</v>
      </c>
      <c r="M365" s="14">
        <v>20090003</v>
      </c>
      <c r="N365" s="15" t="s">
        <v>254</v>
      </c>
      <c r="O365" s="15">
        <v>20090003</v>
      </c>
    </row>
    <row r="366" spans="1:19">
      <c r="A366" s="2">
        <v>200900038</v>
      </c>
      <c r="B366" s="15">
        <v>200900</v>
      </c>
      <c r="C366" s="3" t="s">
        <v>240</v>
      </c>
      <c r="D366" s="2" t="s">
        <v>305</v>
      </c>
      <c r="E366" s="2">
        <v>334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4">
        <v>20090003</v>
      </c>
      <c r="N366" s="15" t="s">
        <v>254</v>
      </c>
      <c r="O366" s="15">
        <v>20090003</v>
      </c>
    </row>
    <row r="367" spans="1:19">
      <c r="A367" s="2">
        <v>200900039</v>
      </c>
      <c r="B367" s="15">
        <v>200900</v>
      </c>
      <c r="C367" s="3" t="s">
        <v>240</v>
      </c>
      <c r="D367" s="2" t="s">
        <v>306</v>
      </c>
      <c r="E367" s="2">
        <v>335</v>
      </c>
      <c r="F367" s="2">
        <v>1</v>
      </c>
      <c r="G367" s="2">
        <v>0</v>
      </c>
      <c r="H367" s="2" t="s">
        <v>35</v>
      </c>
      <c r="I367" s="2">
        <v>200</v>
      </c>
      <c r="J367" s="2">
        <v>10000</v>
      </c>
      <c r="L367" s="2">
        <v>1</v>
      </c>
      <c r="M367" s="14">
        <v>20090003</v>
      </c>
      <c r="N367" s="15" t="s">
        <v>254</v>
      </c>
      <c r="O367" s="15">
        <v>20090003</v>
      </c>
    </row>
    <row r="368" spans="1:19">
      <c r="A368" s="2">
        <v>200900040</v>
      </c>
      <c r="B368" s="15">
        <v>200900</v>
      </c>
      <c r="C368" s="3" t="s">
        <v>240</v>
      </c>
      <c r="D368" s="2" t="s">
        <v>307</v>
      </c>
      <c r="E368" s="2">
        <v>336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4">
        <v>20090003</v>
      </c>
      <c r="N368" s="15" t="s">
        <v>254</v>
      </c>
      <c r="O368" s="15">
        <v>20090003</v>
      </c>
    </row>
    <row r="369" spans="1:19">
      <c r="A369" s="2">
        <v>200900041</v>
      </c>
      <c r="B369" s="15">
        <v>200900</v>
      </c>
      <c r="C369" s="3" t="s">
        <v>240</v>
      </c>
      <c r="D369" s="2" t="s">
        <v>308</v>
      </c>
      <c r="E369" s="2">
        <v>344</v>
      </c>
      <c r="F369" s="2">
        <v>1</v>
      </c>
      <c r="G369" s="2">
        <v>0</v>
      </c>
      <c r="H369" s="2" t="s">
        <v>35</v>
      </c>
      <c r="I369" s="2">
        <v>200</v>
      </c>
      <c r="J369" s="2">
        <v>10000</v>
      </c>
      <c r="L369" s="2">
        <v>1</v>
      </c>
      <c r="M369" s="14">
        <v>20090004</v>
      </c>
      <c r="N369" s="15" t="s">
        <v>257</v>
      </c>
      <c r="O369" s="15">
        <v>20090004</v>
      </c>
    </row>
    <row r="370" spans="1:19">
      <c r="A370" s="2">
        <v>200900042</v>
      </c>
      <c r="B370" s="15">
        <v>200900</v>
      </c>
      <c r="C370" s="3" t="s">
        <v>240</v>
      </c>
      <c r="D370" s="2" t="s">
        <v>309</v>
      </c>
      <c r="E370" s="2">
        <v>345</v>
      </c>
      <c r="F370" s="2">
        <v>1</v>
      </c>
      <c r="G370" s="2">
        <v>0</v>
      </c>
      <c r="H370" s="2" t="s">
        <v>35</v>
      </c>
      <c r="I370" s="2">
        <v>100</v>
      </c>
      <c r="J370" s="2">
        <v>10000</v>
      </c>
      <c r="L370" s="2">
        <v>1</v>
      </c>
      <c r="M370" s="14" t="s">
        <v>310</v>
      </c>
      <c r="N370" s="15" t="s">
        <v>254</v>
      </c>
      <c r="O370" s="15">
        <v>20090003</v>
      </c>
      <c r="P370" s="15" t="s">
        <v>257</v>
      </c>
      <c r="Q370" s="15">
        <v>20090004</v>
      </c>
      <c r="R370" s="15" t="s">
        <v>260</v>
      </c>
      <c r="S370" s="15">
        <v>20090005</v>
      </c>
    </row>
    <row r="371" spans="1:19">
      <c r="A371" s="2">
        <v>200900043</v>
      </c>
      <c r="B371" s="15">
        <v>200900</v>
      </c>
      <c r="C371" s="3" t="s">
        <v>240</v>
      </c>
      <c r="D371" s="2" t="s">
        <v>311</v>
      </c>
      <c r="E371" s="2">
        <v>346</v>
      </c>
      <c r="F371" s="2">
        <v>1</v>
      </c>
      <c r="G371" s="2">
        <v>0</v>
      </c>
      <c r="H371" s="2" t="s">
        <v>35</v>
      </c>
      <c r="I371" s="2">
        <v>100</v>
      </c>
      <c r="J371" s="2">
        <v>10000</v>
      </c>
      <c r="L371" s="2">
        <v>1</v>
      </c>
      <c r="M371" s="14" t="s">
        <v>312</v>
      </c>
      <c r="N371" s="15" t="s">
        <v>254</v>
      </c>
      <c r="O371" s="15">
        <v>20090003</v>
      </c>
      <c r="P371" s="15" t="s">
        <v>257</v>
      </c>
      <c r="Q371" s="15">
        <v>20090004</v>
      </c>
      <c r="R371" s="15" t="s">
        <v>263</v>
      </c>
      <c r="S371" s="15">
        <v>20090006</v>
      </c>
    </row>
    <row r="372" spans="1:19">
      <c r="A372" s="2">
        <v>200900044</v>
      </c>
      <c r="B372" s="15">
        <v>200900</v>
      </c>
      <c r="C372" s="3" t="s">
        <v>240</v>
      </c>
      <c r="D372" s="2" t="s">
        <v>313</v>
      </c>
      <c r="E372" s="2">
        <v>355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4" t="s">
        <v>278</v>
      </c>
      <c r="N372" s="15" t="s">
        <v>260</v>
      </c>
      <c r="O372" s="15">
        <v>20090005</v>
      </c>
    </row>
    <row r="373" spans="1:19">
      <c r="A373" s="2">
        <v>200900045</v>
      </c>
      <c r="B373" s="15">
        <v>200900</v>
      </c>
      <c r="C373" s="3" t="s">
        <v>240</v>
      </c>
      <c r="D373" s="2" t="s">
        <v>314</v>
      </c>
      <c r="E373" s="2">
        <v>356</v>
      </c>
      <c r="F373" s="2">
        <v>1</v>
      </c>
      <c r="G373" s="2">
        <v>0</v>
      </c>
      <c r="H373" s="2" t="s">
        <v>35</v>
      </c>
      <c r="I373" s="2">
        <v>100</v>
      </c>
      <c r="J373" s="2">
        <v>10000</v>
      </c>
      <c r="L373" s="2">
        <v>1</v>
      </c>
      <c r="M373" s="14" t="s">
        <v>315</v>
      </c>
      <c r="N373" s="15" t="s">
        <v>254</v>
      </c>
      <c r="O373" s="15">
        <v>20090003</v>
      </c>
      <c r="P373" s="15" t="s">
        <v>260</v>
      </c>
      <c r="Q373" s="15">
        <v>20090005</v>
      </c>
      <c r="R373" s="15" t="s">
        <v>263</v>
      </c>
      <c r="S373" s="15">
        <v>20090006</v>
      </c>
    </row>
    <row r="374" spans="1:19">
      <c r="A374" s="2">
        <v>200900046</v>
      </c>
      <c r="B374" s="15">
        <v>200900</v>
      </c>
      <c r="C374" s="3" t="s">
        <v>240</v>
      </c>
      <c r="D374" s="2" t="s">
        <v>316</v>
      </c>
      <c r="E374" s="2">
        <v>366</v>
      </c>
      <c r="F374" s="2">
        <v>1</v>
      </c>
      <c r="G374" s="2">
        <v>0</v>
      </c>
      <c r="H374" s="2" t="s">
        <v>35</v>
      </c>
      <c r="I374" s="2">
        <v>200</v>
      </c>
      <c r="J374" s="2">
        <v>10000</v>
      </c>
      <c r="L374" s="2">
        <v>1</v>
      </c>
      <c r="M374" s="14" t="s">
        <v>282</v>
      </c>
      <c r="N374" s="15" t="s">
        <v>263</v>
      </c>
      <c r="O374" s="15">
        <v>20090006</v>
      </c>
    </row>
    <row r="375" spans="1:19">
      <c r="A375" s="2">
        <v>200900047</v>
      </c>
      <c r="B375" s="15">
        <v>200900</v>
      </c>
      <c r="C375" s="3" t="s">
        <v>240</v>
      </c>
      <c r="D375" s="2" t="s">
        <v>317</v>
      </c>
      <c r="E375" s="2">
        <v>444</v>
      </c>
      <c r="F375" s="2">
        <v>1</v>
      </c>
      <c r="G375" s="2">
        <v>0</v>
      </c>
      <c r="H375" s="2" t="s">
        <v>35</v>
      </c>
      <c r="I375" s="2">
        <v>300</v>
      </c>
      <c r="J375" s="2">
        <v>10000</v>
      </c>
      <c r="L375" s="2">
        <v>1</v>
      </c>
      <c r="M375" s="14">
        <v>20090004</v>
      </c>
      <c r="N375" s="15" t="s">
        <v>257</v>
      </c>
      <c r="O375" s="15">
        <v>20090004</v>
      </c>
    </row>
    <row r="376" spans="1:19">
      <c r="A376" s="2">
        <v>200900048</v>
      </c>
      <c r="B376" s="15">
        <v>200900</v>
      </c>
      <c r="C376" s="3" t="s">
        <v>240</v>
      </c>
      <c r="D376" s="2" t="s">
        <v>318</v>
      </c>
      <c r="E376" s="2">
        <v>445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4">
        <v>20090004</v>
      </c>
      <c r="N376" s="15" t="s">
        <v>257</v>
      </c>
      <c r="O376" s="15">
        <v>20090004</v>
      </c>
    </row>
    <row r="377" spans="1:19">
      <c r="A377" s="2">
        <v>200900049</v>
      </c>
      <c r="B377" s="15">
        <v>200900</v>
      </c>
      <c r="C377" s="3" t="s">
        <v>240</v>
      </c>
      <c r="D377" s="2" t="s">
        <v>319</v>
      </c>
      <c r="E377" s="2">
        <v>446</v>
      </c>
      <c r="F377" s="2">
        <v>1</v>
      </c>
      <c r="G377" s="2">
        <v>0</v>
      </c>
      <c r="H377" s="2" t="s">
        <v>35</v>
      </c>
      <c r="I377" s="2">
        <v>200</v>
      </c>
      <c r="J377" s="2">
        <v>10000</v>
      </c>
      <c r="L377" s="2">
        <v>1</v>
      </c>
      <c r="M377" s="14">
        <v>20090004</v>
      </c>
      <c r="N377" s="15" t="s">
        <v>257</v>
      </c>
      <c r="O377" s="15">
        <v>20090004</v>
      </c>
    </row>
    <row r="378" spans="1:19">
      <c r="A378" s="2">
        <v>200900050</v>
      </c>
      <c r="B378" s="15">
        <v>200900</v>
      </c>
      <c r="C378" s="3" t="s">
        <v>240</v>
      </c>
      <c r="D378" s="2" t="s">
        <v>320</v>
      </c>
      <c r="E378" s="2">
        <v>455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4" t="s">
        <v>278</v>
      </c>
      <c r="N378" s="15" t="s">
        <v>260</v>
      </c>
      <c r="O378" s="15">
        <v>20090005</v>
      </c>
    </row>
    <row r="379" spans="1:19">
      <c r="A379" s="2">
        <v>200900051</v>
      </c>
      <c r="B379" s="15">
        <v>200900</v>
      </c>
      <c r="C379" s="3" t="s">
        <v>240</v>
      </c>
      <c r="D379" s="2" t="s">
        <v>321</v>
      </c>
      <c r="E379" s="2">
        <v>456</v>
      </c>
      <c r="F379" s="2">
        <v>1</v>
      </c>
      <c r="G379" s="2">
        <v>0</v>
      </c>
      <c r="H379" s="2" t="s">
        <v>35</v>
      </c>
      <c r="I379" s="2">
        <v>100</v>
      </c>
      <c r="J379" s="2">
        <v>10000</v>
      </c>
      <c r="L379" s="2">
        <v>1</v>
      </c>
      <c r="M379" s="14" t="s">
        <v>322</v>
      </c>
      <c r="N379" s="15" t="s">
        <v>257</v>
      </c>
      <c r="O379" s="15">
        <v>20090004</v>
      </c>
      <c r="P379" s="15" t="s">
        <v>260</v>
      </c>
      <c r="Q379" s="15">
        <v>20090005</v>
      </c>
      <c r="R379" s="15" t="s">
        <v>263</v>
      </c>
      <c r="S379" s="15">
        <v>20090006</v>
      </c>
    </row>
    <row r="380" spans="1:19">
      <c r="A380" s="2">
        <v>200900052</v>
      </c>
      <c r="B380" s="15">
        <v>200900</v>
      </c>
      <c r="C380" s="3" t="s">
        <v>240</v>
      </c>
      <c r="D380" s="2" t="s">
        <v>323</v>
      </c>
      <c r="E380" s="2">
        <v>466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4" t="s">
        <v>282</v>
      </c>
      <c r="N380" s="15" t="s">
        <v>263</v>
      </c>
      <c r="O380" s="15">
        <v>20090006</v>
      </c>
    </row>
    <row r="381" spans="1:19">
      <c r="A381" s="2">
        <v>200900053</v>
      </c>
      <c r="B381" s="15">
        <v>200900</v>
      </c>
      <c r="C381" s="3" t="s">
        <v>240</v>
      </c>
      <c r="D381" s="2" t="s">
        <v>324</v>
      </c>
      <c r="E381" s="2">
        <v>555</v>
      </c>
      <c r="F381" s="2">
        <v>1</v>
      </c>
      <c r="G381" s="2">
        <v>0</v>
      </c>
      <c r="H381" s="2" t="s">
        <v>35</v>
      </c>
      <c r="I381" s="2">
        <v>300</v>
      </c>
      <c r="J381" s="2">
        <v>10000</v>
      </c>
      <c r="L381" s="2">
        <v>1</v>
      </c>
      <c r="M381" s="14" t="s">
        <v>278</v>
      </c>
      <c r="N381" s="15" t="s">
        <v>260</v>
      </c>
      <c r="O381" s="15">
        <v>20090005</v>
      </c>
    </row>
    <row r="382" spans="1:19">
      <c r="A382" s="2">
        <v>200900054</v>
      </c>
      <c r="B382" s="15">
        <v>200900</v>
      </c>
      <c r="C382" s="3" t="s">
        <v>240</v>
      </c>
      <c r="D382" s="2" t="s">
        <v>325</v>
      </c>
      <c r="E382" s="2">
        <v>556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4" t="s">
        <v>278</v>
      </c>
      <c r="N382" s="15" t="s">
        <v>260</v>
      </c>
      <c r="O382" s="15">
        <v>20090005</v>
      </c>
    </row>
    <row r="383" spans="1:19">
      <c r="A383" s="2">
        <v>200900055</v>
      </c>
      <c r="B383" s="15">
        <v>200900</v>
      </c>
      <c r="C383" s="3" t="s">
        <v>240</v>
      </c>
      <c r="D383" s="2" t="s">
        <v>326</v>
      </c>
      <c r="E383" s="2">
        <v>566</v>
      </c>
      <c r="F383" s="2">
        <v>1</v>
      </c>
      <c r="G383" s="2">
        <v>0</v>
      </c>
      <c r="H383" s="2" t="s">
        <v>35</v>
      </c>
      <c r="I383" s="2">
        <v>200</v>
      </c>
      <c r="J383" s="2">
        <v>10000</v>
      </c>
      <c r="L383" s="2">
        <v>1</v>
      </c>
      <c r="M383" s="14" t="s">
        <v>282</v>
      </c>
      <c r="N383" s="15" t="s">
        <v>263</v>
      </c>
      <c r="O383" s="15">
        <v>20090006</v>
      </c>
    </row>
    <row r="384" spans="1:19">
      <c r="A384" s="2">
        <v>200900056</v>
      </c>
      <c r="B384" s="15">
        <v>200900</v>
      </c>
      <c r="C384" s="3" t="s">
        <v>240</v>
      </c>
      <c r="D384" s="2" t="s">
        <v>327</v>
      </c>
      <c r="E384" s="2">
        <v>666</v>
      </c>
      <c r="F384" s="2">
        <v>1</v>
      </c>
      <c r="G384" s="2">
        <v>0</v>
      </c>
      <c r="H384" s="2" t="s">
        <v>35</v>
      </c>
      <c r="I384" s="2">
        <v>300</v>
      </c>
      <c r="J384" s="2">
        <v>10000</v>
      </c>
      <c r="L384" s="2">
        <v>1</v>
      </c>
      <c r="M384" s="14" t="s">
        <v>282</v>
      </c>
      <c r="N384" s="15" t="s">
        <v>263</v>
      </c>
      <c r="O384" s="15">
        <v>20090006</v>
      </c>
    </row>
    <row r="385" spans="1:15">
      <c r="A385" s="2">
        <v>200900057</v>
      </c>
      <c r="B385" s="15">
        <v>200900</v>
      </c>
      <c r="C385" s="3" t="s">
        <v>240</v>
      </c>
      <c r="D385" s="2" t="s">
        <v>244</v>
      </c>
      <c r="E385" s="2">
        <v>112</v>
      </c>
      <c r="F385" s="2">
        <v>1</v>
      </c>
      <c r="G385" s="2">
        <v>0</v>
      </c>
      <c r="H385" s="2" t="s">
        <v>35</v>
      </c>
      <c r="I385" s="2">
        <v>100</v>
      </c>
      <c r="J385" s="2">
        <v>10000</v>
      </c>
      <c r="L385" s="2">
        <v>1</v>
      </c>
      <c r="M385" s="14" t="s">
        <v>250</v>
      </c>
      <c r="N385" s="15" t="s">
        <v>251</v>
      </c>
      <c r="O385" s="15">
        <v>20090002</v>
      </c>
    </row>
    <row r="386" spans="1:15">
      <c r="A386" s="2">
        <v>200900058</v>
      </c>
      <c r="B386" s="15">
        <v>200900</v>
      </c>
      <c r="C386" s="3" t="s">
        <v>240</v>
      </c>
      <c r="D386" s="2" t="s">
        <v>245</v>
      </c>
      <c r="E386" s="2">
        <v>113</v>
      </c>
      <c r="F386" s="2">
        <v>1</v>
      </c>
      <c r="G386" s="2">
        <v>0</v>
      </c>
      <c r="H386" s="2" t="s">
        <v>35</v>
      </c>
      <c r="I386" s="2">
        <v>100</v>
      </c>
      <c r="J386" s="2">
        <v>10000</v>
      </c>
      <c r="L386" s="2">
        <v>1</v>
      </c>
      <c r="M386" s="14">
        <v>20090003</v>
      </c>
      <c r="N386" s="2" t="s">
        <v>254</v>
      </c>
      <c r="O386" s="2">
        <v>20090003</v>
      </c>
    </row>
    <row r="387" spans="1:15">
      <c r="A387" s="2">
        <v>200900059</v>
      </c>
      <c r="B387" s="15">
        <v>200900</v>
      </c>
      <c r="C387" s="3" t="s">
        <v>240</v>
      </c>
      <c r="D387" s="2" t="s">
        <v>246</v>
      </c>
      <c r="E387" s="2">
        <v>114</v>
      </c>
      <c r="F387" s="2">
        <v>1</v>
      </c>
      <c r="G387" s="2">
        <v>0</v>
      </c>
      <c r="H387" s="2" t="s">
        <v>35</v>
      </c>
      <c r="I387" s="2">
        <v>100</v>
      </c>
      <c r="J387" s="2">
        <v>10000</v>
      </c>
      <c r="L387" s="2">
        <v>1</v>
      </c>
      <c r="M387" s="14">
        <v>20090004</v>
      </c>
      <c r="N387" s="2" t="s">
        <v>257</v>
      </c>
      <c r="O387" s="2">
        <v>20090004</v>
      </c>
    </row>
    <row r="388" spans="1:15">
      <c r="A388" s="2">
        <v>200900060</v>
      </c>
      <c r="B388" s="15">
        <v>200900</v>
      </c>
      <c r="C388" s="3" t="s">
        <v>240</v>
      </c>
      <c r="D388" s="2" t="s">
        <v>247</v>
      </c>
      <c r="E388" s="2">
        <v>115</v>
      </c>
      <c r="F388" s="2">
        <v>1</v>
      </c>
      <c r="G388" s="2">
        <v>0</v>
      </c>
      <c r="H388" s="2" t="s">
        <v>35</v>
      </c>
      <c r="I388" s="2">
        <v>100</v>
      </c>
      <c r="J388" s="2">
        <v>10000</v>
      </c>
      <c r="L388" s="2">
        <v>1</v>
      </c>
      <c r="M388" s="14">
        <v>20090005</v>
      </c>
      <c r="N388" s="2" t="s">
        <v>260</v>
      </c>
      <c r="O388" s="2">
        <v>20090005</v>
      </c>
    </row>
    <row r="389" spans="1:15">
      <c r="A389" s="2">
        <f>A388+1</f>
        <v>200900061</v>
      </c>
      <c r="B389" s="15">
        <v>200900</v>
      </c>
      <c r="C389" s="3" t="s">
        <v>240</v>
      </c>
      <c r="D389" s="2" t="s">
        <v>248</v>
      </c>
      <c r="E389" s="2">
        <v>116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4">
        <v>20090006</v>
      </c>
      <c r="N389" s="2" t="s">
        <v>263</v>
      </c>
      <c r="O389" s="2">
        <v>20090006</v>
      </c>
    </row>
    <row r="390" spans="1:15">
      <c r="A390" s="2">
        <f t="shared" ref="A390:A414" si="2">A389+1</f>
        <v>200900062</v>
      </c>
      <c r="B390" s="15">
        <v>200900</v>
      </c>
      <c r="C390" s="3" t="s">
        <v>240</v>
      </c>
      <c r="D390" s="2" t="s">
        <v>249</v>
      </c>
      <c r="E390" s="2">
        <v>122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4">
        <v>20090001</v>
      </c>
      <c r="N390" s="15" t="s">
        <v>243</v>
      </c>
      <c r="O390" s="15">
        <v>20090001</v>
      </c>
    </row>
    <row r="391" spans="1:15">
      <c r="A391" s="2">
        <f t="shared" si="2"/>
        <v>200900063</v>
      </c>
      <c r="B391" s="15">
        <v>200900</v>
      </c>
      <c r="C391" s="3" t="s">
        <v>240</v>
      </c>
      <c r="D391" s="2" t="s">
        <v>264</v>
      </c>
      <c r="E391" s="2">
        <v>133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4">
        <v>20090001</v>
      </c>
      <c r="N391" s="15" t="s">
        <v>243</v>
      </c>
      <c r="O391" s="15">
        <v>20090001</v>
      </c>
    </row>
    <row r="392" spans="1:15">
      <c r="A392" s="2">
        <f t="shared" si="2"/>
        <v>200900064</v>
      </c>
      <c r="B392" s="15">
        <v>200900</v>
      </c>
      <c r="C392" s="3" t="s">
        <v>240</v>
      </c>
      <c r="D392" s="2" t="s">
        <v>271</v>
      </c>
      <c r="E392" s="2">
        <v>144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4">
        <v>20090001</v>
      </c>
      <c r="N392" s="15" t="s">
        <v>243</v>
      </c>
      <c r="O392" s="15">
        <v>20090001</v>
      </c>
    </row>
    <row r="393" spans="1:15">
      <c r="A393" s="2">
        <f t="shared" si="2"/>
        <v>200900065</v>
      </c>
      <c r="B393" s="15">
        <v>200900</v>
      </c>
      <c r="C393" s="3" t="s">
        <v>240</v>
      </c>
      <c r="D393" s="2" t="s">
        <v>277</v>
      </c>
      <c r="E393" s="2">
        <v>155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4">
        <v>20090001</v>
      </c>
      <c r="N393" s="15" t="s">
        <v>243</v>
      </c>
      <c r="O393" s="15">
        <v>20090001</v>
      </c>
    </row>
    <row r="394" spans="1:15">
      <c r="A394" s="2">
        <f t="shared" si="2"/>
        <v>200900066</v>
      </c>
      <c r="B394" s="15">
        <v>200900</v>
      </c>
      <c r="C394" s="3" t="s">
        <v>240</v>
      </c>
      <c r="D394" s="2" t="s">
        <v>281</v>
      </c>
      <c r="E394" s="2">
        <v>166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4">
        <v>20090001</v>
      </c>
      <c r="N394" s="15" t="s">
        <v>243</v>
      </c>
      <c r="O394" s="15">
        <v>20090001</v>
      </c>
    </row>
    <row r="395" spans="1:15">
      <c r="A395" s="2">
        <f t="shared" si="2"/>
        <v>200900067</v>
      </c>
      <c r="B395" s="15">
        <v>200900</v>
      </c>
      <c r="C395" s="3" t="s">
        <v>240</v>
      </c>
      <c r="D395" s="2" t="s">
        <v>284</v>
      </c>
      <c r="E395" s="2">
        <v>223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4">
        <v>20090003</v>
      </c>
      <c r="N395" s="2" t="s">
        <v>254</v>
      </c>
      <c r="O395" s="2">
        <v>20090003</v>
      </c>
    </row>
    <row r="396" spans="1:15">
      <c r="A396" s="2">
        <f t="shared" si="2"/>
        <v>200900068</v>
      </c>
      <c r="B396" s="15">
        <v>200900</v>
      </c>
      <c r="C396" s="3" t="s">
        <v>240</v>
      </c>
      <c r="D396" s="2" t="s">
        <v>285</v>
      </c>
      <c r="E396" s="2">
        <v>224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4">
        <v>20090004</v>
      </c>
      <c r="N396" s="2" t="s">
        <v>257</v>
      </c>
      <c r="O396" s="2">
        <v>20090004</v>
      </c>
    </row>
    <row r="397" spans="1:15">
      <c r="A397" s="2">
        <f t="shared" si="2"/>
        <v>200900069</v>
      </c>
      <c r="B397" s="15">
        <v>200900</v>
      </c>
      <c r="C397" s="3" t="s">
        <v>240</v>
      </c>
      <c r="D397" s="2" t="s">
        <v>286</v>
      </c>
      <c r="E397" s="2">
        <v>225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4">
        <v>20090005</v>
      </c>
      <c r="N397" s="2" t="s">
        <v>260</v>
      </c>
      <c r="O397" s="2">
        <v>20090005</v>
      </c>
    </row>
    <row r="398" spans="1:15">
      <c r="A398" s="2">
        <f t="shared" si="2"/>
        <v>200900070</v>
      </c>
      <c r="B398" s="15">
        <v>200900</v>
      </c>
      <c r="C398" s="3" t="s">
        <v>240</v>
      </c>
      <c r="D398" s="2" t="s">
        <v>287</v>
      </c>
      <c r="E398" s="2">
        <v>226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4">
        <v>20090006</v>
      </c>
      <c r="N398" s="2" t="s">
        <v>263</v>
      </c>
      <c r="O398" s="2">
        <v>20090006</v>
      </c>
    </row>
    <row r="399" spans="1:15">
      <c r="A399" s="2">
        <f t="shared" si="2"/>
        <v>200900071</v>
      </c>
      <c r="B399" s="15">
        <v>200900</v>
      </c>
      <c r="C399" s="3" t="s">
        <v>240</v>
      </c>
      <c r="D399" s="2" t="s">
        <v>288</v>
      </c>
      <c r="E399" s="2">
        <v>233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4" t="s">
        <v>250</v>
      </c>
      <c r="N399" s="15" t="s">
        <v>251</v>
      </c>
      <c r="O399" s="15">
        <v>20090002</v>
      </c>
    </row>
    <row r="400" spans="1:15">
      <c r="A400" s="2">
        <f t="shared" si="2"/>
        <v>200900072</v>
      </c>
      <c r="B400" s="15">
        <v>200900</v>
      </c>
      <c r="C400" s="3" t="s">
        <v>240</v>
      </c>
      <c r="D400" s="2" t="s">
        <v>295</v>
      </c>
      <c r="E400" s="2">
        <v>244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4" t="s">
        <v>250</v>
      </c>
      <c r="N400" s="15" t="s">
        <v>251</v>
      </c>
      <c r="O400" s="15">
        <v>20090002</v>
      </c>
    </row>
    <row r="401" spans="1:15">
      <c r="A401" s="2">
        <f t="shared" si="2"/>
        <v>200900073</v>
      </c>
      <c r="B401" s="15">
        <v>200900</v>
      </c>
      <c r="C401" s="3" t="s">
        <v>240</v>
      </c>
      <c r="D401" s="2" t="s">
        <v>300</v>
      </c>
      <c r="E401" s="2">
        <v>255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4" t="s">
        <v>250</v>
      </c>
      <c r="N401" s="15" t="s">
        <v>251</v>
      </c>
      <c r="O401" s="15">
        <v>20090002</v>
      </c>
    </row>
    <row r="402" spans="1:15">
      <c r="A402" s="2">
        <f t="shared" si="2"/>
        <v>200900074</v>
      </c>
      <c r="B402" s="15">
        <v>200900</v>
      </c>
      <c r="C402" s="3" t="s">
        <v>240</v>
      </c>
      <c r="D402" s="2" t="s">
        <v>303</v>
      </c>
      <c r="E402" s="2">
        <v>266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4" t="s">
        <v>250</v>
      </c>
      <c r="N402" s="15" t="s">
        <v>251</v>
      </c>
      <c r="O402" s="15">
        <v>20090002</v>
      </c>
    </row>
    <row r="403" spans="1:15">
      <c r="A403" s="2">
        <f t="shared" si="2"/>
        <v>200900075</v>
      </c>
      <c r="B403" s="15">
        <v>200900</v>
      </c>
      <c r="C403" s="3" t="s">
        <v>240</v>
      </c>
      <c r="D403" s="2" t="s">
        <v>305</v>
      </c>
      <c r="E403" s="2">
        <v>334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4">
        <v>20090004</v>
      </c>
      <c r="N403" s="2" t="s">
        <v>257</v>
      </c>
      <c r="O403" s="2">
        <v>20090004</v>
      </c>
    </row>
    <row r="404" spans="1:15">
      <c r="A404" s="2">
        <f t="shared" si="2"/>
        <v>200900076</v>
      </c>
      <c r="B404" s="15">
        <v>200900</v>
      </c>
      <c r="C404" s="3" t="s">
        <v>240</v>
      </c>
      <c r="D404" s="2" t="s">
        <v>306</v>
      </c>
      <c r="E404" s="2">
        <v>335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4">
        <v>20090005</v>
      </c>
      <c r="N404" s="2" t="s">
        <v>260</v>
      </c>
      <c r="O404" s="2">
        <v>20090005</v>
      </c>
    </row>
    <row r="405" spans="1:15">
      <c r="A405" s="2">
        <f t="shared" si="2"/>
        <v>200900077</v>
      </c>
      <c r="B405" s="15">
        <v>200900</v>
      </c>
      <c r="C405" s="3" t="s">
        <v>240</v>
      </c>
      <c r="D405" s="2" t="s">
        <v>307</v>
      </c>
      <c r="E405" s="2">
        <v>336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4">
        <v>20090006</v>
      </c>
      <c r="N405" s="2" t="s">
        <v>263</v>
      </c>
      <c r="O405" s="2">
        <v>20090006</v>
      </c>
    </row>
    <row r="406" spans="1:15">
      <c r="A406" s="2">
        <f t="shared" si="2"/>
        <v>200900078</v>
      </c>
      <c r="B406" s="15">
        <v>200900</v>
      </c>
      <c r="C406" s="3" t="s">
        <v>240</v>
      </c>
      <c r="D406" s="2" t="s">
        <v>308</v>
      </c>
      <c r="E406" s="2">
        <v>344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4">
        <v>20090003</v>
      </c>
      <c r="N406" s="2" t="s">
        <v>254</v>
      </c>
      <c r="O406" s="2">
        <v>20090003</v>
      </c>
    </row>
    <row r="407" spans="1:15">
      <c r="A407" s="2">
        <f t="shared" si="2"/>
        <v>200900079</v>
      </c>
      <c r="B407" s="15">
        <v>200900</v>
      </c>
      <c r="C407" s="3" t="s">
        <v>240</v>
      </c>
      <c r="D407" s="2" t="s">
        <v>313</v>
      </c>
      <c r="E407" s="2">
        <v>355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4">
        <v>20090003</v>
      </c>
      <c r="N407" s="2" t="s">
        <v>254</v>
      </c>
      <c r="O407" s="2">
        <v>20090003</v>
      </c>
    </row>
    <row r="408" spans="1:15">
      <c r="A408" s="2">
        <f t="shared" si="2"/>
        <v>200900080</v>
      </c>
      <c r="B408" s="15">
        <v>200900</v>
      </c>
      <c r="C408" s="3" t="s">
        <v>240</v>
      </c>
      <c r="D408" s="2" t="s">
        <v>316</v>
      </c>
      <c r="E408" s="2">
        <v>366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4">
        <v>20090003</v>
      </c>
      <c r="N408" s="2" t="s">
        <v>254</v>
      </c>
      <c r="O408" s="2">
        <v>20090003</v>
      </c>
    </row>
    <row r="409" spans="1:15">
      <c r="A409" s="2">
        <f t="shared" si="2"/>
        <v>200900081</v>
      </c>
      <c r="B409" s="15">
        <v>200900</v>
      </c>
      <c r="C409" s="3" t="s">
        <v>240</v>
      </c>
      <c r="D409" s="2" t="s">
        <v>318</v>
      </c>
      <c r="E409" s="2">
        <v>445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4">
        <v>20090005</v>
      </c>
      <c r="N409" s="2" t="s">
        <v>260</v>
      </c>
      <c r="O409" s="2">
        <v>20090005</v>
      </c>
    </row>
    <row r="410" spans="1:15">
      <c r="A410" s="2">
        <f t="shared" si="2"/>
        <v>200900082</v>
      </c>
      <c r="B410" s="15">
        <v>200900</v>
      </c>
      <c r="C410" s="3" t="s">
        <v>240</v>
      </c>
      <c r="D410" s="2" t="s">
        <v>319</v>
      </c>
      <c r="E410" s="2">
        <v>446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4">
        <v>20090006</v>
      </c>
      <c r="N410" s="2" t="s">
        <v>263</v>
      </c>
      <c r="O410" s="2">
        <v>20090006</v>
      </c>
    </row>
    <row r="411" spans="1:15">
      <c r="A411" s="2">
        <f t="shared" si="2"/>
        <v>200900083</v>
      </c>
      <c r="B411" s="15">
        <v>200900</v>
      </c>
      <c r="C411" s="3" t="s">
        <v>240</v>
      </c>
      <c r="D411" s="2" t="s">
        <v>320</v>
      </c>
      <c r="E411" s="2">
        <v>455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4">
        <v>20090004</v>
      </c>
      <c r="N411" s="2" t="s">
        <v>257</v>
      </c>
      <c r="O411" s="2">
        <v>20090004</v>
      </c>
    </row>
    <row r="412" spans="1:15">
      <c r="A412" s="2">
        <f t="shared" si="2"/>
        <v>200900084</v>
      </c>
      <c r="B412" s="15">
        <v>200900</v>
      </c>
      <c r="C412" s="3" t="s">
        <v>240</v>
      </c>
      <c r="D412" s="2" t="s">
        <v>323</v>
      </c>
      <c r="E412" s="2">
        <v>466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4">
        <v>20090004</v>
      </c>
      <c r="N412" s="2" t="s">
        <v>257</v>
      </c>
      <c r="O412" s="2">
        <v>20090004</v>
      </c>
    </row>
    <row r="413" spans="1:15">
      <c r="A413" s="2">
        <f t="shared" si="2"/>
        <v>200900085</v>
      </c>
      <c r="B413" s="15">
        <v>200900</v>
      </c>
      <c r="C413" s="3" t="s">
        <v>240</v>
      </c>
      <c r="D413" s="2" t="s">
        <v>325</v>
      </c>
      <c r="E413" s="2">
        <v>556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4">
        <v>20090006</v>
      </c>
      <c r="N413" s="2" t="s">
        <v>263</v>
      </c>
      <c r="O413" s="2">
        <v>20090006</v>
      </c>
    </row>
    <row r="414" spans="1:15">
      <c r="A414" s="2">
        <f t="shared" si="2"/>
        <v>200900086</v>
      </c>
      <c r="B414" s="15">
        <v>200900</v>
      </c>
      <c r="C414" s="3" t="s">
        <v>240</v>
      </c>
      <c r="D414" s="2" t="s">
        <v>326</v>
      </c>
      <c r="E414" s="2">
        <v>566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4">
        <v>20090005</v>
      </c>
      <c r="N414" s="2" t="s">
        <v>260</v>
      </c>
      <c r="O414" s="2">
        <v>20090005</v>
      </c>
    </row>
    <row r="415" spans="1:15">
      <c r="A415" s="2">
        <f>B415*100+E415</f>
        <v>20100001</v>
      </c>
      <c r="B415" s="2">
        <v>201000</v>
      </c>
      <c r="C415" s="3" t="s">
        <v>328</v>
      </c>
      <c r="D415" s="2" t="s">
        <v>329</v>
      </c>
      <c r="E415" s="2">
        <v>1</v>
      </c>
      <c r="F415" s="2">
        <v>30</v>
      </c>
      <c r="G415" s="2">
        <v>0</v>
      </c>
      <c r="H415" s="2" t="s">
        <v>35</v>
      </c>
      <c r="I415" s="2">
        <v>1000</v>
      </c>
      <c r="J415" s="2">
        <v>0</v>
      </c>
      <c r="L415" s="2">
        <v>1</v>
      </c>
      <c r="M415" s="14">
        <v>20100002</v>
      </c>
      <c r="N415" s="2" t="s">
        <v>329</v>
      </c>
      <c r="O415" s="2">
        <v>20100002</v>
      </c>
    </row>
    <row r="416" spans="1:15">
      <c r="A416" s="2">
        <f t="shared" ref="A416:A438" si="3">B416*100+E416</f>
        <v>20100002</v>
      </c>
      <c r="B416" s="2">
        <v>201000</v>
      </c>
      <c r="C416" s="3" t="s">
        <v>328</v>
      </c>
      <c r="D416" s="2" t="s">
        <v>330</v>
      </c>
      <c r="E416" s="2">
        <v>2</v>
      </c>
      <c r="F416" s="2">
        <v>30</v>
      </c>
      <c r="G416" s="2">
        <v>0</v>
      </c>
      <c r="H416" s="2" t="s">
        <v>35</v>
      </c>
      <c r="I416" s="2">
        <v>2000</v>
      </c>
      <c r="J416" s="2">
        <v>0</v>
      </c>
      <c r="L416" s="2">
        <v>1</v>
      </c>
      <c r="M416" s="14">
        <v>20100004</v>
      </c>
      <c r="N416" s="2" t="s">
        <v>330</v>
      </c>
      <c r="O416" s="2">
        <v>20100004</v>
      </c>
    </row>
    <row r="417" spans="1:15">
      <c r="A417" s="2">
        <f t="shared" si="3"/>
        <v>20100003</v>
      </c>
      <c r="B417" s="2">
        <v>201000</v>
      </c>
      <c r="C417" s="3" t="s">
        <v>328</v>
      </c>
      <c r="D417" s="2" t="s">
        <v>331</v>
      </c>
      <c r="E417" s="2">
        <v>3</v>
      </c>
      <c r="F417" s="2">
        <v>5</v>
      </c>
      <c r="G417" s="2">
        <v>0</v>
      </c>
      <c r="H417" s="2" t="s">
        <v>35</v>
      </c>
      <c r="I417" s="2">
        <v>5000</v>
      </c>
      <c r="J417" s="2">
        <v>0</v>
      </c>
      <c r="L417" s="2">
        <v>1</v>
      </c>
      <c r="M417" s="14">
        <v>20100008</v>
      </c>
      <c r="N417" s="2" t="s">
        <v>332</v>
      </c>
      <c r="O417" s="2">
        <v>20100008</v>
      </c>
    </row>
    <row r="418" spans="1:15">
      <c r="A418" s="2">
        <f t="shared" si="3"/>
        <v>20100004</v>
      </c>
      <c r="B418" s="2">
        <v>201000</v>
      </c>
      <c r="C418" s="3" t="s">
        <v>328</v>
      </c>
      <c r="D418" s="2" t="s">
        <v>332</v>
      </c>
      <c r="E418" s="2">
        <v>4</v>
      </c>
      <c r="F418" s="2">
        <v>5</v>
      </c>
      <c r="G418" s="2">
        <v>0</v>
      </c>
      <c r="H418" s="2" t="s">
        <v>35</v>
      </c>
      <c r="I418" s="2">
        <v>12000</v>
      </c>
      <c r="J418" s="2">
        <v>0</v>
      </c>
      <c r="L418" s="2">
        <v>1</v>
      </c>
      <c r="M418" s="14">
        <v>20100008</v>
      </c>
      <c r="N418" s="2" t="s">
        <v>332</v>
      </c>
      <c r="O418" s="2">
        <v>20100008</v>
      </c>
    </row>
    <row r="419" spans="1:15">
      <c r="A419" s="2">
        <f t="shared" si="3"/>
        <v>20100005</v>
      </c>
      <c r="B419" s="2">
        <v>201000</v>
      </c>
      <c r="C419" s="3" t="s">
        <v>328</v>
      </c>
      <c r="D419" s="2" t="s">
        <v>333</v>
      </c>
      <c r="E419" s="2">
        <v>5</v>
      </c>
      <c r="F419" s="2">
        <v>76</v>
      </c>
      <c r="G419" s="2">
        <v>0</v>
      </c>
      <c r="H419" s="2" t="s">
        <v>35</v>
      </c>
      <c r="I419" s="2">
        <v>500</v>
      </c>
      <c r="J419" s="2">
        <v>0</v>
      </c>
      <c r="L419" s="2">
        <v>1</v>
      </c>
      <c r="M419" s="14">
        <v>20100001</v>
      </c>
      <c r="N419" s="2" t="s">
        <v>333</v>
      </c>
      <c r="O419" s="2">
        <v>20100001</v>
      </c>
    </row>
    <row r="420" spans="1:15">
      <c r="A420" s="2">
        <f t="shared" si="3"/>
        <v>20100006</v>
      </c>
      <c r="B420" s="2">
        <v>201000</v>
      </c>
      <c r="C420" s="3" t="s">
        <v>328</v>
      </c>
      <c r="D420" s="2" t="s">
        <v>334</v>
      </c>
      <c r="E420" s="2">
        <v>6</v>
      </c>
      <c r="F420" s="2">
        <v>40</v>
      </c>
      <c r="G420" s="2">
        <v>0</v>
      </c>
      <c r="H420" s="2" t="s">
        <v>35</v>
      </c>
      <c r="I420" s="2">
        <v>300</v>
      </c>
      <c r="J420" s="2">
        <v>0</v>
      </c>
      <c r="L420" s="2">
        <v>1</v>
      </c>
      <c r="M420" s="14">
        <v>20100001</v>
      </c>
      <c r="N420" s="2" t="s">
        <v>333</v>
      </c>
      <c r="O420" s="2">
        <v>20100001</v>
      </c>
    </row>
    <row r="421" spans="1:15">
      <c r="A421" s="2">
        <f t="shared" si="3"/>
        <v>20100007</v>
      </c>
      <c r="B421" s="2">
        <v>201000</v>
      </c>
      <c r="C421" s="3" t="s">
        <v>328</v>
      </c>
      <c r="D421" s="2" t="s">
        <v>335</v>
      </c>
      <c r="E421" s="2">
        <v>7</v>
      </c>
      <c r="F421" s="2">
        <v>40</v>
      </c>
      <c r="G421" s="2">
        <v>0</v>
      </c>
      <c r="H421" s="2" t="s">
        <v>35</v>
      </c>
      <c r="I421" s="2">
        <v>1500</v>
      </c>
      <c r="J421" s="2">
        <v>0</v>
      </c>
      <c r="L421" s="2">
        <v>1</v>
      </c>
      <c r="M421" s="14">
        <v>20100003</v>
      </c>
      <c r="N421" s="2" t="s">
        <v>335</v>
      </c>
      <c r="O421" s="2">
        <v>20100003</v>
      </c>
    </row>
    <row r="422" spans="1:15">
      <c r="A422" s="2">
        <f t="shared" si="3"/>
        <v>20100008</v>
      </c>
      <c r="B422" s="2">
        <v>201000</v>
      </c>
      <c r="C422" s="3" t="s">
        <v>328</v>
      </c>
      <c r="D422" s="2" t="s">
        <v>336</v>
      </c>
      <c r="E422" s="2">
        <v>8</v>
      </c>
      <c r="F422" s="2">
        <v>30</v>
      </c>
      <c r="G422" s="2">
        <v>0</v>
      </c>
      <c r="H422" s="2" t="s">
        <v>35</v>
      </c>
      <c r="I422" s="2">
        <v>2000</v>
      </c>
      <c r="J422" s="2">
        <v>0</v>
      </c>
      <c r="L422" s="2">
        <v>1</v>
      </c>
      <c r="M422" s="14">
        <v>20100005</v>
      </c>
      <c r="N422" s="2" t="s">
        <v>336</v>
      </c>
      <c r="O422" s="2">
        <v>20100005</v>
      </c>
    </row>
    <row r="423" spans="1:15">
      <c r="A423" s="2">
        <f t="shared" si="3"/>
        <v>20100009</v>
      </c>
      <c r="B423" s="2">
        <v>201000</v>
      </c>
      <c r="C423" s="3" t="s">
        <v>328</v>
      </c>
      <c r="D423" s="2" t="s">
        <v>337</v>
      </c>
      <c r="E423" s="2">
        <v>9</v>
      </c>
      <c r="F423" s="2">
        <v>300</v>
      </c>
      <c r="G423" s="2">
        <v>0</v>
      </c>
      <c r="H423" s="2" t="s">
        <v>35</v>
      </c>
      <c r="I423" s="2">
        <v>300</v>
      </c>
      <c r="J423" s="2">
        <v>0</v>
      </c>
      <c r="L423" s="2">
        <v>1</v>
      </c>
      <c r="M423" s="14">
        <v>20100005</v>
      </c>
      <c r="N423" s="2" t="s">
        <v>336</v>
      </c>
      <c r="O423" s="2">
        <v>20100005</v>
      </c>
    </row>
    <row r="424" spans="1:15">
      <c r="A424" s="2">
        <f t="shared" si="3"/>
        <v>20100010</v>
      </c>
      <c r="B424" s="2">
        <v>201000</v>
      </c>
      <c r="C424" s="3" t="s">
        <v>328</v>
      </c>
      <c r="D424" s="2" t="s">
        <v>338</v>
      </c>
      <c r="E424" s="2">
        <v>10</v>
      </c>
      <c r="F424" s="2">
        <v>34</v>
      </c>
      <c r="G424" s="2">
        <v>2</v>
      </c>
      <c r="H424" s="2" t="s">
        <v>79</v>
      </c>
      <c r="I424" s="2">
        <v>0</v>
      </c>
      <c r="J424" s="2">
        <v>0</v>
      </c>
      <c r="K424" s="19" t="s">
        <v>339</v>
      </c>
      <c r="L424" s="2">
        <v>0</v>
      </c>
      <c r="M424" s="14">
        <v>20100000</v>
      </c>
      <c r="N424" s="2" t="s">
        <v>340</v>
      </c>
      <c r="O424" s="2">
        <v>20100000</v>
      </c>
    </row>
    <row r="425" spans="1:15">
      <c r="A425" s="2">
        <f t="shared" si="3"/>
        <v>20100011</v>
      </c>
      <c r="B425" s="2">
        <v>201000</v>
      </c>
      <c r="C425" s="3" t="s">
        <v>328</v>
      </c>
      <c r="D425" s="2" t="s">
        <v>333</v>
      </c>
      <c r="E425" s="2">
        <v>11</v>
      </c>
      <c r="F425" s="2">
        <v>40</v>
      </c>
      <c r="G425" s="2">
        <v>0</v>
      </c>
      <c r="H425" s="2" t="s">
        <v>35</v>
      </c>
      <c r="I425" s="2">
        <v>500</v>
      </c>
      <c r="J425" s="2">
        <v>0</v>
      </c>
      <c r="K425" s="19"/>
      <c r="L425" s="2">
        <v>1</v>
      </c>
      <c r="M425" s="14">
        <v>20100001</v>
      </c>
      <c r="N425" s="2" t="s">
        <v>333</v>
      </c>
      <c r="O425" s="2">
        <v>20100001</v>
      </c>
    </row>
    <row r="426" spans="1:15">
      <c r="A426" s="2">
        <f t="shared" si="3"/>
        <v>20100012</v>
      </c>
      <c r="B426" s="2">
        <v>201000</v>
      </c>
      <c r="C426" s="3" t="s">
        <v>328</v>
      </c>
      <c r="D426" s="2" t="s">
        <v>341</v>
      </c>
      <c r="E426" s="2">
        <v>12</v>
      </c>
      <c r="F426" s="2">
        <v>200</v>
      </c>
      <c r="G426" s="2">
        <v>0</v>
      </c>
      <c r="H426" s="2" t="s">
        <v>35</v>
      </c>
      <c r="I426" s="2">
        <v>300</v>
      </c>
      <c r="J426" s="2">
        <v>0</v>
      </c>
      <c r="K426" s="19"/>
      <c r="L426" s="2">
        <v>1</v>
      </c>
      <c r="M426" s="14">
        <v>20100002</v>
      </c>
      <c r="N426" s="2" t="s">
        <v>329</v>
      </c>
      <c r="O426" s="2">
        <v>20100002</v>
      </c>
    </row>
    <row r="427" spans="1:15">
      <c r="A427" s="2">
        <f t="shared" si="3"/>
        <v>20100013</v>
      </c>
      <c r="B427" s="2">
        <v>201000</v>
      </c>
      <c r="C427" s="3" t="s">
        <v>328</v>
      </c>
      <c r="D427" s="2" t="s">
        <v>329</v>
      </c>
      <c r="E427" s="2">
        <v>13</v>
      </c>
      <c r="F427" s="2">
        <v>60</v>
      </c>
      <c r="G427" s="2">
        <v>0</v>
      </c>
      <c r="H427" s="2" t="s">
        <v>35</v>
      </c>
      <c r="I427" s="2">
        <v>1000</v>
      </c>
      <c r="J427" s="2">
        <v>0</v>
      </c>
      <c r="K427" s="19"/>
      <c r="L427" s="2">
        <v>1</v>
      </c>
      <c r="M427" s="14">
        <v>20100002</v>
      </c>
      <c r="N427" s="2" t="s">
        <v>329</v>
      </c>
      <c r="O427" s="2">
        <v>20100002</v>
      </c>
    </row>
    <row r="428" spans="1:15">
      <c r="A428" s="2">
        <f t="shared" si="3"/>
        <v>20100014</v>
      </c>
      <c r="B428" s="2">
        <v>201000</v>
      </c>
      <c r="C428" s="3" t="s">
        <v>328</v>
      </c>
      <c r="D428" s="2" t="s">
        <v>330</v>
      </c>
      <c r="E428" s="2">
        <v>14</v>
      </c>
      <c r="F428" s="2">
        <v>30</v>
      </c>
      <c r="G428" s="2">
        <v>0</v>
      </c>
      <c r="H428" s="2" t="s">
        <v>35</v>
      </c>
      <c r="I428" s="2">
        <v>2000</v>
      </c>
      <c r="J428" s="2">
        <v>0</v>
      </c>
      <c r="K428" s="19"/>
      <c r="L428" s="2">
        <v>1</v>
      </c>
      <c r="M428" s="14">
        <v>20100004</v>
      </c>
      <c r="N428" s="2" t="s">
        <v>330</v>
      </c>
      <c r="O428" s="2">
        <v>20100004</v>
      </c>
    </row>
    <row r="429" spans="1:15">
      <c r="A429" s="2">
        <f t="shared" si="3"/>
        <v>20100015</v>
      </c>
      <c r="B429" s="2">
        <v>201000</v>
      </c>
      <c r="C429" s="3" t="s">
        <v>328</v>
      </c>
      <c r="D429" s="2" t="s">
        <v>342</v>
      </c>
      <c r="E429" s="2">
        <v>15</v>
      </c>
      <c r="F429" s="2">
        <v>300</v>
      </c>
      <c r="G429" s="2">
        <v>0</v>
      </c>
      <c r="H429" s="2" t="s">
        <v>35</v>
      </c>
      <c r="I429" s="2">
        <v>300</v>
      </c>
      <c r="J429" s="2">
        <v>0</v>
      </c>
      <c r="K429" s="19"/>
      <c r="L429" s="2">
        <v>1</v>
      </c>
      <c r="M429" s="14">
        <v>20100007</v>
      </c>
      <c r="N429" s="2">
        <v>77</v>
      </c>
      <c r="O429" s="2">
        <v>20100007</v>
      </c>
    </row>
    <row r="430" spans="1:15">
      <c r="A430" s="2">
        <f t="shared" si="3"/>
        <v>20100016</v>
      </c>
      <c r="B430" s="2">
        <v>201000</v>
      </c>
      <c r="C430" s="3" t="s">
        <v>328</v>
      </c>
      <c r="D430" s="2">
        <v>77</v>
      </c>
      <c r="E430" s="2">
        <v>16</v>
      </c>
      <c r="F430" s="2">
        <v>15</v>
      </c>
      <c r="G430" s="2">
        <v>0</v>
      </c>
      <c r="H430" s="2" t="s">
        <v>35</v>
      </c>
      <c r="I430" s="2">
        <v>4000</v>
      </c>
      <c r="J430" s="2">
        <v>0</v>
      </c>
      <c r="K430" s="19"/>
      <c r="L430" s="2">
        <v>1</v>
      </c>
      <c r="M430" s="14">
        <v>20100007</v>
      </c>
      <c r="N430" s="2">
        <v>77</v>
      </c>
      <c r="O430" s="2">
        <v>20100007</v>
      </c>
    </row>
    <row r="431" spans="1:15">
      <c r="A431" s="2">
        <f t="shared" si="3"/>
        <v>20100017</v>
      </c>
      <c r="B431" s="2">
        <v>201000</v>
      </c>
      <c r="C431" s="3" t="s">
        <v>328</v>
      </c>
      <c r="D431" s="2" t="s">
        <v>333</v>
      </c>
      <c r="E431" s="2">
        <v>17</v>
      </c>
      <c r="F431" s="2">
        <v>40</v>
      </c>
      <c r="G431" s="2">
        <v>0</v>
      </c>
      <c r="H431" s="2" t="s">
        <v>35</v>
      </c>
      <c r="I431" s="2">
        <v>500</v>
      </c>
      <c r="J431" s="2">
        <v>0</v>
      </c>
      <c r="K431" s="19"/>
      <c r="L431" s="2">
        <v>1</v>
      </c>
      <c r="M431" s="14">
        <v>20100001</v>
      </c>
      <c r="N431" s="2" t="s">
        <v>333</v>
      </c>
      <c r="O431" s="2">
        <v>20100001</v>
      </c>
    </row>
    <row r="432" spans="1:15">
      <c r="A432" s="2">
        <f t="shared" si="3"/>
        <v>20100018</v>
      </c>
      <c r="B432" s="2">
        <v>201000</v>
      </c>
      <c r="C432" s="3" t="s">
        <v>328</v>
      </c>
      <c r="D432" s="2" t="s">
        <v>343</v>
      </c>
      <c r="E432" s="2">
        <v>18</v>
      </c>
      <c r="F432" s="2">
        <v>100</v>
      </c>
      <c r="G432" s="2">
        <v>0</v>
      </c>
      <c r="H432" s="2" t="s">
        <v>35</v>
      </c>
      <c r="I432" s="2">
        <v>300</v>
      </c>
      <c r="J432" s="2">
        <v>0</v>
      </c>
      <c r="K432" s="19"/>
      <c r="L432" s="2">
        <v>1</v>
      </c>
      <c r="M432" s="14">
        <v>20100003</v>
      </c>
      <c r="N432" s="2" t="s">
        <v>335</v>
      </c>
      <c r="O432" s="2">
        <v>20100003</v>
      </c>
    </row>
    <row r="433" spans="1:15">
      <c r="A433" s="2">
        <f t="shared" si="3"/>
        <v>20100019</v>
      </c>
      <c r="B433" s="2">
        <v>201000</v>
      </c>
      <c r="C433" s="3" t="s">
        <v>328</v>
      </c>
      <c r="D433" s="2" t="s">
        <v>335</v>
      </c>
      <c r="E433" s="2">
        <v>19</v>
      </c>
      <c r="F433" s="2">
        <v>40</v>
      </c>
      <c r="G433" s="2">
        <v>0</v>
      </c>
      <c r="H433" s="2" t="s">
        <v>35</v>
      </c>
      <c r="I433" s="2">
        <v>1500</v>
      </c>
      <c r="J433" s="2">
        <v>0</v>
      </c>
      <c r="K433" s="19"/>
      <c r="L433" s="2">
        <v>1</v>
      </c>
      <c r="M433" s="14">
        <v>20100003</v>
      </c>
      <c r="N433" s="2" t="s">
        <v>335</v>
      </c>
      <c r="O433" s="2">
        <v>20100003</v>
      </c>
    </row>
    <row r="434" spans="1:15">
      <c r="A434" s="2">
        <f t="shared" si="3"/>
        <v>20100020</v>
      </c>
      <c r="B434" s="2">
        <v>201000</v>
      </c>
      <c r="C434" s="3" t="s">
        <v>328</v>
      </c>
      <c r="D434" s="2" t="s">
        <v>344</v>
      </c>
      <c r="E434" s="2">
        <v>20</v>
      </c>
      <c r="F434" s="2">
        <v>20</v>
      </c>
      <c r="G434" s="2">
        <v>0</v>
      </c>
      <c r="H434" s="2" t="s">
        <v>35</v>
      </c>
      <c r="I434" s="2">
        <v>3000</v>
      </c>
      <c r="J434" s="2">
        <v>0</v>
      </c>
      <c r="K434" s="19"/>
      <c r="L434" s="2">
        <v>1</v>
      </c>
      <c r="M434" s="14">
        <v>20100006</v>
      </c>
      <c r="N434" s="2" t="s">
        <v>344</v>
      </c>
      <c r="O434" s="2">
        <v>20100006</v>
      </c>
    </row>
    <row r="435" spans="1:15">
      <c r="A435" s="2">
        <f t="shared" si="3"/>
        <v>20100021</v>
      </c>
      <c r="B435" s="2">
        <v>201000</v>
      </c>
      <c r="C435" s="3" t="s">
        <v>328</v>
      </c>
      <c r="D435" s="2" t="s">
        <v>345</v>
      </c>
      <c r="E435" s="2">
        <v>21</v>
      </c>
      <c r="F435" s="2">
        <v>300</v>
      </c>
      <c r="G435" s="2">
        <v>0</v>
      </c>
      <c r="H435" s="2" t="s">
        <v>35</v>
      </c>
      <c r="I435" s="2">
        <v>300</v>
      </c>
      <c r="J435" s="2">
        <v>0</v>
      </c>
      <c r="K435" s="19"/>
      <c r="L435" s="2">
        <v>1</v>
      </c>
      <c r="M435" s="14">
        <v>20100006</v>
      </c>
      <c r="N435" s="2" t="s">
        <v>344</v>
      </c>
      <c r="O435" s="2">
        <v>20100006</v>
      </c>
    </row>
    <row r="436" spans="1:15">
      <c r="A436" s="2">
        <f t="shared" si="3"/>
        <v>20100022</v>
      </c>
      <c r="B436" s="2">
        <v>201000</v>
      </c>
      <c r="C436" s="3" t="s">
        <v>328</v>
      </c>
      <c r="D436" s="2" t="s">
        <v>346</v>
      </c>
      <c r="E436" s="2">
        <v>22</v>
      </c>
      <c r="F436" s="2">
        <v>34</v>
      </c>
      <c r="G436" s="2">
        <v>2</v>
      </c>
      <c r="H436" s="2" t="s">
        <v>79</v>
      </c>
      <c r="I436" s="2">
        <v>0</v>
      </c>
      <c r="J436" s="2">
        <v>0</v>
      </c>
      <c r="K436" s="19" t="s">
        <v>339</v>
      </c>
      <c r="L436" s="2">
        <v>0</v>
      </c>
      <c r="M436" s="14">
        <v>20100000</v>
      </c>
      <c r="N436" s="2" t="s">
        <v>340</v>
      </c>
      <c r="O436" s="2">
        <v>20100000</v>
      </c>
    </row>
    <row r="437" spans="1:15">
      <c r="A437" s="2">
        <f t="shared" si="3"/>
        <v>20100023</v>
      </c>
      <c r="B437" s="2">
        <v>201000</v>
      </c>
      <c r="C437" s="3" t="s">
        <v>328</v>
      </c>
      <c r="D437" s="2" t="s">
        <v>333</v>
      </c>
      <c r="E437" s="2">
        <v>23</v>
      </c>
      <c r="F437" s="2">
        <v>120</v>
      </c>
      <c r="G437" s="2">
        <v>0</v>
      </c>
      <c r="H437" s="2" t="s">
        <v>35</v>
      </c>
      <c r="I437" s="2">
        <v>500</v>
      </c>
      <c r="J437" s="2">
        <v>0</v>
      </c>
      <c r="L437" s="2">
        <v>1</v>
      </c>
      <c r="M437" s="14">
        <v>20100001</v>
      </c>
      <c r="N437" s="2" t="s">
        <v>333</v>
      </c>
      <c r="O437" s="2">
        <v>20100001</v>
      </c>
    </row>
    <row r="438" spans="1:15">
      <c r="A438" s="2">
        <f t="shared" si="3"/>
        <v>20100024</v>
      </c>
      <c r="B438" s="2">
        <v>201000</v>
      </c>
      <c r="C438" s="3" t="s">
        <v>328</v>
      </c>
      <c r="D438" s="2" t="s">
        <v>347</v>
      </c>
      <c r="E438" s="2">
        <v>24</v>
      </c>
      <c r="F438" s="2">
        <v>100</v>
      </c>
      <c r="G438" s="2">
        <v>0</v>
      </c>
      <c r="H438" s="2" t="s">
        <v>35</v>
      </c>
      <c r="I438" s="2">
        <v>300</v>
      </c>
      <c r="J438" s="2">
        <v>0</v>
      </c>
      <c r="L438" s="2">
        <v>1</v>
      </c>
      <c r="M438" s="14">
        <v>20100004</v>
      </c>
      <c r="N438" s="2" t="s">
        <v>330</v>
      </c>
      <c r="O438" s="2">
        <v>20100004</v>
      </c>
    </row>
    <row r="439" spans="1:15">
      <c r="A439" s="2">
        <v>20100025</v>
      </c>
      <c r="B439" s="2">
        <v>201000</v>
      </c>
      <c r="C439" s="3" t="s">
        <v>328</v>
      </c>
      <c r="D439" s="2" t="s">
        <v>329</v>
      </c>
      <c r="E439" s="2">
        <v>1</v>
      </c>
      <c r="F439" s="2">
        <v>30</v>
      </c>
      <c r="G439" s="2">
        <v>2</v>
      </c>
      <c r="H439" s="2" t="s">
        <v>79</v>
      </c>
      <c r="I439" s="2">
        <v>1000</v>
      </c>
      <c r="J439" s="2">
        <v>0</v>
      </c>
      <c r="K439" s="19" t="s">
        <v>348</v>
      </c>
      <c r="L439" s="2">
        <v>1</v>
      </c>
      <c r="M439" s="14">
        <v>20100002</v>
      </c>
      <c r="N439" s="2" t="s">
        <v>329</v>
      </c>
      <c r="O439" s="2">
        <v>20100002</v>
      </c>
    </row>
    <row r="440" spans="1:15">
      <c r="A440" s="2">
        <v>20100026</v>
      </c>
      <c r="B440" s="2">
        <v>201000</v>
      </c>
      <c r="C440" s="3" t="s">
        <v>328</v>
      </c>
      <c r="D440" s="2" t="s">
        <v>330</v>
      </c>
      <c r="E440" s="2">
        <v>2</v>
      </c>
      <c r="F440" s="2">
        <v>30</v>
      </c>
      <c r="G440" s="2">
        <v>2</v>
      </c>
      <c r="H440" s="2" t="s">
        <v>79</v>
      </c>
      <c r="I440" s="2">
        <v>2000</v>
      </c>
      <c r="J440" s="2">
        <v>0</v>
      </c>
      <c r="K440" s="19" t="s">
        <v>349</v>
      </c>
      <c r="L440" s="2">
        <v>1</v>
      </c>
      <c r="M440" s="14">
        <v>20100004</v>
      </c>
      <c r="N440" s="2" t="s">
        <v>330</v>
      </c>
      <c r="O440" s="2">
        <v>20100004</v>
      </c>
    </row>
    <row r="441" spans="1:15">
      <c r="A441" s="2">
        <v>20100027</v>
      </c>
      <c r="B441" s="2">
        <v>201000</v>
      </c>
      <c r="C441" s="3" t="s">
        <v>328</v>
      </c>
      <c r="D441" s="2" t="s">
        <v>331</v>
      </c>
      <c r="E441" s="2">
        <v>3</v>
      </c>
      <c r="F441" s="2">
        <v>5</v>
      </c>
      <c r="G441" s="2">
        <v>2</v>
      </c>
      <c r="H441" s="2" t="s">
        <v>79</v>
      </c>
      <c r="I441" s="2">
        <v>5000</v>
      </c>
      <c r="J441" s="2">
        <v>0</v>
      </c>
      <c r="K441" s="19" t="s">
        <v>350</v>
      </c>
      <c r="L441" s="2">
        <v>1</v>
      </c>
      <c r="M441" s="14">
        <v>20100008</v>
      </c>
      <c r="N441" s="2" t="s">
        <v>332</v>
      </c>
      <c r="O441" s="2">
        <v>20100008</v>
      </c>
    </row>
    <row r="442" spans="1:15">
      <c r="A442" s="2">
        <v>20100028</v>
      </c>
      <c r="B442" s="2">
        <v>201000</v>
      </c>
      <c r="C442" s="3" t="s">
        <v>328</v>
      </c>
      <c r="D442" s="2" t="s">
        <v>332</v>
      </c>
      <c r="E442" s="2">
        <v>4</v>
      </c>
      <c r="F442" s="2">
        <v>5</v>
      </c>
      <c r="G442" s="2">
        <v>2</v>
      </c>
      <c r="H442" s="2" t="s">
        <v>79</v>
      </c>
      <c r="I442" s="2">
        <v>12000</v>
      </c>
      <c r="J442" s="2">
        <v>0</v>
      </c>
      <c r="K442" s="19" t="s">
        <v>351</v>
      </c>
      <c r="L442" s="2">
        <v>1</v>
      </c>
      <c r="M442" s="14">
        <v>20100008</v>
      </c>
      <c r="N442" s="2" t="s">
        <v>332</v>
      </c>
      <c r="O442" s="2">
        <v>20100008</v>
      </c>
    </row>
    <row r="443" spans="1:15">
      <c r="A443" s="2">
        <v>20100029</v>
      </c>
      <c r="B443" s="2">
        <v>201000</v>
      </c>
      <c r="C443" s="3" t="s">
        <v>328</v>
      </c>
      <c r="D443" s="2" t="s">
        <v>333</v>
      </c>
      <c r="E443" s="2">
        <v>5</v>
      </c>
      <c r="F443" s="2">
        <v>76</v>
      </c>
      <c r="G443" s="2">
        <v>2</v>
      </c>
      <c r="H443" s="2" t="s">
        <v>79</v>
      </c>
      <c r="I443" s="2">
        <v>500</v>
      </c>
      <c r="J443" s="2">
        <v>0</v>
      </c>
      <c r="K443" s="19" t="s">
        <v>352</v>
      </c>
      <c r="L443" s="2">
        <v>1</v>
      </c>
      <c r="M443" s="14">
        <v>20100001</v>
      </c>
      <c r="N443" s="2" t="s">
        <v>333</v>
      </c>
      <c r="O443" s="2">
        <v>20100001</v>
      </c>
    </row>
    <row r="444" spans="1:15">
      <c r="A444" s="2">
        <v>20100030</v>
      </c>
      <c r="B444" s="2">
        <v>201000</v>
      </c>
      <c r="C444" s="3" t="s">
        <v>328</v>
      </c>
      <c r="D444" s="2" t="s">
        <v>334</v>
      </c>
      <c r="E444" s="2">
        <v>6</v>
      </c>
      <c r="F444" s="2">
        <v>40</v>
      </c>
      <c r="G444" s="2">
        <v>2</v>
      </c>
      <c r="H444" s="2" t="s">
        <v>79</v>
      </c>
      <c r="I444" s="2">
        <v>300</v>
      </c>
      <c r="J444" s="2">
        <v>0</v>
      </c>
      <c r="K444" s="19" t="s">
        <v>353</v>
      </c>
      <c r="L444" s="2">
        <v>1</v>
      </c>
      <c r="M444" s="14">
        <v>20100001</v>
      </c>
      <c r="N444" s="2" t="s">
        <v>333</v>
      </c>
      <c r="O444" s="2">
        <v>20100001</v>
      </c>
    </row>
    <row r="445" spans="1:15">
      <c r="A445" s="2">
        <v>20100031</v>
      </c>
      <c r="B445" s="2">
        <v>201000</v>
      </c>
      <c r="C445" s="3" t="s">
        <v>328</v>
      </c>
      <c r="D445" s="2" t="s">
        <v>335</v>
      </c>
      <c r="E445" s="2">
        <v>7</v>
      </c>
      <c r="F445" s="2">
        <v>40</v>
      </c>
      <c r="G445" s="2">
        <v>2</v>
      </c>
      <c r="H445" s="2" t="s">
        <v>79</v>
      </c>
      <c r="I445" s="2">
        <v>1500</v>
      </c>
      <c r="J445" s="2">
        <v>0</v>
      </c>
      <c r="K445" s="19" t="s">
        <v>354</v>
      </c>
      <c r="L445" s="2">
        <v>1</v>
      </c>
      <c r="M445" s="14">
        <v>20100003</v>
      </c>
      <c r="N445" s="2" t="s">
        <v>335</v>
      </c>
      <c r="O445" s="2">
        <v>20100003</v>
      </c>
    </row>
    <row r="446" spans="1:15">
      <c r="A446" s="2">
        <v>20100032</v>
      </c>
      <c r="B446" s="2">
        <v>201000</v>
      </c>
      <c r="C446" s="3" t="s">
        <v>328</v>
      </c>
      <c r="D446" s="2" t="s">
        <v>336</v>
      </c>
      <c r="E446" s="2">
        <v>8</v>
      </c>
      <c r="F446" s="2">
        <v>30</v>
      </c>
      <c r="G446" s="2">
        <v>2</v>
      </c>
      <c r="H446" s="2" t="s">
        <v>79</v>
      </c>
      <c r="I446" s="2">
        <v>2000</v>
      </c>
      <c r="J446" s="2">
        <v>0</v>
      </c>
      <c r="K446" s="19" t="s">
        <v>355</v>
      </c>
      <c r="L446" s="2">
        <v>1</v>
      </c>
      <c r="M446" s="14">
        <v>20100005</v>
      </c>
      <c r="N446" s="2" t="s">
        <v>336</v>
      </c>
      <c r="O446" s="2">
        <v>20100005</v>
      </c>
    </row>
    <row r="447" spans="1:15">
      <c r="A447" s="2">
        <v>20100033</v>
      </c>
      <c r="B447" s="2">
        <v>201000</v>
      </c>
      <c r="C447" s="3" t="s">
        <v>328</v>
      </c>
      <c r="D447" s="2" t="s">
        <v>337</v>
      </c>
      <c r="E447" s="2">
        <v>9</v>
      </c>
      <c r="F447" s="2">
        <v>300</v>
      </c>
      <c r="G447" s="2">
        <v>2</v>
      </c>
      <c r="H447" s="2" t="s">
        <v>79</v>
      </c>
      <c r="I447" s="2">
        <v>300</v>
      </c>
      <c r="J447" s="2">
        <v>0</v>
      </c>
      <c r="K447" s="19" t="s">
        <v>356</v>
      </c>
      <c r="L447" s="2">
        <v>1</v>
      </c>
      <c r="M447" s="14">
        <v>20100005</v>
      </c>
      <c r="N447" s="2" t="s">
        <v>336</v>
      </c>
      <c r="O447" s="2">
        <v>20100005</v>
      </c>
    </row>
    <row r="448" spans="1:15">
      <c r="A448" s="2">
        <v>20100034</v>
      </c>
      <c r="B448" s="2">
        <v>201000</v>
      </c>
      <c r="C448" s="3" t="s">
        <v>328</v>
      </c>
      <c r="D448" s="2" t="s">
        <v>333</v>
      </c>
      <c r="E448" s="2">
        <v>11</v>
      </c>
      <c r="F448" s="2">
        <v>40</v>
      </c>
      <c r="G448" s="2">
        <v>2</v>
      </c>
      <c r="H448" s="2" t="s">
        <v>79</v>
      </c>
      <c r="I448" s="2">
        <v>500</v>
      </c>
      <c r="J448" s="2">
        <v>0</v>
      </c>
      <c r="K448" s="19" t="s">
        <v>357</v>
      </c>
      <c r="L448" s="2">
        <v>1</v>
      </c>
      <c r="M448" s="14">
        <v>20100001</v>
      </c>
      <c r="N448" s="2" t="s">
        <v>333</v>
      </c>
      <c r="O448" s="2">
        <v>20100001</v>
      </c>
    </row>
    <row r="449" spans="1:15">
      <c r="A449" s="2">
        <v>20100035</v>
      </c>
      <c r="B449" s="2">
        <v>201000</v>
      </c>
      <c r="C449" s="3" t="s">
        <v>328</v>
      </c>
      <c r="D449" s="2" t="s">
        <v>341</v>
      </c>
      <c r="E449" s="2">
        <v>12</v>
      </c>
      <c r="F449" s="2">
        <v>200</v>
      </c>
      <c r="G449" s="2">
        <v>2</v>
      </c>
      <c r="H449" s="2" t="s">
        <v>79</v>
      </c>
      <c r="I449" s="2">
        <v>300</v>
      </c>
      <c r="J449" s="2">
        <v>0</v>
      </c>
      <c r="K449" s="19" t="s">
        <v>358</v>
      </c>
      <c r="L449" s="2">
        <v>1</v>
      </c>
      <c r="M449" s="14">
        <v>20100002</v>
      </c>
      <c r="N449" s="2" t="s">
        <v>329</v>
      </c>
      <c r="O449" s="2">
        <v>20100002</v>
      </c>
    </row>
    <row r="450" spans="1:15">
      <c r="A450" s="2">
        <v>20100036</v>
      </c>
      <c r="B450" s="2">
        <v>201000</v>
      </c>
      <c r="C450" s="3" t="s">
        <v>328</v>
      </c>
      <c r="D450" s="2" t="s">
        <v>329</v>
      </c>
      <c r="E450" s="2">
        <v>13</v>
      </c>
      <c r="F450" s="2">
        <v>60</v>
      </c>
      <c r="G450" s="2">
        <v>2</v>
      </c>
      <c r="H450" s="2" t="s">
        <v>79</v>
      </c>
      <c r="I450" s="2">
        <v>1000</v>
      </c>
      <c r="J450" s="2">
        <v>0</v>
      </c>
      <c r="K450" s="19" t="s">
        <v>359</v>
      </c>
      <c r="L450" s="2">
        <v>1</v>
      </c>
      <c r="M450" s="14">
        <v>20100002</v>
      </c>
      <c r="N450" s="2" t="s">
        <v>329</v>
      </c>
      <c r="O450" s="2">
        <v>20100002</v>
      </c>
    </row>
    <row r="451" spans="1:15">
      <c r="A451" s="2">
        <v>20100037</v>
      </c>
      <c r="B451" s="2">
        <v>201000</v>
      </c>
      <c r="C451" s="3" t="s">
        <v>328</v>
      </c>
      <c r="D451" s="2" t="s">
        <v>330</v>
      </c>
      <c r="E451" s="2">
        <v>14</v>
      </c>
      <c r="F451" s="2">
        <v>30</v>
      </c>
      <c r="G451" s="2">
        <v>2</v>
      </c>
      <c r="H451" s="2" t="s">
        <v>79</v>
      </c>
      <c r="I451" s="2">
        <v>2000</v>
      </c>
      <c r="J451" s="2">
        <v>0</v>
      </c>
      <c r="K451" s="19" t="s">
        <v>360</v>
      </c>
      <c r="L451" s="2">
        <v>1</v>
      </c>
      <c r="M451" s="14">
        <v>20100004</v>
      </c>
      <c r="N451" s="2" t="s">
        <v>330</v>
      </c>
      <c r="O451" s="2">
        <v>20100004</v>
      </c>
    </row>
    <row r="452" spans="1:15">
      <c r="A452" s="2">
        <v>20100038</v>
      </c>
      <c r="B452" s="2">
        <v>201000</v>
      </c>
      <c r="C452" s="3" t="s">
        <v>328</v>
      </c>
      <c r="D452" s="2" t="s">
        <v>342</v>
      </c>
      <c r="E452" s="2">
        <v>15</v>
      </c>
      <c r="F452" s="2">
        <v>300</v>
      </c>
      <c r="G452" s="2">
        <v>2</v>
      </c>
      <c r="H452" s="2" t="s">
        <v>79</v>
      </c>
      <c r="I452" s="2">
        <v>300</v>
      </c>
      <c r="J452" s="2">
        <v>0</v>
      </c>
      <c r="K452" s="19" t="s">
        <v>361</v>
      </c>
      <c r="L452" s="2">
        <v>1</v>
      </c>
      <c r="M452" s="14">
        <v>20100007</v>
      </c>
      <c r="N452" s="2">
        <v>77</v>
      </c>
      <c r="O452" s="2">
        <v>20100007</v>
      </c>
    </row>
    <row r="453" spans="1:15">
      <c r="A453" s="2">
        <v>20100039</v>
      </c>
      <c r="B453" s="2">
        <v>201000</v>
      </c>
      <c r="C453" s="3" t="s">
        <v>328</v>
      </c>
      <c r="D453" s="2">
        <v>77</v>
      </c>
      <c r="E453" s="2">
        <v>16</v>
      </c>
      <c r="F453" s="2">
        <v>15</v>
      </c>
      <c r="G453" s="2">
        <v>2</v>
      </c>
      <c r="H453" s="2" t="s">
        <v>79</v>
      </c>
      <c r="I453" s="2">
        <v>4000</v>
      </c>
      <c r="J453" s="2">
        <v>0</v>
      </c>
      <c r="K453" s="19" t="s">
        <v>362</v>
      </c>
      <c r="L453" s="2">
        <v>1</v>
      </c>
      <c r="M453" s="14">
        <v>20100007</v>
      </c>
      <c r="N453" s="2">
        <v>77</v>
      </c>
      <c r="O453" s="2">
        <v>20100007</v>
      </c>
    </row>
    <row r="454" spans="1:15">
      <c r="A454" s="2">
        <v>20100040</v>
      </c>
      <c r="B454" s="2">
        <v>201000</v>
      </c>
      <c r="C454" s="3" t="s">
        <v>328</v>
      </c>
      <c r="D454" s="2" t="s">
        <v>333</v>
      </c>
      <c r="E454" s="2">
        <v>17</v>
      </c>
      <c r="F454" s="2">
        <v>40</v>
      </c>
      <c r="G454" s="2">
        <v>2</v>
      </c>
      <c r="H454" s="2" t="s">
        <v>79</v>
      </c>
      <c r="I454" s="2">
        <v>500</v>
      </c>
      <c r="J454" s="2">
        <v>0</v>
      </c>
      <c r="K454" s="19" t="s">
        <v>363</v>
      </c>
      <c r="L454" s="2">
        <v>1</v>
      </c>
      <c r="M454" s="14">
        <v>20100001</v>
      </c>
      <c r="N454" s="2" t="s">
        <v>333</v>
      </c>
      <c r="O454" s="2">
        <v>20100001</v>
      </c>
    </row>
    <row r="455" spans="1:15">
      <c r="A455" s="2">
        <v>20100041</v>
      </c>
      <c r="B455" s="2">
        <v>201000</v>
      </c>
      <c r="C455" s="3" t="s">
        <v>328</v>
      </c>
      <c r="D455" s="2" t="s">
        <v>343</v>
      </c>
      <c r="E455" s="2">
        <v>18</v>
      </c>
      <c r="F455" s="2">
        <v>100</v>
      </c>
      <c r="G455" s="2">
        <v>2</v>
      </c>
      <c r="H455" s="2" t="s">
        <v>79</v>
      </c>
      <c r="I455" s="2">
        <v>300</v>
      </c>
      <c r="J455" s="2">
        <v>0</v>
      </c>
      <c r="K455" s="19" t="s">
        <v>364</v>
      </c>
      <c r="L455" s="2">
        <v>1</v>
      </c>
      <c r="M455" s="14">
        <v>20100003</v>
      </c>
      <c r="N455" s="2" t="s">
        <v>335</v>
      </c>
      <c r="O455" s="2">
        <v>20100003</v>
      </c>
    </row>
    <row r="456" spans="1:15">
      <c r="A456" s="2">
        <v>20100042</v>
      </c>
      <c r="B456" s="2">
        <v>201000</v>
      </c>
      <c r="C456" s="3" t="s">
        <v>328</v>
      </c>
      <c r="D456" s="2" t="s">
        <v>335</v>
      </c>
      <c r="E456" s="2">
        <v>19</v>
      </c>
      <c r="F456" s="2">
        <v>40</v>
      </c>
      <c r="G456" s="2">
        <v>2</v>
      </c>
      <c r="H456" s="2" t="s">
        <v>79</v>
      </c>
      <c r="I456" s="2">
        <v>1500</v>
      </c>
      <c r="J456" s="2">
        <v>0</v>
      </c>
      <c r="K456" s="19" t="s">
        <v>365</v>
      </c>
      <c r="L456" s="2">
        <v>1</v>
      </c>
      <c r="M456" s="14">
        <v>20100003</v>
      </c>
      <c r="N456" s="2" t="s">
        <v>335</v>
      </c>
      <c r="O456" s="2">
        <v>20100003</v>
      </c>
    </row>
    <row r="457" spans="1:15">
      <c r="A457" s="2">
        <v>20100043</v>
      </c>
      <c r="B457" s="2">
        <v>201000</v>
      </c>
      <c r="C457" s="3" t="s">
        <v>328</v>
      </c>
      <c r="D457" s="2" t="s">
        <v>344</v>
      </c>
      <c r="E457" s="2">
        <v>20</v>
      </c>
      <c r="F457" s="2">
        <v>20</v>
      </c>
      <c r="G457" s="2">
        <v>2</v>
      </c>
      <c r="H457" s="2" t="s">
        <v>79</v>
      </c>
      <c r="I457" s="2">
        <v>3000</v>
      </c>
      <c r="J457" s="2">
        <v>0</v>
      </c>
      <c r="K457" s="19" t="s">
        <v>366</v>
      </c>
      <c r="L457" s="2">
        <v>1</v>
      </c>
      <c r="M457" s="14">
        <v>20100006</v>
      </c>
      <c r="N457" s="2" t="s">
        <v>344</v>
      </c>
      <c r="O457" s="2">
        <v>20100006</v>
      </c>
    </row>
    <row r="458" spans="1:15">
      <c r="A458" s="2">
        <v>20100044</v>
      </c>
      <c r="B458" s="2">
        <v>201000</v>
      </c>
      <c r="C458" s="3" t="s">
        <v>328</v>
      </c>
      <c r="D458" s="2" t="s">
        <v>345</v>
      </c>
      <c r="E458" s="2">
        <v>21</v>
      </c>
      <c r="F458" s="2">
        <v>300</v>
      </c>
      <c r="G458" s="2">
        <v>2</v>
      </c>
      <c r="H458" s="2" t="s">
        <v>79</v>
      </c>
      <c r="I458" s="2">
        <v>300</v>
      </c>
      <c r="J458" s="2">
        <v>0</v>
      </c>
      <c r="K458" s="19" t="s">
        <v>367</v>
      </c>
      <c r="L458" s="2">
        <v>1</v>
      </c>
      <c r="M458" s="14">
        <v>20100006</v>
      </c>
      <c r="N458" s="2" t="s">
        <v>344</v>
      </c>
      <c r="O458" s="2">
        <v>20100006</v>
      </c>
    </row>
    <row r="459" spans="1:15">
      <c r="A459" s="2">
        <v>20100045</v>
      </c>
      <c r="B459" s="2">
        <v>201000</v>
      </c>
      <c r="C459" s="3" t="s">
        <v>328</v>
      </c>
      <c r="D459" s="2" t="s">
        <v>333</v>
      </c>
      <c r="E459" s="2">
        <v>23</v>
      </c>
      <c r="F459" s="2">
        <v>120</v>
      </c>
      <c r="G459" s="2">
        <v>2</v>
      </c>
      <c r="H459" s="2" t="s">
        <v>79</v>
      </c>
      <c r="I459" s="2">
        <v>500</v>
      </c>
      <c r="J459" s="2">
        <v>0</v>
      </c>
      <c r="K459" s="19" t="s">
        <v>368</v>
      </c>
      <c r="L459" s="2">
        <v>1</v>
      </c>
      <c r="M459" s="14">
        <v>20100001</v>
      </c>
      <c r="N459" s="2" t="s">
        <v>333</v>
      </c>
      <c r="O459" s="2">
        <v>20100001</v>
      </c>
    </row>
    <row r="460" spans="1:15">
      <c r="A460" s="2">
        <v>20100046</v>
      </c>
      <c r="B460" s="2">
        <v>201000</v>
      </c>
      <c r="C460" s="3" t="s">
        <v>328</v>
      </c>
      <c r="D460" s="2" t="s">
        <v>347</v>
      </c>
      <c r="E460" s="2">
        <v>24</v>
      </c>
      <c r="F460" s="2">
        <v>100</v>
      </c>
      <c r="G460" s="2">
        <v>2</v>
      </c>
      <c r="H460" s="2" t="s">
        <v>79</v>
      </c>
      <c r="I460" s="2">
        <v>300</v>
      </c>
      <c r="J460" s="2">
        <v>0</v>
      </c>
      <c r="K460" s="19" t="s">
        <v>369</v>
      </c>
      <c r="L460" s="2">
        <v>1</v>
      </c>
      <c r="M460" s="14">
        <v>20100004</v>
      </c>
      <c r="N460" s="2" t="s">
        <v>330</v>
      </c>
      <c r="O460" s="2">
        <v>20100004</v>
      </c>
    </row>
  </sheetData>
  <autoFilter xmlns:etc="http://www.wps.cn/officeDocument/2017/etCustomData" ref="A1:U460" etc:filterBottomFollowUsedRange="0">
    <extLst/>
  </autoFilter>
  <conditionalFormatting sqref="S336">
    <cfRule type="duplicateValues" dxfId="0" priority="31"/>
  </conditionalFormatting>
  <conditionalFormatting sqref="S337">
    <cfRule type="duplicateValues" dxfId="0" priority="30"/>
  </conditionalFormatting>
  <conditionalFormatting sqref="S345">
    <cfRule type="duplicateValues" dxfId="0" priority="26"/>
  </conditionalFormatting>
  <conditionalFormatting sqref="S346">
    <cfRule type="duplicateValues" dxfId="0" priority="25"/>
  </conditionalFormatting>
  <conditionalFormatting sqref="S348">
    <cfRule type="duplicateValues" dxfId="0" priority="24"/>
  </conditionalFormatting>
  <conditionalFormatting sqref="S360">
    <cfRule type="duplicateValues" dxfId="0" priority="22"/>
  </conditionalFormatting>
  <conditionalFormatting sqref="S361">
    <cfRule type="duplicateValues" dxfId="0" priority="21"/>
  </conditionalFormatting>
  <conditionalFormatting sqref="Q363">
    <cfRule type="duplicateValues" dxfId="0" priority="19"/>
  </conditionalFormatting>
  <conditionalFormatting sqref="S363">
    <cfRule type="duplicateValues" dxfId="0" priority="18"/>
  </conditionalFormatting>
  <conditionalFormatting sqref="S370">
    <cfRule type="duplicateValues" dxfId="0" priority="16"/>
  </conditionalFormatting>
  <conditionalFormatting sqref="S371">
    <cfRule type="duplicateValues" dxfId="0" priority="15"/>
  </conditionalFormatting>
  <conditionalFormatting sqref="Q373">
    <cfRule type="duplicateValues" dxfId="0" priority="12"/>
  </conditionalFormatting>
  <conditionalFormatting sqref="S373">
    <cfRule type="duplicateValues" dxfId="0" priority="13"/>
  </conditionalFormatting>
  <conditionalFormatting sqref="Q379">
    <cfRule type="duplicateValues" dxfId="0" priority="9"/>
  </conditionalFormatting>
  <conditionalFormatting sqref="S379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2">
    <cfRule type="duplicateValues" dxfId="0" priority="38"/>
  </conditionalFormatting>
  <conditionalFormatting sqref="S338:S339">
    <cfRule type="duplicateValues" dxfId="0" priority="29"/>
  </conditionalFormatting>
  <conditionalFormatting sqref="S342:S343">
    <cfRule type="duplicateValues" dxfId="0" priority="28"/>
  </conditionalFormatting>
  <conditionalFormatting sqref="S357:S358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2026-01-14T15:33:12Z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